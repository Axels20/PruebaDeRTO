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amaya\Desktop\"/>
    </mc:Choice>
  </mc:AlternateContent>
  <bookViews>
    <workbookView xWindow="0" yWindow="0" windowWidth="20730" windowHeight="10320" firstSheet="1" activeTab="5"/>
  </bookViews>
  <sheets>
    <sheet name="Dashboard (2)" sheetId="4" state="hidden" r:id="rId1"/>
    <sheet name="Infosheet" sheetId="3" r:id="rId2"/>
    <sheet name="Dashboard" sheetId="1" r:id="rId3"/>
    <sheet name="Leyenda" sheetId="5" r:id="rId4"/>
    <sheet name="Data" sheetId="2" r:id="rId5"/>
    <sheet name="Tabla" sheetId="6" r:id="rId6"/>
  </sheets>
  <externalReferences>
    <externalReference r:id="rId7"/>
    <externalReference r:id="rId8"/>
  </externalReferences>
  <definedNames>
    <definedName name="Capital_Humano.accdb" localSheetId="5" hidden="1">Tabla!$O$6:$O$8</definedName>
    <definedName name="Capital_Humano.accdb_1" localSheetId="5" hidden="1">Tabla!$R$6:$R$18</definedName>
    <definedName name="CeldaMax">Data!$C$2</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RangoBarra">Data!$C$3</definedName>
    <definedName name="ranrowgrid">'Dashboard (2)'!$E$8:$AB$8</definedName>
    <definedName name="TablaAños">Tabla_Capital_Humano.accdb[Seleccione…]</definedName>
    <definedName name="TablaMeses">Tabla_Capital_Humano.accdb_1[Todos los meses]</definedName>
    <definedName name="valSelOption">[1]Cálculos!$C$2</definedName>
    <definedName name="wrn.CONV.." hidden="1">{#N/A,#N/A,FALSE,"PWS#1";#N/A,#N/A,FALSE,"WS#3";#N/A,#N/A,FALSE,"PWS#4";#N/A,#N/A,FALSE,"WS#4";#N/A,#N/A,FALSE,"PWS#5&amp;6";#N/A,#N/A,FALSE,"PWS#7";#N/A,#N/A,FALSE,"PWS#8";#N/A,#N/A,FALSE,"PWS#9";#N/A,#N/A,FALSE,"PWS#9a";#N/A,#N/A,FALSE,"PWS#10";#N/A,#N/A,FALSE,"PWS#11";#N/A,#N/A,FALSE,"PWS#12";#N/A,#N/A,FALSE,"PWS#13";#N/A,#N/A,FALSE,"PWS#14"}</definedName>
  </definedNames>
  <calcPr calcId="152511" calcMode="manual"/>
  <pivotCaches>
    <pivotCache cacheId="0" r:id="rId9"/>
    <pivotCache cacheId="1"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 l="1"/>
  <c r="F25" i="1"/>
  <c r="B25" i="1"/>
  <c r="AT25" i="1"/>
  <c r="AP25" i="1"/>
  <c r="Z25" i="1"/>
  <c r="O25" i="1"/>
  <c r="C9" i="2" l="1"/>
  <c r="C8" i="2"/>
  <c r="C6" i="2"/>
  <c r="C7" i="2"/>
  <c r="B26" i="1" l="1"/>
  <c r="B27" i="1"/>
  <c r="B28" i="1"/>
  <c r="B29" i="1"/>
  <c r="F26" i="1"/>
  <c r="F27" i="1"/>
  <c r="F28" i="1"/>
  <c r="F29" i="1"/>
  <c r="O26" i="1"/>
  <c r="O27" i="1"/>
  <c r="O28" i="1"/>
  <c r="O29" i="1"/>
  <c r="Y10" i="1"/>
  <c r="Y12" i="1"/>
  <c r="Y16" i="1" l="1"/>
  <c r="Y14" i="1" s="1"/>
  <c r="Z26" i="1"/>
  <c r="Z27" i="1"/>
  <c r="Z28" i="1"/>
  <c r="Z29" i="1"/>
  <c r="AP26" i="1"/>
  <c r="AP27" i="1"/>
  <c r="AP28" i="1"/>
  <c r="AP29" i="1"/>
  <c r="AT26" i="1"/>
  <c r="AT27" i="1"/>
  <c r="AT28" i="1"/>
  <c r="AT29" i="1"/>
  <c r="AR12" i="1"/>
  <c r="AR10" i="1"/>
  <c r="AK10" i="1"/>
  <c r="S10" i="1"/>
  <c r="G10" i="1"/>
  <c r="AK12" i="1"/>
  <c r="G12" i="1"/>
  <c r="M10" i="1"/>
  <c r="M12" i="1"/>
  <c r="S12" i="1"/>
  <c r="G16" i="1" l="1"/>
  <c r="G14" i="1" s="1"/>
  <c r="G3" i="2" s="1"/>
  <c r="M16" i="1"/>
  <c r="M14" i="1" s="1"/>
  <c r="H3" i="2" s="1"/>
  <c r="S16" i="1"/>
  <c r="S14" i="1" s="1"/>
  <c r="I3" i="2" s="1"/>
  <c r="AK16" i="1"/>
  <c r="AK14" i="1" s="1"/>
  <c r="J3" i="2" s="1"/>
  <c r="AR16" i="1"/>
  <c r="AR14" i="1" s="1"/>
  <c r="C6" i="5" l="1"/>
  <c r="B7" i="3" l="1"/>
  <c r="N2" i="3"/>
</calcChain>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2" sourceFile="\\negocios\canales tradicionales\Medicion Financiera\SVR_MEDFIN\PROYECTOS\CUENTAS CAPITAL HUMANO\Capital Humano.accdb" keepAlive="1" name="Capital Humano1"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3" sourceFile="\\negocios\canales tradicionales\Medicion Financiera\SVR_MEDFIN\PROYECTOS\CUENTAS CAPITAL HUMANO\Capital Humano.accdb" keepAlive="1" name="Capital Humano2" type="5" refreshedVersion="5" background="1"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Años" commandType="3"/>
  </connection>
  <connection id="4" sourceFile="\\negocios\canales tradicionales\Medicion Financiera\SVR_MEDFIN\PROYECTOS\CUENTAS CAPITAL HUMANO\Capital Humano.accdb" keepAlive="1" name="Capital Humano3" type="5" refreshedVersion="5" background="1"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Meses" commandType="3"/>
  </connection>
</connections>
</file>

<file path=xl/sharedStrings.xml><?xml version="1.0" encoding="utf-8"?>
<sst xmlns="http://schemas.openxmlformats.org/spreadsheetml/2006/main" count="22617" uniqueCount="648">
  <si>
    <t>Medición Financiera - Canales Tradicionales</t>
  </si>
  <si>
    <t>Versión:</t>
  </si>
  <si>
    <t>Favor lea las siguientes instrucciones detenidamente:</t>
  </si>
  <si>
    <t xml:space="preserve">Este archivo no tendrá funcionalidad alguna hasta que todo el contenido del libro sea habilitado. </t>
  </si>
  <si>
    <t>Verifique su versión de Microsoft Office Excel de acuerdo al mensaje mostrado a continuación y siga uno de los pasos descritos abajo para poder utilizar el tablero:</t>
  </si>
  <si>
    <t>Usuarios de Office Excel 2007 o superior</t>
  </si>
  <si>
    <t>Usuarios de Office Excel 97-2003</t>
  </si>
  <si>
    <t xml:space="preserve">Hacer clic en el botón "Opciones…" ubicado en la barra de advertencia de </t>
  </si>
  <si>
    <t xml:space="preserve">Favor cerrar el libro e intente abrirlo nuevamente, al aparecer el mensaje </t>
  </si>
  <si>
    <t>seguridad y habilitar las Macros y las Conecciones de Datos para iniciar.</t>
  </si>
  <si>
    <t>mostrado abajo haga clic en la opción "Habilitar Macros" y podrá iniciar.</t>
  </si>
  <si>
    <t>Horas extras</t>
  </si>
  <si>
    <t>Alimentación</t>
  </si>
  <si>
    <t>Viáticos</t>
  </si>
  <si>
    <t>Reconocimientos</t>
  </si>
  <si>
    <t>Celebraciones</t>
  </si>
  <si>
    <t>Brindis participación</t>
  </si>
  <si>
    <t>Balance YTM</t>
  </si>
  <si>
    <t>Plan Anual</t>
  </si>
  <si>
    <t>%Disponible</t>
  </si>
  <si>
    <t>$Disponible</t>
  </si>
  <si>
    <t>CAJA</t>
  </si>
  <si>
    <t>PAGO NOMINA QUINCENA 1 ENERO 2018</t>
  </si>
  <si>
    <t>TRANSACCIONES DEL DIA 01/10/2018 RECURSOS HUMANOS</t>
  </si>
  <si>
    <t>SERVICIOS PERSONALES</t>
  </si>
  <si>
    <t>ADMINISTRACION DE SUCURSALES</t>
  </si>
  <si>
    <t>6</t>
  </si>
  <si>
    <t/>
  </si>
  <si>
    <t>5</t>
  </si>
  <si>
    <t>Año</t>
  </si>
  <si>
    <t>Mes</t>
  </si>
  <si>
    <t>|</t>
  </si>
  <si>
    <t>Brindis de entrega de Participación de Utilidades</t>
  </si>
  <si>
    <t>Entrega de Chorrito (Dic)</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</si>
  <si>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</si>
  <si>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</si>
  <si>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Reconocimientos y Celebraciones</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</si>
  <si>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</si>
  <si>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 xml:space="preserve">Viáticos </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</si>
  <si>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</si>
  <si>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Oficina</t>
  </si>
  <si>
    <t>(Todas)</t>
  </si>
  <si>
    <t>Etiquetas de fila</t>
  </si>
  <si>
    <t>BANCA DE CONSUMO</t>
  </si>
  <si>
    <t>BANCA PRIVADA</t>
  </si>
  <si>
    <t>DESARROLLO DE PRODUCTOS</t>
  </si>
  <si>
    <t>ATM</t>
  </si>
  <si>
    <t>BANCA COMERCIAL INTERIOR</t>
  </si>
  <si>
    <t>CANALES DE DISTRIBUCION</t>
  </si>
  <si>
    <t>FUERZA DE VENTAS AUTOS</t>
  </si>
  <si>
    <t>FUERZAS DE VENTAS PANAMA</t>
  </si>
  <si>
    <t>BANCA COMERCIAL PERIFERIA</t>
  </si>
  <si>
    <t>GESTION HIPOTECARIA</t>
  </si>
  <si>
    <t>IMAGEN CORPORATIVA</t>
  </si>
  <si>
    <t>ATENCION A CLIENTES</t>
  </si>
  <si>
    <t>CENTRO DE TARJETAS</t>
  </si>
  <si>
    <t>BANCA COMERCIAL CENTRO</t>
  </si>
  <si>
    <t>BANCA CORPORATIVA</t>
  </si>
  <si>
    <t>HIPOTECAS</t>
  </si>
  <si>
    <t>BANCA COMERCIAL</t>
  </si>
  <si>
    <t>TELEMERCADEO</t>
  </si>
  <si>
    <t>VENTAS CONSUMO</t>
  </si>
  <si>
    <t>ZONA LIBRE</t>
  </si>
  <si>
    <t>INTERINOS</t>
  </si>
  <si>
    <t>CANALES EXTERNOS HIP</t>
  </si>
  <si>
    <t>SEGMENTO DE NEGOCIOS</t>
  </si>
  <si>
    <t>CANALES ALTERNOS</t>
  </si>
  <si>
    <t>PERSONALES</t>
  </si>
  <si>
    <t>MERCADEO Y PUBLICIDAD</t>
  </si>
  <si>
    <t>GESTION Y CONTROL CANALES ALTERNOS</t>
  </si>
  <si>
    <t>FUERZA DE VENTAS INTERIOR</t>
  </si>
  <si>
    <t>MERCADEO</t>
  </si>
  <si>
    <t>AUTOS</t>
  </si>
  <si>
    <t>SERVICIOS AL CLIENTE</t>
  </si>
  <si>
    <t>EMISOR DE TARJETAS</t>
  </si>
  <si>
    <t>CUENTAS CORPORATIVAS</t>
  </si>
  <si>
    <t>AFILIACIONES DE COMERCIOS</t>
  </si>
  <si>
    <t>OPERACIONES DE CENTRO DE TARJETAS</t>
  </si>
  <si>
    <t>CAMPAðA</t>
  </si>
  <si>
    <t>ALIMENTACION DE EMPLEADOS CTA NUEVA</t>
  </si>
  <si>
    <t>NC ALIMENTACION DE EMPLEADOS NVA</t>
  </si>
  <si>
    <t>OTROS EGRESOS 18</t>
  </si>
  <si>
    <t>VIATICOS</t>
  </si>
  <si>
    <t>NC  RECONOCIMIENTOS</t>
  </si>
  <si>
    <t>VIATICOS 2</t>
  </si>
  <si>
    <t>GASTOS NO DEDUCIBLES</t>
  </si>
  <si>
    <t>NC VIATICOS</t>
  </si>
  <si>
    <t>NC GASTO NO DEDUCIBLES</t>
  </si>
  <si>
    <t>PAGO NOMINA QUINCENA 1 ENERO 2019</t>
  </si>
  <si>
    <t>PAGO NOMINA QUINCENA 2 ENERO 2019</t>
  </si>
  <si>
    <t>PROVISION DEL MES ENERO 2019</t>
  </si>
  <si>
    <t>RECONOCIMIENTO</t>
  </si>
  <si>
    <t>PLANILLAS DE LIQUIDACIONES FEB 2019</t>
  </si>
  <si>
    <t>ALIMENTACION DE EMPLEADOS [EMPL]</t>
  </si>
  <si>
    <t>PAGO NOMINA QUINCENA 1 FEBRERO 2019</t>
  </si>
  <si>
    <t>PAGO NOMINA QUINCENA 2 FEBRERO 2019</t>
  </si>
  <si>
    <t>REVERSI╦N - FEBRERO 2019</t>
  </si>
  <si>
    <t>PAGO NOMINA QUINCENA 1 MARZO 2019</t>
  </si>
  <si>
    <t>PLANILLAS DE LIQUIDACIONES MAR 2019</t>
  </si>
  <si>
    <t>CORRRECCION DEL 21/03/2019 POR CAUSA DE REGISTRO DE VIATICO MAL</t>
  </si>
  <si>
    <t>OTROS EGRESOS 17</t>
  </si>
  <si>
    <t>PAGO NOMINA QUINCENA 2 MARZO 2019</t>
  </si>
  <si>
    <t>PAGO NOMINA QUINCENA 1 ABRIL 2019</t>
  </si>
  <si>
    <t>PLANILLAS DE LIQUIDACIONES ABR 2019</t>
  </si>
  <si>
    <t>PAGO NOMINA QUINCENA 2 ABRIL 2019</t>
  </si>
  <si>
    <t>REVERSION - ABRIL 2019</t>
  </si>
  <si>
    <t>PLANILLAS DE LIQUIDACIONES MAY 2019</t>
  </si>
  <si>
    <t>PAGO NOMINA QUINCENA 1 MAYO 2019</t>
  </si>
  <si>
    <t>PAGO NOMINA QUINCENA 2 MAYO 2019</t>
  </si>
  <si>
    <t>REVERSION MAYO 2019</t>
  </si>
  <si>
    <t>CORRIGE  RECHAZO 05-JUNIO-2019</t>
  </si>
  <si>
    <t>CORRIGE RECHAZO 05/JUNIO/2019</t>
  </si>
  <si>
    <t>PAGO NOMINA QUINCENA 1 JUNIO 2019</t>
  </si>
  <si>
    <t>CORRECCION DE RECHAZO REG. 08/06/2019</t>
  </si>
  <si>
    <t>PAGO NOMINA QUINCENA 2 JUNIO 2019</t>
  </si>
  <si>
    <t>PAGO NOMINA QUINCENA 1 JULIO 2019</t>
  </si>
  <si>
    <t>PLANILLAS DE LIQUIDACIONES JUL 2019</t>
  </si>
  <si>
    <t>PAGO NOMINA QUINCENA 2 JULIO 2019</t>
  </si>
  <si>
    <t>Area</t>
  </si>
  <si>
    <t>Asiento</t>
  </si>
  <si>
    <t>Comprobante</t>
  </si>
  <si>
    <t>TRANSACCIONES DEL DIA 01/02/2019SPYRAL - GESTION ADMINISTRATIVA</t>
  </si>
  <si>
    <t>OTROS EGRESOS 1.P.O (OR:196/DES:196 TRN:86 PERF:300086 CAU: 18</t>
  </si>
  <si>
    <t>TRANSACCIONES DEL DIA 01/03/2019SPYRAL - GESTION ADMINISTRATIVA</t>
  </si>
  <si>
    <t>OTROS EGRESOS 1.P.O (OR:22/DES:22 TRN:86 PERF:300086 CAU: 18</t>
  </si>
  <si>
    <t>OTROS EGRESOS 1.P.O (OR:39/DES:39 TRN:86 PERF:300086 CAU: 18</t>
  </si>
  <si>
    <t>TRANSACCIONES DEL DIA 01/04/2019SPYRAL - GESTION ADMINISTRATIVA</t>
  </si>
  <si>
    <t>OTROS EGRESOS 1.P.O (OR:89/DES:89 TRN:86 PERF:300086 CAU: 18</t>
  </si>
  <si>
    <t>OTROS EGRESOS 1.P.O (OR:95/DES:95 TRN:86 PERF:300086 CAU: 18</t>
  </si>
  <si>
    <t>TRANSACCIONES DEL DIA 01/05/2019SPYRAL - GESTION ADMINISTRATIVA</t>
  </si>
  <si>
    <t>TRANSACCIONES DEL DIA 01/07/2019SPYRAL - GESTION ADMINISTRATIVA</t>
  </si>
  <si>
    <t>OTROS EGRESOS 1.P.O (OR:29/DES:29 TRN:86 PERF:300086 CAU: 18</t>
  </si>
  <si>
    <t>OTROS EGRESOS 1.P.O (OR:72/DES:72 TRN:86 PERF:300086 CAU: 18</t>
  </si>
  <si>
    <t>OTROS EGRESOS 1.P.O (OR:97/DES:97 TRN:86 PERF:300086 CAU: 18</t>
  </si>
  <si>
    <t>TRANSACCIONES DEL DIA 01/08/2019SPYRAL - GESTION ADMINISTRATIVA</t>
  </si>
  <si>
    <t>OTROS EGRESOS 1.P.O (OR:17/DES:17 TRN:86 PERF:300086 CAU: 18</t>
  </si>
  <si>
    <t>TRANSACCIONES DEL DIA 01/10/2019SPYRAL - GESTION ADMINISTRATIVA</t>
  </si>
  <si>
    <t>OTROS EGRESOS 1.P.O (OR:164/DES:164 TRN:86 PERF:300086 CAU: 18</t>
  </si>
  <si>
    <t>OTROS EGRESOS 1.P.O (OR:3/DES:3 TRN:86 PERF:300086 CAU: 18</t>
  </si>
  <si>
    <t>OTROS EGRESOS 1.P.O (OR:5/DES:5 TRN:86 PERF:300086 CAU: 18</t>
  </si>
  <si>
    <t>OTROS EGRESOS 1.P.O (OR:71/DES:71 TRN:86 PERF:300086 CAU: 18</t>
  </si>
  <si>
    <t>TRANSACCIONES DEL DIA 01/10/2019 RECURSOS HUMANOS</t>
  </si>
  <si>
    <t>TRANSACCIONES DEL DIA 01/11/2019SPYRAL - GESTION ADMINISTRATIVA</t>
  </si>
  <si>
    <t>TRANSACCIONES DEL DIA 01/14/2019SPYRAL - GESTION ADMINISTRATIVA</t>
  </si>
  <si>
    <t>OTROS EGRESOS 1.P.O (OR:101/DES:101 TRN:86 PERF:300086 CAU: 18</t>
  </si>
  <si>
    <t>TRANSACCIONES DEL DIA 01/15/2019SPYRAL - GESTION ADMINISTRATIVA</t>
  </si>
  <si>
    <t>TRANSACCIONES DEL DIA 01/16/2019SPYRAL - GESTION ADMINISTRATIVA</t>
  </si>
  <si>
    <t>OTROS EGRESOS 1.P.O (OR:2/DES:2 TRN:86 PERF:300086 CAU: 18</t>
  </si>
  <si>
    <t>OTROS EGRESOS 1.P.O (OR:15/DES:15 TRN:86 PERF:300086 CAU: 18</t>
  </si>
  <si>
    <t>OTROS EGRESOS 1.P.O (OR:34/DES:34 TRN:86 PERF:300086 CAU: 18</t>
  </si>
  <si>
    <t>OTROS EGRESOS 1.P.O (OR:40/DES:40 TRN:86 PERF:300086 CAU: 18</t>
  </si>
  <si>
    <t>TRANSACCIONES DEL DIA 01/17/2019SPYRAL - GESTION ADMINISTRATIVA</t>
  </si>
  <si>
    <t>TRANSACCIONES DEL DIA 01/18/2019SPYRAL - GESTION ADMINISTRATIVA</t>
  </si>
  <si>
    <t>OTROS EGRESOS 1.P.O (OR:23/DES:23 TRN:86 PERF:300086 CAU: 18</t>
  </si>
  <si>
    <t>OTROS EGRESOS 1.P.O (OR:73/DES:73 TRN:86 PERF:300086 CAU: 18</t>
  </si>
  <si>
    <t>OTROS EGRESOS 1.P.O (OR:79/DES:79 TRN:86 PERF:300086 CAU: 18</t>
  </si>
  <si>
    <t>TRANSACCIONES DEL DIA 01/19/2019SPYRAL - GESTION ADMINISTRATIVA</t>
  </si>
  <si>
    <t>TRANSACCIONES DEL DIA 01/21/2019SPYRAL - GESTION ADMINISTRATIVA</t>
  </si>
  <si>
    <t>OTROS EGRESOS 1.P.O (OR:43/DES:43 TRN:86 PERF:300086 CAU: 18</t>
  </si>
  <si>
    <t>TRANSACCIONES DEL DIA 01/22/2019SPYRAL - GESTION ADMINISTRATIVA</t>
  </si>
  <si>
    <t>TRANSACCIONES DEL DIA 01/23/2019SPYRAL - GESTION ADMINISTRATIVA</t>
  </si>
  <si>
    <t>OTROS EGRESOS 1.P.O (OR:38/DES:38 TRN:86 PERF:300086 CAU: 18</t>
  </si>
  <si>
    <t>TRANSACCIONES DEL DIA 01/24/2019SPYRAL - GESTION ADMINISTRATIVA</t>
  </si>
  <si>
    <t>TRANSACCIONES DEL DIA 01/25/2019SPYRAL - GESTION ADMINISTRATIVA</t>
  </si>
  <si>
    <t>OTROS EGRESOS 1.P.O (OR:53/DES:53 TRN:86 PERF:300086 CAU: 18</t>
  </si>
  <si>
    <t>TRANSACCIONES DEL DIA 01/25/2019 RECURSOS HUMANOS</t>
  </si>
  <si>
    <t>TRANSACCIONES DEL DIA 01/28/2019SPYRAL - GESTION ADMINISTRATIVA</t>
  </si>
  <si>
    <t>TRANSACCIONES DEL DIA 01/29/2019SPYRAL - GESTION ADMINISTRATIVA</t>
  </si>
  <si>
    <t>OTROS EGRESOS 1.P.O (OR:47/DES:47 TRN:86 PERF:300086 CAU: 18</t>
  </si>
  <si>
    <t>OTROS EGRESOS 1.P.O (OR:7/DES:7 TRN:86 PERF:300086 CAU: 18</t>
  </si>
  <si>
    <t>PROVISION CUENTA DE RECONOCIMIENTOS</t>
  </si>
  <si>
    <t>TRANSACCIONES DEL DIA 01/30/2019SPYRAL - GESTION ADMINISTRATIVA</t>
  </si>
  <si>
    <t>OTROS EGRESOS 1.P.O (OR:18/DES:18 TRN:86 PERF:300086 CAU: 18</t>
  </si>
  <si>
    <t>OTROS EGRESOS 1.P.O (OR:131/DES:131 TRN:86 PERF:300086 CAU: 18</t>
  </si>
  <si>
    <t>TRANSACCIONES DEL DIA 01/31/2019SPYRAL - GESTION ADMINISTRATIVA</t>
  </si>
  <si>
    <t>TRANSACCIONES DEL DIA 02/01/2019SPYRAL - GESTION ADMINISTRATIVA</t>
  </si>
  <si>
    <t>OTROS EGRESOS 1.P.O (OR:32/DES:32 TRN:86 PERF:300086 CAU: 18</t>
  </si>
  <si>
    <t>TRANSACCIONES DEL DIA 02/02/2019SPYRAL - GESTION ADMINISTRATIVA</t>
  </si>
  <si>
    <t>OTROS EGRESOS 1.P.O (OR:125/DES:125 TRN:86 PERF:300086 CAU: 18</t>
  </si>
  <si>
    <t>OTROS EGRESOS 1.P.O (OR:70/DES:70 TRN:86 PERF:300086 CAU: 18</t>
  </si>
  <si>
    <t>TRANSACCIONES DEL DIA 02/04/2019SPYRAL - GESTION ADMINISTRATIVA</t>
  </si>
  <si>
    <t>OTROS EGRESOS 1.P.O (OR:66/DES:66 TRN:86 PERF:300086 CAU: 18</t>
  </si>
  <si>
    <t>TRANSACCIONES DEL DIA 02/04/2019 RECURSOS HUMANOS</t>
  </si>
  <si>
    <t>TRANSACCIONES DEL DIA 02/05/2019SPYRAL - GESTION ADMINISTRATIVA</t>
  </si>
  <si>
    <t>TRANSACCIONES DEL DIA 02/06/2019SPYRAL - GESTION ADMINISTRATIVA</t>
  </si>
  <si>
    <t>TRANSACCIONES DEL DIA 02/07/2019SPYRAL - GESTION ADMINISTRATIVA</t>
  </si>
  <si>
    <t>TRANSACCIONES DEL DIA 02/08/2019SPYRAL - GESTION ADMINISTRATIVA</t>
  </si>
  <si>
    <t>OTROS EGRESOS 1.P.O (OR:78/DES:78 TRN:86 PERF:300086 CAU: 18</t>
  </si>
  <si>
    <t>TRANSACCIONES DEL DIA 02/09/2019 RECURSOS HUMANOS</t>
  </si>
  <si>
    <t>TRANSACCIONES DEL DIA 02/09/2019SPYRAL - GESTION ADMINISTRATIVA</t>
  </si>
  <si>
    <t>TRANSACCIONES DEL DIA 02/11/2019SPYRAL - GESTION ADMINISTRATIVA</t>
  </si>
  <si>
    <t>OTROS EGRESOS 1.P.O (OR:48/DES:48 TRN:86 PERF:300086 CAU: 18</t>
  </si>
  <si>
    <t>TRANSACCIONES DEL DIA 02/12/2019SPYRAL - GESTION ADMINISTRATIVA</t>
  </si>
  <si>
    <t>TRANSACCIONES DEL DIA 02/13/2019SPYRAL - GESTION ADMINISTRATIVA</t>
  </si>
  <si>
    <t>OTROS EGRESOS 1.P.O (OR:103/DES:103 TRN:86 PERF:300086 CAU: 18</t>
  </si>
  <si>
    <t>OTROS EGRESOS 1.P.O (OR:33/DES:33 TRN:86 PERF:300086 CAU: 18</t>
  </si>
  <si>
    <t>OTROS EGRESOS 1.P.O (OR:80/DES:80 TRN:86 PERF:300086 CAU: 18</t>
  </si>
  <si>
    <t>OTROS EGRESOS 1.P.O (OR:1/DES:1 TRN:86 PERF:300086 CAU: 18</t>
  </si>
  <si>
    <t>OTROS EGRESOS 1.P.O (OR:26/DES:26 TRN:86 PERF:300086 CAU: 18</t>
  </si>
  <si>
    <t>OTROS EGRESOS 1.P.O (OR:76/DES:76 TRN:86 PERF:300086 CAU: 18</t>
  </si>
  <si>
    <t>TRANSACCIONES DEL DIA 02/14/2019SPYRAL - GESTION ADMINISTRATIVA</t>
  </si>
  <si>
    <t>TRANSACCIONES DEL DIA 02/15/2019SPYRAL - GESTION ADMINISTRATIVA</t>
  </si>
  <si>
    <t>OTROS EGRESOS 1.P.O (OR:74/DES:74 TRN:86 PERF:300086 CAU: 18</t>
  </si>
  <si>
    <t>OTROS EGRESOS 1.P.O (OR:19/DES:19 TRN:86 PERF:300086 CAU: 18</t>
  </si>
  <si>
    <t>TRANSACCIONES DEL DIA 02/16/2019SPYRAL - GESTION ADMINISTRATIVA</t>
  </si>
  <si>
    <t>TRANSACCIONES DEL DIA 02/18/2019SPYRAL - GESTION ADMINISTRATIVA</t>
  </si>
  <si>
    <t>OTROS EGRESOS 1.P.O (OR:16/DES:16 TRN:86 PERF:300086 CAU: 18</t>
  </si>
  <si>
    <t>OTROS EGRESOS 1.P.O (OR:165/DES:165 TRN:86 PERF:300086 CAU: 18</t>
  </si>
  <si>
    <t>OTROS EGRESOS 1.P.O (OR:28/DES:28 TRN:86 PERF:300086 CAU: 18</t>
  </si>
  <si>
    <t>OTROS EGRESOS 1.P.O (OR:9/DES:9 TRN:86 PERF:300086 CAU: 18</t>
  </si>
  <si>
    <t>TRANSACCIONES DEL DIA 02/19/2019SPYRAL - GESTION ADMINISTRATIVA</t>
  </si>
  <si>
    <t>OTROS EGRESOS 1.P.O (OR:10/DES:10 TRN:86 PERF:300086 CAU: 18</t>
  </si>
  <si>
    <t>OTROS EGRESOS 1.P.O (OR:13/DES:13 TRN:86 PERF:300086 CAU: 18</t>
  </si>
  <si>
    <t>OTROS EGRESOS 1.P.O (OR:35/DES:35 TRN:86 PERF:300086 CAU: 18</t>
  </si>
  <si>
    <t>OTROS EGRESOS 1.P.O (OR:44/DES:44 TRN:86 PERF:300086 CAU: 18</t>
  </si>
  <si>
    <t>TRANSACCIONES DEL DIA 02/20/2019SPYRAL - GESTION ADMINISTRATIVA</t>
  </si>
  <si>
    <t>OTROS EGRESOS 1.P.O (OR:21/DES:21 TRN:86 PERF:300086 CAU: 18</t>
  </si>
  <si>
    <t>OTROS EGRESOS 1.P.O (OR:6/DES:6 TRN:86 PERF:300086 CAU: 18</t>
  </si>
  <si>
    <t>TRANSACCIONES DEL DIA 02/21/2019SPYRAL - GESTION ADMINISTRATIVA</t>
  </si>
  <si>
    <t>TRANSACCIONES DEL DIA 02/22/2019SPYRAL - GESTION ADMINISTRATIVA</t>
  </si>
  <si>
    <t>OTROS EGRESOS 1.P.O (OR:20/DES:20 TRN:86 PERF:300086 CAU: 18</t>
  </si>
  <si>
    <t>OTROS EGRESOS 1.P.O (OR:46/DES:46 TRN:86 PERF:300086 CAU: 18</t>
  </si>
  <si>
    <t>OTROS EGRESOS 1.P.O (OR:99/DES:99 TRN:86 PERF:300086 CAU: 18</t>
  </si>
  <si>
    <t>TRANSACCIONES DEL DIA 02/25/2019SPYRAL - GESTION ADMINISTRATIVA</t>
  </si>
  <si>
    <t>TRANSACCIONES DEL DIA 02/25/2019 RECURSOS HUMANOS</t>
  </si>
  <si>
    <t>TRANSACCIONES DEL DIA 02/26/2019SPYRAL - GESTION ADMINISTRATIVA</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</si>
  <si>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</si>
  <si>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</si>
  <si>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</si>
  <si>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</si>
  <si>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</si>
  <si>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</si>
  <si>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</si>
  <si>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TRANSACCIONES DEL DIA 03/09/2019SPYRAL - GESTION ADMINISTRATIVA</t>
  </si>
  <si>
    <t>TRANSACCIONES DEL DIA 03/09/2019 RECURSOS HUMANOS</t>
  </si>
  <si>
    <t>TRANSACCIONES DEL DIA 03/11/2019SPYRAL - GESTION ADMINISTRATIVA</t>
  </si>
  <si>
    <t>TRANSACCIONES DEL DIA 03/12/2019SPYRAL - GESTION ADMINISTRATIVA</t>
  </si>
  <si>
    <t>OTROS EGRESOS 1.P.O (OR:69/DES:69 TRN:86 PERF:300086 CAU: 18</t>
  </si>
  <si>
    <t>TRANSACCIONES DEL DIA 03/12/2019 RECURSOS HUMANOS</t>
  </si>
  <si>
    <t>TRANSACCIONES DEL DIA 03/13/2019SPYRAL - GESTION ADMINISTRATIVA</t>
  </si>
  <si>
    <t>OTROS EGRESOS 1.P.O (OR:37/DES:37 TRN:86 PERF:300086 CAU: 18</t>
  </si>
  <si>
    <t>OTROS EGRESOS 1.P.O (OR:51/DES:51 TRN:86 PERF:300086 CAU: 18</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</si>
  <si>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</si>
  <si>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</si>
  <si>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</si>
  <si>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</si>
  <si>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</si>
  <si>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OTROS EGRESOS 1.P.O (OR:8/DES:8 TRN:86 PERF:300086 CAU: 18</t>
  </si>
  <si>
    <t>TRANSACCIONES DEL DIA 03/20/2019SPYRAL - GESTION ADMINISTRATIVA</t>
  </si>
  <si>
    <t>TRANSACCIONES DEL DIA 03/21/2019SPYRAL - GESTION ADMINISTRATIVA</t>
  </si>
  <si>
    <t>CORRECCION DE REGISTRO DE VIATICO MAL POSTEADO</t>
  </si>
  <si>
    <t>TRANSACCIONES DEL DIA 03/22/2019SPYRAL - GESTION ADMINISTRATIVA</t>
  </si>
  <si>
    <t>TRANSACCIONES DEL DIA 03/23/2019SPYRAL - GESTION ADMINISTRATIVA</t>
  </si>
  <si>
    <t>OTROS EGRESOS 1.P.O (OR:4/DES:4 TRN:86 PERF:300086 CAU: 18</t>
  </si>
  <si>
    <t>TRANSACCIONES DEL DIA 03/25/2019SPYRAL - GESTION ADMINISTRATIVA</t>
  </si>
  <si>
    <t>OTROS EGRESOS 1.P.O (OR:54/DES:54 TRN:86 PERF:300086 CAU: 17</t>
  </si>
  <si>
    <t>TRANSACCIONES DEL DIA 03/25/2019 RECURSOS HUMANOS</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</si>
  <si>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</si>
  <si>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</si>
  <si>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</si>
  <si>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</si>
  <si>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</si>
  <si>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</si>
  <si>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</si>
  <si>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</si>
  <si>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</si>
  <si>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</si>
  <si>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</si>
  <si>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OTROS EGRESOS 1.P.O (OR:68/DES:68 TRN:86 PERF:300086 CAU: 18</t>
  </si>
  <si>
    <t>TRANSACCIONES DEL DIA 04/09/2019SPYRAL - GESTION ADMINISTRATIVA</t>
  </si>
  <si>
    <t>TRANSACCIONES DEL DIA 04/10/2019 RECURSOS HUMANOS</t>
  </si>
  <si>
    <t>TRANSACCIONES DEL DIA 04/10/2019SPYRAL - GESTION ADMINISTRATIVA</t>
  </si>
  <si>
    <t>TRANSACCIONES DEL DIA 04/11/2019SPYRAL - GESTION ADMINISTRATIVA</t>
  </si>
  <si>
    <t>OTROS EGRESOS 1.P.O (OR:77/DES:77 TRN:86 PERF:300086 CAU: 18</t>
  </si>
  <si>
    <t>TRANSACCIONES DEL DIA 04/12/2019SPYRAL - GESTION ADMINISTRATIVA</t>
  </si>
  <si>
    <t>OTROS EGRESOS 1.P.O (OR:41/DES:41 TRN:86 PERF:300086 CAU: 18</t>
  </si>
  <si>
    <t>TRANSACCIONES DEL DIA 04/13/2019SPYRAL - GESTION ADMINISTRATIVA</t>
  </si>
  <si>
    <t>TRANSACCIONES DEL DIA 04/15/2019SPYRAL - GESTION ADMINISTRATIVA</t>
  </si>
  <si>
    <t>TRANSACCIONES DEL DIA 04/16/2019SPYRAL - GESTION ADMINISTRATIVA</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</si>
  <si>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</si>
  <si>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</si>
  <si>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</si>
  <si>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</si>
  <si>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</si>
  <si>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</si>
  <si>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</si>
  <si>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</si>
  <si>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</si>
  <si>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</si>
  <si>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</si>
  <si>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</si>
  <si>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</si>
  <si>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</si>
  <si>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</si>
  <si>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</si>
  <si>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</si>
  <si>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</si>
  <si>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TRANSACCIONES DEL DIA 05/07/2019 RECURSOS HUMANOS</t>
  </si>
  <si>
    <t>TRANSACCIONES DEL DIA 05/08/2019SPYRAL - GESTION ADMINISTRATIVA</t>
  </si>
  <si>
    <t>TRANSACCIONES DEL DIA 05/09/2019SPYRAL - GESTION ADMINISTRATIVA</t>
  </si>
  <si>
    <t>TRANSACCIONES DEL DIA 05/10/2019SPYRAL - GESTION ADMINISTRATIVA</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</si>
  <si>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</si>
  <si>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</si>
  <si>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</si>
  <si>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</si>
  <si>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</si>
  <si>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</si>
  <si>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</si>
  <si>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</si>
  <si>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</si>
  <si>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</si>
  <si>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</si>
  <si>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</si>
  <si>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</si>
  <si>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</si>
  <si>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</si>
  <si>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</si>
  <si>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</si>
  <si>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</si>
  <si>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</si>
  <si>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</si>
  <si>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</si>
  <si>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</si>
  <si>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</si>
  <si>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</si>
  <si>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</si>
  <si>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CORRECCION DE RECHAZOS EN LA INTERFAZ CONTABLE</t>
  </si>
  <si>
    <t>TRANSACCIONES DEL DIA 06/07/2019SPYRAL - GESTION ADMINISTRATIVA</t>
  </si>
  <si>
    <t>TRANSACCIONES DEL DIA 06/08/2019SPYRAL - GESTION ADMINISTRATIVA</t>
  </si>
  <si>
    <t>TRANSACCIONES DEL DIA 06/10/2019SPYRAL - GESTION ADMINISTRATIVA</t>
  </si>
  <si>
    <t>TRANSACCIONES DEL DIA 06/10/2019 RECURSOS HUMANOS</t>
  </si>
  <si>
    <t>REGISTRO DE ENTRADA DE ADMINISTRACION</t>
  </si>
  <si>
    <t>TRANSACCIONES DEL DIA 06/11/2019SPYRAL - GESTION ADMINISTRATIVA</t>
  </si>
  <si>
    <t>OTROS EGRESOS 1.P.O (OR:162/DES:162 TRN:86 PERF:300086 CAU: 18</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</si>
  <si>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</si>
  <si>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</si>
  <si>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</si>
  <si>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</si>
  <si>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</si>
  <si>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</si>
  <si>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</si>
  <si>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</si>
  <si>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</si>
  <si>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</si>
  <si>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</si>
  <si>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TRANSACCIONES DEL DIA 06/25/2019SPYRAL - GESTION ADMINISTRATIVA</t>
  </si>
  <si>
    <t>TRANSACCIONES DEL DIA 06/25/2019 RECURSOS HUMANOS</t>
  </si>
  <si>
    <t>TRANSACCIONES DEL DIA 06/26/2019SPYRAL - GESTION ADMINISTRATIVA</t>
  </si>
  <si>
    <t>TRANSACCIONES DEL DIA 06/27/2019SPYRAL - GESTION ADMINISTRATIVA</t>
  </si>
  <si>
    <t>OTROS EGRESOS 1.P.O (OR:154/DES:154 TRN:86 PERF:300086 CAU: 18</t>
  </si>
  <si>
    <t>OTROS EGRESOS 1.P.O (OR:42/DES:42 TRN:86 PERF:300086 CAU: 18</t>
  </si>
  <si>
    <t>TRANSACCIONES DEL DIA 06/28/2019SPYRAL - GESTION ADMINISTRATIVA</t>
  </si>
  <si>
    <t>TRANSACCIONES DEL DIA 07/02/2019SPYRAL - GESTION ADMINISTRATIVA</t>
  </si>
  <si>
    <t>OTROS EGRESOS 1.P.O (OR:162/DES:162 TRN:86 PERF:300086 CAU: 17</t>
  </si>
  <si>
    <t>TRANSACCIONES DEL DIA 07/03/2019SPYRAL - GESTION ADMINISTRATIVA</t>
  </si>
  <si>
    <t>TRANSACCIONES DEL DIA 07/04/2019SPYRAL - GESTION ADMINISTRATIVA</t>
  </si>
  <si>
    <t>TRANSACCIONES DEL DIA 07/05/2019SPYRAL - GESTION ADMINISTRATIVA</t>
  </si>
  <si>
    <t>TRANSACCIONES DEL DIA 07/08/2019SPYRAL - GESTION ADMINISTRATIVA</t>
  </si>
  <si>
    <t>TRANSACCIONES DEL DIA 07/09/2019SPYRAL - GESTION ADMINISTRATIVA</t>
  </si>
  <si>
    <t>TRANSACCIONES DEL DIA 07/10/2019 RECURSOS HUMANOS</t>
  </si>
  <si>
    <t>TRANSACCIONES DEL DIA 07/10/2019SPYRAL - GESTION ADMINISTRATIVA</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</si>
  <si>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</si>
  <si>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</si>
  <si>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</si>
  <si>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</si>
  <si>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</si>
  <si>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</si>
  <si>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</si>
  <si>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</si>
  <si>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TRANSACCIONES DEL DIA 07/19/2019 RECURSOS HUMANOS</t>
  </si>
  <si>
    <t>TRANSACCIONES DEL DIA 07/20/2019SPYRAL - GESTION ADMINISTRATIVA</t>
  </si>
  <si>
    <t>OTROS EGRESOS 1.P.O (OR:157/DES:157 TRN:86 PERF:300086 CAU: 18</t>
  </si>
  <si>
    <t>TRANSACCIONES DEL DIA 07/22/2019SPYRAL - GESTION ADMINISTRATIVA</t>
  </si>
  <si>
    <t>TRANSACCIONES DEL DIA 07/23/2019SPYRAL - GESTION ADMINISTRATIVA</t>
  </si>
  <si>
    <t>TRANSACCIONES DEL DIA 07/24/2019SPYRAL - GESTION ADMINISTRATIVA</t>
  </si>
  <si>
    <t>TRANSACCIONES DEL DIA 07/25/2019 RECURSOS HUMANOS</t>
  </si>
  <si>
    <t>TRANSACCIONES DEL DIA 07/25/2019SPYRAL - GESTION ADMINISTRATIVA</t>
  </si>
  <si>
    <t>TRANSACCIONES DEL DIA 07/26/2019SPYRAL - GESTION ADMINISTRATIVA</t>
  </si>
  <si>
    <t>OTROS EGRESOS 1.P.O (OR:14/DES:14 TRN:86 PERF:300086 CAU: 18</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</si>
  <si>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</si>
  <si>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</si>
  <si>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</si>
  <si>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</si>
  <si>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</si>
  <si>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Debito</t>
  </si>
  <si>
    <t>Credito</t>
  </si>
  <si>
    <t>Fecha</t>
  </si>
  <si>
    <t>Celda Max:</t>
  </si>
  <si>
    <t>Rango Barra:</t>
  </si>
  <si>
    <t>ALIMENTACIÓN</t>
  </si>
  <si>
    <t>BRINDIS DE PARTICIPACIÓN</t>
  </si>
  <si>
    <t xml:space="preserve">CELEBRACIONES </t>
  </si>
  <si>
    <t>HORAS EXTRAS</t>
  </si>
  <si>
    <t xml:space="preserve">RECONOCIMIENTO </t>
  </si>
  <si>
    <t>Suma de Plan</t>
  </si>
  <si>
    <t>Suma de Balance</t>
  </si>
  <si>
    <t>enero</t>
  </si>
  <si>
    <t>febrero</t>
  </si>
  <si>
    <t>marzo</t>
  </si>
  <si>
    <t>abril</t>
  </si>
  <si>
    <t>mayo</t>
  </si>
  <si>
    <t>junio</t>
  </si>
  <si>
    <t>julio</t>
  </si>
  <si>
    <t>agosto</t>
  </si>
  <si>
    <t>septiembre</t>
  </si>
  <si>
    <t>octubre</t>
  </si>
  <si>
    <t>noviembre</t>
  </si>
  <si>
    <t>diciembre</t>
  </si>
  <si>
    <t>TRANSACCIONES DEL DIA 10/10/2018SPYRAL - GESTION ADMINISTRATIVA</t>
  </si>
  <si>
    <t>PAGO NOMINA QUINCENA 1 OCTUBRE 2018</t>
  </si>
  <si>
    <t>TRANSACCIONES DEL DIA 10/10/2018 RECURSOS HUMANOS</t>
  </si>
  <si>
    <t>CIERRE DE ANIO FISCAL</t>
  </si>
  <si>
    <t>CIERRE_DE_CTAS_NOMINALES</t>
  </si>
  <si>
    <t>NEGOCIOS</t>
  </si>
  <si>
    <t>BANCA EN LINEA</t>
  </si>
  <si>
    <t>PAGO NOMINA QUINCENA 2 JUNIO 2018</t>
  </si>
  <si>
    <t>TRANSACCIONES DEL DIA 06/25/2018 RECURSOS HUMANOS</t>
  </si>
  <si>
    <t>TRANSACCIONES DEL DIA 06/25/2018SPYRAL - GESTION ADMINISTRATIVA</t>
  </si>
  <si>
    <t>TRANSACCIONES DEL DIA 08/25/2018SPYRAL - GESTION ADMINISTRATIVA</t>
  </si>
  <si>
    <t>PAGO NOMINA QUINCENA 2 AGOSTO 2018</t>
  </si>
  <si>
    <t>TRANSACCIONES DEL DIA 08/25/2018 RECURSOS HUMANOS</t>
  </si>
  <si>
    <t>PAGO NOMINA QUINCENA 2 SEPTIEMBRE 2018</t>
  </si>
  <si>
    <t>TRANSACCIONES DEL DIA 09/25/2018 RECURSOS HUMANOS</t>
  </si>
  <si>
    <t>TRANSACCIONES DEL DIA 09/25/2018SPYRAL - GESTION ADMINISTRATIVA</t>
  </si>
  <si>
    <t>PAGO NOMINA QUINCENA 2 OCTUBRE 2018</t>
  </si>
  <si>
    <t>TRANSACCIONES DEL DIA 10/25/2018 RECURSOS HUMANOS</t>
  </si>
  <si>
    <t>PAGO NOMINA QUINCENA 2 NOVIEMBRE 2018</t>
  </si>
  <si>
    <t>TRANSACCIONES DEL DIA 11/24/2018 RECURSOS HUMANOS</t>
  </si>
  <si>
    <t>TRANSACCIONES DEL DIA 11/24/2018SPYRAL - GESTION ADMINISTRATIVA</t>
  </si>
  <si>
    <t>PAGO NOMINA QUINCENA 1 JUNIO 2018</t>
  </si>
  <si>
    <t>TRANSACCIONES DEL DIA 06/09/2018 RECURSOS HUMANOS</t>
  </si>
  <si>
    <t>PAGO NOMINA QUINCENA 2 DICIEMBRE 2018</t>
  </si>
  <si>
    <t>TRANSACCIONES DEL DIA 12/19/2018 RECURSOS HUMANOS</t>
  </si>
  <si>
    <t>TRANSACCIONES DEL DIA 12/19/2018SPYRAL - GESTION ADMINISTRATIVA</t>
  </si>
  <si>
    <t>PAGO NOMINA QUINCENA 1 JULIO 2018</t>
  </si>
  <si>
    <t>TRANSACCIONES DEL DIA 07/10/2018 RECURSOS HUMANOS</t>
  </si>
  <si>
    <t>TRANSACCIONES DEL DIA 07/10/2018SPYRAL - GESTION ADMINISTRATIVA</t>
  </si>
  <si>
    <t>TRANSACCIONES DEL DIA 08/10/2018SPYRAL - GESTION ADMINISTRATIVA</t>
  </si>
  <si>
    <t>PAGO NOMINA QUINCENA 1 AGOSTO 2018</t>
  </si>
  <si>
    <t>TRANSACCIONES DEL DIA 08/10/2018 RECURSOS HUMANOS</t>
  </si>
  <si>
    <t>TRANSACCIONES DEL DIA 07/25/2018SPYRAL - GESTION ADMINISTRATIVA</t>
  </si>
  <si>
    <t>PAGO NOMINA QUINCENA 2 JULIO 2018</t>
  </si>
  <si>
    <t>TRANSACCIONES DEL DIA 07/25/2018 RECURSOS HUMANOS</t>
  </si>
  <si>
    <t>PAGO NOMINA QUINCENA 1 SEPTIEMBRE 2018</t>
  </si>
  <si>
    <t>TRANSACCIONES DEL DIA 09/10/2018 RECURSOS HUMANOS</t>
  </si>
  <si>
    <t>TRANSACCIONES DEL DIA 09/10/2018SPYRAL - GESTION ADMINISTRATIVA</t>
  </si>
  <si>
    <t>TRANSACCIONES DEL DIA 11/09/2018SPYRAL - GESTION ADMINISTRATIVA</t>
  </si>
  <si>
    <t>PAGO NOMINA QUINCENA 1 NOVIEMBRE 2018</t>
  </si>
  <si>
    <t>TRANSACCIONES DEL DIA 11/09/2018 RECURSOS HUMANOS</t>
  </si>
  <si>
    <t>TRANSACCIONES DEL DIA 12/10/2018SPYRAL - GESTION ADMINISTRATIVA</t>
  </si>
  <si>
    <t>PAGO NOMINA QUINCENA 1 DICIEMBRE 2018</t>
  </si>
  <si>
    <t>TRANSACCIONES DEL DIA 12/10/2018 RECURSOS HUMANOS</t>
  </si>
  <si>
    <t>TRANSACCIONES DEL DIA 07/19/2018SPYRAL - GESTION ADMINISTRATIVA</t>
  </si>
  <si>
    <t>PLANILLAS DE LIQUIDACIONES JUL 2018</t>
  </si>
  <si>
    <t>TRANSACCIONES DEL DIA 07/19/2018 RECURSOS HUMANOS</t>
  </si>
  <si>
    <t>TRANSACCIONES DEL DIA 06/05/2018SPYRAL - GESTION ADMINISTRATIVA</t>
  </si>
  <si>
    <t>PLANILLAS DE LIQUIDACIONES JUN 2018</t>
  </si>
  <si>
    <t>TRANSACCIONES DEL DIA 06/05/2018 RECURSOS HUMANOS</t>
  </si>
  <si>
    <t>TRANSACCIONES DEL DIA 06/27/2018 RECURSOS HUMANOS</t>
  </si>
  <si>
    <t>TRANSACCIONES DEL DIA 06/27/2018SPYRAL - GESTION ADMINISTRATIVA</t>
  </si>
  <si>
    <t>TRANSACCIONES DEL DIA 08/15/2018SPYRAL - GESTION ADMINISTRATIVA</t>
  </si>
  <si>
    <t>PLANILLAS DE LIQUIDACIONES AGO 2018</t>
  </si>
  <si>
    <t>TRANSACCIONES DEL DIA 08/15/2018 RECURSOS HUMANOS</t>
  </si>
  <si>
    <t>TRANSACCIONES DEL DIA 08/07/2018SPYRAL - GESTION ADMINISTRATIVA</t>
  </si>
  <si>
    <t>TRANSACCIONES DEL DIA 08/07/2018 RECURSOS HUMANOS</t>
  </si>
  <si>
    <t>TRANSACCIONES DEL DIA 11/29/2018SPYRAL - GESTION ADMINISTRATIVA</t>
  </si>
  <si>
    <t>PLANILLAS DE LIQUIDACIONES NOV 2018</t>
  </si>
  <si>
    <t>TRANSACCIONES DEL DIA 11/29/2018 RECURSOS HUMANOS</t>
  </si>
  <si>
    <t>TRANSACCIONES DEL DIA 07/26/2018SPYRAL - GESTION ADMINISTRATIVA</t>
  </si>
  <si>
    <t>TRANSACCIONES DEL DIA 07/26/2018 RECURSOS HUMANOS</t>
  </si>
  <si>
    <t>CORRECCION REG.20/07/2018 CENA</t>
  </si>
  <si>
    <t>TRANSACCIONES DEL DIA 12/14/2018SPYRAL - GESTION ADMINISTRATIVA</t>
  </si>
  <si>
    <t>PLANILLAS DE LIQUIDACIONES DIC 2018</t>
  </si>
  <si>
    <t>TRANSACCIONES DEL DIA 12/14/2018 RECURSOS HUMANOS</t>
  </si>
  <si>
    <t>TRANSACCIONES DEL DIA 08/03/2018SPYRAL - GESTION ADMINISTRATIVA</t>
  </si>
  <si>
    <t>TRANSACCIONES DEL DIA 08/03/2018 RECURSOS HUMANOS</t>
  </si>
  <si>
    <t>TRANSACCIONES DEL DIA 06/14/2018SPYRAL - GESTION ADMINISTRATIVA</t>
  </si>
  <si>
    <t>TRANSACCIONES DEL DIA 06/19/2018SPYRAL - GESTION ADMINISTRATIVA</t>
  </si>
  <si>
    <t>TRANSACCIONES DEL DIA 08/02/2018SPYRAL - GESTION ADMINISTRATIVA</t>
  </si>
  <si>
    <t>TRANSACCIONES DEL DIA 08/13/2018SPYRAL - GESTION ADMINISTRATIVA</t>
  </si>
  <si>
    <t>TRANSACCIONES DEL DIA 08/27/2018SPYRAL - GESTION ADMINISTRATIVA</t>
  </si>
  <si>
    <t>O/ING. EFECTIVO 18</t>
  </si>
  <si>
    <t>O/ING. EFECTIVO 1.P.O (OR:131/DES:131 TRN:32 PERF:300032E CAU: 1</t>
  </si>
  <si>
    <t>TRANSACCIONES DEL DIA 09/12/2018SPYRAL - GESTION ADMINISTRATIVA</t>
  </si>
  <si>
    <t>TRANSACCIONES DEL DIA 09/17/2018SPYRAL - GESTION ADMINISTRATIVA</t>
  </si>
  <si>
    <t>TRANSACCIONES DEL DIA 09/24/2018SPYRAL - GESTION ADMINISTRATIVA</t>
  </si>
  <si>
    <t>TRANSACCIONES DEL DIA 11/01/2018SPYRAL - GESTION ADMINISTRATIVA</t>
  </si>
  <si>
    <t>TRANSACCIONES DEL DIA 12/20/2018SPYRAL - GESTION ADMINISTRATIVA</t>
  </si>
  <si>
    <t>TRANSACCIONES DEL DIA 11/15/2018SPYRAL - GESTION ADMINISTRATIVA</t>
  </si>
  <si>
    <t>TRANSACCIONES DEL DIA 06/22/2018SPYRAL - GESTION ADMINISTRATIVA</t>
  </si>
  <si>
    <t>TRANSACCIONES DEL DIA 07/06/2018SPYRAL - GESTION ADMINISTRATIVA</t>
  </si>
  <si>
    <t>TRANSACCIONES DEL DIA 07/31/2018SPYRAL - GESTION ADMINISTRATIVA</t>
  </si>
  <si>
    <t>TRANSACCIONES DEL DIA 09/21/2018SPYRAL - GESTION ADMINISTRATIVA</t>
  </si>
  <si>
    <t>TRANSACCIONES DEL DIA 09/28/2018SPYRAL - GESTION ADMINISTRATIVA</t>
  </si>
  <si>
    <t>TRANSACCIONES DEL DIA 12/04/2018SPYRAL - GESTION ADMINISTRATIVA</t>
  </si>
  <si>
    <t>TRANSACCIONES DEL DIA 12/12/2018SPYRAL - GESTION ADMINISTRATIVA</t>
  </si>
  <si>
    <t>TRANSACCIONES DEL DIA 12/17/2018SPYRAL - GESTION ADMINISTRATIVA</t>
  </si>
  <si>
    <t>TRANSACCIONES DEL DIA 08/17/2018SPYRAL - GESTION ADMINISTRATIVA</t>
  </si>
  <si>
    <t>TRANSACCIONES DEL DIA 08/29/2018SPYRAL - GESTION ADMINISTRATIVA</t>
  </si>
  <si>
    <t>CORRIGE DIFERENCIA EN RECHAZO MODULO DE CONTABILIDAD</t>
  </si>
  <si>
    <t>PARA REGISTRAR CAJA</t>
  </si>
  <si>
    <t>INGRESO DE PAGO DE VIATICO DEL 27 DE AGOSTO DE 2018</t>
  </si>
  <si>
    <t>TRANSACCIONES DEL DIA 10/18/2018SPYRAL - GESTION ADMINISTRATIVA</t>
  </si>
  <si>
    <t>TRANSACCIONES DEL DIA 10/19/2018SPYRAL - GESTION ADMINISTRATIVA</t>
  </si>
  <si>
    <t>TRANSACCIONES DEL DIA 06/08/2018SPYRAL - GESTION ADMINISTRATIVA</t>
  </si>
  <si>
    <t>TRANSACCIONES DEL DIA 08/06/2018SPYRAL - GESTION ADMINISTRATIVA</t>
  </si>
  <si>
    <t>TRANSACCIONES DEL DIA 09/11/2018SPYRAL - GESTION ADMINISTRATIVA</t>
  </si>
  <si>
    <t>TRANSACCIONES DEL DIA 09/27/2018SPYRAL - GESTION ADMINISTRATIVA</t>
  </si>
  <si>
    <t>TRANSACCIONES DEL DIA 10/05/2018SPYRAL - GESTION ADMINISTRATIVA</t>
  </si>
  <si>
    <t>TRANSACCIONES DEL DIA 10/17/2018SPYRAL - GESTION ADMINISTRATIVA</t>
  </si>
  <si>
    <t>TRANSACCIONES DEL DIA 11/26/2018SPYRAL - GESTION ADMINISTRATIVA</t>
  </si>
  <si>
    <t>TRANSACCIONES DEL DIA 12/26/2018SPYRAL - GESTION ADMINISTRATIVA</t>
  </si>
  <si>
    <t>TRANSACCIONES DEL DIA 08/24/2018SPYRAL - GESTION ADMINISTRATIVA</t>
  </si>
  <si>
    <t>CORREGIMOS ENTRADA DEL 20 DE AGOSTO POR ERROR EN CAUSA. SE DEBIO</t>
  </si>
  <si>
    <t>REGISTRO DE ENTRADA DE CAJA</t>
  </si>
  <si>
    <t>CORRIGE ENTRADA DE GASTOS DE DECORACION DE FIESTAS PATRIAS 2018-</t>
  </si>
  <si>
    <t>SE CORRIGE ENTRADA DEL DIA 1 DE AGOSTO, SE UTILIZO LA CAUSA INCO</t>
  </si>
  <si>
    <t>CORRECCION DE ENTRADA DE PARTIDA DE FIESTAS PATRIAS</t>
  </si>
  <si>
    <t>EL 21 DE AGOSTO SE SACO EL PRESUPUESTO DE FISTAS PATRIAS POR CAU</t>
  </si>
  <si>
    <t>TRANSACCIONES DEL DIA 10/04/2018SPYRAL - GESTION ADMINISTRATIVA</t>
  </si>
  <si>
    <t>TRANSACCIONES DEL DIA 12/01/2018SPYRAL - GESTION ADMINISTRATIVA</t>
  </si>
  <si>
    <t>TRANSACCIONES DEL DIA 07/11/2018SPYRAL - GESTION ADMINISTRATIVA</t>
  </si>
  <si>
    <t>TRANSACCIONES DEL DIA 08/08/2018SPYRAL - GESTION ADMINISTRATIVA</t>
  </si>
  <si>
    <t>OTROS EGRESOS 1.P.O (OR:27/DES:27 TRN:86 PERF:300086 CAU: 18</t>
  </si>
  <si>
    <t>OTROS EGRESOS 1.P.O (OR:102/DES:102 TRN:86 PERF:300086 CAU: 18</t>
  </si>
  <si>
    <t>TRANSACCIONES DEL DIA 08/21/2018SPYRAL - GESTION ADMINISTRATIVA</t>
  </si>
  <si>
    <t>TRANSACCIONES DEL DIA 09/20/2018SPYRAL - GESTION ADMINISTRATIVA</t>
  </si>
  <si>
    <t>TRANSACCIONES DEL DIA 11/20/2018SPYRAL - GESTION ADMINISTRATIVA</t>
  </si>
  <si>
    <t>TRANSACCIONES DEL DIA 06/07/2018SPYRAL - GESTION ADMINISTRATIVA</t>
  </si>
  <si>
    <t>TRANSACCIONES DEL DIA 07/04/2018SPYRAL - GESTION ADMINISTRATIVA</t>
  </si>
  <si>
    <t>TRANSACCIONES DEL DIA 09/13/2018SPYRAL - GESTION ADMINISTRATIVA</t>
  </si>
  <si>
    <t>TRANSACCIONES DEL DIA 07/28/2018SPYRAL - GESTION ADMINISTRATIVA</t>
  </si>
  <si>
    <t>TRANSACCIONES DEL DIA 09/03/2018SPYRAL - GESTION ADMINISTRATIVA</t>
  </si>
  <si>
    <t>TRANSACCIONES DEL DIA 08/11/2018SPYRAL - GESTION ADMINISTRATIVA</t>
  </si>
  <si>
    <t>TRANSACCIONES DEL DIA 06/01/2018SPYRAL - GESTION ADMINISTRATIVA</t>
  </si>
  <si>
    <t>TRANSACCIONES DEL DIA 07/12/2018SPYRAL - GESTION ADMINISTRATIVA</t>
  </si>
  <si>
    <t>TRANSACCIONES DEL DIA 11/12/2018SPYRAL - GESTION ADMINISTRATIVA</t>
  </si>
  <si>
    <t>TRANSACCIONES DEL DIA 12/18/2018SPYRAL - GESTION ADMINISTRATIVA</t>
  </si>
  <si>
    <t>TRANSACCIONES DEL DIA 08/01/2018SPYRAL - GESTION ADMINISTRATIVA</t>
  </si>
  <si>
    <t>TRANSACCIONES DEL DIA 08/20/2018SPYRAL - GESTION ADMINISTRATIVA</t>
  </si>
  <si>
    <t>TRANSACCIONES DEL DIA 11/02/2018SPYRAL - GESTION ADMINISTRATIVA</t>
  </si>
  <si>
    <t>TRANSACCIONES DEL DIA 11/16/2018SPYRAL - GESTION ADMINISTRATIVA</t>
  </si>
  <si>
    <t>TRANSACCIONES DEL DIA 09/26/2018SPYRAL - GESTION ADMINISTRATIVA</t>
  </si>
  <si>
    <t>TRANSACCIONES DEL DIA 08/23/2018SPYRAL - GESTION ADMINISTRATIVA</t>
  </si>
  <si>
    <t>TRANSACCIONES DEL DIA 09/01/2018SPYRAL - GESTION ADMINISTRATIVA</t>
  </si>
  <si>
    <t>TRANSACCIONES DEL DIA 09/05/2018SPYRAL - GESTION ADMINISTRATIVA</t>
  </si>
  <si>
    <t>TRANSACCIONES DEL DIA 10/13/2018SPYRAL - GESTION ADMINISTRATIVA</t>
  </si>
  <si>
    <t>TRANSACCIONES DEL DIA 12/03/2018SPYRAL - GESTION ADMINISTRATIVA</t>
  </si>
  <si>
    <t>TRANSACCIONES DEL DIA 06/21/2018SPYRAL - GESTION ADMINISTRATIVA</t>
  </si>
  <si>
    <t>TRANSACCIONES DEL DIA 06/11/2018SPYRAL - GESTION ADMINISTRATIVA</t>
  </si>
  <si>
    <t>TRANSACCIONES DEL DIA 07/02/2018SPYRAL - GESTION ADMINISTRATIVA</t>
  </si>
  <si>
    <t>TRANSACCIONES DEL DIA 07/09/2018SPYRAL - GESTION ADMINISTRATIVA</t>
  </si>
  <si>
    <t>TRANSACCIONES DEL DIA 07/18/2018SPYRAL - GESTION ADMINISTRATIVA</t>
  </si>
  <si>
    <t>TRANSACCIONES DEL DIA 09/14/2018SPYRAL - GESTION ADMINISTRATIVA</t>
  </si>
  <si>
    <t>TRANSACCIONES DEL DIA 10/01/2018SPYRAL - GESTION ADMINISTRATIVA</t>
  </si>
  <si>
    <t>TRANSACCIONES DEL DIA 10/11/2018SPYRAL - GESTION ADMINISTRATIVA</t>
  </si>
  <si>
    <t>TRANSACCIONES DEL DIA 10/22/2018SPYRAL - GESTION ADMINISTRATIVA</t>
  </si>
  <si>
    <t>TRANSACCIONES DEL DIA 12/06/2018SPYRAL - GESTION ADMINISTRATIVA</t>
  </si>
  <si>
    <t>TRANSACCIONES DEL DIA 07/27/2018SPYRAL - GESTION ADMINISTRATIVA</t>
  </si>
  <si>
    <t>TRANSACCIONES DEL DIA 11/07/2018SPYRAL - GESTION ADMINISTRATIVA</t>
  </si>
  <si>
    <t>TRANSACCIONES DEL DIA 12/27/2018SPYRAL - GESTION ADMINISTRATIVA</t>
  </si>
  <si>
    <t>TRANSACCIONES DEL DIA 08/28/2018SPYRAL - GESTION ADMINISTRATIVA</t>
  </si>
  <si>
    <t>TRANSACCIONES DEL DIA 10/15/2018SPYRAL - GESTION ADMINISTRATIVA</t>
  </si>
  <si>
    <t>TRANSACCIONES DEL DIA 12/21/2018SPYRAL - GESTION ADMINISTRATIVA</t>
  </si>
  <si>
    <t>TRANSACCIONES DEL DIA 07/17/2018SPYRAL - GESTION ADMINISTRATIVA</t>
  </si>
  <si>
    <t>TRANSACCIONES DEL DIA 08/18/2018SPYRAL - GESTION ADMINISTRATIVA</t>
  </si>
  <si>
    <t>TRANSACCIONES DEL DIA 08/30/2018SPYRAL - GESTION ADMINISTRATIVA</t>
  </si>
  <si>
    <t>TRANSACCIONES DEL DIA 06/06/2018SPYRAL - GESTION ADMINISTRATIVA</t>
  </si>
  <si>
    <t>TRANSACCIONES DEL DIA 06/15/2018SPYRAL - GESTION ADMINISTRATIVA</t>
  </si>
  <si>
    <t>TRANSACCIONES DEL DIA 08/09/2018SPYRAL - GESTION ADMINISTRATIVA</t>
  </si>
  <si>
    <t>TRANSACCIONES DEL DIA 12/22/2018SPYRAL - GESTION ADMINISTRATIVA</t>
  </si>
  <si>
    <t>TRANSACCIONES DEL DIA 06/26/2018SPYRAL - GESTION ADMINISTRATIVA</t>
  </si>
  <si>
    <t>TRANSACCIONES DEL DIA 06/29/2018SPYRAL - GESTION ADMINISTRATIVA</t>
  </si>
  <si>
    <t>TRANSACCIONES DEL DIA 06/18/2018SPYRAL - GESTION ADMINISTRATIVA</t>
  </si>
  <si>
    <t>O/ING. EFECTIVO 1.P.O (OR:26/DES:26 TRN:32 PERF:300032E CAU: 18</t>
  </si>
  <si>
    <t>TRANSACCIONES DEL DIA 07/20/2018SPYRAL - GESTION ADMINISTRATIVA</t>
  </si>
  <si>
    <t>ALIMENTACION DE EMPLEADOS</t>
  </si>
  <si>
    <t>TRANSACCIONES DEL DIA 08/16/2018SPYRAL - GESTION ADMINISTRATIVA</t>
  </si>
  <si>
    <t>TRANSACCIONES DEL DIA 11/06/2018SPYRAL - GESTION ADMINISTRATIVA</t>
  </si>
  <si>
    <t>TRANSACCIONES DEL DIA 10/03/2018SPYRAL - GESTION ADMINISTRATIVA</t>
  </si>
  <si>
    <t>TRANSACCIONES DEL DIA 10/23/2018SPYRAL - GESTION ADMINISTRATIVA</t>
  </si>
  <si>
    <t>TRANSACCIONES DEL DIA 06/13/2018SPYRAL - GESTION ADMINISTRATIVA</t>
  </si>
  <si>
    <t>TRANSACCIONES DEL DIA 10/08/2018SPYRAL - GESTION ADMINISTRATIVA</t>
  </si>
  <si>
    <t>TRANSACCIONES DEL DIA 10/09/2018SPYRAL - GESTION ADMINISTRATIVA</t>
  </si>
  <si>
    <t>TRANSACCIONES DEL DIA 10/12/2018SPYRAL - GESTION ADMINISTRATIVA</t>
  </si>
  <si>
    <t>TRANSACCIONES DEL DIA 10/27/2018SPYRAL - GESTION ADMINISTRATIVA</t>
  </si>
  <si>
    <t>TRANSACCIONES DEL DIA 11/22/2018SPYRAL - GESTION ADMINISTRATIVA</t>
  </si>
  <si>
    <t>TRANSACCIONES DEL DIA 11/30/2018SPYRAL - GESTION ADMINISTRATIVA</t>
  </si>
  <si>
    <t>TRANSACCIONES DEL DIA 11/13/2018SPYRAL - GESTION ADMINISTRATIVA</t>
  </si>
  <si>
    <t>TRANSACCIONES DEL DIA 09/22/2018SPYRAL - GESTION ADMINISTRATIVA</t>
  </si>
  <si>
    <t>TRANSACCIONES DEL DIA 12/13/2018SPYRAL - GESTION ADMINISTRATIVA</t>
  </si>
  <si>
    <t>TRANSACCIONES DEL DIA 12/28/2018SPYRAL - GESTION ADMINISTRATIVA</t>
  </si>
  <si>
    <t>TRANSACCIONES DEL DIA 06/28/2018SPYRAL - GESTION ADMINISTRATIVA</t>
  </si>
  <si>
    <t>TRANSACCIONES DEL DIA 08/31/2018SPYRAL - GESTION ADMINISTRATIVA</t>
  </si>
  <si>
    <t>TRANSACCIONES DEL DIA 09/07/2018SPYRAL - GESTION ADMINISTRATIVA</t>
  </si>
  <si>
    <t>TRANSACCIONES DEL DIA 06/23/2018SPYRAL - GESTION ADMINISTRATIVA</t>
  </si>
  <si>
    <t>TRANSACCIONES DEL DIA 07/21/2018SPYRAL - GESTION ADMINISTRATIVA</t>
  </si>
  <si>
    <t>TRANSACCIONES DEL DIA 08/14/2018SPYRAL - GESTION ADMINISTRATIVA</t>
  </si>
  <si>
    <t>TRANSACCIONES DEL DIA 10/26/2018SPYRAL - GESTION ADMINISTRATIVA</t>
  </si>
  <si>
    <t>TRANSACCIONES DEL DIA 07/30/2018SPYRAL - GESTION ADMINISTRATIVA</t>
  </si>
  <si>
    <t>TRANSACCIONES DEL DIA 11/19/2018SPYRAL - GESTION ADMINISTRATIVA</t>
  </si>
  <si>
    <t>TRANSACCIONES DEL DIA 09/04/2018SPYRAL - GESTION ADMINISTRATIVA</t>
  </si>
  <si>
    <t>TRANSACCIONES DEL DIA 11/21/2018SPYRAL - GESTION ADMINISTRATIVA</t>
  </si>
  <si>
    <t>TRANSACCIONES DEL DIA 10/24/2018SPYRAL - GESTION ADMINISTRATIVA</t>
  </si>
  <si>
    <t>TRANSACCIONES DEL DIA 06/12/2018SPYRAL - GESTION ADMINISTRATIVA</t>
  </si>
  <si>
    <t>TRANSACCIONES DEL DIA 06/20/2018SPYRAL - GESTION ADMINISTRATIVA</t>
  </si>
  <si>
    <t>TRANSACCIONES DEL DIA 11/08/2018SPYRAL - GESTION ADMINISTRATIVA</t>
  </si>
  <si>
    <t>TRANSACCIONES DEL DIA 07/03/2018SPYRAL - GESTION ADMINISTRATIVA</t>
  </si>
  <si>
    <t>TRANSACCIONES DEL DIA 07/24/2018SPYRAL - GESTION ADMINISTRATIVA</t>
  </si>
  <si>
    <t>TRANSACCIONES DEL DIA 08/22/2018SPYRAL - GESTION ADMINISTRATIVA</t>
  </si>
  <si>
    <t>TRANSACCIONES DEL DIA 07/13/2018SPYRAL - GESTION ADMINISTRATIVA</t>
  </si>
  <si>
    <t>TRANSACCIONES DEL DIA 11/27/2018SPYRAL - GESTION ADMINISTRATIVA</t>
  </si>
  <si>
    <t>TRANSACCIONES DEL DIA 12/11/2018SPYRAL - GESTION ADMINISTRATIVA</t>
  </si>
  <si>
    <t>TRANSACCIONES DEL DIA 12/24/2018SPYRAL - GESTION ADMINISTRATIVA</t>
  </si>
  <si>
    <t>TRANSACCIONES DEL DIA 11/23/2018SPYRAL - GESTION ADMINISTRATIVA</t>
  </si>
  <si>
    <t>TRANSACCIONES DEL DIA 09/18/2018SPYRAL - GESTION ADMINISTRATIVA</t>
  </si>
  <si>
    <t>TRANSACCIONES DEL DIA 12/07/2018SPYRAL - GESTION ADMINISTRATIVA</t>
  </si>
  <si>
    <t>TRANSACCIONES DEL DIA 09/06/2018SPYRAL - GESTION ADMINISTRATIVA</t>
  </si>
  <si>
    <t>TRANSACCIONES DEL DIA 06/16/2018SPYRAL - GESTION ADMINISTRATIVA</t>
  </si>
  <si>
    <t>TRANSACCIONES DEL DIA 06/02/2018SPYRAL - GESTION ADMINISTRATIVA</t>
  </si>
  <si>
    <t>TRANSACCIONES DEL DIA 10/02/2018SPYRAL - GESTION ADMINISTRATIVA</t>
  </si>
  <si>
    <t>TRANSACCIONES DEL DIA 10/16/2018SPYRAL - GESTION ADMINISTRATIVA</t>
  </si>
  <si>
    <t>TRANSACCIONES DEL DIA 12/05/2018SPYRAL - GESTION ADMINISTRATIVA</t>
  </si>
  <si>
    <t>TRANSACCIONES DEL DIA 09/08/2018SPYRAL - GESTION ADMINISTRATIVA</t>
  </si>
  <si>
    <t>TRANSACCIONES DEL DIA 07/14/2018SPYRAL - GESTION ADMINISTRATIVA</t>
  </si>
  <si>
    <t>TRANSACCIONES DEL DIA 07/23/2018SPYRAL - GESTION ADMINISTRATIVA</t>
  </si>
  <si>
    <t>TRANSACCIONES DEL DIA 09/19/2018SPYRAL - GESTION ADMINISTRATIVA</t>
  </si>
  <si>
    <t>TRANSACCIONES DEL DIA 10/29/2018SPYRAL - GESTION ADMINISTRATIVA</t>
  </si>
  <si>
    <t>TRANSACCIONES DEL DIA 07/05/2018SPYRAL - GESTION ADMINISTRATIVA</t>
  </si>
  <si>
    <t>TRANSACCIONES DEL DIA 11/14/2018SPYRAL - GESTION ADMINISTRATIVA</t>
  </si>
  <si>
    <t>TRANSACCIONES DEL DIA 07/16/2018SPYRAL - GESTION ADMINISTRATIVA</t>
  </si>
  <si>
    <t>OTROS EGRESOS 1.P.O (OR:53/DES:53 TRN:86 PERF:300086 CAU: 17</t>
  </si>
  <si>
    <t>TRANSACCIONES DEL DIA 06/04/2018SPYRAL - GESTION ADMINISTRATIVA</t>
  </si>
  <si>
    <t>Año:</t>
  </si>
  <si>
    <t>Mes:</t>
  </si>
  <si>
    <t>Seleccione…</t>
  </si>
  <si>
    <t>Disponible</t>
  </si>
  <si>
    <t>Gastado#1</t>
  </si>
  <si>
    <t>Gastado#2</t>
  </si>
  <si>
    <t>Reconocimiento</t>
  </si>
  <si>
    <t>Sucursal:</t>
  </si>
  <si>
    <t>Gerente:</t>
  </si>
  <si>
    <t>0</t>
  </si>
  <si>
    <t>Todos los meses</t>
  </si>
  <si>
    <t>Lista Meses:</t>
  </si>
  <si>
    <t>Lista Años:</t>
  </si>
  <si>
    <t>Ultimo Mes:</t>
  </si>
  <si>
    <t>Ultimo Año: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</si>
</sst>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5" formatCode="&quot;$&quot;#,##0_);\(&quot;$&quot;#,##0\)"/>
    <numFmt numFmtId="6" formatCode="&quot;$&quot;#,##0_);[Red]\(&quot;$&quot;#,##0\)"/>
    <numFmt numFmtId="8" formatCode="&quot;$&quot;#,##0.00_);[Red]\(&quot;$&quot;#,##0.00\)"/>
    <numFmt numFmtId="44" formatCode="_(&quot;$&quot;* #,##0.00_);_(&quot;$&quot;* \(#,##0.00\);_(&quot;$&quot;* &quot;-&quot;??_);_(@_)"/>
    <numFmt numFmtId="164" formatCode="0.0"/>
    <numFmt numFmtId="165" formatCode=";;;"/>
    <numFmt numFmtId="166" formatCode="0.0%"/>
    <numFmt numFmtId="167" formatCode="&quot;$&quot;#,##0;[Red]&quot;$&quot;#,##0"/>
  </numFmts>
  <fonts count="43" x14ac:knownFonts="1">
    <font>
      <sz val="11"/>
      <color theme="1"/>
      <name val="Calibri"/>
      <family val="2"/>
      <scheme val="minor"/>
    </font>
    <font>
      <sz val="10"/>
      <name val="Arial"/>
      <family val="2"/>
    </font>
    <font>
      <sz val="13"/>
      <name val="Tahoma"/>
      <family val="2"/>
    </font>
    <font>
      <b/>
      <sz val="11"/>
      <name val="Tahoma"/>
      <family val="2"/>
    </font>
    <font>
      <b/>
      <sz val="11"/>
      <color theme="3"/>
      <name val="Tahoma"/>
      <family val="2"/>
    </font>
    <font>
      <sz val="10"/>
      <color theme="3"/>
      <name val="Arial"/>
      <family val="2"/>
    </font>
    <font>
      <sz val="11"/>
      <name val="Tahoma"/>
      <family val="2"/>
    </font>
    <font>
      <sz val="7"/>
      <color indexed="14"/>
      <name val="Verdana"/>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1" tint="0.14999847407452621"/>
      <name val="Calibri"/>
      <family val="2"/>
      <scheme val="minor"/>
    </font>
    <font>
      <b/>
      <sz val="20"/>
      <color theme="1" tint="0.14999847407452621"/>
      <name val="Bookman Old Style"/>
      <family val="1"/>
    </font>
    <font>
      <sz val="16"/>
      <color theme="1"/>
      <name val="Calibri"/>
      <family val="2"/>
      <scheme val="minor"/>
    </font>
    <font>
      <sz val="13"/>
      <color theme="4" tint="0.79998168889431442"/>
      <name val="Calibri"/>
      <family val="2"/>
      <scheme val="minor"/>
    </font>
    <font>
      <sz val="13"/>
      <color theme="1"/>
      <name val="Calibri"/>
      <family val="2"/>
      <scheme val="minor"/>
    </font>
    <font>
      <sz val="15"/>
      <color theme="1" tint="0.34998626667073579"/>
      <name val="Arial"/>
      <family val="2"/>
    </font>
    <font>
      <b/>
      <sz val="14"/>
      <color theme="1"/>
      <name val="Webdings"/>
      <family val="1"/>
      <charset val="2"/>
    </font>
    <font>
      <b/>
      <sz val="16"/>
      <color theme="1" tint="0.34998626667073579"/>
      <name val="Webdings"/>
      <family val="1"/>
      <charset val="2"/>
    </font>
    <font>
      <b/>
      <sz val="18"/>
      <color theme="1"/>
      <name val="Calibri"/>
      <family val="2"/>
    </font>
    <font>
      <sz val="13"/>
      <color theme="1" tint="0.249977111117893"/>
      <name val="Arial"/>
      <family val="2"/>
    </font>
    <font>
      <sz val="14"/>
      <color theme="1" tint="0.249977111117893"/>
      <name val="Arial"/>
      <family val="2"/>
    </font>
    <font>
      <b/>
      <sz val="11"/>
      <color theme="1"/>
      <name val="Arial"/>
      <family val="2"/>
    </font>
    <font>
      <b/>
      <sz val="18"/>
      <color theme="1" tint="0.34998626667073579"/>
      <name val="Arial"/>
      <family val="2"/>
    </font>
    <font>
      <sz val="18"/>
      <color theme="1" tint="0.34998626667073579"/>
      <name val="Arial"/>
      <family val="2"/>
    </font>
    <font>
      <sz val="14"/>
      <color theme="1"/>
      <name val="Calibri"/>
      <family val="2"/>
      <scheme val="minor"/>
    </font>
    <font>
      <b/>
      <sz val="20"/>
      <color theme="0"/>
      <name val="Calibri"/>
      <family val="2"/>
      <scheme val="minor"/>
    </font>
    <font>
      <b/>
      <sz val="20"/>
      <color theme="1"/>
      <name val="Calibri"/>
      <family val="2"/>
      <scheme val="minor"/>
    </font>
    <font>
      <b/>
      <sz val="17"/>
      <color theme="1"/>
      <name val="Webdings"/>
      <family val="1"/>
      <charset val="2"/>
    </font>
    <font>
      <sz val="13"/>
      <name val="Arial"/>
      <family val="2"/>
    </font>
    <font>
      <sz val="14"/>
      <name val="Arial"/>
      <family val="2"/>
    </font>
    <font>
      <sz val="14"/>
      <color theme="1"/>
      <name val="Arial"/>
      <family val="2"/>
    </font>
    <font>
      <b/>
      <sz val="20"/>
      <color rgb="FF00B0F0"/>
      <name val="Webdings"/>
      <family val="1"/>
      <charset val="2"/>
    </font>
    <font>
      <sz val="11"/>
      <color rgb="FF00B0F0"/>
      <name val="Webdings"/>
      <family val="1"/>
      <charset val="2"/>
    </font>
    <font>
      <sz val="11.5"/>
      <color theme="1" tint="0.14999847407452621"/>
      <name val="Arial"/>
      <family val="2"/>
    </font>
    <font>
      <sz val="1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12"/>
      <color theme="1"/>
      <name val="Calibri"/>
      <family val="2"/>
      <scheme val="minor"/>
    </font>
    <font>
      <b/>
      <sz val="14"/>
      <color theme="1"/>
      <name val="Calibri"/>
      <family val="2"/>
      <scheme val="minor"/>
    </font>
    <font>
      <sz val="14"/>
      <color theme="0"/>
      <name val="Calibri"/>
      <family val="2"/>
      <scheme val="minor"/>
    </font>
    <font>
      <sz val="11"/>
      <color rgb="FF000000"/>
      <name val="Calibri"/>
      <family val="2"/>
    </font>
  </fonts>
  <fills count="10">
    <fill>
      <patternFill patternType="none"/>
    </fill>
    <fill>
      <patternFill patternType="gray125"/>
    </fill>
    <fill>
      <patternFill patternType="solid">
        <fgColor indexed="2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theme="7" tint="0.79998168889431442"/>
        <bgColor indexed="64"/>
      </patternFill>
    </fill>
  </fills>
  <borders count="2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79998168889431442"/>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dotted">
        <color auto="1"/>
      </left>
      <right style="dotted">
        <color auto="1"/>
      </right>
      <top style="dotted">
        <color auto="1"/>
      </top>
      <bottom style="dotted">
        <color auto="1"/>
      </bottom>
      <diagonal/>
    </border>
    <border>
      <left style="medium">
        <color theme="0" tint="-0.249977111117893"/>
      </left>
      <right/>
      <top style="medium">
        <color theme="0" tint="-0.249977111117893"/>
      </top>
      <bottom/>
      <diagonal/>
    </border>
    <border>
      <left/>
      <right/>
      <top style="medium">
        <color theme="0" tint="-0.249977111117893"/>
      </top>
      <bottom/>
      <diagonal/>
    </border>
    <border>
      <left/>
      <right style="medium">
        <color theme="0" tint="-0.249977111117893"/>
      </right>
      <top style="medium">
        <color theme="0" tint="-0.249977111117893"/>
      </top>
      <bottom/>
      <diagonal/>
    </border>
    <border>
      <left style="medium">
        <color theme="0" tint="-0.249977111117893"/>
      </left>
      <right/>
      <top/>
      <bottom/>
      <diagonal/>
    </border>
    <border>
      <left/>
      <right style="medium">
        <color theme="0" tint="-0.249977111117893"/>
      </right>
      <top/>
      <bottom/>
      <diagonal/>
    </border>
    <border>
      <left style="medium">
        <color theme="0" tint="-0.249977111117893"/>
      </left>
      <right/>
      <top/>
      <bottom style="medium">
        <color theme="0" tint="-0.249977111117893"/>
      </bottom>
      <diagonal/>
    </border>
    <border>
      <left/>
      <right/>
      <top/>
      <bottom style="medium">
        <color theme="0" tint="-0.249977111117893"/>
      </bottom>
      <diagonal/>
    </border>
    <border>
      <left/>
      <right style="medium">
        <color theme="0" tint="-0.249977111117893"/>
      </right>
      <top/>
      <bottom style="medium">
        <color theme="0" tint="-0.249977111117893"/>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 fillId="0" borderId="0"/>
    <xf numFmtId="44" fontId="38" fillId="0" borderId="0" applyFont="0" applyFill="0" applyBorder="0" applyAlignment="0" applyProtection="0"/>
    <xf numFmtId="9" fontId="38" fillId="0" borderId="0" applyFont="0" applyFill="0" applyBorder="0" applyAlignment="0" applyProtection="0"/>
  </cellStyleXfs>
  <cellXfs count="169">
    <xf numFmtId="0" fontId="0" fillId="0" borderId="0" xfId="0"/>
    <xf numFmtId="0" fontId="2" fillId="0" borderId="0" xfId="1" applyFont="1" applyAlignment="1">
      <alignment horizontal="left" indent="5"/>
    </xf>
    <xf numFmtId="0" fontId="1" fillId="0" borderId="0" xfId="1"/>
    <xf numFmtId="0" fontId="3" fillId="0" borderId="0" xfId="1" applyFont="1" applyAlignment="1">
      <alignment horizontal="right"/>
    </xf>
    <xf numFmtId="164" fontId="3" fillId="0" borderId="0" xfId="1" applyNumberFormat="1" applyFont="1" applyAlignment="1">
      <alignment horizontal="left"/>
    </xf>
    <xf numFmtId="0" fontId="4" fillId="0" borderId="0" xfId="1" applyFont="1" applyAlignment="1"/>
    <xf numFmtId="0" fontId="5" fillId="0" borderId="0" xfId="1" applyFont="1"/>
    <xf numFmtId="0" fontId="6" fillId="0" borderId="0" xfId="1" applyFont="1" applyAlignment="1"/>
    <xf numFmtId="0" fontId="6" fillId="0" borderId="0" xfId="1" applyFont="1" applyAlignment="1">
      <alignment horizontal="left" indent="1"/>
    </xf>
    <xf numFmtId="0" fontId="3" fillId="0" borderId="0" xfId="1" applyFont="1" applyAlignment="1"/>
    <xf numFmtId="0" fontId="6" fillId="0" borderId="4" xfId="1" applyFont="1" applyBorder="1" applyAlignment="1"/>
    <xf numFmtId="0" fontId="1" fillId="0" borderId="0" xfId="1" applyBorder="1"/>
    <xf numFmtId="0" fontId="1" fillId="0" borderId="5" xfId="1" applyBorder="1"/>
    <xf numFmtId="0" fontId="6" fillId="0" borderId="6" xfId="1" applyFont="1" applyBorder="1" applyAlignment="1">
      <alignment horizontal="left" indent="1"/>
    </xf>
    <xf numFmtId="0" fontId="1" fillId="0" borderId="7" xfId="1" applyBorder="1"/>
    <xf numFmtId="0" fontId="6" fillId="0" borderId="4" xfId="1" applyFont="1" applyBorder="1" applyAlignment="1">
      <alignment horizontal="left" indent="1"/>
    </xf>
    <xf numFmtId="0" fontId="7" fillId="0" borderId="0" xfId="1" applyFont="1" applyBorder="1"/>
    <xf numFmtId="0" fontId="1" fillId="0" borderId="4" xfId="1" applyBorder="1"/>
    <xf numFmtId="0" fontId="1" fillId="0" borderId="8" xfId="1" applyBorder="1"/>
    <xf numFmtId="0" fontId="1" fillId="0" borderId="9" xfId="1" applyBorder="1"/>
    <xf numFmtId="0" fontId="1" fillId="0" borderId="10" xfId="1" applyBorder="1"/>
    <xf numFmtId="0" fontId="0" fillId="3" borderId="0" xfId="0" applyFill="1" applyProtection="1"/>
    <xf numFmtId="0" fontId="0" fillId="0" borderId="0" xfId="0" applyFill="1" applyProtection="1"/>
    <xf numFmtId="0" fontId="0" fillId="0" borderId="0" xfId="0" applyFill="1" applyAlignment="1">
      <alignment vertical="center"/>
    </xf>
    <xf numFmtId="0" fontId="11" fillId="0" borderId="0" xfId="0" applyFont="1" applyFill="1" applyAlignment="1">
      <alignment vertical="center"/>
    </xf>
    <xf numFmtId="0" fontId="12" fillId="0" borderId="0" xfId="0" applyFont="1" applyFill="1" applyAlignment="1">
      <alignment vertical="center"/>
    </xf>
    <xf numFmtId="0" fontId="0" fillId="0" borderId="0" xfId="0" applyAlignment="1">
      <alignment vertical="center"/>
    </xf>
    <xf numFmtId="165" fontId="0" fillId="0" borderId="0" xfId="0" applyNumberFormat="1" applyProtection="1">
      <protection locked="0"/>
    </xf>
    <xf numFmtId="0" fontId="0" fillId="4" borderId="0" xfId="0" applyFill="1"/>
    <xf numFmtId="0" fontId="13" fillId="4" borderId="0" xfId="0" applyFont="1" applyFill="1" applyAlignment="1">
      <alignment horizontal="center" vertical="center"/>
    </xf>
    <xf numFmtId="165" fontId="13" fillId="4" borderId="0" xfId="0" applyNumberFormat="1" applyFont="1" applyFill="1" applyAlignment="1">
      <alignment horizontal="left" vertical="center"/>
    </xf>
    <xf numFmtId="165" fontId="0" fillId="4" borderId="0" xfId="0" applyNumberFormat="1" applyFill="1" applyAlignment="1">
      <alignment horizontal="left"/>
    </xf>
    <xf numFmtId="0" fontId="10" fillId="4" borderId="0" xfId="0" applyFont="1" applyFill="1" applyBorder="1" applyAlignment="1" applyProtection="1">
      <alignment horizontal="left" vertical="center" indent="1"/>
    </xf>
    <xf numFmtId="165" fontId="14" fillId="4" borderId="0" xfId="0" applyNumberFormat="1" applyFont="1" applyFill="1" applyBorder="1" applyAlignment="1" applyProtection="1"/>
    <xf numFmtId="165" fontId="15" fillId="4" borderId="0" xfId="0" applyNumberFormat="1" applyFont="1" applyFill="1" applyBorder="1" applyAlignment="1" applyProtection="1"/>
    <xf numFmtId="0" fontId="0" fillId="4" borderId="0" xfId="0" applyFill="1" applyProtection="1"/>
    <xf numFmtId="0" fontId="10" fillId="4" borderId="0" xfId="0" applyFont="1" applyFill="1" applyAlignment="1" applyProtection="1">
      <alignment horizontal="left" vertical="center" indent="1"/>
    </xf>
    <xf numFmtId="0" fontId="17" fillId="4" borderId="0" xfId="0" applyFont="1" applyFill="1" applyBorder="1" applyAlignment="1" applyProtection="1">
      <alignment horizontal="center" vertical="center"/>
    </xf>
    <xf numFmtId="0" fontId="17" fillId="3" borderId="0" xfId="0" applyFont="1" applyFill="1" applyBorder="1" applyAlignment="1" applyProtection="1">
      <alignment horizontal="center" vertical="center"/>
    </xf>
    <xf numFmtId="0" fontId="19" fillId="4" borderId="0" xfId="0" applyFont="1" applyFill="1" applyAlignment="1">
      <alignment horizontal="center" vertical="center"/>
    </xf>
    <xf numFmtId="0" fontId="20" fillId="3" borderId="11" xfId="0" applyFont="1" applyFill="1" applyBorder="1" applyAlignment="1" applyProtection="1">
      <alignment horizontal="left" vertical="center" indent="1"/>
    </xf>
    <xf numFmtId="0" fontId="21" fillId="3" borderId="0" xfId="0" applyFont="1" applyFill="1" applyBorder="1" applyAlignment="1" applyProtection="1">
      <alignment horizontal="center" vertical="center"/>
    </xf>
    <xf numFmtId="0" fontId="22" fillId="5" borderId="0" xfId="0" applyFont="1" applyFill="1" applyBorder="1" applyAlignment="1" applyProtection="1">
      <alignment vertical="center"/>
    </xf>
    <xf numFmtId="0" fontId="23" fillId="5" borderId="0" xfId="0" applyFont="1" applyFill="1" applyBorder="1" applyAlignment="1" applyProtection="1">
      <alignment vertical="center"/>
    </xf>
    <xf numFmtId="0" fontId="10" fillId="5" borderId="0" xfId="0" applyFont="1" applyFill="1" applyBorder="1" applyAlignment="1" applyProtection="1">
      <alignment vertical="center"/>
    </xf>
    <xf numFmtId="0" fontId="20" fillId="3" borderId="0" xfId="0" applyFont="1" applyFill="1" applyBorder="1" applyAlignment="1" applyProtection="1">
      <alignment horizontal="left" vertical="center" indent="1"/>
    </xf>
    <xf numFmtId="0" fontId="24" fillId="5" borderId="0" xfId="0" applyFont="1" applyFill="1" applyBorder="1" applyAlignment="1" applyProtection="1">
      <alignment vertical="center"/>
    </xf>
    <xf numFmtId="166" fontId="24" fillId="5" borderId="0" xfId="0" applyNumberFormat="1" applyFont="1" applyFill="1" applyBorder="1" applyAlignment="1" applyProtection="1">
      <alignment vertical="center"/>
    </xf>
    <xf numFmtId="0" fontId="21" fillId="3" borderId="0" xfId="0" applyFont="1" applyFill="1" applyBorder="1" applyAlignment="1" applyProtection="1">
      <alignment vertical="center"/>
    </xf>
    <xf numFmtId="5" fontId="24" fillId="5" borderId="0" xfId="0" applyNumberFormat="1" applyFont="1" applyFill="1" applyBorder="1" applyAlignment="1" applyProtection="1">
      <alignment vertical="center"/>
    </xf>
    <xf numFmtId="165" fontId="10" fillId="5" borderId="0" xfId="0" applyNumberFormat="1" applyFont="1" applyFill="1" applyBorder="1" applyAlignment="1" applyProtection="1">
      <alignment vertical="center"/>
    </xf>
    <xf numFmtId="165" fontId="26" fillId="5" borderId="0" xfId="0" applyNumberFormat="1" applyFont="1" applyFill="1" applyBorder="1" applyAlignment="1" applyProtection="1">
      <alignment vertical="center"/>
    </xf>
    <xf numFmtId="165" fontId="27" fillId="5" borderId="0" xfId="0" applyNumberFormat="1" applyFont="1" applyFill="1" applyBorder="1" applyAlignment="1" applyProtection="1">
      <alignment vertical="center"/>
    </xf>
    <xf numFmtId="0" fontId="19" fillId="4" borderId="0" xfId="0" applyFont="1" applyFill="1" applyAlignment="1" applyProtection="1">
      <alignment horizontal="center" vertical="center"/>
    </xf>
    <xf numFmtId="0" fontId="28" fillId="4" borderId="0" xfId="0" applyFont="1" applyFill="1" applyBorder="1" applyAlignment="1" applyProtection="1">
      <alignment horizontal="center" vertical="center"/>
    </xf>
    <xf numFmtId="0" fontId="10" fillId="5" borderId="0" xfId="0" applyFont="1" applyFill="1" applyAlignment="1" applyProtection="1">
      <alignment horizontal="left" vertical="center" indent="1"/>
    </xf>
    <xf numFmtId="0" fontId="17" fillId="5" borderId="0" xfId="0" applyFont="1" applyFill="1" applyBorder="1" applyAlignment="1" applyProtection="1">
      <alignment horizontal="center" vertical="center"/>
    </xf>
    <xf numFmtId="0" fontId="28" fillId="5" borderId="0" xfId="0" applyFont="1" applyFill="1" applyBorder="1" applyAlignment="1" applyProtection="1">
      <alignment horizontal="center" vertical="center"/>
    </xf>
    <xf numFmtId="0" fontId="0" fillId="5" borderId="0" xfId="0" applyFill="1" applyProtection="1"/>
    <xf numFmtId="0" fontId="0" fillId="5" borderId="0" xfId="0" applyFill="1"/>
    <xf numFmtId="0" fontId="0" fillId="4" borderId="0" xfId="0" applyFill="1" applyBorder="1" applyAlignment="1">
      <alignment vertical="top" wrapText="1"/>
    </xf>
    <xf numFmtId="0" fontId="21" fillId="4" borderId="0" xfId="0" applyFont="1" applyFill="1" applyAlignment="1">
      <alignment vertical="center" wrapText="1"/>
    </xf>
    <xf numFmtId="0" fontId="29" fillId="4" borderId="0" xfId="0" applyFont="1" applyFill="1" applyAlignment="1">
      <alignment vertical="center" wrapText="1"/>
    </xf>
    <xf numFmtId="0" fontId="0" fillId="4" borderId="0" xfId="0" applyFill="1" applyBorder="1" applyAlignment="1"/>
    <xf numFmtId="0" fontId="20" fillId="3" borderId="0" xfId="0" applyFont="1" applyFill="1" applyBorder="1" applyAlignment="1">
      <alignment vertical="center" wrapText="1"/>
    </xf>
    <xf numFmtId="0" fontId="0" fillId="4" borderId="0" xfId="0" applyFill="1" applyBorder="1"/>
    <xf numFmtId="0" fontId="33" fillId="4" borderId="0" xfId="0" applyFont="1" applyFill="1" applyBorder="1" applyAlignment="1">
      <alignment horizontal="center" vertical="center"/>
    </xf>
    <xf numFmtId="0" fontId="29" fillId="0" borderId="0" xfId="0" applyFont="1" applyFill="1" applyBorder="1" applyAlignment="1">
      <alignment vertical="center" wrapText="1"/>
    </xf>
    <xf numFmtId="0" fontId="33" fillId="4" borderId="0" xfId="0" applyFont="1" applyFill="1" applyBorder="1" applyAlignment="1">
      <alignment vertical="center"/>
    </xf>
    <xf numFmtId="0" fontId="0" fillId="0" borderId="0" xfId="0" pivotButton="1"/>
    <xf numFmtId="14" fontId="0" fillId="0" borderId="0" xfId="0" applyNumberFormat="1"/>
    <xf numFmtId="44" fontId="0" fillId="0" borderId="0" xfId="0" applyNumberFormat="1"/>
    <xf numFmtId="0" fontId="0" fillId="7" borderId="0" xfId="0" applyFill="1"/>
    <xf numFmtId="0" fontId="8" fillId="7" borderId="0" xfId="0" applyFont="1" applyFill="1"/>
    <xf numFmtId="0" fontId="8" fillId="7" borderId="0" xfId="0" applyFont="1" applyFill="1" applyAlignment="1">
      <alignment horizontal="right"/>
    </xf>
    <xf numFmtId="44" fontId="39" fillId="6" borderId="0" xfId="2" quotePrefix="1" applyFont="1" applyFill="1" applyBorder="1" applyAlignment="1">
      <alignment horizontal="center" vertical="center"/>
    </xf>
    <xf numFmtId="0" fontId="0" fillId="5" borderId="17" xfId="0" applyFill="1" applyBorder="1"/>
    <xf numFmtId="0" fontId="0" fillId="5" borderId="18" xfId="0" applyFill="1" applyBorder="1"/>
    <xf numFmtId="0" fontId="0" fillId="6" borderId="0" xfId="0" applyFill="1"/>
    <xf numFmtId="0" fontId="0" fillId="8" borderId="0" xfId="0" applyFill="1"/>
    <xf numFmtId="0" fontId="40" fillId="8" borderId="0" xfId="0" applyFont="1" applyFill="1" applyBorder="1" applyAlignment="1">
      <alignment horizontal="center" vertical="center"/>
    </xf>
    <xf numFmtId="0" fontId="0" fillId="5" borderId="16" xfId="0" applyFill="1" applyBorder="1"/>
    <xf numFmtId="14" fontId="39" fillId="9" borderId="16" xfId="0" quotePrefix="1" applyNumberFormat="1" applyFont="1" applyFill="1" applyBorder="1" applyAlignment="1">
      <alignment vertical="center"/>
    </xf>
    <xf numFmtId="14" fontId="39" fillId="9" borderId="17" xfId="0" quotePrefix="1" applyNumberFormat="1" applyFont="1" applyFill="1" applyBorder="1" applyAlignment="1">
      <alignment vertical="center"/>
    </xf>
    <xf numFmtId="0" fontId="39" fillId="9" borderId="17" xfId="0" applyFont="1" applyFill="1" applyBorder="1"/>
    <xf numFmtId="44" fontId="39" fillId="9" borderId="17" xfId="2" quotePrefix="1" applyFont="1" applyFill="1" applyBorder="1" applyAlignment="1">
      <alignment vertical="center"/>
    </xf>
    <xf numFmtId="14" fontId="39" fillId="9" borderId="19" xfId="0" quotePrefix="1" applyNumberFormat="1" applyFont="1" applyFill="1" applyBorder="1" applyAlignment="1">
      <alignment vertical="center"/>
    </xf>
    <xf numFmtId="14" fontId="39" fillId="9" borderId="0" xfId="0" quotePrefix="1" applyNumberFormat="1" applyFont="1" applyFill="1" applyBorder="1" applyAlignment="1">
      <alignment vertical="center"/>
    </xf>
    <xf numFmtId="0" fontId="39" fillId="9" borderId="0" xfId="0" applyFont="1" applyFill="1" applyBorder="1"/>
    <xf numFmtId="44" fontId="39" fillId="9" borderId="0" xfId="2" quotePrefix="1" applyFont="1" applyFill="1" applyBorder="1" applyAlignment="1">
      <alignment vertical="center"/>
    </xf>
    <xf numFmtId="14" fontId="39" fillId="9" borderId="21" xfId="0" quotePrefix="1" applyNumberFormat="1" applyFont="1" applyFill="1" applyBorder="1" applyAlignment="1">
      <alignment vertical="center"/>
    </xf>
    <xf numFmtId="14" fontId="39" fillId="9" borderId="22" xfId="0" quotePrefix="1" applyNumberFormat="1" applyFont="1" applyFill="1" applyBorder="1" applyAlignment="1">
      <alignment vertical="center"/>
    </xf>
    <xf numFmtId="0" fontId="39" fillId="9" borderId="22" xfId="0" applyFont="1" applyFill="1" applyBorder="1"/>
    <xf numFmtId="44" fontId="39" fillId="9" borderId="22" xfId="2" quotePrefix="1" applyFont="1" applyFill="1" applyBorder="1" applyAlignment="1">
      <alignment vertical="center"/>
    </xf>
    <xf numFmtId="0" fontId="0" fillId="9" borderId="17" xfId="0" applyFont="1" applyFill="1" applyBorder="1"/>
    <xf numFmtId="0" fontId="0" fillId="9" borderId="18" xfId="0" applyFont="1" applyFill="1" applyBorder="1"/>
    <xf numFmtId="0" fontId="0" fillId="9" borderId="0" xfId="0" applyFont="1" applyFill="1" applyBorder="1"/>
    <xf numFmtId="0" fontId="0" fillId="9" borderId="20" xfId="0" applyFont="1" applyFill="1" applyBorder="1"/>
    <xf numFmtId="0" fontId="0" fillId="9" borderId="22" xfId="0" applyFont="1" applyFill="1" applyBorder="1"/>
    <xf numFmtId="0" fontId="0" fillId="9" borderId="23" xfId="0" applyFont="1" applyFill="1" applyBorder="1"/>
    <xf numFmtId="0" fontId="0" fillId="0" borderId="0" xfId="0" applyAlignment="1">
      <alignment horizontal="left"/>
    </xf>
    <xf numFmtId="0" fontId="0" fillId="0" borderId="0" xfId="0" applyNumberFormat="1"/>
    <xf numFmtId="0" fontId="25" fillId="0" borderId="0" xfId="0" applyFont="1"/>
    <xf numFmtId="0" fontId="41" fillId="7" borderId="0" xfId="0" applyFont="1" applyFill="1" applyAlignment="1">
      <alignment horizontal="center"/>
    </xf>
    <xf numFmtId="0" fontId="0" fillId="0" borderId="24" xfId="0" applyBorder="1"/>
    <xf numFmtId="9" fontId="0" fillId="0" borderId="24" xfId="0" applyNumberFormat="1" applyBorder="1"/>
    <xf numFmtId="0" fontId="0" fillId="0" borderId="24" xfId="0" applyNumberFormat="1" applyBorder="1"/>
    <xf numFmtId="0" fontId="25" fillId="0" borderId="0" xfId="0" applyFont="1" applyAlignment="1"/>
    <xf numFmtId="167" fontId="25" fillId="0" borderId="0" xfId="2" applyNumberFormat="1" applyFont="1" applyAlignment="1">
      <alignment vertical="center"/>
    </xf>
    <xf numFmtId="9" fontId="25" fillId="0" borderId="0" xfId="3" applyFont="1" applyAlignment="1"/>
    <xf numFmtId="0" fontId="13" fillId="0" borderId="0" xfId="0" applyFont="1" applyAlignment="1">
      <alignment horizontal="center" vertical="center"/>
    </xf>
    <xf numFmtId="165" fontId="9" fillId="4" borderId="0" xfId="0" applyNumberFormat="1" applyFont="1" applyFill="1" applyAlignment="1">
      <alignment horizontal="center"/>
    </xf>
    <xf numFmtId="0" fontId="16" fillId="3" borderId="0" xfId="0" applyNumberFormat="1" applyFont="1" applyFill="1" applyBorder="1" applyAlignment="1" applyProtection="1">
      <alignment horizontal="center" vertical="center"/>
    </xf>
    <xf numFmtId="4" fontId="16" fillId="3" borderId="0" xfId="0" applyNumberFormat="1" applyFont="1" applyFill="1" applyBorder="1" applyAlignment="1" applyProtection="1">
      <alignment horizontal="center" vertical="center"/>
    </xf>
    <xf numFmtId="0" fontId="17" fillId="4" borderId="0" xfId="0" applyFont="1" applyFill="1" applyBorder="1" applyAlignment="1" applyProtection="1">
      <alignment horizontal="center" vertical="center"/>
    </xf>
    <xf numFmtId="0" fontId="18" fillId="3" borderId="0" xfId="0" applyFont="1" applyFill="1" applyBorder="1" applyAlignment="1" applyProtection="1">
      <alignment horizontal="center" vertical="center"/>
    </xf>
    <xf numFmtId="6" fontId="24" fillId="5" borderId="0" xfId="0" applyNumberFormat="1" applyFont="1" applyFill="1" applyBorder="1" applyAlignment="1" applyProtection="1">
      <alignment horizontal="center" vertical="center"/>
    </xf>
    <xf numFmtId="6" fontId="23" fillId="5" borderId="0" xfId="0" applyNumberFormat="1" applyFont="1" applyFill="1" applyBorder="1" applyAlignment="1" applyProtection="1">
      <alignment horizontal="center" vertical="center"/>
    </xf>
    <xf numFmtId="5" fontId="24" fillId="5" borderId="0" xfId="0" applyNumberFormat="1" applyFont="1" applyFill="1" applyBorder="1" applyAlignment="1" applyProtection="1">
      <alignment horizontal="center" vertical="center"/>
    </xf>
    <xf numFmtId="166" fontId="24" fillId="5" borderId="0" xfId="0" applyNumberFormat="1" applyFont="1" applyFill="1" applyBorder="1" applyAlignment="1" applyProtection="1">
      <alignment horizontal="center" vertical="center"/>
    </xf>
    <xf numFmtId="0" fontId="25" fillId="3" borderId="0" xfId="0" applyFont="1" applyFill="1" applyBorder="1" applyAlignment="1" applyProtection="1">
      <alignment horizontal="center" vertical="center"/>
    </xf>
    <xf numFmtId="165" fontId="8" fillId="5" borderId="0" xfId="0" applyNumberFormat="1" applyFont="1" applyFill="1" applyBorder="1" applyAlignment="1" applyProtection="1">
      <alignment horizontal="center" vertical="center"/>
    </xf>
    <xf numFmtId="0" fontId="17" fillId="3" borderId="0" xfId="0" applyFont="1" applyFill="1" applyBorder="1" applyAlignment="1" applyProtection="1">
      <alignment horizontal="center" vertical="center"/>
    </xf>
    <xf numFmtId="0" fontId="28" fillId="5" borderId="0" xfId="0" applyFont="1" applyFill="1" applyBorder="1" applyAlignment="1" applyProtection="1">
      <alignment horizontal="center" vertical="center"/>
    </xf>
    <xf numFmtId="0" fontId="28" fillId="4" borderId="0" xfId="0" applyFont="1" applyFill="1" applyBorder="1" applyAlignment="1" applyProtection="1">
      <alignment horizontal="center" vertical="center"/>
    </xf>
    <xf numFmtId="14" fontId="34" fillId="0" borderId="12" xfId="0" applyNumberFormat="1" applyFont="1" applyFill="1" applyBorder="1" applyAlignment="1">
      <alignment horizontal="center" vertical="center" wrapText="1"/>
    </xf>
    <xf numFmtId="14" fontId="34" fillId="0" borderId="13" xfId="0" applyNumberFormat="1" applyFont="1" applyFill="1" applyBorder="1" applyAlignment="1">
      <alignment horizontal="center" vertical="center" wrapText="1"/>
    </xf>
    <xf numFmtId="0" fontId="34" fillId="0" borderId="13" xfId="0" applyFont="1" applyFill="1" applyBorder="1" applyAlignment="1">
      <alignment horizontal="left" vertical="center"/>
    </xf>
    <xf numFmtId="0" fontId="34" fillId="0" borderId="13" xfId="0" applyFont="1" applyFill="1" applyBorder="1" applyAlignment="1">
      <alignment horizontal="center" vertical="center"/>
    </xf>
    <xf numFmtId="8" fontId="34" fillId="0" borderId="13" xfId="0" applyNumberFormat="1" applyFont="1" applyFill="1" applyBorder="1" applyAlignment="1">
      <alignment horizontal="right" vertical="center" indent="1"/>
    </xf>
    <xf numFmtId="8" fontId="34" fillId="0" borderId="14" xfId="0" applyNumberFormat="1" applyFont="1" applyFill="1" applyBorder="1" applyAlignment="1">
      <alignment horizontal="right" vertical="center" indent="1"/>
    </xf>
    <xf numFmtId="0" fontId="31" fillId="4" borderId="0" xfId="0" applyFont="1" applyFill="1" applyBorder="1" applyAlignment="1">
      <alignment horizontal="center"/>
    </xf>
    <xf numFmtId="0" fontId="32" fillId="3" borderId="0" xfId="0" applyFont="1" applyFill="1" applyBorder="1" applyAlignment="1">
      <alignment horizontal="right" vertical="center" wrapText="1"/>
    </xf>
    <xf numFmtId="0" fontId="32" fillId="3" borderId="0" xfId="0" applyFont="1" applyFill="1" applyBorder="1" applyAlignment="1">
      <alignment vertical="center" wrapText="1"/>
    </xf>
    <xf numFmtId="0" fontId="32" fillId="3" borderId="0" xfId="0" applyFont="1" applyFill="1" applyBorder="1" applyAlignment="1">
      <alignment vertical="center"/>
    </xf>
    <xf numFmtId="0" fontId="30" fillId="4" borderId="0" xfId="0" applyFont="1" applyFill="1" applyBorder="1" applyAlignment="1">
      <alignment horizontal="center" wrapText="1"/>
    </xf>
    <xf numFmtId="165" fontId="0" fillId="0" borderId="0" xfId="0" applyNumberFormat="1" applyFill="1" applyAlignment="1">
      <alignment horizontal="center"/>
    </xf>
    <xf numFmtId="165" fontId="35" fillId="0" borderId="0" xfId="0" applyNumberFormat="1" applyFont="1" applyFill="1" applyAlignment="1">
      <alignment horizontal="center"/>
    </xf>
    <xf numFmtId="0" fontId="0" fillId="4" borderId="0" xfId="0" applyFill="1" applyAlignment="1">
      <alignment horizontal="center"/>
    </xf>
    <xf numFmtId="0" fontId="3" fillId="2" borderId="1" xfId="1" applyFont="1" applyFill="1" applyBorder="1" applyAlignment="1">
      <alignment horizontal="center"/>
    </xf>
    <xf numFmtId="0" fontId="3" fillId="2" borderId="2" xfId="1" applyFont="1" applyFill="1" applyBorder="1" applyAlignment="1">
      <alignment horizontal="center"/>
    </xf>
    <xf numFmtId="0" fontId="3" fillId="2" borderId="3" xfId="1" applyFont="1" applyFill="1" applyBorder="1" applyAlignment="1">
      <alignment horizontal="center"/>
    </xf>
    <xf numFmtId="167" fontId="25" fillId="0" borderId="0" xfId="2" applyNumberFormat="1" applyFont="1" applyAlignment="1">
      <alignment horizontal="center" vertical="center"/>
    </xf>
    <xf numFmtId="9" fontId="25" fillId="0" borderId="0" xfId="3" applyFont="1" applyAlignment="1">
      <alignment horizontal="center"/>
    </xf>
    <xf numFmtId="0" fontId="25" fillId="0" borderId="0" xfId="0" applyFont="1" applyAlignment="1">
      <alignment horizontal="center"/>
    </xf>
    <xf numFmtId="0" fontId="40" fillId="5" borderId="16" xfId="0" applyFont="1" applyFill="1" applyBorder="1" applyAlignment="1">
      <alignment horizontal="center"/>
    </xf>
    <xf numFmtId="0" fontId="40" fillId="5" borderId="17" xfId="0" applyFont="1" applyFill="1" applyBorder="1" applyAlignment="1">
      <alignment horizontal="center"/>
    </xf>
    <xf numFmtId="0" fontId="40" fillId="5" borderId="18" xfId="0" applyFont="1" applyFill="1" applyBorder="1" applyAlignment="1">
      <alignment horizontal="center"/>
    </xf>
    <xf numFmtId="0" fontId="40" fillId="5" borderId="19" xfId="0" applyFont="1" applyFill="1" applyBorder="1" applyAlignment="1">
      <alignment horizontal="center"/>
    </xf>
    <xf numFmtId="0" fontId="40" fillId="5" borderId="0" xfId="0" applyFont="1" applyFill="1" applyBorder="1" applyAlignment="1">
      <alignment horizontal="center"/>
    </xf>
    <xf numFmtId="0" fontId="40" fillId="5" borderId="20" xfId="0" applyFont="1" applyFill="1" applyBorder="1" applyAlignment="1">
      <alignment horizontal="center"/>
    </xf>
    <xf numFmtId="0" fontId="40" fillId="5" borderId="19" xfId="0" applyFont="1" applyFill="1" applyBorder="1" applyAlignment="1">
      <alignment horizontal="center" vertical="center"/>
    </xf>
    <xf numFmtId="0" fontId="40" fillId="5" borderId="0" xfId="0" applyFont="1" applyFill="1" applyBorder="1" applyAlignment="1">
      <alignment horizontal="center" vertical="center"/>
    </xf>
    <xf numFmtId="0" fontId="40" fillId="5" borderId="20" xfId="0" applyFont="1" applyFill="1" applyBorder="1" applyAlignment="1">
      <alignment horizontal="center" vertical="center"/>
    </xf>
    <xf numFmtId="14" fontId="39" fillId="9" borderId="21" xfId="0" quotePrefix="1" applyNumberFormat="1" applyFont="1" applyFill="1" applyBorder="1" applyAlignment="1">
      <alignment horizontal="center" vertical="center"/>
    </xf>
    <xf numFmtId="14" fontId="39" fillId="9" borderId="22" xfId="0" quotePrefix="1" applyNumberFormat="1" applyFont="1" applyFill="1" applyBorder="1" applyAlignment="1">
      <alignment horizontal="center" vertical="center"/>
    </xf>
    <xf numFmtId="44" fontId="39" fillId="9" borderId="17" xfId="2" quotePrefix="1" applyFont="1" applyFill="1" applyBorder="1" applyAlignment="1">
      <alignment horizontal="center" vertical="center"/>
    </xf>
    <xf numFmtId="44" fontId="39" fillId="9" borderId="18" xfId="2" quotePrefix="1" applyFont="1" applyFill="1" applyBorder="1" applyAlignment="1">
      <alignment horizontal="center" vertical="center"/>
    </xf>
    <xf numFmtId="44" fontId="39" fillId="9" borderId="0" xfId="2" quotePrefix="1" applyFont="1" applyFill="1" applyBorder="1" applyAlignment="1">
      <alignment horizontal="center" vertical="center"/>
    </xf>
    <xf numFmtId="44" fontId="39" fillId="9" borderId="20" xfId="2" quotePrefix="1" applyFont="1" applyFill="1" applyBorder="1" applyAlignment="1">
      <alignment horizontal="center" vertical="center"/>
    </xf>
    <xf numFmtId="44" fontId="39" fillId="9" borderId="22" xfId="2" quotePrefix="1" applyFont="1" applyFill="1" applyBorder="1" applyAlignment="1">
      <alignment horizontal="center" vertical="center"/>
    </xf>
    <xf numFmtId="44" fontId="39" fillId="9" borderId="23" xfId="2" quotePrefix="1" applyFont="1" applyFill="1" applyBorder="1" applyAlignment="1">
      <alignment horizontal="center" vertical="center"/>
    </xf>
    <xf numFmtId="14" fontId="39" fillId="9" borderId="16" xfId="0" quotePrefix="1" applyNumberFormat="1" applyFont="1" applyFill="1" applyBorder="1" applyAlignment="1">
      <alignment horizontal="center" vertical="center"/>
    </xf>
    <xf numFmtId="14" fontId="39" fillId="9" borderId="17" xfId="0" quotePrefix="1" applyNumberFormat="1" applyFont="1" applyFill="1" applyBorder="1" applyAlignment="1">
      <alignment horizontal="center" vertical="center"/>
    </xf>
    <xf numFmtId="14" fontId="39" fillId="9" borderId="19" xfId="0" quotePrefix="1" applyNumberFormat="1" applyFont="1" applyFill="1" applyBorder="1" applyAlignment="1">
      <alignment horizontal="center" vertical="center"/>
    </xf>
    <xf numFmtId="14" fontId="39" fillId="9" borderId="0" xfId="0" quotePrefix="1" applyNumberFormat="1" applyFont="1" applyFill="1" applyBorder="1" applyAlignment="1">
      <alignment horizontal="center" vertical="center"/>
    </xf>
    <xf numFmtId="0" fontId="37" fillId="0" borderId="15" xfId="0" applyFont="1" applyBorder="1" applyAlignment="1">
      <alignment horizontal="left" vertical="center"/>
    </xf>
    <xf numFmtId="0" fontId="36" fillId="0" borderId="15" xfId="0" applyFont="1" applyBorder="1" applyAlignment="1">
      <alignment vertical="center" wrapText="1"/>
    </xf>
    <xf numFmtId="0" fontId="36" fillId="0" borderId="15" xfId="0" applyFont="1" applyBorder="1" applyAlignment="1">
      <alignment horizontal="left" vertical="center" wrapText="1"/>
    </xf>
  </cellXfs>
  <cellStyles count="4">
    <cellStyle name="Moneda" xfId="2" builtinId="4"/>
    <cellStyle name="Normal" xfId="0" builtinId="0"/>
    <cellStyle name="Normal 2" xfId="1"/>
    <cellStyle name="Porcentaje" xfId="3" builtinId="5"/>
  </cellStyles>
  <dxfs count="5504">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ont>
        <color theme="0"/>
      </font>
      <fill>
        <patternFill>
          <bgColor theme="3"/>
        </patternFill>
      </fill>
    </dxf>
    <dxf>
      <font>
        <color theme="0"/>
      </font>
      <fill>
        <patternFill>
          <bgColor theme="3"/>
        </patternFill>
      </fill>
    </dxf>
    <dxf>
      <fill>
        <patternFill>
          <bgColor theme="0" tint="-4.9989318521683403E-2"/>
        </patternFill>
      </fill>
    </dxf>
    <dxf>
      <font>
        <color theme="0"/>
      </font>
      <fill>
        <patternFill>
          <bgColor rgb="FF00B0F0"/>
        </patternFill>
      </fill>
    </dxf>
    <dxf>
      <font>
        <b/>
        <i val="0"/>
        <color rgb="FF00B0F0"/>
      </font>
      <fill>
        <patternFill patternType="solid">
          <bgColor theme="0" tint="-4.9989318521683403E-2"/>
        </patternFill>
      </fill>
    </dxf>
    <dxf>
      <font>
        <b/>
        <i val="0"/>
        <color rgb="FF00B0F0"/>
      </font>
      <fill>
        <patternFill patternType="solid">
          <bgColor theme="0" tint="-4.9989318521683403E-2"/>
        </patternFill>
      </fill>
    </dxf>
    <dxf>
      <font>
        <color auto="1"/>
      </font>
      <fill>
        <patternFill>
          <bgColor theme="0" tint="-4.9989318521683403E-2"/>
        </patternFill>
      </fill>
      <border>
        <left/>
        <right/>
        <top/>
        <bottom/>
      </border>
    </dxf>
    <dxf>
      <font>
        <b/>
        <i val="0"/>
        <color rgb="FF00B0F0"/>
      </font>
      <fill>
        <patternFill patternType="solid">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([2]Data!$C$4,[2]Data!$C$5,[2]Data!$C$6)</c:f>
              <c:numCache>
                <c:formatCode>General</c:formatCode>
                <c:ptCount val="3"/>
                <c:pt idx="0">
                  <c:v>0.8451679830613773</c:v>
                </c:pt>
                <c:pt idx="1">
                  <c:v>0</c:v>
                </c:pt>
                <c:pt idx="2">
                  <c:v>0.1548320169386227</c:v>
                </c:pt>
              </c:numCache>
            </c:numRef>
          </c:val>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pPr>
      <a:endParaRPr lang="es-PA"/>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([2]Data!$H$4,[2]Data!$H$5,[2]Data!$H$6)</c:f>
              <c:numCache>
                <c:formatCode>General</c:formatCode>
                <c:ptCount val="3"/>
                <c:pt idx="0">
                  <c:v>0.94974613912882788</c:v>
                </c:pt>
                <c:pt idx="1">
                  <c:v>5.0253860871172118E-2</c:v>
                </c:pt>
                <c:pt idx="2">
                  <c:v>0</c:v>
                </c:pt>
              </c:numCache>
            </c:numRef>
          </c:val>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pPr>
      <a:endParaRPr lang="es-PA"/>
    </a:p>
  </c:tx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([2]Data!$F$4,[2]Data!$F$5,[2]Data!$F$6)</c:f>
              <c:numCache>
                <c:formatCode>General</c:formatCode>
                <c:ptCount val="3"/>
                <c:pt idx="0">
                  <c:v>1</c:v>
                </c:pt>
                <c:pt idx="1">
                  <c:v>0</c:v>
                </c:pt>
                <c:pt idx="2">
                  <c:v>0</c:v>
                </c:pt>
              </c:numCache>
            </c:numRef>
          </c:val>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pPr>
      <a:endParaRPr lang="es-PA"/>
    </a:p>
  </c:txPr>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([2]Data!$D$4,[2]Data!$D$5,[2]Data!$D$6)</c:f>
              <c:numCache>
                <c:formatCode>General</c:formatCode>
                <c:ptCount val="3"/>
                <c:pt idx="0">
                  <c:v>0.88121118029160539</c:v>
                </c:pt>
                <c:pt idx="1">
                  <c:v>0.11878881970839461</c:v>
                </c:pt>
                <c:pt idx="2">
                  <c:v>0</c:v>
                </c:pt>
              </c:numCache>
            </c:numRef>
          </c:val>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pPr>
      <a:endParaRPr lang="es-PA"/>
    </a:p>
  </c:txPr>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([2]Data!$E$4,[2]Data!$E$5,[2]Data!$E$6)</c:f>
              <c:numCache>
                <c:formatCode>General</c:formatCode>
                <c:ptCount val="3"/>
                <c:pt idx="0">
                  <c:v>1</c:v>
                </c:pt>
                <c:pt idx="1">
                  <c:v>0</c:v>
                </c:pt>
                <c:pt idx="2">
                  <c:v>0</c:v>
                </c:pt>
              </c:numCache>
            </c:numRef>
          </c:val>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pPr>
      <a:endParaRPr lang="es-PA"/>
    </a:p>
  </c:txPr>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([2]Data!$G$4,[2]Data!$G$5,[2]Data!$G$6)</c:f>
              <c:numCache>
                <c:formatCode>General</c:formatCode>
                <c:ptCount val="3"/>
                <c:pt idx="0">
                  <c:v>1</c:v>
                </c:pt>
                <c:pt idx="1">
                  <c:v>0</c:v>
                </c:pt>
                <c:pt idx="2">
                  <c:v>0</c:v>
                </c:pt>
              </c:numCache>
            </c:numRef>
          </c:val>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pPr>
      <a:endParaRPr lang="es-PA"/>
    </a:p>
  </c:tx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Scroll" dx="22" max="100" page="10" val="53"/>
</file>

<file path=xl/ctrlProps/ctrlProp2.xml><?xml version="1.0" encoding="utf-8"?>
<formControlPr xmlns="http://schemas.microsoft.com/office/spreadsheetml/2009/9/main" objectType="Drop" dropStyle="combo" dx="16" noThreeD="1" sel="0" val="0"/>
</file>

<file path=xl/ctrlProps/ctrlProp3.xml><?xml version="1.0" encoding="utf-8"?>
<formControlPr xmlns="http://schemas.microsoft.com/office/spreadsheetml/2009/9/main" objectType="Radio" firstButton="1" fmlaLink="[2]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2]Data!$E$20" fmlaRange="[2]Data!$B$20:$B$21" sel="0" val="0"/>
</file>

<file path=xl/ctrlProps/ctrlProp10.xml><?xml version="1.0" encoding="utf-8"?>
<formControlPr xmlns="http://schemas.microsoft.com/office/spreadsheetml/2009/9/main" objectType="Drop" dropStyle="combo" dx="16" noThreeD="1" sel="0" val="0"/>
</file>

<file path=xl/ctrlProps/ctrlProp11.xml><?xml version="1.0" encoding="utf-8"?>
<formControlPr xmlns="http://schemas.microsoft.com/office/spreadsheetml/2009/9/main" objectType="Drop" dropLines="4" dropStyle="combo" dx="16" fmlaLink="Data!$C$4" fmlaRange="Tabla!$O$7:$O$8" noThreeD="1" sel="2" val="0"/>
</file>

<file path=xl/ctrlProps/ctrlProp12.xml><?xml version="1.0" encoding="utf-8"?>
<formControlPr xmlns="http://schemas.microsoft.com/office/spreadsheetml/2009/9/main" objectType="Drop" dropLines="4" dropStyle="combo" dx="16" fmlaLink="Data!$C$5" fmlaRange="Tabla!$R$6:$R$18" noThreeD="1" sel="13" val="9"/>
</file>

<file path=xl/ctrlProps/ctrlProp13.xml><?xml version="1.0" encoding="utf-8"?>
<formControlPr xmlns="http://schemas.microsoft.com/office/spreadsheetml/2009/9/main" objectType="Scroll" dx="22" fmlaLink="Data!$C$3" max="15" min="1" page="5"/>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0</xdr:col>
      <xdr:colOff>57149</xdr:colOff>
      <xdr:row>0</xdr:row>
      <xdr:rowOff>47625</xdr:rowOff>
    </xdr:from>
    <xdr:ext cx="6352615" cy="457200"/>
    <xdr:sp macro="" textlink="">
      <xdr:nvSpPr>
        <xdr:cNvPr id="2" name="TextBox 14">
          <a:extLst>
            <a:ext uri="{FF2B5EF4-FFF2-40B4-BE49-F238E27FC236}">
              <a16:creationId xmlns:a16="http://schemas.microsoft.com/office/drawing/2014/main" xmlns="" id="{00000000-0008-0000-0000-000012000000}"/>
            </a:ext>
          </a:extLst>
        </xdr:cNvPr>
        <xdr:cNvSpPr txBox="1"/>
      </xdr:nvSpPr>
      <xdr:spPr>
        <a:xfrm>
          <a:off x="57149" y="47625"/>
          <a:ext cx="6352615"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2200" b="0">
              <a:ln w="3175">
                <a:noFill/>
              </a:ln>
              <a:solidFill>
                <a:srgbClr val="00B0F0"/>
              </a:solidFill>
              <a:effectLst>
                <a:outerShdw blurRad="38100" dist="25400" dir="5400000" algn="t" rotWithShape="0">
                  <a:schemeClr val="bg1">
                    <a:alpha val="40000"/>
                  </a:schemeClr>
                </a:outerShdw>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2</xdr:row>
      <xdr:rowOff>56027</xdr:rowOff>
    </xdr:from>
    <xdr:to>
      <xdr:col>29</xdr:col>
      <xdr:colOff>11205</xdr:colOff>
      <xdr:row>16</xdr:row>
      <xdr:rowOff>231320</xdr:rowOff>
    </xdr:to>
    <xdr:sp macro="" textlink="">
      <xdr:nvSpPr>
        <xdr:cNvPr id="3" name="Rounded Rectangle 5">
          <a:extLst>
            <a:ext uri="{FF2B5EF4-FFF2-40B4-BE49-F238E27FC236}">
              <a16:creationId xmlns:a16="http://schemas.microsoft.com/office/drawing/2014/main" xmlns="" id="{00000000-0008-0000-0000-000015000000}"/>
            </a:ext>
          </a:extLst>
        </xdr:cNvPr>
        <xdr:cNvSpPr/>
      </xdr:nvSpPr>
      <xdr:spPr>
        <a:xfrm>
          <a:off x="176893" y="668348"/>
          <a:ext cx="13577526"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171450</xdr:colOff>
      <xdr:row>2</xdr:row>
      <xdr:rowOff>19050</xdr:rowOff>
    </xdr:from>
    <xdr:to>
      <xdr:col>29</xdr:col>
      <xdr:colOff>6804</xdr:colOff>
      <xdr:row>3</xdr:row>
      <xdr:rowOff>184018</xdr:rowOff>
    </xdr:to>
    <xdr:sp macro="" textlink="">
      <xdr:nvSpPr>
        <xdr:cNvPr id="4" name="Round Same Side Corner Rectangle 8">
          <a:extLst>
            <a:ext uri="{FF2B5EF4-FFF2-40B4-BE49-F238E27FC236}">
              <a16:creationId xmlns:a16="http://schemas.microsoft.com/office/drawing/2014/main" xmlns="" id="{00000000-0008-0000-0000-000014000000}"/>
            </a:ext>
          </a:extLst>
        </xdr:cNvPr>
        <xdr:cNvSpPr/>
      </xdr:nvSpPr>
      <xdr:spPr>
        <a:xfrm>
          <a:off x="171450" y="631371"/>
          <a:ext cx="13578568" cy="355468"/>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12</xdr:row>
      <xdr:rowOff>324971</xdr:rowOff>
    </xdr:from>
    <xdr:to>
      <xdr:col>10</xdr:col>
      <xdr:colOff>437030</xdr:colOff>
      <xdr:row>14</xdr:row>
      <xdr:rowOff>33618</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12</xdr:row>
      <xdr:rowOff>324971</xdr:rowOff>
    </xdr:from>
    <xdr:to>
      <xdr:col>6</xdr:col>
      <xdr:colOff>414617</xdr:colOff>
      <xdr:row>14</xdr:row>
      <xdr:rowOff>33618</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12</xdr:row>
      <xdr:rowOff>324971</xdr:rowOff>
    </xdr:from>
    <xdr:to>
      <xdr:col>22</xdr:col>
      <xdr:colOff>448235</xdr:colOff>
      <xdr:row>14</xdr:row>
      <xdr:rowOff>33618</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12</xdr:row>
      <xdr:rowOff>324971</xdr:rowOff>
    </xdr:from>
    <xdr:to>
      <xdr:col>14</xdr:col>
      <xdr:colOff>425824</xdr:colOff>
      <xdr:row>14</xdr:row>
      <xdr:rowOff>33618</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12</xdr:row>
      <xdr:rowOff>324971</xdr:rowOff>
    </xdr:from>
    <xdr:to>
      <xdr:col>18</xdr:col>
      <xdr:colOff>425823</xdr:colOff>
      <xdr:row>14</xdr:row>
      <xdr:rowOff>33618</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12</xdr:row>
      <xdr:rowOff>324971</xdr:rowOff>
    </xdr:from>
    <xdr:to>
      <xdr:col>26</xdr:col>
      <xdr:colOff>470647</xdr:colOff>
      <xdr:row>14</xdr:row>
      <xdr:rowOff>33618</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13</xdr:row>
      <xdr:rowOff>216634</xdr:rowOff>
    </xdr:from>
    <xdr:to>
      <xdr:col>3</xdr:col>
      <xdr:colOff>139364</xdr:colOff>
      <xdr:row>13</xdr:row>
      <xdr:rowOff>537882</xdr:rowOff>
    </xdr:to>
    <xdr:pic>
      <xdr:nvPicPr>
        <xdr:cNvPr id="11" name="Imagen 10"/>
        <xdr:cNvPicPr>
          <a:picLocks noChangeAspect="1"/>
        </xdr:cNvPicPr>
      </xdr:nvPicPr>
      <xdr:blipFill>
        <a:blip xmlns:r="http://schemas.openxmlformats.org/officeDocument/2006/relationships" r:embed="rId7" cstate="print"/>
        <a:stretch>
          <a:fillRect/>
        </a:stretch>
      </xdr:blipFill>
      <xdr:spPr>
        <a:xfrm>
          <a:off x="819592" y="3893284"/>
          <a:ext cx="319897" cy="321248"/>
        </a:xfrm>
        <a:prstGeom prst="rect">
          <a:avLst/>
        </a:prstGeom>
      </xdr:spPr>
    </xdr:pic>
    <xdr:clientData/>
  </xdr:twoCellAnchor>
  <xdr:twoCellAnchor editAs="absolute">
    <xdr:from>
      <xdr:col>0</xdr:col>
      <xdr:colOff>168087</xdr:colOff>
      <xdr:row>18</xdr:row>
      <xdr:rowOff>0</xdr:rowOff>
    </xdr:from>
    <xdr:to>
      <xdr:col>29</xdr:col>
      <xdr:colOff>9524</xdr:colOff>
      <xdr:row>19</xdr:row>
      <xdr:rowOff>121482</xdr:rowOff>
    </xdr:to>
    <xdr:sp macro="" textlink="">
      <xdr:nvSpPr>
        <xdr:cNvPr id="12" name="Round Same Side Corner Rectangle 8">
          <a:extLst>
            <a:ext uri="{FF2B5EF4-FFF2-40B4-BE49-F238E27FC236}">
              <a16:creationId xmlns:a16="http://schemas.microsoft.com/office/drawing/2014/main" xmlns="" id="{00000000-0008-0000-0000-000014000000}"/>
            </a:ext>
          </a:extLst>
        </xdr:cNvPr>
        <xdr:cNvSpPr/>
      </xdr:nvSpPr>
      <xdr:spPr>
        <a:xfrm>
          <a:off x="168087" y="5267325"/>
          <a:ext cx="13547912" cy="350082"/>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Detalle de asientos y comprobantes contables</a:t>
          </a:r>
        </a:p>
      </xdr:txBody>
    </xdr:sp>
    <xdr:clientData/>
  </xdr:twoCellAnchor>
  <xdr:twoCellAnchor>
    <xdr:from>
      <xdr:col>22</xdr:col>
      <xdr:colOff>134470</xdr:colOff>
      <xdr:row>0</xdr:row>
      <xdr:rowOff>134470</xdr:rowOff>
    </xdr:from>
    <xdr:to>
      <xdr:col>25</xdr:col>
      <xdr:colOff>112059</xdr:colOff>
      <xdr:row>0</xdr:row>
      <xdr:rowOff>481852</xdr:rowOff>
    </xdr:to>
    <xdr:sp macro="" textlink="">
      <xdr:nvSpPr>
        <xdr:cNvPr id="15" name="CuadroTexto 14"/>
        <xdr:cNvSpPr txBox="1"/>
      </xdr:nvSpPr>
      <xdr:spPr>
        <a:xfrm>
          <a:off x="10640545" y="134470"/>
          <a:ext cx="1425389" cy="34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latin typeface="Arial" panose="020B0604020202020204" pitchFamily="34" charset="0"/>
              <a:cs typeface="Arial" panose="020B0604020202020204" pitchFamily="34" charset="0"/>
            </a:rPr>
            <a:t>Filtrar por año</a:t>
          </a:r>
        </a:p>
      </xdr:txBody>
    </xdr:sp>
    <xdr:clientData/>
  </xdr:twoCellAnchor>
  <xdr:twoCellAnchor>
    <xdr:from>
      <xdr:col>2</xdr:col>
      <xdr:colOff>22412</xdr:colOff>
      <xdr:row>20</xdr:row>
      <xdr:rowOff>145677</xdr:rowOff>
    </xdr:from>
    <xdr:to>
      <xdr:col>4</xdr:col>
      <xdr:colOff>22414</xdr:colOff>
      <xdr:row>21</xdr:row>
      <xdr:rowOff>134470</xdr:rowOff>
    </xdr:to>
    <xdr:sp macro="" textlink="">
      <xdr:nvSpPr>
        <xdr:cNvPr id="24" name="CuadroTexto 23"/>
        <xdr:cNvSpPr txBox="1"/>
      </xdr:nvSpPr>
      <xdr:spPr>
        <a:xfrm>
          <a:off x="422462" y="5870202"/>
          <a:ext cx="1190627" cy="217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13</xdr:col>
      <xdr:colOff>481852</xdr:colOff>
      <xdr:row>20</xdr:row>
      <xdr:rowOff>56028</xdr:rowOff>
    </xdr:from>
    <xdr:to>
      <xdr:col>16</xdr:col>
      <xdr:colOff>179295</xdr:colOff>
      <xdr:row>21</xdr:row>
      <xdr:rowOff>179292</xdr:rowOff>
    </xdr:to>
    <xdr:sp macro="" textlink="">
      <xdr:nvSpPr>
        <xdr:cNvPr id="25" name="Rectángulo redondeado 24"/>
        <xdr:cNvSpPr/>
      </xdr:nvSpPr>
      <xdr:spPr>
        <a:xfrm>
          <a:off x="6492127" y="5780553"/>
          <a:ext cx="1221443" cy="351864"/>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xdr:twoCellAnchor>
    <xdr:from>
      <xdr:col>6</xdr:col>
      <xdr:colOff>504265</xdr:colOff>
      <xdr:row>20</xdr:row>
      <xdr:rowOff>56030</xdr:rowOff>
    </xdr:from>
    <xdr:to>
      <xdr:col>9</xdr:col>
      <xdr:colOff>481854</xdr:colOff>
      <xdr:row>21</xdr:row>
      <xdr:rowOff>179294</xdr:rowOff>
    </xdr:to>
    <xdr:sp macro="" textlink="">
      <xdr:nvSpPr>
        <xdr:cNvPr id="27" name="CuadroTexto 26"/>
        <xdr:cNvSpPr txBox="1"/>
      </xdr:nvSpPr>
      <xdr:spPr>
        <a:xfrm>
          <a:off x="3085540" y="5780555"/>
          <a:ext cx="1425389" cy="351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latin typeface="Arial" panose="020B0604020202020204" pitchFamily="34" charset="0"/>
              <a:cs typeface="Arial" panose="020B0604020202020204" pitchFamily="34" charset="0"/>
            </a:rPr>
            <a:t>Filtrar por mes</a:t>
          </a:r>
        </a:p>
      </xdr:txBody>
    </xdr:sp>
    <xdr:clientData/>
  </xdr:twoCellAnchor>
  <xdr:twoCellAnchor>
    <xdr:from>
      <xdr:col>2</xdr:col>
      <xdr:colOff>235321</xdr:colOff>
      <xdr:row>23</xdr:row>
      <xdr:rowOff>91888</xdr:rowOff>
    </xdr:from>
    <xdr:to>
      <xdr:col>3</xdr:col>
      <xdr:colOff>324968</xdr:colOff>
      <xdr:row>24</xdr:row>
      <xdr:rowOff>58271</xdr:rowOff>
    </xdr:to>
    <xdr:sp macro="" textlink="">
      <xdr:nvSpPr>
        <xdr:cNvPr id="28" name="CuadroTexto 27"/>
        <xdr:cNvSpPr txBox="1"/>
      </xdr:nvSpPr>
      <xdr:spPr>
        <a:xfrm>
          <a:off x="635371" y="6502213"/>
          <a:ext cx="689722"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Fecha</a:t>
          </a:r>
        </a:p>
      </xdr:txBody>
    </xdr:sp>
    <xdr:clientData/>
  </xdr:twoCellAnchor>
  <xdr:twoCellAnchor>
    <xdr:from>
      <xdr:col>4</xdr:col>
      <xdr:colOff>264458</xdr:colOff>
      <xdr:row>23</xdr:row>
      <xdr:rowOff>91888</xdr:rowOff>
    </xdr:from>
    <xdr:to>
      <xdr:col>7</xdr:col>
      <xdr:colOff>179294</xdr:colOff>
      <xdr:row>24</xdr:row>
      <xdr:rowOff>58271</xdr:rowOff>
    </xdr:to>
    <xdr:sp macro="" textlink="">
      <xdr:nvSpPr>
        <xdr:cNvPr id="29" name="CuadroTexto 28"/>
        <xdr:cNvSpPr txBox="1"/>
      </xdr:nvSpPr>
      <xdr:spPr>
        <a:xfrm>
          <a:off x="1855133" y="6502213"/>
          <a:ext cx="1438836"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Área contable</a:t>
          </a:r>
        </a:p>
      </xdr:txBody>
    </xdr:sp>
    <xdr:clientData/>
  </xdr:twoCellAnchor>
  <xdr:twoCellAnchor>
    <xdr:from>
      <xdr:col>9</xdr:col>
      <xdr:colOff>338416</xdr:colOff>
      <xdr:row>23</xdr:row>
      <xdr:rowOff>91888</xdr:rowOff>
    </xdr:from>
    <xdr:to>
      <xdr:col>12</xdr:col>
      <xdr:colOff>253253</xdr:colOff>
      <xdr:row>24</xdr:row>
      <xdr:rowOff>58271</xdr:rowOff>
    </xdr:to>
    <xdr:sp macro="" textlink="">
      <xdr:nvSpPr>
        <xdr:cNvPr id="30" name="CuadroTexto 29"/>
        <xdr:cNvSpPr txBox="1"/>
      </xdr:nvSpPr>
      <xdr:spPr>
        <a:xfrm>
          <a:off x="4367491" y="6502213"/>
          <a:ext cx="1438837"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Asiento contable</a:t>
          </a:r>
        </a:p>
      </xdr:txBody>
    </xdr:sp>
    <xdr:clientData/>
  </xdr:twoCellAnchor>
  <xdr:twoCellAnchor>
    <xdr:from>
      <xdr:col>15</xdr:col>
      <xdr:colOff>289111</xdr:colOff>
      <xdr:row>23</xdr:row>
      <xdr:rowOff>91888</xdr:rowOff>
    </xdr:from>
    <xdr:to>
      <xdr:col>19</xdr:col>
      <xdr:colOff>448236</xdr:colOff>
      <xdr:row>24</xdr:row>
      <xdr:rowOff>58271</xdr:rowOff>
    </xdr:to>
    <xdr:sp macro="" textlink="">
      <xdr:nvSpPr>
        <xdr:cNvPr id="31" name="CuadroTexto 30"/>
        <xdr:cNvSpPr txBox="1"/>
      </xdr:nvSpPr>
      <xdr:spPr>
        <a:xfrm>
          <a:off x="7366186" y="6502213"/>
          <a:ext cx="2140325"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100854</xdr:colOff>
      <xdr:row>23</xdr:row>
      <xdr:rowOff>91888</xdr:rowOff>
    </xdr:from>
    <xdr:to>
      <xdr:col>24</xdr:col>
      <xdr:colOff>67235</xdr:colOff>
      <xdr:row>24</xdr:row>
      <xdr:rowOff>58271</xdr:rowOff>
    </xdr:to>
    <xdr:sp macro="" textlink="">
      <xdr:nvSpPr>
        <xdr:cNvPr id="32" name="CuadroTexto 31"/>
        <xdr:cNvSpPr txBox="1"/>
      </xdr:nvSpPr>
      <xdr:spPr>
        <a:xfrm>
          <a:off x="11140329" y="6502213"/>
          <a:ext cx="423581"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chemeClr val="tx1">
                  <a:lumMod val="75000"/>
                  <a:lumOff val="25000"/>
                </a:schemeClr>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23</xdr:row>
      <xdr:rowOff>80683</xdr:rowOff>
    </xdr:from>
    <xdr:to>
      <xdr:col>25</xdr:col>
      <xdr:colOff>515470</xdr:colOff>
      <xdr:row>23</xdr:row>
      <xdr:rowOff>336177</xdr:rowOff>
    </xdr:to>
    <xdr:sp macro="" textlink="">
      <xdr:nvSpPr>
        <xdr:cNvPr id="33" name="CuadroTexto 32"/>
        <xdr:cNvSpPr txBox="1"/>
      </xdr:nvSpPr>
      <xdr:spPr>
        <a:xfrm>
          <a:off x="12043518" y="6491008"/>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CR</a:t>
          </a:r>
        </a:p>
      </xdr:txBody>
    </xdr:sp>
    <xdr:clientData/>
  </xdr:twoCellAnchor>
  <mc:AlternateContent xmlns:mc="http://schemas.openxmlformats.org/markup-compatibility/2006">
    <mc:Choice xmlns:a14="http://schemas.microsoft.com/office/drawing/2010/main" Requires="a14">
      <xdr:twoCellAnchor editAs="oneCell">
        <xdr:from>
          <xdr:col>27</xdr:col>
          <xdr:colOff>9525</xdr:colOff>
          <xdr:row>23</xdr:row>
          <xdr:rowOff>0</xdr:rowOff>
        </xdr:from>
        <xdr:to>
          <xdr:col>27</xdr:col>
          <xdr:colOff>447675</xdr:colOff>
          <xdr:row>32</xdr:row>
          <xdr:rowOff>152400</xdr:rowOff>
        </xdr:to>
        <xdr:sp macro="" textlink="">
          <xdr:nvSpPr>
            <xdr:cNvPr id="2049" name="Scroll Ba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104775</xdr:colOff>
          <xdr:row>0</xdr:row>
          <xdr:rowOff>152400</xdr:rowOff>
        </xdr:from>
        <xdr:to>
          <xdr:col>28</xdr:col>
          <xdr:colOff>190500</xdr:colOff>
          <xdr:row>0</xdr:row>
          <xdr:rowOff>447675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23</xdr:row>
          <xdr:rowOff>85725</xdr:rowOff>
        </xdr:from>
        <xdr:to>
          <xdr:col>9</xdr:col>
          <xdr:colOff>438150</xdr:colOff>
          <xdr:row>23</xdr:row>
          <xdr:rowOff>323850</xdr:rowOff>
        </xdr:to>
        <xdr:sp macro="" textlink="">
          <xdr:nvSpPr>
            <xdr:cNvPr id="2051" name="Option Button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23</xdr:row>
          <xdr:rowOff>85725</xdr:rowOff>
        </xdr:from>
        <xdr:to>
          <xdr:col>15</xdr:col>
          <xdr:colOff>381000</xdr:colOff>
          <xdr:row>23</xdr:row>
          <xdr:rowOff>323850</xdr:rowOff>
        </xdr:to>
        <xdr:sp macro="" textlink="">
          <xdr:nvSpPr>
            <xdr:cNvPr id="2052" name="Option Button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504825</xdr:colOff>
          <xdr:row>23</xdr:row>
          <xdr:rowOff>85725</xdr:rowOff>
        </xdr:from>
        <xdr:to>
          <xdr:col>23</xdr:col>
          <xdr:colOff>276225</xdr:colOff>
          <xdr:row>23</xdr:row>
          <xdr:rowOff>323850</xdr:rowOff>
        </xdr:to>
        <xdr:sp macro="" textlink="">
          <xdr:nvSpPr>
            <xdr:cNvPr id="2053" name="Option Button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409575</xdr:colOff>
          <xdr:row>23</xdr:row>
          <xdr:rowOff>85725</xdr:rowOff>
        </xdr:from>
        <xdr:to>
          <xdr:col>25</xdr:col>
          <xdr:colOff>257175</xdr:colOff>
          <xdr:row>23</xdr:row>
          <xdr:rowOff>323850</xdr:rowOff>
        </xdr:to>
        <xdr:sp macro="" textlink="">
          <xdr:nvSpPr>
            <xdr:cNvPr id="2054" name="Option Button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85725</xdr:rowOff>
        </xdr:from>
        <xdr:to>
          <xdr:col>4</xdr:col>
          <xdr:colOff>333375</xdr:colOff>
          <xdr:row>23</xdr:row>
          <xdr:rowOff>323850</xdr:rowOff>
        </xdr:to>
        <xdr:sp macro="" textlink="">
          <xdr:nvSpPr>
            <xdr:cNvPr id="2055" name="Option Button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85725</xdr:rowOff>
        </xdr:from>
        <xdr:to>
          <xdr:col>2</xdr:col>
          <xdr:colOff>381000</xdr:colOff>
          <xdr:row>23</xdr:row>
          <xdr:rowOff>323850</xdr:rowOff>
        </xdr:to>
        <xdr:sp macro="" textlink="">
          <xdr:nvSpPr>
            <xdr:cNvPr id="2056" name="Option Button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114300</xdr:rowOff>
        </xdr:from>
        <xdr:to>
          <xdr:col>7</xdr:col>
          <xdr:colOff>38100</xdr:colOff>
          <xdr:row>21</xdr:row>
          <xdr:rowOff>190500</xdr:rowOff>
        </xdr:to>
        <xdr:sp macro="" textlink="">
          <xdr:nvSpPr>
            <xdr:cNvPr id="2057" name="List Box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514350</xdr:colOff>
          <xdr:row>20</xdr:row>
          <xdr:rowOff>85725</xdr:rowOff>
        </xdr:from>
        <xdr:to>
          <xdr:col>13</xdr:col>
          <xdr:colOff>142875</xdr:colOff>
          <xdr:row>21</xdr:row>
          <xdr:rowOff>152400</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xdr:cNvGrpSpPr>
          <a:grpSpLocks/>
        </xdr:cNvGrpSpPr>
      </xdr:nvGrpSpPr>
      <xdr:grpSpPr bwMode="auto">
        <a:xfrm>
          <a:off x="261316" y="2607365"/>
          <a:ext cx="4733925" cy="411232"/>
          <a:chOff x="266700" y="400050"/>
          <a:chExt cx="5781675" cy="400050"/>
        </a:xfrm>
      </xdr:grpSpPr>
      <xdr:pic>
        <xdr:nvPicPr>
          <xdr:cNvPr id="3" name="Picture 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xdr:cNvGrpSpPr>
          <a:grpSpLocks/>
        </xdr:cNvGrpSpPr>
      </xdr:nvGrpSpPr>
      <xdr:grpSpPr bwMode="auto">
        <a:xfrm>
          <a:off x="270841" y="3212824"/>
          <a:ext cx="4695825" cy="3478696"/>
          <a:chOff x="4019550" y="1285875"/>
          <a:chExt cx="5391150" cy="4229100"/>
        </a:xfrm>
      </xdr:grpSpPr>
      <xdr:pic>
        <xdr:nvPicPr>
          <xdr:cNvPr id="6"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editAs="oneCell">
    <xdr:from>
      <xdr:col>1</xdr:col>
      <xdr:colOff>9525</xdr:colOff>
      <xdr:row>0</xdr:row>
      <xdr:rowOff>38100</xdr:rowOff>
    </xdr:from>
    <xdr:to>
      <xdr:col>3</xdr:col>
      <xdr:colOff>571500</xdr:colOff>
      <xdr:row>1</xdr:row>
      <xdr:rowOff>314325</xdr:rowOff>
    </xdr:to>
    <xdr:pic>
      <xdr:nvPicPr>
        <xdr:cNvPr id="9" name="webImgShrinked" descr="Imagen"/>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104775" y="38100"/>
          <a:ext cx="20859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419100</xdr:colOff>
      <xdr:row>17</xdr:row>
      <xdr:rowOff>47625</xdr:rowOff>
    </xdr:from>
    <xdr:to>
      <xdr:col>13</xdr:col>
      <xdr:colOff>400050</xdr:colOff>
      <xdr:row>28</xdr:row>
      <xdr:rowOff>104775</xdr:rowOff>
    </xdr:to>
    <xdr:grpSp>
      <xdr:nvGrpSpPr>
        <xdr:cNvPr id="10" name="11 Grupo"/>
        <xdr:cNvGrpSpPr>
          <a:grpSpLocks/>
        </xdr:cNvGrpSpPr>
      </xdr:nvGrpSpPr>
      <xdr:grpSpPr bwMode="auto">
        <a:xfrm>
          <a:off x="5852491" y="3368951"/>
          <a:ext cx="3790950" cy="1879324"/>
          <a:chOff x="5753100" y="2305050"/>
          <a:chExt cx="3790950" cy="1838325"/>
        </a:xfrm>
      </xdr:grpSpPr>
      <xdr:pic>
        <xdr:nvPicPr>
          <xdr:cNvPr id="11" name="Picture 83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126804</xdr:colOff>
      <xdr:row>21</xdr:row>
      <xdr:rowOff>180984</xdr:rowOff>
    </xdr:from>
    <xdr:to>
      <xdr:col>51</xdr:col>
      <xdr:colOff>0</xdr:colOff>
      <xdr:row>32</xdr:row>
      <xdr:rowOff>0</xdr:rowOff>
    </xdr:to>
    <xdr:sp macro="" textlink="">
      <xdr:nvSpPr>
        <xdr:cNvPr id="11" name="Rounded Rectangle 5">
          <a:extLst>
            <a:ext uri="{FF2B5EF4-FFF2-40B4-BE49-F238E27FC236}">
              <a16:creationId xmlns:a16="http://schemas.microsoft.com/office/drawing/2014/main" xmlns="" id="{00000000-0008-0000-0000-000015000000}"/>
            </a:ext>
          </a:extLst>
        </xdr:cNvPr>
        <xdr:cNvSpPr/>
      </xdr:nvSpPr>
      <xdr:spPr>
        <a:xfrm>
          <a:off x="126804" y="3542749"/>
          <a:ext cx="12434990" cy="2037780"/>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638</xdr:colOff>
      <xdr:row>5</xdr:row>
      <xdr:rowOff>0</xdr:rowOff>
    </xdr:from>
    <xdr:to>
      <xdr:col>51</xdr:col>
      <xdr:colOff>0</xdr:colOff>
      <xdr:row>20</xdr:row>
      <xdr:rowOff>123825</xdr:rowOff>
    </xdr:to>
    <xdr:sp macro="" textlink="">
      <xdr:nvSpPr>
        <xdr:cNvPr id="7" name="Rounded Rectangle 5">
          <a:extLst>
            <a:ext uri="{FF2B5EF4-FFF2-40B4-BE49-F238E27FC236}">
              <a16:creationId xmlns:a16="http://schemas.microsoft.com/office/drawing/2014/main" xmlns="" id="{00000000-0008-0000-0000-000015000000}"/>
            </a:ext>
          </a:extLst>
        </xdr:cNvPr>
        <xdr:cNvSpPr/>
      </xdr:nvSpPr>
      <xdr:spPr>
        <a:xfrm>
          <a:off x="135109" y="885265"/>
          <a:ext cx="12449097" cy="2398619"/>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xdr:colOff>
      <xdr:row>0</xdr:row>
      <xdr:rowOff>9524</xdr:rowOff>
    </xdr:from>
    <xdr:to>
      <xdr:col>22</xdr:col>
      <xdr:colOff>180975</xdr:colOff>
      <xdr:row>2</xdr:row>
      <xdr:rowOff>190499</xdr:rowOff>
    </xdr:to>
    <xdr:sp macro="" textlink="">
      <xdr:nvSpPr>
        <xdr:cNvPr id="2" name="CuadroTexto 1"/>
        <xdr:cNvSpPr txBox="1"/>
      </xdr:nvSpPr>
      <xdr:spPr>
        <a:xfrm>
          <a:off x="28575" y="9524"/>
          <a:ext cx="5848350" cy="56197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n-US" sz="2800" b="1">
              <a:solidFill>
                <a:schemeClr val="bg1"/>
              </a:solidFill>
              <a:effectLst>
                <a:outerShdw blurRad="38100" dist="25400" dir="5400000" algn="t" rotWithShape="0">
                  <a:schemeClr val="bg1">
                    <a:alpha val="40000"/>
                  </a:schemeClr>
                </a:outerShdw>
              </a:effectLst>
              <a:latin typeface="Arial" panose="020B0604020202020204" pitchFamily="34" charset="0"/>
              <a:ea typeface="+mn-ea"/>
              <a:cs typeface="Arial" panose="020B0604020202020204" pitchFamily="34" charset="0"/>
            </a:rPr>
            <a:t>Balance de cuentas de gastos</a:t>
          </a:r>
          <a:endParaRPr lang="es-PA" sz="2800" b="1">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2</xdr:colOff>
      <xdr:row>4</xdr:row>
      <xdr:rowOff>0</xdr:rowOff>
    </xdr:from>
    <xdr:to>
      <xdr:col>51</xdr:col>
      <xdr:colOff>11206</xdr:colOff>
      <xdr:row>5</xdr:row>
      <xdr:rowOff>190499</xdr:rowOff>
    </xdr:to>
    <xdr:sp macro="" textlink="">
      <xdr:nvSpPr>
        <xdr:cNvPr id="6" name="Round Same Side Corner Rectangle 8">
          <a:extLst>
            <a:ext uri="{FF2B5EF4-FFF2-40B4-BE49-F238E27FC236}">
              <a16:creationId xmlns:a16="http://schemas.microsoft.com/office/drawing/2014/main" xmlns="" id="{00000000-0008-0000-0000-000014000000}"/>
            </a:ext>
          </a:extLst>
        </xdr:cNvPr>
        <xdr:cNvSpPr/>
      </xdr:nvSpPr>
      <xdr:spPr>
        <a:xfrm>
          <a:off x="134473" y="694765"/>
          <a:ext cx="12460939" cy="380999"/>
        </a:xfrm>
        <a:prstGeom prst="round2SameRect">
          <a:avLst>
            <a:gd name="adj1" fmla="val 50000"/>
            <a:gd name="adj2" fmla="val 0"/>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n>
                <a:noFill/>
              </a:ln>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0</xdr:col>
      <xdr:colOff>124239</xdr:colOff>
      <xdr:row>21</xdr:row>
      <xdr:rowOff>28575</xdr:rowOff>
    </xdr:from>
    <xdr:to>
      <xdr:col>51</xdr:col>
      <xdr:colOff>13138</xdr:colOff>
      <xdr:row>22</xdr:row>
      <xdr:rowOff>123825</xdr:rowOff>
    </xdr:to>
    <xdr:sp macro="" textlink="">
      <xdr:nvSpPr>
        <xdr:cNvPr id="9" name="Round Same Side Corner Rectangle 8">
          <a:extLst>
            <a:ext uri="{FF2B5EF4-FFF2-40B4-BE49-F238E27FC236}">
              <a16:creationId xmlns:a16="http://schemas.microsoft.com/office/drawing/2014/main" xmlns="" id="{00000000-0008-0000-0000-000014000000}"/>
            </a:ext>
          </a:extLst>
        </xdr:cNvPr>
        <xdr:cNvSpPr/>
      </xdr:nvSpPr>
      <xdr:spPr>
        <a:xfrm>
          <a:off x="124239" y="3391885"/>
          <a:ext cx="12573571" cy="292319"/>
        </a:xfrm>
        <a:prstGeom prst="round2SameRect">
          <a:avLst>
            <a:gd name="adj1" fmla="val 50000"/>
            <a:gd name="adj2" fmla="val 0"/>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US" sz="1500">
              <a:ln>
                <a:noFill/>
              </a:ln>
              <a:solidFill>
                <a:schemeClr val="bg1"/>
              </a:solidFill>
              <a:effectLst/>
              <a:latin typeface="Arial" panose="020B0604020202020204" pitchFamily="34" charset="0"/>
              <a:ea typeface="+mn-ea"/>
              <a:cs typeface="Arial" panose="020B0604020202020204" pitchFamily="34" charset="0"/>
            </a:rPr>
            <a:t>Detalle</a:t>
          </a:r>
          <a:r>
            <a:rPr lang="en-US" sz="1500">
              <a:solidFill>
                <a:schemeClr val="lt1"/>
              </a:solidFill>
              <a:effectLst>
                <a:outerShdw blurRad="63500" sx="102000" sy="102000" algn="ctr" rotWithShape="0">
                  <a:srgbClr val="000000">
                    <a:alpha val="40000"/>
                  </a:srgbClr>
                </a:outerShdw>
              </a:effectLst>
              <a:latin typeface="+mn-lt"/>
              <a:ea typeface="+mn-ea"/>
              <a:cs typeface="+mn-cs"/>
            </a:rPr>
            <a:t> </a:t>
          </a:r>
          <a:r>
            <a:rPr lang="en-US" sz="1500">
              <a:ln>
                <a:noFill/>
              </a:ln>
              <a:solidFill>
                <a:schemeClr val="bg1"/>
              </a:solidFill>
              <a:effectLst/>
              <a:latin typeface="Arial" panose="020B0604020202020204" pitchFamily="34" charset="0"/>
              <a:ea typeface="+mn-ea"/>
              <a:cs typeface="Arial" panose="020B0604020202020204" pitchFamily="34" charset="0"/>
            </a:rPr>
            <a:t>de</a:t>
          </a:r>
          <a:r>
            <a:rPr lang="en-US" sz="1500">
              <a:solidFill>
                <a:schemeClr val="lt1"/>
              </a:solidFill>
              <a:effectLst>
                <a:outerShdw blurRad="63500" sx="102000" sy="102000" algn="ctr" rotWithShape="0">
                  <a:srgbClr val="000000">
                    <a:alpha val="40000"/>
                  </a:srgbClr>
                </a:outerShdw>
              </a:effectLst>
              <a:latin typeface="+mn-lt"/>
              <a:ea typeface="+mn-ea"/>
              <a:cs typeface="+mn-cs"/>
            </a:rPr>
            <a:t> </a:t>
          </a:r>
          <a:r>
            <a:rPr lang="en-US" sz="1500">
              <a:ln>
                <a:noFill/>
              </a:ln>
              <a:solidFill>
                <a:schemeClr val="bg1"/>
              </a:solidFill>
              <a:effectLst/>
              <a:latin typeface="Arial" panose="020B0604020202020204" pitchFamily="34" charset="0"/>
              <a:ea typeface="+mn-ea"/>
              <a:cs typeface="Arial" panose="020B0604020202020204" pitchFamily="34" charset="0"/>
            </a:rPr>
            <a:t>asientos</a:t>
          </a:r>
          <a:r>
            <a:rPr lang="en-US" sz="1500" baseline="0">
              <a:ln>
                <a:noFill/>
              </a:ln>
              <a:solidFill>
                <a:schemeClr val="bg1"/>
              </a:solidFill>
              <a:effectLst/>
              <a:latin typeface="Arial" panose="020B0604020202020204" pitchFamily="34" charset="0"/>
              <a:ea typeface="+mn-ea"/>
              <a:cs typeface="Arial" panose="020B0604020202020204" pitchFamily="34" charset="0"/>
            </a:rPr>
            <a:t> </a:t>
          </a:r>
          <a:r>
            <a:rPr lang="en-US" sz="1500">
              <a:ln>
                <a:noFill/>
              </a:ln>
              <a:solidFill>
                <a:schemeClr val="bg1"/>
              </a:solidFill>
              <a:effectLst/>
              <a:latin typeface="Arial" panose="020B0604020202020204" pitchFamily="34" charset="0"/>
              <a:ea typeface="+mn-ea"/>
              <a:cs typeface="Arial" panose="020B0604020202020204" pitchFamily="34" charset="0"/>
            </a:rPr>
            <a:t>y</a:t>
          </a:r>
          <a:r>
            <a:rPr lang="en-US" sz="1500" baseline="0">
              <a:ln>
                <a:noFill/>
              </a:ln>
              <a:solidFill>
                <a:schemeClr val="bg1"/>
              </a:solidFill>
              <a:effectLst/>
              <a:latin typeface="Arial" panose="020B0604020202020204" pitchFamily="34" charset="0"/>
              <a:ea typeface="+mn-ea"/>
              <a:cs typeface="Arial" panose="020B0604020202020204" pitchFamily="34" charset="0"/>
            </a:rPr>
            <a:t> c</a:t>
          </a:r>
          <a:r>
            <a:rPr lang="en-US" sz="1500">
              <a:ln>
                <a:noFill/>
              </a:ln>
              <a:solidFill>
                <a:schemeClr val="bg1"/>
              </a:solidFill>
              <a:effectLst/>
              <a:latin typeface="Arial" panose="020B0604020202020204" pitchFamily="34" charset="0"/>
              <a:ea typeface="+mn-ea"/>
              <a:cs typeface="Arial" panose="020B0604020202020204" pitchFamily="34" charset="0"/>
            </a:rPr>
            <a:t>omprobantes</a:t>
          </a:r>
          <a:r>
            <a:rPr lang="en-US" sz="1500">
              <a:solidFill>
                <a:schemeClr val="lt1"/>
              </a:solidFill>
              <a:effectLst>
                <a:outerShdw blurRad="63500" sx="102000" sy="102000" algn="ctr" rotWithShape="0">
                  <a:srgbClr val="000000">
                    <a:alpha val="40000"/>
                  </a:srgbClr>
                </a:outerShdw>
              </a:effectLst>
              <a:latin typeface="+mn-lt"/>
              <a:ea typeface="+mn-ea"/>
              <a:cs typeface="+mn-cs"/>
            </a:rPr>
            <a:t> </a:t>
          </a:r>
          <a:r>
            <a:rPr lang="en-US" sz="1500">
              <a:ln>
                <a:noFill/>
              </a:ln>
              <a:solidFill>
                <a:schemeClr val="bg1"/>
              </a:solidFill>
              <a:effectLst/>
              <a:latin typeface="Arial" panose="020B0604020202020204" pitchFamily="34" charset="0"/>
              <a:ea typeface="+mn-ea"/>
              <a:cs typeface="Arial" panose="020B0604020202020204" pitchFamily="34" charset="0"/>
            </a:rPr>
            <a:t>contables</a:t>
          </a:r>
          <a:endParaRPr lang="es-PA" sz="1500">
            <a:ln>
              <a:noFill/>
            </a:ln>
            <a:solidFill>
              <a:schemeClr val="bg1"/>
            </a:solidFill>
            <a:effectLst/>
            <a:latin typeface="Arial" panose="020B0604020202020204" pitchFamily="34" charset="0"/>
            <a:ea typeface="+mn-ea"/>
            <a:cs typeface="Arial" panose="020B0604020202020204" pitchFamily="34" charset="0"/>
          </a:endParaRPr>
        </a:p>
      </xdr:txBody>
    </xdr:sp>
    <xdr:clientData/>
  </xdr:twoCellAnchor>
  <xdr:twoCellAnchor>
    <xdr:from>
      <xdr:col>41</xdr:col>
      <xdr:colOff>100854</xdr:colOff>
      <xdr:row>21</xdr:row>
      <xdr:rowOff>83485</xdr:rowOff>
    </xdr:from>
    <xdr:to>
      <xdr:col>43</xdr:col>
      <xdr:colOff>235324</xdr:colOff>
      <xdr:row>22</xdr:row>
      <xdr:rowOff>100853</xdr:rowOff>
    </xdr:to>
    <xdr:sp macro="" textlink="">
      <xdr:nvSpPr>
        <xdr:cNvPr id="13" name="CuadroTexto 12"/>
        <xdr:cNvSpPr txBox="1"/>
      </xdr:nvSpPr>
      <xdr:spPr>
        <a:xfrm>
          <a:off x="8886266" y="3590926"/>
          <a:ext cx="649940"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n-US" sz="1400" b="0">
              <a:ln>
                <a:noFill/>
              </a:ln>
              <a:solidFill>
                <a:schemeClr val="bg1"/>
              </a:solidFill>
              <a:effectLst/>
              <a:latin typeface="Arial" panose="020B0604020202020204" pitchFamily="34" charset="0"/>
              <a:ea typeface="+mn-ea"/>
              <a:cs typeface="Arial" panose="020B0604020202020204" pitchFamily="34" charset="0"/>
            </a:rPr>
            <a:t>Mes:</a:t>
          </a:r>
          <a:endParaRPr lang="es-PA" sz="1400" b="0">
            <a:ln>
              <a:noFill/>
            </a:ln>
            <a:solidFill>
              <a:schemeClr val="bg1"/>
            </a:solidFill>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46</xdr:col>
          <xdr:colOff>114300</xdr:colOff>
          <xdr:row>0</xdr:row>
          <xdr:rowOff>180975</xdr:rowOff>
        </xdr:from>
        <xdr:to>
          <xdr:col>50</xdr:col>
          <xdr:colOff>209550</xdr:colOff>
          <xdr:row>2</xdr:row>
          <xdr:rowOff>0</xdr:rowOff>
        </xdr:to>
        <xdr:sp macro="" textlink="">
          <xdr:nvSpPr>
            <xdr:cNvPr id="3074" name="ListaAños"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142875</xdr:colOff>
          <xdr:row>21</xdr:row>
          <xdr:rowOff>85725</xdr:rowOff>
        </xdr:from>
        <xdr:to>
          <xdr:col>49</xdr:col>
          <xdr:colOff>0</xdr:colOff>
          <xdr:row>22</xdr:row>
          <xdr:rowOff>76200</xdr:rowOff>
        </xdr:to>
        <xdr:sp macro="" textlink="">
          <xdr:nvSpPr>
            <xdr:cNvPr id="3075" name="ListaMeses"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xdr:colOff>
          <xdr:row>22</xdr:row>
          <xdr:rowOff>133350</xdr:rowOff>
        </xdr:from>
        <xdr:to>
          <xdr:col>50</xdr:col>
          <xdr:colOff>257175</xdr:colOff>
          <xdr:row>29</xdr:row>
          <xdr:rowOff>0</xdr:rowOff>
        </xdr:to>
        <xdr:sp macro="" textlink="">
          <xdr:nvSpPr>
            <xdr:cNvPr id="3076" name="BarraSeleccion"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29</xdr:row>
          <xdr:rowOff>85725</xdr:rowOff>
        </xdr:from>
        <xdr:to>
          <xdr:col>5</xdr:col>
          <xdr:colOff>152400</xdr:colOff>
          <xdr:row>31</xdr:row>
          <xdr:rowOff>47625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0" i="0" u="none" strike="noStrike" baseline="0">
                  <a:solidFill>
                    <a:srgbClr val="000000"/>
                  </a:solidFill>
                  <a:latin typeface="Calibri"/>
                </a:rPr>
                <a:t>Expotar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Mo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 val="Mockup"/>
    </sheetNames>
    <definedNames>
      <definedName name="PivotTableSort2"/>
    </definedNames>
    <sheetDataSet>
      <sheetData sheetId="0"/>
      <sheetData sheetId="1"/>
      <sheetData sheetId="2">
        <row r="4">
          <cell r="C4">
            <v>0.8451679830613773</v>
          </cell>
          <cell r="D4">
            <v>0.88121118029160539</v>
          </cell>
          <cell r="E4">
            <v>1</v>
          </cell>
          <cell r="F4">
            <v>1</v>
          </cell>
          <cell r="G4">
            <v>1</v>
          </cell>
          <cell r="H4">
            <v>0.94974613912882788</v>
          </cell>
        </row>
        <row r="5">
          <cell r="C5">
            <v>0</v>
          </cell>
          <cell r="D5">
            <v>0.11878881970839461</v>
          </cell>
          <cell r="E5">
            <v>0</v>
          </cell>
          <cell r="F5">
            <v>0</v>
          </cell>
          <cell r="G5">
            <v>0</v>
          </cell>
          <cell r="H5">
            <v>5.0253860871172118E-2</v>
          </cell>
        </row>
        <row r="6">
          <cell r="C6">
            <v>0.1548320169386227</v>
          </cell>
          <cell r="D6">
            <v>0</v>
          </cell>
          <cell r="E6">
            <v>0</v>
          </cell>
          <cell r="F6">
            <v>0</v>
          </cell>
          <cell r="G6">
            <v>0</v>
          </cell>
          <cell r="H6">
            <v>0</v>
          </cell>
        </row>
      </sheetData>
      <sheetData sheetId="3"/>
      <sheetData sheetId="4"/>
      <sheetData sheetId="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xel Amaya" refreshedDate="43698.593438657408" createdVersion="5" refreshedVersion="5" minRefreshableVersion="3" recordCount="456">
  <cacheSource type="external" connectionId="2"/>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25711.073100000001"/>
    </cacheField>
    <cacheField name="Año" numFmtId="0">
      <sharedItems containsSemiMixedTypes="0" containsString="0" containsNumber="1" containsInteger="1" minValue="2019" maxValue="2019" count="1">
        <n v="2019"/>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xel Amaya" refreshedDate="43698.593717129632" createdVersion="5" refreshedVersion="5" minRefreshableVersion="3" recordCount="8161">
  <cacheSource type="external" connectionId="1"/>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29.260000000000105"/>
    <n v="85.441999999999993"/>
    <x v="0"/>
  </r>
  <r>
    <x v="0"/>
    <x v="2"/>
    <x v="2"/>
    <n v="23.049999999999983"/>
    <n v="103.2723"/>
    <x v="0"/>
  </r>
  <r>
    <x v="0"/>
    <x v="3"/>
    <x v="3"/>
    <n v="165.64"/>
    <n v="900"/>
    <x v="0"/>
  </r>
  <r>
    <x v="0"/>
    <x v="4"/>
    <x v="4"/>
    <n v="215.24"/>
    <n v="666.78700000000003"/>
    <x v="0"/>
  </r>
  <r>
    <x v="0"/>
    <x v="5"/>
    <x v="5"/>
    <n v="0"/>
    <n v="50"/>
    <x v="0"/>
  </r>
  <r>
    <x v="1"/>
    <x v="0"/>
    <x v="0"/>
    <m/>
    <n v="116"/>
    <x v="0"/>
  </r>
  <r>
    <x v="1"/>
    <x v="1"/>
    <x v="1"/>
    <n v="-502.27"/>
    <n v="959.08249999999998"/>
    <x v="0"/>
  </r>
  <r>
    <x v="1"/>
    <x v="2"/>
    <x v="2"/>
    <n v="29.5"/>
    <n v="17.222200000000001"/>
    <x v="0"/>
  </r>
  <r>
    <x v="1"/>
    <x v="3"/>
    <x v="3"/>
    <n v="13.960000000000036"/>
    <n v="612"/>
    <x v="0"/>
  </r>
  <r>
    <x v="1"/>
    <x v="4"/>
    <x v="4"/>
    <n v="-72"/>
    <n v="341.464"/>
    <x v="0"/>
  </r>
  <r>
    <x v="1"/>
    <x v="5"/>
    <x v="5"/>
    <m/>
    <n v="50"/>
    <x v="0"/>
  </r>
  <r>
    <x v="2"/>
    <x v="0"/>
    <x v="0"/>
    <m/>
    <n v="184"/>
    <x v="0"/>
  </r>
  <r>
    <x v="2"/>
    <x v="1"/>
    <x v="1"/>
    <n v="-227.33000000000004"/>
    <n v="356.85210000000001"/>
    <x v="0"/>
  </r>
  <r>
    <x v="2"/>
    <x v="2"/>
    <x v="2"/>
    <n v="6.0499999999999829"/>
    <n v="82.199299999999994"/>
    <x v="0"/>
  </r>
  <r>
    <x v="2"/>
    <x v="3"/>
    <x v="3"/>
    <n v="-192.96000000000004"/>
    <n v="972"/>
    <x v="0"/>
  </r>
  <r>
    <x v="2"/>
    <x v="4"/>
    <x v="4"/>
    <n v="-8"/>
    <n v="813.77380000000005"/>
    <x v="0"/>
  </r>
  <r>
    <x v="2"/>
    <x v="5"/>
    <x v="5"/>
    <m/>
    <n v="132"/>
    <x v="0"/>
  </r>
  <r>
    <x v="3"/>
    <x v="0"/>
    <x v="0"/>
    <m/>
    <n v="123"/>
    <x v="0"/>
  </r>
  <r>
    <x v="3"/>
    <x v="1"/>
    <x v="1"/>
    <n v="-139.23000000000002"/>
    <n v="300.6003"/>
    <x v="0"/>
  </r>
  <r>
    <x v="3"/>
    <x v="2"/>
    <x v="2"/>
    <n v="14.399999999999991"/>
    <n v="20.626000000000001"/>
    <x v="0"/>
  </r>
  <r>
    <x v="3"/>
    <x v="3"/>
    <x v="3"/>
    <n v="79.510000000000048"/>
    <n v="648"/>
    <x v="0"/>
  </r>
  <r>
    <x v="3"/>
    <x v="4"/>
    <x v="4"/>
    <n v="-20.689999999999998"/>
    <n v="17.971800000000002"/>
    <x v="0"/>
  </r>
  <r>
    <x v="3"/>
    <x v="5"/>
    <x v="5"/>
    <n v="-25"/>
    <n v="50"/>
    <x v="0"/>
  </r>
  <r>
    <x v="4"/>
    <x v="0"/>
    <x v="0"/>
    <m/>
    <n v="333"/>
    <x v="0"/>
  </r>
  <r>
    <x v="4"/>
    <x v="1"/>
    <x v="1"/>
    <n v="4525.2200000000012"/>
    <n v="25629.205399999999"/>
    <x v="0"/>
  </r>
  <r>
    <x v="4"/>
    <x v="2"/>
    <x v="2"/>
    <n v="32.700000000000003"/>
    <n v="121.7748"/>
    <x v="0"/>
  </r>
  <r>
    <x v="4"/>
    <x v="3"/>
    <x v="3"/>
    <n v="395.67000000000007"/>
    <n v="1764"/>
    <x v="0"/>
  </r>
  <r>
    <x v="4"/>
    <x v="4"/>
    <x v="4"/>
    <n v="412.58000000000015"/>
    <n v="1174.5012999999999"/>
    <x v="0"/>
  </r>
  <r>
    <x v="4"/>
    <x v="5"/>
    <x v="5"/>
    <m/>
    <n v="210"/>
    <x v="0"/>
  </r>
  <r>
    <x v="5"/>
    <x v="0"/>
    <x v="0"/>
    <m/>
    <n v="89"/>
    <x v="0"/>
  </r>
  <r>
    <x v="5"/>
    <x v="1"/>
    <x v="1"/>
    <n v="-66.170000000000044"/>
    <n v="202.70830000000001"/>
    <x v="0"/>
  </r>
  <r>
    <x v="5"/>
    <x v="2"/>
    <x v="2"/>
    <n v="55.699999999999989"/>
    <n v="46.535600000000002"/>
    <x v="0"/>
  </r>
  <r>
    <x v="5"/>
    <x v="3"/>
    <x v="3"/>
    <n v="216.06000000000012"/>
    <n v="468"/>
    <x v="0"/>
  </r>
  <r>
    <x v="5"/>
    <x v="4"/>
    <x v="4"/>
    <n v="0"/>
    <n v="8.9859000000000009"/>
    <x v="0"/>
  </r>
  <r>
    <x v="5"/>
    <x v="5"/>
    <x v="5"/>
    <m/>
    <n v="50"/>
    <x v="0"/>
  </r>
  <r>
    <x v="6"/>
    <x v="0"/>
    <x v="0"/>
    <m/>
    <n v="68"/>
    <x v="0"/>
  </r>
  <r>
    <x v="6"/>
    <x v="1"/>
    <x v="1"/>
    <n v="-91.059999999999945"/>
    <n v="528.49220000000003"/>
    <x v="0"/>
  </r>
  <r>
    <x v="6"/>
    <x v="2"/>
    <x v="2"/>
    <n v="-1.4500000000000028"/>
    <n v="61.37"/>
    <x v="0"/>
  </r>
  <r>
    <x v="6"/>
    <x v="3"/>
    <x v="3"/>
    <n v="133.80000000000001"/>
    <n v="360"/>
    <x v="0"/>
  </r>
  <r>
    <x v="6"/>
    <x v="4"/>
    <x v="4"/>
    <n v="44.91"/>
    <n v="158.99420000000001"/>
    <x v="0"/>
  </r>
  <r>
    <x v="6"/>
    <x v="5"/>
    <x v="5"/>
    <n v="0"/>
    <n v="50"/>
    <x v="0"/>
  </r>
  <r>
    <x v="7"/>
    <x v="0"/>
    <x v="0"/>
    <m/>
    <n v="109"/>
    <x v="0"/>
  </r>
  <r>
    <x v="7"/>
    <x v="1"/>
    <x v="1"/>
    <n v="-780.56000000000006"/>
    <n v="105.6508"/>
    <x v="0"/>
  </r>
  <r>
    <x v="7"/>
    <x v="2"/>
    <x v="2"/>
    <n v="1.5000000000000071"/>
    <n v="56.086500000000001"/>
    <x v="0"/>
  </r>
  <r>
    <x v="7"/>
    <x v="3"/>
    <x v="3"/>
    <n v="79.610000000000014"/>
    <n v="576"/>
    <x v="0"/>
  </r>
  <r>
    <x v="7"/>
    <x v="4"/>
    <x v="4"/>
    <n v="-226.64999999999986"/>
    <n v="1377.8633"/>
    <x v="0"/>
  </r>
  <r>
    <x v="7"/>
    <x v="5"/>
    <x v="5"/>
    <n v="0"/>
    <n v="50"/>
    <x v="0"/>
  </r>
  <r>
    <x v="8"/>
    <x v="0"/>
    <x v="0"/>
    <m/>
    <n v="150"/>
    <x v="0"/>
  </r>
  <r>
    <x v="8"/>
    <x v="1"/>
    <x v="1"/>
    <n v="-12.700000000000017"/>
    <n v="701.10500000000002"/>
    <x v="0"/>
  </r>
  <r>
    <x v="8"/>
    <x v="2"/>
    <x v="2"/>
    <n v="592.49999999999989"/>
    <n v="837.33510000000001"/>
    <x v="0"/>
  </r>
  <r>
    <x v="8"/>
    <x v="3"/>
    <x v="3"/>
    <n v="372.98"/>
    <n v="792"/>
    <x v="0"/>
  </r>
  <r>
    <x v="8"/>
    <x v="4"/>
    <x v="4"/>
    <n v="91.03"/>
    <n v="34.191299999999998"/>
    <x v="0"/>
  </r>
  <r>
    <x v="8"/>
    <x v="5"/>
    <x v="5"/>
    <n v="5.7999999999999972"/>
    <n v="50"/>
    <x v="0"/>
  </r>
  <r>
    <x v="9"/>
    <x v="0"/>
    <x v="0"/>
    <m/>
    <n v="191"/>
    <x v="0"/>
  </r>
  <r>
    <x v="9"/>
    <x v="1"/>
    <x v="1"/>
    <n v="1239.2100000000009"/>
    <n v="7640.5749999999998"/>
    <x v="0"/>
  </r>
  <r>
    <x v="9"/>
    <x v="2"/>
    <x v="2"/>
    <n v="0"/>
    <n v="17.831900000000001"/>
    <x v="0"/>
  </r>
  <r>
    <x v="9"/>
    <x v="3"/>
    <x v="3"/>
    <n v="387.4"/>
    <n v="1008"/>
    <x v="0"/>
  </r>
  <r>
    <x v="9"/>
    <x v="4"/>
    <x v="4"/>
    <n v="-72.63"/>
    <n v="548.1395"/>
    <x v="0"/>
  </r>
  <r>
    <x v="9"/>
    <x v="5"/>
    <x v="5"/>
    <m/>
    <n v="50"/>
    <x v="0"/>
  </r>
  <r>
    <x v="10"/>
    <x v="0"/>
    <x v="0"/>
    <m/>
    <n v="123"/>
    <x v="0"/>
  </r>
  <r>
    <x v="10"/>
    <x v="1"/>
    <x v="1"/>
    <m/>
    <n v="0"/>
    <x v="0"/>
  </r>
  <r>
    <x v="10"/>
    <x v="2"/>
    <x v="2"/>
    <n v="-40.300000000000011"/>
    <n v="58.829900000000002"/>
    <x v="0"/>
  </r>
  <r>
    <x v="10"/>
    <x v="3"/>
    <x v="3"/>
    <n v="311.61999999999989"/>
    <n v="648"/>
    <x v="0"/>
  </r>
  <r>
    <x v="10"/>
    <x v="4"/>
    <x v="4"/>
    <n v="-21.4"/>
    <n v="700.89970000000005"/>
    <x v="0"/>
  </r>
  <r>
    <x v="10"/>
    <x v="5"/>
    <x v="5"/>
    <n v="0"/>
    <n v="50"/>
    <x v="0"/>
  </r>
  <r>
    <x v="11"/>
    <x v="0"/>
    <x v="0"/>
    <m/>
    <n v="191"/>
    <x v="0"/>
  </r>
  <r>
    <x v="11"/>
    <x v="1"/>
    <x v="1"/>
    <n v="6513.8500000000076"/>
    <n v="20399.734899999999"/>
    <x v="0"/>
  </r>
  <r>
    <x v="11"/>
    <x v="2"/>
    <x v="2"/>
    <n v="-42.699999999999989"/>
    <n v="95.560500000000005"/>
    <x v="0"/>
  </r>
  <r>
    <x v="11"/>
    <x v="3"/>
    <x v="3"/>
    <n v="175.00000000000045"/>
    <n v="1008"/>
    <x v="0"/>
  </r>
  <r>
    <x v="11"/>
    <x v="4"/>
    <x v="4"/>
    <n v="1175.9999999999995"/>
    <n v="4319.2208000000001"/>
    <x v="0"/>
  </r>
  <r>
    <x v="11"/>
    <x v="5"/>
    <x v="5"/>
    <m/>
    <n v="50"/>
    <x v="0"/>
  </r>
  <r>
    <x v="12"/>
    <x v="0"/>
    <x v="0"/>
    <m/>
    <n v="82"/>
    <x v="0"/>
  </r>
  <r>
    <x v="12"/>
    <x v="1"/>
    <x v="1"/>
    <n v="-398.44"/>
    <n v="481.5992"/>
    <x v="0"/>
  </r>
  <r>
    <x v="12"/>
    <x v="2"/>
    <x v="2"/>
    <n v="2.4000000000000057"/>
    <n v="18.238299999999999"/>
    <x v="0"/>
  </r>
  <r>
    <x v="12"/>
    <x v="3"/>
    <x v="3"/>
    <n v="-49.260000000000048"/>
    <n v="432"/>
    <x v="0"/>
  </r>
  <r>
    <x v="12"/>
    <x v="4"/>
    <x v="4"/>
    <n v="0"/>
    <n v="8.9859000000000009"/>
    <x v="0"/>
  </r>
  <r>
    <x v="12"/>
    <x v="5"/>
    <x v="5"/>
    <m/>
    <n v="50"/>
    <x v="0"/>
  </r>
  <r>
    <x v="13"/>
    <x v="0"/>
    <x v="0"/>
    <m/>
    <n v="96"/>
    <x v="0"/>
  </r>
  <r>
    <x v="13"/>
    <x v="1"/>
    <x v="1"/>
    <n v="-467.50000000000006"/>
    <n v="444.05349999999999"/>
    <x v="0"/>
  </r>
  <r>
    <x v="13"/>
    <x v="2"/>
    <x v="2"/>
    <n v="32.399999999999977"/>
    <n v="186.19300000000001"/>
    <x v="0"/>
  </r>
  <r>
    <x v="13"/>
    <x v="3"/>
    <x v="3"/>
    <n v="-51.550000000000068"/>
    <n v="504"/>
    <x v="0"/>
  </r>
  <r>
    <x v="13"/>
    <x v="4"/>
    <x v="4"/>
    <n v="26.79000000000002"/>
    <n v="211.50550000000001"/>
    <x v="0"/>
  </r>
  <r>
    <x v="13"/>
    <x v="5"/>
    <x v="5"/>
    <n v="0"/>
    <n v="50"/>
    <x v="0"/>
  </r>
  <r>
    <x v="14"/>
    <x v="0"/>
    <x v="0"/>
    <m/>
    <n v="96"/>
    <x v="0"/>
  </r>
  <r>
    <x v="14"/>
    <x v="1"/>
    <x v="1"/>
    <n v="-219.51000000000002"/>
    <n v="299.28480000000002"/>
    <x v="0"/>
  </r>
  <r>
    <x v="14"/>
    <x v="2"/>
    <x v="2"/>
    <n v="-46.609999999999992"/>
    <n v="60.252400000000002"/>
    <x v="0"/>
  </r>
  <r>
    <x v="14"/>
    <x v="3"/>
    <x v="3"/>
    <n v="81.37"/>
    <n v="504"/>
    <x v="0"/>
  </r>
  <r>
    <x v="14"/>
    <x v="4"/>
    <x v="4"/>
    <n v="8"/>
    <n v="71.887200000000007"/>
    <x v="0"/>
  </r>
  <r>
    <x v="14"/>
    <x v="5"/>
    <x v="5"/>
    <m/>
    <n v="50"/>
    <x v="0"/>
  </r>
  <r>
    <x v="15"/>
    <x v="0"/>
    <x v="0"/>
    <m/>
    <n v="96"/>
    <x v="0"/>
  </r>
  <r>
    <x v="15"/>
    <x v="1"/>
    <x v="1"/>
    <n v="-4.6999999999999318"/>
    <n v="761.41790000000003"/>
    <x v="0"/>
  </r>
  <r>
    <x v="15"/>
    <x v="2"/>
    <x v="2"/>
    <n v="12.900000000000006"/>
    <n v="105.5686"/>
    <x v="0"/>
  </r>
  <r>
    <x v="15"/>
    <x v="3"/>
    <x v="3"/>
    <n v="296.56999999999994"/>
    <n v="504"/>
    <x v="0"/>
  </r>
  <r>
    <x v="15"/>
    <x v="4"/>
    <x v="4"/>
    <m/>
    <n v="119.3888"/>
    <x v="0"/>
  </r>
  <r>
    <x v="15"/>
    <x v="5"/>
    <x v="5"/>
    <n v="-29.26"/>
    <n v="60"/>
    <x v="0"/>
  </r>
  <r>
    <x v="16"/>
    <x v="0"/>
    <x v="0"/>
    <m/>
    <n v="204"/>
    <x v="0"/>
  </r>
  <r>
    <x v="16"/>
    <x v="1"/>
    <x v="1"/>
    <n v="1364.9800000000014"/>
    <n v="13544.5077"/>
    <x v="0"/>
  </r>
  <r>
    <x v="16"/>
    <x v="2"/>
    <x v="2"/>
    <n v="-8.1499999999999915"/>
    <n v="97.389399999999995"/>
    <x v="0"/>
  </r>
  <r>
    <x v="16"/>
    <x v="3"/>
    <x v="3"/>
    <n v="624.85"/>
    <n v="1080"/>
    <x v="0"/>
  </r>
  <r>
    <x v="16"/>
    <x v="4"/>
    <x v="4"/>
    <n v="117.73999999999978"/>
    <n v="2541.9746"/>
    <x v="0"/>
  </r>
  <r>
    <x v="16"/>
    <x v="5"/>
    <x v="5"/>
    <n v="0"/>
    <n v="144"/>
    <x v="0"/>
  </r>
  <r>
    <x v="17"/>
    <x v="0"/>
    <x v="0"/>
    <m/>
    <n v="197"/>
    <x v="0"/>
  </r>
  <r>
    <x v="17"/>
    <x v="1"/>
    <x v="1"/>
    <n v="4927.5199999999932"/>
    <n v="25711.073100000001"/>
    <x v="0"/>
  </r>
  <r>
    <x v="17"/>
    <x v="2"/>
    <x v="2"/>
    <n v="-77.849999999999994"/>
    <n v="96.779700000000005"/>
    <x v="0"/>
  </r>
  <r>
    <x v="17"/>
    <x v="3"/>
    <x v="3"/>
    <n v="452.32999999999993"/>
    <n v="1044"/>
    <x v="0"/>
  </r>
  <r>
    <x v="17"/>
    <x v="4"/>
    <x v="4"/>
    <n v="1592"/>
    <n v="3404.5691000000002"/>
    <x v="0"/>
  </r>
  <r>
    <x v="17"/>
    <x v="5"/>
    <x v="5"/>
    <n v="0"/>
    <n v="132"/>
    <x v="0"/>
  </r>
  <r>
    <x v="18"/>
    <x v="0"/>
    <x v="0"/>
    <m/>
    <n v="109"/>
    <x v="0"/>
  </r>
  <r>
    <x v="18"/>
    <x v="1"/>
    <x v="1"/>
    <n v="-92.95999999999998"/>
    <n v="446.2167"/>
    <x v="0"/>
  </r>
  <r>
    <x v="18"/>
    <x v="2"/>
    <x v="2"/>
    <n v="20.350000000000364"/>
    <n v="60.506399999999999"/>
    <x v="0"/>
  </r>
  <r>
    <x v="18"/>
    <x v="3"/>
    <x v="3"/>
    <n v="-0.82999999999998408"/>
    <n v="576"/>
    <x v="0"/>
  </r>
  <r>
    <x v="18"/>
    <x v="4"/>
    <x v="4"/>
    <n v="63.64"/>
    <n v="18.275099999999998"/>
    <x v="0"/>
  </r>
  <r>
    <x v="18"/>
    <x v="5"/>
    <x v="5"/>
    <m/>
    <n v="84"/>
    <x v="0"/>
  </r>
  <r>
    <x v="19"/>
    <x v="0"/>
    <x v="0"/>
    <m/>
    <n v="109"/>
    <x v="0"/>
  </r>
  <r>
    <x v="19"/>
    <x v="1"/>
    <x v="1"/>
    <n v="-629.88999999999987"/>
    <n v="596.98389999999995"/>
    <x v="0"/>
  </r>
  <r>
    <x v="19"/>
    <x v="2"/>
    <x v="2"/>
    <n v="28.15"/>
    <n v="25.401499999999999"/>
    <x v="0"/>
  </r>
  <r>
    <x v="19"/>
    <x v="3"/>
    <x v="3"/>
    <n v="208.89999999999998"/>
    <n v="576"/>
    <x v="0"/>
  </r>
  <r>
    <x v="19"/>
    <x v="4"/>
    <x v="4"/>
    <n v="107.98"/>
    <n v="195.83629999999999"/>
    <x v="0"/>
  </r>
  <r>
    <x v="19"/>
    <x v="5"/>
    <x v="5"/>
    <m/>
    <n v="96"/>
    <x v="0"/>
  </r>
  <r>
    <x v="20"/>
    <x v="0"/>
    <x v="0"/>
    <m/>
    <n v="177"/>
    <x v="0"/>
  </r>
  <r>
    <x v="20"/>
    <x v="1"/>
    <x v="1"/>
    <n v="2505.7099999999991"/>
    <n v="3598.1161000000002"/>
    <x v="0"/>
  </r>
  <r>
    <x v="20"/>
    <x v="2"/>
    <x v="2"/>
    <n v="-771.66000000000008"/>
    <n v="3191.4650999999999"/>
    <x v="0"/>
  </r>
  <r>
    <x v="20"/>
    <x v="3"/>
    <x v="3"/>
    <n v="462.77999999999992"/>
    <n v="936"/>
    <x v="0"/>
  </r>
  <r>
    <x v="20"/>
    <x v="4"/>
    <x v="4"/>
    <n v="115.17999999999998"/>
    <n v="110.13339999999999"/>
    <x v="0"/>
  </r>
  <r>
    <x v="20"/>
    <x v="5"/>
    <x v="5"/>
    <m/>
    <n v="120"/>
    <x v="0"/>
  </r>
  <r>
    <x v="21"/>
    <x v="0"/>
    <x v="0"/>
    <m/>
    <n v="231"/>
    <x v="0"/>
  </r>
  <r>
    <x v="21"/>
    <x v="1"/>
    <x v="1"/>
    <n v="2666.029999999997"/>
    <n v="12516.1867"/>
    <x v="0"/>
  </r>
  <r>
    <x v="21"/>
    <x v="2"/>
    <x v="2"/>
    <n v="31.40000000000002"/>
    <n v="88.651200000000003"/>
    <x v="0"/>
  </r>
  <r>
    <x v="21"/>
    <x v="3"/>
    <x v="3"/>
    <n v="431.96999999999991"/>
    <n v="1224"/>
    <x v="0"/>
  </r>
  <r>
    <x v="21"/>
    <x v="4"/>
    <x v="4"/>
    <n v="416"/>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3949.2099999999955"/>
    <n v="6660.4917999999998"/>
    <x v="0"/>
  </r>
  <r>
    <x v="23"/>
    <x v="2"/>
    <x v="2"/>
    <n v="3.7999999999999829"/>
    <n v="35.003300000000003"/>
    <x v="0"/>
  </r>
  <r>
    <x v="23"/>
    <x v="3"/>
    <x v="3"/>
    <n v="153.1400000000001"/>
    <n v="1080"/>
    <x v="0"/>
  </r>
  <r>
    <x v="23"/>
    <x v="4"/>
    <x v="4"/>
    <n v="496"/>
    <n v="1275.9969000000001"/>
    <x v="0"/>
  </r>
  <r>
    <x v="23"/>
    <x v="5"/>
    <x v="5"/>
    <m/>
    <n v="50"/>
    <x v="0"/>
  </r>
  <r>
    <x v="24"/>
    <x v="0"/>
    <x v="0"/>
    <m/>
    <n v="116"/>
    <x v="0"/>
  </r>
  <r>
    <x v="24"/>
    <x v="1"/>
    <x v="1"/>
    <m/>
    <n v="126.6735"/>
    <x v="0"/>
  </r>
  <r>
    <x v="24"/>
    <x v="2"/>
    <x v="2"/>
    <n v="180.7999999999995"/>
    <n v="176.1848"/>
    <x v="0"/>
  </r>
  <r>
    <x v="24"/>
    <x v="3"/>
    <x v="3"/>
    <n v="185.09000000000003"/>
    <n v="612"/>
    <x v="0"/>
  </r>
  <r>
    <x v="24"/>
    <x v="4"/>
    <x v="4"/>
    <n v="0"/>
    <n v="52.792099999999998"/>
    <x v="0"/>
  </r>
  <r>
    <x v="24"/>
    <x v="5"/>
    <x v="5"/>
    <n v="0"/>
    <n v="50"/>
    <x v="0"/>
  </r>
  <r>
    <x v="25"/>
    <x v="0"/>
    <x v="0"/>
    <m/>
    <n v="62"/>
    <x v="0"/>
  </r>
  <r>
    <x v="25"/>
    <x v="1"/>
    <x v="1"/>
    <n v="16.97"/>
    <n v="314.78210000000001"/>
    <x v="0"/>
  </r>
  <r>
    <x v="25"/>
    <x v="2"/>
    <x v="2"/>
    <n v="-38.6"/>
    <n v="89.565700000000007"/>
    <x v="0"/>
  </r>
  <r>
    <x v="25"/>
    <x v="3"/>
    <x v="3"/>
    <n v="101.61999999999998"/>
    <n v="324"/>
    <x v="0"/>
  </r>
  <r>
    <x v="25"/>
    <x v="4"/>
    <x v="4"/>
    <m/>
    <n v="17.612400000000001"/>
    <x v="0"/>
  </r>
  <r>
    <x v="25"/>
    <x v="5"/>
    <x v="5"/>
    <m/>
    <n v="24"/>
    <x v="0"/>
  </r>
  <r>
    <x v="26"/>
    <x v="0"/>
    <x v="0"/>
    <m/>
    <n v="109"/>
    <x v="0"/>
  </r>
  <r>
    <x v="26"/>
    <x v="1"/>
    <x v="1"/>
    <n v="-119.62"/>
    <n v="230.2878"/>
    <x v="0"/>
  </r>
  <r>
    <x v="26"/>
    <x v="2"/>
    <x v="2"/>
    <n v="8.4499999999999922"/>
    <n v="213.22020000000001"/>
    <x v="0"/>
  </r>
  <r>
    <x v="26"/>
    <x v="3"/>
    <x v="3"/>
    <n v="33.680000000000064"/>
    <n v="576"/>
    <x v="0"/>
  </r>
  <r>
    <x v="26"/>
    <x v="4"/>
    <x v="4"/>
    <n v="0"/>
    <n v="24.688700000000001"/>
    <x v="0"/>
  </r>
  <r>
    <x v="26"/>
    <x v="5"/>
    <x v="5"/>
    <m/>
    <n v="72"/>
    <x v="0"/>
  </r>
  <r>
    <x v="27"/>
    <x v="0"/>
    <x v="0"/>
    <m/>
    <n v="306"/>
    <x v="0"/>
  </r>
  <r>
    <x v="27"/>
    <x v="1"/>
    <x v="1"/>
    <n v="-205.80000000000291"/>
    <n v="21334.706099999999"/>
    <x v="0"/>
  </r>
  <r>
    <x v="27"/>
    <x v="2"/>
    <x v="2"/>
    <n v="1001.52"/>
    <n v="250.49950000000001"/>
    <x v="0"/>
  </r>
  <r>
    <x v="27"/>
    <x v="3"/>
    <x v="3"/>
    <n v="-4.67999999999995"/>
    <n v="1620"/>
    <x v="0"/>
  </r>
  <r>
    <x v="27"/>
    <x v="4"/>
    <x v="4"/>
    <n v="246"/>
    <n v="3431.4881999999998"/>
    <x v="0"/>
  </r>
  <r>
    <x v="27"/>
    <x v="5"/>
    <x v="5"/>
    <n v="0"/>
    <n v="50"/>
    <x v="0"/>
  </r>
  <r>
    <x v="28"/>
    <x v="0"/>
    <x v="0"/>
    <m/>
    <n v="96"/>
    <x v="0"/>
  </r>
  <r>
    <x v="28"/>
    <x v="1"/>
    <x v="1"/>
    <n v="55.51"/>
    <n v="389.57319999999999"/>
    <x v="0"/>
  </r>
  <r>
    <x v="28"/>
    <x v="2"/>
    <x v="2"/>
    <n v="64.050000000000011"/>
    <n v="10.2622"/>
    <x v="0"/>
  </r>
  <r>
    <x v="28"/>
    <x v="3"/>
    <x v="3"/>
    <n v="9.8800000000000523"/>
    <n v="504"/>
    <x v="0"/>
  </r>
  <r>
    <x v="28"/>
    <x v="4"/>
    <x v="4"/>
    <n v="-101.16000000000003"/>
    <n v="356.78489999999999"/>
    <x v="0"/>
  </r>
  <r>
    <x v="28"/>
    <x v="5"/>
    <x v="5"/>
    <m/>
    <n v="50"/>
    <x v="0"/>
  </r>
  <r>
    <x v="29"/>
    <x v="0"/>
    <x v="0"/>
    <m/>
    <n v="48"/>
    <x v="0"/>
  </r>
  <r>
    <x v="29"/>
    <x v="1"/>
    <x v="1"/>
    <n v="-1075.98"/>
    <n v="1327.4957999999999"/>
    <x v="0"/>
  </r>
  <r>
    <x v="29"/>
    <x v="2"/>
    <x v="2"/>
    <n v="2376"/>
    <n v="7617.3010000000004"/>
    <x v="0"/>
  </r>
  <r>
    <x v="29"/>
    <x v="3"/>
    <x v="3"/>
    <n v="243.57999999999998"/>
    <n v="252"/>
    <x v="0"/>
  </r>
  <r>
    <x v="29"/>
    <x v="4"/>
    <x v="4"/>
    <n v="-166.14999999999998"/>
    <n v="79.671199999999999"/>
    <x v="0"/>
  </r>
  <r>
    <x v="29"/>
    <x v="5"/>
    <x v="5"/>
    <n v="9.7799999999999994"/>
    <n v="48"/>
    <x v="0"/>
  </r>
  <r>
    <x v="30"/>
    <x v="0"/>
    <x v="0"/>
    <m/>
    <n v="136"/>
    <x v="0"/>
  </r>
  <r>
    <x v="30"/>
    <x v="1"/>
    <x v="1"/>
    <n v="2951.6299999999992"/>
    <n v="13491.2176"/>
    <x v="0"/>
  </r>
  <r>
    <x v="30"/>
    <x v="2"/>
    <x v="2"/>
    <n v="-21.28"/>
    <n v="106.9606"/>
    <x v="0"/>
  </r>
  <r>
    <x v="30"/>
    <x v="3"/>
    <x v="3"/>
    <n v="-144.28999999999996"/>
    <n v="720"/>
    <x v="0"/>
  </r>
  <r>
    <x v="30"/>
    <x v="4"/>
    <x v="4"/>
    <n v="8"/>
    <n v="381.10300000000001"/>
    <x v="0"/>
  </r>
  <r>
    <x v="30"/>
    <x v="5"/>
    <x v="5"/>
    <n v="0"/>
    <n v="50"/>
    <x v="0"/>
  </r>
  <r>
    <x v="31"/>
    <x v="0"/>
    <x v="0"/>
    <m/>
    <n v="41"/>
    <x v="0"/>
  </r>
  <r>
    <x v="31"/>
    <x v="1"/>
    <x v="1"/>
    <n v="-502.5"/>
    <n v="676.92399999999998"/>
    <x v="0"/>
  </r>
  <r>
    <x v="31"/>
    <x v="2"/>
    <x v="2"/>
    <n v="-44.25"/>
    <n v="568.99369999999999"/>
    <x v="0"/>
  </r>
  <r>
    <x v="31"/>
    <x v="3"/>
    <x v="3"/>
    <n v="54.569999999999993"/>
    <n v="216"/>
    <x v="0"/>
  </r>
  <r>
    <x v="31"/>
    <x v="4"/>
    <x v="4"/>
    <n v="-20.400000000000006"/>
    <n v="55.712499999999999"/>
    <x v="0"/>
  </r>
  <r>
    <x v="31"/>
    <x v="5"/>
    <x v="5"/>
    <m/>
    <n v="24"/>
    <x v="0"/>
  </r>
  <r>
    <x v="32"/>
    <x v="0"/>
    <x v="0"/>
    <m/>
    <n v="96"/>
    <x v="0"/>
  </r>
  <r>
    <x v="32"/>
    <x v="1"/>
    <x v="1"/>
    <m/>
    <n v="95.731899999999996"/>
    <x v="0"/>
  </r>
  <r>
    <x v="32"/>
    <x v="2"/>
    <x v="2"/>
    <n v="288.79999999999973"/>
    <n v="2094.4555"/>
    <x v="0"/>
  </r>
  <r>
    <x v="32"/>
    <x v="3"/>
    <x v="3"/>
    <n v="52.489999999999995"/>
    <n v="504"/>
    <x v="0"/>
  </r>
  <r>
    <x v="32"/>
    <x v="4"/>
    <x v="4"/>
    <n v="-48.800000000000011"/>
    <n v="339.98129999999998"/>
    <x v="0"/>
  </r>
  <r>
    <x v="32"/>
    <x v="5"/>
    <x v="5"/>
    <n v="0"/>
    <n v="48"/>
    <x v="0"/>
  </r>
  <r>
    <x v="33"/>
    <x v="0"/>
    <x v="0"/>
    <m/>
    <n v="197"/>
    <x v="0"/>
  </r>
  <r>
    <x v="33"/>
    <x v="1"/>
    <x v="1"/>
    <n v="314.21999999999889"/>
    <n v="2706.8566999999998"/>
    <x v="0"/>
  </r>
  <r>
    <x v="33"/>
    <x v="2"/>
    <x v="2"/>
    <n v="446.15000000000055"/>
    <n v="1391.5451"/>
    <x v="0"/>
  </r>
  <r>
    <x v="33"/>
    <x v="3"/>
    <x v="3"/>
    <n v="266.23"/>
    <n v="1044"/>
    <x v="0"/>
  </r>
  <r>
    <x v="33"/>
    <x v="4"/>
    <x v="4"/>
    <n v="149.96000000000004"/>
    <n v="206.6756"/>
    <x v="0"/>
  </r>
  <r>
    <x v="33"/>
    <x v="5"/>
    <x v="5"/>
    <m/>
    <n v="50"/>
    <x v="0"/>
  </r>
  <r>
    <x v="34"/>
    <x v="0"/>
    <x v="0"/>
    <m/>
    <n v="177"/>
    <x v="0"/>
  </r>
  <r>
    <x v="34"/>
    <x v="1"/>
    <x v="1"/>
    <n v="2036.4400000000014"/>
    <n v="6671.7578999999996"/>
    <x v="0"/>
  </r>
  <r>
    <x v="34"/>
    <x v="2"/>
    <x v="2"/>
    <n v="98.75"/>
    <n v="334.5378"/>
    <x v="0"/>
  </r>
  <r>
    <x v="34"/>
    <x v="3"/>
    <x v="3"/>
    <n v="206.14000000000004"/>
    <n v="936"/>
    <x v="0"/>
  </r>
  <r>
    <x v="34"/>
    <x v="4"/>
    <x v="4"/>
    <n v="885.97000000000025"/>
    <n v="2588.8809000000001"/>
    <x v="0"/>
  </r>
  <r>
    <x v="34"/>
    <x v="5"/>
    <x v="5"/>
    <m/>
    <n v="96"/>
    <x v="0"/>
  </r>
  <r>
    <x v="35"/>
    <x v="0"/>
    <x v="0"/>
    <m/>
    <n v="62"/>
    <x v="0"/>
  </r>
  <r>
    <x v="35"/>
    <x v="1"/>
    <x v="1"/>
    <n v="-109.03000000000009"/>
    <n v="16.057500000000001"/>
    <x v="0"/>
  </r>
  <r>
    <x v="35"/>
    <x v="2"/>
    <x v="2"/>
    <n v="2742.9999999999995"/>
    <n v="3961.8724000000002"/>
    <x v="0"/>
  </r>
  <r>
    <x v="35"/>
    <x v="3"/>
    <x v="3"/>
    <n v="61.480000000000018"/>
    <n v="324"/>
    <x v="0"/>
  </r>
  <r>
    <x v="35"/>
    <x v="4"/>
    <x v="4"/>
    <n v="-0.50999999999999801"/>
    <n v="9.8844999999999992"/>
    <x v="0"/>
  </r>
  <r>
    <x v="35"/>
    <x v="5"/>
    <x v="5"/>
    <n v="52.99"/>
    <n v="60"/>
    <x v="0"/>
  </r>
  <r>
    <x v="36"/>
    <x v="0"/>
    <x v="0"/>
    <m/>
    <n v="96"/>
    <x v="0"/>
  </r>
  <r>
    <x v="36"/>
    <x v="1"/>
    <x v="1"/>
    <n v="41.309999999999988"/>
    <n v="21.6585"/>
    <x v="0"/>
  </r>
  <r>
    <x v="36"/>
    <x v="2"/>
    <x v="2"/>
    <n v="54"/>
    <n v="17.4254"/>
    <x v="0"/>
  </r>
  <r>
    <x v="36"/>
    <x v="3"/>
    <x v="3"/>
    <n v="48.919999999999902"/>
    <n v="504"/>
    <x v="0"/>
  </r>
  <r>
    <x v="36"/>
    <x v="4"/>
    <x v="4"/>
    <n v="23.990000000000002"/>
    <n v="173.8546"/>
    <x v="0"/>
  </r>
  <r>
    <x v="36"/>
    <x v="5"/>
    <x v="5"/>
    <m/>
    <n v="84"/>
    <x v="0"/>
  </r>
  <r>
    <x v="37"/>
    <x v="0"/>
    <x v="0"/>
    <m/>
    <n v="89"/>
    <x v="0"/>
  </r>
  <r>
    <x v="37"/>
    <x v="1"/>
    <x v="1"/>
    <n v="223.94"/>
    <n v="498.65159999999997"/>
    <x v="0"/>
  </r>
  <r>
    <x v="37"/>
    <x v="2"/>
    <x v="2"/>
    <n v="16"/>
    <n v="30.4818"/>
    <x v="0"/>
  </r>
  <r>
    <x v="37"/>
    <x v="3"/>
    <x v="3"/>
    <n v="8.9399999999999977"/>
    <n v="468"/>
    <x v="0"/>
  </r>
  <r>
    <x v="37"/>
    <x v="4"/>
    <x v="4"/>
    <n v="58.179999999999993"/>
    <n v="153.88339999999999"/>
    <x v="0"/>
  </r>
  <r>
    <x v="37"/>
    <x v="5"/>
    <x v="5"/>
    <n v="32.1"/>
    <n v="60"/>
    <x v="0"/>
  </r>
  <r>
    <x v="38"/>
    <x v="0"/>
    <x v="0"/>
    <m/>
    <n v="204"/>
    <x v="0"/>
  </r>
  <r>
    <x v="38"/>
    <x v="1"/>
    <x v="1"/>
    <n v="698.42999999999483"/>
    <n v="13394.651900000001"/>
    <x v="0"/>
  </r>
  <r>
    <x v="38"/>
    <x v="2"/>
    <x v="2"/>
    <n v="-4.5"/>
    <n v="67.415599999999998"/>
    <x v="0"/>
  </r>
  <r>
    <x v="38"/>
    <x v="3"/>
    <x v="3"/>
    <n v="143.05999999999995"/>
    <n v="1080"/>
    <x v="0"/>
  </r>
  <r>
    <x v="38"/>
    <x v="4"/>
    <x v="4"/>
    <n v="144"/>
    <n v="561.84299999999996"/>
    <x v="0"/>
  </r>
  <r>
    <x v="38"/>
    <x v="5"/>
    <x v="5"/>
    <n v="17.989999999999998"/>
    <n v="50"/>
    <x v="0"/>
  </r>
  <r>
    <x v="39"/>
    <x v="0"/>
    <x v="0"/>
    <m/>
    <n v="109"/>
    <x v="0"/>
  </r>
  <r>
    <x v="39"/>
    <x v="1"/>
    <x v="1"/>
    <n v="1225.8300000000017"/>
    <n v="6925.3455000000004"/>
    <x v="0"/>
  </r>
  <r>
    <x v="39"/>
    <x v="2"/>
    <x v="2"/>
    <n v="-16.7"/>
    <n v="2.4384999999999999"/>
    <x v="0"/>
  </r>
  <r>
    <x v="39"/>
    <x v="3"/>
    <x v="3"/>
    <n v="183.63000000000011"/>
    <n v="576"/>
    <x v="0"/>
  </r>
  <r>
    <x v="39"/>
    <x v="4"/>
    <x v="4"/>
    <n v="168"/>
    <n v="2350.4065000000001"/>
    <x v="0"/>
  </r>
  <r>
    <x v="39"/>
    <x v="5"/>
    <x v="5"/>
    <n v="0"/>
    <n v="60"/>
    <x v="0"/>
  </r>
  <r>
    <x v="40"/>
    <x v="0"/>
    <x v="0"/>
    <m/>
    <n v="48"/>
    <x v="0"/>
  </r>
  <r>
    <x v="40"/>
    <x v="1"/>
    <x v="1"/>
    <n v="78.42"/>
    <n v="155.28229999999999"/>
    <x v="0"/>
  </r>
  <r>
    <x v="40"/>
    <x v="2"/>
    <x v="2"/>
    <n v="2.4"/>
    <n v="4.8771000000000004"/>
    <x v="0"/>
  </r>
  <r>
    <x v="40"/>
    <x v="3"/>
    <x v="3"/>
    <n v="294.66000000000003"/>
    <n v="252"/>
    <x v="0"/>
  </r>
  <r>
    <x v="40"/>
    <x v="4"/>
    <x v="4"/>
    <m/>
    <n v="49.703200000000002"/>
    <x v="0"/>
  </r>
  <r>
    <x v="40"/>
    <x v="5"/>
    <x v="5"/>
    <m/>
    <n v="60"/>
    <x v="0"/>
  </r>
  <r>
    <x v="41"/>
    <x v="0"/>
    <x v="0"/>
    <m/>
    <n v="150"/>
    <x v="0"/>
  </r>
  <r>
    <x v="41"/>
    <x v="1"/>
    <x v="1"/>
    <n v="2918.6500000000051"/>
    <n v="2262.0223999999998"/>
    <x v="0"/>
  </r>
  <r>
    <x v="41"/>
    <x v="2"/>
    <x v="2"/>
    <n v="8.6000000000000085"/>
    <n v="18.289100000000001"/>
    <x v="0"/>
  </r>
  <r>
    <x v="41"/>
    <x v="3"/>
    <x v="3"/>
    <n v="128.75999999999988"/>
    <n v="792"/>
    <x v="0"/>
  </r>
  <r>
    <x v="41"/>
    <x v="4"/>
    <x v="4"/>
    <n v="843.97999999999979"/>
    <n v="1189.0921000000001"/>
    <x v="0"/>
  </r>
  <r>
    <x v="41"/>
    <x v="5"/>
    <x v="5"/>
    <n v="0"/>
    <n v="60"/>
    <x v="0"/>
  </r>
  <r>
    <x v="42"/>
    <x v="0"/>
    <x v="0"/>
    <m/>
    <n v="55"/>
    <x v="0"/>
  </r>
  <r>
    <x v="42"/>
    <x v="1"/>
    <x v="1"/>
    <n v="-358.64000000000004"/>
    <n v="272.34199999999998"/>
    <x v="0"/>
  </r>
  <r>
    <x v="42"/>
    <x v="2"/>
    <x v="2"/>
    <n v="-432.5"/>
    <n v="175.80889999999999"/>
    <x v="0"/>
  </r>
  <r>
    <x v="42"/>
    <x v="3"/>
    <x v="3"/>
    <n v="-85.5"/>
    <n v="288"/>
    <x v="0"/>
  </r>
  <r>
    <x v="42"/>
    <x v="4"/>
    <x v="4"/>
    <n v="25.86"/>
    <n v="0"/>
    <x v="0"/>
  </r>
  <r>
    <x v="42"/>
    <x v="5"/>
    <x v="5"/>
    <m/>
    <n v="60"/>
    <x v="0"/>
  </r>
  <r>
    <x v="43"/>
    <x v="0"/>
    <x v="0"/>
    <m/>
    <n v="55"/>
    <x v="0"/>
  </r>
  <r>
    <x v="43"/>
    <x v="1"/>
    <x v="1"/>
    <n v="-59.36"/>
    <n v="20.113"/>
    <x v="0"/>
  </r>
  <r>
    <x v="43"/>
    <x v="2"/>
    <x v="2"/>
    <n v="-235.98999999999978"/>
    <n v="3135.277"/>
    <x v="0"/>
  </r>
  <r>
    <x v="43"/>
    <x v="3"/>
    <x v="3"/>
    <n v="72"/>
    <n v="288"/>
    <x v="0"/>
  </r>
  <r>
    <x v="43"/>
    <x v="4"/>
    <x v="4"/>
    <m/>
    <n v="0"/>
    <x v="0"/>
  </r>
  <r>
    <x v="43"/>
    <x v="5"/>
    <x v="5"/>
    <m/>
    <n v="60"/>
    <x v="0"/>
  </r>
  <r>
    <x v="44"/>
    <x v="0"/>
    <x v="0"/>
    <m/>
    <n v="184"/>
    <x v="0"/>
  </r>
  <r>
    <x v="44"/>
    <x v="1"/>
    <x v="1"/>
    <n v="2281.7600000000007"/>
    <n v="3289.3627999999999"/>
    <x v="0"/>
  </r>
  <r>
    <x v="44"/>
    <x v="2"/>
    <x v="2"/>
    <n v="-33.750000000000014"/>
    <n v="72.292699999999996"/>
    <x v="0"/>
  </r>
  <r>
    <x v="44"/>
    <x v="3"/>
    <x v="3"/>
    <n v="121.25999999999999"/>
    <n v="972"/>
    <x v="0"/>
  </r>
  <r>
    <x v="44"/>
    <x v="4"/>
    <x v="4"/>
    <n v="519.22"/>
    <n v="376.82350000000002"/>
    <x v="0"/>
  </r>
  <r>
    <x v="44"/>
    <x v="5"/>
    <x v="5"/>
    <m/>
    <n v="96"/>
    <x v="0"/>
  </r>
  <r>
    <x v="45"/>
    <x v="0"/>
    <x v="0"/>
    <m/>
    <n v="191"/>
    <x v="0"/>
  </r>
  <r>
    <x v="45"/>
    <x v="1"/>
    <x v="1"/>
    <n v="2060.7400000000007"/>
    <n v="3801.8164000000002"/>
    <x v="0"/>
  </r>
  <r>
    <x v="45"/>
    <x v="2"/>
    <x v="2"/>
    <n v="-3.4000000000000057"/>
    <n v="28.6021"/>
    <x v="0"/>
  </r>
  <r>
    <x v="45"/>
    <x v="3"/>
    <x v="3"/>
    <n v="248.18000000000006"/>
    <n v="1008"/>
    <x v="0"/>
  </r>
  <r>
    <x v="45"/>
    <x v="4"/>
    <x v="4"/>
    <n v="272"/>
    <n v="323.49220000000003"/>
    <x v="0"/>
  </r>
  <r>
    <x v="45"/>
    <x v="5"/>
    <x v="5"/>
    <m/>
    <n v="96"/>
    <x v="0"/>
  </r>
  <r>
    <x v="46"/>
    <x v="0"/>
    <x v="0"/>
    <m/>
    <n v="55"/>
    <x v="0"/>
  </r>
  <r>
    <x v="46"/>
    <x v="1"/>
    <x v="1"/>
    <m/>
    <n v="1559.5181"/>
    <x v="0"/>
  </r>
  <r>
    <x v="46"/>
    <x v="2"/>
    <x v="2"/>
    <n v="510.23"/>
    <n v="3138.8737999999998"/>
    <x v="0"/>
  </r>
  <r>
    <x v="46"/>
    <x v="3"/>
    <x v="3"/>
    <n v="-178.47999999999996"/>
    <n v="288"/>
    <x v="0"/>
  </r>
  <r>
    <x v="46"/>
    <x v="4"/>
    <x v="4"/>
    <n v="-25.98"/>
    <n v="69.505899999999997"/>
    <x v="0"/>
  </r>
  <r>
    <x v="46"/>
    <x v="5"/>
    <x v="5"/>
    <n v="0"/>
    <n v="36"/>
    <x v="0"/>
  </r>
  <r>
    <x v="47"/>
    <x v="0"/>
    <x v="0"/>
    <m/>
    <n v="75"/>
    <x v="0"/>
  </r>
  <r>
    <x v="47"/>
    <x v="1"/>
    <x v="1"/>
    <m/>
    <n v="153.1328"/>
    <x v="0"/>
  </r>
  <r>
    <x v="47"/>
    <x v="2"/>
    <x v="2"/>
    <n v="189.89999999999986"/>
    <n v="143.06129999999999"/>
    <x v="0"/>
  </r>
  <r>
    <x v="47"/>
    <x v="3"/>
    <x v="3"/>
    <n v="-52.039999999999964"/>
    <n v="396"/>
    <x v="0"/>
  </r>
  <r>
    <x v="47"/>
    <x v="4"/>
    <x v="4"/>
    <n v="156.88"/>
    <n v="31.450600000000001"/>
    <x v="0"/>
  </r>
  <r>
    <x v="47"/>
    <x v="5"/>
    <x v="5"/>
    <n v="30"/>
    <n v="48"/>
    <x v="0"/>
  </r>
  <r>
    <x v="48"/>
    <x v="0"/>
    <x v="0"/>
    <m/>
    <n v="82"/>
    <x v="0"/>
  </r>
  <r>
    <x v="48"/>
    <x v="1"/>
    <x v="1"/>
    <n v="-4.5399999999999991"/>
    <n v="145.97540000000001"/>
    <x v="0"/>
  </r>
  <r>
    <x v="48"/>
    <x v="2"/>
    <x v="2"/>
    <n v="34.200000000000003"/>
    <n v="22.4041"/>
    <x v="0"/>
  </r>
  <r>
    <x v="48"/>
    <x v="3"/>
    <x v="3"/>
    <n v="4.8900000000000148"/>
    <n v="432"/>
    <x v="0"/>
  </r>
  <r>
    <x v="48"/>
    <x v="4"/>
    <x v="4"/>
    <m/>
    <n v="15.1637"/>
    <x v="0"/>
  </r>
  <r>
    <x v="48"/>
    <x v="5"/>
    <x v="5"/>
    <n v="-247.61"/>
    <n v="60"/>
    <x v="0"/>
  </r>
  <r>
    <x v="49"/>
    <x v="0"/>
    <x v="0"/>
    <m/>
    <n v="62"/>
    <x v="0"/>
  </r>
  <r>
    <x v="49"/>
    <x v="1"/>
    <x v="1"/>
    <n v="-80.299999999999983"/>
    <n v="224.0899"/>
    <x v="0"/>
  </r>
  <r>
    <x v="49"/>
    <x v="2"/>
    <x v="2"/>
    <n v="4.75"/>
    <n v="9.6525999999999996"/>
    <x v="0"/>
  </r>
  <r>
    <x v="49"/>
    <x v="3"/>
    <x v="3"/>
    <n v="114.33"/>
    <n v="324"/>
    <x v="0"/>
  </r>
  <r>
    <x v="49"/>
    <x v="4"/>
    <x v="4"/>
    <n v="16"/>
    <n v="314.50630000000001"/>
    <x v="0"/>
  </r>
  <r>
    <x v="49"/>
    <x v="5"/>
    <x v="5"/>
    <n v="17.11"/>
    <n v="36"/>
    <x v="0"/>
  </r>
  <r>
    <x v="50"/>
    <x v="0"/>
    <x v="0"/>
    <m/>
    <n v="102"/>
    <x v="0"/>
  </r>
  <r>
    <x v="50"/>
    <x v="1"/>
    <x v="1"/>
    <n v="207.83999999999997"/>
    <n v="345.98660000000001"/>
    <x v="0"/>
  </r>
  <r>
    <x v="50"/>
    <x v="2"/>
    <x v="2"/>
    <n v="23.15"/>
    <n v="38.610300000000002"/>
    <x v="0"/>
  </r>
  <r>
    <x v="50"/>
    <x v="3"/>
    <x v="3"/>
    <n v="164.25999999999988"/>
    <n v="540"/>
    <x v="0"/>
  </r>
  <r>
    <x v="50"/>
    <x v="4"/>
    <x v="4"/>
    <n v="166.55999999999995"/>
    <n v="2394.7406999999998"/>
    <x v="0"/>
  </r>
  <r>
    <x v="50"/>
    <x v="5"/>
    <x v="5"/>
    <m/>
    <n v="72"/>
    <x v="0"/>
  </r>
  <r>
    <x v="51"/>
    <x v="0"/>
    <x v="0"/>
    <m/>
    <n v="75"/>
    <x v="0"/>
  </r>
  <r>
    <x v="51"/>
    <x v="1"/>
    <x v="1"/>
    <n v="4.6199999999999761"/>
    <n v="524.94200000000001"/>
    <x v="0"/>
  </r>
  <r>
    <x v="51"/>
    <x v="2"/>
    <x v="2"/>
    <n v="31.699999999999996"/>
    <n v="27.332000000000001"/>
    <x v="0"/>
  </r>
  <r>
    <x v="51"/>
    <x v="3"/>
    <x v="3"/>
    <n v="105.71000000000004"/>
    <n v="396"/>
    <x v="0"/>
  </r>
  <r>
    <x v="51"/>
    <x v="4"/>
    <x v="4"/>
    <n v="41.3"/>
    <n v="145.0436"/>
    <x v="0"/>
  </r>
  <r>
    <x v="51"/>
    <x v="5"/>
    <x v="5"/>
    <m/>
    <n v="60"/>
    <x v="0"/>
  </r>
  <r>
    <x v="52"/>
    <x v="0"/>
    <x v="0"/>
    <m/>
    <n v="123"/>
    <x v="0"/>
  </r>
  <r>
    <x v="52"/>
    <x v="1"/>
    <x v="1"/>
    <n v="-28"/>
    <n v="171.66739999999999"/>
    <x v="0"/>
  </r>
  <r>
    <x v="52"/>
    <x v="2"/>
    <x v="2"/>
    <n v="8.6500000000000909"/>
    <n v="86.669899999999998"/>
    <x v="0"/>
  </r>
  <r>
    <x v="52"/>
    <x v="3"/>
    <x v="3"/>
    <n v="-32.28000000000003"/>
    <n v="648"/>
    <x v="0"/>
  </r>
  <r>
    <x v="52"/>
    <x v="4"/>
    <x v="4"/>
    <n v="12.959999999999994"/>
    <n v="67.596400000000003"/>
    <x v="0"/>
  </r>
  <r>
    <x v="52"/>
    <x v="5"/>
    <x v="5"/>
    <n v="-5.3500000000000014"/>
    <n v="108"/>
    <x v="0"/>
  </r>
  <r>
    <x v="53"/>
    <x v="0"/>
    <x v="0"/>
    <m/>
    <n v="136"/>
    <x v="0"/>
  </r>
  <r>
    <x v="53"/>
    <x v="1"/>
    <x v="1"/>
    <n v="8.7299999999999613"/>
    <n v="309.3818"/>
    <x v="0"/>
  </r>
  <r>
    <x v="53"/>
    <x v="2"/>
    <x v="2"/>
    <n v="-14.400000000000006"/>
    <n v="87.533600000000007"/>
    <x v="0"/>
  </r>
  <r>
    <x v="53"/>
    <x v="3"/>
    <x v="3"/>
    <n v="48.139999999999873"/>
    <n v="720"/>
    <x v="0"/>
  </r>
  <r>
    <x v="53"/>
    <x v="4"/>
    <x v="4"/>
    <n v="-33.490000000000009"/>
    <n v="45.479900000000001"/>
    <x v="0"/>
  </r>
  <r>
    <x v="53"/>
    <x v="5"/>
    <x v="5"/>
    <n v="0"/>
    <n v="84"/>
    <x v="0"/>
  </r>
  <r>
    <x v="54"/>
    <x v="0"/>
    <x v="0"/>
    <m/>
    <n v="211"/>
    <x v="0"/>
  </r>
  <r>
    <x v="54"/>
    <x v="1"/>
    <x v="1"/>
    <n v="4921.299999999992"/>
    <n v="18526.6486"/>
    <x v="0"/>
  </r>
  <r>
    <x v="54"/>
    <x v="2"/>
    <x v="2"/>
    <n v="868"/>
    <n v="536.47969999999998"/>
    <x v="0"/>
  </r>
  <r>
    <x v="54"/>
    <x v="3"/>
    <x v="3"/>
    <n v="104.02999999999997"/>
    <n v="1116"/>
    <x v="0"/>
  </r>
  <r>
    <x v="54"/>
    <x v="4"/>
    <x v="4"/>
    <n v="921.58999999999924"/>
    <n v="4025.5167999999999"/>
    <x v="0"/>
  </r>
  <r>
    <x v="54"/>
    <x v="5"/>
    <x v="5"/>
    <n v="117.49"/>
    <n v="108"/>
    <x v="0"/>
  </r>
  <r>
    <x v="55"/>
    <x v="0"/>
    <x v="0"/>
    <m/>
    <n v="123"/>
    <x v="0"/>
  </r>
  <r>
    <x v="55"/>
    <x v="1"/>
    <x v="1"/>
    <n v="-186.1"/>
    <n v="91.813900000000004"/>
    <x v="0"/>
  </r>
  <r>
    <x v="55"/>
    <x v="2"/>
    <x v="2"/>
    <n v="38.15"/>
    <n v="29.922999999999998"/>
    <x v="0"/>
  </r>
  <r>
    <x v="55"/>
    <x v="3"/>
    <x v="3"/>
    <n v="58.359999999999957"/>
    <n v="648"/>
    <x v="0"/>
  </r>
  <r>
    <x v="55"/>
    <x v="4"/>
    <x v="4"/>
    <n v="25.979999999999997"/>
    <n v="31.225999999999999"/>
    <x v="0"/>
  </r>
  <r>
    <x v="55"/>
    <x v="5"/>
    <x v="5"/>
    <m/>
    <n v="60"/>
    <x v="0"/>
  </r>
  <r>
    <x v="56"/>
    <x v="0"/>
    <x v="0"/>
    <m/>
    <n v="62"/>
    <x v="0"/>
  </r>
  <r>
    <x v="56"/>
    <x v="1"/>
    <x v="1"/>
    <n v="119.46999999999997"/>
    <n v="371.4513"/>
    <x v="0"/>
  </r>
  <r>
    <x v="56"/>
    <x v="2"/>
    <x v="2"/>
    <n v="66.800000000000011"/>
    <n v="47.754800000000003"/>
    <x v="0"/>
  </r>
  <r>
    <x v="56"/>
    <x v="3"/>
    <x v="3"/>
    <n v="83.810000000000059"/>
    <n v="324"/>
    <x v="0"/>
  </r>
  <r>
    <x v="56"/>
    <x v="4"/>
    <x v="4"/>
    <n v="39.620000000000005"/>
    <n v="177.84209999999999"/>
    <x v="0"/>
  </r>
  <r>
    <x v="56"/>
    <x v="5"/>
    <x v="5"/>
    <n v="18.600000000000001"/>
    <n v="60"/>
    <x v="0"/>
  </r>
  <r>
    <x v="57"/>
    <x v="0"/>
    <x v="0"/>
    <m/>
    <n v="96"/>
    <x v="0"/>
  </r>
  <r>
    <x v="57"/>
    <x v="1"/>
    <x v="1"/>
    <n v="309.46999999999997"/>
    <n v="590.07249999999999"/>
    <x v="0"/>
  </r>
  <r>
    <x v="57"/>
    <x v="2"/>
    <x v="2"/>
    <n v="5.3999999999999995"/>
    <n v="34.8001"/>
    <x v="0"/>
  </r>
  <r>
    <x v="57"/>
    <x v="3"/>
    <x v="3"/>
    <n v="314.52"/>
    <n v="504"/>
    <x v="0"/>
  </r>
  <r>
    <x v="57"/>
    <x v="4"/>
    <x v="4"/>
    <n v="22.849999999999994"/>
    <n v="64.698400000000007"/>
    <x v="0"/>
  </r>
  <r>
    <x v="57"/>
    <x v="5"/>
    <x v="5"/>
    <m/>
    <n v="60"/>
    <x v="0"/>
  </r>
  <r>
    <x v="58"/>
    <x v="0"/>
    <x v="0"/>
    <m/>
    <n v="89"/>
    <x v="0"/>
  </r>
  <r>
    <x v="58"/>
    <x v="1"/>
    <x v="1"/>
    <n v="-68.81"/>
    <n v="207.9914"/>
    <x v="0"/>
  </r>
  <r>
    <x v="58"/>
    <x v="2"/>
    <x v="2"/>
    <n v="37.499999999999545"/>
    <n v="65.231099999999998"/>
    <x v="0"/>
  </r>
  <r>
    <x v="58"/>
    <x v="3"/>
    <x v="3"/>
    <n v="124.10000000000002"/>
    <n v="468"/>
    <x v="0"/>
  </r>
  <r>
    <x v="58"/>
    <x v="4"/>
    <x v="4"/>
    <n v="30.20000000000001"/>
    <n v="0"/>
    <x v="0"/>
  </r>
  <r>
    <x v="58"/>
    <x v="5"/>
    <x v="5"/>
    <n v="0"/>
    <n v="60"/>
    <x v="0"/>
  </r>
  <r>
    <x v="59"/>
    <x v="0"/>
    <x v="0"/>
    <m/>
    <n v="62"/>
    <x v="0"/>
  </r>
  <r>
    <x v="59"/>
    <x v="1"/>
    <x v="1"/>
    <n v="-250.79999999999998"/>
    <n v="85.011700000000005"/>
    <x v="0"/>
  </r>
  <r>
    <x v="59"/>
    <x v="2"/>
    <x v="2"/>
    <n v="10.95"/>
    <n v="40.845599999999997"/>
    <x v="0"/>
  </r>
  <r>
    <x v="59"/>
    <x v="3"/>
    <x v="3"/>
    <n v="-131.35000000000002"/>
    <n v="324"/>
    <x v="0"/>
  </r>
  <r>
    <x v="59"/>
    <x v="4"/>
    <x v="4"/>
    <n v="12.55"/>
    <n v="37.066800000000001"/>
    <x v="0"/>
  </r>
  <r>
    <x v="59"/>
    <x v="5"/>
    <x v="5"/>
    <n v="0"/>
    <n v="48"/>
    <x v="0"/>
  </r>
  <r>
    <x v="60"/>
    <x v="0"/>
    <x v="0"/>
    <m/>
    <n v="177"/>
    <x v="0"/>
  </r>
  <r>
    <x v="60"/>
    <x v="1"/>
    <x v="1"/>
    <n v="-24.220000000000255"/>
    <n v="4378.9534999999996"/>
    <x v="0"/>
  </r>
  <r>
    <x v="60"/>
    <x v="2"/>
    <x v="2"/>
    <n v="169.50000000000003"/>
    <n v="35.765300000000003"/>
    <x v="0"/>
  </r>
  <r>
    <x v="60"/>
    <x v="3"/>
    <x v="3"/>
    <n v="4.5099999999999341"/>
    <n v="936"/>
    <x v="0"/>
  </r>
  <r>
    <x v="60"/>
    <x v="4"/>
    <x v="4"/>
    <n v="-24"/>
    <n v="844.67399999999998"/>
    <x v="0"/>
  </r>
  <r>
    <x v="60"/>
    <x v="5"/>
    <x v="5"/>
    <m/>
    <n v="68"/>
    <x v="0"/>
  </r>
  <r>
    <x v="61"/>
    <x v="0"/>
    <x v="0"/>
    <m/>
    <n v="102"/>
    <x v="0"/>
  </r>
  <r>
    <x v="61"/>
    <x v="1"/>
    <x v="1"/>
    <n v="-308.68000000000012"/>
    <n v="237.58430000000001"/>
    <x v="0"/>
  </r>
  <r>
    <x v="61"/>
    <x v="2"/>
    <x v="2"/>
    <n v="-4.1500000000000057"/>
    <n v="46.332299999999996"/>
    <x v="0"/>
  </r>
  <r>
    <x v="61"/>
    <x v="3"/>
    <x v="3"/>
    <n v="99.519999999999982"/>
    <n v="540"/>
    <x v="0"/>
  </r>
  <r>
    <x v="61"/>
    <x v="4"/>
    <x v="4"/>
    <n v="-32"/>
    <n v="48.2879"/>
    <x v="0"/>
  </r>
  <r>
    <x v="61"/>
    <x v="5"/>
    <x v="5"/>
    <n v="-25"/>
    <n v="60"/>
    <x v="0"/>
  </r>
  <r>
    <x v="62"/>
    <x v="0"/>
    <x v="0"/>
    <m/>
    <n v="245"/>
    <x v="0"/>
  </r>
  <r>
    <x v="62"/>
    <x v="1"/>
    <x v="1"/>
    <n v="789.71000000000049"/>
    <n v="2041.492"/>
    <x v="0"/>
  </r>
  <r>
    <x v="62"/>
    <x v="2"/>
    <x v="2"/>
    <n v="-138.05000000000001"/>
    <n v="191.32409999999999"/>
    <x v="0"/>
  </r>
  <r>
    <x v="62"/>
    <x v="3"/>
    <x v="3"/>
    <n v="397.13999999999987"/>
    <n v="1296"/>
    <x v="0"/>
  </r>
  <r>
    <x v="62"/>
    <x v="4"/>
    <x v="4"/>
    <n v="102.75999999999999"/>
    <n v="707.0326"/>
    <x v="0"/>
  </r>
  <r>
    <x v="62"/>
    <x v="5"/>
    <x v="5"/>
    <n v="-25"/>
    <n v="108"/>
    <x v="0"/>
  </r>
  <r>
    <x v="63"/>
    <x v="0"/>
    <x v="0"/>
    <m/>
    <n v="191"/>
    <x v="0"/>
  </r>
  <r>
    <x v="63"/>
    <x v="1"/>
    <x v="1"/>
    <n v="1980.6400000000049"/>
    <n v="13918.9046"/>
    <x v="0"/>
  </r>
  <r>
    <x v="63"/>
    <x v="2"/>
    <x v="2"/>
    <n v="51.670000000000016"/>
    <n v="86.669899999999998"/>
    <x v="0"/>
  </r>
  <r>
    <x v="63"/>
    <x v="3"/>
    <x v="3"/>
    <n v="103.32000000000005"/>
    <n v="1008"/>
    <x v="0"/>
  </r>
  <r>
    <x v="63"/>
    <x v="4"/>
    <x v="4"/>
    <n v="960"/>
    <n v="4384.0315000000001"/>
    <x v="0"/>
  </r>
  <r>
    <x v="63"/>
    <x v="5"/>
    <x v="5"/>
    <m/>
    <n v="84"/>
    <x v="0"/>
  </r>
  <r>
    <x v="64"/>
    <x v="0"/>
    <x v="0"/>
    <m/>
    <n v="96"/>
    <x v="0"/>
  </r>
  <r>
    <x v="64"/>
    <x v="1"/>
    <x v="1"/>
    <n v="6.5599999999999987"/>
    <n v="82.6113"/>
    <x v="0"/>
  </r>
  <r>
    <x v="64"/>
    <x v="2"/>
    <x v="2"/>
    <n v="1382.9499999999998"/>
    <n v="1465.4635000000001"/>
    <x v="0"/>
  </r>
  <r>
    <x v="64"/>
    <x v="3"/>
    <x v="3"/>
    <n v="7.5600000000000591"/>
    <n v="504"/>
    <x v="0"/>
  </r>
  <r>
    <x v="64"/>
    <x v="4"/>
    <x v="4"/>
    <n v="0"/>
    <n v="91.117000000000004"/>
    <x v="0"/>
  </r>
  <r>
    <x v="64"/>
    <x v="5"/>
    <x v="5"/>
    <n v="50"/>
    <n v="72"/>
    <x v="0"/>
  </r>
  <r>
    <x v="65"/>
    <x v="0"/>
    <x v="0"/>
    <m/>
    <n v="41"/>
    <x v="0"/>
  </r>
  <r>
    <x v="65"/>
    <x v="1"/>
    <x v="1"/>
    <n v="0"/>
    <n v="54.475000000000001"/>
    <x v="0"/>
  </r>
  <r>
    <x v="65"/>
    <x v="2"/>
    <x v="2"/>
    <n v="14.700000000000003"/>
    <n v="21.7897"/>
    <x v="0"/>
  </r>
  <r>
    <x v="65"/>
    <x v="3"/>
    <x v="3"/>
    <n v="39.860000000000014"/>
    <n v="216"/>
    <x v="0"/>
  </r>
  <r>
    <x v="65"/>
    <x v="4"/>
    <x v="4"/>
    <n v="23.91"/>
    <n v="0"/>
    <x v="0"/>
  </r>
  <r>
    <x v="65"/>
    <x v="5"/>
    <x v="5"/>
    <m/>
    <n v="36"/>
    <x v="0"/>
  </r>
  <r>
    <x v="66"/>
    <x v="0"/>
    <x v="0"/>
    <m/>
    <n v="89"/>
    <x v="0"/>
  </r>
  <r>
    <x v="66"/>
    <x v="1"/>
    <x v="1"/>
    <n v="169.98000000000013"/>
    <n v="575.94579999999996"/>
    <x v="0"/>
  </r>
  <r>
    <x v="66"/>
    <x v="2"/>
    <x v="2"/>
    <n v="-6.2999999999999972"/>
    <n v="117.47199999999999"/>
    <x v="0"/>
  </r>
  <r>
    <x v="66"/>
    <x v="3"/>
    <x v="3"/>
    <n v="120.3599999999999"/>
    <n v="468"/>
    <x v="0"/>
  </r>
  <r>
    <x v="66"/>
    <x v="4"/>
    <x v="4"/>
    <n v="8"/>
    <n v="37.061999999999998"/>
    <x v="0"/>
  </r>
  <r>
    <x v="66"/>
    <x v="5"/>
    <x v="5"/>
    <m/>
    <n v="36"/>
    <x v="0"/>
  </r>
  <r>
    <x v="67"/>
    <x v="0"/>
    <x v="0"/>
    <m/>
    <n v="55"/>
    <x v="0"/>
  </r>
  <r>
    <x v="67"/>
    <x v="1"/>
    <x v="1"/>
    <n v="312.33"/>
    <n v="61.7639"/>
    <x v="0"/>
  </r>
  <r>
    <x v="67"/>
    <x v="2"/>
    <x v="2"/>
    <n v="111.00000000000023"/>
    <n v="629.95730000000003"/>
    <x v="0"/>
  </r>
  <r>
    <x v="67"/>
    <x v="3"/>
    <x v="3"/>
    <n v="16.340000000000003"/>
    <n v="288"/>
    <x v="0"/>
  </r>
  <r>
    <x v="67"/>
    <x v="4"/>
    <x v="4"/>
    <m/>
    <n v="35"/>
    <x v="0"/>
  </r>
  <r>
    <x v="67"/>
    <x v="5"/>
    <x v="5"/>
    <m/>
    <n v="36"/>
    <x v="0"/>
  </r>
  <r>
    <x v="68"/>
    <x v="0"/>
    <x v="0"/>
    <m/>
    <n v="0"/>
    <x v="0"/>
  </r>
  <r>
    <x v="68"/>
    <x v="1"/>
    <x v="1"/>
    <n v="-147.12999999999994"/>
    <n v="0"/>
    <x v="0"/>
  </r>
  <r>
    <x v="68"/>
    <x v="2"/>
    <x v="2"/>
    <n v="3.7500000000000036"/>
    <n v="0"/>
    <x v="0"/>
  </r>
  <r>
    <x v="68"/>
    <x v="3"/>
    <x v="3"/>
    <n v="126.94999999999996"/>
    <n v="0"/>
    <x v="0"/>
  </r>
  <r>
    <x v="68"/>
    <x v="4"/>
    <x v="4"/>
    <n v="87.57"/>
    <n v="0"/>
    <x v="0"/>
  </r>
  <r>
    <x v="68"/>
    <x v="5"/>
    <x v="5"/>
    <m/>
    <n v="0"/>
    <x v="0"/>
  </r>
  <r>
    <x v="69"/>
    <x v="0"/>
    <x v="0"/>
    <m/>
    <n v="68"/>
    <x v="0"/>
  </r>
  <r>
    <x v="69"/>
    <x v="1"/>
    <x v="1"/>
    <n v="876.9200000000003"/>
    <n v="0"/>
    <x v="0"/>
  </r>
  <r>
    <x v="69"/>
    <x v="2"/>
    <x v="2"/>
    <n v="4.75"/>
    <n v="204.4821"/>
    <x v="0"/>
  </r>
  <r>
    <x v="69"/>
    <x v="3"/>
    <x v="3"/>
    <n v="-44.220000000000027"/>
    <n v="360"/>
    <x v="0"/>
  </r>
  <r>
    <x v="69"/>
    <x v="4"/>
    <x v="4"/>
    <n v="595.26999999999987"/>
    <n v="263.4776"/>
    <x v="0"/>
  </r>
  <r>
    <x v="69"/>
    <x v="5"/>
    <x v="5"/>
    <m/>
    <n v="36"/>
    <x v="0"/>
  </r>
  <r>
    <x v="70"/>
    <x v="0"/>
    <x v="0"/>
    <m/>
    <n v="62"/>
    <x v="0"/>
  </r>
  <r>
    <x v="70"/>
    <x v="1"/>
    <x v="1"/>
    <n v="-13.41"/>
    <n v="472.71570000000003"/>
    <x v="0"/>
  </r>
  <r>
    <x v="70"/>
    <x v="2"/>
    <x v="2"/>
    <n v="-2.8999999999999773"/>
    <n v="63.656199999999998"/>
    <x v="0"/>
  </r>
  <r>
    <x v="70"/>
    <x v="3"/>
    <x v="3"/>
    <n v="-20.679999999999978"/>
    <n v="324"/>
    <x v="0"/>
  </r>
  <r>
    <x v="70"/>
    <x v="4"/>
    <x v="4"/>
    <n v="15.920000000000002"/>
    <n v="185"/>
    <x v="0"/>
  </r>
  <r>
    <x v="70"/>
    <x v="5"/>
    <x v="5"/>
    <m/>
    <n v="36"/>
    <x v="0"/>
  </r>
  <r>
    <x v="71"/>
    <x v="0"/>
    <x v="0"/>
    <m/>
    <n v="75"/>
    <x v="0"/>
  </r>
  <r>
    <x v="71"/>
    <x v="1"/>
    <x v="1"/>
    <n v="-282.48999999999995"/>
    <n v="818.41809999999998"/>
    <x v="0"/>
  </r>
  <r>
    <x v="71"/>
    <x v="2"/>
    <x v="2"/>
    <n v="651"/>
    <n v="446.84289999999999"/>
    <x v="0"/>
  </r>
  <r>
    <x v="71"/>
    <x v="3"/>
    <x v="3"/>
    <n v="207.69000000000005"/>
    <n v="396"/>
    <x v="0"/>
  </r>
  <r>
    <x v="71"/>
    <x v="4"/>
    <x v="4"/>
    <n v="75.009999999999991"/>
    <n v="1385.242"/>
    <x v="0"/>
  </r>
  <r>
    <x v="71"/>
    <x v="5"/>
    <x v="5"/>
    <m/>
    <n v="36"/>
    <x v="0"/>
  </r>
  <r>
    <x v="72"/>
    <x v="0"/>
    <x v="0"/>
    <m/>
    <n v="41"/>
    <x v="0"/>
  </r>
  <r>
    <x v="72"/>
    <x v="1"/>
    <x v="1"/>
    <n v="-564.09"/>
    <n v="1252.5023000000001"/>
    <x v="0"/>
  </r>
  <r>
    <x v="72"/>
    <x v="2"/>
    <x v="2"/>
    <n v="-9.8999999999999773"/>
    <n v="117.47199999999999"/>
    <x v="0"/>
  </r>
  <r>
    <x v="72"/>
    <x v="3"/>
    <x v="3"/>
    <n v="-128.26999999999998"/>
    <n v="216"/>
    <x v="0"/>
  </r>
  <r>
    <x v="72"/>
    <x v="4"/>
    <x v="4"/>
    <n v="-7.2299999999999898"/>
    <n v="53.4773"/>
    <x v="0"/>
  </r>
  <r>
    <x v="72"/>
    <x v="5"/>
    <x v="5"/>
    <n v="0"/>
    <n v="36"/>
    <x v="0"/>
  </r>
  <r>
    <x v="73"/>
    <x v="0"/>
    <x v="0"/>
    <m/>
    <n v="82"/>
    <x v="0"/>
  </r>
  <r>
    <x v="73"/>
    <x v="1"/>
    <x v="1"/>
    <n v="135.51"/>
    <n v="1499.8046999999999"/>
    <x v="0"/>
  </r>
  <r>
    <x v="73"/>
    <x v="2"/>
    <x v="2"/>
    <n v="-26"/>
    <n v="489.46660000000003"/>
    <x v="0"/>
  </r>
  <r>
    <x v="73"/>
    <x v="3"/>
    <x v="3"/>
    <n v="213.67999999999995"/>
    <n v="432"/>
    <x v="0"/>
  </r>
  <r>
    <x v="73"/>
    <x v="4"/>
    <x v="4"/>
    <n v="140.20999999999998"/>
    <n v="81.232500000000002"/>
    <x v="0"/>
  </r>
  <r>
    <x v="73"/>
    <x v="5"/>
    <x v="5"/>
    <n v="45"/>
    <n v="36"/>
    <x v="0"/>
  </r>
  <r>
    <x v="74"/>
    <x v="0"/>
    <x v="0"/>
    <m/>
    <n v="0"/>
    <x v="0"/>
  </r>
  <r>
    <x v="74"/>
    <x v="1"/>
    <x v="1"/>
    <n v="44.13"/>
    <n v="0"/>
    <x v="0"/>
  </r>
  <r>
    <x v="74"/>
    <x v="2"/>
    <x v="2"/>
    <n v="204.20000000000002"/>
    <n v="0"/>
    <x v="0"/>
  </r>
  <r>
    <x v="74"/>
    <x v="3"/>
    <x v="3"/>
    <n v="219.95999999999998"/>
    <n v="0"/>
    <x v="0"/>
  </r>
  <r>
    <x v="74"/>
    <x v="4"/>
    <x v="4"/>
    <n v="16"/>
    <n v="0"/>
    <x v="0"/>
  </r>
  <r>
    <x v="74"/>
    <x v="5"/>
    <x v="5"/>
    <m/>
    <n v="0"/>
    <x v="0"/>
  </r>
  <r>
    <x v="75"/>
    <x v="0"/>
    <x v="0"/>
    <m/>
    <n v="62"/>
    <x v="0"/>
  </r>
  <r>
    <x v="75"/>
    <x v="1"/>
    <x v="1"/>
    <n v="97.52000000000001"/>
    <n v="356.63709999999998"/>
    <x v="0"/>
  </r>
  <r>
    <x v="75"/>
    <x v="2"/>
    <x v="2"/>
    <n v="83.85"/>
    <n v="97.893299999999996"/>
    <x v="0"/>
  </r>
  <r>
    <x v="75"/>
    <x v="3"/>
    <x v="3"/>
    <n v="28.879999999999995"/>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8161">
  <r>
    <x v="0"/>
    <x v="0"/>
    <x v="0"/>
    <x v="0"/>
    <x v="0"/>
    <x v="0"/>
    <x v="0"/>
    <x v="0"/>
    <x v="0"/>
    <x v="0"/>
    <s v="CASA MATRIZ"/>
    <x v="0"/>
  </r>
  <r>
    <x v="0"/>
    <x v="1"/>
    <x v="1"/>
    <x v="1"/>
    <x v="0"/>
    <x v="0"/>
    <x v="1"/>
    <x v="1"/>
    <x v="1"/>
    <x v="1"/>
    <s v="CASA MATRIZ"/>
    <x v="0"/>
  </r>
  <r>
    <x v="0"/>
    <x v="2"/>
    <x v="2"/>
    <x v="2"/>
    <x v="0"/>
    <x v="1"/>
    <x v="2"/>
    <x v="2"/>
    <x v="2"/>
    <x v="0"/>
    <s v="CASA MATRIZ"/>
    <x v="0"/>
  </r>
  <r>
    <x v="0"/>
    <x v="3"/>
    <x v="3"/>
    <x v="3"/>
    <x v="0"/>
    <x v="1"/>
    <x v="3"/>
    <x v="3"/>
    <x v="3"/>
    <x v="0"/>
    <s v="CASA MATRIZ"/>
    <x v="0"/>
  </r>
  <r>
    <x v="0"/>
    <x v="4"/>
    <x v="4"/>
    <x v="4"/>
    <x v="0"/>
    <x v="1"/>
    <x v="4"/>
    <x v="4"/>
    <x v="4"/>
    <x v="0"/>
    <s v="CASA MATRIZ"/>
    <x v="0"/>
  </r>
  <r>
    <x v="0"/>
    <x v="0"/>
    <x v="0"/>
    <x v="0"/>
    <x v="0"/>
    <x v="1"/>
    <x v="0"/>
    <x v="0"/>
    <x v="4"/>
    <x v="0"/>
    <s v="CASA MATRIZ"/>
    <x v="0"/>
  </r>
  <r>
    <x v="0"/>
    <x v="5"/>
    <x v="0"/>
    <x v="0"/>
    <x v="0"/>
    <x v="1"/>
    <x v="5"/>
    <x v="5"/>
    <x v="5"/>
    <x v="0"/>
    <s v="CASA MATRIZ"/>
    <x v="0"/>
  </r>
  <r>
    <x v="0"/>
    <x v="6"/>
    <x v="5"/>
    <x v="5"/>
    <x v="0"/>
    <x v="1"/>
    <x v="6"/>
    <x v="6"/>
    <x v="6"/>
    <x v="0"/>
    <s v="CASA MATRIZ"/>
    <x v="0"/>
  </r>
  <r>
    <x v="0"/>
    <x v="1"/>
    <x v="1"/>
    <x v="1"/>
    <x v="0"/>
    <x v="1"/>
    <x v="1"/>
    <x v="1"/>
    <x v="1"/>
    <x v="2"/>
    <s v="CASA MATRIZ"/>
    <x v="0"/>
  </r>
  <r>
    <x v="1"/>
    <x v="7"/>
    <x v="2"/>
    <x v="2"/>
    <x v="0"/>
    <x v="2"/>
    <x v="7"/>
    <x v="7"/>
    <x v="7"/>
    <x v="0"/>
    <s v="PAITILLA"/>
    <x v="0"/>
  </r>
  <r>
    <x v="1"/>
    <x v="3"/>
    <x v="3"/>
    <x v="3"/>
    <x v="0"/>
    <x v="2"/>
    <x v="3"/>
    <x v="3"/>
    <x v="8"/>
    <x v="0"/>
    <s v="PAITILLA"/>
    <x v="0"/>
  </r>
  <r>
    <x v="1"/>
    <x v="5"/>
    <x v="0"/>
    <x v="0"/>
    <x v="0"/>
    <x v="2"/>
    <x v="5"/>
    <x v="5"/>
    <x v="9"/>
    <x v="0"/>
    <s v="PAITILLA"/>
    <x v="0"/>
  </r>
  <r>
    <x v="1"/>
    <x v="8"/>
    <x v="1"/>
    <x v="1"/>
    <x v="0"/>
    <x v="2"/>
    <x v="8"/>
    <x v="8"/>
    <x v="10"/>
    <x v="0"/>
    <s v="PAITILLA"/>
    <x v="0"/>
  </r>
  <r>
    <x v="1"/>
    <x v="1"/>
    <x v="1"/>
    <x v="1"/>
    <x v="0"/>
    <x v="2"/>
    <x v="1"/>
    <x v="1"/>
    <x v="1"/>
    <x v="3"/>
    <s v="PAITILLA"/>
    <x v="0"/>
  </r>
  <r>
    <x v="1"/>
    <x v="9"/>
    <x v="6"/>
    <x v="6"/>
    <x v="0"/>
    <x v="0"/>
    <x v="9"/>
    <x v="9"/>
    <x v="11"/>
    <x v="0"/>
    <s v="PAITILLA"/>
    <x v="0"/>
  </r>
  <r>
    <x v="1"/>
    <x v="10"/>
    <x v="3"/>
    <x v="3"/>
    <x v="0"/>
    <x v="0"/>
    <x v="10"/>
    <x v="10"/>
    <x v="12"/>
    <x v="0"/>
    <s v="PAITILLA"/>
    <x v="0"/>
  </r>
  <r>
    <x v="1"/>
    <x v="3"/>
    <x v="3"/>
    <x v="3"/>
    <x v="0"/>
    <x v="0"/>
    <x v="3"/>
    <x v="3"/>
    <x v="13"/>
    <x v="0"/>
    <s v="PAITILLA"/>
    <x v="0"/>
  </r>
  <r>
    <x v="1"/>
    <x v="4"/>
    <x v="4"/>
    <x v="4"/>
    <x v="0"/>
    <x v="0"/>
    <x v="4"/>
    <x v="4"/>
    <x v="14"/>
    <x v="0"/>
    <s v="PAITILLA"/>
    <x v="0"/>
  </r>
  <r>
    <x v="1"/>
    <x v="0"/>
    <x v="0"/>
    <x v="0"/>
    <x v="0"/>
    <x v="0"/>
    <x v="0"/>
    <x v="0"/>
    <x v="15"/>
    <x v="0"/>
    <s v="PAITILLA"/>
    <x v="0"/>
  </r>
  <r>
    <x v="1"/>
    <x v="1"/>
    <x v="1"/>
    <x v="1"/>
    <x v="0"/>
    <x v="0"/>
    <x v="1"/>
    <x v="1"/>
    <x v="1"/>
    <x v="4"/>
    <s v="PAITILLA"/>
    <x v="0"/>
  </r>
  <r>
    <x v="1"/>
    <x v="1"/>
    <x v="1"/>
    <x v="1"/>
    <x v="0"/>
    <x v="1"/>
    <x v="1"/>
    <x v="1"/>
    <x v="1"/>
    <x v="5"/>
    <s v="PAITILLA"/>
    <x v="0"/>
  </r>
  <r>
    <x v="2"/>
    <x v="11"/>
    <x v="6"/>
    <x v="6"/>
    <x v="0"/>
    <x v="0"/>
    <x v="11"/>
    <x v="11"/>
    <x v="16"/>
    <x v="0"/>
    <s v="EL DORADO"/>
    <x v="0"/>
  </r>
  <r>
    <x v="2"/>
    <x v="3"/>
    <x v="3"/>
    <x v="3"/>
    <x v="0"/>
    <x v="0"/>
    <x v="3"/>
    <x v="3"/>
    <x v="17"/>
    <x v="0"/>
    <s v="EL DORADO"/>
    <x v="0"/>
  </r>
  <r>
    <x v="2"/>
    <x v="4"/>
    <x v="4"/>
    <x v="4"/>
    <x v="0"/>
    <x v="0"/>
    <x v="4"/>
    <x v="4"/>
    <x v="18"/>
    <x v="0"/>
    <s v="EL DORADO"/>
    <x v="0"/>
  </r>
  <r>
    <x v="2"/>
    <x v="5"/>
    <x v="0"/>
    <x v="0"/>
    <x v="0"/>
    <x v="0"/>
    <x v="5"/>
    <x v="5"/>
    <x v="19"/>
    <x v="0"/>
    <s v="EL DORADO"/>
    <x v="0"/>
  </r>
  <r>
    <x v="2"/>
    <x v="1"/>
    <x v="1"/>
    <x v="1"/>
    <x v="0"/>
    <x v="0"/>
    <x v="1"/>
    <x v="1"/>
    <x v="1"/>
    <x v="6"/>
    <s v="EL DORADO"/>
    <x v="0"/>
  </r>
  <r>
    <x v="2"/>
    <x v="1"/>
    <x v="1"/>
    <x v="1"/>
    <x v="0"/>
    <x v="1"/>
    <x v="1"/>
    <x v="1"/>
    <x v="1"/>
    <x v="7"/>
    <s v="EL DORADO"/>
    <x v="0"/>
  </r>
  <r>
    <x v="3"/>
    <x v="1"/>
    <x v="1"/>
    <x v="1"/>
    <x v="0"/>
    <x v="0"/>
    <x v="1"/>
    <x v="1"/>
    <x v="1"/>
    <x v="8"/>
    <s v="VIA ARGENTINA"/>
    <x v="0"/>
  </r>
  <r>
    <x v="3"/>
    <x v="1"/>
    <x v="1"/>
    <x v="1"/>
    <x v="0"/>
    <x v="1"/>
    <x v="1"/>
    <x v="1"/>
    <x v="1"/>
    <x v="9"/>
    <s v="VIA ARGENTINA"/>
    <x v="0"/>
  </r>
  <r>
    <x v="4"/>
    <x v="2"/>
    <x v="2"/>
    <x v="2"/>
    <x v="0"/>
    <x v="2"/>
    <x v="2"/>
    <x v="2"/>
    <x v="20"/>
    <x v="0"/>
    <s v="VIA PORRAS"/>
    <x v="0"/>
  </r>
  <r>
    <x v="4"/>
    <x v="11"/>
    <x v="6"/>
    <x v="6"/>
    <x v="0"/>
    <x v="2"/>
    <x v="11"/>
    <x v="11"/>
    <x v="21"/>
    <x v="0"/>
    <s v="VIA PORRAS"/>
    <x v="0"/>
  </r>
  <r>
    <x v="4"/>
    <x v="12"/>
    <x v="4"/>
    <x v="4"/>
    <x v="0"/>
    <x v="2"/>
    <x v="12"/>
    <x v="12"/>
    <x v="22"/>
    <x v="0"/>
    <s v="VIA PORRAS"/>
    <x v="0"/>
  </r>
  <r>
    <x v="4"/>
    <x v="0"/>
    <x v="0"/>
    <x v="0"/>
    <x v="0"/>
    <x v="2"/>
    <x v="0"/>
    <x v="0"/>
    <x v="23"/>
    <x v="0"/>
    <s v="VIA PORRAS"/>
    <x v="0"/>
  </r>
  <r>
    <x v="4"/>
    <x v="13"/>
    <x v="5"/>
    <x v="5"/>
    <x v="0"/>
    <x v="2"/>
    <x v="13"/>
    <x v="13"/>
    <x v="24"/>
    <x v="0"/>
    <s v="VIA PORRAS"/>
    <x v="0"/>
  </r>
  <r>
    <x v="4"/>
    <x v="6"/>
    <x v="5"/>
    <x v="5"/>
    <x v="0"/>
    <x v="2"/>
    <x v="6"/>
    <x v="6"/>
    <x v="25"/>
    <x v="0"/>
    <s v="VIA PORRAS"/>
    <x v="0"/>
  </r>
  <r>
    <x v="4"/>
    <x v="14"/>
    <x v="1"/>
    <x v="1"/>
    <x v="0"/>
    <x v="2"/>
    <x v="14"/>
    <x v="14"/>
    <x v="26"/>
    <x v="0"/>
    <s v="VIA PORRAS"/>
    <x v="0"/>
  </r>
  <r>
    <x v="4"/>
    <x v="1"/>
    <x v="1"/>
    <x v="1"/>
    <x v="0"/>
    <x v="2"/>
    <x v="1"/>
    <x v="1"/>
    <x v="1"/>
    <x v="10"/>
    <s v="VIA PORRAS"/>
    <x v="0"/>
  </r>
  <r>
    <x v="4"/>
    <x v="7"/>
    <x v="2"/>
    <x v="2"/>
    <x v="0"/>
    <x v="0"/>
    <x v="7"/>
    <x v="7"/>
    <x v="27"/>
    <x v="0"/>
    <s v="VIA PORRAS"/>
    <x v="0"/>
  </r>
  <r>
    <x v="4"/>
    <x v="2"/>
    <x v="2"/>
    <x v="2"/>
    <x v="0"/>
    <x v="0"/>
    <x v="2"/>
    <x v="2"/>
    <x v="28"/>
    <x v="0"/>
    <s v="VIA PORRAS"/>
    <x v="0"/>
  </r>
  <r>
    <x v="4"/>
    <x v="9"/>
    <x v="6"/>
    <x v="6"/>
    <x v="0"/>
    <x v="0"/>
    <x v="9"/>
    <x v="9"/>
    <x v="29"/>
    <x v="0"/>
    <s v="VIA PORRAS"/>
    <x v="0"/>
  </r>
  <r>
    <x v="4"/>
    <x v="11"/>
    <x v="6"/>
    <x v="6"/>
    <x v="0"/>
    <x v="0"/>
    <x v="11"/>
    <x v="11"/>
    <x v="30"/>
    <x v="0"/>
    <s v="VIA PORRAS"/>
    <x v="0"/>
  </r>
  <r>
    <x v="4"/>
    <x v="10"/>
    <x v="3"/>
    <x v="3"/>
    <x v="0"/>
    <x v="0"/>
    <x v="10"/>
    <x v="10"/>
    <x v="31"/>
    <x v="0"/>
    <s v="VIA PORRAS"/>
    <x v="0"/>
  </r>
  <r>
    <x v="4"/>
    <x v="3"/>
    <x v="3"/>
    <x v="3"/>
    <x v="0"/>
    <x v="0"/>
    <x v="3"/>
    <x v="3"/>
    <x v="32"/>
    <x v="0"/>
    <s v="VIA PORRAS"/>
    <x v="0"/>
  </r>
  <r>
    <x v="4"/>
    <x v="12"/>
    <x v="4"/>
    <x v="4"/>
    <x v="0"/>
    <x v="0"/>
    <x v="12"/>
    <x v="12"/>
    <x v="33"/>
    <x v="0"/>
    <s v="VIA PORRAS"/>
    <x v="0"/>
  </r>
  <r>
    <x v="4"/>
    <x v="4"/>
    <x v="4"/>
    <x v="4"/>
    <x v="0"/>
    <x v="0"/>
    <x v="4"/>
    <x v="4"/>
    <x v="34"/>
    <x v="0"/>
    <s v="VIA PORRAS"/>
    <x v="0"/>
  </r>
  <r>
    <x v="4"/>
    <x v="0"/>
    <x v="0"/>
    <x v="0"/>
    <x v="0"/>
    <x v="0"/>
    <x v="0"/>
    <x v="0"/>
    <x v="35"/>
    <x v="0"/>
    <s v="VIA PORRAS"/>
    <x v="0"/>
  </r>
  <r>
    <x v="4"/>
    <x v="5"/>
    <x v="0"/>
    <x v="0"/>
    <x v="0"/>
    <x v="0"/>
    <x v="5"/>
    <x v="5"/>
    <x v="36"/>
    <x v="0"/>
    <s v="VIA PORRAS"/>
    <x v="0"/>
  </r>
  <r>
    <x v="4"/>
    <x v="13"/>
    <x v="5"/>
    <x v="5"/>
    <x v="0"/>
    <x v="0"/>
    <x v="13"/>
    <x v="13"/>
    <x v="37"/>
    <x v="0"/>
    <s v="VIA PORRAS"/>
    <x v="0"/>
  </r>
  <r>
    <x v="4"/>
    <x v="6"/>
    <x v="5"/>
    <x v="5"/>
    <x v="0"/>
    <x v="0"/>
    <x v="6"/>
    <x v="6"/>
    <x v="38"/>
    <x v="0"/>
    <s v="VIA PORRAS"/>
    <x v="0"/>
  </r>
  <r>
    <x v="4"/>
    <x v="14"/>
    <x v="1"/>
    <x v="1"/>
    <x v="0"/>
    <x v="0"/>
    <x v="14"/>
    <x v="14"/>
    <x v="39"/>
    <x v="0"/>
    <s v="VIA PORRAS"/>
    <x v="0"/>
  </r>
  <r>
    <x v="4"/>
    <x v="8"/>
    <x v="1"/>
    <x v="1"/>
    <x v="0"/>
    <x v="0"/>
    <x v="8"/>
    <x v="8"/>
    <x v="40"/>
    <x v="0"/>
    <s v="VIA PORRAS"/>
    <x v="0"/>
  </r>
  <r>
    <x v="4"/>
    <x v="1"/>
    <x v="1"/>
    <x v="1"/>
    <x v="0"/>
    <x v="0"/>
    <x v="1"/>
    <x v="1"/>
    <x v="1"/>
    <x v="11"/>
    <s v="VIA PORRAS"/>
    <x v="0"/>
  </r>
  <r>
    <x v="4"/>
    <x v="7"/>
    <x v="2"/>
    <x v="2"/>
    <x v="0"/>
    <x v="1"/>
    <x v="7"/>
    <x v="7"/>
    <x v="41"/>
    <x v="0"/>
    <s v="VIA PORRAS"/>
    <x v="0"/>
  </r>
  <r>
    <x v="4"/>
    <x v="2"/>
    <x v="2"/>
    <x v="2"/>
    <x v="0"/>
    <x v="1"/>
    <x v="2"/>
    <x v="2"/>
    <x v="42"/>
    <x v="0"/>
    <s v="VIA PORRAS"/>
    <x v="0"/>
  </r>
  <r>
    <x v="4"/>
    <x v="11"/>
    <x v="6"/>
    <x v="6"/>
    <x v="0"/>
    <x v="1"/>
    <x v="11"/>
    <x v="11"/>
    <x v="43"/>
    <x v="0"/>
    <s v="VIA PORRAS"/>
    <x v="0"/>
  </r>
  <r>
    <x v="4"/>
    <x v="3"/>
    <x v="3"/>
    <x v="3"/>
    <x v="0"/>
    <x v="1"/>
    <x v="3"/>
    <x v="3"/>
    <x v="44"/>
    <x v="0"/>
    <s v="VIA PORRAS"/>
    <x v="0"/>
  </r>
  <r>
    <x v="4"/>
    <x v="12"/>
    <x v="4"/>
    <x v="4"/>
    <x v="0"/>
    <x v="1"/>
    <x v="12"/>
    <x v="12"/>
    <x v="45"/>
    <x v="0"/>
    <s v="VIA PORRAS"/>
    <x v="0"/>
  </r>
  <r>
    <x v="4"/>
    <x v="4"/>
    <x v="4"/>
    <x v="4"/>
    <x v="0"/>
    <x v="1"/>
    <x v="4"/>
    <x v="4"/>
    <x v="46"/>
    <x v="0"/>
    <s v="VIA PORRAS"/>
    <x v="0"/>
  </r>
  <r>
    <x v="4"/>
    <x v="13"/>
    <x v="5"/>
    <x v="5"/>
    <x v="0"/>
    <x v="1"/>
    <x v="13"/>
    <x v="13"/>
    <x v="47"/>
    <x v="0"/>
    <s v="VIA PORRAS"/>
    <x v="0"/>
  </r>
  <r>
    <x v="4"/>
    <x v="6"/>
    <x v="5"/>
    <x v="5"/>
    <x v="0"/>
    <x v="1"/>
    <x v="6"/>
    <x v="6"/>
    <x v="48"/>
    <x v="0"/>
    <s v="VIA PORRAS"/>
    <x v="0"/>
  </r>
  <r>
    <x v="4"/>
    <x v="14"/>
    <x v="1"/>
    <x v="1"/>
    <x v="0"/>
    <x v="1"/>
    <x v="14"/>
    <x v="14"/>
    <x v="49"/>
    <x v="0"/>
    <s v="VIA PORRAS"/>
    <x v="0"/>
  </r>
  <r>
    <x v="4"/>
    <x v="1"/>
    <x v="1"/>
    <x v="1"/>
    <x v="0"/>
    <x v="1"/>
    <x v="1"/>
    <x v="1"/>
    <x v="1"/>
    <x v="12"/>
    <s v="VIA PORRAS"/>
    <x v="0"/>
  </r>
  <r>
    <x v="5"/>
    <x v="3"/>
    <x v="3"/>
    <x v="3"/>
    <x v="0"/>
    <x v="2"/>
    <x v="3"/>
    <x v="3"/>
    <x v="50"/>
    <x v="0"/>
    <s v="EL INGENIO"/>
    <x v="0"/>
  </r>
  <r>
    <x v="5"/>
    <x v="1"/>
    <x v="1"/>
    <x v="1"/>
    <x v="0"/>
    <x v="2"/>
    <x v="1"/>
    <x v="1"/>
    <x v="1"/>
    <x v="13"/>
    <s v="EL INGENIO"/>
    <x v="0"/>
  </r>
  <r>
    <x v="5"/>
    <x v="3"/>
    <x v="3"/>
    <x v="3"/>
    <x v="0"/>
    <x v="0"/>
    <x v="3"/>
    <x v="3"/>
    <x v="51"/>
    <x v="0"/>
    <s v="EL INGENIO"/>
    <x v="0"/>
  </r>
  <r>
    <x v="5"/>
    <x v="1"/>
    <x v="1"/>
    <x v="1"/>
    <x v="0"/>
    <x v="0"/>
    <x v="1"/>
    <x v="1"/>
    <x v="1"/>
    <x v="14"/>
    <s v="EL INGENIO"/>
    <x v="0"/>
  </r>
  <r>
    <x v="5"/>
    <x v="1"/>
    <x v="1"/>
    <x v="1"/>
    <x v="0"/>
    <x v="1"/>
    <x v="1"/>
    <x v="1"/>
    <x v="1"/>
    <x v="15"/>
    <s v="EL INGENIO"/>
    <x v="0"/>
  </r>
  <r>
    <x v="6"/>
    <x v="5"/>
    <x v="0"/>
    <x v="0"/>
    <x v="0"/>
    <x v="2"/>
    <x v="5"/>
    <x v="5"/>
    <x v="52"/>
    <x v="0"/>
    <s v="CHANIS"/>
    <x v="0"/>
  </r>
  <r>
    <x v="6"/>
    <x v="1"/>
    <x v="1"/>
    <x v="1"/>
    <x v="0"/>
    <x v="2"/>
    <x v="1"/>
    <x v="1"/>
    <x v="1"/>
    <x v="16"/>
    <s v="CHANIS"/>
    <x v="0"/>
  </r>
  <r>
    <x v="6"/>
    <x v="4"/>
    <x v="4"/>
    <x v="4"/>
    <x v="0"/>
    <x v="0"/>
    <x v="4"/>
    <x v="4"/>
    <x v="53"/>
    <x v="0"/>
    <s v="CHANIS"/>
    <x v="0"/>
  </r>
  <r>
    <x v="6"/>
    <x v="8"/>
    <x v="1"/>
    <x v="1"/>
    <x v="0"/>
    <x v="0"/>
    <x v="8"/>
    <x v="8"/>
    <x v="54"/>
    <x v="0"/>
    <s v="CHANIS"/>
    <x v="0"/>
  </r>
  <r>
    <x v="6"/>
    <x v="1"/>
    <x v="1"/>
    <x v="1"/>
    <x v="0"/>
    <x v="0"/>
    <x v="1"/>
    <x v="1"/>
    <x v="1"/>
    <x v="17"/>
    <s v="CHANIS"/>
    <x v="0"/>
  </r>
  <r>
    <x v="6"/>
    <x v="11"/>
    <x v="6"/>
    <x v="6"/>
    <x v="0"/>
    <x v="1"/>
    <x v="11"/>
    <x v="11"/>
    <x v="55"/>
    <x v="0"/>
    <s v="CHANIS"/>
    <x v="0"/>
  </r>
  <r>
    <x v="6"/>
    <x v="1"/>
    <x v="1"/>
    <x v="1"/>
    <x v="0"/>
    <x v="1"/>
    <x v="1"/>
    <x v="1"/>
    <x v="1"/>
    <x v="18"/>
    <s v="CHANIS"/>
    <x v="0"/>
  </r>
  <r>
    <x v="7"/>
    <x v="1"/>
    <x v="1"/>
    <x v="1"/>
    <x v="0"/>
    <x v="2"/>
    <x v="1"/>
    <x v="1"/>
    <x v="1"/>
    <x v="19"/>
    <s v="PLAZA TOCUMEN"/>
    <x v="0"/>
  </r>
  <r>
    <x v="7"/>
    <x v="2"/>
    <x v="2"/>
    <x v="2"/>
    <x v="0"/>
    <x v="0"/>
    <x v="2"/>
    <x v="2"/>
    <x v="56"/>
    <x v="0"/>
    <s v="PLAZA TOCUMEN"/>
    <x v="0"/>
  </r>
  <r>
    <x v="7"/>
    <x v="1"/>
    <x v="1"/>
    <x v="1"/>
    <x v="0"/>
    <x v="0"/>
    <x v="1"/>
    <x v="1"/>
    <x v="1"/>
    <x v="20"/>
    <s v="PLAZA TOCUMEN"/>
    <x v="0"/>
  </r>
  <r>
    <x v="7"/>
    <x v="10"/>
    <x v="3"/>
    <x v="3"/>
    <x v="0"/>
    <x v="1"/>
    <x v="10"/>
    <x v="10"/>
    <x v="57"/>
    <x v="0"/>
    <s v="PLAZA TOCUMEN"/>
    <x v="0"/>
  </r>
  <r>
    <x v="7"/>
    <x v="0"/>
    <x v="0"/>
    <x v="0"/>
    <x v="0"/>
    <x v="1"/>
    <x v="0"/>
    <x v="0"/>
    <x v="58"/>
    <x v="0"/>
    <s v="PLAZA TOCUMEN"/>
    <x v="0"/>
  </r>
  <r>
    <x v="7"/>
    <x v="1"/>
    <x v="1"/>
    <x v="1"/>
    <x v="0"/>
    <x v="1"/>
    <x v="1"/>
    <x v="1"/>
    <x v="1"/>
    <x v="21"/>
    <s v="PLAZA TOCUMEN"/>
    <x v="0"/>
  </r>
  <r>
    <x v="8"/>
    <x v="3"/>
    <x v="3"/>
    <x v="3"/>
    <x v="0"/>
    <x v="0"/>
    <x v="3"/>
    <x v="3"/>
    <x v="59"/>
    <x v="0"/>
    <s v="SANTIAGO"/>
    <x v="0"/>
  </r>
  <r>
    <x v="8"/>
    <x v="0"/>
    <x v="0"/>
    <x v="0"/>
    <x v="0"/>
    <x v="0"/>
    <x v="0"/>
    <x v="0"/>
    <x v="60"/>
    <x v="0"/>
    <s v="SANTIAGO"/>
    <x v="0"/>
  </r>
  <r>
    <x v="8"/>
    <x v="5"/>
    <x v="0"/>
    <x v="0"/>
    <x v="0"/>
    <x v="0"/>
    <x v="5"/>
    <x v="5"/>
    <x v="61"/>
    <x v="0"/>
    <s v="SANTIAGO"/>
    <x v="0"/>
  </r>
  <r>
    <x v="8"/>
    <x v="13"/>
    <x v="5"/>
    <x v="5"/>
    <x v="0"/>
    <x v="0"/>
    <x v="13"/>
    <x v="13"/>
    <x v="62"/>
    <x v="0"/>
    <s v="SANTIAGO"/>
    <x v="0"/>
  </r>
  <r>
    <x v="8"/>
    <x v="1"/>
    <x v="1"/>
    <x v="1"/>
    <x v="0"/>
    <x v="0"/>
    <x v="1"/>
    <x v="1"/>
    <x v="1"/>
    <x v="22"/>
    <s v="SANTIAGO"/>
    <x v="0"/>
  </r>
  <r>
    <x v="8"/>
    <x v="11"/>
    <x v="6"/>
    <x v="6"/>
    <x v="0"/>
    <x v="1"/>
    <x v="11"/>
    <x v="11"/>
    <x v="63"/>
    <x v="0"/>
    <s v="SANTIAGO"/>
    <x v="0"/>
  </r>
  <r>
    <x v="8"/>
    <x v="12"/>
    <x v="4"/>
    <x v="4"/>
    <x v="0"/>
    <x v="1"/>
    <x v="12"/>
    <x v="12"/>
    <x v="64"/>
    <x v="0"/>
    <s v="SANTIAGO"/>
    <x v="0"/>
  </r>
  <r>
    <x v="8"/>
    <x v="0"/>
    <x v="0"/>
    <x v="0"/>
    <x v="0"/>
    <x v="1"/>
    <x v="0"/>
    <x v="0"/>
    <x v="65"/>
    <x v="0"/>
    <s v="SANTIAGO"/>
    <x v="0"/>
  </r>
  <r>
    <x v="8"/>
    <x v="5"/>
    <x v="0"/>
    <x v="0"/>
    <x v="0"/>
    <x v="1"/>
    <x v="5"/>
    <x v="5"/>
    <x v="66"/>
    <x v="0"/>
    <s v="SANTIAGO"/>
    <x v="0"/>
  </r>
  <r>
    <x v="8"/>
    <x v="1"/>
    <x v="1"/>
    <x v="1"/>
    <x v="0"/>
    <x v="1"/>
    <x v="1"/>
    <x v="1"/>
    <x v="1"/>
    <x v="23"/>
    <s v="SANTIAGO"/>
    <x v="0"/>
  </r>
  <r>
    <x v="9"/>
    <x v="13"/>
    <x v="5"/>
    <x v="5"/>
    <x v="0"/>
    <x v="2"/>
    <x v="13"/>
    <x v="13"/>
    <x v="67"/>
    <x v="0"/>
    <s v="OBARRIO"/>
    <x v="0"/>
  </r>
  <r>
    <x v="9"/>
    <x v="1"/>
    <x v="1"/>
    <x v="1"/>
    <x v="0"/>
    <x v="2"/>
    <x v="1"/>
    <x v="1"/>
    <x v="1"/>
    <x v="24"/>
    <s v="OBARRIO"/>
    <x v="0"/>
  </r>
  <r>
    <x v="9"/>
    <x v="7"/>
    <x v="2"/>
    <x v="2"/>
    <x v="0"/>
    <x v="0"/>
    <x v="7"/>
    <x v="7"/>
    <x v="68"/>
    <x v="0"/>
    <s v="OBARRIO"/>
    <x v="0"/>
  </r>
  <r>
    <x v="9"/>
    <x v="2"/>
    <x v="2"/>
    <x v="2"/>
    <x v="0"/>
    <x v="0"/>
    <x v="2"/>
    <x v="2"/>
    <x v="69"/>
    <x v="0"/>
    <s v="OBARRIO"/>
    <x v="0"/>
  </r>
  <r>
    <x v="9"/>
    <x v="9"/>
    <x v="6"/>
    <x v="6"/>
    <x v="0"/>
    <x v="0"/>
    <x v="9"/>
    <x v="9"/>
    <x v="70"/>
    <x v="0"/>
    <s v="OBARRIO"/>
    <x v="0"/>
  </r>
  <r>
    <x v="9"/>
    <x v="15"/>
    <x v="6"/>
    <x v="6"/>
    <x v="0"/>
    <x v="0"/>
    <x v="15"/>
    <x v="15"/>
    <x v="71"/>
    <x v="0"/>
    <s v="OBARRIO"/>
    <x v="0"/>
  </r>
  <r>
    <x v="9"/>
    <x v="11"/>
    <x v="6"/>
    <x v="6"/>
    <x v="0"/>
    <x v="0"/>
    <x v="11"/>
    <x v="11"/>
    <x v="72"/>
    <x v="0"/>
    <s v="OBARRIO"/>
    <x v="0"/>
  </r>
  <r>
    <x v="9"/>
    <x v="10"/>
    <x v="3"/>
    <x v="3"/>
    <x v="0"/>
    <x v="0"/>
    <x v="10"/>
    <x v="10"/>
    <x v="73"/>
    <x v="0"/>
    <s v="OBARRIO"/>
    <x v="0"/>
  </r>
  <r>
    <x v="9"/>
    <x v="3"/>
    <x v="3"/>
    <x v="3"/>
    <x v="0"/>
    <x v="0"/>
    <x v="3"/>
    <x v="3"/>
    <x v="74"/>
    <x v="0"/>
    <s v="OBARRIO"/>
    <x v="0"/>
  </r>
  <r>
    <x v="9"/>
    <x v="12"/>
    <x v="4"/>
    <x v="4"/>
    <x v="0"/>
    <x v="0"/>
    <x v="12"/>
    <x v="12"/>
    <x v="75"/>
    <x v="0"/>
    <s v="OBARRIO"/>
    <x v="0"/>
  </r>
  <r>
    <x v="9"/>
    <x v="4"/>
    <x v="4"/>
    <x v="4"/>
    <x v="0"/>
    <x v="0"/>
    <x v="4"/>
    <x v="4"/>
    <x v="76"/>
    <x v="0"/>
    <s v="OBARRIO"/>
    <x v="0"/>
  </r>
  <r>
    <x v="9"/>
    <x v="0"/>
    <x v="0"/>
    <x v="0"/>
    <x v="0"/>
    <x v="0"/>
    <x v="0"/>
    <x v="0"/>
    <x v="77"/>
    <x v="0"/>
    <s v="OBARRIO"/>
    <x v="0"/>
  </r>
  <r>
    <x v="9"/>
    <x v="5"/>
    <x v="0"/>
    <x v="0"/>
    <x v="0"/>
    <x v="0"/>
    <x v="5"/>
    <x v="5"/>
    <x v="78"/>
    <x v="0"/>
    <s v="OBARRIO"/>
    <x v="0"/>
  </r>
  <r>
    <x v="9"/>
    <x v="13"/>
    <x v="5"/>
    <x v="5"/>
    <x v="0"/>
    <x v="0"/>
    <x v="13"/>
    <x v="13"/>
    <x v="79"/>
    <x v="0"/>
    <s v="OBARRIO"/>
    <x v="0"/>
  </r>
  <r>
    <x v="9"/>
    <x v="6"/>
    <x v="5"/>
    <x v="5"/>
    <x v="0"/>
    <x v="0"/>
    <x v="6"/>
    <x v="6"/>
    <x v="80"/>
    <x v="0"/>
    <s v="OBARRIO"/>
    <x v="0"/>
  </r>
  <r>
    <x v="9"/>
    <x v="14"/>
    <x v="1"/>
    <x v="1"/>
    <x v="0"/>
    <x v="0"/>
    <x v="14"/>
    <x v="14"/>
    <x v="81"/>
    <x v="0"/>
    <s v="OBARRIO"/>
    <x v="0"/>
  </r>
  <r>
    <x v="9"/>
    <x v="8"/>
    <x v="1"/>
    <x v="1"/>
    <x v="0"/>
    <x v="0"/>
    <x v="8"/>
    <x v="8"/>
    <x v="82"/>
    <x v="0"/>
    <s v="OBARRIO"/>
    <x v="0"/>
  </r>
  <r>
    <x v="9"/>
    <x v="1"/>
    <x v="1"/>
    <x v="1"/>
    <x v="0"/>
    <x v="0"/>
    <x v="1"/>
    <x v="1"/>
    <x v="1"/>
    <x v="25"/>
    <s v="OBARRIO"/>
    <x v="0"/>
  </r>
  <r>
    <x v="9"/>
    <x v="10"/>
    <x v="3"/>
    <x v="3"/>
    <x v="0"/>
    <x v="1"/>
    <x v="10"/>
    <x v="10"/>
    <x v="83"/>
    <x v="0"/>
    <s v="OBARRIO"/>
    <x v="0"/>
  </r>
  <r>
    <x v="9"/>
    <x v="3"/>
    <x v="3"/>
    <x v="3"/>
    <x v="0"/>
    <x v="1"/>
    <x v="3"/>
    <x v="3"/>
    <x v="84"/>
    <x v="0"/>
    <s v="OBARRIO"/>
    <x v="0"/>
  </r>
  <r>
    <x v="9"/>
    <x v="12"/>
    <x v="4"/>
    <x v="4"/>
    <x v="0"/>
    <x v="1"/>
    <x v="12"/>
    <x v="12"/>
    <x v="85"/>
    <x v="0"/>
    <s v="OBARRIO"/>
    <x v="0"/>
  </r>
  <r>
    <x v="9"/>
    <x v="4"/>
    <x v="4"/>
    <x v="4"/>
    <x v="0"/>
    <x v="1"/>
    <x v="4"/>
    <x v="4"/>
    <x v="86"/>
    <x v="0"/>
    <s v="OBARRIO"/>
    <x v="0"/>
  </r>
  <r>
    <x v="9"/>
    <x v="0"/>
    <x v="0"/>
    <x v="0"/>
    <x v="0"/>
    <x v="1"/>
    <x v="0"/>
    <x v="0"/>
    <x v="87"/>
    <x v="0"/>
    <s v="OBARRIO"/>
    <x v="0"/>
  </r>
  <r>
    <x v="9"/>
    <x v="13"/>
    <x v="5"/>
    <x v="5"/>
    <x v="0"/>
    <x v="1"/>
    <x v="13"/>
    <x v="13"/>
    <x v="88"/>
    <x v="0"/>
    <s v="OBARRIO"/>
    <x v="0"/>
  </r>
  <r>
    <x v="9"/>
    <x v="6"/>
    <x v="5"/>
    <x v="5"/>
    <x v="0"/>
    <x v="1"/>
    <x v="6"/>
    <x v="6"/>
    <x v="86"/>
    <x v="0"/>
    <s v="OBARRIO"/>
    <x v="0"/>
  </r>
  <r>
    <x v="9"/>
    <x v="8"/>
    <x v="1"/>
    <x v="1"/>
    <x v="0"/>
    <x v="1"/>
    <x v="8"/>
    <x v="8"/>
    <x v="89"/>
    <x v="0"/>
    <s v="OBARRIO"/>
    <x v="0"/>
  </r>
  <r>
    <x v="9"/>
    <x v="1"/>
    <x v="1"/>
    <x v="1"/>
    <x v="0"/>
    <x v="1"/>
    <x v="1"/>
    <x v="1"/>
    <x v="1"/>
    <x v="26"/>
    <s v="OBARRIO"/>
    <x v="0"/>
  </r>
  <r>
    <x v="10"/>
    <x v="7"/>
    <x v="2"/>
    <x v="2"/>
    <x v="0"/>
    <x v="2"/>
    <x v="7"/>
    <x v="7"/>
    <x v="90"/>
    <x v="0"/>
    <s v="HATO PINTADO"/>
    <x v="0"/>
  </r>
  <r>
    <x v="10"/>
    <x v="10"/>
    <x v="3"/>
    <x v="3"/>
    <x v="0"/>
    <x v="2"/>
    <x v="10"/>
    <x v="10"/>
    <x v="91"/>
    <x v="0"/>
    <s v="HATO PINTADO"/>
    <x v="0"/>
  </r>
  <r>
    <x v="10"/>
    <x v="14"/>
    <x v="1"/>
    <x v="1"/>
    <x v="0"/>
    <x v="2"/>
    <x v="14"/>
    <x v="14"/>
    <x v="92"/>
    <x v="0"/>
    <s v="HATO PINTADO"/>
    <x v="0"/>
  </r>
  <r>
    <x v="10"/>
    <x v="8"/>
    <x v="1"/>
    <x v="1"/>
    <x v="0"/>
    <x v="2"/>
    <x v="8"/>
    <x v="8"/>
    <x v="93"/>
    <x v="0"/>
    <s v="HATO PINTADO"/>
    <x v="0"/>
  </r>
  <r>
    <x v="10"/>
    <x v="1"/>
    <x v="1"/>
    <x v="1"/>
    <x v="0"/>
    <x v="2"/>
    <x v="1"/>
    <x v="1"/>
    <x v="1"/>
    <x v="27"/>
    <s v="HATO PINTADO"/>
    <x v="0"/>
  </r>
  <r>
    <x v="10"/>
    <x v="7"/>
    <x v="2"/>
    <x v="2"/>
    <x v="0"/>
    <x v="0"/>
    <x v="7"/>
    <x v="7"/>
    <x v="94"/>
    <x v="0"/>
    <s v="HATO PINTADO"/>
    <x v="0"/>
  </r>
  <r>
    <x v="10"/>
    <x v="2"/>
    <x v="2"/>
    <x v="2"/>
    <x v="0"/>
    <x v="0"/>
    <x v="2"/>
    <x v="2"/>
    <x v="95"/>
    <x v="0"/>
    <s v="HATO PINTADO"/>
    <x v="0"/>
  </r>
  <r>
    <x v="10"/>
    <x v="9"/>
    <x v="6"/>
    <x v="6"/>
    <x v="0"/>
    <x v="0"/>
    <x v="9"/>
    <x v="9"/>
    <x v="96"/>
    <x v="0"/>
    <s v="HATO PINTADO"/>
    <x v="0"/>
  </r>
  <r>
    <x v="10"/>
    <x v="11"/>
    <x v="6"/>
    <x v="6"/>
    <x v="0"/>
    <x v="0"/>
    <x v="11"/>
    <x v="11"/>
    <x v="97"/>
    <x v="0"/>
    <s v="HATO PINTADO"/>
    <x v="0"/>
  </r>
  <r>
    <x v="10"/>
    <x v="10"/>
    <x v="3"/>
    <x v="3"/>
    <x v="0"/>
    <x v="0"/>
    <x v="10"/>
    <x v="10"/>
    <x v="98"/>
    <x v="0"/>
    <s v="HATO PINTADO"/>
    <x v="0"/>
  </r>
  <r>
    <x v="10"/>
    <x v="3"/>
    <x v="3"/>
    <x v="3"/>
    <x v="0"/>
    <x v="0"/>
    <x v="3"/>
    <x v="3"/>
    <x v="99"/>
    <x v="0"/>
    <s v="HATO PINTADO"/>
    <x v="0"/>
  </r>
  <r>
    <x v="10"/>
    <x v="12"/>
    <x v="4"/>
    <x v="4"/>
    <x v="0"/>
    <x v="0"/>
    <x v="12"/>
    <x v="12"/>
    <x v="100"/>
    <x v="0"/>
    <s v="HATO PINTADO"/>
    <x v="0"/>
  </r>
  <r>
    <x v="10"/>
    <x v="4"/>
    <x v="4"/>
    <x v="4"/>
    <x v="0"/>
    <x v="0"/>
    <x v="4"/>
    <x v="4"/>
    <x v="101"/>
    <x v="0"/>
    <s v="HATO PINTADO"/>
    <x v="0"/>
  </r>
  <r>
    <x v="10"/>
    <x v="0"/>
    <x v="0"/>
    <x v="0"/>
    <x v="0"/>
    <x v="0"/>
    <x v="0"/>
    <x v="0"/>
    <x v="102"/>
    <x v="0"/>
    <s v="HATO PINTADO"/>
    <x v="0"/>
  </r>
  <r>
    <x v="10"/>
    <x v="5"/>
    <x v="0"/>
    <x v="0"/>
    <x v="0"/>
    <x v="0"/>
    <x v="5"/>
    <x v="5"/>
    <x v="103"/>
    <x v="0"/>
    <s v="HATO PINTADO"/>
    <x v="0"/>
  </r>
  <r>
    <x v="10"/>
    <x v="13"/>
    <x v="5"/>
    <x v="5"/>
    <x v="0"/>
    <x v="0"/>
    <x v="13"/>
    <x v="13"/>
    <x v="104"/>
    <x v="0"/>
    <s v="HATO PINTADO"/>
    <x v="0"/>
  </r>
  <r>
    <x v="10"/>
    <x v="6"/>
    <x v="5"/>
    <x v="5"/>
    <x v="0"/>
    <x v="0"/>
    <x v="6"/>
    <x v="6"/>
    <x v="105"/>
    <x v="0"/>
    <s v="HATO PINTADO"/>
    <x v="0"/>
  </r>
  <r>
    <x v="10"/>
    <x v="14"/>
    <x v="1"/>
    <x v="1"/>
    <x v="0"/>
    <x v="0"/>
    <x v="14"/>
    <x v="14"/>
    <x v="106"/>
    <x v="0"/>
    <s v="HATO PINTADO"/>
    <x v="0"/>
  </r>
  <r>
    <x v="10"/>
    <x v="8"/>
    <x v="1"/>
    <x v="1"/>
    <x v="0"/>
    <x v="0"/>
    <x v="8"/>
    <x v="8"/>
    <x v="107"/>
    <x v="0"/>
    <s v="HATO PINTADO"/>
    <x v="0"/>
  </r>
  <r>
    <x v="10"/>
    <x v="1"/>
    <x v="1"/>
    <x v="1"/>
    <x v="0"/>
    <x v="0"/>
    <x v="1"/>
    <x v="1"/>
    <x v="1"/>
    <x v="28"/>
    <s v="HATO PINTADO"/>
    <x v="0"/>
  </r>
  <r>
    <x v="10"/>
    <x v="2"/>
    <x v="2"/>
    <x v="2"/>
    <x v="0"/>
    <x v="1"/>
    <x v="2"/>
    <x v="2"/>
    <x v="108"/>
    <x v="0"/>
    <s v="HATO PINTADO"/>
    <x v="0"/>
  </r>
  <r>
    <x v="10"/>
    <x v="9"/>
    <x v="6"/>
    <x v="6"/>
    <x v="0"/>
    <x v="1"/>
    <x v="9"/>
    <x v="9"/>
    <x v="109"/>
    <x v="0"/>
    <s v="HATO PINTADO"/>
    <x v="0"/>
  </r>
  <r>
    <x v="10"/>
    <x v="11"/>
    <x v="6"/>
    <x v="6"/>
    <x v="0"/>
    <x v="1"/>
    <x v="11"/>
    <x v="11"/>
    <x v="110"/>
    <x v="0"/>
    <s v="HATO PINTADO"/>
    <x v="0"/>
  </r>
  <r>
    <x v="10"/>
    <x v="10"/>
    <x v="3"/>
    <x v="3"/>
    <x v="0"/>
    <x v="1"/>
    <x v="10"/>
    <x v="10"/>
    <x v="111"/>
    <x v="0"/>
    <s v="HATO PINTADO"/>
    <x v="0"/>
  </r>
  <r>
    <x v="10"/>
    <x v="3"/>
    <x v="3"/>
    <x v="3"/>
    <x v="0"/>
    <x v="1"/>
    <x v="3"/>
    <x v="3"/>
    <x v="112"/>
    <x v="0"/>
    <s v="HATO PINTADO"/>
    <x v="0"/>
  </r>
  <r>
    <x v="10"/>
    <x v="0"/>
    <x v="0"/>
    <x v="0"/>
    <x v="0"/>
    <x v="1"/>
    <x v="0"/>
    <x v="0"/>
    <x v="2"/>
    <x v="0"/>
    <s v="HATO PINTADO"/>
    <x v="0"/>
  </r>
  <r>
    <x v="10"/>
    <x v="5"/>
    <x v="0"/>
    <x v="0"/>
    <x v="0"/>
    <x v="1"/>
    <x v="5"/>
    <x v="5"/>
    <x v="113"/>
    <x v="0"/>
    <s v="HATO PINTADO"/>
    <x v="0"/>
  </r>
  <r>
    <x v="10"/>
    <x v="13"/>
    <x v="5"/>
    <x v="5"/>
    <x v="0"/>
    <x v="1"/>
    <x v="13"/>
    <x v="13"/>
    <x v="114"/>
    <x v="0"/>
    <s v="HATO PINTADO"/>
    <x v="0"/>
  </r>
  <r>
    <x v="10"/>
    <x v="6"/>
    <x v="5"/>
    <x v="5"/>
    <x v="0"/>
    <x v="1"/>
    <x v="6"/>
    <x v="6"/>
    <x v="115"/>
    <x v="0"/>
    <s v="HATO PINTADO"/>
    <x v="0"/>
  </r>
  <r>
    <x v="10"/>
    <x v="8"/>
    <x v="1"/>
    <x v="1"/>
    <x v="0"/>
    <x v="1"/>
    <x v="8"/>
    <x v="8"/>
    <x v="114"/>
    <x v="0"/>
    <s v="HATO PINTADO"/>
    <x v="0"/>
  </r>
  <r>
    <x v="10"/>
    <x v="1"/>
    <x v="1"/>
    <x v="1"/>
    <x v="0"/>
    <x v="1"/>
    <x v="1"/>
    <x v="1"/>
    <x v="1"/>
    <x v="29"/>
    <s v="HATO PINTADO"/>
    <x v="0"/>
  </r>
  <r>
    <x v="11"/>
    <x v="4"/>
    <x v="4"/>
    <x v="4"/>
    <x v="0"/>
    <x v="0"/>
    <x v="4"/>
    <x v="4"/>
    <x v="116"/>
    <x v="0"/>
    <s v="RIO ABAJO"/>
    <x v="0"/>
  </r>
  <r>
    <x v="11"/>
    <x v="5"/>
    <x v="0"/>
    <x v="0"/>
    <x v="0"/>
    <x v="0"/>
    <x v="5"/>
    <x v="5"/>
    <x v="117"/>
    <x v="0"/>
    <s v="RIO ABAJO"/>
    <x v="0"/>
  </r>
  <r>
    <x v="11"/>
    <x v="1"/>
    <x v="1"/>
    <x v="1"/>
    <x v="0"/>
    <x v="0"/>
    <x v="1"/>
    <x v="1"/>
    <x v="1"/>
    <x v="30"/>
    <s v="RIO ABAJO"/>
    <x v="0"/>
  </r>
  <r>
    <x v="12"/>
    <x v="1"/>
    <x v="1"/>
    <x v="1"/>
    <x v="0"/>
    <x v="2"/>
    <x v="1"/>
    <x v="1"/>
    <x v="1"/>
    <x v="31"/>
    <s v="LA CHORRERA"/>
    <x v="0"/>
  </r>
  <r>
    <x v="12"/>
    <x v="11"/>
    <x v="6"/>
    <x v="6"/>
    <x v="0"/>
    <x v="0"/>
    <x v="11"/>
    <x v="11"/>
    <x v="118"/>
    <x v="0"/>
    <s v="LA CHORRERA"/>
    <x v="0"/>
  </r>
  <r>
    <x v="12"/>
    <x v="12"/>
    <x v="4"/>
    <x v="4"/>
    <x v="0"/>
    <x v="0"/>
    <x v="12"/>
    <x v="12"/>
    <x v="119"/>
    <x v="0"/>
    <s v="LA CHORRERA"/>
    <x v="0"/>
  </r>
  <r>
    <x v="12"/>
    <x v="4"/>
    <x v="4"/>
    <x v="4"/>
    <x v="0"/>
    <x v="0"/>
    <x v="4"/>
    <x v="4"/>
    <x v="120"/>
    <x v="0"/>
    <s v="LA CHORRERA"/>
    <x v="0"/>
  </r>
  <r>
    <x v="12"/>
    <x v="0"/>
    <x v="0"/>
    <x v="0"/>
    <x v="0"/>
    <x v="0"/>
    <x v="0"/>
    <x v="0"/>
    <x v="121"/>
    <x v="0"/>
    <s v="LA CHORRERA"/>
    <x v="0"/>
  </r>
  <r>
    <x v="12"/>
    <x v="1"/>
    <x v="1"/>
    <x v="1"/>
    <x v="0"/>
    <x v="0"/>
    <x v="1"/>
    <x v="1"/>
    <x v="1"/>
    <x v="32"/>
    <s v="LA CHORRERA"/>
    <x v="0"/>
  </r>
  <r>
    <x v="12"/>
    <x v="7"/>
    <x v="2"/>
    <x v="2"/>
    <x v="0"/>
    <x v="1"/>
    <x v="7"/>
    <x v="7"/>
    <x v="122"/>
    <x v="0"/>
    <s v="LA CHORRERA"/>
    <x v="0"/>
  </r>
  <r>
    <x v="12"/>
    <x v="1"/>
    <x v="1"/>
    <x v="1"/>
    <x v="0"/>
    <x v="1"/>
    <x v="1"/>
    <x v="1"/>
    <x v="1"/>
    <x v="33"/>
    <s v="LA CHORRERA"/>
    <x v="0"/>
  </r>
  <r>
    <x v="13"/>
    <x v="11"/>
    <x v="6"/>
    <x v="6"/>
    <x v="0"/>
    <x v="0"/>
    <x v="11"/>
    <x v="11"/>
    <x v="123"/>
    <x v="0"/>
    <s v="AVENIDA CENTRAL"/>
    <x v="0"/>
  </r>
  <r>
    <x v="13"/>
    <x v="6"/>
    <x v="5"/>
    <x v="5"/>
    <x v="0"/>
    <x v="0"/>
    <x v="6"/>
    <x v="6"/>
    <x v="124"/>
    <x v="0"/>
    <s v="AVENIDA CENTRAL"/>
    <x v="0"/>
  </r>
  <r>
    <x v="13"/>
    <x v="1"/>
    <x v="1"/>
    <x v="1"/>
    <x v="0"/>
    <x v="0"/>
    <x v="1"/>
    <x v="1"/>
    <x v="1"/>
    <x v="34"/>
    <s v="AVENIDA CENTRAL"/>
    <x v="0"/>
  </r>
  <r>
    <x v="14"/>
    <x v="5"/>
    <x v="0"/>
    <x v="0"/>
    <x v="0"/>
    <x v="2"/>
    <x v="5"/>
    <x v="5"/>
    <x v="125"/>
    <x v="0"/>
    <s v="LOS ANGELES"/>
    <x v="0"/>
  </r>
  <r>
    <x v="14"/>
    <x v="1"/>
    <x v="1"/>
    <x v="1"/>
    <x v="0"/>
    <x v="2"/>
    <x v="1"/>
    <x v="1"/>
    <x v="1"/>
    <x v="35"/>
    <s v="LOS ANGELES"/>
    <x v="0"/>
  </r>
  <r>
    <x v="14"/>
    <x v="10"/>
    <x v="3"/>
    <x v="3"/>
    <x v="0"/>
    <x v="0"/>
    <x v="10"/>
    <x v="10"/>
    <x v="126"/>
    <x v="0"/>
    <s v="LOS ANGELES"/>
    <x v="0"/>
  </r>
  <r>
    <x v="14"/>
    <x v="3"/>
    <x v="3"/>
    <x v="3"/>
    <x v="0"/>
    <x v="0"/>
    <x v="3"/>
    <x v="3"/>
    <x v="127"/>
    <x v="0"/>
    <s v="LOS ANGELES"/>
    <x v="0"/>
  </r>
  <r>
    <x v="14"/>
    <x v="5"/>
    <x v="0"/>
    <x v="0"/>
    <x v="0"/>
    <x v="0"/>
    <x v="5"/>
    <x v="5"/>
    <x v="128"/>
    <x v="0"/>
    <s v="LOS ANGELES"/>
    <x v="0"/>
  </r>
  <r>
    <x v="14"/>
    <x v="1"/>
    <x v="1"/>
    <x v="1"/>
    <x v="0"/>
    <x v="0"/>
    <x v="1"/>
    <x v="1"/>
    <x v="1"/>
    <x v="36"/>
    <s v="LOS ANGELES"/>
    <x v="0"/>
  </r>
  <r>
    <x v="15"/>
    <x v="11"/>
    <x v="6"/>
    <x v="6"/>
    <x v="0"/>
    <x v="2"/>
    <x v="11"/>
    <x v="11"/>
    <x v="129"/>
    <x v="0"/>
    <s v="VILLA LUCRE"/>
    <x v="0"/>
  </r>
  <r>
    <x v="15"/>
    <x v="1"/>
    <x v="1"/>
    <x v="1"/>
    <x v="0"/>
    <x v="2"/>
    <x v="1"/>
    <x v="1"/>
    <x v="1"/>
    <x v="37"/>
    <s v="VILLA LUCRE"/>
    <x v="0"/>
  </r>
  <r>
    <x v="15"/>
    <x v="7"/>
    <x v="2"/>
    <x v="2"/>
    <x v="0"/>
    <x v="0"/>
    <x v="7"/>
    <x v="7"/>
    <x v="130"/>
    <x v="0"/>
    <s v="VILLA LUCRE"/>
    <x v="0"/>
  </r>
  <r>
    <x v="15"/>
    <x v="2"/>
    <x v="2"/>
    <x v="2"/>
    <x v="0"/>
    <x v="0"/>
    <x v="2"/>
    <x v="2"/>
    <x v="131"/>
    <x v="0"/>
    <s v="VILLA LUCRE"/>
    <x v="0"/>
  </r>
  <r>
    <x v="15"/>
    <x v="9"/>
    <x v="6"/>
    <x v="6"/>
    <x v="0"/>
    <x v="0"/>
    <x v="9"/>
    <x v="9"/>
    <x v="132"/>
    <x v="0"/>
    <s v="VILLA LUCRE"/>
    <x v="0"/>
  </r>
  <r>
    <x v="15"/>
    <x v="11"/>
    <x v="6"/>
    <x v="6"/>
    <x v="0"/>
    <x v="0"/>
    <x v="11"/>
    <x v="11"/>
    <x v="133"/>
    <x v="0"/>
    <s v="VILLA LUCRE"/>
    <x v="0"/>
  </r>
  <r>
    <x v="15"/>
    <x v="10"/>
    <x v="3"/>
    <x v="3"/>
    <x v="0"/>
    <x v="0"/>
    <x v="10"/>
    <x v="10"/>
    <x v="134"/>
    <x v="0"/>
    <s v="VILLA LUCRE"/>
    <x v="0"/>
  </r>
  <r>
    <x v="15"/>
    <x v="3"/>
    <x v="3"/>
    <x v="3"/>
    <x v="0"/>
    <x v="0"/>
    <x v="3"/>
    <x v="3"/>
    <x v="135"/>
    <x v="0"/>
    <s v="VILLA LUCRE"/>
    <x v="0"/>
  </r>
  <r>
    <x v="15"/>
    <x v="12"/>
    <x v="4"/>
    <x v="4"/>
    <x v="0"/>
    <x v="0"/>
    <x v="12"/>
    <x v="12"/>
    <x v="136"/>
    <x v="0"/>
    <s v="VILLA LUCRE"/>
    <x v="0"/>
  </r>
  <r>
    <x v="15"/>
    <x v="4"/>
    <x v="4"/>
    <x v="4"/>
    <x v="0"/>
    <x v="0"/>
    <x v="4"/>
    <x v="4"/>
    <x v="137"/>
    <x v="0"/>
    <s v="VILLA LUCRE"/>
    <x v="0"/>
  </r>
  <r>
    <x v="15"/>
    <x v="0"/>
    <x v="0"/>
    <x v="0"/>
    <x v="0"/>
    <x v="0"/>
    <x v="0"/>
    <x v="0"/>
    <x v="138"/>
    <x v="0"/>
    <s v="VILLA LUCRE"/>
    <x v="0"/>
  </r>
  <r>
    <x v="15"/>
    <x v="5"/>
    <x v="0"/>
    <x v="0"/>
    <x v="0"/>
    <x v="0"/>
    <x v="5"/>
    <x v="5"/>
    <x v="139"/>
    <x v="0"/>
    <s v="VILLA LUCRE"/>
    <x v="0"/>
  </r>
  <r>
    <x v="15"/>
    <x v="13"/>
    <x v="5"/>
    <x v="5"/>
    <x v="0"/>
    <x v="0"/>
    <x v="13"/>
    <x v="13"/>
    <x v="140"/>
    <x v="0"/>
    <s v="VILLA LUCRE"/>
    <x v="0"/>
  </r>
  <r>
    <x v="15"/>
    <x v="6"/>
    <x v="5"/>
    <x v="5"/>
    <x v="0"/>
    <x v="0"/>
    <x v="6"/>
    <x v="6"/>
    <x v="141"/>
    <x v="0"/>
    <s v="VILLA LUCRE"/>
    <x v="0"/>
  </r>
  <r>
    <x v="15"/>
    <x v="14"/>
    <x v="1"/>
    <x v="1"/>
    <x v="0"/>
    <x v="0"/>
    <x v="14"/>
    <x v="14"/>
    <x v="142"/>
    <x v="0"/>
    <s v="VILLA LUCRE"/>
    <x v="0"/>
  </r>
  <r>
    <x v="15"/>
    <x v="8"/>
    <x v="1"/>
    <x v="1"/>
    <x v="0"/>
    <x v="0"/>
    <x v="8"/>
    <x v="8"/>
    <x v="143"/>
    <x v="0"/>
    <s v="VILLA LUCRE"/>
    <x v="0"/>
  </r>
  <r>
    <x v="15"/>
    <x v="1"/>
    <x v="1"/>
    <x v="1"/>
    <x v="0"/>
    <x v="0"/>
    <x v="1"/>
    <x v="1"/>
    <x v="1"/>
    <x v="38"/>
    <s v="VILLA LUCRE"/>
    <x v="0"/>
  </r>
  <r>
    <x v="15"/>
    <x v="7"/>
    <x v="2"/>
    <x v="2"/>
    <x v="0"/>
    <x v="1"/>
    <x v="7"/>
    <x v="7"/>
    <x v="56"/>
    <x v="0"/>
    <s v="VILLA LUCRE"/>
    <x v="0"/>
  </r>
  <r>
    <x v="15"/>
    <x v="11"/>
    <x v="6"/>
    <x v="6"/>
    <x v="0"/>
    <x v="1"/>
    <x v="11"/>
    <x v="11"/>
    <x v="144"/>
    <x v="0"/>
    <s v="VILLA LUCRE"/>
    <x v="0"/>
  </r>
  <r>
    <x v="15"/>
    <x v="13"/>
    <x v="5"/>
    <x v="5"/>
    <x v="0"/>
    <x v="1"/>
    <x v="13"/>
    <x v="13"/>
    <x v="145"/>
    <x v="0"/>
    <s v="VILLA LUCRE"/>
    <x v="0"/>
  </r>
  <r>
    <x v="15"/>
    <x v="1"/>
    <x v="1"/>
    <x v="1"/>
    <x v="0"/>
    <x v="1"/>
    <x v="1"/>
    <x v="1"/>
    <x v="1"/>
    <x v="39"/>
    <s v="VILLA LUCRE"/>
    <x v="0"/>
  </r>
  <r>
    <x v="16"/>
    <x v="7"/>
    <x v="2"/>
    <x v="2"/>
    <x v="0"/>
    <x v="2"/>
    <x v="7"/>
    <x v="7"/>
    <x v="146"/>
    <x v="0"/>
    <s v="LOS ANDES"/>
    <x v="0"/>
  </r>
  <r>
    <x v="16"/>
    <x v="5"/>
    <x v="0"/>
    <x v="0"/>
    <x v="0"/>
    <x v="2"/>
    <x v="5"/>
    <x v="5"/>
    <x v="147"/>
    <x v="0"/>
    <s v="LOS ANDES"/>
    <x v="0"/>
  </r>
  <r>
    <x v="16"/>
    <x v="1"/>
    <x v="1"/>
    <x v="1"/>
    <x v="0"/>
    <x v="2"/>
    <x v="1"/>
    <x v="1"/>
    <x v="1"/>
    <x v="40"/>
    <s v="LOS ANDES"/>
    <x v="0"/>
  </r>
  <r>
    <x v="16"/>
    <x v="16"/>
    <x v="2"/>
    <x v="2"/>
    <x v="0"/>
    <x v="0"/>
    <x v="16"/>
    <x v="16"/>
    <x v="148"/>
    <x v="0"/>
    <s v="LOS ANDES"/>
    <x v="0"/>
  </r>
  <r>
    <x v="16"/>
    <x v="7"/>
    <x v="2"/>
    <x v="2"/>
    <x v="0"/>
    <x v="0"/>
    <x v="7"/>
    <x v="7"/>
    <x v="149"/>
    <x v="0"/>
    <s v="LOS ANDES"/>
    <x v="0"/>
  </r>
  <r>
    <x v="16"/>
    <x v="2"/>
    <x v="2"/>
    <x v="2"/>
    <x v="0"/>
    <x v="0"/>
    <x v="2"/>
    <x v="2"/>
    <x v="150"/>
    <x v="0"/>
    <s v="LOS ANDES"/>
    <x v="0"/>
  </r>
  <r>
    <x v="16"/>
    <x v="17"/>
    <x v="2"/>
    <x v="2"/>
    <x v="0"/>
    <x v="0"/>
    <x v="16"/>
    <x v="17"/>
    <x v="151"/>
    <x v="0"/>
    <s v="LOS ANDES"/>
    <x v="0"/>
  </r>
  <r>
    <x v="16"/>
    <x v="9"/>
    <x v="6"/>
    <x v="6"/>
    <x v="0"/>
    <x v="0"/>
    <x v="9"/>
    <x v="9"/>
    <x v="152"/>
    <x v="0"/>
    <s v="LOS ANDES"/>
    <x v="0"/>
  </r>
  <r>
    <x v="16"/>
    <x v="11"/>
    <x v="6"/>
    <x v="6"/>
    <x v="0"/>
    <x v="0"/>
    <x v="11"/>
    <x v="11"/>
    <x v="153"/>
    <x v="0"/>
    <s v="LOS ANDES"/>
    <x v="0"/>
  </r>
  <r>
    <x v="16"/>
    <x v="10"/>
    <x v="3"/>
    <x v="3"/>
    <x v="0"/>
    <x v="0"/>
    <x v="10"/>
    <x v="10"/>
    <x v="154"/>
    <x v="0"/>
    <s v="LOS ANDES"/>
    <x v="0"/>
  </r>
  <r>
    <x v="16"/>
    <x v="3"/>
    <x v="3"/>
    <x v="3"/>
    <x v="0"/>
    <x v="0"/>
    <x v="3"/>
    <x v="3"/>
    <x v="155"/>
    <x v="0"/>
    <s v="LOS ANDES"/>
    <x v="0"/>
  </r>
  <r>
    <x v="16"/>
    <x v="12"/>
    <x v="4"/>
    <x v="4"/>
    <x v="0"/>
    <x v="0"/>
    <x v="12"/>
    <x v="12"/>
    <x v="156"/>
    <x v="0"/>
    <s v="LOS ANDES"/>
    <x v="0"/>
  </r>
  <r>
    <x v="16"/>
    <x v="4"/>
    <x v="4"/>
    <x v="4"/>
    <x v="0"/>
    <x v="0"/>
    <x v="4"/>
    <x v="4"/>
    <x v="157"/>
    <x v="0"/>
    <s v="LOS ANDES"/>
    <x v="0"/>
  </r>
  <r>
    <x v="16"/>
    <x v="0"/>
    <x v="0"/>
    <x v="0"/>
    <x v="0"/>
    <x v="0"/>
    <x v="0"/>
    <x v="0"/>
    <x v="158"/>
    <x v="0"/>
    <s v="LOS ANDES"/>
    <x v="0"/>
  </r>
  <r>
    <x v="16"/>
    <x v="5"/>
    <x v="0"/>
    <x v="0"/>
    <x v="0"/>
    <x v="0"/>
    <x v="5"/>
    <x v="5"/>
    <x v="159"/>
    <x v="0"/>
    <s v="LOS ANDES"/>
    <x v="0"/>
  </r>
  <r>
    <x v="16"/>
    <x v="13"/>
    <x v="5"/>
    <x v="5"/>
    <x v="0"/>
    <x v="0"/>
    <x v="13"/>
    <x v="13"/>
    <x v="160"/>
    <x v="0"/>
    <s v="LOS ANDES"/>
    <x v="0"/>
  </r>
  <r>
    <x v="16"/>
    <x v="6"/>
    <x v="5"/>
    <x v="5"/>
    <x v="0"/>
    <x v="0"/>
    <x v="6"/>
    <x v="6"/>
    <x v="161"/>
    <x v="0"/>
    <s v="LOS ANDES"/>
    <x v="0"/>
  </r>
  <r>
    <x v="16"/>
    <x v="14"/>
    <x v="1"/>
    <x v="1"/>
    <x v="0"/>
    <x v="0"/>
    <x v="14"/>
    <x v="14"/>
    <x v="162"/>
    <x v="0"/>
    <s v="LOS ANDES"/>
    <x v="0"/>
  </r>
  <r>
    <x v="16"/>
    <x v="8"/>
    <x v="1"/>
    <x v="1"/>
    <x v="0"/>
    <x v="0"/>
    <x v="8"/>
    <x v="8"/>
    <x v="163"/>
    <x v="0"/>
    <s v="LOS ANDES"/>
    <x v="0"/>
  </r>
  <r>
    <x v="16"/>
    <x v="1"/>
    <x v="1"/>
    <x v="1"/>
    <x v="0"/>
    <x v="0"/>
    <x v="1"/>
    <x v="1"/>
    <x v="1"/>
    <x v="41"/>
    <s v="LOS ANDES"/>
    <x v="0"/>
  </r>
  <r>
    <x v="16"/>
    <x v="7"/>
    <x v="2"/>
    <x v="2"/>
    <x v="0"/>
    <x v="1"/>
    <x v="7"/>
    <x v="7"/>
    <x v="87"/>
    <x v="0"/>
    <s v="LOS ANDES"/>
    <x v="0"/>
  </r>
  <r>
    <x v="16"/>
    <x v="12"/>
    <x v="4"/>
    <x v="4"/>
    <x v="0"/>
    <x v="1"/>
    <x v="12"/>
    <x v="12"/>
    <x v="164"/>
    <x v="0"/>
    <s v="LOS ANDES"/>
    <x v="0"/>
  </r>
  <r>
    <x v="16"/>
    <x v="5"/>
    <x v="0"/>
    <x v="0"/>
    <x v="0"/>
    <x v="1"/>
    <x v="5"/>
    <x v="5"/>
    <x v="165"/>
    <x v="0"/>
    <s v="LOS ANDES"/>
    <x v="0"/>
  </r>
  <r>
    <x v="16"/>
    <x v="6"/>
    <x v="5"/>
    <x v="5"/>
    <x v="0"/>
    <x v="1"/>
    <x v="6"/>
    <x v="6"/>
    <x v="166"/>
    <x v="0"/>
    <s v="LOS ANDES"/>
    <x v="0"/>
  </r>
  <r>
    <x v="16"/>
    <x v="1"/>
    <x v="1"/>
    <x v="1"/>
    <x v="0"/>
    <x v="1"/>
    <x v="1"/>
    <x v="1"/>
    <x v="1"/>
    <x v="42"/>
    <s v="LOS ANDES"/>
    <x v="0"/>
  </r>
  <r>
    <x v="17"/>
    <x v="13"/>
    <x v="5"/>
    <x v="5"/>
    <x v="0"/>
    <x v="0"/>
    <x v="13"/>
    <x v="13"/>
    <x v="167"/>
    <x v="0"/>
    <s v="VIA ESPANA"/>
    <x v="0"/>
  </r>
  <r>
    <x v="17"/>
    <x v="1"/>
    <x v="1"/>
    <x v="1"/>
    <x v="0"/>
    <x v="0"/>
    <x v="1"/>
    <x v="1"/>
    <x v="1"/>
    <x v="43"/>
    <s v="VIA ESPANA"/>
    <x v="0"/>
  </r>
  <r>
    <x v="18"/>
    <x v="12"/>
    <x v="4"/>
    <x v="4"/>
    <x v="0"/>
    <x v="0"/>
    <x v="12"/>
    <x v="12"/>
    <x v="168"/>
    <x v="0"/>
    <s v="AVENIDA CUBA"/>
    <x v="0"/>
  </r>
  <r>
    <x v="18"/>
    <x v="0"/>
    <x v="0"/>
    <x v="0"/>
    <x v="0"/>
    <x v="0"/>
    <x v="0"/>
    <x v="0"/>
    <x v="169"/>
    <x v="0"/>
    <s v="AVENIDA CUBA"/>
    <x v="0"/>
  </r>
  <r>
    <x v="18"/>
    <x v="5"/>
    <x v="0"/>
    <x v="0"/>
    <x v="0"/>
    <x v="0"/>
    <x v="5"/>
    <x v="5"/>
    <x v="170"/>
    <x v="0"/>
    <s v="AVENIDA CUBA"/>
    <x v="0"/>
  </r>
  <r>
    <x v="18"/>
    <x v="1"/>
    <x v="1"/>
    <x v="1"/>
    <x v="0"/>
    <x v="0"/>
    <x v="1"/>
    <x v="1"/>
    <x v="1"/>
    <x v="44"/>
    <s v="AVENIDA CUBA"/>
    <x v="0"/>
  </r>
  <r>
    <x v="18"/>
    <x v="13"/>
    <x v="5"/>
    <x v="5"/>
    <x v="0"/>
    <x v="1"/>
    <x v="13"/>
    <x v="13"/>
    <x v="171"/>
    <x v="0"/>
    <s v="AVENIDA CUBA"/>
    <x v="0"/>
  </r>
  <r>
    <x v="18"/>
    <x v="1"/>
    <x v="1"/>
    <x v="1"/>
    <x v="0"/>
    <x v="1"/>
    <x v="1"/>
    <x v="1"/>
    <x v="1"/>
    <x v="45"/>
    <s v="AVENIDA CUBA"/>
    <x v="0"/>
  </r>
  <r>
    <x v="19"/>
    <x v="4"/>
    <x v="4"/>
    <x v="4"/>
    <x v="0"/>
    <x v="2"/>
    <x v="4"/>
    <x v="4"/>
    <x v="172"/>
    <x v="0"/>
    <s v="CHITRE"/>
    <x v="0"/>
  </r>
  <r>
    <x v="19"/>
    <x v="1"/>
    <x v="1"/>
    <x v="1"/>
    <x v="0"/>
    <x v="2"/>
    <x v="1"/>
    <x v="1"/>
    <x v="1"/>
    <x v="46"/>
    <s v="CHITRE"/>
    <x v="0"/>
  </r>
  <r>
    <x v="19"/>
    <x v="7"/>
    <x v="2"/>
    <x v="2"/>
    <x v="0"/>
    <x v="0"/>
    <x v="7"/>
    <x v="7"/>
    <x v="173"/>
    <x v="0"/>
    <s v="CHITRE"/>
    <x v="0"/>
  </r>
  <r>
    <x v="19"/>
    <x v="2"/>
    <x v="2"/>
    <x v="2"/>
    <x v="0"/>
    <x v="0"/>
    <x v="2"/>
    <x v="2"/>
    <x v="174"/>
    <x v="0"/>
    <s v="CHITRE"/>
    <x v="0"/>
  </r>
  <r>
    <x v="19"/>
    <x v="9"/>
    <x v="6"/>
    <x v="6"/>
    <x v="0"/>
    <x v="0"/>
    <x v="9"/>
    <x v="9"/>
    <x v="175"/>
    <x v="0"/>
    <s v="CHITRE"/>
    <x v="0"/>
  </r>
  <r>
    <x v="19"/>
    <x v="11"/>
    <x v="6"/>
    <x v="6"/>
    <x v="0"/>
    <x v="0"/>
    <x v="11"/>
    <x v="11"/>
    <x v="176"/>
    <x v="0"/>
    <s v="CHITRE"/>
    <x v="0"/>
  </r>
  <r>
    <x v="19"/>
    <x v="10"/>
    <x v="3"/>
    <x v="3"/>
    <x v="0"/>
    <x v="0"/>
    <x v="10"/>
    <x v="10"/>
    <x v="177"/>
    <x v="0"/>
    <s v="CHITRE"/>
    <x v="0"/>
  </r>
  <r>
    <x v="19"/>
    <x v="3"/>
    <x v="3"/>
    <x v="3"/>
    <x v="0"/>
    <x v="0"/>
    <x v="3"/>
    <x v="3"/>
    <x v="178"/>
    <x v="0"/>
    <s v="CHITRE"/>
    <x v="0"/>
  </r>
  <r>
    <x v="19"/>
    <x v="12"/>
    <x v="4"/>
    <x v="4"/>
    <x v="0"/>
    <x v="0"/>
    <x v="12"/>
    <x v="12"/>
    <x v="179"/>
    <x v="0"/>
    <s v="CHITRE"/>
    <x v="0"/>
  </r>
  <r>
    <x v="19"/>
    <x v="4"/>
    <x v="4"/>
    <x v="4"/>
    <x v="0"/>
    <x v="0"/>
    <x v="4"/>
    <x v="4"/>
    <x v="180"/>
    <x v="0"/>
    <s v="CHITRE"/>
    <x v="0"/>
  </r>
  <r>
    <x v="19"/>
    <x v="0"/>
    <x v="0"/>
    <x v="0"/>
    <x v="0"/>
    <x v="0"/>
    <x v="0"/>
    <x v="0"/>
    <x v="181"/>
    <x v="0"/>
    <s v="CHITRE"/>
    <x v="0"/>
  </r>
  <r>
    <x v="19"/>
    <x v="5"/>
    <x v="0"/>
    <x v="0"/>
    <x v="0"/>
    <x v="0"/>
    <x v="5"/>
    <x v="5"/>
    <x v="182"/>
    <x v="0"/>
    <s v="CHITRE"/>
    <x v="0"/>
  </r>
  <r>
    <x v="19"/>
    <x v="13"/>
    <x v="5"/>
    <x v="5"/>
    <x v="0"/>
    <x v="0"/>
    <x v="13"/>
    <x v="13"/>
    <x v="183"/>
    <x v="0"/>
    <s v="CHITRE"/>
    <x v="0"/>
  </r>
  <r>
    <x v="19"/>
    <x v="6"/>
    <x v="5"/>
    <x v="5"/>
    <x v="0"/>
    <x v="0"/>
    <x v="6"/>
    <x v="6"/>
    <x v="184"/>
    <x v="0"/>
    <s v="CHITRE"/>
    <x v="0"/>
  </r>
  <r>
    <x v="19"/>
    <x v="14"/>
    <x v="1"/>
    <x v="1"/>
    <x v="0"/>
    <x v="0"/>
    <x v="14"/>
    <x v="14"/>
    <x v="185"/>
    <x v="0"/>
    <s v="CHITRE"/>
    <x v="0"/>
  </r>
  <r>
    <x v="19"/>
    <x v="8"/>
    <x v="1"/>
    <x v="1"/>
    <x v="0"/>
    <x v="0"/>
    <x v="8"/>
    <x v="8"/>
    <x v="186"/>
    <x v="0"/>
    <s v="CHITRE"/>
    <x v="0"/>
  </r>
  <r>
    <x v="19"/>
    <x v="1"/>
    <x v="1"/>
    <x v="1"/>
    <x v="0"/>
    <x v="0"/>
    <x v="1"/>
    <x v="1"/>
    <x v="1"/>
    <x v="47"/>
    <s v="CHITRE"/>
    <x v="0"/>
  </r>
  <r>
    <x v="19"/>
    <x v="10"/>
    <x v="3"/>
    <x v="3"/>
    <x v="0"/>
    <x v="1"/>
    <x v="10"/>
    <x v="10"/>
    <x v="187"/>
    <x v="0"/>
    <s v="CHITRE"/>
    <x v="0"/>
  </r>
  <r>
    <x v="19"/>
    <x v="12"/>
    <x v="4"/>
    <x v="4"/>
    <x v="0"/>
    <x v="1"/>
    <x v="12"/>
    <x v="12"/>
    <x v="188"/>
    <x v="0"/>
    <s v="CHITRE"/>
    <x v="0"/>
  </r>
  <r>
    <x v="19"/>
    <x v="4"/>
    <x v="4"/>
    <x v="4"/>
    <x v="0"/>
    <x v="1"/>
    <x v="4"/>
    <x v="4"/>
    <x v="189"/>
    <x v="0"/>
    <s v="CHITRE"/>
    <x v="0"/>
  </r>
  <r>
    <x v="19"/>
    <x v="0"/>
    <x v="0"/>
    <x v="0"/>
    <x v="0"/>
    <x v="1"/>
    <x v="0"/>
    <x v="0"/>
    <x v="190"/>
    <x v="0"/>
    <s v="CHITRE"/>
    <x v="0"/>
  </r>
  <r>
    <x v="19"/>
    <x v="5"/>
    <x v="0"/>
    <x v="0"/>
    <x v="0"/>
    <x v="1"/>
    <x v="5"/>
    <x v="5"/>
    <x v="191"/>
    <x v="0"/>
    <s v="CHITRE"/>
    <x v="0"/>
  </r>
  <r>
    <x v="19"/>
    <x v="6"/>
    <x v="5"/>
    <x v="5"/>
    <x v="0"/>
    <x v="1"/>
    <x v="6"/>
    <x v="6"/>
    <x v="192"/>
    <x v="0"/>
    <s v="CHITRE"/>
    <x v="0"/>
  </r>
  <r>
    <x v="19"/>
    <x v="1"/>
    <x v="1"/>
    <x v="1"/>
    <x v="0"/>
    <x v="1"/>
    <x v="1"/>
    <x v="1"/>
    <x v="1"/>
    <x v="48"/>
    <s v="CHITRE"/>
    <x v="0"/>
  </r>
  <r>
    <x v="20"/>
    <x v="5"/>
    <x v="0"/>
    <x v="0"/>
    <x v="0"/>
    <x v="2"/>
    <x v="5"/>
    <x v="5"/>
    <x v="193"/>
    <x v="0"/>
    <s v="LOS PUEBLOS"/>
    <x v="0"/>
  </r>
  <r>
    <x v="20"/>
    <x v="1"/>
    <x v="1"/>
    <x v="1"/>
    <x v="0"/>
    <x v="2"/>
    <x v="1"/>
    <x v="1"/>
    <x v="1"/>
    <x v="49"/>
    <s v="LOS PUEBLOS"/>
    <x v="0"/>
  </r>
  <r>
    <x v="20"/>
    <x v="7"/>
    <x v="2"/>
    <x v="2"/>
    <x v="0"/>
    <x v="0"/>
    <x v="7"/>
    <x v="7"/>
    <x v="194"/>
    <x v="0"/>
    <s v="LOS PUEBLOS"/>
    <x v="0"/>
  </r>
  <r>
    <x v="20"/>
    <x v="2"/>
    <x v="2"/>
    <x v="2"/>
    <x v="0"/>
    <x v="0"/>
    <x v="2"/>
    <x v="2"/>
    <x v="195"/>
    <x v="0"/>
    <s v="LOS PUEBLOS"/>
    <x v="0"/>
  </r>
  <r>
    <x v="20"/>
    <x v="9"/>
    <x v="6"/>
    <x v="6"/>
    <x v="0"/>
    <x v="0"/>
    <x v="9"/>
    <x v="9"/>
    <x v="196"/>
    <x v="0"/>
    <s v="LOS PUEBLOS"/>
    <x v="0"/>
  </r>
  <r>
    <x v="20"/>
    <x v="11"/>
    <x v="6"/>
    <x v="6"/>
    <x v="0"/>
    <x v="0"/>
    <x v="11"/>
    <x v="11"/>
    <x v="197"/>
    <x v="0"/>
    <s v="LOS PUEBLOS"/>
    <x v="0"/>
  </r>
  <r>
    <x v="20"/>
    <x v="10"/>
    <x v="3"/>
    <x v="3"/>
    <x v="0"/>
    <x v="0"/>
    <x v="10"/>
    <x v="10"/>
    <x v="198"/>
    <x v="0"/>
    <s v="LOS PUEBLOS"/>
    <x v="0"/>
  </r>
  <r>
    <x v="20"/>
    <x v="3"/>
    <x v="3"/>
    <x v="3"/>
    <x v="0"/>
    <x v="0"/>
    <x v="3"/>
    <x v="3"/>
    <x v="199"/>
    <x v="0"/>
    <s v="LOS PUEBLOS"/>
    <x v="0"/>
  </r>
  <r>
    <x v="20"/>
    <x v="12"/>
    <x v="4"/>
    <x v="4"/>
    <x v="0"/>
    <x v="0"/>
    <x v="12"/>
    <x v="12"/>
    <x v="200"/>
    <x v="0"/>
    <s v="LOS PUEBLOS"/>
    <x v="0"/>
  </r>
  <r>
    <x v="20"/>
    <x v="4"/>
    <x v="4"/>
    <x v="4"/>
    <x v="0"/>
    <x v="0"/>
    <x v="4"/>
    <x v="4"/>
    <x v="201"/>
    <x v="0"/>
    <s v="LOS PUEBLOS"/>
    <x v="0"/>
  </r>
  <r>
    <x v="20"/>
    <x v="0"/>
    <x v="0"/>
    <x v="0"/>
    <x v="0"/>
    <x v="0"/>
    <x v="0"/>
    <x v="0"/>
    <x v="202"/>
    <x v="0"/>
    <s v="LOS PUEBLOS"/>
    <x v="0"/>
  </r>
  <r>
    <x v="20"/>
    <x v="5"/>
    <x v="0"/>
    <x v="0"/>
    <x v="0"/>
    <x v="0"/>
    <x v="5"/>
    <x v="5"/>
    <x v="203"/>
    <x v="0"/>
    <s v="LOS PUEBLOS"/>
    <x v="0"/>
  </r>
  <r>
    <x v="20"/>
    <x v="13"/>
    <x v="5"/>
    <x v="5"/>
    <x v="0"/>
    <x v="0"/>
    <x v="13"/>
    <x v="13"/>
    <x v="204"/>
    <x v="0"/>
    <s v="LOS PUEBLOS"/>
    <x v="0"/>
  </r>
  <r>
    <x v="20"/>
    <x v="6"/>
    <x v="5"/>
    <x v="5"/>
    <x v="0"/>
    <x v="0"/>
    <x v="6"/>
    <x v="6"/>
    <x v="205"/>
    <x v="0"/>
    <s v="LOS PUEBLOS"/>
    <x v="0"/>
  </r>
  <r>
    <x v="20"/>
    <x v="14"/>
    <x v="1"/>
    <x v="1"/>
    <x v="0"/>
    <x v="0"/>
    <x v="14"/>
    <x v="14"/>
    <x v="206"/>
    <x v="0"/>
    <s v="LOS PUEBLOS"/>
    <x v="0"/>
  </r>
  <r>
    <x v="20"/>
    <x v="8"/>
    <x v="1"/>
    <x v="1"/>
    <x v="0"/>
    <x v="0"/>
    <x v="8"/>
    <x v="8"/>
    <x v="207"/>
    <x v="0"/>
    <s v="LOS PUEBLOS"/>
    <x v="0"/>
  </r>
  <r>
    <x v="20"/>
    <x v="1"/>
    <x v="1"/>
    <x v="1"/>
    <x v="0"/>
    <x v="0"/>
    <x v="1"/>
    <x v="1"/>
    <x v="1"/>
    <x v="50"/>
    <s v="LOS PUEBLOS"/>
    <x v="0"/>
  </r>
  <r>
    <x v="20"/>
    <x v="2"/>
    <x v="2"/>
    <x v="2"/>
    <x v="0"/>
    <x v="1"/>
    <x v="2"/>
    <x v="2"/>
    <x v="208"/>
    <x v="0"/>
    <s v="LOS PUEBLOS"/>
    <x v="0"/>
  </r>
  <r>
    <x v="20"/>
    <x v="10"/>
    <x v="3"/>
    <x v="3"/>
    <x v="0"/>
    <x v="1"/>
    <x v="10"/>
    <x v="10"/>
    <x v="209"/>
    <x v="0"/>
    <s v="LOS PUEBLOS"/>
    <x v="0"/>
  </r>
  <r>
    <x v="20"/>
    <x v="18"/>
    <x v="3"/>
    <x v="3"/>
    <x v="0"/>
    <x v="1"/>
    <x v="17"/>
    <x v="18"/>
    <x v="210"/>
    <x v="0"/>
    <s v="LOS PUEBLOS"/>
    <x v="0"/>
  </r>
  <r>
    <x v="20"/>
    <x v="12"/>
    <x v="4"/>
    <x v="4"/>
    <x v="0"/>
    <x v="1"/>
    <x v="12"/>
    <x v="12"/>
    <x v="211"/>
    <x v="0"/>
    <s v="LOS PUEBLOS"/>
    <x v="0"/>
  </r>
  <r>
    <x v="20"/>
    <x v="4"/>
    <x v="4"/>
    <x v="4"/>
    <x v="0"/>
    <x v="1"/>
    <x v="4"/>
    <x v="4"/>
    <x v="212"/>
    <x v="0"/>
    <s v="LOS PUEBLOS"/>
    <x v="0"/>
  </r>
  <r>
    <x v="20"/>
    <x v="5"/>
    <x v="0"/>
    <x v="0"/>
    <x v="0"/>
    <x v="1"/>
    <x v="5"/>
    <x v="5"/>
    <x v="213"/>
    <x v="0"/>
    <s v="LOS PUEBLOS"/>
    <x v="0"/>
  </r>
  <r>
    <x v="20"/>
    <x v="13"/>
    <x v="5"/>
    <x v="5"/>
    <x v="0"/>
    <x v="1"/>
    <x v="13"/>
    <x v="13"/>
    <x v="214"/>
    <x v="0"/>
    <s v="LOS PUEBLOS"/>
    <x v="0"/>
  </r>
  <r>
    <x v="20"/>
    <x v="8"/>
    <x v="1"/>
    <x v="1"/>
    <x v="0"/>
    <x v="1"/>
    <x v="8"/>
    <x v="8"/>
    <x v="215"/>
    <x v="0"/>
    <s v="LOS PUEBLOS"/>
    <x v="0"/>
  </r>
  <r>
    <x v="20"/>
    <x v="1"/>
    <x v="1"/>
    <x v="1"/>
    <x v="0"/>
    <x v="1"/>
    <x v="1"/>
    <x v="1"/>
    <x v="1"/>
    <x v="51"/>
    <s v="LOS PUEBLOS"/>
    <x v="0"/>
  </r>
  <r>
    <x v="21"/>
    <x v="7"/>
    <x v="2"/>
    <x v="2"/>
    <x v="0"/>
    <x v="2"/>
    <x v="7"/>
    <x v="7"/>
    <x v="216"/>
    <x v="0"/>
    <s v="TRANSISTMICA"/>
    <x v="0"/>
  </r>
  <r>
    <x v="21"/>
    <x v="11"/>
    <x v="6"/>
    <x v="6"/>
    <x v="0"/>
    <x v="2"/>
    <x v="11"/>
    <x v="11"/>
    <x v="121"/>
    <x v="0"/>
    <s v="TRANSISTMICA"/>
    <x v="0"/>
  </r>
  <r>
    <x v="21"/>
    <x v="10"/>
    <x v="3"/>
    <x v="3"/>
    <x v="0"/>
    <x v="2"/>
    <x v="10"/>
    <x v="10"/>
    <x v="217"/>
    <x v="0"/>
    <s v="TRANSISTMICA"/>
    <x v="0"/>
  </r>
  <r>
    <x v="21"/>
    <x v="3"/>
    <x v="3"/>
    <x v="3"/>
    <x v="0"/>
    <x v="2"/>
    <x v="3"/>
    <x v="3"/>
    <x v="218"/>
    <x v="0"/>
    <s v="TRANSISTMICA"/>
    <x v="0"/>
  </r>
  <r>
    <x v="21"/>
    <x v="12"/>
    <x v="4"/>
    <x v="4"/>
    <x v="0"/>
    <x v="2"/>
    <x v="12"/>
    <x v="12"/>
    <x v="219"/>
    <x v="0"/>
    <s v="TRANSISTMICA"/>
    <x v="0"/>
  </r>
  <r>
    <x v="21"/>
    <x v="0"/>
    <x v="0"/>
    <x v="0"/>
    <x v="0"/>
    <x v="2"/>
    <x v="0"/>
    <x v="0"/>
    <x v="220"/>
    <x v="0"/>
    <s v="TRANSISTMICA"/>
    <x v="0"/>
  </r>
  <r>
    <x v="21"/>
    <x v="5"/>
    <x v="0"/>
    <x v="0"/>
    <x v="0"/>
    <x v="2"/>
    <x v="5"/>
    <x v="5"/>
    <x v="221"/>
    <x v="0"/>
    <s v="TRANSISTMICA"/>
    <x v="0"/>
  </r>
  <r>
    <x v="21"/>
    <x v="13"/>
    <x v="5"/>
    <x v="5"/>
    <x v="0"/>
    <x v="2"/>
    <x v="13"/>
    <x v="13"/>
    <x v="222"/>
    <x v="0"/>
    <s v="TRANSISTMICA"/>
    <x v="0"/>
  </r>
  <r>
    <x v="21"/>
    <x v="6"/>
    <x v="5"/>
    <x v="5"/>
    <x v="0"/>
    <x v="2"/>
    <x v="6"/>
    <x v="6"/>
    <x v="222"/>
    <x v="0"/>
    <s v="TRANSISTMICA"/>
    <x v="0"/>
  </r>
  <r>
    <x v="21"/>
    <x v="1"/>
    <x v="1"/>
    <x v="1"/>
    <x v="0"/>
    <x v="2"/>
    <x v="1"/>
    <x v="1"/>
    <x v="1"/>
    <x v="52"/>
    <s v="TRANSISTMICA"/>
    <x v="0"/>
  </r>
  <r>
    <x v="21"/>
    <x v="7"/>
    <x v="2"/>
    <x v="2"/>
    <x v="0"/>
    <x v="0"/>
    <x v="7"/>
    <x v="7"/>
    <x v="223"/>
    <x v="0"/>
    <s v="TRANSISTMICA"/>
    <x v="0"/>
  </r>
  <r>
    <x v="21"/>
    <x v="2"/>
    <x v="2"/>
    <x v="2"/>
    <x v="0"/>
    <x v="0"/>
    <x v="2"/>
    <x v="2"/>
    <x v="224"/>
    <x v="0"/>
    <s v="TRANSISTMICA"/>
    <x v="0"/>
  </r>
  <r>
    <x v="21"/>
    <x v="9"/>
    <x v="6"/>
    <x v="6"/>
    <x v="0"/>
    <x v="0"/>
    <x v="9"/>
    <x v="9"/>
    <x v="88"/>
    <x v="0"/>
    <s v="TRANSISTMICA"/>
    <x v="0"/>
  </r>
  <r>
    <x v="21"/>
    <x v="11"/>
    <x v="6"/>
    <x v="6"/>
    <x v="0"/>
    <x v="0"/>
    <x v="11"/>
    <x v="11"/>
    <x v="225"/>
    <x v="0"/>
    <s v="TRANSISTMICA"/>
    <x v="0"/>
  </r>
  <r>
    <x v="21"/>
    <x v="10"/>
    <x v="3"/>
    <x v="3"/>
    <x v="0"/>
    <x v="0"/>
    <x v="10"/>
    <x v="10"/>
    <x v="226"/>
    <x v="0"/>
    <s v="TRANSISTMICA"/>
    <x v="0"/>
  </r>
  <r>
    <x v="21"/>
    <x v="3"/>
    <x v="3"/>
    <x v="3"/>
    <x v="0"/>
    <x v="0"/>
    <x v="3"/>
    <x v="3"/>
    <x v="227"/>
    <x v="0"/>
    <s v="TRANSISTMICA"/>
    <x v="0"/>
  </r>
  <r>
    <x v="21"/>
    <x v="12"/>
    <x v="4"/>
    <x v="4"/>
    <x v="0"/>
    <x v="0"/>
    <x v="12"/>
    <x v="12"/>
    <x v="228"/>
    <x v="0"/>
    <s v="TRANSISTMICA"/>
    <x v="0"/>
  </r>
  <r>
    <x v="21"/>
    <x v="4"/>
    <x v="4"/>
    <x v="4"/>
    <x v="0"/>
    <x v="0"/>
    <x v="4"/>
    <x v="4"/>
    <x v="229"/>
    <x v="0"/>
    <s v="TRANSISTMICA"/>
    <x v="0"/>
  </r>
  <r>
    <x v="21"/>
    <x v="0"/>
    <x v="0"/>
    <x v="0"/>
    <x v="0"/>
    <x v="0"/>
    <x v="0"/>
    <x v="0"/>
    <x v="230"/>
    <x v="0"/>
    <s v="TRANSISTMICA"/>
    <x v="0"/>
  </r>
  <r>
    <x v="21"/>
    <x v="5"/>
    <x v="0"/>
    <x v="0"/>
    <x v="0"/>
    <x v="0"/>
    <x v="5"/>
    <x v="5"/>
    <x v="231"/>
    <x v="0"/>
    <s v="TRANSISTMICA"/>
    <x v="0"/>
  </r>
  <r>
    <x v="21"/>
    <x v="13"/>
    <x v="5"/>
    <x v="5"/>
    <x v="0"/>
    <x v="0"/>
    <x v="13"/>
    <x v="13"/>
    <x v="232"/>
    <x v="0"/>
    <s v="TRANSISTMICA"/>
    <x v="0"/>
  </r>
  <r>
    <x v="21"/>
    <x v="6"/>
    <x v="5"/>
    <x v="5"/>
    <x v="0"/>
    <x v="0"/>
    <x v="6"/>
    <x v="6"/>
    <x v="233"/>
    <x v="0"/>
    <s v="TRANSISTMICA"/>
    <x v="0"/>
  </r>
  <r>
    <x v="21"/>
    <x v="14"/>
    <x v="1"/>
    <x v="1"/>
    <x v="0"/>
    <x v="0"/>
    <x v="14"/>
    <x v="14"/>
    <x v="234"/>
    <x v="0"/>
    <s v="TRANSISTMICA"/>
    <x v="0"/>
  </r>
  <r>
    <x v="21"/>
    <x v="8"/>
    <x v="1"/>
    <x v="1"/>
    <x v="0"/>
    <x v="0"/>
    <x v="8"/>
    <x v="8"/>
    <x v="235"/>
    <x v="0"/>
    <s v="TRANSISTMICA"/>
    <x v="0"/>
  </r>
  <r>
    <x v="21"/>
    <x v="1"/>
    <x v="1"/>
    <x v="1"/>
    <x v="0"/>
    <x v="0"/>
    <x v="1"/>
    <x v="1"/>
    <x v="1"/>
    <x v="53"/>
    <s v="TRANSISTMICA"/>
    <x v="0"/>
  </r>
  <r>
    <x v="21"/>
    <x v="10"/>
    <x v="3"/>
    <x v="3"/>
    <x v="0"/>
    <x v="1"/>
    <x v="10"/>
    <x v="10"/>
    <x v="236"/>
    <x v="0"/>
    <s v="TRANSISTMICA"/>
    <x v="0"/>
  </r>
  <r>
    <x v="21"/>
    <x v="3"/>
    <x v="3"/>
    <x v="3"/>
    <x v="0"/>
    <x v="1"/>
    <x v="3"/>
    <x v="3"/>
    <x v="237"/>
    <x v="0"/>
    <s v="TRANSISTMICA"/>
    <x v="0"/>
  </r>
  <r>
    <x v="21"/>
    <x v="4"/>
    <x v="4"/>
    <x v="4"/>
    <x v="0"/>
    <x v="1"/>
    <x v="4"/>
    <x v="4"/>
    <x v="238"/>
    <x v="0"/>
    <s v="TRANSISTMICA"/>
    <x v="0"/>
  </r>
  <r>
    <x v="21"/>
    <x v="0"/>
    <x v="0"/>
    <x v="0"/>
    <x v="0"/>
    <x v="1"/>
    <x v="0"/>
    <x v="0"/>
    <x v="239"/>
    <x v="0"/>
    <s v="TRANSISTMICA"/>
    <x v="0"/>
  </r>
  <r>
    <x v="21"/>
    <x v="5"/>
    <x v="0"/>
    <x v="0"/>
    <x v="0"/>
    <x v="1"/>
    <x v="5"/>
    <x v="5"/>
    <x v="240"/>
    <x v="0"/>
    <s v="TRANSISTMICA"/>
    <x v="0"/>
  </r>
  <r>
    <x v="21"/>
    <x v="13"/>
    <x v="5"/>
    <x v="5"/>
    <x v="0"/>
    <x v="1"/>
    <x v="13"/>
    <x v="13"/>
    <x v="241"/>
    <x v="0"/>
    <s v="TRANSISTMICA"/>
    <x v="0"/>
  </r>
  <r>
    <x v="21"/>
    <x v="14"/>
    <x v="1"/>
    <x v="1"/>
    <x v="0"/>
    <x v="1"/>
    <x v="14"/>
    <x v="14"/>
    <x v="242"/>
    <x v="0"/>
    <s v="TRANSISTMICA"/>
    <x v="0"/>
  </r>
  <r>
    <x v="21"/>
    <x v="8"/>
    <x v="1"/>
    <x v="1"/>
    <x v="0"/>
    <x v="1"/>
    <x v="8"/>
    <x v="8"/>
    <x v="243"/>
    <x v="0"/>
    <s v="TRANSISTMICA"/>
    <x v="0"/>
  </r>
  <r>
    <x v="21"/>
    <x v="1"/>
    <x v="1"/>
    <x v="1"/>
    <x v="0"/>
    <x v="1"/>
    <x v="1"/>
    <x v="1"/>
    <x v="1"/>
    <x v="54"/>
    <s v="TRANSISTMICA"/>
    <x v="0"/>
  </r>
  <r>
    <x v="22"/>
    <x v="4"/>
    <x v="4"/>
    <x v="4"/>
    <x v="0"/>
    <x v="0"/>
    <x v="4"/>
    <x v="4"/>
    <x v="244"/>
    <x v="0"/>
    <s v="PLAZA GALAPAGO"/>
    <x v="0"/>
  </r>
  <r>
    <x v="22"/>
    <x v="0"/>
    <x v="0"/>
    <x v="0"/>
    <x v="0"/>
    <x v="0"/>
    <x v="0"/>
    <x v="0"/>
    <x v="245"/>
    <x v="0"/>
    <s v="PLAZA GALAPAGO"/>
    <x v="0"/>
  </r>
  <r>
    <x v="22"/>
    <x v="5"/>
    <x v="0"/>
    <x v="0"/>
    <x v="0"/>
    <x v="0"/>
    <x v="5"/>
    <x v="5"/>
    <x v="246"/>
    <x v="0"/>
    <s v="PLAZA GALAPAGO"/>
    <x v="0"/>
  </r>
  <r>
    <x v="22"/>
    <x v="1"/>
    <x v="1"/>
    <x v="1"/>
    <x v="0"/>
    <x v="0"/>
    <x v="1"/>
    <x v="1"/>
    <x v="1"/>
    <x v="55"/>
    <s v="PLAZA GALAPAGO"/>
    <x v="0"/>
  </r>
  <r>
    <x v="23"/>
    <x v="10"/>
    <x v="3"/>
    <x v="3"/>
    <x v="0"/>
    <x v="0"/>
    <x v="10"/>
    <x v="10"/>
    <x v="247"/>
    <x v="0"/>
    <s v="PARQUE LEFEVRE"/>
    <x v="0"/>
  </r>
  <r>
    <x v="23"/>
    <x v="3"/>
    <x v="3"/>
    <x v="3"/>
    <x v="0"/>
    <x v="0"/>
    <x v="3"/>
    <x v="3"/>
    <x v="248"/>
    <x v="0"/>
    <s v="PARQUE LEFEVRE"/>
    <x v="0"/>
  </r>
  <r>
    <x v="23"/>
    <x v="1"/>
    <x v="1"/>
    <x v="1"/>
    <x v="0"/>
    <x v="0"/>
    <x v="1"/>
    <x v="1"/>
    <x v="1"/>
    <x v="56"/>
    <s v="PARQUE LEFEVRE"/>
    <x v="0"/>
  </r>
  <r>
    <x v="23"/>
    <x v="11"/>
    <x v="6"/>
    <x v="6"/>
    <x v="0"/>
    <x v="1"/>
    <x v="11"/>
    <x v="11"/>
    <x v="249"/>
    <x v="0"/>
    <s v="PARQUE LEFEVRE"/>
    <x v="0"/>
  </r>
  <r>
    <x v="23"/>
    <x v="10"/>
    <x v="3"/>
    <x v="3"/>
    <x v="0"/>
    <x v="1"/>
    <x v="10"/>
    <x v="10"/>
    <x v="250"/>
    <x v="0"/>
    <s v="PARQUE LEFEVRE"/>
    <x v="0"/>
  </r>
  <r>
    <x v="23"/>
    <x v="0"/>
    <x v="0"/>
    <x v="0"/>
    <x v="0"/>
    <x v="1"/>
    <x v="0"/>
    <x v="0"/>
    <x v="251"/>
    <x v="0"/>
    <s v="PARQUE LEFEVRE"/>
    <x v="0"/>
  </r>
  <r>
    <x v="23"/>
    <x v="5"/>
    <x v="0"/>
    <x v="0"/>
    <x v="0"/>
    <x v="1"/>
    <x v="5"/>
    <x v="5"/>
    <x v="252"/>
    <x v="0"/>
    <s v="PARQUE LEFEVRE"/>
    <x v="0"/>
  </r>
  <r>
    <x v="23"/>
    <x v="1"/>
    <x v="1"/>
    <x v="1"/>
    <x v="0"/>
    <x v="1"/>
    <x v="1"/>
    <x v="1"/>
    <x v="1"/>
    <x v="57"/>
    <s v="PARQUE LEFEVRE"/>
    <x v="0"/>
  </r>
  <r>
    <x v="24"/>
    <x v="7"/>
    <x v="2"/>
    <x v="2"/>
    <x v="0"/>
    <x v="2"/>
    <x v="7"/>
    <x v="7"/>
    <x v="253"/>
    <x v="0"/>
    <s v="DAVID"/>
    <x v="0"/>
  </r>
  <r>
    <x v="24"/>
    <x v="9"/>
    <x v="6"/>
    <x v="6"/>
    <x v="0"/>
    <x v="2"/>
    <x v="9"/>
    <x v="9"/>
    <x v="254"/>
    <x v="0"/>
    <s v="DAVID"/>
    <x v="0"/>
  </r>
  <r>
    <x v="24"/>
    <x v="11"/>
    <x v="6"/>
    <x v="6"/>
    <x v="0"/>
    <x v="2"/>
    <x v="11"/>
    <x v="11"/>
    <x v="255"/>
    <x v="0"/>
    <s v="DAVID"/>
    <x v="0"/>
  </r>
  <r>
    <x v="24"/>
    <x v="12"/>
    <x v="4"/>
    <x v="4"/>
    <x v="0"/>
    <x v="2"/>
    <x v="12"/>
    <x v="12"/>
    <x v="256"/>
    <x v="0"/>
    <s v="DAVID"/>
    <x v="0"/>
  </r>
  <r>
    <x v="24"/>
    <x v="0"/>
    <x v="0"/>
    <x v="0"/>
    <x v="0"/>
    <x v="2"/>
    <x v="0"/>
    <x v="0"/>
    <x v="257"/>
    <x v="0"/>
    <s v="DAVID"/>
    <x v="0"/>
  </r>
  <r>
    <x v="24"/>
    <x v="5"/>
    <x v="0"/>
    <x v="0"/>
    <x v="0"/>
    <x v="2"/>
    <x v="5"/>
    <x v="5"/>
    <x v="258"/>
    <x v="0"/>
    <s v="DAVID"/>
    <x v="0"/>
  </r>
  <r>
    <x v="24"/>
    <x v="13"/>
    <x v="5"/>
    <x v="5"/>
    <x v="0"/>
    <x v="2"/>
    <x v="13"/>
    <x v="13"/>
    <x v="259"/>
    <x v="0"/>
    <s v="DAVID"/>
    <x v="0"/>
  </r>
  <r>
    <x v="24"/>
    <x v="6"/>
    <x v="5"/>
    <x v="5"/>
    <x v="0"/>
    <x v="2"/>
    <x v="6"/>
    <x v="6"/>
    <x v="260"/>
    <x v="0"/>
    <s v="DAVID"/>
    <x v="0"/>
  </r>
  <r>
    <x v="24"/>
    <x v="14"/>
    <x v="1"/>
    <x v="1"/>
    <x v="0"/>
    <x v="2"/>
    <x v="14"/>
    <x v="14"/>
    <x v="261"/>
    <x v="0"/>
    <s v="DAVID"/>
    <x v="0"/>
  </r>
  <r>
    <x v="24"/>
    <x v="8"/>
    <x v="1"/>
    <x v="1"/>
    <x v="0"/>
    <x v="2"/>
    <x v="8"/>
    <x v="8"/>
    <x v="262"/>
    <x v="0"/>
    <s v="DAVID"/>
    <x v="0"/>
  </r>
  <r>
    <x v="24"/>
    <x v="1"/>
    <x v="1"/>
    <x v="1"/>
    <x v="0"/>
    <x v="2"/>
    <x v="1"/>
    <x v="1"/>
    <x v="1"/>
    <x v="58"/>
    <s v="DAVID"/>
    <x v="0"/>
  </r>
  <r>
    <x v="24"/>
    <x v="7"/>
    <x v="2"/>
    <x v="2"/>
    <x v="0"/>
    <x v="0"/>
    <x v="7"/>
    <x v="7"/>
    <x v="263"/>
    <x v="0"/>
    <s v="DAVID"/>
    <x v="0"/>
  </r>
  <r>
    <x v="24"/>
    <x v="2"/>
    <x v="2"/>
    <x v="2"/>
    <x v="0"/>
    <x v="0"/>
    <x v="2"/>
    <x v="2"/>
    <x v="264"/>
    <x v="0"/>
    <s v="DAVID"/>
    <x v="0"/>
  </r>
  <r>
    <x v="24"/>
    <x v="9"/>
    <x v="6"/>
    <x v="6"/>
    <x v="0"/>
    <x v="0"/>
    <x v="9"/>
    <x v="9"/>
    <x v="265"/>
    <x v="0"/>
    <s v="DAVID"/>
    <x v="0"/>
  </r>
  <r>
    <x v="24"/>
    <x v="11"/>
    <x v="6"/>
    <x v="6"/>
    <x v="0"/>
    <x v="0"/>
    <x v="11"/>
    <x v="11"/>
    <x v="266"/>
    <x v="0"/>
    <s v="DAVID"/>
    <x v="0"/>
  </r>
  <r>
    <x v="24"/>
    <x v="19"/>
    <x v="3"/>
    <x v="3"/>
    <x v="0"/>
    <x v="0"/>
    <x v="17"/>
    <x v="19"/>
    <x v="267"/>
    <x v="0"/>
    <s v="DAVID"/>
    <x v="0"/>
  </r>
  <r>
    <x v="24"/>
    <x v="10"/>
    <x v="3"/>
    <x v="3"/>
    <x v="0"/>
    <x v="0"/>
    <x v="10"/>
    <x v="10"/>
    <x v="268"/>
    <x v="0"/>
    <s v="DAVID"/>
    <x v="0"/>
  </r>
  <r>
    <x v="24"/>
    <x v="3"/>
    <x v="3"/>
    <x v="3"/>
    <x v="0"/>
    <x v="0"/>
    <x v="3"/>
    <x v="3"/>
    <x v="269"/>
    <x v="0"/>
    <s v="DAVID"/>
    <x v="0"/>
  </r>
  <r>
    <x v="24"/>
    <x v="12"/>
    <x v="4"/>
    <x v="4"/>
    <x v="0"/>
    <x v="0"/>
    <x v="12"/>
    <x v="12"/>
    <x v="270"/>
    <x v="0"/>
    <s v="DAVID"/>
    <x v="0"/>
  </r>
  <r>
    <x v="24"/>
    <x v="4"/>
    <x v="4"/>
    <x v="4"/>
    <x v="0"/>
    <x v="0"/>
    <x v="4"/>
    <x v="4"/>
    <x v="271"/>
    <x v="0"/>
    <s v="DAVID"/>
    <x v="0"/>
  </r>
  <r>
    <x v="24"/>
    <x v="0"/>
    <x v="0"/>
    <x v="0"/>
    <x v="0"/>
    <x v="0"/>
    <x v="0"/>
    <x v="0"/>
    <x v="272"/>
    <x v="0"/>
    <s v="DAVID"/>
    <x v="0"/>
  </r>
  <r>
    <x v="24"/>
    <x v="5"/>
    <x v="0"/>
    <x v="0"/>
    <x v="0"/>
    <x v="0"/>
    <x v="5"/>
    <x v="5"/>
    <x v="273"/>
    <x v="0"/>
    <s v="DAVID"/>
    <x v="0"/>
  </r>
  <r>
    <x v="24"/>
    <x v="13"/>
    <x v="5"/>
    <x v="5"/>
    <x v="0"/>
    <x v="0"/>
    <x v="13"/>
    <x v="13"/>
    <x v="274"/>
    <x v="0"/>
    <s v="DAVID"/>
    <x v="0"/>
  </r>
  <r>
    <x v="24"/>
    <x v="6"/>
    <x v="5"/>
    <x v="5"/>
    <x v="0"/>
    <x v="0"/>
    <x v="6"/>
    <x v="6"/>
    <x v="275"/>
    <x v="0"/>
    <s v="DAVID"/>
    <x v="0"/>
  </r>
  <r>
    <x v="24"/>
    <x v="14"/>
    <x v="1"/>
    <x v="1"/>
    <x v="0"/>
    <x v="0"/>
    <x v="14"/>
    <x v="14"/>
    <x v="276"/>
    <x v="0"/>
    <s v="DAVID"/>
    <x v="0"/>
  </r>
  <r>
    <x v="24"/>
    <x v="8"/>
    <x v="1"/>
    <x v="1"/>
    <x v="0"/>
    <x v="0"/>
    <x v="8"/>
    <x v="8"/>
    <x v="277"/>
    <x v="0"/>
    <s v="DAVID"/>
    <x v="0"/>
  </r>
  <r>
    <x v="24"/>
    <x v="1"/>
    <x v="1"/>
    <x v="1"/>
    <x v="0"/>
    <x v="0"/>
    <x v="1"/>
    <x v="1"/>
    <x v="1"/>
    <x v="59"/>
    <s v="DAVID"/>
    <x v="0"/>
  </r>
  <r>
    <x v="24"/>
    <x v="9"/>
    <x v="6"/>
    <x v="6"/>
    <x v="0"/>
    <x v="1"/>
    <x v="9"/>
    <x v="9"/>
    <x v="278"/>
    <x v="0"/>
    <s v="DAVID"/>
    <x v="0"/>
  </r>
  <r>
    <x v="24"/>
    <x v="11"/>
    <x v="6"/>
    <x v="6"/>
    <x v="0"/>
    <x v="1"/>
    <x v="11"/>
    <x v="11"/>
    <x v="279"/>
    <x v="0"/>
    <s v="DAVID"/>
    <x v="0"/>
  </r>
  <r>
    <x v="24"/>
    <x v="5"/>
    <x v="0"/>
    <x v="0"/>
    <x v="0"/>
    <x v="1"/>
    <x v="5"/>
    <x v="5"/>
    <x v="280"/>
    <x v="0"/>
    <s v="DAVID"/>
    <x v="0"/>
  </r>
  <r>
    <x v="24"/>
    <x v="13"/>
    <x v="5"/>
    <x v="5"/>
    <x v="0"/>
    <x v="1"/>
    <x v="13"/>
    <x v="13"/>
    <x v="281"/>
    <x v="0"/>
    <s v="DAVID"/>
    <x v="0"/>
  </r>
  <r>
    <x v="24"/>
    <x v="6"/>
    <x v="5"/>
    <x v="5"/>
    <x v="0"/>
    <x v="1"/>
    <x v="6"/>
    <x v="6"/>
    <x v="282"/>
    <x v="0"/>
    <s v="DAVID"/>
    <x v="0"/>
  </r>
  <r>
    <x v="24"/>
    <x v="8"/>
    <x v="1"/>
    <x v="1"/>
    <x v="0"/>
    <x v="1"/>
    <x v="8"/>
    <x v="8"/>
    <x v="283"/>
    <x v="0"/>
    <s v="DAVID"/>
    <x v="0"/>
  </r>
  <r>
    <x v="24"/>
    <x v="1"/>
    <x v="1"/>
    <x v="1"/>
    <x v="0"/>
    <x v="1"/>
    <x v="1"/>
    <x v="1"/>
    <x v="1"/>
    <x v="60"/>
    <s v="DAVID"/>
    <x v="0"/>
  </r>
  <r>
    <x v="25"/>
    <x v="1"/>
    <x v="1"/>
    <x v="1"/>
    <x v="0"/>
    <x v="0"/>
    <x v="1"/>
    <x v="1"/>
    <x v="1"/>
    <x v="61"/>
    <s v="PLAZA LAS AMERICAS"/>
    <x v="0"/>
  </r>
  <r>
    <x v="25"/>
    <x v="3"/>
    <x v="3"/>
    <x v="3"/>
    <x v="0"/>
    <x v="1"/>
    <x v="3"/>
    <x v="3"/>
    <x v="284"/>
    <x v="0"/>
    <s v="PLAZA LAS AMERICAS"/>
    <x v="0"/>
  </r>
  <r>
    <x v="25"/>
    <x v="1"/>
    <x v="1"/>
    <x v="1"/>
    <x v="0"/>
    <x v="1"/>
    <x v="1"/>
    <x v="1"/>
    <x v="1"/>
    <x v="62"/>
    <s v="PLAZA LAS AMERICAS"/>
    <x v="0"/>
  </r>
  <r>
    <x v="26"/>
    <x v="1"/>
    <x v="1"/>
    <x v="1"/>
    <x v="0"/>
    <x v="2"/>
    <x v="1"/>
    <x v="1"/>
    <x v="1"/>
    <x v="63"/>
    <s v="CORONADO"/>
    <x v="0"/>
  </r>
  <r>
    <x v="26"/>
    <x v="13"/>
    <x v="5"/>
    <x v="5"/>
    <x v="0"/>
    <x v="0"/>
    <x v="13"/>
    <x v="13"/>
    <x v="285"/>
    <x v="0"/>
    <s v="CORONADO"/>
    <x v="0"/>
  </r>
  <r>
    <x v="26"/>
    <x v="6"/>
    <x v="5"/>
    <x v="5"/>
    <x v="0"/>
    <x v="0"/>
    <x v="6"/>
    <x v="6"/>
    <x v="286"/>
    <x v="0"/>
    <s v="CORONADO"/>
    <x v="0"/>
  </r>
  <r>
    <x v="26"/>
    <x v="14"/>
    <x v="1"/>
    <x v="1"/>
    <x v="0"/>
    <x v="0"/>
    <x v="14"/>
    <x v="14"/>
    <x v="287"/>
    <x v="0"/>
    <s v="CORONADO"/>
    <x v="0"/>
  </r>
  <r>
    <x v="26"/>
    <x v="1"/>
    <x v="1"/>
    <x v="1"/>
    <x v="0"/>
    <x v="0"/>
    <x v="1"/>
    <x v="1"/>
    <x v="1"/>
    <x v="64"/>
    <s v="CORONADO"/>
    <x v="0"/>
  </r>
  <r>
    <x v="26"/>
    <x v="5"/>
    <x v="0"/>
    <x v="0"/>
    <x v="0"/>
    <x v="1"/>
    <x v="5"/>
    <x v="5"/>
    <x v="288"/>
    <x v="0"/>
    <s v="CORONADO"/>
    <x v="0"/>
  </r>
  <r>
    <x v="26"/>
    <x v="8"/>
    <x v="1"/>
    <x v="1"/>
    <x v="0"/>
    <x v="1"/>
    <x v="8"/>
    <x v="8"/>
    <x v="289"/>
    <x v="0"/>
    <s v="CORONADO"/>
    <x v="0"/>
  </r>
  <r>
    <x v="26"/>
    <x v="1"/>
    <x v="1"/>
    <x v="1"/>
    <x v="0"/>
    <x v="1"/>
    <x v="1"/>
    <x v="1"/>
    <x v="1"/>
    <x v="65"/>
    <s v="CORONADO"/>
    <x v="0"/>
  </r>
  <r>
    <x v="27"/>
    <x v="12"/>
    <x v="4"/>
    <x v="4"/>
    <x v="0"/>
    <x v="2"/>
    <x v="12"/>
    <x v="12"/>
    <x v="290"/>
    <x v="0"/>
    <s v="ALBROOK MALL"/>
    <x v="0"/>
  </r>
  <r>
    <x v="27"/>
    <x v="13"/>
    <x v="5"/>
    <x v="5"/>
    <x v="0"/>
    <x v="2"/>
    <x v="13"/>
    <x v="13"/>
    <x v="291"/>
    <x v="0"/>
    <s v="ALBROOK MALL"/>
    <x v="0"/>
  </r>
  <r>
    <x v="27"/>
    <x v="1"/>
    <x v="1"/>
    <x v="1"/>
    <x v="0"/>
    <x v="2"/>
    <x v="1"/>
    <x v="1"/>
    <x v="1"/>
    <x v="66"/>
    <s v="ALBROOK MALL"/>
    <x v="0"/>
  </r>
  <r>
    <x v="27"/>
    <x v="7"/>
    <x v="2"/>
    <x v="2"/>
    <x v="0"/>
    <x v="0"/>
    <x v="7"/>
    <x v="7"/>
    <x v="292"/>
    <x v="0"/>
    <s v="ALBROOK MALL"/>
    <x v="0"/>
  </r>
  <r>
    <x v="27"/>
    <x v="2"/>
    <x v="2"/>
    <x v="2"/>
    <x v="0"/>
    <x v="0"/>
    <x v="2"/>
    <x v="2"/>
    <x v="293"/>
    <x v="0"/>
    <s v="ALBROOK MALL"/>
    <x v="0"/>
  </r>
  <r>
    <x v="27"/>
    <x v="9"/>
    <x v="6"/>
    <x v="6"/>
    <x v="0"/>
    <x v="0"/>
    <x v="9"/>
    <x v="9"/>
    <x v="294"/>
    <x v="0"/>
    <s v="ALBROOK MALL"/>
    <x v="0"/>
  </r>
  <r>
    <x v="27"/>
    <x v="11"/>
    <x v="6"/>
    <x v="6"/>
    <x v="0"/>
    <x v="0"/>
    <x v="11"/>
    <x v="11"/>
    <x v="295"/>
    <x v="0"/>
    <s v="ALBROOK MALL"/>
    <x v="0"/>
  </r>
  <r>
    <x v="27"/>
    <x v="10"/>
    <x v="3"/>
    <x v="3"/>
    <x v="0"/>
    <x v="0"/>
    <x v="10"/>
    <x v="10"/>
    <x v="296"/>
    <x v="0"/>
    <s v="ALBROOK MALL"/>
    <x v="0"/>
  </r>
  <r>
    <x v="27"/>
    <x v="3"/>
    <x v="3"/>
    <x v="3"/>
    <x v="0"/>
    <x v="0"/>
    <x v="3"/>
    <x v="3"/>
    <x v="297"/>
    <x v="0"/>
    <s v="ALBROOK MALL"/>
    <x v="0"/>
  </r>
  <r>
    <x v="27"/>
    <x v="12"/>
    <x v="4"/>
    <x v="4"/>
    <x v="0"/>
    <x v="0"/>
    <x v="12"/>
    <x v="12"/>
    <x v="298"/>
    <x v="0"/>
    <s v="ALBROOK MALL"/>
    <x v="0"/>
  </r>
  <r>
    <x v="27"/>
    <x v="4"/>
    <x v="4"/>
    <x v="4"/>
    <x v="0"/>
    <x v="0"/>
    <x v="4"/>
    <x v="4"/>
    <x v="299"/>
    <x v="0"/>
    <s v="ALBROOK MALL"/>
    <x v="0"/>
  </r>
  <r>
    <x v="27"/>
    <x v="0"/>
    <x v="0"/>
    <x v="0"/>
    <x v="0"/>
    <x v="0"/>
    <x v="0"/>
    <x v="0"/>
    <x v="300"/>
    <x v="0"/>
    <s v="ALBROOK MALL"/>
    <x v="0"/>
  </r>
  <r>
    <x v="27"/>
    <x v="5"/>
    <x v="0"/>
    <x v="0"/>
    <x v="0"/>
    <x v="0"/>
    <x v="5"/>
    <x v="5"/>
    <x v="301"/>
    <x v="0"/>
    <s v="ALBROOK MALL"/>
    <x v="0"/>
  </r>
  <r>
    <x v="27"/>
    <x v="13"/>
    <x v="5"/>
    <x v="5"/>
    <x v="0"/>
    <x v="0"/>
    <x v="13"/>
    <x v="13"/>
    <x v="302"/>
    <x v="0"/>
    <s v="ALBROOK MALL"/>
    <x v="0"/>
  </r>
  <r>
    <x v="27"/>
    <x v="6"/>
    <x v="5"/>
    <x v="5"/>
    <x v="0"/>
    <x v="0"/>
    <x v="6"/>
    <x v="6"/>
    <x v="303"/>
    <x v="0"/>
    <s v="ALBROOK MALL"/>
    <x v="0"/>
  </r>
  <r>
    <x v="27"/>
    <x v="20"/>
    <x v="5"/>
    <x v="5"/>
    <x v="0"/>
    <x v="0"/>
    <x v="18"/>
    <x v="20"/>
    <x v="304"/>
    <x v="0"/>
    <s v="ALBROOK MALL"/>
    <x v="0"/>
  </r>
  <r>
    <x v="27"/>
    <x v="14"/>
    <x v="1"/>
    <x v="1"/>
    <x v="0"/>
    <x v="0"/>
    <x v="14"/>
    <x v="14"/>
    <x v="305"/>
    <x v="0"/>
    <s v="ALBROOK MALL"/>
    <x v="0"/>
  </r>
  <r>
    <x v="27"/>
    <x v="8"/>
    <x v="1"/>
    <x v="1"/>
    <x v="0"/>
    <x v="0"/>
    <x v="8"/>
    <x v="8"/>
    <x v="306"/>
    <x v="0"/>
    <s v="ALBROOK MALL"/>
    <x v="0"/>
  </r>
  <r>
    <x v="27"/>
    <x v="1"/>
    <x v="1"/>
    <x v="1"/>
    <x v="0"/>
    <x v="0"/>
    <x v="1"/>
    <x v="1"/>
    <x v="1"/>
    <x v="67"/>
    <s v="ALBROOK MALL"/>
    <x v="0"/>
  </r>
  <r>
    <x v="27"/>
    <x v="7"/>
    <x v="2"/>
    <x v="2"/>
    <x v="0"/>
    <x v="1"/>
    <x v="7"/>
    <x v="7"/>
    <x v="307"/>
    <x v="0"/>
    <s v="ALBROOK MALL"/>
    <x v="0"/>
  </r>
  <r>
    <x v="27"/>
    <x v="2"/>
    <x v="2"/>
    <x v="2"/>
    <x v="0"/>
    <x v="1"/>
    <x v="2"/>
    <x v="2"/>
    <x v="308"/>
    <x v="0"/>
    <s v="ALBROOK MALL"/>
    <x v="0"/>
  </r>
  <r>
    <x v="27"/>
    <x v="9"/>
    <x v="6"/>
    <x v="6"/>
    <x v="0"/>
    <x v="1"/>
    <x v="9"/>
    <x v="9"/>
    <x v="309"/>
    <x v="0"/>
    <s v="ALBROOK MALL"/>
    <x v="0"/>
  </r>
  <r>
    <x v="27"/>
    <x v="11"/>
    <x v="6"/>
    <x v="6"/>
    <x v="0"/>
    <x v="1"/>
    <x v="11"/>
    <x v="11"/>
    <x v="310"/>
    <x v="0"/>
    <s v="ALBROOK MALL"/>
    <x v="0"/>
  </r>
  <r>
    <x v="27"/>
    <x v="10"/>
    <x v="3"/>
    <x v="3"/>
    <x v="0"/>
    <x v="1"/>
    <x v="10"/>
    <x v="10"/>
    <x v="311"/>
    <x v="0"/>
    <s v="ALBROOK MALL"/>
    <x v="0"/>
  </r>
  <r>
    <x v="27"/>
    <x v="12"/>
    <x v="4"/>
    <x v="4"/>
    <x v="0"/>
    <x v="1"/>
    <x v="12"/>
    <x v="12"/>
    <x v="312"/>
    <x v="0"/>
    <s v="ALBROOK MALL"/>
    <x v="0"/>
  </r>
  <r>
    <x v="27"/>
    <x v="4"/>
    <x v="4"/>
    <x v="4"/>
    <x v="0"/>
    <x v="1"/>
    <x v="4"/>
    <x v="4"/>
    <x v="313"/>
    <x v="0"/>
    <s v="ALBROOK MALL"/>
    <x v="0"/>
  </r>
  <r>
    <x v="27"/>
    <x v="0"/>
    <x v="0"/>
    <x v="0"/>
    <x v="0"/>
    <x v="1"/>
    <x v="0"/>
    <x v="0"/>
    <x v="314"/>
    <x v="0"/>
    <s v="ALBROOK MALL"/>
    <x v="0"/>
  </r>
  <r>
    <x v="27"/>
    <x v="5"/>
    <x v="0"/>
    <x v="0"/>
    <x v="0"/>
    <x v="1"/>
    <x v="5"/>
    <x v="5"/>
    <x v="315"/>
    <x v="0"/>
    <s v="ALBROOK MALL"/>
    <x v="0"/>
  </r>
  <r>
    <x v="27"/>
    <x v="13"/>
    <x v="5"/>
    <x v="5"/>
    <x v="0"/>
    <x v="1"/>
    <x v="13"/>
    <x v="13"/>
    <x v="316"/>
    <x v="0"/>
    <s v="ALBROOK MALL"/>
    <x v="0"/>
  </r>
  <r>
    <x v="27"/>
    <x v="6"/>
    <x v="5"/>
    <x v="5"/>
    <x v="0"/>
    <x v="1"/>
    <x v="6"/>
    <x v="6"/>
    <x v="16"/>
    <x v="0"/>
    <s v="ALBROOK MALL"/>
    <x v="0"/>
  </r>
  <r>
    <x v="27"/>
    <x v="14"/>
    <x v="1"/>
    <x v="1"/>
    <x v="0"/>
    <x v="1"/>
    <x v="14"/>
    <x v="14"/>
    <x v="317"/>
    <x v="0"/>
    <s v="ALBROOK MALL"/>
    <x v="0"/>
  </r>
  <r>
    <x v="27"/>
    <x v="8"/>
    <x v="1"/>
    <x v="1"/>
    <x v="0"/>
    <x v="1"/>
    <x v="8"/>
    <x v="8"/>
    <x v="318"/>
    <x v="0"/>
    <s v="ALBROOK MALL"/>
    <x v="0"/>
  </r>
  <r>
    <x v="27"/>
    <x v="1"/>
    <x v="1"/>
    <x v="1"/>
    <x v="0"/>
    <x v="1"/>
    <x v="1"/>
    <x v="1"/>
    <x v="1"/>
    <x v="68"/>
    <s v="ALBROOK MALL"/>
    <x v="0"/>
  </r>
  <r>
    <x v="28"/>
    <x v="10"/>
    <x v="3"/>
    <x v="3"/>
    <x v="0"/>
    <x v="2"/>
    <x v="10"/>
    <x v="10"/>
    <x v="319"/>
    <x v="0"/>
    <s v="PANAMA PACIFICO"/>
    <x v="0"/>
  </r>
  <r>
    <x v="28"/>
    <x v="1"/>
    <x v="1"/>
    <x v="1"/>
    <x v="0"/>
    <x v="2"/>
    <x v="1"/>
    <x v="1"/>
    <x v="1"/>
    <x v="69"/>
    <s v="PANAMA PACIFICO"/>
    <x v="0"/>
  </r>
  <r>
    <x v="28"/>
    <x v="11"/>
    <x v="6"/>
    <x v="6"/>
    <x v="0"/>
    <x v="0"/>
    <x v="11"/>
    <x v="11"/>
    <x v="320"/>
    <x v="0"/>
    <s v="PANAMA PACIFICO"/>
    <x v="0"/>
  </r>
  <r>
    <x v="28"/>
    <x v="0"/>
    <x v="0"/>
    <x v="0"/>
    <x v="0"/>
    <x v="0"/>
    <x v="0"/>
    <x v="0"/>
    <x v="321"/>
    <x v="0"/>
    <s v="PANAMA PACIFICO"/>
    <x v="0"/>
  </r>
  <r>
    <x v="28"/>
    <x v="14"/>
    <x v="1"/>
    <x v="1"/>
    <x v="0"/>
    <x v="0"/>
    <x v="14"/>
    <x v="14"/>
    <x v="322"/>
    <x v="0"/>
    <s v="PANAMA PACIFICO"/>
    <x v="0"/>
  </r>
  <r>
    <x v="28"/>
    <x v="1"/>
    <x v="1"/>
    <x v="1"/>
    <x v="0"/>
    <x v="0"/>
    <x v="1"/>
    <x v="1"/>
    <x v="1"/>
    <x v="70"/>
    <s v="PANAMA PACIFICO"/>
    <x v="0"/>
  </r>
  <r>
    <x v="28"/>
    <x v="7"/>
    <x v="2"/>
    <x v="2"/>
    <x v="0"/>
    <x v="1"/>
    <x v="7"/>
    <x v="7"/>
    <x v="323"/>
    <x v="0"/>
    <s v="PANAMA PACIFICO"/>
    <x v="0"/>
  </r>
  <r>
    <x v="28"/>
    <x v="12"/>
    <x v="4"/>
    <x v="4"/>
    <x v="0"/>
    <x v="1"/>
    <x v="12"/>
    <x v="12"/>
    <x v="324"/>
    <x v="0"/>
    <s v="PANAMA PACIFICO"/>
    <x v="0"/>
  </r>
  <r>
    <x v="28"/>
    <x v="4"/>
    <x v="4"/>
    <x v="4"/>
    <x v="0"/>
    <x v="1"/>
    <x v="4"/>
    <x v="4"/>
    <x v="325"/>
    <x v="0"/>
    <s v="PANAMA PACIFICO"/>
    <x v="0"/>
  </r>
  <r>
    <x v="28"/>
    <x v="0"/>
    <x v="0"/>
    <x v="0"/>
    <x v="0"/>
    <x v="1"/>
    <x v="0"/>
    <x v="0"/>
    <x v="326"/>
    <x v="0"/>
    <s v="PANAMA PACIFICO"/>
    <x v="0"/>
  </r>
  <r>
    <x v="28"/>
    <x v="14"/>
    <x v="1"/>
    <x v="1"/>
    <x v="0"/>
    <x v="1"/>
    <x v="14"/>
    <x v="14"/>
    <x v="327"/>
    <x v="0"/>
    <s v="PANAMA PACIFICO"/>
    <x v="0"/>
  </r>
  <r>
    <x v="28"/>
    <x v="8"/>
    <x v="1"/>
    <x v="1"/>
    <x v="0"/>
    <x v="1"/>
    <x v="8"/>
    <x v="8"/>
    <x v="326"/>
    <x v="0"/>
    <s v="PANAMA PACIFICO"/>
    <x v="0"/>
  </r>
  <r>
    <x v="28"/>
    <x v="1"/>
    <x v="1"/>
    <x v="1"/>
    <x v="0"/>
    <x v="1"/>
    <x v="1"/>
    <x v="1"/>
    <x v="1"/>
    <x v="71"/>
    <s v="PANAMA PACIFICO"/>
    <x v="0"/>
  </r>
  <r>
    <x v="29"/>
    <x v="2"/>
    <x v="2"/>
    <x v="2"/>
    <x v="0"/>
    <x v="0"/>
    <x v="2"/>
    <x v="2"/>
    <x v="328"/>
    <x v="0"/>
    <s v="ALBROOK"/>
    <x v="0"/>
  </r>
  <r>
    <x v="29"/>
    <x v="9"/>
    <x v="6"/>
    <x v="6"/>
    <x v="0"/>
    <x v="0"/>
    <x v="9"/>
    <x v="9"/>
    <x v="329"/>
    <x v="0"/>
    <s v="ALBROOK"/>
    <x v="0"/>
  </r>
  <r>
    <x v="29"/>
    <x v="11"/>
    <x v="6"/>
    <x v="6"/>
    <x v="0"/>
    <x v="0"/>
    <x v="11"/>
    <x v="11"/>
    <x v="330"/>
    <x v="0"/>
    <s v="ALBROOK"/>
    <x v="0"/>
  </r>
  <r>
    <x v="29"/>
    <x v="10"/>
    <x v="3"/>
    <x v="3"/>
    <x v="0"/>
    <x v="0"/>
    <x v="10"/>
    <x v="10"/>
    <x v="331"/>
    <x v="0"/>
    <s v="ALBROOK"/>
    <x v="0"/>
  </r>
  <r>
    <x v="29"/>
    <x v="3"/>
    <x v="3"/>
    <x v="3"/>
    <x v="0"/>
    <x v="0"/>
    <x v="3"/>
    <x v="3"/>
    <x v="332"/>
    <x v="0"/>
    <s v="ALBROOK"/>
    <x v="0"/>
  </r>
  <r>
    <x v="29"/>
    <x v="12"/>
    <x v="4"/>
    <x v="4"/>
    <x v="0"/>
    <x v="0"/>
    <x v="12"/>
    <x v="12"/>
    <x v="333"/>
    <x v="0"/>
    <s v="ALBROOK"/>
    <x v="0"/>
  </r>
  <r>
    <x v="29"/>
    <x v="4"/>
    <x v="4"/>
    <x v="4"/>
    <x v="0"/>
    <x v="0"/>
    <x v="4"/>
    <x v="4"/>
    <x v="334"/>
    <x v="0"/>
    <s v="ALBROOK"/>
    <x v="0"/>
  </r>
  <r>
    <x v="29"/>
    <x v="0"/>
    <x v="0"/>
    <x v="0"/>
    <x v="0"/>
    <x v="0"/>
    <x v="0"/>
    <x v="0"/>
    <x v="335"/>
    <x v="0"/>
    <s v="ALBROOK"/>
    <x v="0"/>
  </r>
  <r>
    <x v="29"/>
    <x v="5"/>
    <x v="0"/>
    <x v="0"/>
    <x v="0"/>
    <x v="0"/>
    <x v="5"/>
    <x v="5"/>
    <x v="336"/>
    <x v="0"/>
    <s v="ALBROOK"/>
    <x v="0"/>
  </r>
  <r>
    <x v="29"/>
    <x v="13"/>
    <x v="5"/>
    <x v="5"/>
    <x v="0"/>
    <x v="0"/>
    <x v="13"/>
    <x v="13"/>
    <x v="337"/>
    <x v="0"/>
    <s v="ALBROOK"/>
    <x v="0"/>
  </r>
  <r>
    <x v="29"/>
    <x v="6"/>
    <x v="5"/>
    <x v="5"/>
    <x v="0"/>
    <x v="0"/>
    <x v="6"/>
    <x v="6"/>
    <x v="338"/>
    <x v="0"/>
    <s v="ALBROOK"/>
    <x v="0"/>
  </r>
  <r>
    <x v="29"/>
    <x v="14"/>
    <x v="1"/>
    <x v="1"/>
    <x v="0"/>
    <x v="0"/>
    <x v="14"/>
    <x v="14"/>
    <x v="339"/>
    <x v="0"/>
    <s v="ALBROOK"/>
    <x v="0"/>
  </r>
  <r>
    <x v="29"/>
    <x v="8"/>
    <x v="1"/>
    <x v="1"/>
    <x v="0"/>
    <x v="0"/>
    <x v="8"/>
    <x v="8"/>
    <x v="340"/>
    <x v="0"/>
    <s v="ALBROOK"/>
    <x v="0"/>
  </r>
  <r>
    <x v="29"/>
    <x v="1"/>
    <x v="1"/>
    <x v="1"/>
    <x v="0"/>
    <x v="0"/>
    <x v="1"/>
    <x v="1"/>
    <x v="1"/>
    <x v="72"/>
    <s v="ALBROOK"/>
    <x v="0"/>
  </r>
  <r>
    <x v="29"/>
    <x v="9"/>
    <x v="6"/>
    <x v="6"/>
    <x v="0"/>
    <x v="1"/>
    <x v="9"/>
    <x v="9"/>
    <x v="341"/>
    <x v="0"/>
    <s v="ALBROOK"/>
    <x v="0"/>
  </r>
  <r>
    <x v="29"/>
    <x v="11"/>
    <x v="6"/>
    <x v="6"/>
    <x v="0"/>
    <x v="1"/>
    <x v="11"/>
    <x v="11"/>
    <x v="342"/>
    <x v="0"/>
    <s v="ALBROOK"/>
    <x v="0"/>
  </r>
  <r>
    <x v="29"/>
    <x v="10"/>
    <x v="3"/>
    <x v="3"/>
    <x v="0"/>
    <x v="1"/>
    <x v="10"/>
    <x v="10"/>
    <x v="343"/>
    <x v="0"/>
    <s v="ALBROOK"/>
    <x v="0"/>
  </r>
  <r>
    <x v="29"/>
    <x v="1"/>
    <x v="1"/>
    <x v="1"/>
    <x v="0"/>
    <x v="1"/>
    <x v="1"/>
    <x v="1"/>
    <x v="1"/>
    <x v="73"/>
    <s v="ALBROOK"/>
    <x v="0"/>
  </r>
  <r>
    <x v="30"/>
    <x v="1"/>
    <x v="1"/>
    <x v="1"/>
    <x v="0"/>
    <x v="2"/>
    <x v="1"/>
    <x v="1"/>
    <x v="1"/>
    <x v="74"/>
    <s v="SUCURSAL DE VISTA ALEGRE"/>
    <x v="0"/>
  </r>
  <r>
    <x v="30"/>
    <x v="7"/>
    <x v="2"/>
    <x v="2"/>
    <x v="0"/>
    <x v="0"/>
    <x v="7"/>
    <x v="7"/>
    <x v="344"/>
    <x v="0"/>
    <s v="SUCURSAL DE VISTA ALEGRE"/>
    <x v="0"/>
  </r>
  <r>
    <x v="30"/>
    <x v="2"/>
    <x v="2"/>
    <x v="2"/>
    <x v="0"/>
    <x v="0"/>
    <x v="2"/>
    <x v="2"/>
    <x v="345"/>
    <x v="0"/>
    <s v="SUCURSAL DE VISTA ALEGRE"/>
    <x v="0"/>
  </r>
  <r>
    <x v="30"/>
    <x v="9"/>
    <x v="6"/>
    <x v="6"/>
    <x v="0"/>
    <x v="0"/>
    <x v="9"/>
    <x v="9"/>
    <x v="346"/>
    <x v="0"/>
    <s v="SUCURSAL DE VISTA ALEGRE"/>
    <x v="0"/>
  </r>
  <r>
    <x v="30"/>
    <x v="11"/>
    <x v="6"/>
    <x v="6"/>
    <x v="0"/>
    <x v="0"/>
    <x v="11"/>
    <x v="11"/>
    <x v="347"/>
    <x v="0"/>
    <s v="SUCURSAL DE VISTA ALEGRE"/>
    <x v="0"/>
  </r>
  <r>
    <x v="30"/>
    <x v="10"/>
    <x v="3"/>
    <x v="3"/>
    <x v="0"/>
    <x v="0"/>
    <x v="10"/>
    <x v="10"/>
    <x v="348"/>
    <x v="0"/>
    <s v="SUCURSAL DE VISTA ALEGRE"/>
    <x v="0"/>
  </r>
  <r>
    <x v="30"/>
    <x v="3"/>
    <x v="3"/>
    <x v="3"/>
    <x v="0"/>
    <x v="0"/>
    <x v="3"/>
    <x v="3"/>
    <x v="349"/>
    <x v="0"/>
    <s v="SUCURSAL DE VISTA ALEGRE"/>
    <x v="0"/>
  </r>
  <r>
    <x v="30"/>
    <x v="12"/>
    <x v="4"/>
    <x v="4"/>
    <x v="0"/>
    <x v="0"/>
    <x v="12"/>
    <x v="12"/>
    <x v="350"/>
    <x v="0"/>
    <s v="SUCURSAL DE VISTA ALEGRE"/>
    <x v="0"/>
  </r>
  <r>
    <x v="30"/>
    <x v="4"/>
    <x v="4"/>
    <x v="4"/>
    <x v="0"/>
    <x v="0"/>
    <x v="4"/>
    <x v="4"/>
    <x v="351"/>
    <x v="0"/>
    <s v="SUCURSAL DE VISTA ALEGRE"/>
    <x v="0"/>
  </r>
  <r>
    <x v="30"/>
    <x v="0"/>
    <x v="0"/>
    <x v="0"/>
    <x v="0"/>
    <x v="0"/>
    <x v="0"/>
    <x v="0"/>
    <x v="352"/>
    <x v="0"/>
    <s v="SUCURSAL DE VISTA ALEGRE"/>
    <x v="0"/>
  </r>
  <r>
    <x v="30"/>
    <x v="5"/>
    <x v="0"/>
    <x v="0"/>
    <x v="0"/>
    <x v="0"/>
    <x v="5"/>
    <x v="5"/>
    <x v="353"/>
    <x v="0"/>
    <s v="SUCURSAL DE VISTA ALEGRE"/>
    <x v="0"/>
  </r>
  <r>
    <x v="30"/>
    <x v="13"/>
    <x v="5"/>
    <x v="5"/>
    <x v="0"/>
    <x v="0"/>
    <x v="13"/>
    <x v="13"/>
    <x v="354"/>
    <x v="0"/>
    <s v="SUCURSAL DE VISTA ALEGRE"/>
    <x v="0"/>
  </r>
  <r>
    <x v="30"/>
    <x v="6"/>
    <x v="5"/>
    <x v="5"/>
    <x v="0"/>
    <x v="0"/>
    <x v="6"/>
    <x v="6"/>
    <x v="355"/>
    <x v="0"/>
    <s v="SUCURSAL DE VISTA ALEGRE"/>
    <x v="0"/>
  </r>
  <r>
    <x v="30"/>
    <x v="14"/>
    <x v="1"/>
    <x v="1"/>
    <x v="0"/>
    <x v="0"/>
    <x v="14"/>
    <x v="14"/>
    <x v="356"/>
    <x v="0"/>
    <s v="SUCURSAL DE VISTA ALEGRE"/>
    <x v="0"/>
  </r>
  <r>
    <x v="30"/>
    <x v="8"/>
    <x v="1"/>
    <x v="1"/>
    <x v="0"/>
    <x v="0"/>
    <x v="8"/>
    <x v="8"/>
    <x v="357"/>
    <x v="0"/>
    <s v="SUCURSAL DE VISTA ALEGRE"/>
    <x v="0"/>
  </r>
  <r>
    <x v="30"/>
    <x v="1"/>
    <x v="1"/>
    <x v="1"/>
    <x v="0"/>
    <x v="0"/>
    <x v="1"/>
    <x v="1"/>
    <x v="1"/>
    <x v="75"/>
    <s v="SUCURSAL DE VISTA ALEGRE"/>
    <x v="0"/>
  </r>
  <r>
    <x v="30"/>
    <x v="2"/>
    <x v="2"/>
    <x v="2"/>
    <x v="0"/>
    <x v="1"/>
    <x v="2"/>
    <x v="2"/>
    <x v="358"/>
    <x v="0"/>
    <s v="SUCURSAL DE VISTA ALEGRE"/>
    <x v="0"/>
  </r>
  <r>
    <x v="30"/>
    <x v="12"/>
    <x v="4"/>
    <x v="4"/>
    <x v="0"/>
    <x v="1"/>
    <x v="12"/>
    <x v="12"/>
    <x v="359"/>
    <x v="0"/>
    <s v="SUCURSAL DE VISTA ALEGRE"/>
    <x v="0"/>
  </r>
  <r>
    <x v="30"/>
    <x v="4"/>
    <x v="4"/>
    <x v="4"/>
    <x v="0"/>
    <x v="1"/>
    <x v="4"/>
    <x v="4"/>
    <x v="360"/>
    <x v="0"/>
    <s v="SUCURSAL DE VISTA ALEGRE"/>
    <x v="0"/>
  </r>
  <r>
    <x v="30"/>
    <x v="13"/>
    <x v="5"/>
    <x v="5"/>
    <x v="0"/>
    <x v="1"/>
    <x v="13"/>
    <x v="13"/>
    <x v="361"/>
    <x v="0"/>
    <s v="SUCURSAL DE VISTA ALEGRE"/>
    <x v="0"/>
  </r>
  <r>
    <x v="30"/>
    <x v="6"/>
    <x v="5"/>
    <x v="5"/>
    <x v="0"/>
    <x v="1"/>
    <x v="6"/>
    <x v="6"/>
    <x v="362"/>
    <x v="0"/>
    <s v="SUCURSAL DE VISTA ALEGRE"/>
    <x v="0"/>
  </r>
  <r>
    <x v="30"/>
    <x v="8"/>
    <x v="1"/>
    <x v="1"/>
    <x v="0"/>
    <x v="1"/>
    <x v="8"/>
    <x v="8"/>
    <x v="363"/>
    <x v="0"/>
    <s v="SUCURSAL DE VISTA ALEGRE"/>
    <x v="0"/>
  </r>
  <r>
    <x v="30"/>
    <x v="1"/>
    <x v="1"/>
    <x v="1"/>
    <x v="0"/>
    <x v="1"/>
    <x v="1"/>
    <x v="1"/>
    <x v="1"/>
    <x v="76"/>
    <s v="SUCURSAL DE VISTA ALEGRE"/>
    <x v="0"/>
  </r>
  <r>
    <x v="31"/>
    <x v="0"/>
    <x v="0"/>
    <x v="0"/>
    <x v="0"/>
    <x v="0"/>
    <x v="0"/>
    <x v="0"/>
    <x v="364"/>
    <x v="0"/>
    <s v="LAS TABLAS"/>
    <x v="0"/>
  </r>
  <r>
    <x v="31"/>
    <x v="5"/>
    <x v="0"/>
    <x v="0"/>
    <x v="0"/>
    <x v="0"/>
    <x v="5"/>
    <x v="5"/>
    <x v="365"/>
    <x v="0"/>
    <s v="LAS TABLAS"/>
    <x v="0"/>
  </r>
  <r>
    <x v="31"/>
    <x v="1"/>
    <x v="1"/>
    <x v="1"/>
    <x v="0"/>
    <x v="0"/>
    <x v="1"/>
    <x v="1"/>
    <x v="1"/>
    <x v="77"/>
    <s v="LAS TABLAS"/>
    <x v="0"/>
  </r>
  <r>
    <x v="31"/>
    <x v="1"/>
    <x v="1"/>
    <x v="1"/>
    <x v="0"/>
    <x v="1"/>
    <x v="1"/>
    <x v="1"/>
    <x v="1"/>
    <x v="78"/>
    <s v="LAS TABLAS"/>
    <x v="0"/>
  </r>
  <r>
    <x v="32"/>
    <x v="10"/>
    <x v="3"/>
    <x v="3"/>
    <x v="0"/>
    <x v="0"/>
    <x v="10"/>
    <x v="10"/>
    <x v="366"/>
    <x v="0"/>
    <s v="24 DE DICIEMBRE"/>
    <x v="0"/>
  </r>
  <r>
    <x v="32"/>
    <x v="3"/>
    <x v="3"/>
    <x v="3"/>
    <x v="0"/>
    <x v="0"/>
    <x v="3"/>
    <x v="3"/>
    <x v="367"/>
    <x v="0"/>
    <s v="24 DE DICIEMBRE"/>
    <x v="0"/>
  </r>
  <r>
    <x v="32"/>
    <x v="1"/>
    <x v="1"/>
    <x v="1"/>
    <x v="0"/>
    <x v="0"/>
    <x v="1"/>
    <x v="1"/>
    <x v="1"/>
    <x v="79"/>
    <s v="24 DE DICIEMBRE"/>
    <x v="0"/>
  </r>
  <r>
    <x v="33"/>
    <x v="6"/>
    <x v="5"/>
    <x v="5"/>
    <x v="0"/>
    <x v="0"/>
    <x v="6"/>
    <x v="6"/>
    <x v="368"/>
    <x v="0"/>
    <s v="DAVID - TERRONAL"/>
    <x v="0"/>
  </r>
  <r>
    <x v="33"/>
    <x v="1"/>
    <x v="1"/>
    <x v="1"/>
    <x v="0"/>
    <x v="0"/>
    <x v="1"/>
    <x v="1"/>
    <x v="1"/>
    <x v="80"/>
    <s v="DAVID - TERRONAL"/>
    <x v="0"/>
  </r>
  <r>
    <x v="34"/>
    <x v="1"/>
    <x v="1"/>
    <x v="1"/>
    <x v="0"/>
    <x v="2"/>
    <x v="1"/>
    <x v="1"/>
    <x v="1"/>
    <x v="81"/>
    <s v="COSTA DEL ESTE"/>
    <x v="0"/>
  </r>
  <r>
    <x v="34"/>
    <x v="7"/>
    <x v="2"/>
    <x v="2"/>
    <x v="0"/>
    <x v="0"/>
    <x v="7"/>
    <x v="7"/>
    <x v="369"/>
    <x v="0"/>
    <s v="COSTA DEL ESTE"/>
    <x v="0"/>
  </r>
  <r>
    <x v="34"/>
    <x v="2"/>
    <x v="2"/>
    <x v="2"/>
    <x v="0"/>
    <x v="0"/>
    <x v="2"/>
    <x v="2"/>
    <x v="370"/>
    <x v="0"/>
    <s v="COSTA DEL ESTE"/>
    <x v="0"/>
  </r>
  <r>
    <x v="34"/>
    <x v="9"/>
    <x v="6"/>
    <x v="6"/>
    <x v="0"/>
    <x v="0"/>
    <x v="9"/>
    <x v="9"/>
    <x v="371"/>
    <x v="0"/>
    <s v="COSTA DEL ESTE"/>
    <x v="0"/>
  </r>
  <r>
    <x v="34"/>
    <x v="11"/>
    <x v="6"/>
    <x v="6"/>
    <x v="0"/>
    <x v="0"/>
    <x v="11"/>
    <x v="11"/>
    <x v="372"/>
    <x v="0"/>
    <s v="COSTA DEL ESTE"/>
    <x v="0"/>
  </r>
  <r>
    <x v="34"/>
    <x v="10"/>
    <x v="3"/>
    <x v="3"/>
    <x v="0"/>
    <x v="0"/>
    <x v="10"/>
    <x v="10"/>
    <x v="373"/>
    <x v="0"/>
    <s v="COSTA DEL ESTE"/>
    <x v="0"/>
  </r>
  <r>
    <x v="34"/>
    <x v="18"/>
    <x v="3"/>
    <x v="3"/>
    <x v="0"/>
    <x v="0"/>
    <x v="17"/>
    <x v="18"/>
    <x v="374"/>
    <x v="0"/>
    <s v="COSTA DEL ESTE"/>
    <x v="0"/>
  </r>
  <r>
    <x v="34"/>
    <x v="3"/>
    <x v="3"/>
    <x v="3"/>
    <x v="0"/>
    <x v="0"/>
    <x v="3"/>
    <x v="3"/>
    <x v="375"/>
    <x v="0"/>
    <s v="COSTA DEL ESTE"/>
    <x v="0"/>
  </r>
  <r>
    <x v="34"/>
    <x v="12"/>
    <x v="4"/>
    <x v="4"/>
    <x v="0"/>
    <x v="0"/>
    <x v="12"/>
    <x v="12"/>
    <x v="376"/>
    <x v="0"/>
    <s v="COSTA DEL ESTE"/>
    <x v="0"/>
  </r>
  <r>
    <x v="34"/>
    <x v="4"/>
    <x v="4"/>
    <x v="4"/>
    <x v="0"/>
    <x v="0"/>
    <x v="4"/>
    <x v="4"/>
    <x v="377"/>
    <x v="0"/>
    <s v="COSTA DEL ESTE"/>
    <x v="0"/>
  </r>
  <r>
    <x v="34"/>
    <x v="0"/>
    <x v="0"/>
    <x v="0"/>
    <x v="0"/>
    <x v="0"/>
    <x v="0"/>
    <x v="0"/>
    <x v="378"/>
    <x v="0"/>
    <s v="COSTA DEL ESTE"/>
    <x v="0"/>
  </r>
  <r>
    <x v="34"/>
    <x v="5"/>
    <x v="0"/>
    <x v="0"/>
    <x v="0"/>
    <x v="0"/>
    <x v="5"/>
    <x v="5"/>
    <x v="379"/>
    <x v="0"/>
    <s v="COSTA DEL ESTE"/>
    <x v="0"/>
  </r>
  <r>
    <x v="34"/>
    <x v="13"/>
    <x v="5"/>
    <x v="5"/>
    <x v="0"/>
    <x v="0"/>
    <x v="13"/>
    <x v="13"/>
    <x v="380"/>
    <x v="0"/>
    <s v="COSTA DEL ESTE"/>
    <x v="0"/>
  </r>
  <r>
    <x v="34"/>
    <x v="6"/>
    <x v="5"/>
    <x v="5"/>
    <x v="0"/>
    <x v="0"/>
    <x v="6"/>
    <x v="6"/>
    <x v="381"/>
    <x v="0"/>
    <s v="COSTA DEL ESTE"/>
    <x v="0"/>
  </r>
  <r>
    <x v="34"/>
    <x v="14"/>
    <x v="1"/>
    <x v="1"/>
    <x v="0"/>
    <x v="0"/>
    <x v="14"/>
    <x v="14"/>
    <x v="382"/>
    <x v="0"/>
    <s v="COSTA DEL ESTE"/>
    <x v="0"/>
  </r>
  <r>
    <x v="34"/>
    <x v="8"/>
    <x v="1"/>
    <x v="1"/>
    <x v="0"/>
    <x v="0"/>
    <x v="8"/>
    <x v="8"/>
    <x v="383"/>
    <x v="0"/>
    <s v="COSTA DEL ESTE"/>
    <x v="0"/>
  </r>
  <r>
    <x v="34"/>
    <x v="1"/>
    <x v="1"/>
    <x v="1"/>
    <x v="0"/>
    <x v="0"/>
    <x v="1"/>
    <x v="1"/>
    <x v="1"/>
    <x v="82"/>
    <s v="COSTA DEL ESTE"/>
    <x v="0"/>
  </r>
  <r>
    <x v="34"/>
    <x v="7"/>
    <x v="2"/>
    <x v="2"/>
    <x v="0"/>
    <x v="1"/>
    <x v="7"/>
    <x v="7"/>
    <x v="384"/>
    <x v="0"/>
    <s v="COSTA DEL ESTE"/>
    <x v="0"/>
  </r>
  <r>
    <x v="34"/>
    <x v="2"/>
    <x v="2"/>
    <x v="2"/>
    <x v="0"/>
    <x v="1"/>
    <x v="2"/>
    <x v="2"/>
    <x v="384"/>
    <x v="0"/>
    <s v="COSTA DEL ESTE"/>
    <x v="0"/>
  </r>
  <r>
    <x v="34"/>
    <x v="10"/>
    <x v="3"/>
    <x v="3"/>
    <x v="0"/>
    <x v="1"/>
    <x v="10"/>
    <x v="10"/>
    <x v="385"/>
    <x v="0"/>
    <s v="COSTA DEL ESTE"/>
    <x v="0"/>
  </r>
  <r>
    <x v="34"/>
    <x v="12"/>
    <x v="4"/>
    <x v="4"/>
    <x v="0"/>
    <x v="1"/>
    <x v="12"/>
    <x v="12"/>
    <x v="386"/>
    <x v="0"/>
    <s v="COSTA DEL ESTE"/>
    <x v="0"/>
  </r>
  <r>
    <x v="34"/>
    <x v="4"/>
    <x v="4"/>
    <x v="4"/>
    <x v="0"/>
    <x v="1"/>
    <x v="4"/>
    <x v="4"/>
    <x v="385"/>
    <x v="0"/>
    <s v="COSTA DEL ESTE"/>
    <x v="0"/>
  </r>
  <r>
    <x v="34"/>
    <x v="0"/>
    <x v="0"/>
    <x v="0"/>
    <x v="0"/>
    <x v="1"/>
    <x v="0"/>
    <x v="0"/>
    <x v="387"/>
    <x v="0"/>
    <s v="COSTA DEL ESTE"/>
    <x v="0"/>
  </r>
  <r>
    <x v="34"/>
    <x v="5"/>
    <x v="0"/>
    <x v="0"/>
    <x v="0"/>
    <x v="1"/>
    <x v="5"/>
    <x v="5"/>
    <x v="388"/>
    <x v="0"/>
    <s v="COSTA DEL ESTE"/>
    <x v="0"/>
  </r>
  <r>
    <x v="34"/>
    <x v="6"/>
    <x v="5"/>
    <x v="5"/>
    <x v="0"/>
    <x v="1"/>
    <x v="6"/>
    <x v="6"/>
    <x v="389"/>
    <x v="0"/>
    <s v="COSTA DEL ESTE"/>
    <x v="0"/>
  </r>
  <r>
    <x v="34"/>
    <x v="8"/>
    <x v="1"/>
    <x v="1"/>
    <x v="0"/>
    <x v="1"/>
    <x v="8"/>
    <x v="8"/>
    <x v="390"/>
    <x v="0"/>
    <s v="COSTA DEL ESTE"/>
    <x v="0"/>
  </r>
  <r>
    <x v="34"/>
    <x v="1"/>
    <x v="1"/>
    <x v="1"/>
    <x v="0"/>
    <x v="1"/>
    <x v="1"/>
    <x v="1"/>
    <x v="1"/>
    <x v="83"/>
    <s v="COSTA DEL ESTE"/>
    <x v="0"/>
  </r>
  <r>
    <x v="35"/>
    <x v="7"/>
    <x v="2"/>
    <x v="2"/>
    <x v="0"/>
    <x v="2"/>
    <x v="7"/>
    <x v="7"/>
    <x v="391"/>
    <x v="0"/>
    <s v="MULTI PLAZA"/>
    <x v="0"/>
  </r>
  <r>
    <x v="35"/>
    <x v="9"/>
    <x v="6"/>
    <x v="6"/>
    <x v="0"/>
    <x v="2"/>
    <x v="9"/>
    <x v="9"/>
    <x v="392"/>
    <x v="0"/>
    <s v="MULTI PLAZA"/>
    <x v="0"/>
  </r>
  <r>
    <x v="35"/>
    <x v="10"/>
    <x v="3"/>
    <x v="3"/>
    <x v="0"/>
    <x v="2"/>
    <x v="10"/>
    <x v="10"/>
    <x v="393"/>
    <x v="0"/>
    <s v="MULTI PLAZA"/>
    <x v="0"/>
  </r>
  <r>
    <x v="35"/>
    <x v="3"/>
    <x v="3"/>
    <x v="3"/>
    <x v="0"/>
    <x v="2"/>
    <x v="3"/>
    <x v="3"/>
    <x v="394"/>
    <x v="0"/>
    <s v="MULTI PLAZA"/>
    <x v="0"/>
  </r>
  <r>
    <x v="35"/>
    <x v="12"/>
    <x v="4"/>
    <x v="4"/>
    <x v="0"/>
    <x v="2"/>
    <x v="12"/>
    <x v="12"/>
    <x v="395"/>
    <x v="0"/>
    <s v="MULTI PLAZA"/>
    <x v="0"/>
  </r>
  <r>
    <x v="35"/>
    <x v="13"/>
    <x v="5"/>
    <x v="5"/>
    <x v="0"/>
    <x v="2"/>
    <x v="13"/>
    <x v="13"/>
    <x v="396"/>
    <x v="0"/>
    <s v="MULTI PLAZA"/>
    <x v="0"/>
  </r>
  <r>
    <x v="35"/>
    <x v="14"/>
    <x v="1"/>
    <x v="1"/>
    <x v="0"/>
    <x v="2"/>
    <x v="14"/>
    <x v="14"/>
    <x v="397"/>
    <x v="0"/>
    <s v="MULTI PLAZA"/>
    <x v="0"/>
  </r>
  <r>
    <x v="35"/>
    <x v="1"/>
    <x v="1"/>
    <x v="1"/>
    <x v="0"/>
    <x v="2"/>
    <x v="1"/>
    <x v="1"/>
    <x v="1"/>
    <x v="84"/>
    <s v="MULTI PLAZA"/>
    <x v="0"/>
  </r>
  <r>
    <x v="35"/>
    <x v="7"/>
    <x v="2"/>
    <x v="2"/>
    <x v="0"/>
    <x v="0"/>
    <x v="7"/>
    <x v="7"/>
    <x v="398"/>
    <x v="0"/>
    <s v="MULTI PLAZA"/>
    <x v="0"/>
  </r>
  <r>
    <x v="35"/>
    <x v="2"/>
    <x v="2"/>
    <x v="2"/>
    <x v="0"/>
    <x v="0"/>
    <x v="2"/>
    <x v="2"/>
    <x v="399"/>
    <x v="0"/>
    <s v="MULTI PLAZA"/>
    <x v="0"/>
  </r>
  <r>
    <x v="35"/>
    <x v="9"/>
    <x v="6"/>
    <x v="6"/>
    <x v="0"/>
    <x v="0"/>
    <x v="9"/>
    <x v="9"/>
    <x v="400"/>
    <x v="0"/>
    <s v="MULTI PLAZA"/>
    <x v="0"/>
  </r>
  <r>
    <x v="35"/>
    <x v="11"/>
    <x v="6"/>
    <x v="6"/>
    <x v="0"/>
    <x v="0"/>
    <x v="11"/>
    <x v="11"/>
    <x v="401"/>
    <x v="0"/>
    <s v="MULTI PLAZA"/>
    <x v="0"/>
  </r>
  <r>
    <x v="35"/>
    <x v="10"/>
    <x v="3"/>
    <x v="3"/>
    <x v="0"/>
    <x v="0"/>
    <x v="10"/>
    <x v="10"/>
    <x v="402"/>
    <x v="0"/>
    <s v="MULTI PLAZA"/>
    <x v="0"/>
  </r>
  <r>
    <x v="35"/>
    <x v="3"/>
    <x v="3"/>
    <x v="3"/>
    <x v="0"/>
    <x v="0"/>
    <x v="3"/>
    <x v="3"/>
    <x v="403"/>
    <x v="0"/>
    <s v="MULTI PLAZA"/>
    <x v="0"/>
  </r>
  <r>
    <x v="35"/>
    <x v="12"/>
    <x v="4"/>
    <x v="4"/>
    <x v="0"/>
    <x v="0"/>
    <x v="12"/>
    <x v="12"/>
    <x v="404"/>
    <x v="0"/>
    <s v="MULTI PLAZA"/>
    <x v="0"/>
  </r>
  <r>
    <x v="35"/>
    <x v="4"/>
    <x v="4"/>
    <x v="4"/>
    <x v="0"/>
    <x v="0"/>
    <x v="4"/>
    <x v="4"/>
    <x v="405"/>
    <x v="0"/>
    <s v="MULTI PLAZA"/>
    <x v="0"/>
  </r>
  <r>
    <x v="35"/>
    <x v="0"/>
    <x v="0"/>
    <x v="0"/>
    <x v="0"/>
    <x v="0"/>
    <x v="0"/>
    <x v="0"/>
    <x v="406"/>
    <x v="0"/>
    <s v="MULTI PLAZA"/>
    <x v="0"/>
  </r>
  <r>
    <x v="35"/>
    <x v="5"/>
    <x v="0"/>
    <x v="0"/>
    <x v="0"/>
    <x v="0"/>
    <x v="5"/>
    <x v="5"/>
    <x v="407"/>
    <x v="0"/>
    <s v="MULTI PLAZA"/>
    <x v="0"/>
  </r>
  <r>
    <x v="35"/>
    <x v="13"/>
    <x v="5"/>
    <x v="5"/>
    <x v="0"/>
    <x v="0"/>
    <x v="13"/>
    <x v="13"/>
    <x v="408"/>
    <x v="0"/>
    <s v="MULTI PLAZA"/>
    <x v="0"/>
  </r>
  <r>
    <x v="35"/>
    <x v="6"/>
    <x v="5"/>
    <x v="5"/>
    <x v="0"/>
    <x v="0"/>
    <x v="6"/>
    <x v="6"/>
    <x v="409"/>
    <x v="0"/>
    <s v="MULTI PLAZA"/>
    <x v="0"/>
  </r>
  <r>
    <x v="35"/>
    <x v="14"/>
    <x v="1"/>
    <x v="1"/>
    <x v="0"/>
    <x v="0"/>
    <x v="14"/>
    <x v="14"/>
    <x v="410"/>
    <x v="0"/>
    <s v="MULTI PLAZA"/>
    <x v="0"/>
  </r>
  <r>
    <x v="35"/>
    <x v="8"/>
    <x v="1"/>
    <x v="1"/>
    <x v="0"/>
    <x v="0"/>
    <x v="8"/>
    <x v="8"/>
    <x v="411"/>
    <x v="0"/>
    <s v="MULTI PLAZA"/>
    <x v="0"/>
  </r>
  <r>
    <x v="35"/>
    <x v="1"/>
    <x v="1"/>
    <x v="1"/>
    <x v="0"/>
    <x v="0"/>
    <x v="1"/>
    <x v="1"/>
    <x v="1"/>
    <x v="85"/>
    <s v="MULTI PLAZA"/>
    <x v="0"/>
  </r>
  <r>
    <x v="35"/>
    <x v="7"/>
    <x v="2"/>
    <x v="2"/>
    <x v="0"/>
    <x v="1"/>
    <x v="7"/>
    <x v="7"/>
    <x v="412"/>
    <x v="0"/>
    <s v="MULTI PLAZA"/>
    <x v="0"/>
  </r>
  <r>
    <x v="35"/>
    <x v="11"/>
    <x v="6"/>
    <x v="6"/>
    <x v="0"/>
    <x v="1"/>
    <x v="11"/>
    <x v="11"/>
    <x v="413"/>
    <x v="0"/>
    <s v="MULTI PLAZA"/>
    <x v="0"/>
  </r>
  <r>
    <x v="35"/>
    <x v="10"/>
    <x v="3"/>
    <x v="3"/>
    <x v="0"/>
    <x v="1"/>
    <x v="10"/>
    <x v="10"/>
    <x v="414"/>
    <x v="0"/>
    <s v="MULTI PLAZA"/>
    <x v="0"/>
  </r>
  <r>
    <x v="35"/>
    <x v="13"/>
    <x v="5"/>
    <x v="5"/>
    <x v="0"/>
    <x v="1"/>
    <x v="13"/>
    <x v="13"/>
    <x v="415"/>
    <x v="0"/>
    <s v="MULTI PLAZA"/>
    <x v="0"/>
  </r>
  <r>
    <x v="35"/>
    <x v="6"/>
    <x v="5"/>
    <x v="5"/>
    <x v="0"/>
    <x v="1"/>
    <x v="6"/>
    <x v="6"/>
    <x v="416"/>
    <x v="0"/>
    <s v="MULTI PLAZA"/>
    <x v="0"/>
  </r>
  <r>
    <x v="35"/>
    <x v="8"/>
    <x v="1"/>
    <x v="1"/>
    <x v="0"/>
    <x v="1"/>
    <x v="8"/>
    <x v="8"/>
    <x v="417"/>
    <x v="0"/>
    <s v="MULTI PLAZA"/>
    <x v="0"/>
  </r>
  <r>
    <x v="35"/>
    <x v="1"/>
    <x v="1"/>
    <x v="1"/>
    <x v="0"/>
    <x v="1"/>
    <x v="1"/>
    <x v="1"/>
    <x v="1"/>
    <x v="86"/>
    <s v="MULTI PLAZA"/>
    <x v="0"/>
  </r>
  <r>
    <x v="36"/>
    <x v="7"/>
    <x v="2"/>
    <x v="2"/>
    <x v="0"/>
    <x v="2"/>
    <x v="7"/>
    <x v="7"/>
    <x v="418"/>
    <x v="0"/>
    <s v="TERMINAL DE ALBROOK"/>
    <x v="0"/>
  </r>
  <r>
    <x v="36"/>
    <x v="5"/>
    <x v="0"/>
    <x v="0"/>
    <x v="0"/>
    <x v="2"/>
    <x v="5"/>
    <x v="5"/>
    <x v="419"/>
    <x v="0"/>
    <s v="TERMINAL DE ALBROOK"/>
    <x v="0"/>
  </r>
  <r>
    <x v="36"/>
    <x v="1"/>
    <x v="1"/>
    <x v="1"/>
    <x v="0"/>
    <x v="2"/>
    <x v="1"/>
    <x v="1"/>
    <x v="1"/>
    <x v="87"/>
    <s v="TERMINAL DE ALBROOK"/>
    <x v="0"/>
  </r>
  <r>
    <x v="36"/>
    <x v="7"/>
    <x v="2"/>
    <x v="2"/>
    <x v="0"/>
    <x v="0"/>
    <x v="7"/>
    <x v="7"/>
    <x v="420"/>
    <x v="0"/>
    <s v="TERMINAL DE ALBROOK"/>
    <x v="0"/>
  </r>
  <r>
    <x v="36"/>
    <x v="2"/>
    <x v="2"/>
    <x v="2"/>
    <x v="0"/>
    <x v="0"/>
    <x v="2"/>
    <x v="2"/>
    <x v="421"/>
    <x v="0"/>
    <s v="TERMINAL DE ALBROOK"/>
    <x v="0"/>
  </r>
  <r>
    <x v="36"/>
    <x v="9"/>
    <x v="6"/>
    <x v="6"/>
    <x v="0"/>
    <x v="0"/>
    <x v="9"/>
    <x v="9"/>
    <x v="422"/>
    <x v="0"/>
    <s v="TERMINAL DE ALBROOK"/>
    <x v="0"/>
  </r>
  <r>
    <x v="36"/>
    <x v="11"/>
    <x v="6"/>
    <x v="6"/>
    <x v="0"/>
    <x v="0"/>
    <x v="11"/>
    <x v="11"/>
    <x v="423"/>
    <x v="0"/>
    <s v="TERMINAL DE ALBROOK"/>
    <x v="0"/>
  </r>
  <r>
    <x v="36"/>
    <x v="21"/>
    <x v="6"/>
    <x v="6"/>
    <x v="0"/>
    <x v="0"/>
    <x v="15"/>
    <x v="21"/>
    <x v="424"/>
    <x v="0"/>
    <s v="TERMINAL DE ALBROOK"/>
    <x v="0"/>
  </r>
  <r>
    <x v="36"/>
    <x v="10"/>
    <x v="3"/>
    <x v="3"/>
    <x v="0"/>
    <x v="0"/>
    <x v="10"/>
    <x v="10"/>
    <x v="425"/>
    <x v="0"/>
    <s v="TERMINAL DE ALBROOK"/>
    <x v="0"/>
  </r>
  <r>
    <x v="36"/>
    <x v="3"/>
    <x v="3"/>
    <x v="3"/>
    <x v="0"/>
    <x v="0"/>
    <x v="3"/>
    <x v="3"/>
    <x v="426"/>
    <x v="0"/>
    <s v="TERMINAL DE ALBROOK"/>
    <x v="0"/>
  </r>
  <r>
    <x v="36"/>
    <x v="12"/>
    <x v="4"/>
    <x v="4"/>
    <x v="0"/>
    <x v="0"/>
    <x v="12"/>
    <x v="12"/>
    <x v="427"/>
    <x v="0"/>
    <s v="TERMINAL DE ALBROOK"/>
    <x v="0"/>
  </r>
  <r>
    <x v="36"/>
    <x v="4"/>
    <x v="4"/>
    <x v="4"/>
    <x v="0"/>
    <x v="0"/>
    <x v="4"/>
    <x v="4"/>
    <x v="428"/>
    <x v="0"/>
    <s v="TERMINAL DE ALBROOK"/>
    <x v="0"/>
  </r>
  <r>
    <x v="36"/>
    <x v="0"/>
    <x v="0"/>
    <x v="0"/>
    <x v="0"/>
    <x v="0"/>
    <x v="0"/>
    <x v="0"/>
    <x v="429"/>
    <x v="0"/>
    <s v="TERMINAL DE ALBROOK"/>
    <x v="0"/>
  </r>
  <r>
    <x v="36"/>
    <x v="5"/>
    <x v="0"/>
    <x v="0"/>
    <x v="0"/>
    <x v="0"/>
    <x v="5"/>
    <x v="5"/>
    <x v="430"/>
    <x v="0"/>
    <s v="TERMINAL DE ALBROOK"/>
    <x v="0"/>
  </r>
  <r>
    <x v="36"/>
    <x v="13"/>
    <x v="5"/>
    <x v="5"/>
    <x v="0"/>
    <x v="0"/>
    <x v="13"/>
    <x v="13"/>
    <x v="431"/>
    <x v="0"/>
    <s v="TERMINAL DE ALBROOK"/>
    <x v="0"/>
  </r>
  <r>
    <x v="36"/>
    <x v="6"/>
    <x v="5"/>
    <x v="5"/>
    <x v="0"/>
    <x v="0"/>
    <x v="6"/>
    <x v="6"/>
    <x v="432"/>
    <x v="0"/>
    <s v="TERMINAL DE ALBROOK"/>
    <x v="0"/>
  </r>
  <r>
    <x v="36"/>
    <x v="14"/>
    <x v="1"/>
    <x v="1"/>
    <x v="0"/>
    <x v="0"/>
    <x v="14"/>
    <x v="14"/>
    <x v="433"/>
    <x v="0"/>
    <s v="TERMINAL DE ALBROOK"/>
    <x v="0"/>
  </r>
  <r>
    <x v="36"/>
    <x v="8"/>
    <x v="1"/>
    <x v="1"/>
    <x v="0"/>
    <x v="0"/>
    <x v="8"/>
    <x v="8"/>
    <x v="434"/>
    <x v="0"/>
    <s v="TERMINAL DE ALBROOK"/>
    <x v="0"/>
  </r>
  <r>
    <x v="36"/>
    <x v="1"/>
    <x v="1"/>
    <x v="1"/>
    <x v="0"/>
    <x v="0"/>
    <x v="1"/>
    <x v="1"/>
    <x v="1"/>
    <x v="88"/>
    <s v="TERMINAL DE ALBROOK"/>
    <x v="0"/>
  </r>
  <r>
    <x v="36"/>
    <x v="7"/>
    <x v="2"/>
    <x v="2"/>
    <x v="0"/>
    <x v="1"/>
    <x v="7"/>
    <x v="7"/>
    <x v="435"/>
    <x v="0"/>
    <s v="TERMINAL DE ALBROOK"/>
    <x v="0"/>
  </r>
  <r>
    <x v="36"/>
    <x v="2"/>
    <x v="2"/>
    <x v="2"/>
    <x v="0"/>
    <x v="1"/>
    <x v="2"/>
    <x v="2"/>
    <x v="436"/>
    <x v="0"/>
    <s v="TERMINAL DE ALBROOK"/>
    <x v="0"/>
  </r>
  <r>
    <x v="36"/>
    <x v="9"/>
    <x v="6"/>
    <x v="6"/>
    <x v="0"/>
    <x v="1"/>
    <x v="9"/>
    <x v="9"/>
    <x v="437"/>
    <x v="0"/>
    <s v="TERMINAL DE ALBROOK"/>
    <x v="0"/>
  </r>
  <r>
    <x v="36"/>
    <x v="11"/>
    <x v="6"/>
    <x v="6"/>
    <x v="0"/>
    <x v="1"/>
    <x v="11"/>
    <x v="11"/>
    <x v="438"/>
    <x v="0"/>
    <s v="TERMINAL DE ALBROOK"/>
    <x v="0"/>
  </r>
  <r>
    <x v="36"/>
    <x v="3"/>
    <x v="3"/>
    <x v="3"/>
    <x v="0"/>
    <x v="1"/>
    <x v="3"/>
    <x v="3"/>
    <x v="439"/>
    <x v="0"/>
    <s v="TERMINAL DE ALBROOK"/>
    <x v="0"/>
  </r>
  <r>
    <x v="36"/>
    <x v="12"/>
    <x v="4"/>
    <x v="4"/>
    <x v="0"/>
    <x v="1"/>
    <x v="12"/>
    <x v="12"/>
    <x v="440"/>
    <x v="0"/>
    <s v="TERMINAL DE ALBROOK"/>
    <x v="0"/>
  </r>
  <r>
    <x v="36"/>
    <x v="4"/>
    <x v="4"/>
    <x v="4"/>
    <x v="0"/>
    <x v="1"/>
    <x v="4"/>
    <x v="4"/>
    <x v="441"/>
    <x v="0"/>
    <s v="TERMINAL DE ALBROOK"/>
    <x v="0"/>
  </r>
  <r>
    <x v="36"/>
    <x v="0"/>
    <x v="0"/>
    <x v="0"/>
    <x v="0"/>
    <x v="1"/>
    <x v="0"/>
    <x v="0"/>
    <x v="442"/>
    <x v="0"/>
    <s v="TERMINAL DE ALBROOK"/>
    <x v="0"/>
  </r>
  <r>
    <x v="36"/>
    <x v="13"/>
    <x v="5"/>
    <x v="5"/>
    <x v="0"/>
    <x v="1"/>
    <x v="13"/>
    <x v="13"/>
    <x v="443"/>
    <x v="0"/>
    <s v="TERMINAL DE ALBROOK"/>
    <x v="0"/>
  </r>
  <r>
    <x v="36"/>
    <x v="6"/>
    <x v="5"/>
    <x v="5"/>
    <x v="0"/>
    <x v="1"/>
    <x v="6"/>
    <x v="6"/>
    <x v="444"/>
    <x v="0"/>
    <s v="TERMINAL DE ALBROOK"/>
    <x v="0"/>
  </r>
  <r>
    <x v="36"/>
    <x v="14"/>
    <x v="1"/>
    <x v="1"/>
    <x v="0"/>
    <x v="1"/>
    <x v="14"/>
    <x v="14"/>
    <x v="445"/>
    <x v="0"/>
    <s v="TERMINAL DE ALBROOK"/>
    <x v="0"/>
  </r>
  <r>
    <x v="36"/>
    <x v="8"/>
    <x v="1"/>
    <x v="1"/>
    <x v="0"/>
    <x v="1"/>
    <x v="8"/>
    <x v="8"/>
    <x v="446"/>
    <x v="0"/>
    <s v="TERMINAL DE ALBROOK"/>
    <x v="0"/>
  </r>
  <r>
    <x v="36"/>
    <x v="1"/>
    <x v="1"/>
    <x v="1"/>
    <x v="0"/>
    <x v="1"/>
    <x v="1"/>
    <x v="1"/>
    <x v="1"/>
    <x v="89"/>
    <s v="TERMINAL DE ALBROOK"/>
    <x v="0"/>
  </r>
  <r>
    <x v="37"/>
    <x v="1"/>
    <x v="1"/>
    <x v="1"/>
    <x v="0"/>
    <x v="2"/>
    <x v="1"/>
    <x v="1"/>
    <x v="1"/>
    <x v="90"/>
    <s v="CONCEPCION"/>
    <x v="0"/>
  </r>
  <r>
    <x v="37"/>
    <x v="1"/>
    <x v="1"/>
    <x v="1"/>
    <x v="0"/>
    <x v="0"/>
    <x v="1"/>
    <x v="1"/>
    <x v="1"/>
    <x v="91"/>
    <s v="CONCEPCION"/>
    <x v="0"/>
  </r>
  <r>
    <x v="38"/>
    <x v="10"/>
    <x v="3"/>
    <x v="3"/>
    <x v="0"/>
    <x v="0"/>
    <x v="10"/>
    <x v="10"/>
    <x v="447"/>
    <x v="0"/>
    <s v="BOQUETE"/>
    <x v="0"/>
  </r>
  <r>
    <x v="38"/>
    <x v="3"/>
    <x v="3"/>
    <x v="3"/>
    <x v="0"/>
    <x v="0"/>
    <x v="3"/>
    <x v="3"/>
    <x v="448"/>
    <x v="0"/>
    <s v="BOQUETE"/>
    <x v="0"/>
  </r>
  <r>
    <x v="38"/>
    <x v="1"/>
    <x v="1"/>
    <x v="1"/>
    <x v="0"/>
    <x v="0"/>
    <x v="1"/>
    <x v="1"/>
    <x v="1"/>
    <x v="92"/>
    <s v="BOQUETE"/>
    <x v="0"/>
  </r>
  <r>
    <x v="39"/>
    <x v="7"/>
    <x v="2"/>
    <x v="2"/>
    <x v="0"/>
    <x v="0"/>
    <x v="7"/>
    <x v="7"/>
    <x v="449"/>
    <x v="0"/>
    <s v="BRISAS DEL GOLF"/>
    <x v="0"/>
  </r>
  <r>
    <x v="39"/>
    <x v="2"/>
    <x v="2"/>
    <x v="2"/>
    <x v="0"/>
    <x v="0"/>
    <x v="2"/>
    <x v="2"/>
    <x v="450"/>
    <x v="0"/>
    <s v="BRISAS DEL GOLF"/>
    <x v="0"/>
  </r>
  <r>
    <x v="39"/>
    <x v="9"/>
    <x v="6"/>
    <x v="6"/>
    <x v="0"/>
    <x v="0"/>
    <x v="9"/>
    <x v="9"/>
    <x v="451"/>
    <x v="0"/>
    <s v="BRISAS DEL GOLF"/>
    <x v="0"/>
  </r>
  <r>
    <x v="39"/>
    <x v="11"/>
    <x v="6"/>
    <x v="6"/>
    <x v="0"/>
    <x v="0"/>
    <x v="11"/>
    <x v="11"/>
    <x v="452"/>
    <x v="0"/>
    <s v="BRISAS DEL GOLF"/>
    <x v="0"/>
  </r>
  <r>
    <x v="39"/>
    <x v="10"/>
    <x v="3"/>
    <x v="3"/>
    <x v="0"/>
    <x v="0"/>
    <x v="10"/>
    <x v="10"/>
    <x v="453"/>
    <x v="0"/>
    <s v="BRISAS DEL GOLF"/>
    <x v="0"/>
  </r>
  <r>
    <x v="39"/>
    <x v="3"/>
    <x v="3"/>
    <x v="3"/>
    <x v="0"/>
    <x v="0"/>
    <x v="3"/>
    <x v="3"/>
    <x v="454"/>
    <x v="0"/>
    <s v="BRISAS DEL GOLF"/>
    <x v="0"/>
  </r>
  <r>
    <x v="39"/>
    <x v="12"/>
    <x v="4"/>
    <x v="4"/>
    <x v="0"/>
    <x v="0"/>
    <x v="12"/>
    <x v="12"/>
    <x v="455"/>
    <x v="0"/>
    <s v="BRISAS DEL GOLF"/>
    <x v="0"/>
  </r>
  <r>
    <x v="39"/>
    <x v="4"/>
    <x v="4"/>
    <x v="4"/>
    <x v="0"/>
    <x v="0"/>
    <x v="4"/>
    <x v="4"/>
    <x v="456"/>
    <x v="0"/>
    <s v="BRISAS DEL GOLF"/>
    <x v="0"/>
  </r>
  <r>
    <x v="39"/>
    <x v="0"/>
    <x v="0"/>
    <x v="0"/>
    <x v="0"/>
    <x v="0"/>
    <x v="0"/>
    <x v="0"/>
    <x v="457"/>
    <x v="0"/>
    <s v="BRISAS DEL GOLF"/>
    <x v="0"/>
  </r>
  <r>
    <x v="39"/>
    <x v="5"/>
    <x v="0"/>
    <x v="0"/>
    <x v="0"/>
    <x v="0"/>
    <x v="5"/>
    <x v="5"/>
    <x v="458"/>
    <x v="0"/>
    <s v="BRISAS DEL GOLF"/>
    <x v="0"/>
  </r>
  <r>
    <x v="39"/>
    <x v="13"/>
    <x v="5"/>
    <x v="5"/>
    <x v="0"/>
    <x v="0"/>
    <x v="13"/>
    <x v="13"/>
    <x v="459"/>
    <x v="0"/>
    <s v="BRISAS DEL GOLF"/>
    <x v="0"/>
  </r>
  <r>
    <x v="39"/>
    <x v="6"/>
    <x v="5"/>
    <x v="5"/>
    <x v="0"/>
    <x v="0"/>
    <x v="6"/>
    <x v="6"/>
    <x v="460"/>
    <x v="0"/>
    <s v="BRISAS DEL GOLF"/>
    <x v="0"/>
  </r>
  <r>
    <x v="39"/>
    <x v="14"/>
    <x v="1"/>
    <x v="1"/>
    <x v="0"/>
    <x v="0"/>
    <x v="14"/>
    <x v="14"/>
    <x v="461"/>
    <x v="0"/>
    <s v="BRISAS DEL GOLF"/>
    <x v="0"/>
  </r>
  <r>
    <x v="39"/>
    <x v="8"/>
    <x v="1"/>
    <x v="1"/>
    <x v="0"/>
    <x v="0"/>
    <x v="8"/>
    <x v="8"/>
    <x v="462"/>
    <x v="0"/>
    <s v="BRISAS DEL GOLF"/>
    <x v="0"/>
  </r>
  <r>
    <x v="39"/>
    <x v="1"/>
    <x v="1"/>
    <x v="1"/>
    <x v="0"/>
    <x v="0"/>
    <x v="1"/>
    <x v="1"/>
    <x v="1"/>
    <x v="93"/>
    <s v="BRISAS DEL GOLF"/>
    <x v="0"/>
  </r>
  <r>
    <x v="39"/>
    <x v="7"/>
    <x v="2"/>
    <x v="2"/>
    <x v="0"/>
    <x v="1"/>
    <x v="7"/>
    <x v="7"/>
    <x v="463"/>
    <x v="0"/>
    <s v="BRISAS DEL GOLF"/>
    <x v="0"/>
  </r>
  <r>
    <x v="39"/>
    <x v="10"/>
    <x v="3"/>
    <x v="3"/>
    <x v="0"/>
    <x v="1"/>
    <x v="10"/>
    <x v="10"/>
    <x v="464"/>
    <x v="0"/>
    <s v="BRISAS DEL GOLF"/>
    <x v="0"/>
  </r>
  <r>
    <x v="39"/>
    <x v="1"/>
    <x v="1"/>
    <x v="1"/>
    <x v="0"/>
    <x v="1"/>
    <x v="1"/>
    <x v="1"/>
    <x v="1"/>
    <x v="94"/>
    <s v="BRISAS DEL GOLF"/>
    <x v="0"/>
  </r>
  <r>
    <x v="40"/>
    <x v="7"/>
    <x v="2"/>
    <x v="2"/>
    <x v="0"/>
    <x v="2"/>
    <x v="7"/>
    <x v="7"/>
    <x v="465"/>
    <x v="0"/>
    <s v="PUENTE CENTENARIO"/>
    <x v="0"/>
  </r>
  <r>
    <x v="40"/>
    <x v="10"/>
    <x v="3"/>
    <x v="3"/>
    <x v="0"/>
    <x v="2"/>
    <x v="10"/>
    <x v="10"/>
    <x v="466"/>
    <x v="0"/>
    <s v="PUENTE CENTENARIO"/>
    <x v="0"/>
  </r>
  <r>
    <x v="40"/>
    <x v="1"/>
    <x v="1"/>
    <x v="1"/>
    <x v="0"/>
    <x v="2"/>
    <x v="1"/>
    <x v="1"/>
    <x v="1"/>
    <x v="95"/>
    <s v="PUENTE CENTENARIO"/>
    <x v="0"/>
  </r>
  <r>
    <x v="40"/>
    <x v="7"/>
    <x v="2"/>
    <x v="2"/>
    <x v="0"/>
    <x v="0"/>
    <x v="7"/>
    <x v="7"/>
    <x v="467"/>
    <x v="0"/>
    <s v="PUENTE CENTENARIO"/>
    <x v="0"/>
  </r>
  <r>
    <x v="40"/>
    <x v="2"/>
    <x v="2"/>
    <x v="2"/>
    <x v="0"/>
    <x v="0"/>
    <x v="2"/>
    <x v="2"/>
    <x v="468"/>
    <x v="0"/>
    <s v="PUENTE CENTENARIO"/>
    <x v="0"/>
  </r>
  <r>
    <x v="40"/>
    <x v="9"/>
    <x v="6"/>
    <x v="6"/>
    <x v="0"/>
    <x v="0"/>
    <x v="9"/>
    <x v="9"/>
    <x v="469"/>
    <x v="0"/>
    <s v="PUENTE CENTENARIO"/>
    <x v="0"/>
  </r>
  <r>
    <x v="40"/>
    <x v="11"/>
    <x v="6"/>
    <x v="6"/>
    <x v="0"/>
    <x v="0"/>
    <x v="11"/>
    <x v="11"/>
    <x v="470"/>
    <x v="0"/>
    <s v="PUENTE CENTENARIO"/>
    <x v="0"/>
  </r>
  <r>
    <x v="40"/>
    <x v="10"/>
    <x v="3"/>
    <x v="3"/>
    <x v="0"/>
    <x v="0"/>
    <x v="10"/>
    <x v="10"/>
    <x v="471"/>
    <x v="0"/>
    <s v="PUENTE CENTENARIO"/>
    <x v="0"/>
  </r>
  <r>
    <x v="40"/>
    <x v="3"/>
    <x v="3"/>
    <x v="3"/>
    <x v="0"/>
    <x v="0"/>
    <x v="3"/>
    <x v="3"/>
    <x v="472"/>
    <x v="0"/>
    <s v="PUENTE CENTENARIO"/>
    <x v="0"/>
  </r>
  <r>
    <x v="40"/>
    <x v="12"/>
    <x v="4"/>
    <x v="4"/>
    <x v="0"/>
    <x v="0"/>
    <x v="12"/>
    <x v="12"/>
    <x v="473"/>
    <x v="0"/>
    <s v="PUENTE CENTENARIO"/>
    <x v="0"/>
  </r>
  <r>
    <x v="40"/>
    <x v="4"/>
    <x v="4"/>
    <x v="4"/>
    <x v="0"/>
    <x v="0"/>
    <x v="4"/>
    <x v="4"/>
    <x v="474"/>
    <x v="0"/>
    <s v="PUENTE CENTENARIO"/>
    <x v="0"/>
  </r>
  <r>
    <x v="40"/>
    <x v="0"/>
    <x v="0"/>
    <x v="0"/>
    <x v="0"/>
    <x v="0"/>
    <x v="0"/>
    <x v="0"/>
    <x v="475"/>
    <x v="0"/>
    <s v="PUENTE CENTENARIO"/>
    <x v="0"/>
  </r>
  <r>
    <x v="40"/>
    <x v="5"/>
    <x v="0"/>
    <x v="0"/>
    <x v="0"/>
    <x v="0"/>
    <x v="5"/>
    <x v="5"/>
    <x v="476"/>
    <x v="0"/>
    <s v="PUENTE CENTENARIO"/>
    <x v="0"/>
  </r>
  <r>
    <x v="40"/>
    <x v="13"/>
    <x v="5"/>
    <x v="5"/>
    <x v="0"/>
    <x v="0"/>
    <x v="13"/>
    <x v="13"/>
    <x v="477"/>
    <x v="0"/>
    <s v="PUENTE CENTENARIO"/>
    <x v="0"/>
  </r>
  <r>
    <x v="40"/>
    <x v="6"/>
    <x v="5"/>
    <x v="5"/>
    <x v="0"/>
    <x v="0"/>
    <x v="6"/>
    <x v="6"/>
    <x v="478"/>
    <x v="0"/>
    <s v="PUENTE CENTENARIO"/>
    <x v="0"/>
  </r>
  <r>
    <x v="40"/>
    <x v="14"/>
    <x v="1"/>
    <x v="1"/>
    <x v="0"/>
    <x v="0"/>
    <x v="14"/>
    <x v="14"/>
    <x v="479"/>
    <x v="0"/>
    <s v="PUENTE CENTENARIO"/>
    <x v="0"/>
  </r>
  <r>
    <x v="40"/>
    <x v="8"/>
    <x v="1"/>
    <x v="1"/>
    <x v="0"/>
    <x v="0"/>
    <x v="8"/>
    <x v="8"/>
    <x v="480"/>
    <x v="0"/>
    <s v="PUENTE CENTENARIO"/>
    <x v="0"/>
  </r>
  <r>
    <x v="40"/>
    <x v="1"/>
    <x v="1"/>
    <x v="1"/>
    <x v="0"/>
    <x v="0"/>
    <x v="1"/>
    <x v="1"/>
    <x v="1"/>
    <x v="96"/>
    <s v="PUENTE CENTENARIO"/>
    <x v="0"/>
  </r>
  <r>
    <x v="40"/>
    <x v="7"/>
    <x v="2"/>
    <x v="2"/>
    <x v="0"/>
    <x v="1"/>
    <x v="7"/>
    <x v="7"/>
    <x v="481"/>
    <x v="0"/>
    <s v="PUENTE CENTENARIO"/>
    <x v="0"/>
  </r>
  <r>
    <x v="40"/>
    <x v="9"/>
    <x v="6"/>
    <x v="6"/>
    <x v="0"/>
    <x v="1"/>
    <x v="9"/>
    <x v="9"/>
    <x v="482"/>
    <x v="0"/>
    <s v="PUENTE CENTENARIO"/>
    <x v="0"/>
  </r>
  <r>
    <x v="40"/>
    <x v="11"/>
    <x v="6"/>
    <x v="6"/>
    <x v="0"/>
    <x v="1"/>
    <x v="11"/>
    <x v="11"/>
    <x v="483"/>
    <x v="0"/>
    <s v="PUENTE CENTENARIO"/>
    <x v="0"/>
  </r>
  <r>
    <x v="40"/>
    <x v="10"/>
    <x v="3"/>
    <x v="3"/>
    <x v="0"/>
    <x v="1"/>
    <x v="10"/>
    <x v="10"/>
    <x v="484"/>
    <x v="0"/>
    <s v="PUENTE CENTENARIO"/>
    <x v="0"/>
  </r>
  <r>
    <x v="40"/>
    <x v="12"/>
    <x v="4"/>
    <x v="4"/>
    <x v="0"/>
    <x v="1"/>
    <x v="12"/>
    <x v="12"/>
    <x v="485"/>
    <x v="0"/>
    <s v="PUENTE CENTENARIO"/>
    <x v="0"/>
  </r>
  <r>
    <x v="40"/>
    <x v="0"/>
    <x v="0"/>
    <x v="0"/>
    <x v="0"/>
    <x v="1"/>
    <x v="0"/>
    <x v="0"/>
    <x v="486"/>
    <x v="0"/>
    <s v="PUENTE CENTENARIO"/>
    <x v="0"/>
  </r>
  <r>
    <x v="40"/>
    <x v="6"/>
    <x v="5"/>
    <x v="5"/>
    <x v="0"/>
    <x v="1"/>
    <x v="6"/>
    <x v="6"/>
    <x v="487"/>
    <x v="0"/>
    <s v="PUENTE CENTENARIO"/>
    <x v="0"/>
  </r>
  <r>
    <x v="40"/>
    <x v="8"/>
    <x v="1"/>
    <x v="1"/>
    <x v="0"/>
    <x v="1"/>
    <x v="8"/>
    <x v="8"/>
    <x v="488"/>
    <x v="0"/>
    <s v="PUENTE CENTENARIO"/>
    <x v="0"/>
  </r>
  <r>
    <x v="40"/>
    <x v="1"/>
    <x v="1"/>
    <x v="1"/>
    <x v="0"/>
    <x v="1"/>
    <x v="1"/>
    <x v="1"/>
    <x v="1"/>
    <x v="97"/>
    <s v="PUENTE CENTENARIO"/>
    <x v="0"/>
  </r>
  <r>
    <x v="41"/>
    <x v="1"/>
    <x v="1"/>
    <x v="1"/>
    <x v="0"/>
    <x v="0"/>
    <x v="1"/>
    <x v="1"/>
    <x v="1"/>
    <x v="98"/>
    <s v="METROMALL"/>
    <x v="0"/>
  </r>
  <r>
    <x v="42"/>
    <x v="11"/>
    <x v="6"/>
    <x v="6"/>
    <x v="0"/>
    <x v="0"/>
    <x v="11"/>
    <x v="11"/>
    <x v="252"/>
    <x v="0"/>
    <s v="ALTOS DE PANAMA"/>
    <x v="0"/>
  </r>
  <r>
    <x v="42"/>
    <x v="10"/>
    <x v="3"/>
    <x v="3"/>
    <x v="0"/>
    <x v="0"/>
    <x v="10"/>
    <x v="10"/>
    <x v="489"/>
    <x v="0"/>
    <s v="ALTOS DE PANAMA"/>
    <x v="0"/>
  </r>
  <r>
    <x v="42"/>
    <x v="3"/>
    <x v="3"/>
    <x v="3"/>
    <x v="0"/>
    <x v="0"/>
    <x v="3"/>
    <x v="3"/>
    <x v="490"/>
    <x v="0"/>
    <s v="ALTOS DE PANAMA"/>
    <x v="0"/>
  </r>
  <r>
    <x v="42"/>
    <x v="12"/>
    <x v="4"/>
    <x v="4"/>
    <x v="0"/>
    <x v="0"/>
    <x v="12"/>
    <x v="12"/>
    <x v="491"/>
    <x v="0"/>
    <s v="ALTOS DE PANAMA"/>
    <x v="0"/>
  </r>
  <r>
    <x v="42"/>
    <x v="4"/>
    <x v="4"/>
    <x v="4"/>
    <x v="0"/>
    <x v="0"/>
    <x v="4"/>
    <x v="4"/>
    <x v="492"/>
    <x v="0"/>
    <s v="ALTOS DE PANAMA"/>
    <x v="0"/>
  </r>
  <r>
    <x v="42"/>
    <x v="1"/>
    <x v="1"/>
    <x v="1"/>
    <x v="0"/>
    <x v="0"/>
    <x v="1"/>
    <x v="1"/>
    <x v="1"/>
    <x v="99"/>
    <s v="ALTOS DE PANAMA"/>
    <x v="0"/>
  </r>
  <r>
    <x v="43"/>
    <x v="4"/>
    <x v="4"/>
    <x v="4"/>
    <x v="0"/>
    <x v="0"/>
    <x v="4"/>
    <x v="4"/>
    <x v="493"/>
    <x v="0"/>
    <s v="VERSALLES"/>
    <x v="0"/>
  </r>
  <r>
    <x v="43"/>
    <x v="8"/>
    <x v="1"/>
    <x v="1"/>
    <x v="0"/>
    <x v="0"/>
    <x v="8"/>
    <x v="8"/>
    <x v="494"/>
    <x v="0"/>
    <s v="VERSALLES"/>
    <x v="0"/>
  </r>
  <r>
    <x v="43"/>
    <x v="1"/>
    <x v="1"/>
    <x v="1"/>
    <x v="0"/>
    <x v="0"/>
    <x v="1"/>
    <x v="1"/>
    <x v="1"/>
    <x v="100"/>
    <s v="VERSALLES"/>
    <x v="0"/>
  </r>
  <r>
    <x v="44"/>
    <x v="12"/>
    <x v="4"/>
    <x v="4"/>
    <x v="0"/>
    <x v="0"/>
    <x v="12"/>
    <x v="12"/>
    <x v="495"/>
    <x v="0"/>
    <s v="BUSINESS PARK"/>
    <x v="0"/>
  </r>
  <r>
    <x v="44"/>
    <x v="1"/>
    <x v="1"/>
    <x v="1"/>
    <x v="0"/>
    <x v="0"/>
    <x v="1"/>
    <x v="1"/>
    <x v="1"/>
    <x v="101"/>
    <s v="BUSINESS PARK"/>
    <x v="0"/>
  </r>
  <r>
    <x v="44"/>
    <x v="10"/>
    <x v="3"/>
    <x v="3"/>
    <x v="0"/>
    <x v="1"/>
    <x v="10"/>
    <x v="10"/>
    <x v="448"/>
    <x v="0"/>
    <s v="BUSINESS PARK"/>
    <x v="0"/>
  </r>
  <r>
    <x v="44"/>
    <x v="13"/>
    <x v="5"/>
    <x v="5"/>
    <x v="0"/>
    <x v="1"/>
    <x v="13"/>
    <x v="13"/>
    <x v="496"/>
    <x v="0"/>
    <s v="BUSINESS PARK"/>
    <x v="0"/>
  </r>
  <r>
    <x v="44"/>
    <x v="1"/>
    <x v="1"/>
    <x v="1"/>
    <x v="0"/>
    <x v="1"/>
    <x v="1"/>
    <x v="1"/>
    <x v="1"/>
    <x v="102"/>
    <s v="BUSINESS PARK"/>
    <x v="0"/>
  </r>
  <r>
    <x v="45"/>
    <x v="3"/>
    <x v="3"/>
    <x v="3"/>
    <x v="0"/>
    <x v="0"/>
    <x v="3"/>
    <x v="3"/>
    <x v="497"/>
    <x v="0"/>
    <s v="SAN FRANCISCO"/>
    <x v="0"/>
  </r>
  <r>
    <x v="45"/>
    <x v="1"/>
    <x v="1"/>
    <x v="1"/>
    <x v="0"/>
    <x v="0"/>
    <x v="1"/>
    <x v="1"/>
    <x v="1"/>
    <x v="103"/>
    <s v="SAN FRANCISCO"/>
    <x v="0"/>
  </r>
  <r>
    <x v="46"/>
    <x v="4"/>
    <x v="4"/>
    <x v="4"/>
    <x v="0"/>
    <x v="2"/>
    <x v="4"/>
    <x v="4"/>
    <x v="498"/>
    <x v="0"/>
    <s v="PLAZA BANCO GENERAL"/>
    <x v="0"/>
  </r>
  <r>
    <x v="46"/>
    <x v="5"/>
    <x v="0"/>
    <x v="0"/>
    <x v="0"/>
    <x v="2"/>
    <x v="5"/>
    <x v="5"/>
    <x v="499"/>
    <x v="0"/>
    <s v="PLAZA BANCO GENERAL"/>
    <x v="0"/>
  </r>
  <r>
    <x v="46"/>
    <x v="1"/>
    <x v="1"/>
    <x v="1"/>
    <x v="0"/>
    <x v="2"/>
    <x v="1"/>
    <x v="1"/>
    <x v="1"/>
    <x v="104"/>
    <s v="PLAZA BANCO GENERAL"/>
    <x v="0"/>
  </r>
  <r>
    <x v="46"/>
    <x v="1"/>
    <x v="1"/>
    <x v="1"/>
    <x v="0"/>
    <x v="0"/>
    <x v="1"/>
    <x v="1"/>
    <x v="1"/>
    <x v="105"/>
    <s v="PLAZA BANCO GENERAL"/>
    <x v="0"/>
  </r>
  <r>
    <x v="46"/>
    <x v="3"/>
    <x v="3"/>
    <x v="3"/>
    <x v="0"/>
    <x v="1"/>
    <x v="3"/>
    <x v="3"/>
    <x v="500"/>
    <x v="0"/>
    <s v="PLAZA BANCO GENERAL"/>
    <x v="0"/>
  </r>
  <r>
    <x v="46"/>
    <x v="12"/>
    <x v="4"/>
    <x v="4"/>
    <x v="0"/>
    <x v="1"/>
    <x v="12"/>
    <x v="12"/>
    <x v="501"/>
    <x v="0"/>
    <s v="PLAZA BANCO GENERAL"/>
    <x v="0"/>
  </r>
  <r>
    <x v="46"/>
    <x v="4"/>
    <x v="4"/>
    <x v="4"/>
    <x v="0"/>
    <x v="1"/>
    <x v="4"/>
    <x v="4"/>
    <x v="502"/>
    <x v="0"/>
    <s v="PLAZA BANCO GENERAL"/>
    <x v="0"/>
  </r>
  <r>
    <x v="46"/>
    <x v="14"/>
    <x v="1"/>
    <x v="1"/>
    <x v="0"/>
    <x v="1"/>
    <x v="14"/>
    <x v="14"/>
    <x v="240"/>
    <x v="0"/>
    <s v="PLAZA BANCO GENERAL"/>
    <x v="0"/>
  </r>
  <r>
    <x v="46"/>
    <x v="1"/>
    <x v="1"/>
    <x v="1"/>
    <x v="0"/>
    <x v="1"/>
    <x v="1"/>
    <x v="1"/>
    <x v="1"/>
    <x v="106"/>
    <s v="PLAZA BANCO GENERAL"/>
    <x v="0"/>
  </r>
  <r>
    <x v="47"/>
    <x v="7"/>
    <x v="2"/>
    <x v="2"/>
    <x v="0"/>
    <x v="2"/>
    <x v="7"/>
    <x v="7"/>
    <x v="503"/>
    <x v="0"/>
    <s v="LA CHORRERA - PARQUE 10 DE NOV."/>
    <x v="0"/>
  </r>
  <r>
    <x v="47"/>
    <x v="11"/>
    <x v="6"/>
    <x v="6"/>
    <x v="0"/>
    <x v="2"/>
    <x v="11"/>
    <x v="11"/>
    <x v="504"/>
    <x v="0"/>
    <s v="LA CHORRERA - PARQUE 10 DE NOV."/>
    <x v="0"/>
  </r>
  <r>
    <x v="47"/>
    <x v="10"/>
    <x v="3"/>
    <x v="3"/>
    <x v="0"/>
    <x v="2"/>
    <x v="10"/>
    <x v="10"/>
    <x v="505"/>
    <x v="0"/>
    <s v="LA CHORRERA - PARQUE 10 DE NOV."/>
    <x v="0"/>
  </r>
  <r>
    <x v="47"/>
    <x v="12"/>
    <x v="4"/>
    <x v="4"/>
    <x v="0"/>
    <x v="2"/>
    <x v="12"/>
    <x v="12"/>
    <x v="506"/>
    <x v="0"/>
    <s v="LA CHORRERA - PARQUE 10 DE NOV."/>
    <x v="0"/>
  </r>
  <r>
    <x v="47"/>
    <x v="4"/>
    <x v="4"/>
    <x v="4"/>
    <x v="0"/>
    <x v="2"/>
    <x v="4"/>
    <x v="4"/>
    <x v="507"/>
    <x v="0"/>
    <s v="LA CHORRERA - PARQUE 10 DE NOV."/>
    <x v="0"/>
  </r>
  <r>
    <x v="47"/>
    <x v="5"/>
    <x v="0"/>
    <x v="0"/>
    <x v="0"/>
    <x v="2"/>
    <x v="5"/>
    <x v="5"/>
    <x v="508"/>
    <x v="0"/>
    <s v="LA CHORRERA - PARQUE 10 DE NOV."/>
    <x v="0"/>
  </r>
  <r>
    <x v="47"/>
    <x v="13"/>
    <x v="5"/>
    <x v="5"/>
    <x v="0"/>
    <x v="2"/>
    <x v="13"/>
    <x v="13"/>
    <x v="509"/>
    <x v="0"/>
    <s v="LA CHORRERA - PARQUE 10 DE NOV."/>
    <x v="0"/>
  </r>
  <r>
    <x v="47"/>
    <x v="1"/>
    <x v="1"/>
    <x v="1"/>
    <x v="0"/>
    <x v="2"/>
    <x v="1"/>
    <x v="1"/>
    <x v="1"/>
    <x v="107"/>
    <s v="LA CHORRERA - PARQUE 10 DE NOV."/>
    <x v="0"/>
  </r>
  <r>
    <x v="47"/>
    <x v="7"/>
    <x v="2"/>
    <x v="2"/>
    <x v="0"/>
    <x v="0"/>
    <x v="7"/>
    <x v="7"/>
    <x v="510"/>
    <x v="0"/>
    <s v="LA CHORRERA - PARQUE 10 DE NOV."/>
    <x v="0"/>
  </r>
  <r>
    <x v="47"/>
    <x v="2"/>
    <x v="2"/>
    <x v="2"/>
    <x v="0"/>
    <x v="0"/>
    <x v="2"/>
    <x v="2"/>
    <x v="511"/>
    <x v="0"/>
    <s v="LA CHORRERA - PARQUE 10 DE NOV."/>
    <x v="0"/>
  </r>
  <r>
    <x v="47"/>
    <x v="9"/>
    <x v="6"/>
    <x v="6"/>
    <x v="0"/>
    <x v="0"/>
    <x v="9"/>
    <x v="9"/>
    <x v="512"/>
    <x v="0"/>
    <s v="LA CHORRERA - PARQUE 10 DE NOV."/>
    <x v="0"/>
  </r>
  <r>
    <x v="47"/>
    <x v="11"/>
    <x v="6"/>
    <x v="6"/>
    <x v="0"/>
    <x v="0"/>
    <x v="11"/>
    <x v="11"/>
    <x v="513"/>
    <x v="0"/>
    <s v="LA CHORRERA - PARQUE 10 DE NOV."/>
    <x v="0"/>
  </r>
  <r>
    <x v="47"/>
    <x v="10"/>
    <x v="3"/>
    <x v="3"/>
    <x v="0"/>
    <x v="0"/>
    <x v="10"/>
    <x v="10"/>
    <x v="514"/>
    <x v="0"/>
    <s v="LA CHORRERA - PARQUE 10 DE NOV."/>
    <x v="0"/>
  </r>
  <r>
    <x v="47"/>
    <x v="3"/>
    <x v="3"/>
    <x v="3"/>
    <x v="0"/>
    <x v="0"/>
    <x v="3"/>
    <x v="3"/>
    <x v="515"/>
    <x v="0"/>
    <s v="LA CHORRERA - PARQUE 10 DE NOV."/>
    <x v="0"/>
  </r>
  <r>
    <x v="47"/>
    <x v="12"/>
    <x v="4"/>
    <x v="4"/>
    <x v="0"/>
    <x v="0"/>
    <x v="12"/>
    <x v="12"/>
    <x v="516"/>
    <x v="0"/>
    <s v="LA CHORRERA - PARQUE 10 DE NOV."/>
    <x v="0"/>
  </r>
  <r>
    <x v="47"/>
    <x v="4"/>
    <x v="4"/>
    <x v="4"/>
    <x v="0"/>
    <x v="0"/>
    <x v="4"/>
    <x v="4"/>
    <x v="517"/>
    <x v="0"/>
    <s v="LA CHORRERA - PARQUE 10 DE NOV."/>
    <x v="0"/>
  </r>
  <r>
    <x v="47"/>
    <x v="0"/>
    <x v="0"/>
    <x v="0"/>
    <x v="0"/>
    <x v="0"/>
    <x v="0"/>
    <x v="0"/>
    <x v="518"/>
    <x v="0"/>
    <s v="LA CHORRERA - PARQUE 10 DE NOV."/>
    <x v="0"/>
  </r>
  <r>
    <x v="47"/>
    <x v="5"/>
    <x v="0"/>
    <x v="0"/>
    <x v="0"/>
    <x v="0"/>
    <x v="5"/>
    <x v="5"/>
    <x v="519"/>
    <x v="0"/>
    <s v="LA CHORRERA - PARQUE 10 DE NOV."/>
    <x v="0"/>
  </r>
  <r>
    <x v="47"/>
    <x v="13"/>
    <x v="5"/>
    <x v="5"/>
    <x v="0"/>
    <x v="0"/>
    <x v="13"/>
    <x v="13"/>
    <x v="520"/>
    <x v="0"/>
    <s v="LA CHORRERA - PARQUE 10 DE NOV."/>
    <x v="0"/>
  </r>
  <r>
    <x v="47"/>
    <x v="6"/>
    <x v="5"/>
    <x v="5"/>
    <x v="0"/>
    <x v="0"/>
    <x v="6"/>
    <x v="6"/>
    <x v="521"/>
    <x v="0"/>
    <s v="LA CHORRERA - PARQUE 10 DE NOV."/>
    <x v="0"/>
  </r>
  <r>
    <x v="47"/>
    <x v="14"/>
    <x v="1"/>
    <x v="1"/>
    <x v="0"/>
    <x v="0"/>
    <x v="14"/>
    <x v="14"/>
    <x v="522"/>
    <x v="0"/>
    <s v="LA CHORRERA - PARQUE 10 DE NOV."/>
    <x v="0"/>
  </r>
  <r>
    <x v="47"/>
    <x v="8"/>
    <x v="1"/>
    <x v="1"/>
    <x v="0"/>
    <x v="0"/>
    <x v="8"/>
    <x v="8"/>
    <x v="523"/>
    <x v="0"/>
    <s v="LA CHORRERA - PARQUE 10 DE NOV."/>
    <x v="0"/>
  </r>
  <r>
    <x v="47"/>
    <x v="1"/>
    <x v="1"/>
    <x v="1"/>
    <x v="0"/>
    <x v="0"/>
    <x v="1"/>
    <x v="1"/>
    <x v="1"/>
    <x v="108"/>
    <s v="LA CHORRERA - PARQUE 10 DE NOV."/>
    <x v="0"/>
  </r>
  <r>
    <x v="47"/>
    <x v="7"/>
    <x v="2"/>
    <x v="2"/>
    <x v="0"/>
    <x v="1"/>
    <x v="7"/>
    <x v="7"/>
    <x v="524"/>
    <x v="0"/>
    <s v="LA CHORRERA - PARQUE 10 DE NOV."/>
    <x v="0"/>
  </r>
  <r>
    <x v="47"/>
    <x v="2"/>
    <x v="2"/>
    <x v="2"/>
    <x v="0"/>
    <x v="1"/>
    <x v="2"/>
    <x v="2"/>
    <x v="525"/>
    <x v="0"/>
    <s v="LA CHORRERA - PARQUE 10 DE NOV."/>
    <x v="0"/>
  </r>
  <r>
    <x v="47"/>
    <x v="9"/>
    <x v="6"/>
    <x v="6"/>
    <x v="0"/>
    <x v="1"/>
    <x v="9"/>
    <x v="9"/>
    <x v="526"/>
    <x v="0"/>
    <s v="LA CHORRERA - PARQUE 10 DE NOV."/>
    <x v="0"/>
  </r>
  <r>
    <x v="47"/>
    <x v="10"/>
    <x v="3"/>
    <x v="3"/>
    <x v="0"/>
    <x v="1"/>
    <x v="10"/>
    <x v="10"/>
    <x v="527"/>
    <x v="0"/>
    <s v="LA CHORRERA - PARQUE 10 DE NOV."/>
    <x v="0"/>
  </r>
  <r>
    <x v="47"/>
    <x v="4"/>
    <x v="4"/>
    <x v="4"/>
    <x v="0"/>
    <x v="1"/>
    <x v="4"/>
    <x v="4"/>
    <x v="528"/>
    <x v="0"/>
    <s v="LA CHORRERA - PARQUE 10 DE NOV."/>
    <x v="0"/>
  </r>
  <r>
    <x v="47"/>
    <x v="0"/>
    <x v="0"/>
    <x v="0"/>
    <x v="0"/>
    <x v="1"/>
    <x v="0"/>
    <x v="0"/>
    <x v="249"/>
    <x v="0"/>
    <s v="LA CHORRERA - PARQUE 10 DE NOV."/>
    <x v="0"/>
  </r>
  <r>
    <x v="47"/>
    <x v="13"/>
    <x v="5"/>
    <x v="5"/>
    <x v="0"/>
    <x v="1"/>
    <x v="13"/>
    <x v="13"/>
    <x v="529"/>
    <x v="0"/>
    <s v="LA CHORRERA - PARQUE 10 DE NOV."/>
    <x v="0"/>
  </r>
  <r>
    <x v="47"/>
    <x v="6"/>
    <x v="5"/>
    <x v="5"/>
    <x v="0"/>
    <x v="1"/>
    <x v="6"/>
    <x v="6"/>
    <x v="530"/>
    <x v="0"/>
    <s v="LA CHORRERA - PARQUE 10 DE NOV."/>
    <x v="0"/>
  </r>
  <r>
    <x v="47"/>
    <x v="1"/>
    <x v="1"/>
    <x v="1"/>
    <x v="0"/>
    <x v="1"/>
    <x v="1"/>
    <x v="1"/>
    <x v="1"/>
    <x v="109"/>
    <s v="LA CHORRERA - PARQUE 10 DE NOV."/>
    <x v="0"/>
  </r>
  <r>
    <x v="48"/>
    <x v="10"/>
    <x v="3"/>
    <x v="3"/>
    <x v="0"/>
    <x v="2"/>
    <x v="10"/>
    <x v="10"/>
    <x v="531"/>
    <x v="0"/>
    <s v="COSTA DEL ESTE - CENTENARIO"/>
    <x v="0"/>
  </r>
  <r>
    <x v="48"/>
    <x v="1"/>
    <x v="1"/>
    <x v="1"/>
    <x v="0"/>
    <x v="2"/>
    <x v="1"/>
    <x v="1"/>
    <x v="1"/>
    <x v="110"/>
    <s v="COSTA DEL ESTE - CENTENARIO"/>
    <x v="0"/>
  </r>
  <r>
    <x v="48"/>
    <x v="1"/>
    <x v="1"/>
    <x v="1"/>
    <x v="0"/>
    <x v="0"/>
    <x v="1"/>
    <x v="1"/>
    <x v="1"/>
    <x v="111"/>
    <s v="COSTA DEL ESTE - CENTENARIO"/>
    <x v="0"/>
  </r>
  <r>
    <x v="48"/>
    <x v="1"/>
    <x v="1"/>
    <x v="1"/>
    <x v="0"/>
    <x v="1"/>
    <x v="1"/>
    <x v="1"/>
    <x v="1"/>
    <x v="112"/>
    <s v="COSTA DEL ESTE - CENTENARIO"/>
    <x v="0"/>
  </r>
  <r>
    <x v="49"/>
    <x v="14"/>
    <x v="1"/>
    <x v="1"/>
    <x v="0"/>
    <x v="1"/>
    <x v="14"/>
    <x v="14"/>
    <x v="532"/>
    <x v="0"/>
    <s v="CLAYTON"/>
    <x v="0"/>
  </r>
  <r>
    <x v="49"/>
    <x v="1"/>
    <x v="1"/>
    <x v="1"/>
    <x v="0"/>
    <x v="1"/>
    <x v="1"/>
    <x v="1"/>
    <x v="1"/>
    <x v="113"/>
    <s v="CLAYTON"/>
    <x v="0"/>
  </r>
  <r>
    <x v="50"/>
    <x v="2"/>
    <x v="2"/>
    <x v="2"/>
    <x v="0"/>
    <x v="2"/>
    <x v="2"/>
    <x v="2"/>
    <x v="444"/>
    <x v="0"/>
    <s v="MARBELLA"/>
    <x v="0"/>
  </r>
  <r>
    <x v="50"/>
    <x v="1"/>
    <x v="1"/>
    <x v="1"/>
    <x v="0"/>
    <x v="2"/>
    <x v="1"/>
    <x v="1"/>
    <x v="1"/>
    <x v="114"/>
    <s v="MARBELLA"/>
    <x v="0"/>
  </r>
  <r>
    <x v="50"/>
    <x v="10"/>
    <x v="3"/>
    <x v="3"/>
    <x v="0"/>
    <x v="0"/>
    <x v="10"/>
    <x v="10"/>
    <x v="533"/>
    <x v="0"/>
    <s v="MARBELLA"/>
    <x v="0"/>
  </r>
  <r>
    <x v="50"/>
    <x v="3"/>
    <x v="3"/>
    <x v="3"/>
    <x v="0"/>
    <x v="0"/>
    <x v="3"/>
    <x v="3"/>
    <x v="534"/>
    <x v="0"/>
    <s v="MARBELLA"/>
    <x v="0"/>
  </r>
  <r>
    <x v="50"/>
    <x v="1"/>
    <x v="1"/>
    <x v="1"/>
    <x v="0"/>
    <x v="0"/>
    <x v="1"/>
    <x v="1"/>
    <x v="1"/>
    <x v="115"/>
    <s v="MARBELLA"/>
    <x v="0"/>
  </r>
  <r>
    <x v="51"/>
    <x v="1"/>
    <x v="1"/>
    <x v="1"/>
    <x v="0"/>
    <x v="2"/>
    <x v="1"/>
    <x v="1"/>
    <x v="1"/>
    <x v="116"/>
    <s v="PLAZA CAROLINA"/>
    <x v="0"/>
  </r>
  <r>
    <x v="51"/>
    <x v="6"/>
    <x v="5"/>
    <x v="5"/>
    <x v="0"/>
    <x v="0"/>
    <x v="6"/>
    <x v="6"/>
    <x v="535"/>
    <x v="0"/>
    <s v="PLAZA CAROLINA"/>
    <x v="0"/>
  </r>
  <r>
    <x v="51"/>
    <x v="1"/>
    <x v="1"/>
    <x v="1"/>
    <x v="0"/>
    <x v="0"/>
    <x v="1"/>
    <x v="1"/>
    <x v="1"/>
    <x v="117"/>
    <s v="PLAZA CAROLINA"/>
    <x v="0"/>
  </r>
  <r>
    <x v="52"/>
    <x v="0"/>
    <x v="0"/>
    <x v="0"/>
    <x v="0"/>
    <x v="0"/>
    <x v="0"/>
    <x v="0"/>
    <x v="536"/>
    <x v="0"/>
    <s v="PLAZA CORDOBA"/>
    <x v="0"/>
  </r>
  <r>
    <x v="52"/>
    <x v="14"/>
    <x v="1"/>
    <x v="1"/>
    <x v="0"/>
    <x v="0"/>
    <x v="14"/>
    <x v="14"/>
    <x v="537"/>
    <x v="0"/>
    <s v="PLAZA CORDOBA"/>
    <x v="0"/>
  </r>
  <r>
    <x v="52"/>
    <x v="1"/>
    <x v="1"/>
    <x v="1"/>
    <x v="0"/>
    <x v="0"/>
    <x v="1"/>
    <x v="1"/>
    <x v="1"/>
    <x v="118"/>
    <s v="PLAZA CORDOBA"/>
    <x v="0"/>
  </r>
  <r>
    <x v="53"/>
    <x v="7"/>
    <x v="2"/>
    <x v="2"/>
    <x v="0"/>
    <x v="0"/>
    <x v="7"/>
    <x v="7"/>
    <x v="538"/>
    <x v="0"/>
    <s v="VIA SIMON BOLIVAR"/>
    <x v="0"/>
  </r>
  <r>
    <x v="53"/>
    <x v="2"/>
    <x v="2"/>
    <x v="2"/>
    <x v="0"/>
    <x v="0"/>
    <x v="2"/>
    <x v="2"/>
    <x v="539"/>
    <x v="0"/>
    <s v="VIA SIMON BOLIVAR"/>
    <x v="0"/>
  </r>
  <r>
    <x v="53"/>
    <x v="9"/>
    <x v="6"/>
    <x v="6"/>
    <x v="0"/>
    <x v="0"/>
    <x v="9"/>
    <x v="9"/>
    <x v="540"/>
    <x v="0"/>
    <s v="VIA SIMON BOLIVAR"/>
    <x v="0"/>
  </r>
  <r>
    <x v="53"/>
    <x v="11"/>
    <x v="6"/>
    <x v="6"/>
    <x v="0"/>
    <x v="0"/>
    <x v="11"/>
    <x v="11"/>
    <x v="541"/>
    <x v="0"/>
    <s v="VIA SIMON BOLIVAR"/>
    <x v="0"/>
  </r>
  <r>
    <x v="53"/>
    <x v="10"/>
    <x v="3"/>
    <x v="3"/>
    <x v="0"/>
    <x v="0"/>
    <x v="10"/>
    <x v="10"/>
    <x v="542"/>
    <x v="0"/>
    <s v="VIA SIMON BOLIVAR"/>
    <x v="0"/>
  </r>
  <r>
    <x v="53"/>
    <x v="3"/>
    <x v="3"/>
    <x v="3"/>
    <x v="0"/>
    <x v="0"/>
    <x v="3"/>
    <x v="3"/>
    <x v="543"/>
    <x v="0"/>
    <s v="VIA SIMON BOLIVAR"/>
    <x v="0"/>
  </r>
  <r>
    <x v="53"/>
    <x v="12"/>
    <x v="4"/>
    <x v="4"/>
    <x v="0"/>
    <x v="0"/>
    <x v="12"/>
    <x v="12"/>
    <x v="544"/>
    <x v="0"/>
    <s v="VIA SIMON BOLIVAR"/>
    <x v="0"/>
  </r>
  <r>
    <x v="53"/>
    <x v="4"/>
    <x v="4"/>
    <x v="4"/>
    <x v="0"/>
    <x v="0"/>
    <x v="4"/>
    <x v="4"/>
    <x v="545"/>
    <x v="0"/>
    <s v="VIA SIMON BOLIVAR"/>
    <x v="0"/>
  </r>
  <r>
    <x v="53"/>
    <x v="0"/>
    <x v="0"/>
    <x v="0"/>
    <x v="0"/>
    <x v="0"/>
    <x v="0"/>
    <x v="0"/>
    <x v="546"/>
    <x v="0"/>
    <s v="VIA SIMON BOLIVAR"/>
    <x v="0"/>
  </r>
  <r>
    <x v="53"/>
    <x v="5"/>
    <x v="0"/>
    <x v="0"/>
    <x v="0"/>
    <x v="0"/>
    <x v="5"/>
    <x v="5"/>
    <x v="547"/>
    <x v="0"/>
    <s v="VIA SIMON BOLIVAR"/>
    <x v="0"/>
  </r>
  <r>
    <x v="53"/>
    <x v="13"/>
    <x v="5"/>
    <x v="5"/>
    <x v="0"/>
    <x v="0"/>
    <x v="13"/>
    <x v="13"/>
    <x v="548"/>
    <x v="0"/>
    <s v="VIA SIMON BOLIVAR"/>
    <x v="0"/>
  </r>
  <r>
    <x v="53"/>
    <x v="6"/>
    <x v="5"/>
    <x v="5"/>
    <x v="0"/>
    <x v="0"/>
    <x v="6"/>
    <x v="6"/>
    <x v="549"/>
    <x v="0"/>
    <s v="VIA SIMON BOLIVAR"/>
    <x v="0"/>
  </r>
  <r>
    <x v="53"/>
    <x v="14"/>
    <x v="1"/>
    <x v="1"/>
    <x v="0"/>
    <x v="0"/>
    <x v="14"/>
    <x v="14"/>
    <x v="550"/>
    <x v="0"/>
    <s v="VIA SIMON BOLIVAR"/>
    <x v="0"/>
  </r>
  <r>
    <x v="53"/>
    <x v="8"/>
    <x v="1"/>
    <x v="1"/>
    <x v="0"/>
    <x v="0"/>
    <x v="8"/>
    <x v="8"/>
    <x v="551"/>
    <x v="0"/>
    <s v="VIA SIMON BOLIVAR"/>
    <x v="0"/>
  </r>
  <r>
    <x v="53"/>
    <x v="1"/>
    <x v="1"/>
    <x v="1"/>
    <x v="0"/>
    <x v="0"/>
    <x v="1"/>
    <x v="1"/>
    <x v="1"/>
    <x v="119"/>
    <s v="VIA SIMON BOLIVAR"/>
    <x v="0"/>
  </r>
  <r>
    <x v="53"/>
    <x v="2"/>
    <x v="2"/>
    <x v="2"/>
    <x v="0"/>
    <x v="1"/>
    <x v="2"/>
    <x v="2"/>
    <x v="552"/>
    <x v="0"/>
    <s v="VIA SIMON BOLIVAR"/>
    <x v="0"/>
  </r>
  <r>
    <x v="53"/>
    <x v="10"/>
    <x v="3"/>
    <x v="3"/>
    <x v="0"/>
    <x v="1"/>
    <x v="10"/>
    <x v="10"/>
    <x v="553"/>
    <x v="0"/>
    <s v="VIA SIMON BOLIVAR"/>
    <x v="0"/>
  </r>
  <r>
    <x v="53"/>
    <x v="4"/>
    <x v="4"/>
    <x v="4"/>
    <x v="0"/>
    <x v="1"/>
    <x v="4"/>
    <x v="4"/>
    <x v="554"/>
    <x v="0"/>
    <s v="VIA SIMON BOLIVAR"/>
    <x v="0"/>
  </r>
  <r>
    <x v="53"/>
    <x v="13"/>
    <x v="5"/>
    <x v="5"/>
    <x v="0"/>
    <x v="1"/>
    <x v="13"/>
    <x v="13"/>
    <x v="555"/>
    <x v="0"/>
    <s v="VIA SIMON BOLIVAR"/>
    <x v="0"/>
  </r>
  <r>
    <x v="53"/>
    <x v="14"/>
    <x v="1"/>
    <x v="1"/>
    <x v="0"/>
    <x v="1"/>
    <x v="14"/>
    <x v="14"/>
    <x v="556"/>
    <x v="0"/>
    <s v="VIA SIMON BOLIVAR"/>
    <x v="0"/>
  </r>
  <r>
    <x v="53"/>
    <x v="1"/>
    <x v="1"/>
    <x v="1"/>
    <x v="0"/>
    <x v="1"/>
    <x v="1"/>
    <x v="1"/>
    <x v="1"/>
    <x v="120"/>
    <s v="VIA SIMON BOLIVAR"/>
    <x v="0"/>
  </r>
  <r>
    <x v="54"/>
    <x v="1"/>
    <x v="1"/>
    <x v="1"/>
    <x v="0"/>
    <x v="2"/>
    <x v="1"/>
    <x v="1"/>
    <x v="1"/>
    <x v="121"/>
    <s v="JUSTO AROSEMENA"/>
    <x v="0"/>
  </r>
  <r>
    <x v="54"/>
    <x v="9"/>
    <x v="6"/>
    <x v="6"/>
    <x v="0"/>
    <x v="0"/>
    <x v="9"/>
    <x v="9"/>
    <x v="553"/>
    <x v="0"/>
    <s v="JUSTO AROSEMENA"/>
    <x v="0"/>
  </r>
  <r>
    <x v="54"/>
    <x v="11"/>
    <x v="6"/>
    <x v="6"/>
    <x v="0"/>
    <x v="0"/>
    <x v="11"/>
    <x v="11"/>
    <x v="557"/>
    <x v="0"/>
    <s v="JUSTO AROSEMENA"/>
    <x v="0"/>
  </r>
  <r>
    <x v="54"/>
    <x v="1"/>
    <x v="1"/>
    <x v="1"/>
    <x v="0"/>
    <x v="0"/>
    <x v="1"/>
    <x v="1"/>
    <x v="1"/>
    <x v="122"/>
    <s v="JUSTO AROSEMENA"/>
    <x v="0"/>
  </r>
  <r>
    <x v="54"/>
    <x v="9"/>
    <x v="6"/>
    <x v="6"/>
    <x v="0"/>
    <x v="1"/>
    <x v="9"/>
    <x v="9"/>
    <x v="558"/>
    <x v="0"/>
    <s v="JUSTO AROSEMENA"/>
    <x v="0"/>
  </r>
  <r>
    <x v="54"/>
    <x v="3"/>
    <x v="3"/>
    <x v="3"/>
    <x v="0"/>
    <x v="1"/>
    <x v="3"/>
    <x v="3"/>
    <x v="559"/>
    <x v="0"/>
    <s v="JUSTO AROSEMENA"/>
    <x v="0"/>
  </r>
  <r>
    <x v="54"/>
    <x v="1"/>
    <x v="1"/>
    <x v="1"/>
    <x v="0"/>
    <x v="1"/>
    <x v="1"/>
    <x v="1"/>
    <x v="1"/>
    <x v="123"/>
    <s v="JUSTO AROSEMENA"/>
    <x v="0"/>
  </r>
  <r>
    <x v="55"/>
    <x v="1"/>
    <x v="1"/>
    <x v="1"/>
    <x v="0"/>
    <x v="3"/>
    <x v="1"/>
    <x v="1"/>
    <x v="1"/>
    <x v="124"/>
    <s v="NEGOCIOS"/>
    <x v="0"/>
  </r>
  <r>
    <x v="55"/>
    <x v="7"/>
    <x v="2"/>
    <x v="2"/>
    <x v="0"/>
    <x v="4"/>
    <x v="7"/>
    <x v="7"/>
    <x v="560"/>
    <x v="0"/>
    <s v="NEGOCIOS"/>
    <x v="0"/>
  </r>
  <r>
    <x v="55"/>
    <x v="2"/>
    <x v="2"/>
    <x v="2"/>
    <x v="0"/>
    <x v="4"/>
    <x v="2"/>
    <x v="2"/>
    <x v="561"/>
    <x v="0"/>
    <s v="NEGOCIOS"/>
    <x v="0"/>
  </r>
  <r>
    <x v="55"/>
    <x v="9"/>
    <x v="6"/>
    <x v="6"/>
    <x v="0"/>
    <x v="4"/>
    <x v="9"/>
    <x v="9"/>
    <x v="562"/>
    <x v="0"/>
    <s v="NEGOCIOS"/>
    <x v="0"/>
  </r>
  <r>
    <x v="55"/>
    <x v="10"/>
    <x v="3"/>
    <x v="3"/>
    <x v="0"/>
    <x v="4"/>
    <x v="10"/>
    <x v="10"/>
    <x v="563"/>
    <x v="0"/>
    <s v="NEGOCIOS"/>
    <x v="0"/>
  </r>
  <r>
    <x v="55"/>
    <x v="3"/>
    <x v="3"/>
    <x v="3"/>
    <x v="0"/>
    <x v="4"/>
    <x v="3"/>
    <x v="3"/>
    <x v="564"/>
    <x v="0"/>
    <s v="NEGOCIOS"/>
    <x v="0"/>
  </r>
  <r>
    <x v="55"/>
    <x v="12"/>
    <x v="4"/>
    <x v="4"/>
    <x v="0"/>
    <x v="4"/>
    <x v="12"/>
    <x v="12"/>
    <x v="565"/>
    <x v="0"/>
    <s v="NEGOCIOS"/>
    <x v="0"/>
  </r>
  <r>
    <x v="55"/>
    <x v="4"/>
    <x v="4"/>
    <x v="4"/>
    <x v="0"/>
    <x v="4"/>
    <x v="4"/>
    <x v="4"/>
    <x v="566"/>
    <x v="0"/>
    <s v="NEGOCIOS"/>
    <x v="0"/>
  </r>
  <r>
    <x v="55"/>
    <x v="0"/>
    <x v="0"/>
    <x v="0"/>
    <x v="0"/>
    <x v="4"/>
    <x v="0"/>
    <x v="0"/>
    <x v="567"/>
    <x v="0"/>
    <s v="NEGOCIOS"/>
    <x v="0"/>
  </r>
  <r>
    <x v="55"/>
    <x v="5"/>
    <x v="0"/>
    <x v="0"/>
    <x v="0"/>
    <x v="4"/>
    <x v="5"/>
    <x v="5"/>
    <x v="562"/>
    <x v="0"/>
    <s v="NEGOCIOS"/>
    <x v="0"/>
  </r>
  <r>
    <x v="55"/>
    <x v="13"/>
    <x v="5"/>
    <x v="5"/>
    <x v="0"/>
    <x v="4"/>
    <x v="13"/>
    <x v="13"/>
    <x v="568"/>
    <x v="0"/>
    <s v="NEGOCIOS"/>
    <x v="0"/>
  </r>
  <r>
    <x v="55"/>
    <x v="6"/>
    <x v="5"/>
    <x v="5"/>
    <x v="0"/>
    <x v="4"/>
    <x v="6"/>
    <x v="6"/>
    <x v="569"/>
    <x v="0"/>
    <s v="NEGOCIOS"/>
    <x v="0"/>
  </r>
  <r>
    <x v="55"/>
    <x v="14"/>
    <x v="1"/>
    <x v="1"/>
    <x v="0"/>
    <x v="4"/>
    <x v="14"/>
    <x v="14"/>
    <x v="570"/>
    <x v="0"/>
    <s v="NEGOCIOS"/>
    <x v="0"/>
  </r>
  <r>
    <x v="55"/>
    <x v="8"/>
    <x v="1"/>
    <x v="1"/>
    <x v="0"/>
    <x v="4"/>
    <x v="8"/>
    <x v="8"/>
    <x v="571"/>
    <x v="0"/>
    <s v="NEGOCIOS"/>
    <x v="0"/>
  </r>
  <r>
    <x v="55"/>
    <x v="1"/>
    <x v="1"/>
    <x v="1"/>
    <x v="0"/>
    <x v="4"/>
    <x v="1"/>
    <x v="1"/>
    <x v="1"/>
    <x v="125"/>
    <s v="NEGOCIOS"/>
    <x v="0"/>
  </r>
  <r>
    <x v="55"/>
    <x v="14"/>
    <x v="1"/>
    <x v="1"/>
    <x v="0"/>
    <x v="5"/>
    <x v="14"/>
    <x v="14"/>
    <x v="572"/>
    <x v="0"/>
    <s v="NEGOCIOS"/>
    <x v="0"/>
  </r>
  <r>
    <x v="55"/>
    <x v="8"/>
    <x v="1"/>
    <x v="1"/>
    <x v="0"/>
    <x v="5"/>
    <x v="8"/>
    <x v="8"/>
    <x v="573"/>
    <x v="0"/>
    <s v="NEGOCIOS"/>
    <x v="0"/>
  </r>
  <r>
    <x v="55"/>
    <x v="1"/>
    <x v="1"/>
    <x v="1"/>
    <x v="0"/>
    <x v="5"/>
    <x v="1"/>
    <x v="1"/>
    <x v="1"/>
    <x v="126"/>
    <s v="NEGOCIOS"/>
    <x v="0"/>
  </r>
  <r>
    <x v="55"/>
    <x v="7"/>
    <x v="2"/>
    <x v="2"/>
    <x v="0"/>
    <x v="6"/>
    <x v="7"/>
    <x v="7"/>
    <x v="574"/>
    <x v="0"/>
    <s v="NEGOCIOS"/>
    <x v="0"/>
  </r>
  <r>
    <x v="55"/>
    <x v="2"/>
    <x v="2"/>
    <x v="2"/>
    <x v="0"/>
    <x v="6"/>
    <x v="2"/>
    <x v="2"/>
    <x v="575"/>
    <x v="0"/>
    <s v="NEGOCIOS"/>
    <x v="0"/>
  </r>
  <r>
    <x v="55"/>
    <x v="10"/>
    <x v="3"/>
    <x v="3"/>
    <x v="0"/>
    <x v="6"/>
    <x v="10"/>
    <x v="10"/>
    <x v="576"/>
    <x v="0"/>
    <s v="NEGOCIOS"/>
    <x v="0"/>
  </r>
  <r>
    <x v="55"/>
    <x v="12"/>
    <x v="4"/>
    <x v="4"/>
    <x v="0"/>
    <x v="6"/>
    <x v="12"/>
    <x v="12"/>
    <x v="577"/>
    <x v="0"/>
    <s v="NEGOCIOS"/>
    <x v="0"/>
  </r>
  <r>
    <x v="55"/>
    <x v="4"/>
    <x v="4"/>
    <x v="4"/>
    <x v="0"/>
    <x v="6"/>
    <x v="4"/>
    <x v="4"/>
    <x v="578"/>
    <x v="0"/>
    <s v="NEGOCIOS"/>
    <x v="0"/>
  </r>
  <r>
    <x v="55"/>
    <x v="5"/>
    <x v="0"/>
    <x v="0"/>
    <x v="0"/>
    <x v="6"/>
    <x v="5"/>
    <x v="5"/>
    <x v="579"/>
    <x v="0"/>
    <s v="NEGOCIOS"/>
    <x v="0"/>
  </r>
  <r>
    <x v="55"/>
    <x v="13"/>
    <x v="5"/>
    <x v="5"/>
    <x v="0"/>
    <x v="6"/>
    <x v="13"/>
    <x v="13"/>
    <x v="580"/>
    <x v="0"/>
    <s v="NEGOCIOS"/>
    <x v="0"/>
  </r>
  <r>
    <x v="55"/>
    <x v="6"/>
    <x v="5"/>
    <x v="5"/>
    <x v="0"/>
    <x v="6"/>
    <x v="6"/>
    <x v="6"/>
    <x v="581"/>
    <x v="0"/>
    <s v="NEGOCIOS"/>
    <x v="0"/>
  </r>
  <r>
    <x v="55"/>
    <x v="14"/>
    <x v="1"/>
    <x v="1"/>
    <x v="0"/>
    <x v="6"/>
    <x v="14"/>
    <x v="14"/>
    <x v="582"/>
    <x v="0"/>
    <s v="NEGOCIOS"/>
    <x v="0"/>
  </r>
  <r>
    <x v="55"/>
    <x v="8"/>
    <x v="1"/>
    <x v="1"/>
    <x v="0"/>
    <x v="6"/>
    <x v="8"/>
    <x v="8"/>
    <x v="583"/>
    <x v="0"/>
    <s v="NEGOCIOS"/>
    <x v="0"/>
  </r>
  <r>
    <x v="55"/>
    <x v="1"/>
    <x v="1"/>
    <x v="1"/>
    <x v="0"/>
    <x v="6"/>
    <x v="1"/>
    <x v="1"/>
    <x v="1"/>
    <x v="127"/>
    <s v="NEGOCIOS"/>
    <x v="0"/>
  </r>
  <r>
    <x v="55"/>
    <x v="7"/>
    <x v="2"/>
    <x v="2"/>
    <x v="0"/>
    <x v="7"/>
    <x v="7"/>
    <x v="7"/>
    <x v="584"/>
    <x v="0"/>
    <s v="NEGOCIOS"/>
    <x v="0"/>
  </r>
  <r>
    <x v="55"/>
    <x v="2"/>
    <x v="2"/>
    <x v="2"/>
    <x v="0"/>
    <x v="7"/>
    <x v="2"/>
    <x v="2"/>
    <x v="585"/>
    <x v="0"/>
    <s v="NEGOCIOS"/>
    <x v="0"/>
  </r>
  <r>
    <x v="55"/>
    <x v="9"/>
    <x v="6"/>
    <x v="6"/>
    <x v="0"/>
    <x v="7"/>
    <x v="9"/>
    <x v="9"/>
    <x v="586"/>
    <x v="0"/>
    <s v="NEGOCIOS"/>
    <x v="0"/>
  </r>
  <r>
    <x v="55"/>
    <x v="10"/>
    <x v="3"/>
    <x v="3"/>
    <x v="0"/>
    <x v="7"/>
    <x v="10"/>
    <x v="10"/>
    <x v="587"/>
    <x v="0"/>
    <s v="NEGOCIOS"/>
    <x v="0"/>
  </r>
  <r>
    <x v="55"/>
    <x v="3"/>
    <x v="3"/>
    <x v="3"/>
    <x v="0"/>
    <x v="7"/>
    <x v="3"/>
    <x v="3"/>
    <x v="588"/>
    <x v="0"/>
    <s v="NEGOCIOS"/>
    <x v="0"/>
  </r>
  <r>
    <x v="55"/>
    <x v="12"/>
    <x v="4"/>
    <x v="4"/>
    <x v="0"/>
    <x v="7"/>
    <x v="12"/>
    <x v="12"/>
    <x v="589"/>
    <x v="0"/>
    <s v="NEGOCIOS"/>
    <x v="0"/>
  </r>
  <r>
    <x v="55"/>
    <x v="4"/>
    <x v="4"/>
    <x v="4"/>
    <x v="0"/>
    <x v="7"/>
    <x v="4"/>
    <x v="4"/>
    <x v="590"/>
    <x v="0"/>
    <s v="NEGOCIOS"/>
    <x v="0"/>
  </r>
  <r>
    <x v="55"/>
    <x v="0"/>
    <x v="0"/>
    <x v="0"/>
    <x v="0"/>
    <x v="7"/>
    <x v="0"/>
    <x v="0"/>
    <x v="591"/>
    <x v="0"/>
    <s v="NEGOCIOS"/>
    <x v="0"/>
  </r>
  <r>
    <x v="55"/>
    <x v="5"/>
    <x v="0"/>
    <x v="0"/>
    <x v="0"/>
    <x v="7"/>
    <x v="5"/>
    <x v="5"/>
    <x v="592"/>
    <x v="0"/>
    <s v="NEGOCIOS"/>
    <x v="0"/>
  </r>
  <r>
    <x v="55"/>
    <x v="13"/>
    <x v="5"/>
    <x v="5"/>
    <x v="0"/>
    <x v="7"/>
    <x v="13"/>
    <x v="13"/>
    <x v="593"/>
    <x v="0"/>
    <s v="NEGOCIOS"/>
    <x v="0"/>
  </r>
  <r>
    <x v="55"/>
    <x v="6"/>
    <x v="5"/>
    <x v="5"/>
    <x v="0"/>
    <x v="7"/>
    <x v="6"/>
    <x v="6"/>
    <x v="594"/>
    <x v="0"/>
    <s v="NEGOCIOS"/>
    <x v="0"/>
  </r>
  <r>
    <x v="55"/>
    <x v="14"/>
    <x v="1"/>
    <x v="1"/>
    <x v="0"/>
    <x v="7"/>
    <x v="14"/>
    <x v="14"/>
    <x v="595"/>
    <x v="0"/>
    <s v="NEGOCIOS"/>
    <x v="0"/>
  </r>
  <r>
    <x v="55"/>
    <x v="8"/>
    <x v="1"/>
    <x v="1"/>
    <x v="0"/>
    <x v="7"/>
    <x v="8"/>
    <x v="8"/>
    <x v="596"/>
    <x v="0"/>
    <s v="NEGOCIOS"/>
    <x v="0"/>
  </r>
  <r>
    <x v="55"/>
    <x v="1"/>
    <x v="1"/>
    <x v="1"/>
    <x v="0"/>
    <x v="7"/>
    <x v="1"/>
    <x v="1"/>
    <x v="1"/>
    <x v="128"/>
    <s v="NEGOCIOS"/>
    <x v="0"/>
  </r>
  <r>
    <x v="55"/>
    <x v="14"/>
    <x v="1"/>
    <x v="1"/>
    <x v="0"/>
    <x v="8"/>
    <x v="14"/>
    <x v="14"/>
    <x v="597"/>
    <x v="0"/>
    <s v="NEGOCIOS"/>
    <x v="0"/>
  </r>
  <r>
    <x v="55"/>
    <x v="22"/>
    <x v="1"/>
    <x v="1"/>
    <x v="0"/>
    <x v="8"/>
    <x v="19"/>
    <x v="22"/>
    <x v="598"/>
    <x v="0"/>
    <s v="NEGOCIOS"/>
    <x v="0"/>
  </r>
  <r>
    <x v="55"/>
    <x v="1"/>
    <x v="1"/>
    <x v="1"/>
    <x v="0"/>
    <x v="8"/>
    <x v="1"/>
    <x v="1"/>
    <x v="1"/>
    <x v="129"/>
    <s v="NEGOCIOS"/>
    <x v="0"/>
  </r>
  <r>
    <x v="55"/>
    <x v="10"/>
    <x v="3"/>
    <x v="3"/>
    <x v="0"/>
    <x v="9"/>
    <x v="10"/>
    <x v="10"/>
    <x v="599"/>
    <x v="0"/>
    <s v="NEGOCIOS"/>
    <x v="0"/>
  </r>
  <r>
    <x v="55"/>
    <x v="3"/>
    <x v="3"/>
    <x v="3"/>
    <x v="0"/>
    <x v="9"/>
    <x v="3"/>
    <x v="3"/>
    <x v="600"/>
    <x v="0"/>
    <s v="NEGOCIOS"/>
    <x v="0"/>
  </r>
  <r>
    <x v="55"/>
    <x v="12"/>
    <x v="4"/>
    <x v="4"/>
    <x v="0"/>
    <x v="9"/>
    <x v="12"/>
    <x v="12"/>
    <x v="601"/>
    <x v="0"/>
    <s v="NEGOCIOS"/>
    <x v="0"/>
  </r>
  <r>
    <x v="55"/>
    <x v="4"/>
    <x v="4"/>
    <x v="4"/>
    <x v="0"/>
    <x v="9"/>
    <x v="4"/>
    <x v="4"/>
    <x v="602"/>
    <x v="0"/>
    <s v="NEGOCIOS"/>
    <x v="0"/>
  </r>
  <r>
    <x v="55"/>
    <x v="0"/>
    <x v="0"/>
    <x v="0"/>
    <x v="0"/>
    <x v="9"/>
    <x v="0"/>
    <x v="0"/>
    <x v="603"/>
    <x v="0"/>
    <s v="NEGOCIOS"/>
    <x v="0"/>
  </r>
  <r>
    <x v="55"/>
    <x v="5"/>
    <x v="0"/>
    <x v="0"/>
    <x v="0"/>
    <x v="9"/>
    <x v="5"/>
    <x v="5"/>
    <x v="604"/>
    <x v="0"/>
    <s v="NEGOCIOS"/>
    <x v="0"/>
  </r>
  <r>
    <x v="55"/>
    <x v="14"/>
    <x v="1"/>
    <x v="1"/>
    <x v="0"/>
    <x v="9"/>
    <x v="14"/>
    <x v="14"/>
    <x v="605"/>
    <x v="0"/>
    <s v="NEGOCIOS"/>
    <x v="0"/>
  </r>
  <r>
    <x v="55"/>
    <x v="8"/>
    <x v="1"/>
    <x v="1"/>
    <x v="0"/>
    <x v="9"/>
    <x v="8"/>
    <x v="8"/>
    <x v="606"/>
    <x v="0"/>
    <s v="NEGOCIOS"/>
    <x v="0"/>
  </r>
  <r>
    <x v="55"/>
    <x v="1"/>
    <x v="1"/>
    <x v="1"/>
    <x v="0"/>
    <x v="9"/>
    <x v="1"/>
    <x v="1"/>
    <x v="1"/>
    <x v="130"/>
    <s v="NEGOCIOS"/>
    <x v="0"/>
  </r>
  <r>
    <x v="55"/>
    <x v="3"/>
    <x v="3"/>
    <x v="3"/>
    <x v="0"/>
    <x v="10"/>
    <x v="3"/>
    <x v="3"/>
    <x v="607"/>
    <x v="0"/>
    <s v="NEGOCIOS"/>
    <x v="0"/>
  </r>
  <r>
    <x v="55"/>
    <x v="12"/>
    <x v="4"/>
    <x v="4"/>
    <x v="0"/>
    <x v="10"/>
    <x v="12"/>
    <x v="12"/>
    <x v="608"/>
    <x v="0"/>
    <s v="NEGOCIOS"/>
    <x v="0"/>
  </r>
  <r>
    <x v="55"/>
    <x v="4"/>
    <x v="4"/>
    <x v="4"/>
    <x v="0"/>
    <x v="10"/>
    <x v="4"/>
    <x v="4"/>
    <x v="609"/>
    <x v="0"/>
    <s v="NEGOCIOS"/>
    <x v="0"/>
  </r>
  <r>
    <x v="55"/>
    <x v="5"/>
    <x v="0"/>
    <x v="0"/>
    <x v="0"/>
    <x v="10"/>
    <x v="5"/>
    <x v="5"/>
    <x v="610"/>
    <x v="0"/>
    <s v="NEGOCIOS"/>
    <x v="0"/>
  </r>
  <r>
    <x v="55"/>
    <x v="13"/>
    <x v="5"/>
    <x v="5"/>
    <x v="0"/>
    <x v="10"/>
    <x v="13"/>
    <x v="13"/>
    <x v="611"/>
    <x v="0"/>
    <s v="NEGOCIOS"/>
    <x v="0"/>
  </r>
  <r>
    <x v="55"/>
    <x v="14"/>
    <x v="1"/>
    <x v="1"/>
    <x v="0"/>
    <x v="10"/>
    <x v="14"/>
    <x v="14"/>
    <x v="612"/>
    <x v="0"/>
    <s v="NEGOCIOS"/>
    <x v="0"/>
  </r>
  <r>
    <x v="55"/>
    <x v="1"/>
    <x v="1"/>
    <x v="1"/>
    <x v="0"/>
    <x v="10"/>
    <x v="1"/>
    <x v="1"/>
    <x v="1"/>
    <x v="131"/>
    <s v="NEGOCIOS"/>
    <x v="0"/>
  </r>
  <r>
    <x v="55"/>
    <x v="7"/>
    <x v="2"/>
    <x v="2"/>
    <x v="0"/>
    <x v="11"/>
    <x v="7"/>
    <x v="7"/>
    <x v="613"/>
    <x v="0"/>
    <s v="NEGOCIOS"/>
    <x v="0"/>
  </r>
  <r>
    <x v="55"/>
    <x v="2"/>
    <x v="2"/>
    <x v="2"/>
    <x v="0"/>
    <x v="11"/>
    <x v="2"/>
    <x v="2"/>
    <x v="614"/>
    <x v="0"/>
    <s v="NEGOCIOS"/>
    <x v="0"/>
  </r>
  <r>
    <x v="55"/>
    <x v="17"/>
    <x v="2"/>
    <x v="2"/>
    <x v="0"/>
    <x v="11"/>
    <x v="16"/>
    <x v="17"/>
    <x v="615"/>
    <x v="0"/>
    <s v="NEGOCIOS"/>
    <x v="0"/>
  </r>
  <r>
    <x v="55"/>
    <x v="9"/>
    <x v="6"/>
    <x v="6"/>
    <x v="0"/>
    <x v="11"/>
    <x v="9"/>
    <x v="9"/>
    <x v="616"/>
    <x v="0"/>
    <s v="NEGOCIOS"/>
    <x v="0"/>
  </r>
  <r>
    <x v="55"/>
    <x v="11"/>
    <x v="6"/>
    <x v="6"/>
    <x v="0"/>
    <x v="11"/>
    <x v="11"/>
    <x v="11"/>
    <x v="617"/>
    <x v="0"/>
    <s v="NEGOCIOS"/>
    <x v="0"/>
  </r>
  <r>
    <x v="55"/>
    <x v="10"/>
    <x v="3"/>
    <x v="3"/>
    <x v="0"/>
    <x v="11"/>
    <x v="10"/>
    <x v="10"/>
    <x v="618"/>
    <x v="0"/>
    <s v="NEGOCIOS"/>
    <x v="0"/>
  </r>
  <r>
    <x v="55"/>
    <x v="3"/>
    <x v="3"/>
    <x v="3"/>
    <x v="0"/>
    <x v="11"/>
    <x v="3"/>
    <x v="3"/>
    <x v="619"/>
    <x v="0"/>
    <s v="NEGOCIOS"/>
    <x v="0"/>
  </r>
  <r>
    <x v="55"/>
    <x v="12"/>
    <x v="4"/>
    <x v="4"/>
    <x v="0"/>
    <x v="11"/>
    <x v="12"/>
    <x v="12"/>
    <x v="620"/>
    <x v="0"/>
    <s v="NEGOCIOS"/>
    <x v="0"/>
  </r>
  <r>
    <x v="55"/>
    <x v="4"/>
    <x v="4"/>
    <x v="4"/>
    <x v="0"/>
    <x v="11"/>
    <x v="4"/>
    <x v="4"/>
    <x v="621"/>
    <x v="0"/>
    <s v="NEGOCIOS"/>
    <x v="0"/>
  </r>
  <r>
    <x v="55"/>
    <x v="0"/>
    <x v="0"/>
    <x v="0"/>
    <x v="0"/>
    <x v="11"/>
    <x v="0"/>
    <x v="0"/>
    <x v="622"/>
    <x v="0"/>
    <s v="NEGOCIOS"/>
    <x v="0"/>
  </r>
  <r>
    <x v="55"/>
    <x v="5"/>
    <x v="0"/>
    <x v="0"/>
    <x v="0"/>
    <x v="11"/>
    <x v="5"/>
    <x v="5"/>
    <x v="623"/>
    <x v="0"/>
    <s v="NEGOCIOS"/>
    <x v="0"/>
  </r>
  <r>
    <x v="55"/>
    <x v="13"/>
    <x v="5"/>
    <x v="5"/>
    <x v="0"/>
    <x v="11"/>
    <x v="13"/>
    <x v="13"/>
    <x v="624"/>
    <x v="0"/>
    <s v="NEGOCIOS"/>
    <x v="0"/>
  </r>
  <r>
    <x v="55"/>
    <x v="6"/>
    <x v="5"/>
    <x v="5"/>
    <x v="0"/>
    <x v="11"/>
    <x v="6"/>
    <x v="6"/>
    <x v="625"/>
    <x v="0"/>
    <s v="NEGOCIOS"/>
    <x v="0"/>
  </r>
  <r>
    <x v="55"/>
    <x v="14"/>
    <x v="1"/>
    <x v="1"/>
    <x v="0"/>
    <x v="11"/>
    <x v="14"/>
    <x v="14"/>
    <x v="626"/>
    <x v="0"/>
    <s v="NEGOCIOS"/>
    <x v="0"/>
  </r>
  <r>
    <x v="55"/>
    <x v="8"/>
    <x v="1"/>
    <x v="1"/>
    <x v="0"/>
    <x v="11"/>
    <x v="8"/>
    <x v="8"/>
    <x v="627"/>
    <x v="0"/>
    <s v="NEGOCIOS"/>
    <x v="0"/>
  </r>
  <r>
    <x v="55"/>
    <x v="1"/>
    <x v="1"/>
    <x v="1"/>
    <x v="0"/>
    <x v="11"/>
    <x v="1"/>
    <x v="1"/>
    <x v="1"/>
    <x v="132"/>
    <s v="NEGOCIOS"/>
    <x v="0"/>
  </r>
  <r>
    <x v="55"/>
    <x v="12"/>
    <x v="4"/>
    <x v="4"/>
    <x v="0"/>
    <x v="12"/>
    <x v="12"/>
    <x v="12"/>
    <x v="628"/>
    <x v="0"/>
    <s v="NEGOCIOS"/>
    <x v="0"/>
  </r>
  <r>
    <x v="55"/>
    <x v="4"/>
    <x v="4"/>
    <x v="4"/>
    <x v="0"/>
    <x v="12"/>
    <x v="4"/>
    <x v="4"/>
    <x v="629"/>
    <x v="0"/>
    <s v="NEGOCIOS"/>
    <x v="0"/>
  </r>
  <r>
    <x v="55"/>
    <x v="1"/>
    <x v="1"/>
    <x v="1"/>
    <x v="0"/>
    <x v="12"/>
    <x v="1"/>
    <x v="1"/>
    <x v="1"/>
    <x v="133"/>
    <s v="NEGOCIOS"/>
    <x v="0"/>
  </r>
  <r>
    <x v="55"/>
    <x v="12"/>
    <x v="4"/>
    <x v="4"/>
    <x v="0"/>
    <x v="13"/>
    <x v="12"/>
    <x v="12"/>
    <x v="630"/>
    <x v="0"/>
    <s v="NEGOCIOS"/>
    <x v="0"/>
  </r>
  <r>
    <x v="55"/>
    <x v="0"/>
    <x v="0"/>
    <x v="0"/>
    <x v="0"/>
    <x v="13"/>
    <x v="0"/>
    <x v="0"/>
    <x v="631"/>
    <x v="0"/>
    <s v="NEGOCIOS"/>
    <x v="0"/>
  </r>
  <r>
    <x v="55"/>
    <x v="14"/>
    <x v="1"/>
    <x v="1"/>
    <x v="0"/>
    <x v="13"/>
    <x v="14"/>
    <x v="14"/>
    <x v="632"/>
    <x v="0"/>
    <s v="NEGOCIOS"/>
    <x v="0"/>
  </r>
  <r>
    <x v="55"/>
    <x v="8"/>
    <x v="1"/>
    <x v="1"/>
    <x v="0"/>
    <x v="13"/>
    <x v="8"/>
    <x v="8"/>
    <x v="633"/>
    <x v="0"/>
    <s v="NEGOCIOS"/>
    <x v="0"/>
  </r>
  <r>
    <x v="55"/>
    <x v="1"/>
    <x v="1"/>
    <x v="1"/>
    <x v="0"/>
    <x v="13"/>
    <x v="1"/>
    <x v="1"/>
    <x v="1"/>
    <x v="134"/>
    <s v="NEGOCIOS"/>
    <x v="0"/>
  </r>
  <r>
    <x v="55"/>
    <x v="7"/>
    <x v="2"/>
    <x v="2"/>
    <x v="0"/>
    <x v="14"/>
    <x v="7"/>
    <x v="7"/>
    <x v="634"/>
    <x v="0"/>
    <s v="NEGOCIOS"/>
    <x v="0"/>
  </r>
  <r>
    <x v="55"/>
    <x v="2"/>
    <x v="2"/>
    <x v="2"/>
    <x v="0"/>
    <x v="14"/>
    <x v="2"/>
    <x v="2"/>
    <x v="635"/>
    <x v="0"/>
    <s v="NEGOCIOS"/>
    <x v="0"/>
  </r>
  <r>
    <x v="55"/>
    <x v="9"/>
    <x v="6"/>
    <x v="6"/>
    <x v="0"/>
    <x v="14"/>
    <x v="9"/>
    <x v="9"/>
    <x v="636"/>
    <x v="0"/>
    <s v="NEGOCIOS"/>
    <x v="0"/>
  </r>
  <r>
    <x v="55"/>
    <x v="11"/>
    <x v="6"/>
    <x v="6"/>
    <x v="0"/>
    <x v="14"/>
    <x v="11"/>
    <x v="11"/>
    <x v="637"/>
    <x v="0"/>
    <s v="NEGOCIOS"/>
    <x v="0"/>
  </r>
  <r>
    <x v="55"/>
    <x v="23"/>
    <x v="3"/>
    <x v="3"/>
    <x v="0"/>
    <x v="14"/>
    <x v="17"/>
    <x v="23"/>
    <x v="638"/>
    <x v="0"/>
    <s v="NEGOCIOS"/>
    <x v="0"/>
  </r>
  <r>
    <x v="55"/>
    <x v="10"/>
    <x v="3"/>
    <x v="3"/>
    <x v="0"/>
    <x v="14"/>
    <x v="10"/>
    <x v="10"/>
    <x v="639"/>
    <x v="0"/>
    <s v="NEGOCIOS"/>
    <x v="0"/>
  </r>
  <r>
    <x v="55"/>
    <x v="3"/>
    <x v="3"/>
    <x v="3"/>
    <x v="0"/>
    <x v="14"/>
    <x v="3"/>
    <x v="3"/>
    <x v="640"/>
    <x v="0"/>
    <s v="NEGOCIOS"/>
    <x v="0"/>
  </r>
  <r>
    <x v="55"/>
    <x v="12"/>
    <x v="4"/>
    <x v="4"/>
    <x v="0"/>
    <x v="14"/>
    <x v="12"/>
    <x v="12"/>
    <x v="641"/>
    <x v="0"/>
    <s v="NEGOCIOS"/>
    <x v="0"/>
  </r>
  <r>
    <x v="55"/>
    <x v="4"/>
    <x v="4"/>
    <x v="4"/>
    <x v="0"/>
    <x v="14"/>
    <x v="4"/>
    <x v="4"/>
    <x v="642"/>
    <x v="0"/>
    <s v="NEGOCIOS"/>
    <x v="0"/>
  </r>
  <r>
    <x v="55"/>
    <x v="0"/>
    <x v="0"/>
    <x v="0"/>
    <x v="0"/>
    <x v="14"/>
    <x v="0"/>
    <x v="0"/>
    <x v="643"/>
    <x v="0"/>
    <s v="NEGOCIOS"/>
    <x v="0"/>
  </r>
  <r>
    <x v="55"/>
    <x v="5"/>
    <x v="0"/>
    <x v="0"/>
    <x v="0"/>
    <x v="14"/>
    <x v="5"/>
    <x v="5"/>
    <x v="644"/>
    <x v="0"/>
    <s v="NEGOCIOS"/>
    <x v="0"/>
  </r>
  <r>
    <x v="55"/>
    <x v="13"/>
    <x v="5"/>
    <x v="5"/>
    <x v="0"/>
    <x v="14"/>
    <x v="13"/>
    <x v="13"/>
    <x v="645"/>
    <x v="0"/>
    <s v="NEGOCIOS"/>
    <x v="0"/>
  </r>
  <r>
    <x v="55"/>
    <x v="6"/>
    <x v="5"/>
    <x v="5"/>
    <x v="0"/>
    <x v="14"/>
    <x v="6"/>
    <x v="6"/>
    <x v="646"/>
    <x v="0"/>
    <s v="NEGOCIOS"/>
    <x v="0"/>
  </r>
  <r>
    <x v="55"/>
    <x v="14"/>
    <x v="1"/>
    <x v="1"/>
    <x v="0"/>
    <x v="14"/>
    <x v="14"/>
    <x v="14"/>
    <x v="647"/>
    <x v="0"/>
    <s v="NEGOCIOS"/>
    <x v="0"/>
  </r>
  <r>
    <x v="55"/>
    <x v="8"/>
    <x v="1"/>
    <x v="1"/>
    <x v="0"/>
    <x v="14"/>
    <x v="8"/>
    <x v="8"/>
    <x v="648"/>
    <x v="0"/>
    <s v="NEGOCIOS"/>
    <x v="0"/>
  </r>
  <r>
    <x v="55"/>
    <x v="1"/>
    <x v="1"/>
    <x v="1"/>
    <x v="0"/>
    <x v="14"/>
    <x v="1"/>
    <x v="1"/>
    <x v="1"/>
    <x v="135"/>
    <s v="NEGOCIOS"/>
    <x v="0"/>
  </r>
  <r>
    <x v="55"/>
    <x v="7"/>
    <x v="2"/>
    <x v="2"/>
    <x v="0"/>
    <x v="15"/>
    <x v="7"/>
    <x v="7"/>
    <x v="649"/>
    <x v="0"/>
    <s v="NEGOCIOS"/>
    <x v="0"/>
  </r>
  <r>
    <x v="55"/>
    <x v="2"/>
    <x v="2"/>
    <x v="2"/>
    <x v="0"/>
    <x v="15"/>
    <x v="2"/>
    <x v="2"/>
    <x v="650"/>
    <x v="0"/>
    <s v="NEGOCIOS"/>
    <x v="0"/>
  </r>
  <r>
    <x v="55"/>
    <x v="9"/>
    <x v="6"/>
    <x v="6"/>
    <x v="0"/>
    <x v="15"/>
    <x v="9"/>
    <x v="9"/>
    <x v="651"/>
    <x v="0"/>
    <s v="NEGOCIOS"/>
    <x v="0"/>
  </r>
  <r>
    <x v="55"/>
    <x v="10"/>
    <x v="3"/>
    <x v="3"/>
    <x v="0"/>
    <x v="15"/>
    <x v="10"/>
    <x v="10"/>
    <x v="652"/>
    <x v="0"/>
    <s v="NEGOCIOS"/>
    <x v="0"/>
  </r>
  <r>
    <x v="55"/>
    <x v="12"/>
    <x v="4"/>
    <x v="4"/>
    <x v="0"/>
    <x v="15"/>
    <x v="12"/>
    <x v="12"/>
    <x v="653"/>
    <x v="0"/>
    <s v="NEGOCIOS"/>
    <x v="0"/>
  </r>
  <r>
    <x v="55"/>
    <x v="4"/>
    <x v="4"/>
    <x v="4"/>
    <x v="0"/>
    <x v="15"/>
    <x v="4"/>
    <x v="4"/>
    <x v="654"/>
    <x v="0"/>
    <s v="NEGOCIOS"/>
    <x v="0"/>
  </r>
  <r>
    <x v="55"/>
    <x v="13"/>
    <x v="5"/>
    <x v="5"/>
    <x v="0"/>
    <x v="15"/>
    <x v="13"/>
    <x v="13"/>
    <x v="655"/>
    <x v="0"/>
    <s v="NEGOCIOS"/>
    <x v="0"/>
  </r>
  <r>
    <x v="55"/>
    <x v="14"/>
    <x v="1"/>
    <x v="1"/>
    <x v="0"/>
    <x v="15"/>
    <x v="14"/>
    <x v="14"/>
    <x v="656"/>
    <x v="0"/>
    <s v="NEGOCIOS"/>
    <x v="0"/>
  </r>
  <r>
    <x v="55"/>
    <x v="8"/>
    <x v="1"/>
    <x v="1"/>
    <x v="0"/>
    <x v="15"/>
    <x v="8"/>
    <x v="8"/>
    <x v="657"/>
    <x v="0"/>
    <s v="NEGOCIOS"/>
    <x v="0"/>
  </r>
  <r>
    <x v="55"/>
    <x v="1"/>
    <x v="1"/>
    <x v="1"/>
    <x v="0"/>
    <x v="15"/>
    <x v="1"/>
    <x v="1"/>
    <x v="1"/>
    <x v="136"/>
    <s v="NEGOCIOS"/>
    <x v="0"/>
  </r>
  <r>
    <x v="55"/>
    <x v="1"/>
    <x v="1"/>
    <x v="1"/>
    <x v="0"/>
    <x v="16"/>
    <x v="1"/>
    <x v="1"/>
    <x v="1"/>
    <x v="137"/>
    <s v="NEGOCIOS"/>
    <x v="0"/>
  </r>
  <r>
    <x v="55"/>
    <x v="1"/>
    <x v="1"/>
    <x v="1"/>
    <x v="0"/>
    <x v="17"/>
    <x v="1"/>
    <x v="1"/>
    <x v="1"/>
    <x v="138"/>
    <s v="NEGOCIOS"/>
    <x v="0"/>
  </r>
  <r>
    <x v="55"/>
    <x v="11"/>
    <x v="6"/>
    <x v="6"/>
    <x v="0"/>
    <x v="18"/>
    <x v="11"/>
    <x v="11"/>
    <x v="658"/>
    <x v="0"/>
    <s v="NEGOCIOS"/>
    <x v="0"/>
  </r>
  <r>
    <x v="55"/>
    <x v="12"/>
    <x v="4"/>
    <x v="4"/>
    <x v="0"/>
    <x v="18"/>
    <x v="12"/>
    <x v="12"/>
    <x v="659"/>
    <x v="0"/>
    <s v="NEGOCIOS"/>
    <x v="0"/>
  </r>
  <r>
    <x v="55"/>
    <x v="1"/>
    <x v="1"/>
    <x v="1"/>
    <x v="0"/>
    <x v="18"/>
    <x v="1"/>
    <x v="1"/>
    <x v="1"/>
    <x v="139"/>
    <s v="NEGOCIOS"/>
    <x v="0"/>
  </r>
  <r>
    <x v="56"/>
    <x v="7"/>
    <x v="2"/>
    <x v="2"/>
    <x v="0"/>
    <x v="2"/>
    <x v="7"/>
    <x v="7"/>
    <x v="660"/>
    <x v="0"/>
    <s v="BOULEVARD EL DORADO"/>
    <x v="0"/>
  </r>
  <r>
    <x v="56"/>
    <x v="1"/>
    <x v="1"/>
    <x v="1"/>
    <x v="0"/>
    <x v="2"/>
    <x v="1"/>
    <x v="1"/>
    <x v="1"/>
    <x v="140"/>
    <s v="BOULEVARD EL DORADO"/>
    <x v="0"/>
  </r>
  <r>
    <x v="56"/>
    <x v="7"/>
    <x v="2"/>
    <x v="2"/>
    <x v="0"/>
    <x v="0"/>
    <x v="7"/>
    <x v="7"/>
    <x v="661"/>
    <x v="0"/>
    <s v="BOULEVARD EL DORADO"/>
    <x v="0"/>
  </r>
  <r>
    <x v="56"/>
    <x v="2"/>
    <x v="2"/>
    <x v="2"/>
    <x v="0"/>
    <x v="0"/>
    <x v="2"/>
    <x v="2"/>
    <x v="662"/>
    <x v="0"/>
    <s v="BOULEVARD EL DORADO"/>
    <x v="0"/>
  </r>
  <r>
    <x v="56"/>
    <x v="9"/>
    <x v="6"/>
    <x v="6"/>
    <x v="0"/>
    <x v="0"/>
    <x v="9"/>
    <x v="9"/>
    <x v="663"/>
    <x v="0"/>
    <s v="BOULEVARD EL DORADO"/>
    <x v="0"/>
  </r>
  <r>
    <x v="56"/>
    <x v="11"/>
    <x v="6"/>
    <x v="6"/>
    <x v="0"/>
    <x v="0"/>
    <x v="11"/>
    <x v="11"/>
    <x v="664"/>
    <x v="0"/>
    <s v="BOULEVARD EL DORADO"/>
    <x v="0"/>
  </r>
  <r>
    <x v="56"/>
    <x v="10"/>
    <x v="3"/>
    <x v="3"/>
    <x v="0"/>
    <x v="0"/>
    <x v="10"/>
    <x v="10"/>
    <x v="665"/>
    <x v="0"/>
    <s v="BOULEVARD EL DORADO"/>
    <x v="0"/>
  </r>
  <r>
    <x v="56"/>
    <x v="3"/>
    <x v="3"/>
    <x v="3"/>
    <x v="0"/>
    <x v="0"/>
    <x v="3"/>
    <x v="3"/>
    <x v="666"/>
    <x v="0"/>
    <s v="BOULEVARD EL DORADO"/>
    <x v="0"/>
  </r>
  <r>
    <x v="56"/>
    <x v="12"/>
    <x v="4"/>
    <x v="4"/>
    <x v="0"/>
    <x v="0"/>
    <x v="12"/>
    <x v="12"/>
    <x v="667"/>
    <x v="0"/>
    <s v="BOULEVARD EL DORADO"/>
    <x v="0"/>
  </r>
  <r>
    <x v="56"/>
    <x v="4"/>
    <x v="4"/>
    <x v="4"/>
    <x v="0"/>
    <x v="0"/>
    <x v="4"/>
    <x v="4"/>
    <x v="668"/>
    <x v="0"/>
    <s v="BOULEVARD EL DORADO"/>
    <x v="0"/>
  </r>
  <r>
    <x v="56"/>
    <x v="0"/>
    <x v="0"/>
    <x v="0"/>
    <x v="0"/>
    <x v="0"/>
    <x v="0"/>
    <x v="0"/>
    <x v="669"/>
    <x v="0"/>
    <s v="BOULEVARD EL DORADO"/>
    <x v="0"/>
  </r>
  <r>
    <x v="56"/>
    <x v="5"/>
    <x v="0"/>
    <x v="0"/>
    <x v="0"/>
    <x v="0"/>
    <x v="5"/>
    <x v="5"/>
    <x v="670"/>
    <x v="0"/>
    <s v="BOULEVARD EL DORADO"/>
    <x v="0"/>
  </r>
  <r>
    <x v="56"/>
    <x v="13"/>
    <x v="5"/>
    <x v="5"/>
    <x v="0"/>
    <x v="0"/>
    <x v="13"/>
    <x v="13"/>
    <x v="671"/>
    <x v="0"/>
    <s v="BOULEVARD EL DORADO"/>
    <x v="0"/>
  </r>
  <r>
    <x v="56"/>
    <x v="6"/>
    <x v="5"/>
    <x v="5"/>
    <x v="0"/>
    <x v="0"/>
    <x v="6"/>
    <x v="6"/>
    <x v="672"/>
    <x v="0"/>
    <s v="BOULEVARD EL DORADO"/>
    <x v="0"/>
  </r>
  <r>
    <x v="56"/>
    <x v="14"/>
    <x v="1"/>
    <x v="1"/>
    <x v="0"/>
    <x v="0"/>
    <x v="14"/>
    <x v="14"/>
    <x v="673"/>
    <x v="0"/>
    <s v="BOULEVARD EL DORADO"/>
    <x v="0"/>
  </r>
  <r>
    <x v="56"/>
    <x v="8"/>
    <x v="1"/>
    <x v="1"/>
    <x v="0"/>
    <x v="0"/>
    <x v="8"/>
    <x v="8"/>
    <x v="674"/>
    <x v="0"/>
    <s v="BOULEVARD EL DORADO"/>
    <x v="0"/>
  </r>
  <r>
    <x v="56"/>
    <x v="1"/>
    <x v="1"/>
    <x v="1"/>
    <x v="0"/>
    <x v="0"/>
    <x v="1"/>
    <x v="1"/>
    <x v="1"/>
    <x v="141"/>
    <s v="BOULEVARD EL DORADO"/>
    <x v="0"/>
  </r>
  <r>
    <x v="56"/>
    <x v="7"/>
    <x v="2"/>
    <x v="2"/>
    <x v="0"/>
    <x v="1"/>
    <x v="7"/>
    <x v="7"/>
    <x v="675"/>
    <x v="0"/>
    <s v="BOULEVARD EL DORADO"/>
    <x v="0"/>
  </r>
  <r>
    <x v="56"/>
    <x v="2"/>
    <x v="2"/>
    <x v="2"/>
    <x v="0"/>
    <x v="1"/>
    <x v="2"/>
    <x v="2"/>
    <x v="676"/>
    <x v="0"/>
    <s v="BOULEVARD EL DORADO"/>
    <x v="0"/>
  </r>
  <r>
    <x v="56"/>
    <x v="10"/>
    <x v="3"/>
    <x v="3"/>
    <x v="0"/>
    <x v="1"/>
    <x v="10"/>
    <x v="10"/>
    <x v="677"/>
    <x v="0"/>
    <s v="BOULEVARD EL DORADO"/>
    <x v="0"/>
  </r>
  <r>
    <x v="56"/>
    <x v="3"/>
    <x v="3"/>
    <x v="3"/>
    <x v="0"/>
    <x v="1"/>
    <x v="3"/>
    <x v="3"/>
    <x v="678"/>
    <x v="0"/>
    <s v="BOULEVARD EL DORADO"/>
    <x v="0"/>
  </r>
  <r>
    <x v="56"/>
    <x v="0"/>
    <x v="0"/>
    <x v="0"/>
    <x v="0"/>
    <x v="1"/>
    <x v="0"/>
    <x v="0"/>
    <x v="284"/>
    <x v="0"/>
    <s v="BOULEVARD EL DORADO"/>
    <x v="0"/>
  </r>
  <r>
    <x v="56"/>
    <x v="5"/>
    <x v="0"/>
    <x v="0"/>
    <x v="0"/>
    <x v="1"/>
    <x v="5"/>
    <x v="5"/>
    <x v="679"/>
    <x v="0"/>
    <s v="BOULEVARD EL DORADO"/>
    <x v="0"/>
  </r>
  <r>
    <x v="56"/>
    <x v="13"/>
    <x v="5"/>
    <x v="5"/>
    <x v="0"/>
    <x v="1"/>
    <x v="13"/>
    <x v="13"/>
    <x v="680"/>
    <x v="0"/>
    <s v="BOULEVARD EL DORADO"/>
    <x v="0"/>
  </r>
  <r>
    <x v="56"/>
    <x v="6"/>
    <x v="5"/>
    <x v="5"/>
    <x v="0"/>
    <x v="1"/>
    <x v="6"/>
    <x v="6"/>
    <x v="681"/>
    <x v="0"/>
    <s v="BOULEVARD EL DORADO"/>
    <x v="0"/>
  </r>
  <r>
    <x v="56"/>
    <x v="1"/>
    <x v="1"/>
    <x v="1"/>
    <x v="0"/>
    <x v="1"/>
    <x v="1"/>
    <x v="1"/>
    <x v="1"/>
    <x v="142"/>
    <s v="BOULEVARD EL DORADO"/>
    <x v="0"/>
  </r>
  <r>
    <x v="57"/>
    <x v="11"/>
    <x v="6"/>
    <x v="6"/>
    <x v="0"/>
    <x v="2"/>
    <x v="11"/>
    <x v="11"/>
    <x v="682"/>
    <x v="0"/>
    <s v="SAN SEBASTIAN"/>
    <x v="0"/>
  </r>
  <r>
    <x v="57"/>
    <x v="1"/>
    <x v="1"/>
    <x v="1"/>
    <x v="0"/>
    <x v="2"/>
    <x v="1"/>
    <x v="1"/>
    <x v="1"/>
    <x v="143"/>
    <s v="SAN SEBASTIAN"/>
    <x v="0"/>
  </r>
  <r>
    <x v="57"/>
    <x v="7"/>
    <x v="2"/>
    <x v="2"/>
    <x v="0"/>
    <x v="0"/>
    <x v="7"/>
    <x v="7"/>
    <x v="683"/>
    <x v="0"/>
    <s v="SAN SEBASTIAN"/>
    <x v="0"/>
  </r>
  <r>
    <x v="57"/>
    <x v="2"/>
    <x v="2"/>
    <x v="2"/>
    <x v="0"/>
    <x v="0"/>
    <x v="2"/>
    <x v="2"/>
    <x v="684"/>
    <x v="0"/>
    <s v="SAN SEBASTIAN"/>
    <x v="0"/>
  </r>
  <r>
    <x v="57"/>
    <x v="9"/>
    <x v="6"/>
    <x v="6"/>
    <x v="0"/>
    <x v="0"/>
    <x v="9"/>
    <x v="9"/>
    <x v="685"/>
    <x v="0"/>
    <s v="SAN SEBASTIAN"/>
    <x v="0"/>
  </r>
  <r>
    <x v="57"/>
    <x v="11"/>
    <x v="6"/>
    <x v="6"/>
    <x v="0"/>
    <x v="0"/>
    <x v="11"/>
    <x v="11"/>
    <x v="686"/>
    <x v="0"/>
    <s v="SAN SEBASTIAN"/>
    <x v="0"/>
  </r>
  <r>
    <x v="57"/>
    <x v="10"/>
    <x v="3"/>
    <x v="3"/>
    <x v="0"/>
    <x v="0"/>
    <x v="10"/>
    <x v="10"/>
    <x v="687"/>
    <x v="0"/>
    <s v="SAN SEBASTIAN"/>
    <x v="0"/>
  </r>
  <r>
    <x v="57"/>
    <x v="3"/>
    <x v="3"/>
    <x v="3"/>
    <x v="0"/>
    <x v="0"/>
    <x v="3"/>
    <x v="3"/>
    <x v="688"/>
    <x v="0"/>
    <s v="SAN SEBASTIAN"/>
    <x v="0"/>
  </r>
  <r>
    <x v="57"/>
    <x v="12"/>
    <x v="4"/>
    <x v="4"/>
    <x v="0"/>
    <x v="0"/>
    <x v="12"/>
    <x v="12"/>
    <x v="689"/>
    <x v="0"/>
    <s v="SAN SEBASTIAN"/>
    <x v="0"/>
  </r>
  <r>
    <x v="57"/>
    <x v="4"/>
    <x v="4"/>
    <x v="4"/>
    <x v="0"/>
    <x v="0"/>
    <x v="4"/>
    <x v="4"/>
    <x v="690"/>
    <x v="0"/>
    <s v="SAN SEBASTIAN"/>
    <x v="0"/>
  </r>
  <r>
    <x v="57"/>
    <x v="0"/>
    <x v="0"/>
    <x v="0"/>
    <x v="0"/>
    <x v="0"/>
    <x v="0"/>
    <x v="0"/>
    <x v="691"/>
    <x v="0"/>
    <s v="SAN SEBASTIAN"/>
    <x v="0"/>
  </r>
  <r>
    <x v="57"/>
    <x v="5"/>
    <x v="0"/>
    <x v="0"/>
    <x v="0"/>
    <x v="0"/>
    <x v="5"/>
    <x v="5"/>
    <x v="692"/>
    <x v="0"/>
    <s v="SAN SEBASTIAN"/>
    <x v="0"/>
  </r>
  <r>
    <x v="57"/>
    <x v="13"/>
    <x v="5"/>
    <x v="5"/>
    <x v="0"/>
    <x v="0"/>
    <x v="13"/>
    <x v="13"/>
    <x v="693"/>
    <x v="0"/>
    <s v="SAN SEBASTIAN"/>
    <x v="0"/>
  </r>
  <r>
    <x v="57"/>
    <x v="6"/>
    <x v="5"/>
    <x v="5"/>
    <x v="0"/>
    <x v="0"/>
    <x v="6"/>
    <x v="6"/>
    <x v="694"/>
    <x v="0"/>
    <s v="SAN SEBASTIAN"/>
    <x v="0"/>
  </r>
  <r>
    <x v="57"/>
    <x v="14"/>
    <x v="1"/>
    <x v="1"/>
    <x v="0"/>
    <x v="0"/>
    <x v="14"/>
    <x v="14"/>
    <x v="695"/>
    <x v="0"/>
    <s v="SAN SEBASTIAN"/>
    <x v="0"/>
  </r>
  <r>
    <x v="57"/>
    <x v="8"/>
    <x v="1"/>
    <x v="1"/>
    <x v="0"/>
    <x v="0"/>
    <x v="8"/>
    <x v="8"/>
    <x v="696"/>
    <x v="0"/>
    <s v="SAN SEBASTIAN"/>
    <x v="0"/>
  </r>
  <r>
    <x v="57"/>
    <x v="1"/>
    <x v="1"/>
    <x v="1"/>
    <x v="0"/>
    <x v="0"/>
    <x v="1"/>
    <x v="1"/>
    <x v="1"/>
    <x v="144"/>
    <s v="SAN SEBASTIAN"/>
    <x v="0"/>
  </r>
  <r>
    <x v="57"/>
    <x v="9"/>
    <x v="6"/>
    <x v="6"/>
    <x v="0"/>
    <x v="1"/>
    <x v="9"/>
    <x v="9"/>
    <x v="697"/>
    <x v="0"/>
    <s v="SAN SEBASTIAN"/>
    <x v="0"/>
  </r>
  <r>
    <x v="57"/>
    <x v="11"/>
    <x v="6"/>
    <x v="6"/>
    <x v="0"/>
    <x v="1"/>
    <x v="11"/>
    <x v="11"/>
    <x v="698"/>
    <x v="0"/>
    <s v="SAN SEBASTIAN"/>
    <x v="0"/>
  </r>
  <r>
    <x v="57"/>
    <x v="10"/>
    <x v="3"/>
    <x v="3"/>
    <x v="0"/>
    <x v="1"/>
    <x v="10"/>
    <x v="10"/>
    <x v="699"/>
    <x v="0"/>
    <s v="SAN SEBASTIAN"/>
    <x v="0"/>
  </r>
  <r>
    <x v="57"/>
    <x v="3"/>
    <x v="3"/>
    <x v="3"/>
    <x v="0"/>
    <x v="1"/>
    <x v="3"/>
    <x v="3"/>
    <x v="700"/>
    <x v="0"/>
    <s v="SAN SEBASTIAN"/>
    <x v="0"/>
  </r>
  <r>
    <x v="57"/>
    <x v="12"/>
    <x v="4"/>
    <x v="4"/>
    <x v="0"/>
    <x v="1"/>
    <x v="12"/>
    <x v="12"/>
    <x v="701"/>
    <x v="0"/>
    <s v="SAN SEBASTIAN"/>
    <x v="0"/>
  </r>
  <r>
    <x v="57"/>
    <x v="4"/>
    <x v="4"/>
    <x v="4"/>
    <x v="0"/>
    <x v="1"/>
    <x v="4"/>
    <x v="4"/>
    <x v="702"/>
    <x v="0"/>
    <s v="SAN SEBASTIAN"/>
    <x v="0"/>
  </r>
  <r>
    <x v="57"/>
    <x v="13"/>
    <x v="5"/>
    <x v="5"/>
    <x v="0"/>
    <x v="1"/>
    <x v="13"/>
    <x v="13"/>
    <x v="703"/>
    <x v="0"/>
    <s v="SAN SEBASTIAN"/>
    <x v="0"/>
  </r>
  <r>
    <x v="57"/>
    <x v="6"/>
    <x v="5"/>
    <x v="5"/>
    <x v="0"/>
    <x v="1"/>
    <x v="6"/>
    <x v="6"/>
    <x v="704"/>
    <x v="0"/>
    <s v="SAN SEBASTIAN"/>
    <x v="0"/>
  </r>
  <r>
    <x v="57"/>
    <x v="8"/>
    <x v="1"/>
    <x v="1"/>
    <x v="0"/>
    <x v="1"/>
    <x v="8"/>
    <x v="8"/>
    <x v="705"/>
    <x v="0"/>
    <s v="SAN SEBASTIAN"/>
    <x v="0"/>
  </r>
  <r>
    <x v="57"/>
    <x v="1"/>
    <x v="1"/>
    <x v="1"/>
    <x v="0"/>
    <x v="1"/>
    <x v="1"/>
    <x v="1"/>
    <x v="1"/>
    <x v="145"/>
    <s v="SAN SEBASTIAN"/>
    <x v="0"/>
  </r>
  <r>
    <x v="58"/>
    <x v="4"/>
    <x v="4"/>
    <x v="4"/>
    <x v="0"/>
    <x v="0"/>
    <x v="4"/>
    <x v="4"/>
    <x v="706"/>
    <x v="0"/>
    <s v="SANTIAGO INTERAMERICANA"/>
    <x v="0"/>
  </r>
  <r>
    <x v="58"/>
    <x v="0"/>
    <x v="0"/>
    <x v="0"/>
    <x v="0"/>
    <x v="0"/>
    <x v="0"/>
    <x v="0"/>
    <x v="707"/>
    <x v="0"/>
    <s v="SANTIAGO INTERAMERICANA"/>
    <x v="0"/>
  </r>
  <r>
    <x v="58"/>
    <x v="1"/>
    <x v="1"/>
    <x v="1"/>
    <x v="0"/>
    <x v="0"/>
    <x v="1"/>
    <x v="1"/>
    <x v="1"/>
    <x v="146"/>
    <s v="SANTIAGO INTERAMERICANA"/>
    <x v="0"/>
  </r>
  <r>
    <x v="59"/>
    <x v="0"/>
    <x v="0"/>
    <x v="0"/>
    <x v="0"/>
    <x v="0"/>
    <x v="0"/>
    <x v="0"/>
    <x v="12"/>
    <x v="0"/>
    <s v="CIUDAD DEL SABER"/>
    <x v="0"/>
  </r>
  <r>
    <x v="59"/>
    <x v="1"/>
    <x v="1"/>
    <x v="1"/>
    <x v="0"/>
    <x v="0"/>
    <x v="1"/>
    <x v="1"/>
    <x v="1"/>
    <x v="147"/>
    <s v="CIUDAD DEL SABER"/>
    <x v="0"/>
  </r>
  <r>
    <x v="60"/>
    <x v="10"/>
    <x v="3"/>
    <x v="3"/>
    <x v="0"/>
    <x v="0"/>
    <x v="10"/>
    <x v="10"/>
    <x v="708"/>
    <x v="0"/>
    <s v="VILLA ZAITA"/>
    <x v="0"/>
  </r>
  <r>
    <x v="60"/>
    <x v="3"/>
    <x v="3"/>
    <x v="3"/>
    <x v="0"/>
    <x v="0"/>
    <x v="3"/>
    <x v="3"/>
    <x v="709"/>
    <x v="0"/>
    <s v="VILLA ZAITA"/>
    <x v="0"/>
  </r>
  <r>
    <x v="60"/>
    <x v="1"/>
    <x v="1"/>
    <x v="1"/>
    <x v="0"/>
    <x v="0"/>
    <x v="1"/>
    <x v="1"/>
    <x v="1"/>
    <x v="148"/>
    <s v="VILLA ZAITA"/>
    <x v="0"/>
  </r>
  <r>
    <x v="60"/>
    <x v="2"/>
    <x v="2"/>
    <x v="2"/>
    <x v="0"/>
    <x v="1"/>
    <x v="2"/>
    <x v="2"/>
    <x v="710"/>
    <x v="0"/>
    <s v="VILLA ZAITA"/>
    <x v="0"/>
  </r>
  <r>
    <x v="60"/>
    <x v="9"/>
    <x v="6"/>
    <x v="6"/>
    <x v="0"/>
    <x v="1"/>
    <x v="9"/>
    <x v="9"/>
    <x v="711"/>
    <x v="0"/>
    <s v="VILLA ZAITA"/>
    <x v="0"/>
  </r>
  <r>
    <x v="60"/>
    <x v="11"/>
    <x v="6"/>
    <x v="6"/>
    <x v="0"/>
    <x v="1"/>
    <x v="11"/>
    <x v="11"/>
    <x v="712"/>
    <x v="0"/>
    <s v="VILLA ZAITA"/>
    <x v="0"/>
  </r>
  <r>
    <x v="60"/>
    <x v="1"/>
    <x v="1"/>
    <x v="1"/>
    <x v="0"/>
    <x v="1"/>
    <x v="1"/>
    <x v="1"/>
    <x v="1"/>
    <x v="149"/>
    <s v="VILLA ZAITA"/>
    <x v="0"/>
  </r>
  <r>
    <x v="61"/>
    <x v="4"/>
    <x v="4"/>
    <x v="4"/>
    <x v="0"/>
    <x v="0"/>
    <x v="4"/>
    <x v="4"/>
    <x v="713"/>
    <x v="0"/>
    <s v="AZUERO TERMINAL PLAZA"/>
    <x v="0"/>
  </r>
  <r>
    <x v="61"/>
    <x v="13"/>
    <x v="5"/>
    <x v="5"/>
    <x v="0"/>
    <x v="0"/>
    <x v="13"/>
    <x v="13"/>
    <x v="714"/>
    <x v="0"/>
    <s v="AZUERO TERMINAL PLAZA"/>
    <x v="0"/>
  </r>
  <r>
    <x v="61"/>
    <x v="1"/>
    <x v="1"/>
    <x v="1"/>
    <x v="0"/>
    <x v="0"/>
    <x v="1"/>
    <x v="1"/>
    <x v="1"/>
    <x v="150"/>
    <s v="AZUERO TERMINAL PLAZA"/>
    <x v="0"/>
  </r>
  <r>
    <x v="62"/>
    <x v="9"/>
    <x v="6"/>
    <x v="6"/>
    <x v="0"/>
    <x v="2"/>
    <x v="9"/>
    <x v="9"/>
    <x v="715"/>
    <x v="0"/>
    <s v="TOWN CENTER COSTA DEL ESTE"/>
    <x v="0"/>
  </r>
  <r>
    <x v="62"/>
    <x v="1"/>
    <x v="1"/>
    <x v="1"/>
    <x v="0"/>
    <x v="2"/>
    <x v="1"/>
    <x v="1"/>
    <x v="1"/>
    <x v="151"/>
    <s v="TOWN CENTER COSTA DEL ESTE"/>
    <x v="0"/>
  </r>
  <r>
    <x v="62"/>
    <x v="9"/>
    <x v="6"/>
    <x v="6"/>
    <x v="0"/>
    <x v="0"/>
    <x v="9"/>
    <x v="9"/>
    <x v="716"/>
    <x v="0"/>
    <s v="TOWN CENTER COSTA DEL ESTE"/>
    <x v="0"/>
  </r>
  <r>
    <x v="62"/>
    <x v="6"/>
    <x v="5"/>
    <x v="5"/>
    <x v="0"/>
    <x v="0"/>
    <x v="6"/>
    <x v="6"/>
    <x v="717"/>
    <x v="0"/>
    <s v="TOWN CENTER COSTA DEL ESTE"/>
    <x v="0"/>
  </r>
  <r>
    <x v="62"/>
    <x v="1"/>
    <x v="1"/>
    <x v="1"/>
    <x v="0"/>
    <x v="0"/>
    <x v="1"/>
    <x v="1"/>
    <x v="1"/>
    <x v="152"/>
    <s v="TOWN CENTER COSTA DEL ESTE"/>
    <x v="0"/>
  </r>
  <r>
    <x v="62"/>
    <x v="9"/>
    <x v="6"/>
    <x v="6"/>
    <x v="0"/>
    <x v="1"/>
    <x v="9"/>
    <x v="9"/>
    <x v="718"/>
    <x v="0"/>
    <s v="TOWN CENTER COSTA DEL ESTE"/>
    <x v="0"/>
  </r>
  <r>
    <x v="62"/>
    <x v="1"/>
    <x v="1"/>
    <x v="1"/>
    <x v="0"/>
    <x v="1"/>
    <x v="1"/>
    <x v="1"/>
    <x v="1"/>
    <x v="153"/>
    <s v="TOWN CENTER COSTA DEL ESTE"/>
    <x v="0"/>
  </r>
  <r>
    <x v="63"/>
    <x v="4"/>
    <x v="4"/>
    <x v="4"/>
    <x v="0"/>
    <x v="0"/>
    <x v="4"/>
    <x v="4"/>
    <x v="719"/>
    <x v="0"/>
    <s v="COSTA VERDE"/>
    <x v="0"/>
  </r>
  <r>
    <x v="63"/>
    <x v="1"/>
    <x v="1"/>
    <x v="1"/>
    <x v="0"/>
    <x v="0"/>
    <x v="1"/>
    <x v="1"/>
    <x v="1"/>
    <x v="154"/>
    <s v="COSTA VERDE"/>
    <x v="0"/>
  </r>
  <r>
    <x v="63"/>
    <x v="1"/>
    <x v="1"/>
    <x v="1"/>
    <x v="0"/>
    <x v="1"/>
    <x v="1"/>
    <x v="1"/>
    <x v="1"/>
    <x v="155"/>
    <s v="COSTA VERDE"/>
    <x v="0"/>
  </r>
  <r>
    <x v="64"/>
    <x v="1"/>
    <x v="1"/>
    <x v="1"/>
    <x v="0"/>
    <x v="0"/>
    <x v="1"/>
    <x v="1"/>
    <x v="1"/>
    <x v="156"/>
    <s v="PLAZA LOS ANGELES"/>
    <x v="0"/>
  </r>
  <r>
    <x v="65"/>
    <x v="1"/>
    <x v="1"/>
    <x v="1"/>
    <x v="0"/>
    <x v="2"/>
    <x v="1"/>
    <x v="1"/>
    <x v="1"/>
    <x v="157"/>
    <s v="SAN MATEO"/>
    <x v="0"/>
  </r>
  <r>
    <x v="65"/>
    <x v="12"/>
    <x v="4"/>
    <x v="4"/>
    <x v="0"/>
    <x v="0"/>
    <x v="12"/>
    <x v="12"/>
    <x v="720"/>
    <x v="0"/>
    <s v="SAN MATEO"/>
    <x v="0"/>
  </r>
  <r>
    <x v="65"/>
    <x v="0"/>
    <x v="0"/>
    <x v="0"/>
    <x v="0"/>
    <x v="0"/>
    <x v="0"/>
    <x v="0"/>
    <x v="721"/>
    <x v="0"/>
    <s v="SAN MATEO"/>
    <x v="0"/>
  </r>
  <r>
    <x v="65"/>
    <x v="5"/>
    <x v="0"/>
    <x v="0"/>
    <x v="0"/>
    <x v="0"/>
    <x v="5"/>
    <x v="5"/>
    <x v="722"/>
    <x v="0"/>
    <s v="SAN MATEO"/>
    <x v="0"/>
  </r>
  <r>
    <x v="65"/>
    <x v="1"/>
    <x v="1"/>
    <x v="1"/>
    <x v="0"/>
    <x v="0"/>
    <x v="1"/>
    <x v="1"/>
    <x v="1"/>
    <x v="158"/>
    <s v="SAN MATEO"/>
    <x v="0"/>
  </r>
  <r>
    <x v="66"/>
    <x v="11"/>
    <x v="6"/>
    <x v="6"/>
    <x v="0"/>
    <x v="0"/>
    <x v="11"/>
    <x v="11"/>
    <x v="723"/>
    <x v="0"/>
    <s v="BRISAS DEL GOLF ARRAIJAN"/>
    <x v="0"/>
  </r>
  <r>
    <x v="66"/>
    <x v="3"/>
    <x v="3"/>
    <x v="3"/>
    <x v="0"/>
    <x v="0"/>
    <x v="3"/>
    <x v="3"/>
    <x v="724"/>
    <x v="0"/>
    <s v="BRISAS DEL GOLF ARRAIJAN"/>
    <x v="0"/>
  </r>
  <r>
    <x v="66"/>
    <x v="4"/>
    <x v="4"/>
    <x v="4"/>
    <x v="0"/>
    <x v="0"/>
    <x v="4"/>
    <x v="4"/>
    <x v="725"/>
    <x v="0"/>
    <s v="BRISAS DEL GOLF ARRAIJAN"/>
    <x v="0"/>
  </r>
  <r>
    <x v="66"/>
    <x v="5"/>
    <x v="0"/>
    <x v="0"/>
    <x v="0"/>
    <x v="0"/>
    <x v="5"/>
    <x v="5"/>
    <x v="725"/>
    <x v="0"/>
    <s v="BRISAS DEL GOLF ARRAIJAN"/>
    <x v="0"/>
  </r>
  <r>
    <x v="66"/>
    <x v="13"/>
    <x v="5"/>
    <x v="5"/>
    <x v="0"/>
    <x v="0"/>
    <x v="13"/>
    <x v="13"/>
    <x v="726"/>
    <x v="0"/>
    <s v="BRISAS DEL GOLF ARRAIJAN"/>
    <x v="0"/>
  </r>
  <r>
    <x v="66"/>
    <x v="1"/>
    <x v="1"/>
    <x v="1"/>
    <x v="0"/>
    <x v="0"/>
    <x v="1"/>
    <x v="1"/>
    <x v="1"/>
    <x v="159"/>
    <s v="BRISAS DEL GOLF ARRAIJAN"/>
    <x v="0"/>
  </r>
  <r>
    <x v="66"/>
    <x v="7"/>
    <x v="2"/>
    <x v="2"/>
    <x v="0"/>
    <x v="1"/>
    <x v="7"/>
    <x v="7"/>
    <x v="727"/>
    <x v="0"/>
    <s v="BRISAS DEL GOLF ARRAIJAN"/>
    <x v="0"/>
  </r>
  <r>
    <x v="66"/>
    <x v="10"/>
    <x v="3"/>
    <x v="3"/>
    <x v="0"/>
    <x v="1"/>
    <x v="10"/>
    <x v="10"/>
    <x v="728"/>
    <x v="0"/>
    <s v="BRISAS DEL GOLF ARRAIJAN"/>
    <x v="0"/>
  </r>
  <r>
    <x v="66"/>
    <x v="1"/>
    <x v="1"/>
    <x v="1"/>
    <x v="0"/>
    <x v="1"/>
    <x v="1"/>
    <x v="1"/>
    <x v="1"/>
    <x v="160"/>
    <s v="BRISAS DEL GOLF ARRAIJAN"/>
    <x v="0"/>
  </r>
  <r>
    <x v="67"/>
    <x v="9"/>
    <x v="6"/>
    <x v="6"/>
    <x v="0"/>
    <x v="0"/>
    <x v="9"/>
    <x v="9"/>
    <x v="729"/>
    <x v="0"/>
    <s v="PASEO ARRAIJAN"/>
    <x v="0"/>
  </r>
  <r>
    <x v="67"/>
    <x v="12"/>
    <x v="4"/>
    <x v="4"/>
    <x v="0"/>
    <x v="0"/>
    <x v="12"/>
    <x v="12"/>
    <x v="730"/>
    <x v="0"/>
    <s v="PASEO ARRAIJAN"/>
    <x v="0"/>
  </r>
  <r>
    <x v="67"/>
    <x v="1"/>
    <x v="1"/>
    <x v="1"/>
    <x v="0"/>
    <x v="0"/>
    <x v="1"/>
    <x v="1"/>
    <x v="1"/>
    <x v="161"/>
    <s v="PASEO ARRAIJAN"/>
    <x v="0"/>
  </r>
  <r>
    <x v="67"/>
    <x v="9"/>
    <x v="6"/>
    <x v="6"/>
    <x v="0"/>
    <x v="1"/>
    <x v="9"/>
    <x v="9"/>
    <x v="284"/>
    <x v="0"/>
    <s v="PASEO ARRAIJAN"/>
    <x v="0"/>
  </r>
  <r>
    <x v="67"/>
    <x v="1"/>
    <x v="1"/>
    <x v="1"/>
    <x v="0"/>
    <x v="1"/>
    <x v="1"/>
    <x v="1"/>
    <x v="1"/>
    <x v="62"/>
    <s v="PASEO ARRAIJAN"/>
    <x v="0"/>
  </r>
  <r>
    <x v="68"/>
    <x v="0"/>
    <x v="0"/>
    <x v="0"/>
    <x v="0"/>
    <x v="0"/>
    <x v="0"/>
    <x v="0"/>
    <x v="731"/>
    <x v="0"/>
    <s v="PLAZA NUEVO TOCUMEN"/>
    <x v="0"/>
  </r>
  <r>
    <x v="68"/>
    <x v="1"/>
    <x v="1"/>
    <x v="1"/>
    <x v="0"/>
    <x v="0"/>
    <x v="1"/>
    <x v="1"/>
    <x v="1"/>
    <x v="162"/>
    <s v="PLAZA NUEVO TOCUMEN"/>
    <x v="0"/>
  </r>
  <r>
    <x v="69"/>
    <x v="11"/>
    <x v="6"/>
    <x v="6"/>
    <x v="0"/>
    <x v="2"/>
    <x v="11"/>
    <x v="11"/>
    <x v="732"/>
    <x v="0"/>
    <s v="SANTA MARIA"/>
    <x v="0"/>
  </r>
  <r>
    <x v="69"/>
    <x v="5"/>
    <x v="0"/>
    <x v="0"/>
    <x v="0"/>
    <x v="2"/>
    <x v="5"/>
    <x v="5"/>
    <x v="733"/>
    <x v="0"/>
    <s v="SANTA MARIA"/>
    <x v="0"/>
  </r>
  <r>
    <x v="69"/>
    <x v="1"/>
    <x v="1"/>
    <x v="1"/>
    <x v="0"/>
    <x v="2"/>
    <x v="1"/>
    <x v="1"/>
    <x v="1"/>
    <x v="163"/>
    <s v="SANTA MARIA"/>
    <x v="0"/>
  </r>
  <r>
    <x v="69"/>
    <x v="1"/>
    <x v="1"/>
    <x v="1"/>
    <x v="0"/>
    <x v="0"/>
    <x v="1"/>
    <x v="1"/>
    <x v="1"/>
    <x v="164"/>
    <s v="SANTA MARIA"/>
    <x v="0"/>
  </r>
  <r>
    <x v="69"/>
    <x v="2"/>
    <x v="2"/>
    <x v="2"/>
    <x v="0"/>
    <x v="1"/>
    <x v="2"/>
    <x v="2"/>
    <x v="734"/>
    <x v="0"/>
    <s v="SANTA MARIA"/>
    <x v="0"/>
  </r>
  <r>
    <x v="69"/>
    <x v="1"/>
    <x v="1"/>
    <x v="1"/>
    <x v="0"/>
    <x v="1"/>
    <x v="1"/>
    <x v="1"/>
    <x v="1"/>
    <x v="165"/>
    <s v="SANTA MARIA"/>
    <x v="0"/>
  </r>
  <r>
    <x v="0"/>
    <x v="24"/>
    <x v="2"/>
    <x v="2"/>
    <x v="0"/>
    <x v="2"/>
    <x v="20"/>
    <x v="24"/>
    <x v="735"/>
    <x v="0"/>
    <s v="CASA MATRIZ"/>
    <x v="1"/>
  </r>
  <r>
    <x v="0"/>
    <x v="25"/>
    <x v="2"/>
    <x v="2"/>
    <x v="0"/>
    <x v="2"/>
    <x v="20"/>
    <x v="24"/>
    <x v="736"/>
    <x v="0"/>
    <s v="CASA MATRIZ"/>
    <x v="1"/>
  </r>
  <r>
    <x v="0"/>
    <x v="26"/>
    <x v="3"/>
    <x v="3"/>
    <x v="0"/>
    <x v="2"/>
    <x v="20"/>
    <x v="24"/>
    <x v="737"/>
    <x v="0"/>
    <s v="CASA MATRIZ"/>
    <x v="1"/>
  </r>
  <r>
    <x v="0"/>
    <x v="27"/>
    <x v="3"/>
    <x v="3"/>
    <x v="0"/>
    <x v="2"/>
    <x v="20"/>
    <x v="24"/>
    <x v="738"/>
    <x v="0"/>
    <s v="CASA MATRIZ"/>
    <x v="1"/>
  </r>
  <r>
    <x v="0"/>
    <x v="28"/>
    <x v="3"/>
    <x v="3"/>
    <x v="0"/>
    <x v="2"/>
    <x v="20"/>
    <x v="24"/>
    <x v="737"/>
    <x v="0"/>
    <s v="CASA MATRIZ"/>
    <x v="1"/>
  </r>
  <r>
    <x v="0"/>
    <x v="29"/>
    <x v="4"/>
    <x v="4"/>
    <x v="0"/>
    <x v="2"/>
    <x v="20"/>
    <x v="24"/>
    <x v="739"/>
    <x v="0"/>
    <s v="CASA MATRIZ"/>
    <x v="1"/>
  </r>
  <r>
    <x v="0"/>
    <x v="30"/>
    <x v="4"/>
    <x v="4"/>
    <x v="0"/>
    <x v="2"/>
    <x v="20"/>
    <x v="24"/>
    <x v="740"/>
    <x v="0"/>
    <s v="CASA MATRIZ"/>
    <x v="1"/>
  </r>
  <r>
    <x v="0"/>
    <x v="31"/>
    <x v="4"/>
    <x v="4"/>
    <x v="0"/>
    <x v="2"/>
    <x v="20"/>
    <x v="24"/>
    <x v="737"/>
    <x v="0"/>
    <s v="CASA MATRIZ"/>
    <x v="1"/>
  </r>
  <r>
    <x v="0"/>
    <x v="32"/>
    <x v="5"/>
    <x v="5"/>
    <x v="0"/>
    <x v="2"/>
    <x v="20"/>
    <x v="24"/>
    <x v="737"/>
    <x v="0"/>
    <s v="CASA MATRIZ"/>
    <x v="1"/>
  </r>
  <r>
    <x v="0"/>
    <x v="33"/>
    <x v="1"/>
    <x v="1"/>
    <x v="0"/>
    <x v="2"/>
    <x v="20"/>
    <x v="24"/>
    <x v="741"/>
    <x v="0"/>
    <s v="CASA MATRIZ"/>
    <x v="1"/>
  </r>
  <r>
    <x v="0"/>
    <x v="1"/>
    <x v="1"/>
    <x v="1"/>
    <x v="0"/>
    <x v="2"/>
    <x v="1"/>
    <x v="1"/>
    <x v="1"/>
    <x v="166"/>
    <s v="CASA MATRIZ"/>
    <x v="1"/>
  </r>
  <r>
    <x v="0"/>
    <x v="1"/>
    <x v="1"/>
    <x v="1"/>
    <x v="0"/>
    <x v="1"/>
    <x v="1"/>
    <x v="1"/>
    <x v="1"/>
    <x v="167"/>
    <s v="CASA MATRIZ"/>
    <x v="1"/>
  </r>
  <r>
    <x v="1"/>
    <x v="34"/>
    <x v="5"/>
    <x v="5"/>
    <x v="0"/>
    <x v="2"/>
    <x v="20"/>
    <x v="25"/>
    <x v="742"/>
    <x v="0"/>
    <s v="PAITILLA"/>
    <x v="1"/>
  </r>
  <r>
    <x v="1"/>
    <x v="1"/>
    <x v="1"/>
    <x v="1"/>
    <x v="0"/>
    <x v="2"/>
    <x v="1"/>
    <x v="1"/>
    <x v="1"/>
    <x v="168"/>
    <s v="PAITILLA"/>
    <x v="1"/>
  </r>
  <r>
    <x v="2"/>
    <x v="35"/>
    <x v="2"/>
    <x v="2"/>
    <x v="0"/>
    <x v="2"/>
    <x v="20"/>
    <x v="26"/>
    <x v="743"/>
    <x v="0"/>
    <s v="EL DORADO"/>
    <x v="1"/>
  </r>
  <r>
    <x v="2"/>
    <x v="36"/>
    <x v="6"/>
    <x v="6"/>
    <x v="0"/>
    <x v="2"/>
    <x v="20"/>
    <x v="26"/>
    <x v="744"/>
    <x v="0"/>
    <s v="EL DORADO"/>
    <x v="1"/>
  </r>
  <r>
    <x v="2"/>
    <x v="15"/>
    <x v="6"/>
    <x v="6"/>
    <x v="0"/>
    <x v="2"/>
    <x v="20"/>
    <x v="26"/>
    <x v="737"/>
    <x v="0"/>
    <s v="EL DORADO"/>
    <x v="1"/>
  </r>
  <r>
    <x v="2"/>
    <x v="37"/>
    <x v="6"/>
    <x v="6"/>
    <x v="0"/>
    <x v="2"/>
    <x v="20"/>
    <x v="26"/>
    <x v="745"/>
    <x v="0"/>
    <s v="EL DORADO"/>
    <x v="1"/>
  </r>
  <r>
    <x v="2"/>
    <x v="19"/>
    <x v="3"/>
    <x v="3"/>
    <x v="0"/>
    <x v="2"/>
    <x v="20"/>
    <x v="26"/>
    <x v="745"/>
    <x v="0"/>
    <s v="EL DORADO"/>
    <x v="1"/>
  </r>
  <r>
    <x v="2"/>
    <x v="38"/>
    <x v="4"/>
    <x v="4"/>
    <x v="0"/>
    <x v="2"/>
    <x v="20"/>
    <x v="26"/>
    <x v="742"/>
    <x v="0"/>
    <s v="EL DORADO"/>
    <x v="1"/>
  </r>
  <r>
    <x v="2"/>
    <x v="31"/>
    <x v="4"/>
    <x v="4"/>
    <x v="0"/>
    <x v="2"/>
    <x v="20"/>
    <x v="26"/>
    <x v="742"/>
    <x v="0"/>
    <s v="EL DORADO"/>
    <x v="1"/>
  </r>
  <r>
    <x v="2"/>
    <x v="39"/>
    <x v="4"/>
    <x v="4"/>
    <x v="0"/>
    <x v="2"/>
    <x v="20"/>
    <x v="26"/>
    <x v="737"/>
    <x v="0"/>
    <s v="EL DORADO"/>
    <x v="1"/>
  </r>
  <r>
    <x v="2"/>
    <x v="40"/>
    <x v="1"/>
    <x v="1"/>
    <x v="0"/>
    <x v="2"/>
    <x v="20"/>
    <x v="26"/>
    <x v="744"/>
    <x v="0"/>
    <s v="EL DORADO"/>
    <x v="1"/>
  </r>
  <r>
    <x v="2"/>
    <x v="41"/>
    <x v="1"/>
    <x v="1"/>
    <x v="0"/>
    <x v="2"/>
    <x v="20"/>
    <x v="26"/>
    <x v="737"/>
    <x v="0"/>
    <s v="EL DORADO"/>
    <x v="1"/>
  </r>
  <r>
    <x v="2"/>
    <x v="42"/>
    <x v="1"/>
    <x v="1"/>
    <x v="0"/>
    <x v="2"/>
    <x v="20"/>
    <x v="26"/>
    <x v="742"/>
    <x v="0"/>
    <s v="EL DORADO"/>
    <x v="1"/>
  </r>
  <r>
    <x v="2"/>
    <x v="1"/>
    <x v="1"/>
    <x v="1"/>
    <x v="0"/>
    <x v="2"/>
    <x v="1"/>
    <x v="1"/>
    <x v="1"/>
    <x v="169"/>
    <s v="EL DORADO"/>
    <x v="1"/>
  </r>
  <r>
    <x v="3"/>
    <x v="43"/>
    <x v="3"/>
    <x v="3"/>
    <x v="0"/>
    <x v="2"/>
    <x v="20"/>
    <x v="27"/>
    <x v="737"/>
    <x v="0"/>
    <s v="VIA ARGENTINA"/>
    <x v="1"/>
  </r>
  <r>
    <x v="3"/>
    <x v="44"/>
    <x v="3"/>
    <x v="3"/>
    <x v="0"/>
    <x v="2"/>
    <x v="20"/>
    <x v="27"/>
    <x v="744"/>
    <x v="0"/>
    <s v="VIA ARGENTINA"/>
    <x v="1"/>
  </r>
  <r>
    <x v="3"/>
    <x v="45"/>
    <x v="0"/>
    <x v="0"/>
    <x v="0"/>
    <x v="2"/>
    <x v="20"/>
    <x v="27"/>
    <x v="744"/>
    <x v="0"/>
    <s v="VIA ARGENTINA"/>
    <x v="1"/>
  </r>
  <r>
    <x v="3"/>
    <x v="46"/>
    <x v="0"/>
    <x v="0"/>
    <x v="0"/>
    <x v="2"/>
    <x v="20"/>
    <x v="27"/>
    <x v="744"/>
    <x v="0"/>
    <s v="VIA ARGENTINA"/>
    <x v="1"/>
  </r>
  <r>
    <x v="3"/>
    <x v="1"/>
    <x v="1"/>
    <x v="1"/>
    <x v="0"/>
    <x v="2"/>
    <x v="1"/>
    <x v="1"/>
    <x v="1"/>
    <x v="170"/>
    <s v="VIA ARGENTINA"/>
    <x v="1"/>
  </r>
  <r>
    <x v="4"/>
    <x v="47"/>
    <x v="2"/>
    <x v="2"/>
    <x v="0"/>
    <x v="2"/>
    <x v="20"/>
    <x v="28"/>
    <x v="745"/>
    <x v="0"/>
    <s v="VIA PORRAS"/>
    <x v="1"/>
  </r>
  <r>
    <x v="4"/>
    <x v="48"/>
    <x v="2"/>
    <x v="2"/>
    <x v="0"/>
    <x v="2"/>
    <x v="20"/>
    <x v="28"/>
    <x v="744"/>
    <x v="0"/>
    <s v="VIA PORRAS"/>
    <x v="1"/>
  </r>
  <r>
    <x v="4"/>
    <x v="36"/>
    <x v="6"/>
    <x v="6"/>
    <x v="0"/>
    <x v="2"/>
    <x v="20"/>
    <x v="28"/>
    <x v="737"/>
    <x v="0"/>
    <s v="VIA PORRAS"/>
    <x v="1"/>
  </r>
  <r>
    <x v="4"/>
    <x v="21"/>
    <x v="6"/>
    <x v="6"/>
    <x v="0"/>
    <x v="2"/>
    <x v="20"/>
    <x v="28"/>
    <x v="746"/>
    <x v="0"/>
    <s v="VIA PORRAS"/>
    <x v="1"/>
  </r>
  <r>
    <x v="4"/>
    <x v="49"/>
    <x v="3"/>
    <x v="3"/>
    <x v="0"/>
    <x v="2"/>
    <x v="20"/>
    <x v="28"/>
    <x v="745"/>
    <x v="0"/>
    <s v="VIA PORRAS"/>
    <x v="1"/>
  </r>
  <r>
    <x v="4"/>
    <x v="19"/>
    <x v="3"/>
    <x v="3"/>
    <x v="0"/>
    <x v="2"/>
    <x v="20"/>
    <x v="28"/>
    <x v="745"/>
    <x v="0"/>
    <s v="VIA PORRAS"/>
    <x v="1"/>
  </r>
  <r>
    <x v="4"/>
    <x v="10"/>
    <x v="3"/>
    <x v="3"/>
    <x v="0"/>
    <x v="2"/>
    <x v="20"/>
    <x v="28"/>
    <x v="744"/>
    <x v="0"/>
    <s v="VIA PORRAS"/>
    <x v="1"/>
  </r>
  <r>
    <x v="4"/>
    <x v="50"/>
    <x v="4"/>
    <x v="4"/>
    <x v="0"/>
    <x v="2"/>
    <x v="20"/>
    <x v="28"/>
    <x v="744"/>
    <x v="0"/>
    <s v="VIA PORRAS"/>
    <x v="1"/>
  </r>
  <r>
    <x v="4"/>
    <x v="51"/>
    <x v="4"/>
    <x v="4"/>
    <x v="0"/>
    <x v="2"/>
    <x v="20"/>
    <x v="28"/>
    <x v="747"/>
    <x v="0"/>
    <s v="VIA PORRAS"/>
    <x v="1"/>
  </r>
  <r>
    <x v="4"/>
    <x v="52"/>
    <x v="0"/>
    <x v="0"/>
    <x v="0"/>
    <x v="2"/>
    <x v="20"/>
    <x v="28"/>
    <x v="746"/>
    <x v="0"/>
    <s v="VIA PORRAS"/>
    <x v="1"/>
  </r>
  <r>
    <x v="4"/>
    <x v="53"/>
    <x v="0"/>
    <x v="0"/>
    <x v="0"/>
    <x v="2"/>
    <x v="20"/>
    <x v="28"/>
    <x v="737"/>
    <x v="0"/>
    <s v="VIA PORRAS"/>
    <x v="1"/>
  </r>
  <r>
    <x v="4"/>
    <x v="54"/>
    <x v="5"/>
    <x v="5"/>
    <x v="0"/>
    <x v="2"/>
    <x v="20"/>
    <x v="28"/>
    <x v="744"/>
    <x v="0"/>
    <s v="VIA PORRAS"/>
    <x v="1"/>
  </r>
  <r>
    <x v="4"/>
    <x v="55"/>
    <x v="1"/>
    <x v="1"/>
    <x v="0"/>
    <x v="2"/>
    <x v="20"/>
    <x v="28"/>
    <x v="744"/>
    <x v="0"/>
    <s v="VIA PORRAS"/>
    <x v="1"/>
  </r>
  <r>
    <x v="4"/>
    <x v="1"/>
    <x v="1"/>
    <x v="1"/>
    <x v="0"/>
    <x v="2"/>
    <x v="20"/>
    <x v="28"/>
    <x v="744"/>
    <x v="0"/>
    <s v="VIA PORRAS"/>
    <x v="1"/>
  </r>
  <r>
    <x v="4"/>
    <x v="1"/>
    <x v="1"/>
    <x v="1"/>
    <x v="0"/>
    <x v="2"/>
    <x v="1"/>
    <x v="1"/>
    <x v="1"/>
    <x v="171"/>
    <s v="VIA PORRAS"/>
    <x v="1"/>
  </r>
  <r>
    <x v="5"/>
    <x v="56"/>
    <x v="3"/>
    <x v="3"/>
    <x v="0"/>
    <x v="2"/>
    <x v="20"/>
    <x v="29"/>
    <x v="746"/>
    <x v="0"/>
    <s v="EL INGENIO"/>
    <x v="1"/>
  </r>
  <r>
    <x v="5"/>
    <x v="12"/>
    <x v="4"/>
    <x v="4"/>
    <x v="0"/>
    <x v="2"/>
    <x v="20"/>
    <x v="29"/>
    <x v="748"/>
    <x v="0"/>
    <s v="EL INGENIO"/>
    <x v="1"/>
  </r>
  <r>
    <x v="5"/>
    <x v="30"/>
    <x v="4"/>
    <x v="4"/>
    <x v="0"/>
    <x v="2"/>
    <x v="20"/>
    <x v="29"/>
    <x v="749"/>
    <x v="0"/>
    <s v="EL INGENIO"/>
    <x v="1"/>
  </r>
  <r>
    <x v="5"/>
    <x v="57"/>
    <x v="0"/>
    <x v="0"/>
    <x v="0"/>
    <x v="2"/>
    <x v="20"/>
    <x v="29"/>
    <x v="750"/>
    <x v="0"/>
    <s v="EL INGENIO"/>
    <x v="1"/>
  </r>
  <r>
    <x v="5"/>
    <x v="58"/>
    <x v="1"/>
    <x v="1"/>
    <x v="0"/>
    <x v="2"/>
    <x v="20"/>
    <x v="29"/>
    <x v="742"/>
    <x v="0"/>
    <s v="EL INGENIO"/>
    <x v="1"/>
  </r>
  <r>
    <x v="5"/>
    <x v="1"/>
    <x v="1"/>
    <x v="1"/>
    <x v="0"/>
    <x v="2"/>
    <x v="1"/>
    <x v="1"/>
    <x v="1"/>
    <x v="172"/>
    <s v="EL INGENIO"/>
    <x v="1"/>
  </r>
  <r>
    <x v="6"/>
    <x v="35"/>
    <x v="2"/>
    <x v="2"/>
    <x v="0"/>
    <x v="2"/>
    <x v="20"/>
    <x v="30"/>
    <x v="751"/>
    <x v="0"/>
    <s v="CHANIS"/>
    <x v="1"/>
  </r>
  <r>
    <x v="6"/>
    <x v="59"/>
    <x v="6"/>
    <x v="6"/>
    <x v="0"/>
    <x v="2"/>
    <x v="20"/>
    <x v="30"/>
    <x v="737"/>
    <x v="0"/>
    <s v="CHANIS"/>
    <x v="1"/>
  </r>
  <r>
    <x v="6"/>
    <x v="60"/>
    <x v="3"/>
    <x v="3"/>
    <x v="0"/>
    <x v="2"/>
    <x v="20"/>
    <x v="30"/>
    <x v="752"/>
    <x v="0"/>
    <s v="CHANIS"/>
    <x v="1"/>
  </r>
  <r>
    <x v="6"/>
    <x v="61"/>
    <x v="3"/>
    <x v="3"/>
    <x v="0"/>
    <x v="2"/>
    <x v="20"/>
    <x v="30"/>
    <x v="751"/>
    <x v="0"/>
    <s v="CHANIS"/>
    <x v="1"/>
  </r>
  <r>
    <x v="6"/>
    <x v="62"/>
    <x v="4"/>
    <x v="4"/>
    <x v="0"/>
    <x v="2"/>
    <x v="20"/>
    <x v="30"/>
    <x v="742"/>
    <x v="0"/>
    <s v="CHANIS"/>
    <x v="1"/>
  </r>
  <r>
    <x v="6"/>
    <x v="4"/>
    <x v="4"/>
    <x v="4"/>
    <x v="0"/>
    <x v="2"/>
    <x v="20"/>
    <x v="30"/>
    <x v="748"/>
    <x v="0"/>
    <s v="CHANIS"/>
    <x v="1"/>
  </r>
  <r>
    <x v="6"/>
    <x v="63"/>
    <x v="5"/>
    <x v="5"/>
    <x v="0"/>
    <x v="2"/>
    <x v="20"/>
    <x v="30"/>
    <x v="751"/>
    <x v="0"/>
    <s v="CHANIS"/>
    <x v="1"/>
  </r>
  <r>
    <x v="6"/>
    <x v="1"/>
    <x v="1"/>
    <x v="1"/>
    <x v="0"/>
    <x v="2"/>
    <x v="1"/>
    <x v="1"/>
    <x v="1"/>
    <x v="173"/>
    <s v="CHANIS"/>
    <x v="1"/>
  </r>
  <r>
    <x v="7"/>
    <x v="64"/>
    <x v="2"/>
    <x v="2"/>
    <x v="0"/>
    <x v="2"/>
    <x v="20"/>
    <x v="31"/>
    <x v="753"/>
    <x v="0"/>
    <s v="PLAZA TOCUMEN"/>
    <x v="1"/>
  </r>
  <r>
    <x v="7"/>
    <x v="65"/>
    <x v="6"/>
    <x v="6"/>
    <x v="0"/>
    <x v="2"/>
    <x v="20"/>
    <x v="31"/>
    <x v="754"/>
    <x v="0"/>
    <s v="PLAZA TOCUMEN"/>
    <x v="1"/>
  </r>
  <r>
    <x v="7"/>
    <x v="60"/>
    <x v="3"/>
    <x v="3"/>
    <x v="0"/>
    <x v="2"/>
    <x v="20"/>
    <x v="31"/>
    <x v="755"/>
    <x v="0"/>
    <s v="PLAZA TOCUMEN"/>
    <x v="1"/>
  </r>
  <r>
    <x v="7"/>
    <x v="29"/>
    <x v="4"/>
    <x v="4"/>
    <x v="0"/>
    <x v="2"/>
    <x v="20"/>
    <x v="31"/>
    <x v="756"/>
    <x v="0"/>
    <s v="PLAZA TOCUMEN"/>
    <x v="1"/>
  </r>
  <r>
    <x v="7"/>
    <x v="66"/>
    <x v="4"/>
    <x v="4"/>
    <x v="0"/>
    <x v="2"/>
    <x v="20"/>
    <x v="31"/>
    <x v="756"/>
    <x v="0"/>
    <s v="PLAZA TOCUMEN"/>
    <x v="1"/>
  </r>
  <r>
    <x v="7"/>
    <x v="13"/>
    <x v="5"/>
    <x v="5"/>
    <x v="0"/>
    <x v="2"/>
    <x v="20"/>
    <x v="31"/>
    <x v="757"/>
    <x v="0"/>
    <s v="PLAZA TOCUMEN"/>
    <x v="1"/>
  </r>
  <r>
    <x v="7"/>
    <x v="1"/>
    <x v="1"/>
    <x v="1"/>
    <x v="0"/>
    <x v="2"/>
    <x v="1"/>
    <x v="1"/>
    <x v="1"/>
    <x v="174"/>
    <s v="PLAZA TOCUMEN"/>
    <x v="1"/>
  </r>
  <r>
    <x v="8"/>
    <x v="67"/>
    <x v="6"/>
    <x v="6"/>
    <x v="0"/>
    <x v="2"/>
    <x v="21"/>
    <x v="32"/>
    <x v="758"/>
    <x v="0"/>
    <s v="SANTIAGO"/>
    <x v="1"/>
  </r>
  <r>
    <x v="8"/>
    <x v="26"/>
    <x v="3"/>
    <x v="3"/>
    <x v="0"/>
    <x v="2"/>
    <x v="20"/>
    <x v="33"/>
    <x v="759"/>
    <x v="0"/>
    <s v="SANTIAGO"/>
    <x v="1"/>
  </r>
  <r>
    <x v="8"/>
    <x v="68"/>
    <x v="4"/>
    <x v="4"/>
    <x v="0"/>
    <x v="2"/>
    <x v="20"/>
    <x v="33"/>
    <x v="760"/>
    <x v="0"/>
    <s v="SANTIAGO"/>
    <x v="1"/>
  </r>
  <r>
    <x v="8"/>
    <x v="51"/>
    <x v="4"/>
    <x v="4"/>
    <x v="0"/>
    <x v="2"/>
    <x v="21"/>
    <x v="34"/>
    <x v="761"/>
    <x v="0"/>
    <s v="SANTIAGO"/>
    <x v="1"/>
  </r>
  <r>
    <x v="8"/>
    <x v="39"/>
    <x v="4"/>
    <x v="4"/>
    <x v="0"/>
    <x v="2"/>
    <x v="20"/>
    <x v="33"/>
    <x v="762"/>
    <x v="0"/>
    <s v="SANTIAGO"/>
    <x v="1"/>
  </r>
  <r>
    <x v="8"/>
    <x v="1"/>
    <x v="1"/>
    <x v="1"/>
    <x v="0"/>
    <x v="2"/>
    <x v="1"/>
    <x v="1"/>
    <x v="1"/>
    <x v="175"/>
    <s v="SANTIAGO"/>
    <x v="1"/>
  </r>
  <r>
    <x v="9"/>
    <x v="69"/>
    <x v="3"/>
    <x v="3"/>
    <x v="0"/>
    <x v="2"/>
    <x v="20"/>
    <x v="35"/>
    <x v="763"/>
    <x v="0"/>
    <s v="OBARRIO"/>
    <x v="1"/>
  </r>
  <r>
    <x v="9"/>
    <x v="1"/>
    <x v="1"/>
    <x v="1"/>
    <x v="0"/>
    <x v="2"/>
    <x v="1"/>
    <x v="1"/>
    <x v="1"/>
    <x v="176"/>
    <s v="OBARRIO"/>
    <x v="1"/>
  </r>
  <r>
    <x v="70"/>
    <x v="70"/>
    <x v="2"/>
    <x v="2"/>
    <x v="0"/>
    <x v="2"/>
    <x v="21"/>
    <x v="36"/>
    <x v="764"/>
    <x v="0"/>
    <s v="COLON"/>
    <x v="1"/>
  </r>
  <r>
    <x v="70"/>
    <x v="71"/>
    <x v="6"/>
    <x v="6"/>
    <x v="0"/>
    <x v="2"/>
    <x v="21"/>
    <x v="37"/>
    <x v="765"/>
    <x v="0"/>
    <s v="COLON"/>
    <x v="1"/>
  </r>
  <r>
    <x v="70"/>
    <x v="72"/>
    <x v="5"/>
    <x v="5"/>
    <x v="0"/>
    <x v="2"/>
    <x v="21"/>
    <x v="38"/>
    <x v="766"/>
    <x v="0"/>
    <s v="COLON"/>
    <x v="1"/>
  </r>
  <r>
    <x v="70"/>
    <x v="73"/>
    <x v="1"/>
    <x v="1"/>
    <x v="0"/>
    <x v="2"/>
    <x v="21"/>
    <x v="39"/>
    <x v="767"/>
    <x v="0"/>
    <s v="COLON"/>
    <x v="1"/>
  </r>
  <r>
    <x v="70"/>
    <x v="1"/>
    <x v="1"/>
    <x v="1"/>
    <x v="0"/>
    <x v="2"/>
    <x v="1"/>
    <x v="1"/>
    <x v="1"/>
    <x v="177"/>
    <s v="COLON"/>
    <x v="1"/>
  </r>
  <r>
    <x v="71"/>
    <x v="1"/>
    <x v="1"/>
    <x v="1"/>
    <x v="0"/>
    <x v="2"/>
    <x v="1"/>
    <x v="1"/>
    <x v="1"/>
    <x v="178"/>
    <s v="AUTOBANCO SAN FRANCISCO"/>
    <x v="1"/>
  </r>
  <r>
    <x v="10"/>
    <x v="74"/>
    <x v="3"/>
    <x v="3"/>
    <x v="0"/>
    <x v="2"/>
    <x v="20"/>
    <x v="40"/>
    <x v="737"/>
    <x v="0"/>
    <s v="HATO PINTADO"/>
    <x v="1"/>
  </r>
  <r>
    <x v="10"/>
    <x v="75"/>
    <x v="3"/>
    <x v="3"/>
    <x v="0"/>
    <x v="2"/>
    <x v="20"/>
    <x v="40"/>
    <x v="768"/>
    <x v="0"/>
    <s v="HATO PINTADO"/>
    <x v="1"/>
  </r>
  <r>
    <x v="10"/>
    <x v="76"/>
    <x v="5"/>
    <x v="5"/>
    <x v="0"/>
    <x v="2"/>
    <x v="20"/>
    <x v="40"/>
    <x v="737"/>
    <x v="0"/>
    <s v="HATO PINTADO"/>
    <x v="1"/>
  </r>
  <r>
    <x v="10"/>
    <x v="77"/>
    <x v="5"/>
    <x v="5"/>
    <x v="0"/>
    <x v="2"/>
    <x v="20"/>
    <x v="40"/>
    <x v="737"/>
    <x v="0"/>
    <s v="HATO PINTADO"/>
    <x v="1"/>
  </r>
  <r>
    <x v="10"/>
    <x v="54"/>
    <x v="5"/>
    <x v="5"/>
    <x v="0"/>
    <x v="2"/>
    <x v="20"/>
    <x v="40"/>
    <x v="750"/>
    <x v="0"/>
    <s v="HATO PINTADO"/>
    <x v="1"/>
  </r>
  <r>
    <x v="10"/>
    <x v="1"/>
    <x v="1"/>
    <x v="1"/>
    <x v="0"/>
    <x v="2"/>
    <x v="1"/>
    <x v="1"/>
    <x v="1"/>
    <x v="179"/>
    <s v="HATO PINTADO"/>
    <x v="1"/>
  </r>
  <r>
    <x v="11"/>
    <x v="78"/>
    <x v="4"/>
    <x v="4"/>
    <x v="0"/>
    <x v="2"/>
    <x v="20"/>
    <x v="41"/>
    <x v="737"/>
    <x v="0"/>
    <s v="RIO ABAJO"/>
    <x v="1"/>
  </r>
  <r>
    <x v="11"/>
    <x v="73"/>
    <x v="1"/>
    <x v="1"/>
    <x v="0"/>
    <x v="2"/>
    <x v="20"/>
    <x v="41"/>
    <x v="737"/>
    <x v="0"/>
    <s v="RIO ABAJO"/>
    <x v="1"/>
  </r>
  <r>
    <x v="11"/>
    <x v="1"/>
    <x v="1"/>
    <x v="1"/>
    <x v="0"/>
    <x v="2"/>
    <x v="1"/>
    <x v="1"/>
    <x v="1"/>
    <x v="180"/>
    <s v="RIO ABAJO"/>
    <x v="1"/>
  </r>
  <r>
    <x v="11"/>
    <x v="1"/>
    <x v="1"/>
    <x v="1"/>
    <x v="0"/>
    <x v="0"/>
    <x v="1"/>
    <x v="1"/>
    <x v="1"/>
    <x v="181"/>
    <s v="RIO ABAJO"/>
    <x v="1"/>
  </r>
  <r>
    <x v="12"/>
    <x v="70"/>
    <x v="2"/>
    <x v="2"/>
    <x v="0"/>
    <x v="2"/>
    <x v="21"/>
    <x v="36"/>
    <x v="769"/>
    <x v="0"/>
    <s v="LA CHORRERA"/>
    <x v="1"/>
  </r>
  <r>
    <x v="12"/>
    <x v="25"/>
    <x v="2"/>
    <x v="2"/>
    <x v="0"/>
    <x v="2"/>
    <x v="20"/>
    <x v="42"/>
    <x v="748"/>
    <x v="0"/>
    <s v="LA CHORRERA"/>
    <x v="1"/>
  </r>
  <r>
    <x v="12"/>
    <x v="9"/>
    <x v="6"/>
    <x v="6"/>
    <x v="0"/>
    <x v="2"/>
    <x v="20"/>
    <x v="42"/>
    <x v="770"/>
    <x v="0"/>
    <s v="LA CHORRERA"/>
    <x v="1"/>
  </r>
  <r>
    <x v="12"/>
    <x v="60"/>
    <x v="3"/>
    <x v="3"/>
    <x v="0"/>
    <x v="2"/>
    <x v="20"/>
    <x v="42"/>
    <x v="771"/>
    <x v="0"/>
    <s v="LA CHORRERA"/>
    <x v="1"/>
  </r>
  <r>
    <x v="12"/>
    <x v="27"/>
    <x v="3"/>
    <x v="3"/>
    <x v="0"/>
    <x v="2"/>
    <x v="21"/>
    <x v="43"/>
    <x v="772"/>
    <x v="0"/>
    <s v="LA CHORRERA"/>
    <x v="1"/>
  </r>
  <r>
    <x v="12"/>
    <x v="79"/>
    <x v="3"/>
    <x v="3"/>
    <x v="0"/>
    <x v="2"/>
    <x v="20"/>
    <x v="42"/>
    <x v="771"/>
    <x v="0"/>
    <s v="LA CHORRERA"/>
    <x v="1"/>
  </r>
  <r>
    <x v="12"/>
    <x v="80"/>
    <x v="4"/>
    <x v="4"/>
    <x v="0"/>
    <x v="2"/>
    <x v="20"/>
    <x v="42"/>
    <x v="770"/>
    <x v="0"/>
    <s v="LA CHORRERA"/>
    <x v="1"/>
  </r>
  <r>
    <x v="12"/>
    <x v="81"/>
    <x v="4"/>
    <x v="4"/>
    <x v="0"/>
    <x v="2"/>
    <x v="20"/>
    <x v="42"/>
    <x v="748"/>
    <x v="0"/>
    <s v="LA CHORRERA"/>
    <x v="1"/>
  </r>
  <r>
    <x v="12"/>
    <x v="31"/>
    <x v="4"/>
    <x v="4"/>
    <x v="0"/>
    <x v="2"/>
    <x v="20"/>
    <x v="42"/>
    <x v="748"/>
    <x v="0"/>
    <s v="LA CHORRERA"/>
    <x v="1"/>
  </r>
  <r>
    <x v="12"/>
    <x v="57"/>
    <x v="0"/>
    <x v="0"/>
    <x v="0"/>
    <x v="2"/>
    <x v="21"/>
    <x v="44"/>
    <x v="769"/>
    <x v="0"/>
    <s v="LA CHORRERA"/>
    <x v="1"/>
  </r>
  <r>
    <x v="12"/>
    <x v="82"/>
    <x v="0"/>
    <x v="0"/>
    <x v="0"/>
    <x v="2"/>
    <x v="20"/>
    <x v="42"/>
    <x v="773"/>
    <x v="0"/>
    <s v="LA CHORRERA"/>
    <x v="1"/>
  </r>
  <r>
    <x v="12"/>
    <x v="20"/>
    <x v="5"/>
    <x v="5"/>
    <x v="0"/>
    <x v="2"/>
    <x v="21"/>
    <x v="45"/>
    <x v="769"/>
    <x v="0"/>
    <s v="LA CHORRERA"/>
    <x v="1"/>
  </r>
  <r>
    <x v="12"/>
    <x v="58"/>
    <x v="1"/>
    <x v="1"/>
    <x v="0"/>
    <x v="2"/>
    <x v="20"/>
    <x v="42"/>
    <x v="748"/>
    <x v="0"/>
    <s v="LA CHORRERA"/>
    <x v="1"/>
  </r>
  <r>
    <x v="12"/>
    <x v="83"/>
    <x v="1"/>
    <x v="1"/>
    <x v="0"/>
    <x v="2"/>
    <x v="20"/>
    <x v="42"/>
    <x v="770"/>
    <x v="0"/>
    <s v="LA CHORRERA"/>
    <x v="1"/>
  </r>
  <r>
    <x v="12"/>
    <x v="22"/>
    <x v="1"/>
    <x v="1"/>
    <x v="0"/>
    <x v="2"/>
    <x v="20"/>
    <x v="42"/>
    <x v="748"/>
    <x v="0"/>
    <s v="LA CHORRERA"/>
    <x v="1"/>
  </r>
  <r>
    <x v="12"/>
    <x v="33"/>
    <x v="1"/>
    <x v="1"/>
    <x v="0"/>
    <x v="2"/>
    <x v="20"/>
    <x v="42"/>
    <x v="748"/>
    <x v="0"/>
    <s v="LA CHORRERA"/>
    <x v="1"/>
  </r>
  <r>
    <x v="12"/>
    <x v="1"/>
    <x v="1"/>
    <x v="1"/>
    <x v="0"/>
    <x v="2"/>
    <x v="1"/>
    <x v="1"/>
    <x v="1"/>
    <x v="182"/>
    <s v="LA CHORRERA"/>
    <x v="1"/>
  </r>
  <r>
    <x v="12"/>
    <x v="1"/>
    <x v="1"/>
    <x v="1"/>
    <x v="0"/>
    <x v="1"/>
    <x v="1"/>
    <x v="1"/>
    <x v="1"/>
    <x v="183"/>
    <s v="LA CHORRERA"/>
    <x v="1"/>
  </r>
  <r>
    <x v="13"/>
    <x v="84"/>
    <x v="2"/>
    <x v="2"/>
    <x v="0"/>
    <x v="2"/>
    <x v="20"/>
    <x v="46"/>
    <x v="774"/>
    <x v="0"/>
    <s v="AVENIDA CENTRAL"/>
    <x v="1"/>
  </r>
  <r>
    <x v="13"/>
    <x v="30"/>
    <x v="4"/>
    <x v="4"/>
    <x v="0"/>
    <x v="2"/>
    <x v="20"/>
    <x v="46"/>
    <x v="774"/>
    <x v="0"/>
    <s v="AVENIDA CENTRAL"/>
    <x v="1"/>
  </r>
  <r>
    <x v="13"/>
    <x v="1"/>
    <x v="1"/>
    <x v="1"/>
    <x v="0"/>
    <x v="2"/>
    <x v="1"/>
    <x v="1"/>
    <x v="1"/>
    <x v="184"/>
    <s v="AVENIDA CENTRAL"/>
    <x v="1"/>
  </r>
  <r>
    <x v="14"/>
    <x v="85"/>
    <x v="2"/>
    <x v="2"/>
    <x v="0"/>
    <x v="2"/>
    <x v="20"/>
    <x v="47"/>
    <x v="754"/>
    <x v="0"/>
    <s v="LOS ANGELES"/>
    <x v="1"/>
  </r>
  <r>
    <x v="14"/>
    <x v="86"/>
    <x v="6"/>
    <x v="6"/>
    <x v="0"/>
    <x v="2"/>
    <x v="20"/>
    <x v="47"/>
    <x v="747"/>
    <x v="0"/>
    <s v="LOS ANGELES"/>
    <x v="1"/>
  </r>
  <r>
    <x v="14"/>
    <x v="87"/>
    <x v="6"/>
    <x v="6"/>
    <x v="0"/>
    <x v="2"/>
    <x v="20"/>
    <x v="47"/>
    <x v="742"/>
    <x v="0"/>
    <s v="LOS ANGELES"/>
    <x v="1"/>
  </r>
  <r>
    <x v="14"/>
    <x v="88"/>
    <x v="6"/>
    <x v="6"/>
    <x v="0"/>
    <x v="2"/>
    <x v="20"/>
    <x v="47"/>
    <x v="744"/>
    <x v="0"/>
    <s v="LOS ANGELES"/>
    <x v="1"/>
  </r>
  <r>
    <x v="14"/>
    <x v="67"/>
    <x v="6"/>
    <x v="6"/>
    <x v="0"/>
    <x v="2"/>
    <x v="20"/>
    <x v="47"/>
    <x v="745"/>
    <x v="0"/>
    <s v="LOS ANGELES"/>
    <x v="1"/>
  </r>
  <r>
    <x v="14"/>
    <x v="89"/>
    <x v="4"/>
    <x v="4"/>
    <x v="0"/>
    <x v="2"/>
    <x v="20"/>
    <x v="47"/>
    <x v="748"/>
    <x v="0"/>
    <s v="LOS ANGELES"/>
    <x v="1"/>
  </r>
  <r>
    <x v="14"/>
    <x v="4"/>
    <x v="4"/>
    <x v="4"/>
    <x v="0"/>
    <x v="2"/>
    <x v="20"/>
    <x v="47"/>
    <x v="748"/>
    <x v="0"/>
    <s v="LOS ANGELES"/>
    <x v="1"/>
  </r>
  <r>
    <x v="14"/>
    <x v="90"/>
    <x v="0"/>
    <x v="0"/>
    <x v="0"/>
    <x v="2"/>
    <x v="20"/>
    <x v="47"/>
    <x v="742"/>
    <x v="0"/>
    <s v="LOS ANGELES"/>
    <x v="1"/>
  </r>
  <r>
    <x v="14"/>
    <x v="0"/>
    <x v="0"/>
    <x v="0"/>
    <x v="0"/>
    <x v="2"/>
    <x v="20"/>
    <x v="47"/>
    <x v="737"/>
    <x v="0"/>
    <s v="LOS ANGELES"/>
    <x v="1"/>
  </r>
  <r>
    <x v="14"/>
    <x v="91"/>
    <x v="0"/>
    <x v="0"/>
    <x v="0"/>
    <x v="2"/>
    <x v="20"/>
    <x v="47"/>
    <x v="747"/>
    <x v="0"/>
    <s v="LOS ANGELES"/>
    <x v="1"/>
  </r>
  <r>
    <x v="14"/>
    <x v="92"/>
    <x v="0"/>
    <x v="0"/>
    <x v="0"/>
    <x v="2"/>
    <x v="20"/>
    <x v="47"/>
    <x v="737"/>
    <x v="0"/>
    <s v="LOS ANGELES"/>
    <x v="1"/>
  </r>
  <r>
    <x v="14"/>
    <x v="93"/>
    <x v="0"/>
    <x v="0"/>
    <x v="0"/>
    <x v="2"/>
    <x v="20"/>
    <x v="47"/>
    <x v="737"/>
    <x v="0"/>
    <s v="LOS ANGELES"/>
    <x v="1"/>
  </r>
  <r>
    <x v="14"/>
    <x v="94"/>
    <x v="0"/>
    <x v="0"/>
    <x v="0"/>
    <x v="2"/>
    <x v="20"/>
    <x v="47"/>
    <x v="775"/>
    <x v="0"/>
    <s v="LOS ANGELES"/>
    <x v="1"/>
  </r>
  <r>
    <x v="14"/>
    <x v="72"/>
    <x v="5"/>
    <x v="5"/>
    <x v="0"/>
    <x v="2"/>
    <x v="20"/>
    <x v="47"/>
    <x v="776"/>
    <x v="0"/>
    <s v="LOS ANGELES"/>
    <x v="1"/>
  </r>
  <r>
    <x v="14"/>
    <x v="95"/>
    <x v="1"/>
    <x v="1"/>
    <x v="0"/>
    <x v="2"/>
    <x v="20"/>
    <x v="47"/>
    <x v="748"/>
    <x v="0"/>
    <s v="LOS ANGELES"/>
    <x v="1"/>
  </r>
  <r>
    <x v="14"/>
    <x v="41"/>
    <x v="1"/>
    <x v="1"/>
    <x v="0"/>
    <x v="2"/>
    <x v="20"/>
    <x v="47"/>
    <x v="744"/>
    <x v="0"/>
    <s v="LOS ANGELES"/>
    <x v="1"/>
  </r>
  <r>
    <x v="14"/>
    <x v="42"/>
    <x v="1"/>
    <x v="1"/>
    <x v="0"/>
    <x v="2"/>
    <x v="20"/>
    <x v="47"/>
    <x v="776"/>
    <x v="0"/>
    <s v="LOS ANGELES"/>
    <x v="1"/>
  </r>
  <r>
    <x v="14"/>
    <x v="8"/>
    <x v="1"/>
    <x v="1"/>
    <x v="0"/>
    <x v="2"/>
    <x v="20"/>
    <x v="47"/>
    <x v="776"/>
    <x v="0"/>
    <s v="LOS ANGELES"/>
    <x v="1"/>
  </r>
  <r>
    <x v="14"/>
    <x v="1"/>
    <x v="1"/>
    <x v="1"/>
    <x v="0"/>
    <x v="2"/>
    <x v="1"/>
    <x v="1"/>
    <x v="1"/>
    <x v="185"/>
    <s v="LOS ANGELES"/>
    <x v="1"/>
  </r>
  <r>
    <x v="15"/>
    <x v="70"/>
    <x v="2"/>
    <x v="2"/>
    <x v="0"/>
    <x v="2"/>
    <x v="20"/>
    <x v="48"/>
    <x v="777"/>
    <x v="0"/>
    <s v="VILLA LUCRE"/>
    <x v="1"/>
  </r>
  <r>
    <x v="15"/>
    <x v="88"/>
    <x v="6"/>
    <x v="6"/>
    <x v="0"/>
    <x v="2"/>
    <x v="20"/>
    <x v="48"/>
    <x v="755"/>
    <x v="0"/>
    <s v="VILLA LUCRE"/>
    <x v="1"/>
  </r>
  <r>
    <x v="15"/>
    <x v="96"/>
    <x v="6"/>
    <x v="6"/>
    <x v="0"/>
    <x v="2"/>
    <x v="20"/>
    <x v="48"/>
    <x v="778"/>
    <x v="0"/>
    <s v="VILLA LUCRE"/>
    <x v="1"/>
  </r>
  <r>
    <x v="15"/>
    <x v="97"/>
    <x v="5"/>
    <x v="5"/>
    <x v="0"/>
    <x v="2"/>
    <x v="20"/>
    <x v="48"/>
    <x v="756"/>
    <x v="0"/>
    <s v="VILLA LUCRE"/>
    <x v="1"/>
  </r>
  <r>
    <x v="15"/>
    <x v="8"/>
    <x v="1"/>
    <x v="1"/>
    <x v="0"/>
    <x v="2"/>
    <x v="20"/>
    <x v="48"/>
    <x v="778"/>
    <x v="0"/>
    <s v="VILLA LUCRE"/>
    <x v="1"/>
  </r>
  <r>
    <x v="15"/>
    <x v="98"/>
    <x v="1"/>
    <x v="1"/>
    <x v="0"/>
    <x v="2"/>
    <x v="20"/>
    <x v="48"/>
    <x v="755"/>
    <x v="0"/>
    <s v="VILLA LUCRE"/>
    <x v="1"/>
  </r>
  <r>
    <x v="15"/>
    <x v="1"/>
    <x v="1"/>
    <x v="1"/>
    <x v="0"/>
    <x v="2"/>
    <x v="1"/>
    <x v="1"/>
    <x v="1"/>
    <x v="186"/>
    <s v="VILLA LUCRE"/>
    <x v="1"/>
  </r>
  <r>
    <x v="16"/>
    <x v="96"/>
    <x v="6"/>
    <x v="6"/>
    <x v="0"/>
    <x v="2"/>
    <x v="20"/>
    <x v="49"/>
    <x v="779"/>
    <x v="0"/>
    <s v="LOS ANDES"/>
    <x v="1"/>
  </r>
  <r>
    <x v="16"/>
    <x v="61"/>
    <x v="3"/>
    <x v="3"/>
    <x v="0"/>
    <x v="2"/>
    <x v="20"/>
    <x v="49"/>
    <x v="738"/>
    <x v="0"/>
    <s v="LOS ANDES"/>
    <x v="1"/>
  </r>
  <r>
    <x v="16"/>
    <x v="30"/>
    <x v="4"/>
    <x v="4"/>
    <x v="0"/>
    <x v="2"/>
    <x v="20"/>
    <x v="49"/>
    <x v="738"/>
    <x v="0"/>
    <s v="LOS ANDES"/>
    <x v="1"/>
  </r>
  <r>
    <x v="16"/>
    <x v="1"/>
    <x v="1"/>
    <x v="1"/>
    <x v="0"/>
    <x v="2"/>
    <x v="1"/>
    <x v="1"/>
    <x v="1"/>
    <x v="187"/>
    <s v="LOS ANDES"/>
    <x v="1"/>
  </r>
  <r>
    <x v="17"/>
    <x v="75"/>
    <x v="3"/>
    <x v="3"/>
    <x v="0"/>
    <x v="2"/>
    <x v="20"/>
    <x v="50"/>
    <x v="780"/>
    <x v="0"/>
    <s v="VIA ESPANA"/>
    <x v="1"/>
  </r>
  <r>
    <x v="17"/>
    <x v="56"/>
    <x v="3"/>
    <x v="3"/>
    <x v="0"/>
    <x v="2"/>
    <x v="22"/>
    <x v="51"/>
    <x v="1"/>
    <x v="188"/>
    <s v="VIA ESPANA"/>
    <x v="1"/>
  </r>
  <r>
    <x v="17"/>
    <x v="99"/>
    <x v="3"/>
    <x v="3"/>
    <x v="0"/>
    <x v="2"/>
    <x v="20"/>
    <x v="50"/>
    <x v="781"/>
    <x v="0"/>
    <s v="VIA ESPANA"/>
    <x v="1"/>
  </r>
  <r>
    <x v="17"/>
    <x v="89"/>
    <x v="4"/>
    <x v="4"/>
    <x v="0"/>
    <x v="2"/>
    <x v="20"/>
    <x v="50"/>
    <x v="737"/>
    <x v="0"/>
    <s v="VIA ESPANA"/>
    <x v="1"/>
  </r>
  <r>
    <x v="17"/>
    <x v="100"/>
    <x v="0"/>
    <x v="0"/>
    <x v="0"/>
    <x v="2"/>
    <x v="20"/>
    <x v="50"/>
    <x v="738"/>
    <x v="0"/>
    <s v="VIA ESPANA"/>
    <x v="1"/>
  </r>
  <r>
    <x v="17"/>
    <x v="34"/>
    <x v="5"/>
    <x v="5"/>
    <x v="0"/>
    <x v="2"/>
    <x v="20"/>
    <x v="50"/>
    <x v="744"/>
    <x v="0"/>
    <s v="VIA ESPANA"/>
    <x v="1"/>
  </r>
  <r>
    <x v="17"/>
    <x v="101"/>
    <x v="1"/>
    <x v="1"/>
    <x v="0"/>
    <x v="2"/>
    <x v="20"/>
    <x v="50"/>
    <x v="737"/>
    <x v="0"/>
    <s v="VIA ESPANA"/>
    <x v="1"/>
  </r>
  <r>
    <x v="17"/>
    <x v="1"/>
    <x v="1"/>
    <x v="1"/>
    <x v="0"/>
    <x v="2"/>
    <x v="1"/>
    <x v="1"/>
    <x v="1"/>
    <x v="189"/>
    <s v="VIA ESPANA"/>
    <x v="1"/>
  </r>
  <r>
    <x v="18"/>
    <x v="102"/>
    <x v="6"/>
    <x v="6"/>
    <x v="0"/>
    <x v="2"/>
    <x v="20"/>
    <x v="52"/>
    <x v="747"/>
    <x v="0"/>
    <s v="AVENIDA CUBA"/>
    <x v="1"/>
  </r>
  <r>
    <x v="18"/>
    <x v="1"/>
    <x v="1"/>
    <x v="1"/>
    <x v="0"/>
    <x v="2"/>
    <x v="1"/>
    <x v="1"/>
    <x v="1"/>
    <x v="190"/>
    <s v="AVENIDA CUBA"/>
    <x v="1"/>
  </r>
  <r>
    <x v="19"/>
    <x v="70"/>
    <x v="2"/>
    <x v="2"/>
    <x v="0"/>
    <x v="2"/>
    <x v="21"/>
    <x v="36"/>
    <x v="782"/>
    <x v="0"/>
    <s v="CHITRE"/>
    <x v="1"/>
  </r>
  <r>
    <x v="19"/>
    <x v="103"/>
    <x v="3"/>
    <x v="3"/>
    <x v="0"/>
    <x v="2"/>
    <x v="20"/>
    <x v="53"/>
    <x v="783"/>
    <x v="0"/>
    <s v="CHITRE"/>
    <x v="1"/>
  </r>
  <r>
    <x v="19"/>
    <x v="104"/>
    <x v="3"/>
    <x v="3"/>
    <x v="0"/>
    <x v="2"/>
    <x v="20"/>
    <x v="53"/>
    <x v="784"/>
    <x v="0"/>
    <s v="CHITRE"/>
    <x v="1"/>
  </r>
  <r>
    <x v="19"/>
    <x v="0"/>
    <x v="0"/>
    <x v="0"/>
    <x v="0"/>
    <x v="2"/>
    <x v="20"/>
    <x v="53"/>
    <x v="741"/>
    <x v="0"/>
    <s v="CHITRE"/>
    <x v="1"/>
  </r>
  <r>
    <x v="19"/>
    <x v="63"/>
    <x v="5"/>
    <x v="5"/>
    <x v="0"/>
    <x v="2"/>
    <x v="20"/>
    <x v="53"/>
    <x v="785"/>
    <x v="0"/>
    <s v="CHITRE"/>
    <x v="1"/>
  </r>
  <r>
    <x v="19"/>
    <x v="83"/>
    <x v="1"/>
    <x v="1"/>
    <x v="0"/>
    <x v="2"/>
    <x v="20"/>
    <x v="53"/>
    <x v="740"/>
    <x v="0"/>
    <s v="CHITRE"/>
    <x v="1"/>
  </r>
  <r>
    <x v="19"/>
    <x v="101"/>
    <x v="1"/>
    <x v="1"/>
    <x v="0"/>
    <x v="2"/>
    <x v="20"/>
    <x v="53"/>
    <x v="736"/>
    <x v="0"/>
    <s v="CHITRE"/>
    <x v="1"/>
  </r>
  <r>
    <x v="19"/>
    <x v="105"/>
    <x v="1"/>
    <x v="1"/>
    <x v="0"/>
    <x v="2"/>
    <x v="20"/>
    <x v="53"/>
    <x v="782"/>
    <x v="0"/>
    <s v="CHITRE"/>
    <x v="1"/>
  </r>
  <r>
    <x v="19"/>
    <x v="1"/>
    <x v="1"/>
    <x v="1"/>
    <x v="0"/>
    <x v="2"/>
    <x v="1"/>
    <x v="1"/>
    <x v="1"/>
    <x v="191"/>
    <s v="CHITRE"/>
    <x v="1"/>
  </r>
  <r>
    <x v="19"/>
    <x v="1"/>
    <x v="1"/>
    <x v="1"/>
    <x v="0"/>
    <x v="1"/>
    <x v="1"/>
    <x v="1"/>
    <x v="1"/>
    <x v="192"/>
    <s v="CHITRE"/>
    <x v="1"/>
  </r>
  <r>
    <x v="20"/>
    <x v="106"/>
    <x v="2"/>
    <x v="2"/>
    <x v="0"/>
    <x v="2"/>
    <x v="20"/>
    <x v="54"/>
    <x v="756"/>
    <x v="0"/>
    <s v="LOS PUEBLOS"/>
    <x v="1"/>
  </r>
  <r>
    <x v="20"/>
    <x v="107"/>
    <x v="2"/>
    <x v="2"/>
    <x v="0"/>
    <x v="2"/>
    <x v="20"/>
    <x v="54"/>
    <x v="756"/>
    <x v="0"/>
    <s v="LOS PUEBLOS"/>
    <x v="1"/>
  </r>
  <r>
    <x v="20"/>
    <x v="108"/>
    <x v="3"/>
    <x v="3"/>
    <x v="0"/>
    <x v="2"/>
    <x v="20"/>
    <x v="54"/>
    <x v="786"/>
    <x v="0"/>
    <s v="LOS PUEBLOS"/>
    <x v="1"/>
  </r>
  <r>
    <x v="20"/>
    <x v="18"/>
    <x v="3"/>
    <x v="3"/>
    <x v="0"/>
    <x v="2"/>
    <x v="20"/>
    <x v="54"/>
    <x v="756"/>
    <x v="0"/>
    <s v="LOS PUEBLOS"/>
    <x v="1"/>
  </r>
  <r>
    <x v="20"/>
    <x v="78"/>
    <x v="4"/>
    <x v="4"/>
    <x v="0"/>
    <x v="2"/>
    <x v="20"/>
    <x v="54"/>
    <x v="754"/>
    <x v="0"/>
    <s v="LOS PUEBLOS"/>
    <x v="1"/>
  </r>
  <r>
    <x v="20"/>
    <x v="77"/>
    <x v="5"/>
    <x v="5"/>
    <x v="0"/>
    <x v="2"/>
    <x v="20"/>
    <x v="54"/>
    <x v="756"/>
    <x v="0"/>
    <s v="LOS PUEBLOS"/>
    <x v="1"/>
  </r>
  <r>
    <x v="20"/>
    <x v="63"/>
    <x v="5"/>
    <x v="5"/>
    <x v="0"/>
    <x v="2"/>
    <x v="20"/>
    <x v="54"/>
    <x v="787"/>
    <x v="0"/>
    <s v="LOS PUEBLOS"/>
    <x v="1"/>
  </r>
  <r>
    <x v="20"/>
    <x v="95"/>
    <x v="1"/>
    <x v="1"/>
    <x v="0"/>
    <x v="2"/>
    <x v="20"/>
    <x v="54"/>
    <x v="754"/>
    <x v="0"/>
    <s v="LOS PUEBLOS"/>
    <x v="1"/>
  </r>
  <r>
    <x v="20"/>
    <x v="109"/>
    <x v="1"/>
    <x v="1"/>
    <x v="0"/>
    <x v="2"/>
    <x v="20"/>
    <x v="54"/>
    <x v="754"/>
    <x v="0"/>
    <s v="LOS PUEBLOS"/>
    <x v="1"/>
  </r>
  <r>
    <x v="20"/>
    <x v="1"/>
    <x v="1"/>
    <x v="1"/>
    <x v="0"/>
    <x v="2"/>
    <x v="1"/>
    <x v="1"/>
    <x v="1"/>
    <x v="193"/>
    <s v="LOS PUEBLOS"/>
    <x v="1"/>
  </r>
  <r>
    <x v="21"/>
    <x v="24"/>
    <x v="2"/>
    <x v="2"/>
    <x v="0"/>
    <x v="2"/>
    <x v="20"/>
    <x v="55"/>
    <x v="788"/>
    <x v="0"/>
    <s v="TRANSISTMICA"/>
    <x v="1"/>
  </r>
  <r>
    <x v="21"/>
    <x v="107"/>
    <x v="2"/>
    <x v="2"/>
    <x v="0"/>
    <x v="2"/>
    <x v="20"/>
    <x v="55"/>
    <x v="789"/>
    <x v="0"/>
    <s v="TRANSISTMICA"/>
    <x v="1"/>
  </r>
  <r>
    <x v="21"/>
    <x v="2"/>
    <x v="2"/>
    <x v="2"/>
    <x v="0"/>
    <x v="2"/>
    <x v="20"/>
    <x v="55"/>
    <x v="746"/>
    <x v="0"/>
    <s v="TRANSISTMICA"/>
    <x v="1"/>
  </r>
  <r>
    <x v="21"/>
    <x v="110"/>
    <x v="2"/>
    <x v="2"/>
    <x v="0"/>
    <x v="2"/>
    <x v="20"/>
    <x v="55"/>
    <x v="745"/>
    <x v="0"/>
    <s v="TRANSISTMICA"/>
    <x v="1"/>
  </r>
  <r>
    <x v="21"/>
    <x v="111"/>
    <x v="2"/>
    <x v="2"/>
    <x v="0"/>
    <x v="2"/>
    <x v="20"/>
    <x v="55"/>
    <x v="748"/>
    <x v="0"/>
    <s v="TRANSISTMICA"/>
    <x v="1"/>
  </r>
  <r>
    <x v="21"/>
    <x v="86"/>
    <x v="6"/>
    <x v="6"/>
    <x v="0"/>
    <x v="2"/>
    <x v="20"/>
    <x v="55"/>
    <x v="746"/>
    <x v="0"/>
    <s v="TRANSISTMICA"/>
    <x v="1"/>
  </r>
  <r>
    <x v="21"/>
    <x v="95"/>
    <x v="1"/>
    <x v="1"/>
    <x v="0"/>
    <x v="2"/>
    <x v="20"/>
    <x v="55"/>
    <x v="737"/>
    <x v="0"/>
    <s v="TRANSISTMICA"/>
    <x v="1"/>
  </r>
  <r>
    <x v="21"/>
    <x v="22"/>
    <x v="1"/>
    <x v="1"/>
    <x v="0"/>
    <x v="2"/>
    <x v="20"/>
    <x v="55"/>
    <x v="737"/>
    <x v="0"/>
    <s v="TRANSISTMICA"/>
    <x v="1"/>
  </r>
  <r>
    <x v="21"/>
    <x v="1"/>
    <x v="1"/>
    <x v="1"/>
    <x v="0"/>
    <x v="2"/>
    <x v="1"/>
    <x v="1"/>
    <x v="1"/>
    <x v="194"/>
    <s v="TRANSISTMICA"/>
    <x v="1"/>
  </r>
  <r>
    <x v="21"/>
    <x v="112"/>
    <x v="2"/>
    <x v="2"/>
    <x v="0"/>
    <x v="0"/>
    <x v="23"/>
    <x v="56"/>
    <x v="1"/>
    <x v="195"/>
    <s v="TRANSISTMICA"/>
    <x v="1"/>
  </r>
  <r>
    <x v="21"/>
    <x v="1"/>
    <x v="1"/>
    <x v="1"/>
    <x v="0"/>
    <x v="0"/>
    <x v="1"/>
    <x v="1"/>
    <x v="774"/>
    <x v="0"/>
    <s v="TRANSISTMICA"/>
    <x v="1"/>
  </r>
  <r>
    <x v="72"/>
    <x v="60"/>
    <x v="3"/>
    <x v="3"/>
    <x v="0"/>
    <x v="2"/>
    <x v="21"/>
    <x v="57"/>
    <x v="790"/>
    <x v="0"/>
    <s v="ZONA LIBRE"/>
    <x v="1"/>
  </r>
  <r>
    <x v="72"/>
    <x v="61"/>
    <x v="3"/>
    <x v="3"/>
    <x v="0"/>
    <x v="2"/>
    <x v="20"/>
    <x v="58"/>
    <x v="791"/>
    <x v="0"/>
    <s v="ZONA LIBRE"/>
    <x v="1"/>
  </r>
  <r>
    <x v="72"/>
    <x v="56"/>
    <x v="3"/>
    <x v="3"/>
    <x v="0"/>
    <x v="2"/>
    <x v="24"/>
    <x v="59"/>
    <x v="1"/>
    <x v="196"/>
    <s v="ZONA LIBRE"/>
    <x v="1"/>
  </r>
  <r>
    <x v="72"/>
    <x v="73"/>
    <x v="1"/>
    <x v="1"/>
    <x v="0"/>
    <x v="2"/>
    <x v="21"/>
    <x v="39"/>
    <x v="790"/>
    <x v="0"/>
    <s v="ZONA LIBRE"/>
    <x v="1"/>
  </r>
  <r>
    <x v="72"/>
    <x v="1"/>
    <x v="1"/>
    <x v="1"/>
    <x v="0"/>
    <x v="2"/>
    <x v="1"/>
    <x v="1"/>
    <x v="1"/>
    <x v="197"/>
    <s v="ZONA LIBRE"/>
    <x v="1"/>
  </r>
  <r>
    <x v="72"/>
    <x v="72"/>
    <x v="5"/>
    <x v="5"/>
    <x v="0"/>
    <x v="0"/>
    <x v="21"/>
    <x v="38"/>
    <x v="792"/>
    <x v="0"/>
    <s v="ZONA LIBRE"/>
    <x v="1"/>
  </r>
  <r>
    <x v="72"/>
    <x v="1"/>
    <x v="1"/>
    <x v="1"/>
    <x v="0"/>
    <x v="0"/>
    <x v="1"/>
    <x v="1"/>
    <x v="1"/>
    <x v="198"/>
    <s v="ZONA LIBRE"/>
    <x v="1"/>
  </r>
  <r>
    <x v="22"/>
    <x v="113"/>
    <x v="6"/>
    <x v="6"/>
    <x v="0"/>
    <x v="2"/>
    <x v="20"/>
    <x v="60"/>
    <x v="793"/>
    <x v="0"/>
    <s v="PLAZA GALAPAGO"/>
    <x v="1"/>
  </r>
  <r>
    <x v="22"/>
    <x v="60"/>
    <x v="3"/>
    <x v="3"/>
    <x v="0"/>
    <x v="2"/>
    <x v="20"/>
    <x v="60"/>
    <x v="778"/>
    <x v="0"/>
    <s v="PLAZA GALAPAGO"/>
    <x v="1"/>
  </r>
  <r>
    <x v="22"/>
    <x v="114"/>
    <x v="3"/>
    <x v="3"/>
    <x v="0"/>
    <x v="2"/>
    <x v="20"/>
    <x v="60"/>
    <x v="794"/>
    <x v="0"/>
    <s v="PLAZA GALAPAGO"/>
    <x v="1"/>
  </r>
  <r>
    <x v="22"/>
    <x v="75"/>
    <x v="3"/>
    <x v="3"/>
    <x v="0"/>
    <x v="2"/>
    <x v="20"/>
    <x v="60"/>
    <x v="795"/>
    <x v="0"/>
    <s v="PLAZA GALAPAGO"/>
    <x v="1"/>
  </r>
  <r>
    <x v="22"/>
    <x v="1"/>
    <x v="1"/>
    <x v="1"/>
    <x v="0"/>
    <x v="2"/>
    <x v="1"/>
    <x v="1"/>
    <x v="1"/>
    <x v="199"/>
    <s v="PLAZA GALAPAGO"/>
    <x v="1"/>
  </r>
  <r>
    <x v="23"/>
    <x v="48"/>
    <x v="2"/>
    <x v="2"/>
    <x v="0"/>
    <x v="2"/>
    <x v="20"/>
    <x v="61"/>
    <x v="787"/>
    <x v="0"/>
    <s v="PARQUE LEFEVRE"/>
    <x v="1"/>
  </r>
  <r>
    <x v="23"/>
    <x v="102"/>
    <x v="6"/>
    <x v="6"/>
    <x v="0"/>
    <x v="2"/>
    <x v="20"/>
    <x v="61"/>
    <x v="756"/>
    <x v="0"/>
    <s v="PARQUE LEFEVRE"/>
    <x v="1"/>
  </r>
  <r>
    <x v="23"/>
    <x v="113"/>
    <x v="6"/>
    <x v="6"/>
    <x v="0"/>
    <x v="2"/>
    <x v="20"/>
    <x v="61"/>
    <x v="756"/>
    <x v="0"/>
    <s v="PARQUE LEFEVRE"/>
    <x v="1"/>
  </r>
  <r>
    <x v="23"/>
    <x v="38"/>
    <x v="4"/>
    <x v="4"/>
    <x v="0"/>
    <x v="2"/>
    <x v="20"/>
    <x v="61"/>
    <x v="191"/>
    <x v="0"/>
    <s v="PARQUE LEFEVRE"/>
    <x v="1"/>
  </r>
  <r>
    <x v="23"/>
    <x v="115"/>
    <x v="5"/>
    <x v="5"/>
    <x v="0"/>
    <x v="2"/>
    <x v="20"/>
    <x v="61"/>
    <x v="737"/>
    <x v="0"/>
    <s v="PARQUE LEFEVRE"/>
    <x v="1"/>
  </r>
  <r>
    <x v="23"/>
    <x v="1"/>
    <x v="1"/>
    <x v="1"/>
    <x v="0"/>
    <x v="2"/>
    <x v="1"/>
    <x v="1"/>
    <x v="1"/>
    <x v="200"/>
    <s v="PARQUE LEFEVRE"/>
    <x v="1"/>
  </r>
  <r>
    <x v="24"/>
    <x v="19"/>
    <x v="3"/>
    <x v="3"/>
    <x v="0"/>
    <x v="2"/>
    <x v="21"/>
    <x v="62"/>
    <x v="796"/>
    <x v="0"/>
    <s v="DAVID"/>
    <x v="1"/>
  </r>
  <r>
    <x v="24"/>
    <x v="108"/>
    <x v="3"/>
    <x v="3"/>
    <x v="0"/>
    <x v="2"/>
    <x v="25"/>
    <x v="63"/>
    <x v="797"/>
    <x v="0"/>
    <s v="DAVID"/>
    <x v="1"/>
  </r>
  <r>
    <x v="24"/>
    <x v="116"/>
    <x v="0"/>
    <x v="0"/>
    <x v="0"/>
    <x v="2"/>
    <x v="21"/>
    <x v="64"/>
    <x v="798"/>
    <x v="0"/>
    <s v="DAVID"/>
    <x v="1"/>
  </r>
  <r>
    <x v="24"/>
    <x v="1"/>
    <x v="1"/>
    <x v="1"/>
    <x v="0"/>
    <x v="2"/>
    <x v="1"/>
    <x v="1"/>
    <x v="1"/>
    <x v="201"/>
    <s v="DAVID"/>
    <x v="1"/>
  </r>
  <r>
    <x v="24"/>
    <x v="1"/>
    <x v="1"/>
    <x v="1"/>
    <x v="0"/>
    <x v="0"/>
    <x v="1"/>
    <x v="1"/>
    <x v="1"/>
    <x v="202"/>
    <s v="DAVID"/>
    <x v="1"/>
  </r>
  <r>
    <x v="24"/>
    <x v="117"/>
    <x v="0"/>
    <x v="0"/>
    <x v="0"/>
    <x v="1"/>
    <x v="21"/>
    <x v="65"/>
    <x v="765"/>
    <x v="0"/>
    <s v="DAVID"/>
    <x v="1"/>
  </r>
  <r>
    <x v="24"/>
    <x v="1"/>
    <x v="1"/>
    <x v="1"/>
    <x v="0"/>
    <x v="1"/>
    <x v="1"/>
    <x v="1"/>
    <x v="1"/>
    <x v="203"/>
    <s v="DAVID"/>
    <x v="1"/>
  </r>
  <r>
    <x v="25"/>
    <x v="44"/>
    <x v="3"/>
    <x v="3"/>
    <x v="0"/>
    <x v="2"/>
    <x v="20"/>
    <x v="66"/>
    <x v="753"/>
    <x v="0"/>
    <s v="PLAZA LAS AMERICAS"/>
    <x v="1"/>
  </r>
  <r>
    <x v="25"/>
    <x v="33"/>
    <x v="1"/>
    <x v="1"/>
    <x v="0"/>
    <x v="2"/>
    <x v="20"/>
    <x v="66"/>
    <x v="799"/>
    <x v="0"/>
    <s v="PLAZA LAS AMERICAS"/>
    <x v="1"/>
  </r>
  <r>
    <x v="25"/>
    <x v="1"/>
    <x v="1"/>
    <x v="1"/>
    <x v="0"/>
    <x v="2"/>
    <x v="1"/>
    <x v="1"/>
    <x v="1"/>
    <x v="204"/>
    <s v="PLAZA LAS AMERICAS"/>
    <x v="1"/>
  </r>
  <r>
    <x v="26"/>
    <x v="70"/>
    <x v="2"/>
    <x v="2"/>
    <x v="0"/>
    <x v="2"/>
    <x v="20"/>
    <x v="67"/>
    <x v="800"/>
    <x v="0"/>
    <s v="CORONADO"/>
    <x v="1"/>
  </r>
  <r>
    <x v="26"/>
    <x v="70"/>
    <x v="2"/>
    <x v="2"/>
    <x v="0"/>
    <x v="2"/>
    <x v="21"/>
    <x v="36"/>
    <x v="801"/>
    <x v="0"/>
    <s v="CORONADO"/>
    <x v="1"/>
  </r>
  <r>
    <x v="26"/>
    <x v="47"/>
    <x v="2"/>
    <x v="2"/>
    <x v="0"/>
    <x v="2"/>
    <x v="21"/>
    <x v="68"/>
    <x v="769"/>
    <x v="0"/>
    <s v="CORONADO"/>
    <x v="1"/>
  </r>
  <r>
    <x v="26"/>
    <x v="118"/>
    <x v="2"/>
    <x v="2"/>
    <x v="0"/>
    <x v="2"/>
    <x v="21"/>
    <x v="69"/>
    <x v="802"/>
    <x v="0"/>
    <s v="CORONADO"/>
    <x v="1"/>
  </r>
  <r>
    <x v="26"/>
    <x v="71"/>
    <x v="6"/>
    <x v="6"/>
    <x v="0"/>
    <x v="2"/>
    <x v="21"/>
    <x v="37"/>
    <x v="803"/>
    <x v="0"/>
    <s v="CORONADO"/>
    <x v="1"/>
  </r>
  <r>
    <x v="26"/>
    <x v="21"/>
    <x v="6"/>
    <x v="6"/>
    <x v="0"/>
    <x v="2"/>
    <x v="20"/>
    <x v="67"/>
    <x v="800"/>
    <x v="0"/>
    <s v="CORONADO"/>
    <x v="1"/>
  </r>
  <r>
    <x v="26"/>
    <x v="21"/>
    <x v="6"/>
    <x v="6"/>
    <x v="0"/>
    <x v="2"/>
    <x v="21"/>
    <x v="70"/>
    <x v="804"/>
    <x v="0"/>
    <s v="CORONADO"/>
    <x v="1"/>
  </r>
  <r>
    <x v="26"/>
    <x v="74"/>
    <x v="3"/>
    <x v="3"/>
    <x v="0"/>
    <x v="2"/>
    <x v="20"/>
    <x v="67"/>
    <x v="800"/>
    <x v="0"/>
    <s v="CORONADO"/>
    <x v="1"/>
  </r>
  <r>
    <x v="26"/>
    <x v="26"/>
    <x v="3"/>
    <x v="3"/>
    <x v="0"/>
    <x v="2"/>
    <x v="20"/>
    <x v="67"/>
    <x v="805"/>
    <x v="0"/>
    <s v="CORONADO"/>
    <x v="1"/>
  </r>
  <r>
    <x v="26"/>
    <x v="43"/>
    <x v="3"/>
    <x v="3"/>
    <x v="0"/>
    <x v="2"/>
    <x v="21"/>
    <x v="71"/>
    <x v="800"/>
    <x v="0"/>
    <s v="CORONADO"/>
    <x v="1"/>
  </r>
  <r>
    <x v="26"/>
    <x v="31"/>
    <x v="4"/>
    <x v="4"/>
    <x v="0"/>
    <x v="2"/>
    <x v="21"/>
    <x v="72"/>
    <x v="804"/>
    <x v="0"/>
    <s v="CORONADO"/>
    <x v="1"/>
  </r>
  <r>
    <x v="26"/>
    <x v="51"/>
    <x v="4"/>
    <x v="4"/>
    <x v="0"/>
    <x v="2"/>
    <x v="20"/>
    <x v="67"/>
    <x v="779"/>
    <x v="0"/>
    <s v="CORONADO"/>
    <x v="1"/>
  </r>
  <r>
    <x v="26"/>
    <x v="119"/>
    <x v="0"/>
    <x v="0"/>
    <x v="0"/>
    <x v="2"/>
    <x v="20"/>
    <x v="67"/>
    <x v="770"/>
    <x v="0"/>
    <s v="CORONADO"/>
    <x v="1"/>
  </r>
  <r>
    <x v="26"/>
    <x v="120"/>
    <x v="0"/>
    <x v="0"/>
    <x v="0"/>
    <x v="2"/>
    <x v="20"/>
    <x v="67"/>
    <x v="770"/>
    <x v="0"/>
    <s v="CORONADO"/>
    <x v="1"/>
  </r>
  <r>
    <x v="26"/>
    <x v="121"/>
    <x v="0"/>
    <x v="0"/>
    <x v="0"/>
    <x v="2"/>
    <x v="20"/>
    <x v="67"/>
    <x v="800"/>
    <x v="0"/>
    <s v="CORONADO"/>
    <x v="1"/>
  </r>
  <r>
    <x v="26"/>
    <x v="100"/>
    <x v="0"/>
    <x v="0"/>
    <x v="0"/>
    <x v="2"/>
    <x v="21"/>
    <x v="73"/>
    <x v="806"/>
    <x v="0"/>
    <s v="CORONADO"/>
    <x v="1"/>
  </r>
  <r>
    <x v="26"/>
    <x v="122"/>
    <x v="0"/>
    <x v="0"/>
    <x v="0"/>
    <x v="2"/>
    <x v="20"/>
    <x v="67"/>
    <x v="779"/>
    <x v="0"/>
    <s v="CORONADO"/>
    <x v="1"/>
  </r>
  <r>
    <x v="26"/>
    <x v="32"/>
    <x v="5"/>
    <x v="5"/>
    <x v="0"/>
    <x v="2"/>
    <x v="20"/>
    <x v="67"/>
    <x v="779"/>
    <x v="0"/>
    <s v="CORONADO"/>
    <x v="1"/>
  </r>
  <r>
    <x v="26"/>
    <x v="97"/>
    <x v="5"/>
    <x v="5"/>
    <x v="0"/>
    <x v="2"/>
    <x v="20"/>
    <x v="67"/>
    <x v="800"/>
    <x v="0"/>
    <s v="CORONADO"/>
    <x v="1"/>
  </r>
  <r>
    <x v="26"/>
    <x v="123"/>
    <x v="5"/>
    <x v="5"/>
    <x v="0"/>
    <x v="2"/>
    <x v="21"/>
    <x v="74"/>
    <x v="804"/>
    <x v="0"/>
    <s v="CORONADO"/>
    <x v="1"/>
  </r>
  <r>
    <x v="26"/>
    <x v="124"/>
    <x v="5"/>
    <x v="5"/>
    <x v="0"/>
    <x v="2"/>
    <x v="20"/>
    <x v="67"/>
    <x v="770"/>
    <x v="0"/>
    <s v="CORONADO"/>
    <x v="1"/>
  </r>
  <r>
    <x v="26"/>
    <x v="83"/>
    <x v="1"/>
    <x v="1"/>
    <x v="0"/>
    <x v="2"/>
    <x v="20"/>
    <x v="67"/>
    <x v="771"/>
    <x v="0"/>
    <s v="CORONADO"/>
    <x v="1"/>
  </r>
  <r>
    <x v="26"/>
    <x v="109"/>
    <x v="1"/>
    <x v="1"/>
    <x v="0"/>
    <x v="2"/>
    <x v="20"/>
    <x v="67"/>
    <x v="801"/>
    <x v="0"/>
    <s v="CORONADO"/>
    <x v="1"/>
  </r>
  <r>
    <x v="26"/>
    <x v="1"/>
    <x v="1"/>
    <x v="1"/>
    <x v="0"/>
    <x v="2"/>
    <x v="1"/>
    <x v="1"/>
    <x v="1"/>
    <x v="205"/>
    <s v="CORONADO"/>
    <x v="1"/>
  </r>
  <r>
    <x v="26"/>
    <x v="70"/>
    <x v="2"/>
    <x v="2"/>
    <x v="0"/>
    <x v="0"/>
    <x v="21"/>
    <x v="36"/>
    <x v="802"/>
    <x v="0"/>
    <s v="CORONADO"/>
    <x v="1"/>
  </r>
  <r>
    <x v="26"/>
    <x v="118"/>
    <x v="2"/>
    <x v="2"/>
    <x v="0"/>
    <x v="0"/>
    <x v="21"/>
    <x v="69"/>
    <x v="807"/>
    <x v="0"/>
    <s v="CORONADO"/>
    <x v="1"/>
  </r>
  <r>
    <x v="26"/>
    <x v="111"/>
    <x v="2"/>
    <x v="2"/>
    <x v="0"/>
    <x v="0"/>
    <x v="21"/>
    <x v="75"/>
    <x v="803"/>
    <x v="0"/>
    <s v="CORONADO"/>
    <x v="1"/>
  </r>
  <r>
    <x v="26"/>
    <x v="114"/>
    <x v="3"/>
    <x v="3"/>
    <x v="0"/>
    <x v="0"/>
    <x v="21"/>
    <x v="76"/>
    <x v="807"/>
    <x v="0"/>
    <s v="CORONADO"/>
    <x v="1"/>
  </r>
  <r>
    <x v="26"/>
    <x v="50"/>
    <x v="4"/>
    <x v="4"/>
    <x v="0"/>
    <x v="0"/>
    <x v="21"/>
    <x v="77"/>
    <x v="761"/>
    <x v="0"/>
    <s v="CORONADO"/>
    <x v="1"/>
  </r>
  <r>
    <x v="26"/>
    <x v="66"/>
    <x v="4"/>
    <x v="4"/>
    <x v="0"/>
    <x v="0"/>
    <x v="21"/>
    <x v="78"/>
    <x v="761"/>
    <x v="0"/>
    <s v="CORONADO"/>
    <x v="1"/>
  </r>
  <r>
    <x v="26"/>
    <x v="90"/>
    <x v="0"/>
    <x v="0"/>
    <x v="0"/>
    <x v="0"/>
    <x v="21"/>
    <x v="79"/>
    <x v="808"/>
    <x v="0"/>
    <s v="CORONADO"/>
    <x v="1"/>
  </r>
  <r>
    <x v="26"/>
    <x v="121"/>
    <x v="0"/>
    <x v="0"/>
    <x v="0"/>
    <x v="0"/>
    <x v="21"/>
    <x v="80"/>
    <x v="809"/>
    <x v="0"/>
    <s v="CORONADO"/>
    <x v="1"/>
  </r>
  <r>
    <x v="26"/>
    <x v="32"/>
    <x v="5"/>
    <x v="5"/>
    <x v="0"/>
    <x v="0"/>
    <x v="21"/>
    <x v="81"/>
    <x v="810"/>
    <x v="0"/>
    <s v="CORONADO"/>
    <x v="1"/>
  </r>
  <r>
    <x v="26"/>
    <x v="125"/>
    <x v="5"/>
    <x v="5"/>
    <x v="0"/>
    <x v="0"/>
    <x v="21"/>
    <x v="82"/>
    <x v="811"/>
    <x v="0"/>
    <s v="CORONADO"/>
    <x v="1"/>
  </r>
  <r>
    <x v="26"/>
    <x v="1"/>
    <x v="1"/>
    <x v="1"/>
    <x v="0"/>
    <x v="0"/>
    <x v="1"/>
    <x v="1"/>
    <x v="1"/>
    <x v="206"/>
    <s v="CORONADO"/>
    <x v="1"/>
  </r>
  <r>
    <x v="26"/>
    <x v="114"/>
    <x v="3"/>
    <x v="3"/>
    <x v="0"/>
    <x v="1"/>
    <x v="21"/>
    <x v="76"/>
    <x v="803"/>
    <x v="0"/>
    <s v="CORONADO"/>
    <x v="1"/>
  </r>
  <r>
    <x v="26"/>
    <x v="126"/>
    <x v="4"/>
    <x v="4"/>
    <x v="0"/>
    <x v="1"/>
    <x v="21"/>
    <x v="83"/>
    <x v="761"/>
    <x v="0"/>
    <s v="CORONADO"/>
    <x v="1"/>
  </r>
  <r>
    <x v="26"/>
    <x v="58"/>
    <x v="1"/>
    <x v="1"/>
    <x v="0"/>
    <x v="1"/>
    <x v="21"/>
    <x v="84"/>
    <x v="807"/>
    <x v="0"/>
    <s v="CORONADO"/>
    <x v="1"/>
  </r>
  <r>
    <x v="26"/>
    <x v="127"/>
    <x v="1"/>
    <x v="1"/>
    <x v="0"/>
    <x v="1"/>
    <x v="21"/>
    <x v="85"/>
    <x v="812"/>
    <x v="0"/>
    <s v="CORONADO"/>
    <x v="1"/>
  </r>
  <r>
    <x v="26"/>
    <x v="1"/>
    <x v="1"/>
    <x v="1"/>
    <x v="0"/>
    <x v="1"/>
    <x v="1"/>
    <x v="1"/>
    <x v="1"/>
    <x v="207"/>
    <s v="CORONADO"/>
    <x v="1"/>
  </r>
  <r>
    <x v="27"/>
    <x v="49"/>
    <x v="3"/>
    <x v="3"/>
    <x v="0"/>
    <x v="2"/>
    <x v="20"/>
    <x v="86"/>
    <x v="744"/>
    <x v="0"/>
    <s v="ALBROOK MALL"/>
    <x v="1"/>
  </r>
  <r>
    <x v="27"/>
    <x v="19"/>
    <x v="3"/>
    <x v="3"/>
    <x v="0"/>
    <x v="2"/>
    <x v="20"/>
    <x v="86"/>
    <x v="813"/>
    <x v="0"/>
    <s v="ALBROOK MALL"/>
    <x v="1"/>
  </r>
  <r>
    <x v="27"/>
    <x v="43"/>
    <x v="3"/>
    <x v="3"/>
    <x v="0"/>
    <x v="2"/>
    <x v="21"/>
    <x v="71"/>
    <x v="814"/>
    <x v="0"/>
    <s v="ALBROOK MALL"/>
    <x v="1"/>
  </r>
  <r>
    <x v="27"/>
    <x v="100"/>
    <x v="0"/>
    <x v="0"/>
    <x v="0"/>
    <x v="2"/>
    <x v="20"/>
    <x v="86"/>
    <x v="742"/>
    <x v="0"/>
    <s v="ALBROOK MALL"/>
    <x v="1"/>
  </r>
  <r>
    <x v="27"/>
    <x v="128"/>
    <x v="1"/>
    <x v="1"/>
    <x v="0"/>
    <x v="2"/>
    <x v="20"/>
    <x v="86"/>
    <x v="737"/>
    <x v="0"/>
    <s v="ALBROOK MALL"/>
    <x v="1"/>
  </r>
  <r>
    <x v="27"/>
    <x v="1"/>
    <x v="1"/>
    <x v="1"/>
    <x v="0"/>
    <x v="2"/>
    <x v="1"/>
    <x v="1"/>
    <x v="1"/>
    <x v="208"/>
    <s v="ALBROOK MALL"/>
    <x v="1"/>
  </r>
  <r>
    <x v="28"/>
    <x v="129"/>
    <x v="2"/>
    <x v="2"/>
    <x v="0"/>
    <x v="2"/>
    <x v="20"/>
    <x v="87"/>
    <x v="739"/>
    <x v="0"/>
    <s v="PANAMA PACIFICO"/>
    <x v="1"/>
  </r>
  <r>
    <x v="28"/>
    <x v="65"/>
    <x v="6"/>
    <x v="6"/>
    <x v="0"/>
    <x v="2"/>
    <x v="20"/>
    <x v="87"/>
    <x v="815"/>
    <x v="0"/>
    <s v="PANAMA PACIFICO"/>
    <x v="1"/>
  </r>
  <r>
    <x v="28"/>
    <x v="71"/>
    <x v="6"/>
    <x v="6"/>
    <x v="0"/>
    <x v="2"/>
    <x v="20"/>
    <x v="87"/>
    <x v="815"/>
    <x v="0"/>
    <s v="PANAMA PACIFICO"/>
    <x v="1"/>
  </r>
  <r>
    <x v="28"/>
    <x v="21"/>
    <x v="6"/>
    <x v="6"/>
    <x v="0"/>
    <x v="2"/>
    <x v="20"/>
    <x v="87"/>
    <x v="739"/>
    <x v="0"/>
    <s v="PANAMA PACIFICO"/>
    <x v="1"/>
  </r>
  <r>
    <x v="28"/>
    <x v="130"/>
    <x v="3"/>
    <x v="3"/>
    <x v="0"/>
    <x v="2"/>
    <x v="20"/>
    <x v="87"/>
    <x v="816"/>
    <x v="0"/>
    <s v="PANAMA PACIFICO"/>
    <x v="1"/>
  </r>
  <r>
    <x v="28"/>
    <x v="99"/>
    <x v="3"/>
    <x v="3"/>
    <x v="0"/>
    <x v="2"/>
    <x v="20"/>
    <x v="87"/>
    <x v="815"/>
    <x v="0"/>
    <s v="PANAMA PACIFICO"/>
    <x v="1"/>
  </r>
  <r>
    <x v="28"/>
    <x v="29"/>
    <x v="4"/>
    <x v="4"/>
    <x v="0"/>
    <x v="2"/>
    <x v="20"/>
    <x v="87"/>
    <x v="816"/>
    <x v="0"/>
    <s v="PANAMA PACIFICO"/>
    <x v="1"/>
  </r>
  <r>
    <x v="28"/>
    <x v="57"/>
    <x v="0"/>
    <x v="0"/>
    <x v="0"/>
    <x v="2"/>
    <x v="21"/>
    <x v="44"/>
    <x v="772"/>
    <x v="0"/>
    <s v="PANAMA PACIFICO"/>
    <x v="1"/>
  </r>
  <r>
    <x v="28"/>
    <x v="120"/>
    <x v="0"/>
    <x v="0"/>
    <x v="0"/>
    <x v="2"/>
    <x v="20"/>
    <x v="87"/>
    <x v="739"/>
    <x v="0"/>
    <s v="PANAMA PACIFICO"/>
    <x v="1"/>
  </r>
  <r>
    <x v="28"/>
    <x v="32"/>
    <x v="5"/>
    <x v="5"/>
    <x v="0"/>
    <x v="2"/>
    <x v="20"/>
    <x v="87"/>
    <x v="816"/>
    <x v="0"/>
    <s v="PANAMA PACIFICO"/>
    <x v="1"/>
  </r>
  <r>
    <x v="28"/>
    <x v="13"/>
    <x v="5"/>
    <x v="5"/>
    <x v="0"/>
    <x v="2"/>
    <x v="20"/>
    <x v="87"/>
    <x v="815"/>
    <x v="0"/>
    <s v="PANAMA PACIFICO"/>
    <x v="1"/>
  </r>
  <r>
    <x v="28"/>
    <x v="124"/>
    <x v="5"/>
    <x v="5"/>
    <x v="0"/>
    <x v="2"/>
    <x v="20"/>
    <x v="87"/>
    <x v="816"/>
    <x v="0"/>
    <s v="PANAMA PACIFICO"/>
    <x v="1"/>
  </r>
  <r>
    <x v="28"/>
    <x v="8"/>
    <x v="1"/>
    <x v="1"/>
    <x v="0"/>
    <x v="2"/>
    <x v="20"/>
    <x v="87"/>
    <x v="815"/>
    <x v="0"/>
    <s v="PANAMA PACIFICO"/>
    <x v="1"/>
  </r>
  <r>
    <x v="28"/>
    <x v="1"/>
    <x v="1"/>
    <x v="1"/>
    <x v="0"/>
    <x v="2"/>
    <x v="1"/>
    <x v="1"/>
    <x v="1"/>
    <x v="209"/>
    <s v="PANAMA PACIFICO"/>
    <x v="1"/>
  </r>
  <r>
    <x v="73"/>
    <x v="16"/>
    <x v="2"/>
    <x v="2"/>
    <x v="0"/>
    <x v="2"/>
    <x v="20"/>
    <x v="88"/>
    <x v="817"/>
    <x v="0"/>
    <s v="PENONOME"/>
    <x v="1"/>
  </r>
  <r>
    <x v="73"/>
    <x v="47"/>
    <x v="2"/>
    <x v="2"/>
    <x v="0"/>
    <x v="2"/>
    <x v="20"/>
    <x v="88"/>
    <x v="748"/>
    <x v="0"/>
    <s v="PENONOME"/>
    <x v="1"/>
  </r>
  <r>
    <x v="73"/>
    <x v="113"/>
    <x v="6"/>
    <x v="6"/>
    <x v="0"/>
    <x v="2"/>
    <x v="21"/>
    <x v="89"/>
    <x v="818"/>
    <x v="0"/>
    <s v="PENONOME"/>
    <x v="1"/>
  </r>
  <r>
    <x v="73"/>
    <x v="27"/>
    <x v="3"/>
    <x v="3"/>
    <x v="0"/>
    <x v="2"/>
    <x v="20"/>
    <x v="88"/>
    <x v="755"/>
    <x v="0"/>
    <s v="PENONOME"/>
    <x v="1"/>
  </r>
  <r>
    <x v="73"/>
    <x v="80"/>
    <x v="4"/>
    <x v="4"/>
    <x v="0"/>
    <x v="2"/>
    <x v="21"/>
    <x v="90"/>
    <x v="819"/>
    <x v="0"/>
    <s v="PENONOME"/>
    <x v="1"/>
  </r>
  <r>
    <x v="73"/>
    <x v="5"/>
    <x v="0"/>
    <x v="0"/>
    <x v="0"/>
    <x v="2"/>
    <x v="20"/>
    <x v="88"/>
    <x v="820"/>
    <x v="0"/>
    <s v="PENONOME"/>
    <x v="1"/>
  </r>
  <r>
    <x v="73"/>
    <x v="1"/>
    <x v="1"/>
    <x v="1"/>
    <x v="0"/>
    <x v="2"/>
    <x v="1"/>
    <x v="1"/>
    <x v="1"/>
    <x v="210"/>
    <s v="PENONOME"/>
    <x v="1"/>
  </r>
  <r>
    <x v="73"/>
    <x v="70"/>
    <x v="2"/>
    <x v="2"/>
    <x v="0"/>
    <x v="0"/>
    <x v="21"/>
    <x v="36"/>
    <x v="821"/>
    <x v="0"/>
    <s v="PENONOME"/>
    <x v="1"/>
  </r>
  <r>
    <x v="73"/>
    <x v="118"/>
    <x v="2"/>
    <x v="2"/>
    <x v="0"/>
    <x v="0"/>
    <x v="21"/>
    <x v="69"/>
    <x v="822"/>
    <x v="0"/>
    <s v="PENONOME"/>
    <x v="1"/>
  </r>
  <r>
    <x v="73"/>
    <x v="108"/>
    <x v="3"/>
    <x v="3"/>
    <x v="0"/>
    <x v="0"/>
    <x v="21"/>
    <x v="63"/>
    <x v="823"/>
    <x v="0"/>
    <s v="PENONOME"/>
    <x v="1"/>
  </r>
  <r>
    <x v="73"/>
    <x v="66"/>
    <x v="4"/>
    <x v="4"/>
    <x v="0"/>
    <x v="0"/>
    <x v="21"/>
    <x v="78"/>
    <x v="822"/>
    <x v="0"/>
    <s v="PENONOME"/>
    <x v="1"/>
  </r>
  <r>
    <x v="73"/>
    <x v="32"/>
    <x v="5"/>
    <x v="5"/>
    <x v="0"/>
    <x v="0"/>
    <x v="21"/>
    <x v="81"/>
    <x v="824"/>
    <x v="0"/>
    <s v="PENONOME"/>
    <x v="1"/>
  </r>
  <r>
    <x v="73"/>
    <x v="125"/>
    <x v="5"/>
    <x v="5"/>
    <x v="0"/>
    <x v="0"/>
    <x v="21"/>
    <x v="82"/>
    <x v="822"/>
    <x v="0"/>
    <s v="PENONOME"/>
    <x v="1"/>
  </r>
  <r>
    <x v="73"/>
    <x v="1"/>
    <x v="1"/>
    <x v="1"/>
    <x v="0"/>
    <x v="0"/>
    <x v="1"/>
    <x v="1"/>
    <x v="1"/>
    <x v="211"/>
    <s v="PENONOME"/>
    <x v="1"/>
  </r>
  <r>
    <x v="73"/>
    <x v="11"/>
    <x v="6"/>
    <x v="6"/>
    <x v="0"/>
    <x v="1"/>
    <x v="21"/>
    <x v="91"/>
    <x v="825"/>
    <x v="0"/>
    <s v="PENONOME"/>
    <x v="1"/>
  </r>
  <r>
    <x v="73"/>
    <x v="1"/>
    <x v="1"/>
    <x v="1"/>
    <x v="0"/>
    <x v="1"/>
    <x v="1"/>
    <x v="1"/>
    <x v="1"/>
    <x v="212"/>
    <s v="PENONOME"/>
    <x v="1"/>
  </r>
  <r>
    <x v="29"/>
    <x v="17"/>
    <x v="2"/>
    <x v="2"/>
    <x v="0"/>
    <x v="2"/>
    <x v="20"/>
    <x v="92"/>
    <x v="826"/>
    <x v="0"/>
    <s v="ALBROOK"/>
    <x v="1"/>
  </r>
  <r>
    <x v="29"/>
    <x v="9"/>
    <x v="6"/>
    <x v="6"/>
    <x v="0"/>
    <x v="2"/>
    <x v="20"/>
    <x v="92"/>
    <x v="189"/>
    <x v="0"/>
    <s v="ALBROOK"/>
    <x v="1"/>
  </r>
  <r>
    <x v="29"/>
    <x v="11"/>
    <x v="6"/>
    <x v="6"/>
    <x v="0"/>
    <x v="2"/>
    <x v="20"/>
    <x v="92"/>
    <x v="826"/>
    <x v="0"/>
    <s v="ALBROOK"/>
    <x v="1"/>
  </r>
  <r>
    <x v="29"/>
    <x v="96"/>
    <x v="6"/>
    <x v="6"/>
    <x v="0"/>
    <x v="2"/>
    <x v="20"/>
    <x v="92"/>
    <x v="742"/>
    <x v="0"/>
    <s v="ALBROOK"/>
    <x v="1"/>
  </r>
  <r>
    <x v="29"/>
    <x v="28"/>
    <x v="3"/>
    <x v="3"/>
    <x v="0"/>
    <x v="2"/>
    <x v="20"/>
    <x v="92"/>
    <x v="826"/>
    <x v="0"/>
    <s v="ALBROOK"/>
    <x v="1"/>
  </r>
  <r>
    <x v="29"/>
    <x v="131"/>
    <x v="3"/>
    <x v="3"/>
    <x v="0"/>
    <x v="2"/>
    <x v="20"/>
    <x v="92"/>
    <x v="744"/>
    <x v="0"/>
    <s v="ALBROOK"/>
    <x v="1"/>
  </r>
  <r>
    <x v="29"/>
    <x v="38"/>
    <x v="4"/>
    <x v="4"/>
    <x v="0"/>
    <x v="2"/>
    <x v="20"/>
    <x v="92"/>
    <x v="826"/>
    <x v="0"/>
    <s v="ALBROOK"/>
    <x v="1"/>
  </r>
  <r>
    <x v="29"/>
    <x v="1"/>
    <x v="1"/>
    <x v="1"/>
    <x v="0"/>
    <x v="2"/>
    <x v="20"/>
    <x v="92"/>
    <x v="784"/>
    <x v="0"/>
    <s v="ALBROOK"/>
    <x v="1"/>
  </r>
  <r>
    <x v="29"/>
    <x v="1"/>
    <x v="1"/>
    <x v="1"/>
    <x v="0"/>
    <x v="2"/>
    <x v="1"/>
    <x v="1"/>
    <x v="1"/>
    <x v="213"/>
    <s v="ALBROOK"/>
    <x v="1"/>
  </r>
  <r>
    <x v="29"/>
    <x v="16"/>
    <x v="2"/>
    <x v="2"/>
    <x v="0"/>
    <x v="0"/>
    <x v="21"/>
    <x v="93"/>
    <x v="827"/>
    <x v="0"/>
    <s v="ALBROOK"/>
    <x v="1"/>
  </r>
  <r>
    <x v="29"/>
    <x v="36"/>
    <x v="6"/>
    <x v="6"/>
    <x v="0"/>
    <x v="0"/>
    <x v="21"/>
    <x v="94"/>
    <x v="828"/>
    <x v="0"/>
    <s v="ALBROOK"/>
    <x v="1"/>
  </r>
  <r>
    <x v="29"/>
    <x v="60"/>
    <x v="3"/>
    <x v="3"/>
    <x v="0"/>
    <x v="0"/>
    <x v="21"/>
    <x v="57"/>
    <x v="828"/>
    <x v="0"/>
    <s v="ALBROOK"/>
    <x v="1"/>
  </r>
  <r>
    <x v="29"/>
    <x v="132"/>
    <x v="4"/>
    <x v="4"/>
    <x v="0"/>
    <x v="0"/>
    <x v="21"/>
    <x v="95"/>
    <x v="829"/>
    <x v="0"/>
    <s v="ALBROOK"/>
    <x v="1"/>
  </r>
  <r>
    <x v="29"/>
    <x v="57"/>
    <x v="0"/>
    <x v="0"/>
    <x v="0"/>
    <x v="0"/>
    <x v="21"/>
    <x v="44"/>
    <x v="830"/>
    <x v="0"/>
    <s v="ALBROOK"/>
    <x v="1"/>
  </r>
  <r>
    <x v="29"/>
    <x v="119"/>
    <x v="0"/>
    <x v="0"/>
    <x v="0"/>
    <x v="0"/>
    <x v="21"/>
    <x v="96"/>
    <x v="831"/>
    <x v="0"/>
    <s v="ALBROOK"/>
    <x v="1"/>
  </r>
  <r>
    <x v="29"/>
    <x v="72"/>
    <x v="5"/>
    <x v="5"/>
    <x v="0"/>
    <x v="0"/>
    <x v="21"/>
    <x v="38"/>
    <x v="829"/>
    <x v="0"/>
    <s v="ALBROOK"/>
    <x v="1"/>
  </r>
  <r>
    <x v="29"/>
    <x v="95"/>
    <x v="1"/>
    <x v="1"/>
    <x v="0"/>
    <x v="0"/>
    <x v="21"/>
    <x v="97"/>
    <x v="828"/>
    <x v="0"/>
    <s v="ALBROOK"/>
    <x v="1"/>
  </r>
  <r>
    <x v="29"/>
    <x v="1"/>
    <x v="1"/>
    <x v="1"/>
    <x v="0"/>
    <x v="0"/>
    <x v="1"/>
    <x v="1"/>
    <x v="1"/>
    <x v="214"/>
    <s v="ALBROOK"/>
    <x v="1"/>
  </r>
  <r>
    <x v="30"/>
    <x v="15"/>
    <x v="6"/>
    <x v="6"/>
    <x v="0"/>
    <x v="2"/>
    <x v="20"/>
    <x v="98"/>
    <x v="735"/>
    <x v="0"/>
    <s v="SUCURSAL DE VISTA ALEGRE"/>
    <x v="1"/>
  </r>
  <r>
    <x v="30"/>
    <x v="108"/>
    <x v="3"/>
    <x v="3"/>
    <x v="0"/>
    <x v="2"/>
    <x v="20"/>
    <x v="98"/>
    <x v="771"/>
    <x v="0"/>
    <s v="SUCURSAL DE VISTA ALEGRE"/>
    <x v="1"/>
  </r>
  <r>
    <x v="30"/>
    <x v="126"/>
    <x v="4"/>
    <x v="4"/>
    <x v="0"/>
    <x v="2"/>
    <x v="20"/>
    <x v="98"/>
    <x v="739"/>
    <x v="0"/>
    <s v="SUCURSAL DE VISTA ALEGRE"/>
    <x v="1"/>
  </r>
  <r>
    <x v="30"/>
    <x v="31"/>
    <x v="4"/>
    <x v="4"/>
    <x v="0"/>
    <x v="2"/>
    <x v="20"/>
    <x v="98"/>
    <x v="743"/>
    <x v="0"/>
    <s v="SUCURSAL DE VISTA ALEGRE"/>
    <x v="1"/>
  </r>
  <r>
    <x v="30"/>
    <x v="92"/>
    <x v="0"/>
    <x v="0"/>
    <x v="0"/>
    <x v="2"/>
    <x v="20"/>
    <x v="98"/>
    <x v="735"/>
    <x v="0"/>
    <s v="SUCURSAL DE VISTA ALEGRE"/>
    <x v="1"/>
  </r>
  <r>
    <x v="30"/>
    <x v="1"/>
    <x v="1"/>
    <x v="1"/>
    <x v="0"/>
    <x v="2"/>
    <x v="1"/>
    <x v="1"/>
    <x v="1"/>
    <x v="215"/>
    <s v="SUCURSAL DE VISTA ALEGRE"/>
    <x v="1"/>
  </r>
  <r>
    <x v="30"/>
    <x v="1"/>
    <x v="1"/>
    <x v="1"/>
    <x v="0"/>
    <x v="1"/>
    <x v="1"/>
    <x v="1"/>
    <x v="1"/>
    <x v="216"/>
    <s v="SUCURSAL DE VISTA ALEGRE"/>
    <x v="1"/>
  </r>
  <r>
    <x v="31"/>
    <x v="133"/>
    <x v="2"/>
    <x v="2"/>
    <x v="0"/>
    <x v="2"/>
    <x v="20"/>
    <x v="99"/>
    <x v="785"/>
    <x v="0"/>
    <s v="LAS TABLAS"/>
    <x v="1"/>
  </r>
  <r>
    <x v="31"/>
    <x v="71"/>
    <x v="6"/>
    <x v="6"/>
    <x v="0"/>
    <x v="2"/>
    <x v="21"/>
    <x v="37"/>
    <x v="832"/>
    <x v="0"/>
    <s v="LAS TABLAS"/>
    <x v="1"/>
  </r>
  <r>
    <x v="31"/>
    <x v="88"/>
    <x v="6"/>
    <x v="6"/>
    <x v="0"/>
    <x v="2"/>
    <x v="20"/>
    <x v="99"/>
    <x v="833"/>
    <x v="0"/>
    <s v="LAS TABLAS"/>
    <x v="1"/>
  </r>
  <r>
    <x v="31"/>
    <x v="134"/>
    <x v="6"/>
    <x v="6"/>
    <x v="0"/>
    <x v="2"/>
    <x v="20"/>
    <x v="99"/>
    <x v="834"/>
    <x v="0"/>
    <s v="LAS TABLAS"/>
    <x v="1"/>
  </r>
  <r>
    <x v="31"/>
    <x v="37"/>
    <x v="6"/>
    <x v="6"/>
    <x v="0"/>
    <x v="2"/>
    <x v="20"/>
    <x v="99"/>
    <x v="805"/>
    <x v="0"/>
    <s v="LAS TABLAS"/>
    <x v="1"/>
  </r>
  <r>
    <x v="31"/>
    <x v="130"/>
    <x v="3"/>
    <x v="3"/>
    <x v="0"/>
    <x v="2"/>
    <x v="20"/>
    <x v="99"/>
    <x v="835"/>
    <x v="0"/>
    <s v="LAS TABLAS"/>
    <x v="1"/>
  </r>
  <r>
    <x v="31"/>
    <x v="135"/>
    <x v="3"/>
    <x v="3"/>
    <x v="0"/>
    <x v="2"/>
    <x v="20"/>
    <x v="99"/>
    <x v="742"/>
    <x v="0"/>
    <s v="LAS TABLAS"/>
    <x v="1"/>
  </r>
  <r>
    <x v="31"/>
    <x v="75"/>
    <x v="3"/>
    <x v="3"/>
    <x v="0"/>
    <x v="2"/>
    <x v="20"/>
    <x v="99"/>
    <x v="785"/>
    <x v="0"/>
    <s v="LAS TABLAS"/>
    <x v="1"/>
  </r>
  <r>
    <x v="31"/>
    <x v="3"/>
    <x v="3"/>
    <x v="3"/>
    <x v="0"/>
    <x v="2"/>
    <x v="20"/>
    <x v="99"/>
    <x v="785"/>
    <x v="0"/>
    <s v="LAS TABLAS"/>
    <x v="1"/>
  </r>
  <r>
    <x v="31"/>
    <x v="80"/>
    <x v="4"/>
    <x v="4"/>
    <x v="0"/>
    <x v="2"/>
    <x v="21"/>
    <x v="90"/>
    <x v="836"/>
    <x v="0"/>
    <s v="LAS TABLAS"/>
    <x v="1"/>
  </r>
  <r>
    <x v="31"/>
    <x v="136"/>
    <x v="0"/>
    <x v="0"/>
    <x v="0"/>
    <x v="2"/>
    <x v="21"/>
    <x v="100"/>
    <x v="837"/>
    <x v="0"/>
    <s v="LAS TABLAS"/>
    <x v="1"/>
  </r>
  <r>
    <x v="31"/>
    <x v="1"/>
    <x v="1"/>
    <x v="1"/>
    <x v="0"/>
    <x v="2"/>
    <x v="1"/>
    <x v="1"/>
    <x v="1"/>
    <x v="217"/>
    <s v="LAS TABLAS"/>
    <x v="1"/>
  </r>
  <r>
    <x v="31"/>
    <x v="111"/>
    <x v="2"/>
    <x v="2"/>
    <x v="0"/>
    <x v="0"/>
    <x v="21"/>
    <x v="75"/>
    <x v="764"/>
    <x v="0"/>
    <s v="LAS TABLAS"/>
    <x v="1"/>
  </r>
  <r>
    <x v="31"/>
    <x v="57"/>
    <x v="0"/>
    <x v="0"/>
    <x v="0"/>
    <x v="0"/>
    <x v="21"/>
    <x v="44"/>
    <x v="838"/>
    <x v="0"/>
    <s v="LAS TABLAS"/>
    <x v="1"/>
  </r>
  <r>
    <x v="31"/>
    <x v="117"/>
    <x v="0"/>
    <x v="0"/>
    <x v="0"/>
    <x v="0"/>
    <x v="21"/>
    <x v="65"/>
    <x v="838"/>
    <x v="0"/>
    <s v="LAS TABLAS"/>
    <x v="1"/>
  </r>
  <r>
    <x v="31"/>
    <x v="1"/>
    <x v="1"/>
    <x v="1"/>
    <x v="0"/>
    <x v="0"/>
    <x v="1"/>
    <x v="1"/>
    <x v="1"/>
    <x v="218"/>
    <s v="LAS TABLAS"/>
    <x v="1"/>
  </r>
  <r>
    <x v="31"/>
    <x v="111"/>
    <x v="2"/>
    <x v="2"/>
    <x v="0"/>
    <x v="1"/>
    <x v="21"/>
    <x v="75"/>
    <x v="839"/>
    <x v="0"/>
    <s v="LAS TABLAS"/>
    <x v="1"/>
  </r>
  <r>
    <x v="31"/>
    <x v="114"/>
    <x v="3"/>
    <x v="3"/>
    <x v="0"/>
    <x v="1"/>
    <x v="21"/>
    <x v="76"/>
    <x v="839"/>
    <x v="0"/>
    <s v="LAS TABLAS"/>
    <x v="1"/>
  </r>
  <r>
    <x v="31"/>
    <x v="66"/>
    <x v="4"/>
    <x v="4"/>
    <x v="0"/>
    <x v="1"/>
    <x v="21"/>
    <x v="78"/>
    <x v="840"/>
    <x v="0"/>
    <s v="LAS TABLAS"/>
    <x v="1"/>
  </r>
  <r>
    <x v="31"/>
    <x v="1"/>
    <x v="1"/>
    <x v="1"/>
    <x v="0"/>
    <x v="1"/>
    <x v="1"/>
    <x v="1"/>
    <x v="1"/>
    <x v="219"/>
    <s v="LAS TABLAS"/>
    <x v="1"/>
  </r>
  <r>
    <x v="32"/>
    <x v="60"/>
    <x v="3"/>
    <x v="3"/>
    <x v="0"/>
    <x v="2"/>
    <x v="20"/>
    <x v="101"/>
    <x v="753"/>
    <x v="0"/>
    <s v="24 DE DICIEMBRE"/>
    <x v="1"/>
  </r>
  <r>
    <x v="32"/>
    <x v="131"/>
    <x v="3"/>
    <x v="3"/>
    <x v="0"/>
    <x v="2"/>
    <x v="20"/>
    <x v="101"/>
    <x v="799"/>
    <x v="0"/>
    <s v="24 DE DICIEMBRE"/>
    <x v="1"/>
  </r>
  <r>
    <x v="32"/>
    <x v="120"/>
    <x v="0"/>
    <x v="0"/>
    <x v="0"/>
    <x v="2"/>
    <x v="20"/>
    <x v="101"/>
    <x v="841"/>
    <x v="0"/>
    <s v="24 DE DICIEMBRE"/>
    <x v="1"/>
  </r>
  <r>
    <x v="32"/>
    <x v="1"/>
    <x v="1"/>
    <x v="1"/>
    <x v="0"/>
    <x v="2"/>
    <x v="1"/>
    <x v="1"/>
    <x v="1"/>
    <x v="220"/>
    <s v="24 DE DICIEMBRE"/>
    <x v="1"/>
  </r>
  <r>
    <x v="33"/>
    <x v="137"/>
    <x v="6"/>
    <x v="6"/>
    <x v="0"/>
    <x v="2"/>
    <x v="21"/>
    <x v="102"/>
    <x v="816"/>
    <x v="0"/>
    <s v="DAVID - TERRONAL"/>
    <x v="1"/>
  </r>
  <r>
    <x v="33"/>
    <x v="1"/>
    <x v="1"/>
    <x v="1"/>
    <x v="0"/>
    <x v="2"/>
    <x v="1"/>
    <x v="1"/>
    <x v="1"/>
    <x v="221"/>
    <s v="DAVID - TERRONAL"/>
    <x v="1"/>
  </r>
  <r>
    <x v="34"/>
    <x v="59"/>
    <x v="6"/>
    <x v="6"/>
    <x v="0"/>
    <x v="2"/>
    <x v="20"/>
    <x v="103"/>
    <x v="744"/>
    <x v="0"/>
    <s v="COSTA DEL ESTE"/>
    <x v="1"/>
  </r>
  <r>
    <x v="34"/>
    <x v="18"/>
    <x v="3"/>
    <x v="3"/>
    <x v="0"/>
    <x v="2"/>
    <x v="20"/>
    <x v="103"/>
    <x v="842"/>
    <x v="0"/>
    <s v="COSTA DEL ESTE"/>
    <x v="1"/>
  </r>
  <r>
    <x v="34"/>
    <x v="50"/>
    <x v="4"/>
    <x v="4"/>
    <x v="0"/>
    <x v="2"/>
    <x v="20"/>
    <x v="103"/>
    <x v="842"/>
    <x v="0"/>
    <s v="COSTA DEL ESTE"/>
    <x v="1"/>
  </r>
  <r>
    <x v="34"/>
    <x v="95"/>
    <x v="1"/>
    <x v="1"/>
    <x v="0"/>
    <x v="2"/>
    <x v="20"/>
    <x v="103"/>
    <x v="776"/>
    <x v="0"/>
    <s v="COSTA DEL ESTE"/>
    <x v="1"/>
  </r>
  <r>
    <x v="34"/>
    <x v="14"/>
    <x v="1"/>
    <x v="1"/>
    <x v="0"/>
    <x v="2"/>
    <x v="20"/>
    <x v="103"/>
    <x v="776"/>
    <x v="0"/>
    <s v="COSTA DEL ESTE"/>
    <x v="1"/>
  </r>
  <r>
    <x v="34"/>
    <x v="1"/>
    <x v="1"/>
    <x v="1"/>
    <x v="0"/>
    <x v="2"/>
    <x v="1"/>
    <x v="1"/>
    <x v="1"/>
    <x v="222"/>
    <s v="COSTA DEL ESTE"/>
    <x v="1"/>
  </r>
  <r>
    <x v="35"/>
    <x v="117"/>
    <x v="0"/>
    <x v="0"/>
    <x v="0"/>
    <x v="2"/>
    <x v="20"/>
    <x v="104"/>
    <x v="745"/>
    <x v="0"/>
    <s v="MULTI PLAZA"/>
    <x v="1"/>
  </r>
  <r>
    <x v="35"/>
    <x v="1"/>
    <x v="1"/>
    <x v="1"/>
    <x v="0"/>
    <x v="2"/>
    <x v="1"/>
    <x v="1"/>
    <x v="1"/>
    <x v="223"/>
    <s v="MULTI PLAZA"/>
    <x v="1"/>
  </r>
  <r>
    <x v="36"/>
    <x v="43"/>
    <x v="3"/>
    <x v="3"/>
    <x v="0"/>
    <x v="2"/>
    <x v="21"/>
    <x v="71"/>
    <x v="814"/>
    <x v="0"/>
    <s v="TERMINAL DE ALBROOK"/>
    <x v="1"/>
  </r>
  <r>
    <x v="36"/>
    <x v="97"/>
    <x v="5"/>
    <x v="5"/>
    <x v="0"/>
    <x v="2"/>
    <x v="20"/>
    <x v="105"/>
    <x v="784"/>
    <x v="0"/>
    <s v="TERMINAL DE ALBROOK"/>
    <x v="1"/>
  </r>
  <r>
    <x v="36"/>
    <x v="1"/>
    <x v="1"/>
    <x v="1"/>
    <x v="0"/>
    <x v="2"/>
    <x v="1"/>
    <x v="1"/>
    <x v="1"/>
    <x v="224"/>
    <s v="TERMINAL DE ALBROOK"/>
    <x v="1"/>
  </r>
  <r>
    <x v="36"/>
    <x v="1"/>
    <x v="1"/>
    <x v="1"/>
    <x v="0"/>
    <x v="1"/>
    <x v="1"/>
    <x v="1"/>
    <x v="1"/>
    <x v="225"/>
    <s v="TERMINAL DE ALBROOK"/>
    <x v="1"/>
  </r>
  <r>
    <x v="37"/>
    <x v="38"/>
    <x v="4"/>
    <x v="4"/>
    <x v="0"/>
    <x v="2"/>
    <x v="21"/>
    <x v="106"/>
    <x v="843"/>
    <x v="0"/>
    <s v="CONCEPCION"/>
    <x v="1"/>
  </r>
  <r>
    <x v="37"/>
    <x v="52"/>
    <x v="0"/>
    <x v="0"/>
    <x v="0"/>
    <x v="2"/>
    <x v="25"/>
    <x v="107"/>
    <x v="844"/>
    <x v="0"/>
    <s v="CONCEPCION"/>
    <x v="1"/>
  </r>
  <r>
    <x v="37"/>
    <x v="138"/>
    <x v="0"/>
    <x v="0"/>
    <x v="0"/>
    <x v="2"/>
    <x v="20"/>
    <x v="108"/>
    <x v="845"/>
    <x v="0"/>
    <s v="CONCEPCION"/>
    <x v="1"/>
  </r>
  <r>
    <x v="37"/>
    <x v="92"/>
    <x v="0"/>
    <x v="0"/>
    <x v="0"/>
    <x v="2"/>
    <x v="21"/>
    <x v="109"/>
    <x v="846"/>
    <x v="0"/>
    <s v="CONCEPCION"/>
    <x v="1"/>
  </r>
  <r>
    <x v="37"/>
    <x v="92"/>
    <x v="0"/>
    <x v="0"/>
    <x v="0"/>
    <x v="2"/>
    <x v="26"/>
    <x v="109"/>
    <x v="1"/>
    <x v="226"/>
    <s v="CONCEPCION"/>
    <x v="1"/>
  </r>
  <r>
    <x v="37"/>
    <x v="139"/>
    <x v="5"/>
    <x v="5"/>
    <x v="0"/>
    <x v="2"/>
    <x v="21"/>
    <x v="110"/>
    <x v="847"/>
    <x v="0"/>
    <s v="CONCEPCION"/>
    <x v="1"/>
  </r>
  <r>
    <x v="37"/>
    <x v="63"/>
    <x v="5"/>
    <x v="5"/>
    <x v="0"/>
    <x v="2"/>
    <x v="21"/>
    <x v="111"/>
    <x v="848"/>
    <x v="0"/>
    <s v="CONCEPCION"/>
    <x v="1"/>
  </r>
  <r>
    <x v="37"/>
    <x v="20"/>
    <x v="5"/>
    <x v="5"/>
    <x v="0"/>
    <x v="2"/>
    <x v="20"/>
    <x v="108"/>
    <x v="849"/>
    <x v="0"/>
    <s v="CONCEPCION"/>
    <x v="1"/>
  </r>
  <r>
    <x v="37"/>
    <x v="14"/>
    <x v="1"/>
    <x v="1"/>
    <x v="0"/>
    <x v="2"/>
    <x v="25"/>
    <x v="112"/>
    <x v="850"/>
    <x v="0"/>
    <s v="CONCEPCION"/>
    <x v="1"/>
  </r>
  <r>
    <x v="37"/>
    <x v="41"/>
    <x v="1"/>
    <x v="1"/>
    <x v="0"/>
    <x v="2"/>
    <x v="21"/>
    <x v="113"/>
    <x v="851"/>
    <x v="0"/>
    <s v="CONCEPCION"/>
    <x v="1"/>
  </r>
  <r>
    <x v="37"/>
    <x v="1"/>
    <x v="1"/>
    <x v="1"/>
    <x v="0"/>
    <x v="2"/>
    <x v="1"/>
    <x v="1"/>
    <x v="1"/>
    <x v="227"/>
    <s v="CONCEPCION"/>
    <x v="1"/>
  </r>
  <r>
    <x v="38"/>
    <x v="25"/>
    <x v="2"/>
    <x v="2"/>
    <x v="0"/>
    <x v="2"/>
    <x v="20"/>
    <x v="114"/>
    <x v="852"/>
    <x v="0"/>
    <s v="BOQUETE"/>
    <x v="1"/>
  </r>
  <r>
    <x v="38"/>
    <x v="84"/>
    <x v="2"/>
    <x v="2"/>
    <x v="0"/>
    <x v="2"/>
    <x v="20"/>
    <x v="114"/>
    <x v="852"/>
    <x v="0"/>
    <s v="BOQUETE"/>
    <x v="1"/>
  </r>
  <r>
    <x v="38"/>
    <x v="17"/>
    <x v="2"/>
    <x v="2"/>
    <x v="0"/>
    <x v="2"/>
    <x v="20"/>
    <x v="114"/>
    <x v="852"/>
    <x v="0"/>
    <s v="BOQUETE"/>
    <x v="1"/>
  </r>
  <r>
    <x v="38"/>
    <x v="26"/>
    <x v="3"/>
    <x v="3"/>
    <x v="0"/>
    <x v="2"/>
    <x v="21"/>
    <x v="115"/>
    <x v="812"/>
    <x v="0"/>
    <s v="BOQUETE"/>
    <x v="1"/>
  </r>
  <r>
    <x v="38"/>
    <x v="23"/>
    <x v="3"/>
    <x v="3"/>
    <x v="0"/>
    <x v="2"/>
    <x v="20"/>
    <x v="114"/>
    <x v="852"/>
    <x v="0"/>
    <s v="BOQUETE"/>
    <x v="1"/>
  </r>
  <r>
    <x v="38"/>
    <x v="130"/>
    <x v="3"/>
    <x v="3"/>
    <x v="0"/>
    <x v="2"/>
    <x v="20"/>
    <x v="114"/>
    <x v="852"/>
    <x v="0"/>
    <s v="BOQUETE"/>
    <x v="1"/>
  </r>
  <r>
    <x v="38"/>
    <x v="43"/>
    <x v="3"/>
    <x v="3"/>
    <x v="0"/>
    <x v="2"/>
    <x v="26"/>
    <x v="71"/>
    <x v="853"/>
    <x v="0"/>
    <s v="BOQUETE"/>
    <x v="1"/>
  </r>
  <r>
    <x v="38"/>
    <x v="99"/>
    <x v="3"/>
    <x v="3"/>
    <x v="0"/>
    <x v="2"/>
    <x v="26"/>
    <x v="116"/>
    <x v="1"/>
    <x v="228"/>
    <s v="BOQUETE"/>
    <x v="1"/>
  </r>
  <r>
    <x v="38"/>
    <x v="140"/>
    <x v="4"/>
    <x v="4"/>
    <x v="0"/>
    <x v="2"/>
    <x v="21"/>
    <x v="117"/>
    <x v="812"/>
    <x v="0"/>
    <s v="BOQUETE"/>
    <x v="1"/>
  </r>
  <r>
    <x v="38"/>
    <x v="90"/>
    <x v="0"/>
    <x v="0"/>
    <x v="0"/>
    <x v="2"/>
    <x v="21"/>
    <x v="79"/>
    <x v="812"/>
    <x v="0"/>
    <s v="BOQUETE"/>
    <x v="1"/>
  </r>
  <r>
    <x v="38"/>
    <x v="91"/>
    <x v="0"/>
    <x v="0"/>
    <x v="0"/>
    <x v="2"/>
    <x v="21"/>
    <x v="118"/>
    <x v="843"/>
    <x v="0"/>
    <s v="BOQUETE"/>
    <x v="1"/>
  </r>
  <r>
    <x v="38"/>
    <x v="93"/>
    <x v="0"/>
    <x v="0"/>
    <x v="0"/>
    <x v="2"/>
    <x v="20"/>
    <x v="114"/>
    <x v="852"/>
    <x v="0"/>
    <s v="BOQUETE"/>
    <x v="1"/>
  </r>
  <r>
    <x v="38"/>
    <x v="141"/>
    <x v="5"/>
    <x v="5"/>
    <x v="0"/>
    <x v="2"/>
    <x v="20"/>
    <x v="114"/>
    <x v="852"/>
    <x v="0"/>
    <s v="BOQUETE"/>
    <x v="1"/>
  </r>
  <r>
    <x v="38"/>
    <x v="41"/>
    <x v="1"/>
    <x v="1"/>
    <x v="0"/>
    <x v="2"/>
    <x v="20"/>
    <x v="114"/>
    <x v="852"/>
    <x v="0"/>
    <s v="BOQUETE"/>
    <x v="1"/>
  </r>
  <r>
    <x v="38"/>
    <x v="22"/>
    <x v="1"/>
    <x v="1"/>
    <x v="0"/>
    <x v="2"/>
    <x v="20"/>
    <x v="114"/>
    <x v="852"/>
    <x v="0"/>
    <s v="BOQUETE"/>
    <x v="1"/>
  </r>
  <r>
    <x v="38"/>
    <x v="1"/>
    <x v="1"/>
    <x v="1"/>
    <x v="0"/>
    <x v="2"/>
    <x v="1"/>
    <x v="1"/>
    <x v="1"/>
    <x v="229"/>
    <s v="BOQUETE"/>
    <x v="1"/>
  </r>
  <r>
    <x v="38"/>
    <x v="1"/>
    <x v="1"/>
    <x v="1"/>
    <x v="0"/>
    <x v="0"/>
    <x v="1"/>
    <x v="1"/>
    <x v="1"/>
    <x v="230"/>
    <s v="BOQUETE"/>
    <x v="1"/>
  </r>
  <r>
    <x v="38"/>
    <x v="1"/>
    <x v="1"/>
    <x v="1"/>
    <x v="0"/>
    <x v="1"/>
    <x v="1"/>
    <x v="1"/>
    <x v="1"/>
    <x v="231"/>
    <s v="BOQUETE"/>
    <x v="1"/>
  </r>
  <r>
    <x v="39"/>
    <x v="41"/>
    <x v="1"/>
    <x v="1"/>
    <x v="0"/>
    <x v="2"/>
    <x v="21"/>
    <x v="113"/>
    <x v="754"/>
    <x v="0"/>
    <s v="BRISAS DEL GOLF"/>
    <x v="1"/>
  </r>
  <r>
    <x v="39"/>
    <x v="1"/>
    <x v="1"/>
    <x v="1"/>
    <x v="0"/>
    <x v="2"/>
    <x v="1"/>
    <x v="1"/>
    <x v="1"/>
    <x v="232"/>
    <s v="BRISAS DEL GOLF"/>
    <x v="1"/>
  </r>
  <r>
    <x v="39"/>
    <x v="1"/>
    <x v="1"/>
    <x v="1"/>
    <x v="0"/>
    <x v="0"/>
    <x v="1"/>
    <x v="1"/>
    <x v="1"/>
    <x v="233"/>
    <s v="BRISAS DEL GOLF"/>
    <x v="1"/>
  </r>
  <r>
    <x v="39"/>
    <x v="119"/>
    <x v="0"/>
    <x v="0"/>
    <x v="0"/>
    <x v="1"/>
    <x v="21"/>
    <x v="96"/>
    <x v="854"/>
    <x v="0"/>
    <s v="BRISAS DEL GOLF"/>
    <x v="1"/>
  </r>
  <r>
    <x v="39"/>
    <x v="142"/>
    <x v="0"/>
    <x v="0"/>
    <x v="0"/>
    <x v="1"/>
    <x v="21"/>
    <x v="119"/>
    <x v="855"/>
    <x v="0"/>
    <s v="BRISAS DEL GOLF"/>
    <x v="1"/>
  </r>
  <r>
    <x v="39"/>
    <x v="13"/>
    <x v="5"/>
    <x v="5"/>
    <x v="0"/>
    <x v="1"/>
    <x v="21"/>
    <x v="120"/>
    <x v="856"/>
    <x v="0"/>
    <s v="BRISAS DEL GOLF"/>
    <x v="1"/>
  </r>
  <r>
    <x v="39"/>
    <x v="95"/>
    <x v="1"/>
    <x v="1"/>
    <x v="0"/>
    <x v="1"/>
    <x v="21"/>
    <x v="97"/>
    <x v="754"/>
    <x v="0"/>
    <s v="BRISAS DEL GOLF"/>
    <x v="1"/>
  </r>
  <r>
    <x v="39"/>
    <x v="1"/>
    <x v="1"/>
    <x v="1"/>
    <x v="0"/>
    <x v="1"/>
    <x v="1"/>
    <x v="1"/>
    <x v="1"/>
    <x v="234"/>
    <s v="BRISAS DEL GOLF"/>
    <x v="1"/>
  </r>
  <r>
    <x v="40"/>
    <x v="47"/>
    <x v="2"/>
    <x v="2"/>
    <x v="0"/>
    <x v="2"/>
    <x v="20"/>
    <x v="121"/>
    <x v="857"/>
    <x v="0"/>
    <s v="PUENTE CENTENARIO"/>
    <x v="1"/>
  </r>
  <r>
    <x v="40"/>
    <x v="143"/>
    <x v="2"/>
    <x v="2"/>
    <x v="0"/>
    <x v="2"/>
    <x v="20"/>
    <x v="121"/>
    <x v="754"/>
    <x v="0"/>
    <s v="PUENTE CENTENARIO"/>
    <x v="1"/>
  </r>
  <r>
    <x v="40"/>
    <x v="24"/>
    <x v="2"/>
    <x v="2"/>
    <x v="0"/>
    <x v="2"/>
    <x v="20"/>
    <x v="121"/>
    <x v="777"/>
    <x v="0"/>
    <s v="PUENTE CENTENARIO"/>
    <x v="1"/>
  </r>
  <r>
    <x v="40"/>
    <x v="111"/>
    <x v="2"/>
    <x v="2"/>
    <x v="0"/>
    <x v="2"/>
    <x v="20"/>
    <x v="121"/>
    <x v="756"/>
    <x v="0"/>
    <s v="PUENTE CENTENARIO"/>
    <x v="1"/>
  </r>
  <r>
    <x v="40"/>
    <x v="74"/>
    <x v="3"/>
    <x v="3"/>
    <x v="0"/>
    <x v="2"/>
    <x v="20"/>
    <x v="121"/>
    <x v="756"/>
    <x v="0"/>
    <s v="PUENTE CENTENARIO"/>
    <x v="1"/>
  </r>
  <r>
    <x v="40"/>
    <x v="49"/>
    <x v="3"/>
    <x v="3"/>
    <x v="0"/>
    <x v="2"/>
    <x v="20"/>
    <x v="121"/>
    <x v="754"/>
    <x v="0"/>
    <s v="PUENTE CENTENARIO"/>
    <x v="1"/>
  </r>
  <r>
    <x v="40"/>
    <x v="132"/>
    <x v="4"/>
    <x v="4"/>
    <x v="0"/>
    <x v="2"/>
    <x v="20"/>
    <x v="121"/>
    <x v="754"/>
    <x v="0"/>
    <s v="PUENTE CENTENARIO"/>
    <x v="1"/>
  </r>
  <r>
    <x v="40"/>
    <x v="119"/>
    <x v="0"/>
    <x v="0"/>
    <x v="0"/>
    <x v="2"/>
    <x v="20"/>
    <x v="121"/>
    <x v="754"/>
    <x v="0"/>
    <s v="PUENTE CENTENARIO"/>
    <x v="1"/>
  </r>
  <r>
    <x v="40"/>
    <x v="100"/>
    <x v="0"/>
    <x v="0"/>
    <x v="0"/>
    <x v="2"/>
    <x v="20"/>
    <x v="121"/>
    <x v="754"/>
    <x v="0"/>
    <s v="PUENTE CENTENARIO"/>
    <x v="1"/>
  </r>
  <r>
    <x v="40"/>
    <x v="142"/>
    <x v="0"/>
    <x v="0"/>
    <x v="0"/>
    <x v="2"/>
    <x v="20"/>
    <x v="121"/>
    <x v="856"/>
    <x v="0"/>
    <s v="PUENTE CENTENARIO"/>
    <x v="1"/>
  </r>
  <r>
    <x v="40"/>
    <x v="141"/>
    <x v="5"/>
    <x v="5"/>
    <x v="0"/>
    <x v="2"/>
    <x v="20"/>
    <x v="121"/>
    <x v="777"/>
    <x v="0"/>
    <s v="PUENTE CENTENARIO"/>
    <x v="1"/>
  </r>
  <r>
    <x v="40"/>
    <x v="83"/>
    <x v="1"/>
    <x v="1"/>
    <x v="0"/>
    <x v="2"/>
    <x v="20"/>
    <x v="121"/>
    <x v="754"/>
    <x v="0"/>
    <s v="PUENTE CENTENARIO"/>
    <x v="1"/>
  </r>
  <r>
    <x v="40"/>
    <x v="41"/>
    <x v="1"/>
    <x v="1"/>
    <x v="0"/>
    <x v="2"/>
    <x v="20"/>
    <x v="121"/>
    <x v="754"/>
    <x v="0"/>
    <s v="PUENTE CENTENARIO"/>
    <x v="1"/>
  </r>
  <r>
    <x v="40"/>
    <x v="1"/>
    <x v="1"/>
    <x v="1"/>
    <x v="0"/>
    <x v="2"/>
    <x v="1"/>
    <x v="1"/>
    <x v="1"/>
    <x v="235"/>
    <s v="PUENTE CENTENARIO"/>
    <x v="1"/>
  </r>
  <r>
    <x v="74"/>
    <x v="144"/>
    <x v="2"/>
    <x v="2"/>
    <x v="0"/>
    <x v="2"/>
    <x v="20"/>
    <x v="122"/>
    <x v="858"/>
    <x v="0"/>
    <s v="AGUADULCE"/>
    <x v="1"/>
  </r>
  <r>
    <x v="74"/>
    <x v="110"/>
    <x v="2"/>
    <x v="2"/>
    <x v="0"/>
    <x v="2"/>
    <x v="20"/>
    <x v="122"/>
    <x v="858"/>
    <x v="0"/>
    <s v="AGUADULCE"/>
    <x v="1"/>
  </r>
  <r>
    <x v="74"/>
    <x v="49"/>
    <x v="3"/>
    <x v="3"/>
    <x v="0"/>
    <x v="2"/>
    <x v="20"/>
    <x v="122"/>
    <x v="858"/>
    <x v="0"/>
    <s v="AGUADULCE"/>
    <x v="1"/>
  </r>
  <r>
    <x v="74"/>
    <x v="19"/>
    <x v="3"/>
    <x v="3"/>
    <x v="0"/>
    <x v="2"/>
    <x v="20"/>
    <x v="122"/>
    <x v="859"/>
    <x v="0"/>
    <s v="AGUADULCE"/>
    <x v="1"/>
  </r>
  <r>
    <x v="74"/>
    <x v="10"/>
    <x v="3"/>
    <x v="3"/>
    <x v="0"/>
    <x v="2"/>
    <x v="21"/>
    <x v="123"/>
    <x v="860"/>
    <x v="0"/>
    <s v="AGUADULCE"/>
    <x v="1"/>
  </r>
  <r>
    <x v="74"/>
    <x v="80"/>
    <x v="4"/>
    <x v="4"/>
    <x v="0"/>
    <x v="2"/>
    <x v="21"/>
    <x v="90"/>
    <x v="861"/>
    <x v="0"/>
    <s v="AGUADULCE"/>
    <x v="1"/>
  </r>
  <r>
    <x v="74"/>
    <x v="31"/>
    <x v="4"/>
    <x v="4"/>
    <x v="0"/>
    <x v="2"/>
    <x v="26"/>
    <x v="72"/>
    <x v="1"/>
    <x v="236"/>
    <s v="AGUADULCE"/>
    <x v="1"/>
  </r>
  <r>
    <x v="74"/>
    <x v="39"/>
    <x v="4"/>
    <x v="4"/>
    <x v="0"/>
    <x v="2"/>
    <x v="20"/>
    <x v="122"/>
    <x v="740"/>
    <x v="0"/>
    <s v="AGUADULCE"/>
    <x v="1"/>
  </r>
  <r>
    <x v="74"/>
    <x v="90"/>
    <x v="0"/>
    <x v="0"/>
    <x v="0"/>
    <x v="2"/>
    <x v="21"/>
    <x v="79"/>
    <x v="862"/>
    <x v="0"/>
    <s v="AGUADULCE"/>
    <x v="1"/>
  </r>
  <r>
    <x v="74"/>
    <x v="91"/>
    <x v="0"/>
    <x v="0"/>
    <x v="0"/>
    <x v="2"/>
    <x v="20"/>
    <x v="122"/>
    <x v="735"/>
    <x v="0"/>
    <s v="AGUADULCE"/>
    <x v="1"/>
  </r>
  <r>
    <x v="74"/>
    <x v="117"/>
    <x v="0"/>
    <x v="0"/>
    <x v="0"/>
    <x v="2"/>
    <x v="20"/>
    <x v="122"/>
    <x v="858"/>
    <x v="0"/>
    <s v="AGUADULCE"/>
    <x v="1"/>
  </r>
  <r>
    <x v="74"/>
    <x v="5"/>
    <x v="0"/>
    <x v="0"/>
    <x v="0"/>
    <x v="2"/>
    <x v="20"/>
    <x v="122"/>
    <x v="858"/>
    <x v="0"/>
    <s v="AGUADULCE"/>
    <x v="1"/>
  </r>
  <r>
    <x v="74"/>
    <x v="76"/>
    <x v="5"/>
    <x v="5"/>
    <x v="0"/>
    <x v="2"/>
    <x v="20"/>
    <x v="122"/>
    <x v="858"/>
    <x v="0"/>
    <s v="AGUADULCE"/>
    <x v="1"/>
  </r>
  <r>
    <x v="74"/>
    <x v="145"/>
    <x v="5"/>
    <x v="5"/>
    <x v="0"/>
    <x v="2"/>
    <x v="26"/>
    <x v="124"/>
    <x v="1"/>
    <x v="237"/>
    <s v="AGUADULCE"/>
    <x v="1"/>
  </r>
  <r>
    <x v="74"/>
    <x v="40"/>
    <x v="1"/>
    <x v="1"/>
    <x v="0"/>
    <x v="2"/>
    <x v="21"/>
    <x v="125"/>
    <x v="862"/>
    <x v="0"/>
    <s v="AGUADULCE"/>
    <x v="1"/>
  </r>
  <r>
    <x v="74"/>
    <x v="41"/>
    <x v="1"/>
    <x v="1"/>
    <x v="0"/>
    <x v="2"/>
    <x v="20"/>
    <x v="122"/>
    <x v="739"/>
    <x v="0"/>
    <s v="AGUADULCE"/>
    <x v="1"/>
  </r>
  <r>
    <x v="74"/>
    <x v="42"/>
    <x v="1"/>
    <x v="1"/>
    <x v="0"/>
    <x v="2"/>
    <x v="20"/>
    <x v="122"/>
    <x v="858"/>
    <x v="0"/>
    <s v="AGUADULCE"/>
    <x v="1"/>
  </r>
  <r>
    <x v="74"/>
    <x v="101"/>
    <x v="1"/>
    <x v="1"/>
    <x v="0"/>
    <x v="2"/>
    <x v="20"/>
    <x v="122"/>
    <x v="146"/>
    <x v="0"/>
    <s v="AGUADULCE"/>
    <x v="1"/>
  </r>
  <r>
    <x v="74"/>
    <x v="1"/>
    <x v="1"/>
    <x v="1"/>
    <x v="0"/>
    <x v="2"/>
    <x v="1"/>
    <x v="1"/>
    <x v="1"/>
    <x v="238"/>
    <s v="AGUADULCE"/>
    <x v="1"/>
  </r>
  <r>
    <x v="74"/>
    <x v="114"/>
    <x v="3"/>
    <x v="3"/>
    <x v="0"/>
    <x v="1"/>
    <x v="21"/>
    <x v="76"/>
    <x v="825"/>
    <x v="0"/>
    <s v="AGUADULCE"/>
    <x v="1"/>
  </r>
  <r>
    <x v="74"/>
    <x v="1"/>
    <x v="1"/>
    <x v="1"/>
    <x v="0"/>
    <x v="1"/>
    <x v="1"/>
    <x v="1"/>
    <x v="1"/>
    <x v="239"/>
    <s v="AGUADULCE"/>
    <x v="1"/>
  </r>
  <r>
    <x v="75"/>
    <x v="71"/>
    <x v="6"/>
    <x v="6"/>
    <x v="0"/>
    <x v="2"/>
    <x v="21"/>
    <x v="37"/>
    <x v="863"/>
    <x v="0"/>
    <s v="SABANITAS"/>
    <x v="1"/>
  </r>
  <r>
    <x v="75"/>
    <x v="61"/>
    <x v="3"/>
    <x v="3"/>
    <x v="0"/>
    <x v="2"/>
    <x v="21"/>
    <x v="126"/>
    <x v="764"/>
    <x v="0"/>
    <s v="SABANITAS"/>
    <x v="1"/>
  </r>
  <r>
    <x v="75"/>
    <x v="80"/>
    <x v="4"/>
    <x v="4"/>
    <x v="0"/>
    <x v="2"/>
    <x v="21"/>
    <x v="90"/>
    <x v="864"/>
    <x v="0"/>
    <s v="SABANITAS"/>
    <x v="1"/>
  </r>
  <r>
    <x v="75"/>
    <x v="136"/>
    <x v="0"/>
    <x v="0"/>
    <x v="0"/>
    <x v="2"/>
    <x v="21"/>
    <x v="100"/>
    <x v="865"/>
    <x v="0"/>
    <s v="SABANITAS"/>
    <x v="1"/>
  </r>
  <r>
    <x v="75"/>
    <x v="1"/>
    <x v="1"/>
    <x v="1"/>
    <x v="0"/>
    <x v="2"/>
    <x v="1"/>
    <x v="1"/>
    <x v="1"/>
    <x v="240"/>
    <s v="SABANITAS"/>
    <x v="1"/>
  </r>
  <r>
    <x v="75"/>
    <x v="111"/>
    <x v="2"/>
    <x v="2"/>
    <x v="0"/>
    <x v="1"/>
    <x v="21"/>
    <x v="75"/>
    <x v="866"/>
    <x v="0"/>
    <s v="SABANITAS"/>
    <x v="1"/>
  </r>
  <r>
    <x v="75"/>
    <x v="114"/>
    <x v="3"/>
    <x v="3"/>
    <x v="0"/>
    <x v="1"/>
    <x v="21"/>
    <x v="76"/>
    <x v="867"/>
    <x v="0"/>
    <s v="SABANITAS"/>
    <x v="1"/>
  </r>
  <r>
    <x v="75"/>
    <x v="66"/>
    <x v="4"/>
    <x v="4"/>
    <x v="0"/>
    <x v="1"/>
    <x v="21"/>
    <x v="78"/>
    <x v="868"/>
    <x v="0"/>
    <s v="SABANITAS"/>
    <x v="1"/>
  </r>
  <r>
    <x v="75"/>
    <x v="90"/>
    <x v="0"/>
    <x v="0"/>
    <x v="0"/>
    <x v="1"/>
    <x v="21"/>
    <x v="79"/>
    <x v="869"/>
    <x v="0"/>
    <s v="SABANITAS"/>
    <x v="1"/>
  </r>
  <r>
    <x v="75"/>
    <x v="1"/>
    <x v="1"/>
    <x v="1"/>
    <x v="0"/>
    <x v="1"/>
    <x v="1"/>
    <x v="1"/>
    <x v="1"/>
    <x v="241"/>
    <s v="SABANITAS"/>
    <x v="1"/>
  </r>
  <r>
    <x v="42"/>
    <x v="1"/>
    <x v="1"/>
    <x v="1"/>
    <x v="0"/>
    <x v="2"/>
    <x v="1"/>
    <x v="1"/>
    <x v="1"/>
    <x v="242"/>
    <s v="ALTOS DE PANAMA"/>
    <x v="1"/>
  </r>
  <r>
    <x v="43"/>
    <x v="90"/>
    <x v="0"/>
    <x v="0"/>
    <x v="0"/>
    <x v="2"/>
    <x v="20"/>
    <x v="127"/>
    <x v="870"/>
    <x v="0"/>
    <s v="VERSALLES"/>
    <x v="1"/>
  </r>
  <r>
    <x v="43"/>
    <x v="1"/>
    <x v="1"/>
    <x v="1"/>
    <x v="0"/>
    <x v="2"/>
    <x v="1"/>
    <x v="1"/>
    <x v="1"/>
    <x v="243"/>
    <s v="VERSALLES"/>
    <x v="1"/>
  </r>
  <r>
    <x v="44"/>
    <x v="146"/>
    <x v="6"/>
    <x v="6"/>
    <x v="0"/>
    <x v="2"/>
    <x v="20"/>
    <x v="128"/>
    <x v="776"/>
    <x v="0"/>
    <s v="BUSINESS PARK"/>
    <x v="1"/>
  </r>
  <r>
    <x v="44"/>
    <x v="102"/>
    <x v="6"/>
    <x v="6"/>
    <x v="0"/>
    <x v="2"/>
    <x v="20"/>
    <x v="128"/>
    <x v="748"/>
    <x v="0"/>
    <s v="BUSINESS PARK"/>
    <x v="1"/>
  </r>
  <r>
    <x v="44"/>
    <x v="43"/>
    <x v="3"/>
    <x v="3"/>
    <x v="0"/>
    <x v="2"/>
    <x v="20"/>
    <x v="128"/>
    <x v="737"/>
    <x v="0"/>
    <s v="BUSINESS PARK"/>
    <x v="1"/>
  </r>
  <r>
    <x v="44"/>
    <x v="99"/>
    <x v="3"/>
    <x v="3"/>
    <x v="0"/>
    <x v="2"/>
    <x v="20"/>
    <x v="128"/>
    <x v="744"/>
    <x v="0"/>
    <s v="BUSINESS PARK"/>
    <x v="1"/>
  </r>
  <r>
    <x v="44"/>
    <x v="82"/>
    <x v="0"/>
    <x v="0"/>
    <x v="0"/>
    <x v="2"/>
    <x v="20"/>
    <x v="128"/>
    <x v="744"/>
    <x v="0"/>
    <s v="BUSINESS PARK"/>
    <x v="1"/>
  </r>
  <r>
    <x v="44"/>
    <x v="92"/>
    <x v="0"/>
    <x v="0"/>
    <x v="0"/>
    <x v="2"/>
    <x v="20"/>
    <x v="128"/>
    <x v="737"/>
    <x v="0"/>
    <s v="BUSINESS PARK"/>
    <x v="1"/>
  </r>
  <r>
    <x v="44"/>
    <x v="77"/>
    <x v="5"/>
    <x v="5"/>
    <x v="0"/>
    <x v="2"/>
    <x v="20"/>
    <x v="128"/>
    <x v="748"/>
    <x v="0"/>
    <s v="BUSINESS PARK"/>
    <x v="1"/>
  </r>
  <r>
    <x v="44"/>
    <x v="123"/>
    <x v="5"/>
    <x v="5"/>
    <x v="0"/>
    <x v="2"/>
    <x v="20"/>
    <x v="128"/>
    <x v="748"/>
    <x v="0"/>
    <s v="BUSINESS PARK"/>
    <x v="1"/>
  </r>
  <r>
    <x v="44"/>
    <x v="1"/>
    <x v="1"/>
    <x v="1"/>
    <x v="0"/>
    <x v="2"/>
    <x v="1"/>
    <x v="1"/>
    <x v="1"/>
    <x v="7"/>
    <s v="BUSINESS PARK"/>
    <x v="1"/>
  </r>
  <r>
    <x v="45"/>
    <x v="36"/>
    <x v="6"/>
    <x v="6"/>
    <x v="0"/>
    <x v="2"/>
    <x v="20"/>
    <x v="129"/>
    <x v="745"/>
    <x v="0"/>
    <s v="SAN FRANCISCO"/>
    <x v="1"/>
  </r>
  <r>
    <x v="45"/>
    <x v="87"/>
    <x v="6"/>
    <x v="6"/>
    <x v="0"/>
    <x v="2"/>
    <x v="20"/>
    <x v="129"/>
    <x v="737"/>
    <x v="0"/>
    <s v="SAN FRANCISCO"/>
    <x v="1"/>
  </r>
  <r>
    <x v="45"/>
    <x v="113"/>
    <x v="6"/>
    <x v="6"/>
    <x v="0"/>
    <x v="2"/>
    <x v="20"/>
    <x v="129"/>
    <x v="744"/>
    <x v="0"/>
    <s v="SAN FRANCISCO"/>
    <x v="1"/>
  </r>
  <r>
    <x v="45"/>
    <x v="74"/>
    <x v="3"/>
    <x v="3"/>
    <x v="0"/>
    <x v="2"/>
    <x v="20"/>
    <x v="129"/>
    <x v="791"/>
    <x v="0"/>
    <s v="SAN FRANCISCO"/>
    <x v="1"/>
  </r>
  <r>
    <x v="45"/>
    <x v="56"/>
    <x v="3"/>
    <x v="3"/>
    <x v="0"/>
    <x v="2"/>
    <x v="27"/>
    <x v="59"/>
    <x v="1"/>
    <x v="196"/>
    <s v="SAN FRANCISCO"/>
    <x v="1"/>
  </r>
  <r>
    <x v="45"/>
    <x v="99"/>
    <x v="3"/>
    <x v="3"/>
    <x v="0"/>
    <x v="2"/>
    <x v="20"/>
    <x v="129"/>
    <x v="871"/>
    <x v="0"/>
    <s v="SAN FRANCISCO"/>
    <x v="1"/>
  </r>
  <r>
    <x v="45"/>
    <x v="44"/>
    <x v="3"/>
    <x v="3"/>
    <x v="0"/>
    <x v="2"/>
    <x v="20"/>
    <x v="129"/>
    <x v="871"/>
    <x v="0"/>
    <s v="SAN FRANCISCO"/>
    <x v="1"/>
  </r>
  <r>
    <x v="45"/>
    <x v="92"/>
    <x v="0"/>
    <x v="0"/>
    <x v="0"/>
    <x v="2"/>
    <x v="20"/>
    <x v="129"/>
    <x v="745"/>
    <x v="0"/>
    <s v="SAN FRANCISCO"/>
    <x v="1"/>
  </r>
  <r>
    <x v="45"/>
    <x v="13"/>
    <x v="5"/>
    <x v="5"/>
    <x v="0"/>
    <x v="2"/>
    <x v="20"/>
    <x v="129"/>
    <x v="750"/>
    <x v="0"/>
    <s v="SAN FRANCISCO"/>
    <x v="1"/>
  </r>
  <r>
    <x v="45"/>
    <x v="125"/>
    <x v="5"/>
    <x v="5"/>
    <x v="0"/>
    <x v="2"/>
    <x v="20"/>
    <x v="129"/>
    <x v="742"/>
    <x v="0"/>
    <s v="SAN FRANCISCO"/>
    <x v="1"/>
  </r>
  <r>
    <x v="45"/>
    <x v="1"/>
    <x v="1"/>
    <x v="1"/>
    <x v="0"/>
    <x v="2"/>
    <x v="1"/>
    <x v="1"/>
    <x v="1"/>
    <x v="244"/>
    <s v="SAN FRANCISCO"/>
    <x v="1"/>
  </r>
  <r>
    <x v="46"/>
    <x v="88"/>
    <x v="6"/>
    <x v="6"/>
    <x v="0"/>
    <x v="2"/>
    <x v="20"/>
    <x v="130"/>
    <x v="744"/>
    <x v="0"/>
    <s v="PLAZA BANCO GENERAL"/>
    <x v="1"/>
  </r>
  <r>
    <x v="46"/>
    <x v="147"/>
    <x v="6"/>
    <x v="6"/>
    <x v="0"/>
    <x v="2"/>
    <x v="20"/>
    <x v="130"/>
    <x v="744"/>
    <x v="0"/>
    <s v="PLAZA BANCO GENERAL"/>
    <x v="1"/>
  </r>
  <r>
    <x v="46"/>
    <x v="11"/>
    <x v="6"/>
    <x v="6"/>
    <x v="0"/>
    <x v="2"/>
    <x v="20"/>
    <x v="130"/>
    <x v="737"/>
    <x v="0"/>
    <s v="PLAZA BANCO GENERAL"/>
    <x v="1"/>
  </r>
  <r>
    <x v="46"/>
    <x v="96"/>
    <x v="6"/>
    <x v="6"/>
    <x v="0"/>
    <x v="2"/>
    <x v="20"/>
    <x v="130"/>
    <x v="744"/>
    <x v="0"/>
    <s v="PLAZA BANCO GENERAL"/>
    <x v="1"/>
  </r>
  <r>
    <x v="46"/>
    <x v="23"/>
    <x v="3"/>
    <x v="3"/>
    <x v="0"/>
    <x v="2"/>
    <x v="20"/>
    <x v="130"/>
    <x v="744"/>
    <x v="0"/>
    <s v="PLAZA BANCO GENERAL"/>
    <x v="1"/>
  </r>
  <r>
    <x v="46"/>
    <x v="148"/>
    <x v="3"/>
    <x v="3"/>
    <x v="0"/>
    <x v="2"/>
    <x v="20"/>
    <x v="130"/>
    <x v="872"/>
    <x v="0"/>
    <s v="PLAZA BANCO GENERAL"/>
    <x v="1"/>
  </r>
  <r>
    <x v="46"/>
    <x v="28"/>
    <x v="3"/>
    <x v="3"/>
    <x v="0"/>
    <x v="2"/>
    <x v="20"/>
    <x v="130"/>
    <x v="737"/>
    <x v="0"/>
    <s v="PLAZA BANCO GENERAL"/>
    <x v="1"/>
  </r>
  <r>
    <x v="46"/>
    <x v="4"/>
    <x v="4"/>
    <x v="4"/>
    <x v="0"/>
    <x v="2"/>
    <x v="20"/>
    <x v="130"/>
    <x v="744"/>
    <x v="0"/>
    <s v="PLAZA BANCO GENERAL"/>
    <x v="1"/>
  </r>
  <r>
    <x v="46"/>
    <x v="51"/>
    <x v="4"/>
    <x v="4"/>
    <x v="0"/>
    <x v="2"/>
    <x v="20"/>
    <x v="130"/>
    <x v="744"/>
    <x v="0"/>
    <s v="PLAZA BANCO GENERAL"/>
    <x v="1"/>
  </r>
  <r>
    <x v="46"/>
    <x v="145"/>
    <x v="5"/>
    <x v="5"/>
    <x v="0"/>
    <x v="2"/>
    <x v="20"/>
    <x v="130"/>
    <x v="744"/>
    <x v="0"/>
    <s v="PLAZA BANCO GENERAL"/>
    <x v="1"/>
  </r>
  <r>
    <x v="46"/>
    <x v="1"/>
    <x v="1"/>
    <x v="1"/>
    <x v="0"/>
    <x v="2"/>
    <x v="1"/>
    <x v="1"/>
    <x v="1"/>
    <x v="245"/>
    <s v="PLAZA BANCO GENERAL"/>
    <x v="1"/>
  </r>
  <r>
    <x v="47"/>
    <x v="111"/>
    <x v="2"/>
    <x v="2"/>
    <x v="0"/>
    <x v="2"/>
    <x v="20"/>
    <x v="131"/>
    <x v="771"/>
    <x v="0"/>
    <s v="LA CHORRERA - PARQUE 10 DE NOV."/>
    <x v="1"/>
  </r>
  <r>
    <x v="47"/>
    <x v="9"/>
    <x v="6"/>
    <x v="6"/>
    <x v="0"/>
    <x v="2"/>
    <x v="20"/>
    <x v="131"/>
    <x v="816"/>
    <x v="0"/>
    <s v="LA CHORRERA - PARQUE 10 DE NOV."/>
    <x v="1"/>
  </r>
  <r>
    <x v="47"/>
    <x v="59"/>
    <x v="6"/>
    <x v="6"/>
    <x v="0"/>
    <x v="2"/>
    <x v="20"/>
    <x v="131"/>
    <x v="770"/>
    <x v="0"/>
    <s v="LA CHORRERA - PARQUE 10 DE NOV."/>
    <x v="1"/>
  </r>
  <r>
    <x v="47"/>
    <x v="149"/>
    <x v="6"/>
    <x v="6"/>
    <x v="0"/>
    <x v="2"/>
    <x v="20"/>
    <x v="131"/>
    <x v="771"/>
    <x v="0"/>
    <s v="LA CHORRERA - PARQUE 10 DE NOV."/>
    <x v="1"/>
  </r>
  <r>
    <x v="47"/>
    <x v="37"/>
    <x v="6"/>
    <x v="6"/>
    <x v="0"/>
    <x v="2"/>
    <x v="20"/>
    <x v="131"/>
    <x v="748"/>
    <x v="0"/>
    <s v="LA CHORRERA - PARQUE 10 DE NOV."/>
    <x v="1"/>
  </r>
  <r>
    <x v="47"/>
    <x v="108"/>
    <x v="3"/>
    <x v="3"/>
    <x v="0"/>
    <x v="2"/>
    <x v="20"/>
    <x v="131"/>
    <x v="770"/>
    <x v="0"/>
    <s v="LA CHORRERA - PARQUE 10 DE NOV."/>
    <x v="1"/>
  </r>
  <r>
    <x v="47"/>
    <x v="131"/>
    <x v="3"/>
    <x v="3"/>
    <x v="0"/>
    <x v="2"/>
    <x v="20"/>
    <x v="131"/>
    <x v="770"/>
    <x v="0"/>
    <s v="LA CHORRERA - PARQUE 10 DE NOV."/>
    <x v="1"/>
  </r>
  <r>
    <x v="47"/>
    <x v="119"/>
    <x v="0"/>
    <x v="0"/>
    <x v="0"/>
    <x v="2"/>
    <x v="20"/>
    <x v="131"/>
    <x v="770"/>
    <x v="0"/>
    <s v="LA CHORRERA - PARQUE 10 DE NOV."/>
    <x v="1"/>
  </r>
  <r>
    <x v="47"/>
    <x v="93"/>
    <x v="0"/>
    <x v="0"/>
    <x v="0"/>
    <x v="2"/>
    <x v="20"/>
    <x v="131"/>
    <x v="873"/>
    <x v="0"/>
    <s v="LA CHORRERA - PARQUE 10 DE NOV."/>
    <x v="1"/>
  </r>
  <r>
    <x v="47"/>
    <x v="125"/>
    <x v="5"/>
    <x v="5"/>
    <x v="0"/>
    <x v="2"/>
    <x v="20"/>
    <x v="131"/>
    <x v="748"/>
    <x v="0"/>
    <s v="LA CHORRERA - PARQUE 10 DE NOV."/>
    <x v="1"/>
  </r>
  <r>
    <x v="47"/>
    <x v="150"/>
    <x v="5"/>
    <x v="5"/>
    <x v="0"/>
    <x v="2"/>
    <x v="20"/>
    <x v="131"/>
    <x v="748"/>
    <x v="0"/>
    <s v="LA CHORRERA - PARQUE 10 DE NOV."/>
    <x v="1"/>
  </r>
  <r>
    <x v="47"/>
    <x v="14"/>
    <x v="1"/>
    <x v="1"/>
    <x v="0"/>
    <x v="2"/>
    <x v="20"/>
    <x v="131"/>
    <x v="748"/>
    <x v="0"/>
    <s v="LA CHORRERA - PARQUE 10 DE NOV."/>
    <x v="1"/>
  </r>
  <r>
    <x v="47"/>
    <x v="151"/>
    <x v="1"/>
    <x v="1"/>
    <x v="0"/>
    <x v="2"/>
    <x v="20"/>
    <x v="131"/>
    <x v="771"/>
    <x v="0"/>
    <s v="LA CHORRERA - PARQUE 10 DE NOV."/>
    <x v="1"/>
  </r>
  <r>
    <x v="47"/>
    <x v="1"/>
    <x v="1"/>
    <x v="1"/>
    <x v="0"/>
    <x v="2"/>
    <x v="1"/>
    <x v="1"/>
    <x v="1"/>
    <x v="246"/>
    <s v="LA CHORRERA - PARQUE 10 DE NOV."/>
    <x v="1"/>
  </r>
  <r>
    <x v="47"/>
    <x v="147"/>
    <x v="6"/>
    <x v="6"/>
    <x v="0"/>
    <x v="0"/>
    <x v="21"/>
    <x v="132"/>
    <x v="874"/>
    <x v="0"/>
    <s v="LA CHORRERA - PARQUE 10 DE NOV."/>
    <x v="1"/>
  </r>
  <r>
    <x v="47"/>
    <x v="1"/>
    <x v="1"/>
    <x v="1"/>
    <x v="0"/>
    <x v="0"/>
    <x v="1"/>
    <x v="1"/>
    <x v="1"/>
    <x v="216"/>
    <s v="LA CHORRERA - PARQUE 10 DE NOV."/>
    <x v="1"/>
  </r>
  <r>
    <x v="47"/>
    <x v="11"/>
    <x v="6"/>
    <x v="6"/>
    <x v="0"/>
    <x v="1"/>
    <x v="21"/>
    <x v="91"/>
    <x v="875"/>
    <x v="0"/>
    <s v="LA CHORRERA - PARQUE 10 DE NOV."/>
    <x v="1"/>
  </r>
  <r>
    <x v="47"/>
    <x v="1"/>
    <x v="1"/>
    <x v="1"/>
    <x v="0"/>
    <x v="1"/>
    <x v="1"/>
    <x v="1"/>
    <x v="1"/>
    <x v="247"/>
    <s v="LA CHORRERA - PARQUE 10 DE NOV."/>
    <x v="1"/>
  </r>
  <r>
    <x v="48"/>
    <x v="107"/>
    <x v="2"/>
    <x v="2"/>
    <x v="0"/>
    <x v="2"/>
    <x v="20"/>
    <x v="133"/>
    <x v="748"/>
    <x v="0"/>
    <s v="COSTA DEL ESTE - CENTENARIO"/>
    <x v="1"/>
  </r>
  <r>
    <x v="48"/>
    <x v="36"/>
    <x v="6"/>
    <x v="6"/>
    <x v="0"/>
    <x v="2"/>
    <x v="20"/>
    <x v="133"/>
    <x v="842"/>
    <x v="0"/>
    <s v="COSTA DEL ESTE - CENTENARIO"/>
    <x v="1"/>
  </r>
  <r>
    <x v="48"/>
    <x v="60"/>
    <x v="3"/>
    <x v="3"/>
    <x v="0"/>
    <x v="2"/>
    <x v="20"/>
    <x v="133"/>
    <x v="842"/>
    <x v="0"/>
    <s v="COSTA DEL ESTE - CENTENARIO"/>
    <x v="1"/>
  </r>
  <r>
    <x v="48"/>
    <x v="135"/>
    <x v="3"/>
    <x v="3"/>
    <x v="0"/>
    <x v="2"/>
    <x v="20"/>
    <x v="133"/>
    <x v="748"/>
    <x v="0"/>
    <s v="COSTA DEL ESTE - CENTENARIO"/>
    <x v="1"/>
  </r>
  <r>
    <x v="48"/>
    <x v="76"/>
    <x v="5"/>
    <x v="5"/>
    <x v="0"/>
    <x v="2"/>
    <x v="20"/>
    <x v="133"/>
    <x v="744"/>
    <x v="0"/>
    <s v="COSTA DEL ESTE - CENTENARIO"/>
    <x v="1"/>
  </r>
  <r>
    <x v="48"/>
    <x v="1"/>
    <x v="1"/>
    <x v="1"/>
    <x v="0"/>
    <x v="2"/>
    <x v="1"/>
    <x v="1"/>
    <x v="1"/>
    <x v="248"/>
    <s v="COSTA DEL ESTE - CENTENARIO"/>
    <x v="1"/>
  </r>
  <r>
    <x v="49"/>
    <x v="112"/>
    <x v="2"/>
    <x v="2"/>
    <x v="0"/>
    <x v="2"/>
    <x v="20"/>
    <x v="134"/>
    <x v="876"/>
    <x v="0"/>
    <s v="CLAYTON"/>
    <x v="1"/>
  </r>
  <r>
    <x v="49"/>
    <x v="145"/>
    <x v="5"/>
    <x v="5"/>
    <x v="0"/>
    <x v="2"/>
    <x v="20"/>
    <x v="134"/>
    <x v="784"/>
    <x v="0"/>
    <s v="CLAYTON"/>
    <x v="1"/>
  </r>
  <r>
    <x v="49"/>
    <x v="1"/>
    <x v="1"/>
    <x v="1"/>
    <x v="0"/>
    <x v="2"/>
    <x v="1"/>
    <x v="1"/>
    <x v="1"/>
    <x v="249"/>
    <s v="CLAYTON"/>
    <x v="1"/>
  </r>
  <r>
    <x v="50"/>
    <x v="2"/>
    <x v="2"/>
    <x v="2"/>
    <x v="0"/>
    <x v="2"/>
    <x v="20"/>
    <x v="135"/>
    <x v="744"/>
    <x v="0"/>
    <s v="MARBELLA"/>
    <x v="1"/>
  </r>
  <r>
    <x v="50"/>
    <x v="124"/>
    <x v="5"/>
    <x v="5"/>
    <x v="0"/>
    <x v="2"/>
    <x v="20"/>
    <x v="135"/>
    <x v="737"/>
    <x v="0"/>
    <s v="MARBELLA"/>
    <x v="1"/>
  </r>
  <r>
    <x v="50"/>
    <x v="1"/>
    <x v="1"/>
    <x v="1"/>
    <x v="0"/>
    <x v="2"/>
    <x v="1"/>
    <x v="1"/>
    <x v="1"/>
    <x v="250"/>
    <s v="MARBELLA"/>
    <x v="1"/>
  </r>
  <r>
    <x v="51"/>
    <x v="107"/>
    <x v="2"/>
    <x v="2"/>
    <x v="0"/>
    <x v="2"/>
    <x v="20"/>
    <x v="136"/>
    <x v="748"/>
    <x v="0"/>
    <s v="PLAZA CAROLINA"/>
    <x v="1"/>
  </r>
  <r>
    <x v="51"/>
    <x v="27"/>
    <x v="3"/>
    <x v="3"/>
    <x v="0"/>
    <x v="2"/>
    <x v="20"/>
    <x v="136"/>
    <x v="877"/>
    <x v="0"/>
    <s v="PLAZA CAROLINA"/>
    <x v="1"/>
  </r>
  <r>
    <x v="51"/>
    <x v="79"/>
    <x v="3"/>
    <x v="3"/>
    <x v="0"/>
    <x v="2"/>
    <x v="20"/>
    <x v="136"/>
    <x v="751"/>
    <x v="0"/>
    <s v="PLAZA CAROLINA"/>
    <x v="1"/>
  </r>
  <r>
    <x v="51"/>
    <x v="56"/>
    <x v="3"/>
    <x v="3"/>
    <x v="0"/>
    <x v="2"/>
    <x v="28"/>
    <x v="59"/>
    <x v="1"/>
    <x v="251"/>
    <s v="PLAZA CAROLINA"/>
    <x v="1"/>
  </r>
  <r>
    <x v="51"/>
    <x v="3"/>
    <x v="3"/>
    <x v="3"/>
    <x v="0"/>
    <x v="2"/>
    <x v="20"/>
    <x v="136"/>
    <x v="799"/>
    <x v="0"/>
    <s v="PLAZA CAROLINA"/>
    <x v="1"/>
  </r>
  <r>
    <x v="51"/>
    <x v="8"/>
    <x v="1"/>
    <x v="1"/>
    <x v="0"/>
    <x v="2"/>
    <x v="20"/>
    <x v="136"/>
    <x v="799"/>
    <x v="0"/>
    <s v="PLAZA CAROLINA"/>
    <x v="1"/>
  </r>
  <r>
    <x v="51"/>
    <x v="152"/>
    <x v="1"/>
    <x v="1"/>
    <x v="0"/>
    <x v="2"/>
    <x v="20"/>
    <x v="136"/>
    <x v="816"/>
    <x v="0"/>
    <s v="PLAZA CAROLINA"/>
    <x v="1"/>
  </r>
  <r>
    <x v="51"/>
    <x v="55"/>
    <x v="1"/>
    <x v="1"/>
    <x v="0"/>
    <x v="2"/>
    <x v="20"/>
    <x v="136"/>
    <x v="747"/>
    <x v="0"/>
    <s v="PLAZA CAROLINA"/>
    <x v="1"/>
  </r>
  <r>
    <x v="51"/>
    <x v="1"/>
    <x v="1"/>
    <x v="1"/>
    <x v="0"/>
    <x v="2"/>
    <x v="1"/>
    <x v="1"/>
    <x v="1"/>
    <x v="252"/>
    <s v="PLAZA CAROLINA"/>
    <x v="1"/>
  </r>
  <r>
    <x v="52"/>
    <x v="145"/>
    <x v="5"/>
    <x v="5"/>
    <x v="0"/>
    <x v="2"/>
    <x v="20"/>
    <x v="137"/>
    <x v="744"/>
    <x v="0"/>
    <s v="PLAZA CORDOBA"/>
    <x v="1"/>
  </r>
  <r>
    <x v="52"/>
    <x v="153"/>
    <x v="5"/>
    <x v="5"/>
    <x v="0"/>
    <x v="2"/>
    <x v="20"/>
    <x v="137"/>
    <x v="785"/>
    <x v="0"/>
    <s v="PLAZA CORDOBA"/>
    <x v="1"/>
  </r>
  <r>
    <x v="52"/>
    <x v="1"/>
    <x v="1"/>
    <x v="1"/>
    <x v="0"/>
    <x v="2"/>
    <x v="1"/>
    <x v="1"/>
    <x v="1"/>
    <x v="253"/>
    <s v="PLAZA CORDOBA"/>
    <x v="1"/>
  </r>
  <r>
    <x v="53"/>
    <x v="1"/>
    <x v="1"/>
    <x v="1"/>
    <x v="0"/>
    <x v="2"/>
    <x v="1"/>
    <x v="1"/>
    <x v="1"/>
    <x v="254"/>
    <s v="VIA SIMON BOLIVAR"/>
    <x v="1"/>
  </r>
  <r>
    <x v="54"/>
    <x v="107"/>
    <x v="2"/>
    <x v="2"/>
    <x v="0"/>
    <x v="2"/>
    <x v="20"/>
    <x v="138"/>
    <x v="744"/>
    <x v="0"/>
    <s v="JUSTO AROSEMENA"/>
    <x v="1"/>
  </r>
  <r>
    <x v="54"/>
    <x v="147"/>
    <x v="6"/>
    <x v="6"/>
    <x v="0"/>
    <x v="2"/>
    <x v="20"/>
    <x v="138"/>
    <x v="744"/>
    <x v="0"/>
    <s v="JUSTO AROSEMENA"/>
    <x v="1"/>
  </r>
  <r>
    <x v="54"/>
    <x v="119"/>
    <x v="0"/>
    <x v="0"/>
    <x v="0"/>
    <x v="2"/>
    <x v="20"/>
    <x v="138"/>
    <x v="744"/>
    <x v="0"/>
    <s v="JUSTO AROSEMENA"/>
    <x v="1"/>
  </r>
  <r>
    <x v="54"/>
    <x v="1"/>
    <x v="1"/>
    <x v="1"/>
    <x v="0"/>
    <x v="2"/>
    <x v="1"/>
    <x v="1"/>
    <x v="1"/>
    <x v="255"/>
    <s v="JUSTO AROSEMENA"/>
    <x v="1"/>
  </r>
  <r>
    <x v="55"/>
    <x v="64"/>
    <x v="2"/>
    <x v="2"/>
    <x v="0"/>
    <x v="19"/>
    <x v="25"/>
    <x v="139"/>
    <x v="878"/>
    <x v="0"/>
    <s v="NEGOCIOS"/>
    <x v="1"/>
  </r>
  <r>
    <x v="55"/>
    <x v="1"/>
    <x v="1"/>
    <x v="1"/>
    <x v="0"/>
    <x v="19"/>
    <x v="1"/>
    <x v="1"/>
    <x v="1"/>
    <x v="256"/>
    <s v="NEGOCIOS"/>
    <x v="1"/>
  </r>
  <r>
    <x v="55"/>
    <x v="2"/>
    <x v="2"/>
    <x v="2"/>
    <x v="0"/>
    <x v="20"/>
    <x v="26"/>
    <x v="140"/>
    <x v="879"/>
    <x v="0"/>
    <s v="NEGOCIOS"/>
    <x v="1"/>
  </r>
  <r>
    <x v="55"/>
    <x v="102"/>
    <x v="6"/>
    <x v="6"/>
    <x v="0"/>
    <x v="20"/>
    <x v="26"/>
    <x v="141"/>
    <x v="880"/>
    <x v="0"/>
    <s v="NEGOCIOS"/>
    <x v="1"/>
  </r>
  <r>
    <x v="55"/>
    <x v="79"/>
    <x v="3"/>
    <x v="3"/>
    <x v="0"/>
    <x v="20"/>
    <x v="26"/>
    <x v="142"/>
    <x v="879"/>
    <x v="0"/>
    <s v="NEGOCIOS"/>
    <x v="1"/>
  </r>
  <r>
    <x v="55"/>
    <x v="154"/>
    <x v="4"/>
    <x v="4"/>
    <x v="0"/>
    <x v="20"/>
    <x v="26"/>
    <x v="143"/>
    <x v="881"/>
    <x v="0"/>
    <s v="NEGOCIOS"/>
    <x v="1"/>
  </r>
  <r>
    <x v="55"/>
    <x v="31"/>
    <x v="4"/>
    <x v="4"/>
    <x v="0"/>
    <x v="20"/>
    <x v="26"/>
    <x v="72"/>
    <x v="781"/>
    <x v="0"/>
    <s v="NEGOCIOS"/>
    <x v="1"/>
  </r>
  <r>
    <x v="55"/>
    <x v="53"/>
    <x v="0"/>
    <x v="0"/>
    <x v="0"/>
    <x v="20"/>
    <x v="26"/>
    <x v="144"/>
    <x v="789"/>
    <x v="0"/>
    <s v="NEGOCIOS"/>
    <x v="1"/>
  </r>
  <r>
    <x v="55"/>
    <x v="63"/>
    <x v="5"/>
    <x v="5"/>
    <x v="0"/>
    <x v="20"/>
    <x v="26"/>
    <x v="111"/>
    <x v="746"/>
    <x v="0"/>
    <s v="NEGOCIOS"/>
    <x v="1"/>
  </r>
  <r>
    <x v="55"/>
    <x v="155"/>
    <x v="1"/>
    <x v="1"/>
    <x v="0"/>
    <x v="20"/>
    <x v="26"/>
    <x v="145"/>
    <x v="881"/>
    <x v="0"/>
    <s v="NEGOCIOS"/>
    <x v="1"/>
  </r>
  <r>
    <x v="55"/>
    <x v="1"/>
    <x v="1"/>
    <x v="1"/>
    <x v="0"/>
    <x v="20"/>
    <x v="1"/>
    <x v="1"/>
    <x v="1"/>
    <x v="257"/>
    <s v="NEGOCIOS"/>
    <x v="1"/>
  </r>
  <r>
    <x v="55"/>
    <x v="156"/>
    <x v="4"/>
    <x v="4"/>
    <x v="0"/>
    <x v="21"/>
    <x v="21"/>
    <x v="146"/>
    <x v="882"/>
    <x v="0"/>
    <s v="NEGOCIOS"/>
    <x v="1"/>
  </r>
  <r>
    <x v="55"/>
    <x v="1"/>
    <x v="1"/>
    <x v="1"/>
    <x v="0"/>
    <x v="21"/>
    <x v="1"/>
    <x v="1"/>
    <x v="1"/>
    <x v="258"/>
    <s v="NEGOCIOS"/>
    <x v="1"/>
  </r>
  <r>
    <x v="55"/>
    <x v="1"/>
    <x v="1"/>
    <x v="1"/>
    <x v="0"/>
    <x v="22"/>
    <x v="1"/>
    <x v="1"/>
    <x v="1"/>
    <x v="259"/>
    <s v="NEGOCIOS"/>
    <x v="1"/>
  </r>
  <r>
    <x v="55"/>
    <x v="157"/>
    <x v="2"/>
    <x v="2"/>
    <x v="0"/>
    <x v="23"/>
    <x v="26"/>
    <x v="147"/>
    <x v="883"/>
    <x v="0"/>
    <s v="NEGOCIOS"/>
    <x v="1"/>
  </r>
  <r>
    <x v="55"/>
    <x v="149"/>
    <x v="6"/>
    <x v="6"/>
    <x v="0"/>
    <x v="23"/>
    <x v="26"/>
    <x v="148"/>
    <x v="884"/>
    <x v="0"/>
    <s v="NEGOCIOS"/>
    <x v="1"/>
  </r>
  <r>
    <x v="55"/>
    <x v="135"/>
    <x v="3"/>
    <x v="3"/>
    <x v="0"/>
    <x v="23"/>
    <x v="26"/>
    <x v="149"/>
    <x v="885"/>
    <x v="0"/>
    <s v="NEGOCIOS"/>
    <x v="1"/>
  </r>
  <r>
    <x v="55"/>
    <x v="154"/>
    <x v="4"/>
    <x v="4"/>
    <x v="0"/>
    <x v="23"/>
    <x v="26"/>
    <x v="143"/>
    <x v="886"/>
    <x v="0"/>
    <s v="NEGOCIOS"/>
    <x v="1"/>
  </r>
  <r>
    <x v="55"/>
    <x v="119"/>
    <x v="0"/>
    <x v="0"/>
    <x v="0"/>
    <x v="23"/>
    <x v="21"/>
    <x v="96"/>
    <x v="887"/>
    <x v="0"/>
    <s v="NEGOCIOS"/>
    <x v="1"/>
  </r>
  <r>
    <x v="55"/>
    <x v="53"/>
    <x v="0"/>
    <x v="0"/>
    <x v="0"/>
    <x v="23"/>
    <x v="26"/>
    <x v="144"/>
    <x v="888"/>
    <x v="0"/>
    <s v="NEGOCIOS"/>
    <x v="1"/>
  </r>
  <r>
    <x v="55"/>
    <x v="63"/>
    <x v="5"/>
    <x v="5"/>
    <x v="0"/>
    <x v="23"/>
    <x v="26"/>
    <x v="111"/>
    <x v="889"/>
    <x v="0"/>
    <s v="NEGOCIOS"/>
    <x v="1"/>
  </r>
  <r>
    <x v="55"/>
    <x v="155"/>
    <x v="1"/>
    <x v="1"/>
    <x v="0"/>
    <x v="23"/>
    <x v="26"/>
    <x v="145"/>
    <x v="890"/>
    <x v="0"/>
    <s v="NEGOCIOS"/>
    <x v="1"/>
  </r>
  <r>
    <x v="55"/>
    <x v="1"/>
    <x v="1"/>
    <x v="1"/>
    <x v="0"/>
    <x v="23"/>
    <x v="1"/>
    <x v="1"/>
    <x v="1"/>
    <x v="260"/>
    <s v="NEGOCIOS"/>
    <x v="1"/>
  </r>
  <r>
    <x v="55"/>
    <x v="70"/>
    <x v="2"/>
    <x v="2"/>
    <x v="0"/>
    <x v="3"/>
    <x v="25"/>
    <x v="36"/>
    <x v="891"/>
    <x v="0"/>
    <s v="NEGOCIOS"/>
    <x v="1"/>
  </r>
  <r>
    <x v="55"/>
    <x v="64"/>
    <x v="2"/>
    <x v="2"/>
    <x v="0"/>
    <x v="3"/>
    <x v="21"/>
    <x v="139"/>
    <x v="891"/>
    <x v="0"/>
    <s v="NEGOCIOS"/>
    <x v="1"/>
  </r>
  <r>
    <x v="55"/>
    <x v="17"/>
    <x v="2"/>
    <x v="2"/>
    <x v="0"/>
    <x v="3"/>
    <x v="25"/>
    <x v="150"/>
    <x v="810"/>
    <x v="0"/>
    <s v="NEGOCIOS"/>
    <x v="1"/>
  </r>
  <r>
    <x v="55"/>
    <x v="17"/>
    <x v="2"/>
    <x v="2"/>
    <x v="0"/>
    <x v="3"/>
    <x v="21"/>
    <x v="150"/>
    <x v="736"/>
    <x v="0"/>
    <s v="NEGOCIOS"/>
    <x v="1"/>
  </r>
  <r>
    <x v="55"/>
    <x v="36"/>
    <x v="6"/>
    <x v="6"/>
    <x v="0"/>
    <x v="3"/>
    <x v="25"/>
    <x v="94"/>
    <x v="892"/>
    <x v="0"/>
    <s v="NEGOCIOS"/>
    <x v="1"/>
  </r>
  <r>
    <x v="55"/>
    <x v="36"/>
    <x v="6"/>
    <x v="6"/>
    <x v="0"/>
    <x v="3"/>
    <x v="21"/>
    <x v="94"/>
    <x v="893"/>
    <x v="0"/>
    <s v="NEGOCIOS"/>
    <x v="1"/>
  </r>
  <r>
    <x v="55"/>
    <x v="149"/>
    <x v="6"/>
    <x v="6"/>
    <x v="0"/>
    <x v="3"/>
    <x v="21"/>
    <x v="148"/>
    <x v="782"/>
    <x v="0"/>
    <s v="NEGOCIOS"/>
    <x v="1"/>
  </r>
  <r>
    <x v="55"/>
    <x v="113"/>
    <x v="6"/>
    <x v="6"/>
    <x v="0"/>
    <x v="3"/>
    <x v="21"/>
    <x v="89"/>
    <x v="894"/>
    <x v="0"/>
    <s v="NEGOCIOS"/>
    <x v="1"/>
  </r>
  <r>
    <x v="55"/>
    <x v="74"/>
    <x v="3"/>
    <x v="3"/>
    <x v="0"/>
    <x v="3"/>
    <x v="25"/>
    <x v="151"/>
    <x v="895"/>
    <x v="0"/>
    <s v="NEGOCIOS"/>
    <x v="1"/>
  </r>
  <r>
    <x v="55"/>
    <x v="26"/>
    <x v="3"/>
    <x v="3"/>
    <x v="0"/>
    <x v="3"/>
    <x v="21"/>
    <x v="115"/>
    <x v="896"/>
    <x v="0"/>
    <s v="NEGOCIOS"/>
    <x v="1"/>
  </r>
  <r>
    <x v="55"/>
    <x v="10"/>
    <x v="3"/>
    <x v="3"/>
    <x v="0"/>
    <x v="3"/>
    <x v="25"/>
    <x v="123"/>
    <x v="897"/>
    <x v="0"/>
    <s v="NEGOCIOS"/>
    <x v="1"/>
  </r>
  <r>
    <x v="55"/>
    <x v="69"/>
    <x v="3"/>
    <x v="3"/>
    <x v="0"/>
    <x v="3"/>
    <x v="21"/>
    <x v="152"/>
    <x v="146"/>
    <x v="0"/>
    <s v="NEGOCIOS"/>
    <x v="1"/>
  </r>
  <r>
    <x v="55"/>
    <x v="43"/>
    <x v="3"/>
    <x v="3"/>
    <x v="0"/>
    <x v="3"/>
    <x v="25"/>
    <x v="71"/>
    <x v="898"/>
    <x v="0"/>
    <s v="NEGOCIOS"/>
    <x v="1"/>
  </r>
  <r>
    <x v="55"/>
    <x v="56"/>
    <x v="3"/>
    <x v="3"/>
    <x v="0"/>
    <x v="3"/>
    <x v="25"/>
    <x v="153"/>
    <x v="899"/>
    <x v="0"/>
    <s v="NEGOCIOS"/>
    <x v="1"/>
  </r>
  <r>
    <x v="55"/>
    <x v="80"/>
    <x v="4"/>
    <x v="4"/>
    <x v="0"/>
    <x v="3"/>
    <x v="21"/>
    <x v="90"/>
    <x v="900"/>
    <x v="0"/>
    <s v="NEGOCIOS"/>
    <x v="1"/>
  </r>
  <r>
    <x v="55"/>
    <x v="140"/>
    <x v="4"/>
    <x v="4"/>
    <x v="0"/>
    <x v="3"/>
    <x v="21"/>
    <x v="117"/>
    <x v="901"/>
    <x v="0"/>
    <s v="NEGOCIOS"/>
    <x v="1"/>
  </r>
  <r>
    <x v="55"/>
    <x v="140"/>
    <x v="4"/>
    <x v="4"/>
    <x v="0"/>
    <x v="3"/>
    <x v="25"/>
    <x v="117"/>
    <x v="902"/>
    <x v="0"/>
    <s v="NEGOCIOS"/>
    <x v="1"/>
  </r>
  <r>
    <x v="55"/>
    <x v="156"/>
    <x v="4"/>
    <x v="4"/>
    <x v="0"/>
    <x v="3"/>
    <x v="21"/>
    <x v="146"/>
    <x v="808"/>
    <x v="0"/>
    <s v="NEGOCIOS"/>
    <x v="1"/>
  </r>
  <r>
    <x v="55"/>
    <x v="156"/>
    <x v="4"/>
    <x v="4"/>
    <x v="0"/>
    <x v="3"/>
    <x v="26"/>
    <x v="146"/>
    <x v="1"/>
    <x v="261"/>
    <s v="NEGOCIOS"/>
    <x v="1"/>
  </r>
  <r>
    <x v="55"/>
    <x v="132"/>
    <x v="4"/>
    <x v="4"/>
    <x v="0"/>
    <x v="3"/>
    <x v="21"/>
    <x v="95"/>
    <x v="759"/>
    <x v="0"/>
    <s v="NEGOCIOS"/>
    <x v="1"/>
  </r>
  <r>
    <x v="55"/>
    <x v="50"/>
    <x v="4"/>
    <x v="4"/>
    <x v="0"/>
    <x v="3"/>
    <x v="21"/>
    <x v="77"/>
    <x v="903"/>
    <x v="0"/>
    <s v="NEGOCIOS"/>
    <x v="1"/>
  </r>
  <r>
    <x v="55"/>
    <x v="89"/>
    <x v="4"/>
    <x v="4"/>
    <x v="0"/>
    <x v="3"/>
    <x v="25"/>
    <x v="154"/>
    <x v="904"/>
    <x v="0"/>
    <s v="NEGOCIOS"/>
    <x v="1"/>
  </r>
  <r>
    <x v="55"/>
    <x v="89"/>
    <x v="4"/>
    <x v="4"/>
    <x v="0"/>
    <x v="3"/>
    <x v="26"/>
    <x v="154"/>
    <x v="1"/>
    <x v="203"/>
    <s v="NEGOCIOS"/>
    <x v="1"/>
  </r>
  <r>
    <x v="55"/>
    <x v="38"/>
    <x v="4"/>
    <x v="4"/>
    <x v="0"/>
    <x v="3"/>
    <x v="25"/>
    <x v="106"/>
    <x v="905"/>
    <x v="0"/>
    <s v="NEGOCIOS"/>
    <x v="1"/>
  </r>
  <r>
    <x v="55"/>
    <x v="51"/>
    <x v="4"/>
    <x v="4"/>
    <x v="0"/>
    <x v="3"/>
    <x v="25"/>
    <x v="34"/>
    <x v="847"/>
    <x v="0"/>
    <s v="NEGOCIOS"/>
    <x v="1"/>
  </r>
  <r>
    <x v="55"/>
    <x v="116"/>
    <x v="0"/>
    <x v="0"/>
    <x v="0"/>
    <x v="3"/>
    <x v="21"/>
    <x v="64"/>
    <x v="146"/>
    <x v="0"/>
    <s v="NEGOCIOS"/>
    <x v="1"/>
  </r>
  <r>
    <x v="55"/>
    <x v="57"/>
    <x v="0"/>
    <x v="0"/>
    <x v="0"/>
    <x v="3"/>
    <x v="25"/>
    <x v="44"/>
    <x v="899"/>
    <x v="0"/>
    <s v="NEGOCIOS"/>
    <x v="1"/>
  </r>
  <r>
    <x v="55"/>
    <x v="52"/>
    <x v="0"/>
    <x v="0"/>
    <x v="0"/>
    <x v="3"/>
    <x v="21"/>
    <x v="107"/>
    <x v="906"/>
    <x v="0"/>
    <s v="NEGOCIOS"/>
    <x v="1"/>
  </r>
  <r>
    <x v="55"/>
    <x v="91"/>
    <x v="0"/>
    <x v="0"/>
    <x v="0"/>
    <x v="3"/>
    <x v="25"/>
    <x v="118"/>
    <x v="907"/>
    <x v="0"/>
    <s v="NEGOCIOS"/>
    <x v="1"/>
  </r>
  <r>
    <x v="55"/>
    <x v="91"/>
    <x v="0"/>
    <x v="0"/>
    <x v="0"/>
    <x v="3"/>
    <x v="21"/>
    <x v="118"/>
    <x v="908"/>
    <x v="0"/>
    <s v="NEGOCIOS"/>
    <x v="1"/>
  </r>
  <r>
    <x v="55"/>
    <x v="46"/>
    <x v="0"/>
    <x v="0"/>
    <x v="0"/>
    <x v="3"/>
    <x v="25"/>
    <x v="155"/>
    <x v="909"/>
    <x v="0"/>
    <s v="NEGOCIOS"/>
    <x v="1"/>
  </r>
  <r>
    <x v="55"/>
    <x v="136"/>
    <x v="0"/>
    <x v="0"/>
    <x v="0"/>
    <x v="3"/>
    <x v="25"/>
    <x v="100"/>
    <x v="909"/>
    <x v="0"/>
    <s v="NEGOCIOS"/>
    <x v="1"/>
  </r>
  <r>
    <x v="55"/>
    <x v="77"/>
    <x v="5"/>
    <x v="5"/>
    <x v="0"/>
    <x v="3"/>
    <x v="25"/>
    <x v="156"/>
    <x v="798"/>
    <x v="0"/>
    <s v="NEGOCIOS"/>
    <x v="1"/>
  </r>
  <r>
    <x v="55"/>
    <x v="153"/>
    <x v="5"/>
    <x v="5"/>
    <x v="0"/>
    <x v="3"/>
    <x v="25"/>
    <x v="157"/>
    <x v="905"/>
    <x v="0"/>
    <s v="NEGOCIOS"/>
    <x v="1"/>
  </r>
  <r>
    <x v="55"/>
    <x v="58"/>
    <x v="1"/>
    <x v="1"/>
    <x v="0"/>
    <x v="3"/>
    <x v="25"/>
    <x v="84"/>
    <x v="905"/>
    <x v="0"/>
    <s v="NEGOCIOS"/>
    <x v="1"/>
  </r>
  <r>
    <x v="55"/>
    <x v="40"/>
    <x v="1"/>
    <x v="1"/>
    <x v="0"/>
    <x v="3"/>
    <x v="21"/>
    <x v="125"/>
    <x v="910"/>
    <x v="0"/>
    <s v="NEGOCIOS"/>
    <x v="1"/>
  </r>
  <r>
    <x v="55"/>
    <x v="95"/>
    <x v="1"/>
    <x v="1"/>
    <x v="0"/>
    <x v="3"/>
    <x v="26"/>
    <x v="97"/>
    <x v="1"/>
    <x v="262"/>
    <s v="NEGOCIOS"/>
    <x v="1"/>
  </r>
  <r>
    <x v="55"/>
    <x v="127"/>
    <x v="1"/>
    <x v="1"/>
    <x v="0"/>
    <x v="3"/>
    <x v="21"/>
    <x v="85"/>
    <x v="911"/>
    <x v="0"/>
    <s v="NEGOCIOS"/>
    <x v="1"/>
  </r>
  <r>
    <x v="55"/>
    <x v="1"/>
    <x v="1"/>
    <x v="1"/>
    <x v="0"/>
    <x v="3"/>
    <x v="1"/>
    <x v="1"/>
    <x v="1"/>
    <x v="263"/>
    <s v="NEGOCIOS"/>
    <x v="1"/>
  </r>
  <r>
    <x v="55"/>
    <x v="16"/>
    <x v="2"/>
    <x v="2"/>
    <x v="0"/>
    <x v="24"/>
    <x v="21"/>
    <x v="93"/>
    <x v="912"/>
    <x v="0"/>
    <s v="NEGOCIOS"/>
    <x v="1"/>
  </r>
  <r>
    <x v="55"/>
    <x v="107"/>
    <x v="2"/>
    <x v="2"/>
    <x v="0"/>
    <x v="24"/>
    <x v="21"/>
    <x v="158"/>
    <x v="735"/>
    <x v="0"/>
    <s v="NEGOCIOS"/>
    <x v="1"/>
  </r>
  <r>
    <x v="55"/>
    <x v="30"/>
    <x v="4"/>
    <x v="4"/>
    <x v="0"/>
    <x v="24"/>
    <x v="21"/>
    <x v="159"/>
    <x v="736"/>
    <x v="0"/>
    <s v="NEGOCIOS"/>
    <x v="1"/>
  </r>
  <r>
    <x v="55"/>
    <x v="78"/>
    <x v="4"/>
    <x v="4"/>
    <x v="0"/>
    <x v="24"/>
    <x v="21"/>
    <x v="160"/>
    <x v="793"/>
    <x v="0"/>
    <s v="NEGOCIOS"/>
    <x v="1"/>
  </r>
  <r>
    <x v="55"/>
    <x v="77"/>
    <x v="5"/>
    <x v="5"/>
    <x v="0"/>
    <x v="24"/>
    <x v="21"/>
    <x v="156"/>
    <x v="913"/>
    <x v="0"/>
    <s v="NEGOCIOS"/>
    <x v="1"/>
  </r>
  <r>
    <x v="55"/>
    <x v="1"/>
    <x v="1"/>
    <x v="1"/>
    <x v="0"/>
    <x v="24"/>
    <x v="1"/>
    <x v="1"/>
    <x v="1"/>
    <x v="264"/>
    <s v="NEGOCIOS"/>
    <x v="1"/>
  </r>
  <r>
    <x v="55"/>
    <x v="85"/>
    <x v="2"/>
    <x v="2"/>
    <x v="0"/>
    <x v="4"/>
    <x v="21"/>
    <x v="161"/>
    <x v="858"/>
    <x v="0"/>
    <s v="NEGOCIOS"/>
    <x v="1"/>
  </r>
  <r>
    <x v="55"/>
    <x v="107"/>
    <x v="2"/>
    <x v="2"/>
    <x v="0"/>
    <x v="4"/>
    <x v="21"/>
    <x v="158"/>
    <x v="814"/>
    <x v="0"/>
    <s v="NEGOCIOS"/>
    <x v="1"/>
  </r>
  <r>
    <x v="55"/>
    <x v="144"/>
    <x v="2"/>
    <x v="2"/>
    <x v="0"/>
    <x v="4"/>
    <x v="21"/>
    <x v="162"/>
    <x v="914"/>
    <x v="0"/>
    <s v="NEGOCIOS"/>
    <x v="1"/>
  </r>
  <r>
    <x v="55"/>
    <x v="111"/>
    <x v="2"/>
    <x v="2"/>
    <x v="0"/>
    <x v="4"/>
    <x v="21"/>
    <x v="75"/>
    <x v="915"/>
    <x v="0"/>
    <s v="NEGOCIOS"/>
    <x v="1"/>
  </r>
  <r>
    <x v="55"/>
    <x v="26"/>
    <x v="3"/>
    <x v="3"/>
    <x v="0"/>
    <x v="4"/>
    <x v="21"/>
    <x v="115"/>
    <x v="739"/>
    <x v="0"/>
    <s v="NEGOCIOS"/>
    <x v="1"/>
  </r>
  <r>
    <x v="55"/>
    <x v="108"/>
    <x v="3"/>
    <x v="3"/>
    <x v="0"/>
    <x v="4"/>
    <x v="21"/>
    <x v="63"/>
    <x v="814"/>
    <x v="0"/>
    <s v="NEGOCIOS"/>
    <x v="1"/>
  </r>
  <r>
    <x v="55"/>
    <x v="131"/>
    <x v="3"/>
    <x v="3"/>
    <x v="0"/>
    <x v="4"/>
    <x v="21"/>
    <x v="163"/>
    <x v="916"/>
    <x v="0"/>
    <s v="NEGOCIOS"/>
    <x v="1"/>
  </r>
  <r>
    <x v="55"/>
    <x v="51"/>
    <x v="4"/>
    <x v="4"/>
    <x v="0"/>
    <x v="4"/>
    <x v="21"/>
    <x v="34"/>
    <x v="917"/>
    <x v="0"/>
    <s v="NEGOCIOS"/>
    <x v="1"/>
  </r>
  <r>
    <x v="55"/>
    <x v="92"/>
    <x v="0"/>
    <x v="0"/>
    <x v="0"/>
    <x v="4"/>
    <x v="26"/>
    <x v="109"/>
    <x v="1"/>
    <x v="265"/>
    <s v="NEGOCIOS"/>
    <x v="1"/>
  </r>
  <r>
    <x v="55"/>
    <x v="32"/>
    <x v="5"/>
    <x v="5"/>
    <x v="0"/>
    <x v="4"/>
    <x v="21"/>
    <x v="81"/>
    <x v="918"/>
    <x v="0"/>
    <s v="NEGOCIOS"/>
    <x v="1"/>
  </r>
  <r>
    <x v="55"/>
    <x v="73"/>
    <x v="1"/>
    <x v="1"/>
    <x v="0"/>
    <x v="4"/>
    <x v="21"/>
    <x v="39"/>
    <x v="919"/>
    <x v="0"/>
    <s v="NEGOCIOS"/>
    <x v="1"/>
  </r>
  <r>
    <x v="55"/>
    <x v="128"/>
    <x v="1"/>
    <x v="1"/>
    <x v="0"/>
    <x v="4"/>
    <x v="21"/>
    <x v="164"/>
    <x v="920"/>
    <x v="0"/>
    <s v="NEGOCIOS"/>
    <x v="1"/>
  </r>
  <r>
    <x v="55"/>
    <x v="1"/>
    <x v="1"/>
    <x v="1"/>
    <x v="0"/>
    <x v="4"/>
    <x v="1"/>
    <x v="1"/>
    <x v="1"/>
    <x v="266"/>
    <s v="NEGOCIOS"/>
    <x v="1"/>
  </r>
  <r>
    <x v="55"/>
    <x v="96"/>
    <x v="6"/>
    <x v="6"/>
    <x v="0"/>
    <x v="5"/>
    <x v="21"/>
    <x v="165"/>
    <x v="921"/>
    <x v="0"/>
    <s v="NEGOCIOS"/>
    <x v="1"/>
  </r>
  <r>
    <x v="55"/>
    <x v="20"/>
    <x v="5"/>
    <x v="5"/>
    <x v="0"/>
    <x v="5"/>
    <x v="26"/>
    <x v="45"/>
    <x v="922"/>
    <x v="0"/>
    <s v="NEGOCIOS"/>
    <x v="1"/>
  </r>
  <r>
    <x v="55"/>
    <x v="151"/>
    <x v="1"/>
    <x v="1"/>
    <x v="0"/>
    <x v="5"/>
    <x v="25"/>
    <x v="166"/>
    <x v="923"/>
    <x v="0"/>
    <s v="NEGOCIOS"/>
    <x v="1"/>
  </r>
  <r>
    <x v="55"/>
    <x v="42"/>
    <x v="1"/>
    <x v="1"/>
    <x v="0"/>
    <x v="5"/>
    <x v="21"/>
    <x v="167"/>
    <x v="924"/>
    <x v="0"/>
    <s v="NEGOCIOS"/>
    <x v="1"/>
  </r>
  <r>
    <x v="55"/>
    <x v="1"/>
    <x v="1"/>
    <x v="1"/>
    <x v="0"/>
    <x v="5"/>
    <x v="1"/>
    <x v="1"/>
    <x v="1"/>
    <x v="267"/>
    <s v="NEGOCIOS"/>
    <x v="1"/>
  </r>
  <r>
    <x v="55"/>
    <x v="158"/>
    <x v="2"/>
    <x v="2"/>
    <x v="0"/>
    <x v="6"/>
    <x v="25"/>
    <x v="168"/>
    <x v="925"/>
    <x v="0"/>
    <s v="NEGOCIOS"/>
    <x v="1"/>
  </r>
  <r>
    <x v="55"/>
    <x v="64"/>
    <x v="2"/>
    <x v="2"/>
    <x v="0"/>
    <x v="6"/>
    <x v="25"/>
    <x v="139"/>
    <x v="926"/>
    <x v="0"/>
    <s v="NEGOCIOS"/>
    <x v="1"/>
  </r>
  <r>
    <x v="55"/>
    <x v="25"/>
    <x v="2"/>
    <x v="2"/>
    <x v="0"/>
    <x v="6"/>
    <x v="21"/>
    <x v="169"/>
    <x v="146"/>
    <x v="0"/>
    <s v="NEGOCIOS"/>
    <x v="1"/>
  </r>
  <r>
    <x v="55"/>
    <x v="35"/>
    <x v="2"/>
    <x v="2"/>
    <x v="0"/>
    <x v="6"/>
    <x v="21"/>
    <x v="170"/>
    <x v="927"/>
    <x v="0"/>
    <s v="NEGOCIOS"/>
    <x v="1"/>
  </r>
  <r>
    <x v="55"/>
    <x v="110"/>
    <x v="2"/>
    <x v="2"/>
    <x v="0"/>
    <x v="6"/>
    <x v="25"/>
    <x v="171"/>
    <x v="928"/>
    <x v="0"/>
    <s v="NEGOCIOS"/>
    <x v="1"/>
  </r>
  <r>
    <x v="55"/>
    <x v="146"/>
    <x v="6"/>
    <x v="6"/>
    <x v="0"/>
    <x v="6"/>
    <x v="25"/>
    <x v="172"/>
    <x v="925"/>
    <x v="0"/>
    <s v="NEGOCIOS"/>
    <x v="1"/>
  </r>
  <r>
    <x v="55"/>
    <x v="36"/>
    <x v="6"/>
    <x v="6"/>
    <x v="0"/>
    <x v="6"/>
    <x v="25"/>
    <x v="94"/>
    <x v="929"/>
    <x v="0"/>
    <s v="NEGOCIOS"/>
    <x v="1"/>
  </r>
  <r>
    <x v="55"/>
    <x v="36"/>
    <x v="6"/>
    <x v="6"/>
    <x v="0"/>
    <x v="6"/>
    <x v="21"/>
    <x v="94"/>
    <x v="930"/>
    <x v="0"/>
    <s v="NEGOCIOS"/>
    <x v="1"/>
  </r>
  <r>
    <x v="55"/>
    <x v="26"/>
    <x v="3"/>
    <x v="3"/>
    <x v="0"/>
    <x v="6"/>
    <x v="25"/>
    <x v="115"/>
    <x v="925"/>
    <x v="0"/>
    <s v="NEGOCIOS"/>
    <x v="1"/>
  </r>
  <r>
    <x v="55"/>
    <x v="19"/>
    <x v="3"/>
    <x v="3"/>
    <x v="0"/>
    <x v="6"/>
    <x v="21"/>
    <x v="62"/>
    <x v="816"/>
    <x v="0"/>
    <s v="NEGOCIOS"/>
    <x v="1"/>
  </r>
  <r>
    <x v="55"/>
    <x v="108"/>
    <x v="3"/>
    <x v="3"/>
    <x v="0"/>
    <x v="6"/>
    <x v="25"/>
    <x v="63"/>
    <x v="931"/>
    <x v="0"/>
    <s v="NEGOCIOS"/>
    <x v="1"/>
  </r>
  <r>
    <x v="55"/>
    <x v="43"/>
    <x v="3"/>
    <x v="3"/>
    <x v="0"/>
    <x v="6"/>
    <x v="26"/>
    <x v="71"/>
    <x v="932"/>
    <x v="0"/>
    <s v="NEGOCIOS"/>
    <x v="1"/>
  </r>
  <r>
    <x v="55"/>
    <x v="103"/>
    <x v="3"/>
    <x v="3"/>
    <x v="0"/>
    <x v="6"/>
    <x v="21"/>
    <x v="173"/>
    <x v="772"/>
    <x v="0"/>
    <s v="NEGOCIOS"/>
    <x v="1"/>
  </r>
  <r>
    <x v="55"/>
    <x v="148"/>
    <x v="3"/>
    <x v="3"/>
    <x v="0"/>
    <x v="6"/>
    <x v="21"/>
    <x v="174"/>
    <x v="933"/>
    <x v="0"/>
    <s v="NEGOCIOS"/>
    <x v="1"/>
  </r>
  <r>
    <x v="55"/>
    <x v="79"/>
    <x v="3"/>
    <x v="3"/>
    <x v="0"/>
    <x v="6"/>
    <x v="21"/>
    <x v="142"/>
    <x v="934"/>
    <x v="0"/>
    <s v="NEGOCIOS"/>
    <x v="1"/>
  </r>
  <r>
    <x v="55"/>
    <x v="80"/>
    <x v="4"/>
    <x v="4"/>
    <x v="0"/>
    <x v="6"/>
    <x v="25"/>
    <x v="90"/>
    <x v="935"/>
    <x v="0"/>
    <s v="NEGOCIOS"/>
    <x v="1"/>
  </r>
  <r>
    <x v="55"/>
    <x v="140"/>
    <x v="4"/>
    <x v="4"/>
    <x v="0"/>
    <x v="6"/>
    <x v="25"/>
    <x v="117"/>
    <x v="925"/>
    <x v="0"/>
    <s v="NEGOCIOS"/>
    <x v="1"/>
  </r>
  <r>
    <x v="55"/>
    <x v="81"/>
    <x v="4"/>
    <x v="4"/>
    <x v="0"/>
    <x v="6"/>
    <x v="21"/>
    <x v="175"/>
    <x v="110"/>
    <x v="0"/>
    <s v="NEGOCIOS"/>
    <x v="1"/>
  </r>
  <r>
    <x v="55"/>
    <x v="132"/>
    <x v="4"/>
    <x v="4"/>
    <x v="0"/>
    <x v="6"/>
    <x v="21"/>
    <x v="95"/>
    <x v="936"/>
    <x v="0"/>
    <s v="NEGOCIOS"/>
    <x v="1"/>
  </r>
  <r>
    <x v="55"/>
    <x v="50"/>
    <x v="4"/>
    <x v="4"/>
    <x v="0"/>
    <x v="6"/>
    <x v="21"/>
    <x v="77"/>
    <x v="736"/>
    <x v="0"/>
    <s v="NEGOCIOS"/>
    <x v="1"/>
  </r>
  <r>
    <x v="55"/>
    <x v="62"/>
    <x v="4"/>
    <x v="4"/>
    <x v="0"/>
    <x v="6"/>
    <x v="21"/>
    <x v="176"/>
    <x v="936"/>
    <x v="0"/>
    <s v="NEGOCIOS"/>
    <x v="1"/>
  </r>
  <r>
    <x v="55"/>
    <x v="90"/>
    <x v="0"/>
    <x v="0"/>
    <x v="0"/>
    <x v="6"/>
    <x v="21"/>
    <x v="79"/>
    <x v="937"/>
    <x v="0"/>
    <s v="NEGOCIOS"/>
    <x v="1"/>
  </r>
  <r>
    <x v="55"/>
    <x v="159"/>
    <x v="0"/>
    <x v="0"/>
    <x v="0"/>
    <x v="6"/>
    <x v="25"/>
    <x v="177"/>
    <x v="925"/>
    <x v="0"/>
    <s v="NEGOCIOS"/>
    <x v="1"/>
  </r>
  <r>
    <x v="55"/>
    <x v="116"/>
    <x v="0"/>
    <x v="0"/>
    <x v="0"/>
    <x v="6"/>
    <x v="21"/>
    <x v="64"/>
    <x v="938"/>
    <x v="0"/>
    <s v="NEGOCIOS"/>
    <x v="1"/>
  </r>
  <r>
    <x v="55"/>
    <x v="57"/>
    <x v="0"/>
    <x v="0"/>
    <x v="0"/>
    <x v="6"/>
    <x v="25"/>
    <x v="44"/>
    <x v="939"/>
    <x v="0"/>
    <s v="NEGOCIOS"/>
    <x v="1"/>
  </r>
  <r>
    <x v="55"/>
    <x v="52"/>
    <x v="0"/>
    <x v="0"/>
    <x v="0"/>
    <x v="6"/>
    <x v="25"/>
    <x v="107"/>
    <x v="940"/>
    <x v="0"/>
    <s v="NEGOCIOS"/>
    <x v="1"/>
  </r>
  <r>
    <x v="55"/>
    <x v="52"/>
    <x v="0"/>
    <x v="0"/>
    <x v="0"/>
    <x v="6"/>
    <x v="21"/>
    <x v="107"/>
    <x v="941"/>
    <x v="0"/>
    <s v="NEGOCIOS"/>
    <x v="1"/>
  </r>
  <r>
    <x v="55"/>
    <x v="91"/>
    <x v="0"/>
    <x v="0"/>
    <x v="0"/>
    <x v="6"/>
    <x v="21"/>
    <x v="118"/>
    <x v="942"/>
    <x v="0"/>
    <s v="NEGOCIOS"/>
    <x v="1"/>
  </r>
  <r>
    <x v="55"/>
    <x v="82"/>
    <x v="0"/>
    <x v="0"/>
    <x v="0"/>
    <x v="6"/>
    <x v="21"/>
    <x v="178"/>
    <x v="772"/>
    <x v="0"/>
    <s v="NEGOCIOS"/>
    <x v="1"/>
  </r>
  <r>
    <x v="55"/>
    <x v="100"/>
    <x v="0"/>
    <x v="0"/>
    <x v="0"/>
    <x v="6"/>
    <x v="21"/>
    <x v="73"/>
    <x v="943"/>
    <x v="0"/>
    <s v="NEGOCIOS"/>
    <x v="1"/>
  </r>
  <r>
    <x v="55"/>
    <x v="160"/>
    <x v="0"/>
    <x v="0"/>
    <x v="0"/>
    <x v="6"/>
    <x v="21"/>
    <x v="179"/>
    <x v="835"/>
    <x v="0"/>
    <s v="NEGOCIOS"/>
    <x v="1"/>
  </r>
  <r>
    <x v="55"/>
    <x v="53"/>
    <x v="0"/>
    <x v="0"/>
    <x v="0"/>
    <x v="6"/>
    <x v="21"/>
    <x v="144"/>
    <x v="110"/>
    <x v="0"/>
    <s v="NEGOCIOS"/>
    <x v="1"/>
  </r>
  <r>
    <x v="55"/>
    <x v="45"/>
    <x v="0"/>
    <x v="0"/>
    <x v="0"/>
    <x v="6"/>
    <x v="25"/>
    <x v="180"/>
    <x v="928"/>
    <x v="0"/>
    <s v="NEGOCIOS"/>
    <x v="1"/>
  </r>
  <r>
    <x v="55"/>
    <x v="46"/>
    <x v="0"/>
    <x v="0"/>
    <x v="0"/>
    <x v="6"/>
    <x v="21"/>
    <x v="155"/>
    <x v="944"/>
    <x v="0"/>
    <s v="NEGOCIOS"/>
    <x v="1"/>
  </r>
  <r>
    <x v="55"/>
    <x v="117"/>
    <x v="0"/>
    <x v="0"/>
    <x v="0"/>
    <x v="6"/>
    <x v="21"/>
    <x v="65"/>
    <x v="765"/>
    <x v="0"/>
    <s v="NEGOCIOS"/>
    <x v="1"/>
  </r>
  <r>
    <x v="55"/>
    <x v="122"/>
    <x v="0"/>
    <x v="0"/>
    <x v="0"/>
    <x v="6"/>
    <x v="21"/>
    <x v="181"/>
    <x v="945"/>
    <x v="0"/>
    <s v="NEGOCIOS"/>
    <x v="1"/>
  </r>
  <r>
    <x v="55"/>
    <x v="32"/>
    <x v="5"/>
    <x v="5"/>
    <x v="0"/>
    <x v="6"/>
    <x v="21"/>
    <x v="81"/>
    <x v="946"/>
    <x v="0"/>
    <s v="NEGOCIOS"/>
    <x v="1"/>
  </r>
  <r>
    <x v="55"/>
    <x v="76"/>
    <x v="5"/>
    <x v="5"/>
    <x v="0"/>
    <x v="6"/>
    <x v="25"/>
    <x v="182"/>
    <x v="925"/>
    <x v="0"/>
    <s v="NEGOCIOS"/>
    <x v="1"/>
  </r>
  <r>
    <x v="55"/>
    <x v="97"/>
    <x v="5"/>
    <x v="5"/>
    <x v="0"/>
    <x v="6"/>
    <x v="21"/>
    <x v="183"/>
    <x v="947"/>
    <x v="0"/>
    <s v="NEGOCIOS"/>
    <x v="1"/>
  </r>
  <r>
    <x v="55"/>
    <x v="145"/>
    <x v="5"/>
    <x v="5"/>
    <x v="0"/>
    <x v="6"/>
    <x v="25"/>
    <x v="124"/>
    <x v="948"/>
    <x v="0"/>
    <s v="NEGOCIOS"/>
    <x v="1"/>
  </r>
  <r>
    <x v="55"/>
    <x v="145"/>
    <x v="5"/>
    <x v="5"/>
    <x v="0"/>
    <x v="6"/>
    <x v="26"/>
    <x v="124"/>
    <x v="1"/>
    <x v="268"/>
    <s v="NEGOCIOS"/>
    <x v="1"/>
  </r>
  <r>
    <x v="55"/>
    <x v="34"/>
    <x v="5"/>
    <x v="5"/>
    <x v="0"/>
    <x v="6"/>
    <x v="25"/>
    <x v="184"/>
    <x v="949"/>
    <x v="0"/>
    <s v="NEGOCIOS"/>
    <x v="1"/>
  </r>
  <r>
    <x v="55"/>
    <x v="77"/>
    <x v="5"/>
    <x v="5"/>
    <x v="0"/>
    <x v="6"/>
    <x v="25"/>
    <x v="156"/>
    <x v="950"/>
    <x v="0"/>
    <s v="NEGOCIOS"/>
    <x v="1"/>
  </r>
  <r>
    <x v="55"/>
    <x v="141"/>
    <x v="5"/>
    <x v="5"/>
    <x v="0"/>
    <x v="6"/>
    <x v="21"/>
    <x v="185"/>
    <x v="891"/>
    <x v="0"/>
    <s v="NEGOCIOS"/>
    <x v="1"/>
  </r>
  <r>
    <x v="55"/>
    <x v="123"/>
    <x v="5"/>
    <x v="5"/>
    <x v="0"/>
    <x v="6"/>
    <x v="21"/>
    <x v="74"/>
    <x v="951"/>
    <x v="0"/>
    <s v="NEGOCIOS"/>
    <x v="1"/>
  </r>
  <r>
    <x v="55"/>
    <x v="40"/>
    <x v="1"/>
    <x v="1"/>
    <x v="0"/>
    <x v="6"/>
    <x v="25"/>
    <x v="125"/>
    <x v="925"/>
    <x v="0"/>
    <s v="NEGOCIOS"/>
    <x v="1"/>
  </r>
  <r>
    <x v="55"/>
    <x v="161"/>
    <x v="1"/>
    <x v="1"/>
    <x v="0"/>
    <x v="6"/>
    <x v="21"/>
    <x v="186"/>
    <x v="952"/>
    <x v="0"/>
    <s v="NEGOCIOS"/>
    <x v="1"/>
  </r>
  <r>
    <x v="55"/>
    <x v="95"/>
    <x v="1"/>
    <x v="1"/>
    <x v="0"/>
    <x v="6"/>
    <x v="25"/>
    <x v="97"/>
    <x v="953"/>
    <x v="0"/>
    <s v="NEGOCIOS"/>
    <x v="1"/>
  </r>
  <r>
    <x v="55"/>
    <x v="155"/>
    <x v="1"/>
    <x v="1"/>
    <x v="0"/>
    <x v="6"/>
    <x v="21"/>
    <x v="145"/>
    <x v="954"/>
    <x v="0"/>
    <s v="NEGOCIOS"/>
    <x v="1"/>
  </r>
  <r>
    <x v="55"/>
    <x v="14"/>
    <x v="1"/>
    <x v="1"/>
    <x v="0"/>
    <x v="6"/>
    <x v="25"/>
    <x v="112"/>
    <x v="955"/>
    <x v="0"/>
    <s v="NEGOCIOS"/>
    <x v="1"/>
  </r>
  <r>
    <x v="55"/>
    <x v="14"/>
    <x v="1"/>
    <x v="1"/>
    <x v="0"/>
    <x v="6"/>
    <x v="21"/>
    <x v="112"/>
    <x v="944"/>
    <x v="0"/>
    <s v="NEGOCIOS"/>
    <x v="1"/>
  </r>
  <r>
    <x v="55"/>
    <x v="8"/>
    <x v="1"/>
    <x v="1"/>
    <x v="0"/>
    <x v="6"/>
    <x v="21"/>
    <x v="187"/>
    <x v="907"/>
    <x v="0"/>
    <s v="NEGOCIOS"/>
    <x v="1"/>
  </r>
  <r>
    <x v="55"/>
    <x v="55"/>
    <x v="1"/>
    <x v="1"/>
    <x v="0"/>
    <x v="6"/>
    <x v="21"/>
    <x v="188"/>
    <x v="956"/>
    <x v="0"/>
    <s v="NEGOCIOS"/>
    <x v="1"/>
  </r>
  <r>
    <x v="55"/>
    <x v="1"/>
    <x v="1"/>
    <x v="1"/>
    <x v="0"/>
    <x v="6"/>
    <x v="1"/>
    <x v="1"/>
    <x v="1"/>
    <x v="269"/>
    <s v="NEGOCIOS"/>
    <x v="1"/>
  </r>
  <r>
    <x v="55"/>
    <x v="56"/>
    <x v="3"/>
    <x v="3"/>
    <x v="0"/>
    <x v="2"/>
    <x v="21"/>
    <x v="153"/>
    <x v="957"/>
    <x v="0"/>
    <s v="NEGOCIOS"/>
    <x v="1"/>
  </r>
  <r>
    <x v="55"/>
    <x v="100"/>
    <x v="0"/>
    <x v="0"/>
    <x v="0"/>
    <x v="2"/>
    <x v="21"/>
    <x v="73"/>
    <x v="958"/>
    <x v="0"/>
    <s v="NEGOCIOS"/>
    <x v="1"/>
  </r>
  <r>
    <x v="55"/>
    <x v="1"/>
    <x v="1"/>
    <x v="1"/>
    <x v="0"/>
    <x v="2"/>
    <x v="1"/>
    <x v="1"/>
    <x v="1"/>
    <x v="270"/>
    <s v="NEGOCIOS"/>
    <x v="1"/>
  </r>
  <r>
    <x v="55"/>
    <x v="2"/>
    <x v="2"/>
    <x v="2"/>
    <x v="0"/>
    <x v="25"/>
    <x v="21"/>
    <x v="140"/>
    <x v="959"/>
    <x v="0"/>
    <s v="NEGOCIOS"/>
    <x v="1"/>
  </r>
  <r>
    <x v="55"/>
    <x v="87"/>
    <x v="6"/>
    <x v="6"/>
    <x v="0"/>
    <x v="25"/>
    <x v="26"/>
    <x v="189"/>
    <x v="1"/>
    <x v="271"/>
    <s v="NEGOCIOS"/>
    <x v="1"/>
  </r>
  <r>
    <x v="55"/>
    <x v="108"/>
    <x v="3"/>
    <x v="3"/>
    <x v="0"/>
    <x v="25"/>
    <x v="25"/>
    <x v="63"/>
    <x v="960"/>
    <x v="0"/>
    <s v="NEGOCIOS"/>
    <x v="1"/>
  </r>
  <r>
    <x v="55"/>
    <x v="1"/>
    <x v="1"/>
    <x v="1"/>
    <x v="0"/>
    <x v="25"/>
    <x v="1"/>
    <x v="1"/>
    <x v="1"/>
    <x v="272"/>
    <s v="NEGOCIOS"/>
    <x v="1"/>
  </r>
  <r>
    <x v="55"/>
    <x v="64"/>
    <x v="2"/>
    <x v="2"/>
    <x v="0"/>
    <x v="7"/>
    <x v="26"/>
    <x v="139"/>
    <x v="961"/>
    <x v="0"/>
    <s v="NEGOCIOS"/>
    <x v="1"/>
  </r>
  <r>
    <x v="55"/>
    <x v="85"/>
    <x v="2"/>
    <x v="2"/>
    <x v="0"/>
    <x v="7"/>
    <x v="26"/>
    <x v="161"/>
    <x v="962"/>
    <x v="0"/>
    <s v="NEGOCIOS"/>
    <x v="1"/>
  </r>
  <r>
    <x v="55"/>
    <x v="118"/>
    <x v="2"/>
    <x v="2"/>
    <x v="0"/>
    <x v="7"/>
    <x v="21"/>
    <x v="69"/>
    <x v="963"/>
    <x v="0"/>
    <s v="NEGOCIOS"/>
    <x v="1"/>
  </r>
  <r>
    <x v="55"/>
    <x v="146"/>
    <x v="6"/>
    <x v="6"/>
    <x v="0"/>
    <x v="7"/>
    <x v="21"/>
    <x v="172"/>
    <x v="964"/>
    <x v="0"/>
    <s v="NEGOCIOS"/>
    <x v="1"/>
  </r>
  <r>
    <x v="55"/>
    <x v="65"/>
    <x v="6"/>
    <x v="6"/>
    <x v="0"/>
    <x v="7"/>
    <x v="26"/>
    <x v="190"/>
    <x v="965"/>
    <x v="0"/>
    <s v="NEGOCIOS"/>
    <x v="1"/>
  </r>
  <r>
    <x v="55"/>
    <x v="87"/>
    <x v="6"/>
    <x v="6"/>
    <x v="0"/>
    <x v="7"/>
    <x v="21"/>
    <x v="189"/>
    <x v="533"/>
    <x v="0"/>
    <s v="NEGOCIOS"/>
    <x v="1"/>
  </r>
  <r>
    <x v="55"/>
    <x v="137"/>
    <x v="6"/>
    <x v="6"/>
    <x v="0"/>
    <x v="7"/>
    <x v="21"/>
    <x v="102"/>
    <x v="966"/>
    <x v="0"/>
    <s v="NEGOCIOS"/>
    <x v="1"/>
  </r>
  <r>
    <x v="55"/>
    <x v="137"/>
    <x v="6"/>
    <x v="6"/>
    <x v="0"/>
    <x v="7"/>
    <x v="26"/>
    <x v="102"/>
    <x v="1"/>
    <x v="273"/>
    <s v="NEGOCIOS"/>
    <x v="1"/>
  </r>
  <r>
    <x v="55"/>
    <x v="26"/>
    <x v="3"/>
    <x v="3"/>
    <x v="0"/>
    <x v="7"/>
    <x v="21"/>
    <x v="115"/>
    <x v="967"/>
    <x v="0"/>
    <s v="NEGOCIOS"/>
    <x v="1"/>
  </r>
  <r>
    <x v="55"/>
    <x v="19"/>
    <x v="3"/>
    <x v="3"/>
    <x v="0"/>
    <x v="7"/>
    <x v="21"/>
    <x v="62"/>
    <x v="968"/>
    <x v="0"/>
    <s v="NEGOCIOS"/>
    <x v="1"/>
  </r>
  <r>
    <x v="55"/>
    <x v="108"/>
    <x v="3"/>
    <x v="3"/>
    <x v="0"/>
    <x v="7"/>
    <x v="26"/>
    <x v="63"/>
    <x v="969"/>
    <x v="0"/>
    <s v="NEGOCIOS"/>
    <x v="1"/>
  </r>
  <r>
    <x v="55"/>
    <x v="44"/>
    <x v="3"/>
    <x v="3"/>
    <x v="0"/>
    <x v="7"/>
    <x v="21"/>
    <x v="191"/>
    <x v="970"/>
    <x v="0"/>
    <s v="NEGOCIOS"/>
    <x v="1"/>
  </r>
  <r>
    <x v="55"/>
    <x v="162"/>
    <x v="4"/>
    <x v="4"/>
    <x v="0"/>
    <x v="7"/>
    <x v="21"/>
    <x v="192"/>
    <x v="971"/>
    <x v="0"/>
    <s v="NEGOCIOS"/>
    <x v="1"/>
  </r>
  <r>
    <x v="55"/>
    <x v="50"/>
    <x v="4"/>
    <x v="4"/>
    <x v="0"/>
    <x v="7"/>
    <x v="21"/>
    <x v="77"/>
    <x v="972"/>
    <x v="0"/>
    <s v="NEGOCIOS"/>
    <x v="1"/>
  </r>
  <r>
    <x v="55"/>
    <x v="89"/>
    <x v="4"/>
    <x v="4"/>
    <x v="0"/>
    <x v="7"/>
    <x v="21"/>
    <x v="154"/>
    <x v="973"/>
    <x v="0"/>
    <s v="NEGOCIOS"/>
    <x v="1"/>
  </r>
  <r>
    <x v="55"/>
    <x v="159"/>
    <x v="0"/>
    <x v="0"/>
    <x v="0"/>
    <x v="7"/>
    <x v="26"/>
    <x v="177"/>
    <x v="974"/>
    <x v="0"/>
    <s v="NEGOCIOS"/>
    <x v="1"/>
  </r>
  <r>
    <x v="55"/>
    <x v="141"/>
    <x v="5"/>
    <x v="5"/>
    <x v="0"/>
    <x v="7"/>
    <x v="21"/>
    <x v="185"/>
    <x v="975"/>
    <x v="0"/>
    <s v="NEGOCIOS"/>
    <x v="1"/>
  </r>
  <r>
    <x v="55"/>
    <x v="153"/>
    <x v="5"/>
    <x v="5"/>
    <x v="0"/>
    <x v="7"/>
    <x v="21"/>
    <x v="157"/>
    <x v="976"/>
    <x v="0"/>
    <s v="NEGOCIOS"/>
    <x v="1"/>
  </r>
  <r>
    <x v="55"/>
    <x v="6"/>
    <x v="5"/>
    <x v="5"/>
    <x v="0"/>
    <x v="7"/>
    <x v="21"/>
    <x v="193"/>
    <x v="908"/>
    <x v="0"/>
    <s v="NEGOCIOS"/>
    <x v="1"/>
  </r>
  <r>
    <x v="55"/>
    <x v="20"/>
    <x v="5"/>
    <x v="5"/>
    <x v="0"/>
    <x v="7"/>
    <x v="21"/>
    <x v="45"/>
    <x v="856"/>
    <x v="0"/>
    <s v="NEGOCIOS"/>
    <x v="1"/>
  </r>
  <r>
    <x v="55"/>
    <x v="40"/>
    <x v="1"/>
    <x v="1"/>
    <x v="0"/>
    <x v="7"/>
    <x v="21"/>
    <x v="125"/>
    <x v="977"/>
    <x v="0"/>
    <s v="NEGOCIOS"/>
    <x v="1"/>
  </r>
  <r>
    <x v="55"/>
    <x v="152"/>
    <x v="1"/>
    <x v="1"/>
    <x v="0"/>
    <x v="7"/>
    <x v="26"/>
    <x v="194"/>
    <x v="1"/>
    <x v="274"/>
    <s v="NEGOCIOS"/>
    <x v="1"/>
  </r>
  <r>
    <x v="55"/>
    <x v="1"/>
    <x v="1"/>
    <x v="1"/>
    <x v="0"/>
    <x v="7"/>
    <x v="1"/>
    <x v="1"/>
    <x v="1"/>
    <x v="275"/>
    <s v="NEGOCIOS"/>
    <x v="1"/>
  </r>
  <r>
    <x v="55"/>
    <x v="107"/>
    <x v="2"/>
    <x v="2"/>
    <x v="0"/>
    <x v="8"/>
    <x v="21"/>
    <x v="158"/>
    <x v="978"/>
    <x v="0"/>
    <s v="NEGOCIOS"/>
    <x v="1"/>
  </r>
  <r>
    <x v="55"/>
    <x v="163"/>
    <x v="6"/>
    <x v="6"/>
    <x v="0"/>
    <x v="8"/>
    <x v="21"/>
    <x v="195"/>
    <x v="979"/>
    <x v="0"/>
    <s v="NEGOCIOS"/>
    <x v="1"/>
  </r>
  <r>
    <x v="55"/>
    <x v="19"/>
    <x v="3"/>
    <x v="3"/>
    <x v="0"/>
    <x v="8"/>
    <x v="21"/>
    <x v="62"/>
    <x v="192"/>
    <x v="0"/>
    <s v="NEGOCIOS"/>
    <x v="1"/>
  </r>
  <r>
    <x v="55"/>
    <x v="79"/>
    <x v="3"/>
    <x v="3"/>
    <x v="0"/>
    <x v="8"/>
    <x v="21"/>
    <x v="142"/>
    <x v="980"/>
    <x v="0"/>
    <s v="NEGOCIOS"/>
    <x v="1"/>
  </r>
  <r>
    <x v="55"/>
    <x v="104"/>
    <x v="3"/>
    <x v="3"/>
    <x v="0"/>
    <x v="8"/>
    <x v="21"/>
    <x v="196"/>
    <x v="736"/>
    <x v="0"/>
    <s v="NEGOCIOS"/>
    <x v="1"/>
  </r>
  <r>
    <x v="55"/>
    <x v="50"/>
    <x v="4"/>
    <x v="4"/>
    <x v="0"/>
    <x v="8"/>
    <x v="25"/>
    <x v="77"/>
    <x v="960"/>
    <x v="0"/>
    <s v="NEGOCIOS"/>
    <x v="1"/>
  </r>
  <r>
    <x v="55"/>
    <x v="38"/>
    <x v="4"/>
    <x v="4"/>
    <x v="0"/>
    <x v="8"/>
    <x v="21"/>
    <x v="106"/>
    <x v="981"/>
    <x v="0"/>
    <s v="NEGOCIOS"/>
    <x v="1"/>
  </r>
  <r>
    <x v="55"/>
    <x v="51"/>
    <x v="4"/>
    <x v="4"/>
    <x v="0"/>
    <x v="8"/>
    <x v="21"/>
    <x v="34"/>
    <x v="982"/>
    <x v="0"/>
    <s v="NEGOCIOS"/>
    <x v="1"/>
  </r>
  <r>
    <x v="55"/>
    <x v="57"/>
    <x v="0"/>
    <x v="0"/>
    <x v="0"/>
    <x v="8"/>
    <x v="21"/>
    <x v="44"/>
    <x v="983"/>
    <x v="0"/>
    <s v="NEGOCIOS"/>
    <x v="1"/>
  </r>
  <r>
    <x v="55"/>
    <x v="52"/>
    <x v="0"/>
    <x v="0"/>
    <x v="0"/>
    <x v="8"/>
    <x v="21"/>
    <x v="107"/>
    <x v="984"/>
    <x v="0"/>
    <s v="NEGOCIOS"/>
    <x v="1"/>
  </r>
  <r>
    <x v="55"/>
    <x v="0"/>
    <x v="0"/>
    <x v="0"/>
    <x v="0"/>
    <x v="8"/>
    <x v="21"/>
    <x v="197"/>
    <x v="985"/>
    <x v="0"/>
    <s v="NEGOCIOS"/>
    <x v="1"/>
  </r>
  <r>
    <x v="55"/>
    <x v="91"/>
    <x v="0"/>
    <x v="0"/>
    <x v="0"/>
    <x v="8"/>
    <x v="21"/>
    <x v="118"/>
    <x v="857"/>
    <x v="0"/>
    <s v="NEGOCIOS"/>
    <x v="1"/>
  </r>
  <r>
    <x v="55"/>
    <x v="121"/>
    <x v="0"/>
    <x v="0"/>
    <x v="0"/>
    <x v="8"/>
    <x v="21"/>
    <x v="80"/>
    <x v="984"/>
    <x v="0"/>
    <s v="NEGOCIOS"/>
    <x v="1"/>
  </r>
  <r>
    <x v="55"/>
    <x v="53"/>
    <x v="0"/>
    <x v="0"/>
    <x v="0"/>
    <x v="8"/>
    <x v="21"/>
    <x v="144"/>
    <x v="986"/>
    <x v="0"/>
    <s v="NEGOCIOS"/>
    <x v="1"/>
  </r>
  <r>
    <x v="55"/>
    <x v="92"/>
    <x v="0"/>
    <x v="0"/>
    <x v="0"/>
    <x v="8"/>
    <x v="21"/>
    <x v="109"/>
    <x v="987"/>
    <x v="0"/>
    <s v="NEGOCIOS"/>
    <x v="1"/>
  </r>
  <r>
    <x v="55"/>
    <x v="122"/>
    <x v="0"/>
    <x v="0"/>
    <x v="0"/>
    <x v="8"/>
    <x v="21"/>
    <x v="181"/>
    <x v="765"/>
    <x v="0"/>
    <s v="NEGOCIOS"/>
    <x v="1"/>
  </r>
  <r>
    <x v="55"/>
    <x v="6"/>
    <x v="5"/>
    <x v="5"/>
    <x v="0"/>
    <x v="8"/>
    <x v="21"/>
    <x v="193"/>
    <x v="736"/>
    <x v="0"/>
    <s v="NEGOCIOS"/>
    <x v="1"/>
  </r>
  <r>
    <x v="55"/>
    <x v="161"/>
    <x v="1"/>
    <x v="1"/>
    <x v="0"/>
    <x v="8"/>
    <x v="21"/>
    <x v="186"/>
    <x v="988"/>
    <x v="0"/>
    <s v="NEGOCIOS"/>
    <x v="1"/>
  </r>
  <r>
    <x v="55"/>
    <x v="127"/>
    <x v="1"/>
    <x v="1"/>
    <x v="0"/>
    <x v="8"/>
    <x v="21"/>
    <x v="85"/>
    <x v="989"/>
    <x v="0"/>
    <s v="NEGOCIOS"/>
    <x v="1"/>
  </r>
  <r>
    <x v="55"/>
    <x v="98"/>
    <x v="1"/>
    <x v="1"/>
    <x v="0"/>
    <x v="8"/>
    <x v="21"/>
    <x v="198"/>
    <x v="990"/>
    <x v="0"/>
    <s v="NEGOCIOS"/>
    <x v="1"/>
  </r>
  <r>
    <x v="55"/>
    <x v="1"/>
    <x v="1"/>
    <x v="1"/>
    <x v="0"/>
    <x v="8"/>
    <x v="1"/>
    <x v="1"/>
    <x v="1"/>
    <x v="276"/>
    <s v="NEGOCIOS"/>
    <x v="1"/>
  </r>
  <r>
    <x v="55"/>
    <x v="157"/>
    <x v="2"/>
    <x v="2"/>
    <x v="0"/>
    <x v="9"/>
    <x v="26"/>
    <x v="147"/>
    <x v="991"/>
    <x v="0"/>
    <s v="NEGOCIOS"/>
    <x v="1"/>
  </r>
  <r>
    <x v="55"/>
    <x v="149"/>
    <x v="6"/>
    <x v="6"/>
    <x v="0"/>
    <x v="9"/>
    <x v="26"/>
    <x v="148"/>
    <x v="992"/>
    <x v="0"/>
    <s v="NEGOCIOS"/>
    <x v="1"/>
  </r>
  <r>
    <x v="55"/>
    <x v="96"/>
    <x v="6"/>
    <x v="6"/>
    <x v="0"/>
    <x v="9"/>
    <x v="21"/>
    <x v="165"/>
    <x v="993"/>
    <x v="0"/>
    <s v="NEGOCIOS"/>
    <x v="1"/>
  </r>
  <r>
    <x v="55"/>
    <x v="135"/>
    <x v="3"/>
    <x v="3"/>
    <x v="0"/>
    <x v="9"/>
    <x v="26"/>
    <x v="149"/>
    <x v="994"/>
    <x v="0"/>
    <s v="NEGOCIOS"/>
    <x v="1"/>
  </r>
  <r>
    <x v="55"/>
    <x v="154"/>
    <x v="4"/>
    <x v="4"/>
    <x v="0"/>
    <x v="9"/>
    <x v="26"/>
    <x v="143"/>
    <x v="995"/>
    <x v="0"/>
    <s v="NEGOCIOS"/>
    <x v="1"/>
  </r>
  <r>
    <x v="55"/>
    <x v="4"/>
    <x v="4"/>
    <x v="4"/>
    <x v="0"/>
    <x v="9"/>
    <x v="21"/>
    <x v="199"/>
    <x v="996"/>
    <x v="0"/>
    <s v="NEGOCIOS"/>
    <x v="1"/>
  </r>
  <r>
    <x v="55"/>
    <x v="57"/>
    <x v="0"/>
    <x v="0"/>
    <x v="0"/>
    <x v="9"/>
    <x v="21"/>
    <x v="44"/>
    <x v="751"/>
    <x v="0"/>
    <s v="NEGOCIOS"/>
    <x v="1"/>
  </r>
  <r>
    <x v="55"/>
    <x v="53"/>
    <x v="0"/>
    <x v="0"/>
    <x v="0"/>
    <x v="9"/>
    <x v="26"/>
    <x v="144"/>
    <x v="997"/>
    <x v="0"/>
    <s v="NEGOCIOS"/>
    <x v="1"/>
  </r>
  <r>
    <x v="55"/>
    <x v="63"/>
    <x v="5"/>
    <x v="5"/>
    <x v="0"/>
    <x v="9"/>
    <x v="26"/>
    <x v="111"/>
    <x v="998"/>
    <x v="0"/>
    <s v="NEGOCIOS"/>
    <x v="1"/>
  </r>
  <r>
    <x v="55"/>
    <x v="141"/>
    <x v="5"/>
    <x v="5"/>
    <x v="0"/>
    <x v="9"/>
    <x v="21"/>
    <x v="185"/>
    <x v="999"/>
    <x v="0"/>
    <s v="NEGOCIOS"/>
    <x v="1"/>
  </r>
  <r>
    <x v="55"/>
    <x v="155"/>
    <x v="1"/>
    <x v="1"/>
    <x v="0"/>
    <x v="9"/>
    <x v="26"/>
    <x v="145"/>
    <x v="1000"/>
    <x v="0"/>
    <s v="NEGOCIOS"/>
    <x v="1"/>
  </r>
  <r>
    <x v="55"/>
    <x v="1"/>
    <x v="1"/>
    <x v="1"/>
    <x v="0"/>
    <x v="9"/>
    <x v="1"/>
    <x v="1"/>
    <x v="1"/>
    <x v="277"/>
    <s v="NEGOCIOS"/>
    <x v="1"/>
  </r>
  <r>
    <x v="55"/>
    <x v="146"/>
    <x v="6"/>
    <x v="6"/>
    <x v="0"/>
    <x v="26"/>
    <x v="21"/>
    <x v="172"/>
    <x v="1001"/>
    <x v="0"/>
    <s v="NEGOCIOS"/>
    <x v="1"/>
  </r>
  <r>
    <x v="55"/>
    <x v="65"/>
    <x v="6"/>
    <x v="6"/>
    <x v="0"/>
    <x v="26"/>
    <x v="21"/>
    <x v="190"/>
    <x v="1002"/>
    <x v="0"/>
    <s v="NEGOCIOS"/>
    <x v="1"/>
  </r>
  <r>
    <x v="55"/>
    <x v="164"/>
    <x v="6"/>
    <x v="6"/>
    <x v="0"/>
    <x v="26"/>
    <x v="21"/>
    <x v="200"/>
    <x v="1003"/>
    <x v="0"/>
    <s v="NEGOCIOS"/>
    <x v="1"/>
  </r>
  <r>
    <x v="55"/>
    <x v="21"/>
    <x v="6"/>
    <x v="6"/>
    <x v="0"/>
    <x v="26"/>
    <x v="21"/>
    <x v="70"/>
    <x v="1004"/>
    <x v="0"/>
    <s v="NEGOCIOS"/>
    <x v="1"/>
  </r>
  <r>
    <x v="55"/>
    <x v="69"/>
    <x v="3"/>
    <x v="3"/>
    <x v="0"/>
    <x v="26"/>
    <x v="21"/>
    <x v="152"/>
    <x v="1005"/>
    <x v="0"/>
    <s v="NEGOCIOS"/>
    <x v="1"/>
  </r>
  <r>
    <x v="55"/>
    <x v="27"/>
    <x v="3"/>
    <x v="3"/>
    <x v="0"/>
    <x v="26"/>
    <x v="21"/>
    <x v="43"/>
    <x v="343"/>
    <x v="0"/>
    <s v="NEGOCIOS"/>
    <x v="1"/>
  </r>
  <r>
    <x v="55"/>
    <x v="135"/>
    <x v="3"/>
    <x v="3"/>
    <x v="0"/>
    <x v="26"/>
    <x v="21"/>
    <x v="149"/>
    <x v="1006"/>
    <x v="0"/>
    <s v="NEGOCIOS"/>
    <x v="1"/>
  </r>
  <r>
    <x v="55"/>
    <x v="1"/>
    <x v="1"/>
    <x v="1"/>
    <x v="0"/>
    <x v="26"/>
    <x v="1"/>
    <x v="1"/>
    <x v="1"/>
    <x v="278"/>
    <s v="NEGOCIOS"/>
    <x v="1"/>
  </r>
  <r>
    <x v="55"/>
    <x v="70"/>
    <x v="2"/>
    <x v="2"/>
    <x v="0"/>
    <x v="10"/>
    <x v="21"/>
    <x v="36"/>
    <x v="736"/>
    <x v="0"/>
    <s v="NEGOCIOS"/>
    <x v="1"/>
  </r>
  <r>
    <x v="55"/>
    <x v="158"/>
    <x v="2"/>
    <x v="2"/>
    <x v="0"/>
    <x v="10"/>
    <x v="21"/>
    <x v="168"/>
    <x v="736"/>
    <x v="0"/>
    <s v="NEGOCIOS"/>
    <x v="1"/>
  </r>
  <r>
    <x v="55"/>
    <x v="64"/>
    <x v="2"/>
    <x v="2"/>
    <x v="0"/>
    <x v="10"/>
    <x v="25"/>
    <x v="139"/>
    <x v="1007"/>
    <x v="0"/>
    <s v="NEGOCIOS"/>
    <x v="1"/>
  </r>
  <r>
    <x v="55"/>
    <x v="47"/>
    <x v="2"/>
    <x v="2"/>
    <x v="0"/>
    <x v="10"/>
    <x v="21"/>
    <x v="68"/>
    <x v="1008"/>
    <x v="0"/>
    <s v="NEGOCIOS"/>
    <x v="1"/>
  </r>
  <r>
    <x v="55"/>
    <x v="85"/>
    <x v="2"/>
    <x v="2"/>
    <x v="0"/>
    <x v="10"/>
    <x v="21"/>
    <x v="161"/>
    <x v="736"/>
    <x v="0"/>
    <s v="NEGOCIOS"/>
    <x v="1"/>
  </r>
  <r>
    <x v="55"/>
    <x v="143"/>
    <x v="2"/>
    <x v="2"/>
    <x v="0"/>
    <x v="10"/>
    <x v="21"/>
    <x v="201"/>
    <x v="852"/>
    <x v="0"/>
    <s v="NEGOCIOS"/>
    <x v="1"/>
  </r>
  <r>
    <x v="55"/>
    <x v="118"/>
    <x v="2"/>
    <x v="2"/>
    <x v="0"/>
    <x v="10"/>
    <x v="21"/>
    <x v="69"/>
    <x v="1009"/>
    <x v="0"/>
    <s v="NEGOCIOS"/>
    <x v="1"/>
  </r>
  <r>
    <x v="55"/>
    <x v="24"/>
    <x v="2"/>
    <x v="2"/>
    <x v="0"/>
    <x v="10"/>
    <x v="21"/>
    <x v="202"/>
    <x v="735"/>
    <x v="0"/>
    <s v="NEGOCIOS"/>
    <x v="1"/>
  </r>
  <r>
    <x v="55"/>
    <x v="144"/>
    <x v="2"/>
    <x v="2"/>
    <x v="0"/>
    <x v="10"/>
    <x v="21"/>
    <x v="162"/>
    <x v="1010"/>
    <x v="0"/>
    <s v="NEGOCIOS"/>
    <x v="1"/>
  </r>
  <r>
    <x v="55"/>
    <x v="84"/>
    <x v="2"/>
    <x v="2"/>
    <x v="0"/>
    <x v="10"/>
    <x v="21"/>
    <x v="203"/>
    <x v="852"/>
    <x v="0"/>
    <s v="NEGOCIOS"/>
    <x v="1"/>
  </r>
  <r>
    <x v="55"/>
    <x v="35"/>
    <x v="2"/>
    <x v="2"/>
    <x v="0"/>
    <x v="10"/>
    <x v="21"/>
    <x v="170"/>
    <x v="1011"/>
    <x v="0"/>
    <s v="NEGOCIOS"/>
    <x v="1"/>
  </r>
  <r>
    <x v="55"/>
    <x v="110"/>
    <x v="2"/>
    <x v="2"/>
    <x v="0"/>
    <x v="10"/>
    <x v="21"/>
    <x v="171"/>
    <x v="1012"/>
    <x v="0"/>
    <s v="NEGOCIOS"/>
    <x v="1"/>
  </r>
  <r>
    <x v="55"/>
    <x v="129"/>
    <x v="2"/>
    <x v="2"/>
    <x v="0"/>
    <x v="10"/>
    <x v="21"/>
    <x v="204"/>
    <x v="736"/>
    <x v="0"/>
    <s v="NEGOCIOS"/>
    <x v="1"/>
  </r>
  <r>
    <x v="55"/>
    <x v="146"/>
    <x v="6"/>
    <x v="6"/>
    <x v="0"/>
    <x v="10"/>
    <x v="21"/>
    <x v="172"/>
    <x v="1013"/>
    <x v="0"/>
    <s v="NEGOCIOS"/>
    <x v="1"/>
  </r>
  <r>
    <x v="55"/>
    <x v="36"/>
    <x v="6"/>
    <x v="6"/>
    <x v="0"/>
    <x v="10"/>
    <x v="21"/>
    <x v="94"/>
    <x v="1014"/>
    <x v="0"/>
    <s v="NEGOCIOS"/>
    <x v="1"/>
  </r>
  <r>
    <x v="55"/>
    <x v="71"/>
    <x v="6"/>
    <x v="6"/>
    <x v="0"/>
    <x v="10"/>
    <x v="21"/>
    <x v="37"/>
    <x v="815"/>
    <x v="0"/>
    <s v="NEGOCIOS"/>
    <x v="1"/>
  </r>
  <r>
    <x v="55"/>
    <x v="149"/>
    <x v="6"/>
    <x v="6"/>
    <x v="0"/>
    <x v="10"/>
    <x v="21"/>
    <x v="148"/>
    <x v="736"/>
    <x v="0"/>
    <s v="NEGOCIOS"/>
    <x v="1"/>
  </r>
  <r>
    <x v="55"/>
    <x v="149"/>
    <x v="6"/>
    <x v="6"/>
    <x v="0"/>
    <x v="10"/>
    <x v="26"/>
    <x v="148"/>
    <x v="1015"/>
    <x v="0"/>
    <s v="NEGOCIOS"/>
    <x v="1"/>
  </r>
  <r>
    <x v="55"/>
    <x v="163"/>
    <x v="6"/>
    <x v="6"/>
    <x v="0"/>
    <x v="10"/>
    <x v="21"/>
    <x v="195"/>
    <x v="748"/>
    <x v="0"/>
    <s v="NEGOCIOS"/>
    <x v="1"/>
  </r>
  <r>
    <x v="55"/>
    <x v="113"/>
    <x v="6"/>
    <x v="6"/>
    <x v="0"/>
    <x v="10"/>
    <x v="21"/>
    <x v="89"/>
    <x v="782"/>
    <x v="0"/>
    <s v="NEGOCIOS"/>
    <x v="1"/>
  </r>
  <r>
    <x v="55"/>
    <x v="67"/>
    <x v="6"/>
    <x v="6"/>
    <x v="0"/>
    <x v="10"/>
    <x v="21"/>
    <x v="32"/>
    <x v="735"/>
    <x v="0"/>
    <s v="NEGOCIOS"/>
    <x v="1"/>
  </r>
  <r>
    <x v="55"/>
    <x v="108"/>
    <x v="3"/>
    <x v="3"/>
    <x v="0"/>
    <x v="10"/>
    <x v="21"/>
    <x v="63"/>
    <x v="736"/>
    <x v="0"/>
    <s v="NEGOCIOS"/>
    <x v="1"/>
  </r>
  <r>
    <x v="55"/>
    <x v="108"/>
    <x v="3"/>
    <x v="3"/>
    <x v="0"/>
    <x v="10"/>
    <x v="25"/>
    <x v="63"/>
    <x v="929"/>
    <x v="0"/>
    <s v="NEGOCIOS"/>
    <x v="1"/>
  </r>
  <r>
    <x v="55"/>
    <x v="135"/>
    <x v="3"/>
    <x v="3"/>
    <x v="0"/>
    <x v="10"/>
    <x v="26"/>
    <x v="149"/>
    <x v="1016"/>
    <x v="0"/>
    <s v="NEGOCIOS"/>
    <x v="1"/>
  </r>
  <r>
    <x v="55"/>
    <x v="148"/>
    <x v="3"/>
    <x v="3"/>
    <x v="0"/>
    <x v="10"/>
    <x v="21"/>
    <x v="174"/>
    <x v="736"/>
    <x v="0"/>
    <s v="NEGOCIOS"/>
    <x v="1"/>
  </r>
  <r>
    <x v="55"/>
    <x v="148"/>
    <x v="3"/>
    <x v="3"/>
    <x v="0"/>
    <x v="10"/>
    <x v="25"/>
    <x v="174"/>
    <x v="907"/>
    <x v="0"/>
    <s v="NEGOCIOS"/>
    <x v="1"/>
  </r>
  <r>
    <x v="55"/>
    <x v="56"/>
    <x v="3"/>
    <x v="3"/>
    <x v="0"/>
    <x v="10"/>
    <x v="21"/>
    <x v="153"/>
    <x v="1017"/>
    <x v="0"/>
    <s v="NEGOCIOS"/>
    <x v="1"/>
  </r>
  <r>
    <x v="55"/>
    <x v="156"/>
    <x v="4"/>
    <x v="4"/>
    <x v="0"/>
    <x v="10"/>
    <x v="21"/>
    <x v="146"/>
    <x v="1018"/>
    <x v="0"/>
    <s v="NEGOCIOS"/>
    <x v="1"/>
  </r>
  <r>
    <x v="55"/>
    <x v="132"/>
    <x v="4"/>
    <x v="4"/>
    <x v="0"/>
    <x v="10"/>
    <x v="21"/>
    <x v="95"/>
    <x v="1019"/>
    <x v="0"/>
    <s v="NEGOCIOS"/>
    <x v="1"/>
  </r>
  <r>
    <x v="55"/>
    <x v="50"/>
    <x v="4"/>
    <x v="4"/>
    <x v="0"/>
    <x v="10"/>
    <x v="21"/>
    <x v="77"/>
    <x v="1020"/>
    <x v="0"/>
    <s v="NEGOCIOS"/>
    <x v="1"/>
  </r>
  <r>
    <x v="55"/>
    <x v="30"/>
    <x v="4"/>
    <x v="4"/>
    <x v="0"/>
    <x v="10"/>
    <x v="21"/>
    <x v="159"/>
    <x v="1021"/>
    <x v="0"/>
    <s v="NEGOCIOS"/>
    <x v="1"/>
  </r>
  <r>
    <x v="55"/>
    <x v="154"/>
    <x v="4"/>
    <x v="4"/>
    <x v="0"/>
    <x v="10"/>
    <x v="26"/>
    <x v="143"/>
    <x v="1022"/>
    <x v="0"/>
    <s v="NEGOCIOS"/>
    <x v="1"/>
  </r>
  <r>
    <x v="55"/>
    <x v="165"/>
    <x v="4"/>
    <x v="4"/>
    <x v="0"/>
    <x v="10"/>
    <x v="21"/>
    <x v="205"/>
    <x v="1019"/>
    <x v="0"/>
    <s v="NEGOCIOS"/>
    <x v="1"/>
  </r>
  <r>
    <x v="55"/>
    <x v="90"/>
    <x v="0"/>
    <x v="0"/>
    <x v="0"/>
    <x v="10"/>
    <x v="21"/>
    <x v="79"/>
    <x v="1023"/>
    <x v="0"/>
    <s v="NEGOCIOS"/>
    <x v="1"/>
  </r>
  <r>
    <x v="55"/>
    <x v="159"/>
    <x v="0"/>
    <x v="0"/>
    <x v="0"/>
    <x v="10"/>
    <x v="21"/>
    <x v="177"/>
    <x v="1019"/>
    <x v="0"/>
    <s v="NEGOCIOS"/>
    <x v="1"/>
  </r>
  <r>
    <x v="55"/>
    <x v="116"/>
    <x v="0"/>
    <x v="0"/>
    <x v="0"/>
    <x v="10"/>
    <x v="21"/>
    <x v="64"/>
    <x v="736"/>
    <x v="0"/>
    <s v="NEGOCIOS"/>
    <x v="1"/>
  </r>
  <r>
    <x v="55"/>
    <x v="119"/>
    <x v="0"/>
    <x v="0"/>
    <x v="0"/>
    <x v="10"/>
    <x v="21"/>
    <x v="96"/>
    <x v="736"/>
    <x v="0"/>
    <s v="NEGOCIOS"/>
    <x v="1"/>
  </r>
  <r>
    <x v="55"/>
    <x v="121"/>
    <x v="0"/>
    <x v="0"/>
    <x v="0"/>
    <x v="10"/>
    <x v="21"/>
    <x v="80"/>
    <x v="736"/>
    <x v="0"/>
    <s v="NEGOCIOS"/>
    <x v="1"/>
  </r>
  <r>
    <x v="55"/>
    <x v="100"/>
    <x v="0"/>
    <x v="0"/>
    <x v="0"/>
    <x v="10"/>
    <x v="21"/>
    <x v="73"/>
    <x v="1024"/>
    <x v="0"/>
    <s v="NEGOCIOS"/>
    <x v="1"/>
  </r>
  <r>
    <x v="55"/>
    <x v="53"/>
    <x v="0"/>
    <x v="0"/>
    <x v="0"/>
    <x v="10"/>
    <x v="26"/>
    <x v="144"/>
    <x v="1025"/>
    <x v="0"/>
    <s v="NEGOCIOS"/>
    <x v="1"/>
  </r>
  <r>
    <x v="55"/>
    <x v="46"/>
    <x v="0"/>
    <x v="0"/>
    <x v="0"/>
    <x v="10"/>
    <x v="21"/>
    <x v="155"/>
    <x v="736"/>
    <x v="0"/>
    <s v="NEGOCIOS"/>
    <x v="1"/>
  </r>
  <r>
    <x v="55"/>
    <x v="142"/>
    <x v="0"/>
    <x v="0"/>
    <x v="0"/>
    <x v="10"/>
    <x v="21"/>
    <x v="119"/>
    <x v="53"/>
    <x v="0"/>
    <s v="NEGOCIOS"/>
    <x v="1"/>
  </r>
  <r>
    <x v="55"/>
    <x v="136"/>
    <x v="0"/>
    <x v="0"/>
    <x v="0"/>
    <x v="10"/>
    <x v="21"/>
    <x v="100"/>
    <x v="1019"/>
    <x v="0"/>
    <s v="NEGOCIOS"/>
    <x v="1"/>
  </r>
  <r>
    <x v="55"/>
    <x v="32"/>
    <x v="5"/>
    <x v="5"/>
    <x v="0"/>
    <x v="10"/>
    <x v="21"/>
    <x v="81"/>
    <x v="1026"/>
    <x v="0"/>
    <s v="NEGOCIOS"/>
    <x v="1"/>
  </r>
  <r>
    <x v="55"/>
    <x v="76"/>
    <x v="5"/>
    <x v="5"/>
    <x v="0"/>
    <x v="10"/>
    <x v="21"/>
    <x v="182"/>
    <x v="1027"/>
    <x v="0"/>
    <s v="NEGOCIOS"/>
    <x v="1"/>
  </r>
  <r>
    <x v="55"/>
    <x v="13"/>
    <x v="5"/>
    <x v="5"/>
    <x v="0"/>
    <x v="10"/>
    <x v="21"/>
    <x v="120"/>
    <x v="736"/>
    <x v="0"/>
    <s v="NEGOCIOS"/>
    <x v="1"/>
  </r>
  <r>
    <x v="55"/>
    <x v="77"/>
    <x v="5"/>
    <x v="5"/>
    <x v="0"/>
    <x v="10"/>
    <x v="21"/>
    <x v="156"/>
    <x v="1028"/>
    <x v="0"/>
    <s v="NEGOCIOS"/>
    <x v="1"/>
  </r>
  <r>
    <x v="55"/>
    <x v="63"/>
    <x v="5"/>
    <x v="5"/>
    <x v="0"/>
    <x v="10"/>
    <x v="21"/>
    <x v="111"/>
    <x v="852"/>
    <x v="0"/>
    <s v="NEGOCIOS"/>
    <x v="1"/>
  </r>
  <r>
    <x v="55"/>
    <x v="63"/>
    <x v="5"/>
    <x v="5"/>
    <x v="0"/>
    <x v="10"/>
    <x v="26"/>
    <x v="111"/>
    <x v="1029"/>
    <x v="0"/>
    <s v="NEGOCIOS"/>
    <x v="1"/>
  </r>
  <r>
    <x v="55"/>
    <x v="153"/>
    <x v="5"/>
    <x v="5"/>
    <x v="0"/>
    <x v="10"/>
    <x v="21"/>
    <x v="157"/>
    <x v="736"/>
    <x v="0"/>
    <s v="NEGOCIOS"/>
    <x v="1"/>
  </r>
  <r>
    <x v="55"/>
    <x v="124"/>
    <x v="5"/>
    <x v="5"/>
    <x v="0"/>
    <x v="10"/>
    <x v="21"/>
    <x v="206"/>
    <x v="1030"/>
    <x v="0"/>
    <s v="NEGOCIOS"/>
    <x v="1"/>
  </r>
  <r>
    <x v="55"/>
    <x v="40"/>
    <x v="1"/>
    <x v="1"/>
    <x v="0"/>
    <x v="10"/>
    <x v="21"/>
    <x v="125"/>
    <x v="835"/>
    <x v="0"/>
    <s v="NEGOCIOS"/>
    <x v="1"/>
  </r>
  <r>
    <x v="55"/>
    <x v="161"/>
    <x v="1"/>
    <x v="1"/>
    <x v="0"/>
    <x v="10"/>
    <x v="21"/>
    <x v="186"/>
    <x v="661"/>
    <x v="0"/>
    <s v="NEGOCIOS"/>
    <x v="1"/>
  </r>
  <r>
    <x v="55"/>
    <x v="155"/>
    <x v="1"/>
    <x v="1"/>
    <x v="0"/>
    <x v="10"/>
    <x v="26"/>
    <x v="145"/>
    <x v="1031"/>
    <x v="0"/>
    <s v="NEGOCIOS"/>
    <x v="1"/>
  </r>
  <r>
    <x v="55"/>
    <x v="127"/>
    <x v="1"/>
    <x v="1"/>
    <x v="0"/>
    <x v="10"/>
    <x v="21"/>
    <x v="85"/>
    <x v="1032"/>
    <x v="0"/>
    <s v="NEGOCIOS"/>
    <x v="1"/>
  </r>
  <r>
    <x v="55"/>
    <x v="73"/>
    <x v="1"/>
    <x v="1"/>
    <x v="0"/>
    <x v="10"/>
    <x v="21"/>
    <x v="39"/>
    <x v="1033"/>
    <x v="0"/>
    <s v="NEGOCIOS"/>
    <x v="1"/>
  </r>
  <r>
    <x v="55"/>
    <x v="8"/>
    <x v="1"/>
    <x v="1"/>
    <x v="0"/>
    <x v="10"/>
    <x v="21"/>
    <x v="187"/>
    <x v="1013"/>
    <x v="0"/>
    <s v="NEGOCIOS"/>
    <x v="1"/>
  </r>
  <r>
    <x v="55"/>
    <x v="101"/>
    <x v="1"/>
    <x v="1"/>
    <x v="0"/>
    <x v="10"/>
    <x v="21"/>
    <x v="207"/>
    <x v="1013"/>
    <x v="0"/>
    <s v="NEGOCIOS"/>
    <x v="1"/>
  </r>
  <r>
    <x v="55"/>
    <x v="109"/>
    <x v="1"/>
    <x v="1"/>
    <x v="0"/>
    <x v="10"/>
    <x v="21"/>
    <x v="208"/>
    <x v="736"/>
    <x v="0"/>
    <s v="NEGOCIOS"/>
    <x v="1"/>
  </r>
  <r>
    <x v="55"/>
    <x v="1"/>
    <x v="1"/>
    <x v="1"/>
    <x v="0"/>
    <x v="10"/>
    <x v="1"/>
    <x v="1"/>
    <x v="1"/>
    <x v="279"/>
    <s v="NEGOCIOS"/>
    <x v="1"/>
  </r>
  <r>
    <x v="55"/>
    <x v="158"/>
    <x v="2"/>
    <x v="2"/>
    <x v="0"/>
    <x v="11"/>
    <x v="21"/>
    <x v="168"/>
    <x v="1034"/>
    <x v="0"/>
    <s v="NEGOCIOS"/>
    <x v="1"/>
  </r>
  <r>
    <x v="55"/>
    <x v="85"/>
    <x v="2"/>
    <x v="2"/>
    <x v="0"/>
    <x v="11"/>
    <x v="21"/>
    <x v="161"/>
    <x v="1035"/>
    <x v="0"/>
    <s v="NEGOCIOS"/>
    <x v="1"/>
  </r>
  <r>
    <x v="55"/>
    <x v="157"/>
    <x v="2"/>
    <x v="2"/>
    <x v="0"/>
    <x v="11"/>
    <x v="26"/>
    <x v="147"/>
    <x v="1036"/>
    <x v="0"/>
    <s v="NEGOCIOS"/>
    <x v="1"/>
  </r>
  <r>
    <x v="55"/>
    <x v="65"/>
    <x v="6"/>
    <x v="6"/>
    <x v="0"/>
    <x v="11"/>
    <x v="21"/>
    <x v="190"/>
    <x v="1037"/>
    <x v="0"/>
    <s v="NEGOCIOS"/>
    <x v="1"/>
  </r>
  <r>
    <x v="55"/>
    <x v="71"/>
    <x v="6"/>
    <x v="6"/>
    <x v="0"/>
    <x v="11"/>
    <x v="21"/>
    <x v="37"/>
    <x v="1013"/>
    <x v="0"/>
    <s v="NEGOCIOS"/>
    <x v="1"/>
  </r>
  <r>
    <x v="55"/>
    <x v="149"/>
    <x v="6"/>
    <x v="6"/>
    <x v="0"/>
    <x v="11"/>
    <x v="26"/>
    <x v="148"/>
    <x v="1038"/>
    <x v="0"/>
    <s v="NEGOCIOS"/>
    <x v="1"/>
  </r>
  <r>
    <x v="55"/>
    <x v="113"/>
    <x v="6"/>
    <x v="6"/>
    <x v="0"/>
    <x v="11"/>
    <x v="21"/>
    <x v="89"/>
    <x v="735"/>
    <x v="0"/>
    <s v="NEGOCIOS"/>
    <x v="1"/>
  </r>
  <r>
    <x v="55"/>
    <x v="135"/>
    <x v="3"/>
    <x v="3"/>
    <x v="0"/>
    <x v="11"/>
    <x v="26"/>
    <x v="149"/>
    <x v="1039"/>
    <x v="0"/>
    <s v="NEGOCIOS"/>
    <x v="1"/>
  </r>
  <r>
    <x v="55"/>
    <x v="154"/>
    <x v="4"/>
    <x v="4"/>
    <x v="0"/>
    <x v="11"/>
    <x v="26"/>
    <x v="143"/>
    <x v="1040"/>
    <x v="0"/>
    <s v="NEGOCIOS"/>
    <x v="1"/>
  </r>
  <r>
    <x v="55"/>
    <x v="53"/>
    <x v="0"/>
    <x v="0"/>
    <x v="0"/>
    <x v="11"/>
    <x v="21"/>
    <x v="144"/>
    <x v="1041"/>
    <x v="0"/>
    <s v="NEGOCIOS"/>
    <x v="1"/>
  </r>
  <r>
    <x v="55"/>
    <x v="53"/>
    <x v="0"/>
    <x v="0"/>
    <x v="0"/>
    <x v="11"/>
    <x v="26"/>
    <x v="144"/>
    <x v="1042"/>
    <x v="0"/>
    <s v="NEGOCIOS"/>
    <x v="1"/>
  </r>
  <r>
    <x v="55"/>
    <x v="63"/>
    <x v="5"/>
    <x v="5"/>
    <x v="0"/>
    <x v="11"/>
    <x v="26"/>
    <x v="111"/>
    <x v="1043"/>
    <x v="0"/>
    <s v="NEGOCIOS"/>
    <x v="1"/>
  </r>
  <r>
    <x v="55"/>
    <x v="124"/>
    <x v="5"/>
    <x v="5"/>
    <x v="0"/>
    <x v="11"/>
    <x v="26"/>
    <x v="206"/>
    <x v="1"/>
    <x v="280"/>
    <s v="NEGOCIOS"/>
    <x v="1"/>
  </r>
  <r>
    <x v="55"/>
    <x v="155"/>
    <x v="1"/>
    <x v="1"/>
    <x v="0"/>
    <x v="11"/>
    <x v="26"/>
    <x v="145"/>
    <x v="1044"/>
    <x v="0"/>
    <s v="NEGOCIOS"/>
    <x v="1"/>
  </r>
  <r>
    <x v="55"/>
    <x v="1"/>
    <x v="1"/>
    <x v="1"/>
    <x v="0"/>
    <x v="11"/>
    <x v="1"/>
    <x v="1"/>
    <x v="1"/>
    <x v="281"/>
    <s v="NEGOCIOS"/>
    <x v="1"/>
  </r>
  <r>
    <x v="55"/>
    <x v="47"/>
    <x v="2"/>
    <x v="2"/>
    <x v="0"/>
    <x v="12"/>
    <x v="21"/>
    <x v="68"/>
    <x v="1045"/>
    <x v="0"/>
    <s v="NEGOCIOS"/>
    <x v="1"/>
  </r>
  <r>
    <x v="55"/>
    <x v="112"/>
    <x v="2"/>
    <x v="2"/>
    <x v="0"/>
    <x v="12"/>
    <x v="26"/>
    <x v="209"/>
    <x v="1"/>
    <x v="282"/>
    <s v="NEGOCIOS"/>
    <x v="1"/>
  </r>
  <r>
    <x v="55"/>
    <x v="129"/>
    <x v="2"/>
    <x v="2"/>
    <x v="0"/>
    <x v="12"/>
    <x v="21"/>
    <x v="204"/>
    <x v="1046"/>
    <x v="0"/>
    <s v="NEGOCIOS"/>
    <x v="1"/>
  </r>
  <r>
    <x v="55"/>
    <x v="111"/>
    <x v="2"/>
    <x v="2"/>
    <x v="0"/>
    <x v="12"/>
    <x v="21"/>
    <x v="75"/>
    <x v="1047"/>
    <x v="0"/>
    <s v="NEGOCIOS"/>
    <x v="1"/>
  </r>
  <r>
    <x v="55"/>
    <x v="65"/>
    <x v="6"/>
    <x v="6"/>
    <x v="0"/>
    <x v="12"/>
    <x v="21"/>
    <x v="190"/>
    <x v="1048"/>
    <x v="0"/>
    <s v="NEGOCIOS"/>
    <x v="1"/>
  </r>
  <r>
    <x v="55"/>
    <x v="87"/>
    <x v="6"/>
    <x v="6"/>
    <x v="0"/>
    <x v="12"/>
    <x v="21"/>
    <x v="189"/>
    <x v="366"/>
    <x v="0"/>
    <s v="NEGOCIOS"/>
    <x v="1"/>
  </r>
  <r>
    <x v="55"/>
    <x v="163"/>
    <x v="6"/>
    <x v="6"/>
    <x v="0"/>
    <x v="12"/>
    <x v="21"/>
    <x v="195"/>
    <x v="146"/>
    <x v="0"/>
    <s v="NEGOCIOS"/>
    <x v="1"/>
  </r>
  <r>
    <x v="55"/>
    <x v="102"/>
    <x v="6"/>
    <x v="6"/>
    <x v="0"/>
    <x v="12"/>
    <x v="21"/>
    <x v="141"/>
    <x v="1049"/>
    <x v="0"/>
    <s v="NEGOCIOS"/>
    <x v="1"/>
  </r>
  <r>
    <x v="55"/>
    <x v="102"/>
    <x v="6"/>
    <x v="6"/>
    <x v="0"/>
    <x v="12"/>
    <x v="26"/>
    <x v="141"/>
    <x v="1050"/>
    <x v="0"/>
    <s v="NEGOCIOS"/>
    <x v="1"/>
  </r>
  <r>
    <x v="55"/>
    <x v="137"/>
    <x v="6"/>
    <x v="6"/>
    <x v="0"/>
    <x v="12"/>
    <x v="26"/>
    <x v="102"/>
    <x v="1"/>
    <x v="283"/>
    <s v="NEGOCIOS"/>
    <x v="1"/>
  </r>
  <r>
    <x v="55"/>
    <x v="156"/>
    <x v="4"/>
    <x v="4"/>
    <x v="0"/>
    <x v="12"/>
    <x v="21"/>
    <x v="146"/>
    <x v="1051"/>
    <x v="0"/>
    <s v="NEGOCIOS"/>
    <x v="1"/>
  </r>
  <r>
    <x v="55"/>
    <x v="39"/>
    <x v="4"/>
    <x v="4"/>
    <x v="0"/>
    <x v="12"/>
    <x v="26"/>
    <x v="210"/>
    <x v="1"/>
    <x v="284"/>
    <s v="NEGOCIOS"/>
    <x v="1"/>
  </r>
  <r>
    <x v="55"/>
    <x v="92"/>
    <x v="0"/>
    <x v="0"/>
    <x v="0"/>
    <x v="12"/>
    <x v="21"/>
    <x v="109"/>
    <x v="905"/>
    <x v="0"/>
    <s v="NEGOCIOS"/>
    <x v="1"/>
  </r>
  <r>
    <x v="55"/>
    <x v="136"/>
    <x v="0"/>
    <x v="0"/>
    <x v="0"/>
    <x v="12"/>
    <x v="21"/>
    <x v="100"/>
    <x v="1052"/>
    <x v="0"/>
    <s v="NEGOCIOS"/>
    <x v="1"/>
  </r>
  <r>
    <x v="55"/>
    <x v="136"/>
    <x v="0"/>
    <x v="0"/>
    <x v="0"/>
    <x v="12"/>
    <x v="26"/>
    <x v="100"/>
    <x v="1"/>
    <x v="285"/>
    <s v="NEGOCIOS"/>
    <x v="1"/>
  </r>
  <r>
    <x v="55"/>
    <x v="13"/>
    <x v="5"/>
    <x v="5"/>
    <x v="0"/>
    <x v="12"/>
    <x v="21"/>
    <x v="120"/>
    <x v="1053"/>
    <x v="0"/>
    <s v="NEGOCIOS"/>
    <x v="1"/>
  </r>
  <r>
    <x v="55"/>
    <x v="125"/>
    <x v="5"/>
    <x v="5"/>
    <x v="0"/>
    <x v="12"/>
    <x v="21"/>
    <x v="82"/>
    <x v="1054"/>
    <x v="0"/>
    <s v="NEGOCIOS"/>
    <x v="1"/>
  </r>
  <r>
    <x v="55"/>
    <x v="95"/>
    <x v="1"/>
    <x v="1"/>
    <x v="0"/>
    <x v="12"/>
    <x v="21"/>
    <x v="97"/>
    <x v="779"/>
    <x v="0"/>
    <s v="NEGOCIOS"/>
    <x v="1"/>
  </r>
  <r>
    <x v="55"/>
    <x v="155"/>
    <x v="1"/>
    <x v="1"/>
    <x v="0"/>
    <x v="12"/>
    <x v="21"/>
    <x v="145"/>
    <x v="1055"/>
    <x v="0"/>
    <s v="NEGOCIOS"/>
    <x v="1"/>
  </r>
  <r>
    <x v="55"/>
    <x v="1"/>
    <x v="1"/>
    <x v="1"/>
    <x v="0"/>
    <x v="12"/>
    <x v="1"/>
    <x v="1"/>
    <x v="1"/>
    <x v="286"/>
    <s v="NEGOCIOS"/>
    <x v="1"/>
  </r>
  <r>
    <x v="55"/>
    <x v="157"/>
    <x v="2"/>
    <x v="2"/>
    <x v="0"/>
    <x v="13"/>
    <x v="26"/>
    <x v="147"/>
    <x v="1056"/>
    <x v="0"/>
    <s v="NEGOCIOS"/>
    <x v="1"/>
  </r>
  <r>
    <x v="55"/>
    <x v="110"/>
    <x v="2"/>
    <x v="2"/>
    <x v="0"/>
    <x v="13"/>
    <x v="21"/>
    <x v="171"/>
    <x v="1057"/>
    <x v="0"/>
    <s v="NEGOCIOS"/>
    <x v="1"/>
  </r>
  <r>
    <x v="55"/>
    <x v="149"/>
    <x v="6"/>
    <x v="6"/>
    <x v="0"/>
    <x v="13"/>
    <x v="26"/>
    <x v="148"/>
    <x v="1058"/>
    <x v="0"/>
    <s v="NEGOCIOS"/>
    <x v="1"/>
  </r>
  <r>
    <x v="55"/>
    <x v="10"/>
    <x v="3"/>
    <x v="3"/>
    <x v="0"/>
    <x v="13"/>
    <x v="21"/>
    <x v="123"/>
    <x v="763"/>
    <x v="0"/>
    <s v="NEGOCIOS"/>
    <x v="1"/>
  </r>
  <r>
    <x v="55"/>
    <x v="135"/>
    <x v="3"/>
    <x v="3"/>
    <x v="0"/>
    <x v="13"/>
    <x v="26"/>
    <x v="149"/>
    <x v="1059"/>
    <x v="0"/>
    <s v="NEGOCIOS"/>
    <x v="1"/>
  </r>
  <r>
    <x v="55"/>
    <x v="79"/>
    <x v="3"/>
    <x v="3"/>
    <x v="0"/>
    <x v="13"/>
    <x v="21"/>
    <x v="142"/>
    <x v="1024"/>
    <x v="0"/>
    <s v="NEGOCIOS"/>
    <x v="1"/>
  </r>
  <r>
    <x v="55"/>
    <x v="154"/>
    <x v="4"/>
    <x v="4"/>
    <x v="0"/>
    <x v="13"/>
    <x v="26"/>
    <x v="143"/>
    <x v="1060"/>
    <x v="0"/>
    <s v="NEGOCIOS"/>
    <x v="1"/>
  </r>
  <r>
    <x v="55"/>
    <x v="53"/>
    <x v="0"/>
    <x v="0"/>
    <x v="0"/>
    <x v="13"/>
    <x v="21"/>
    <x v="144"/>
    <x v="1061"/>
    <x v="0"/>
    <s v="NEGOCIOS"/>
    <x v="1"/>
  </r>
  <r>
    <x v="55"/>
    <x v="53"/>
    <x v="0"/>
    <x v="0"/>
    <x v="0"/>
    <x v="13"/>
    <x v="26"/>
    <x v="144"/>
    <x v="1062"/>
    <x v="0"/>
    <s v="NEGOCIOS"/>
    <x v="1"/>
  </r>
  <r>
    <x v="55"/>
    <x v="13"/>
    <x v="5"/>
    <x v="5"/>
    <x v="0"/>
    <x v="13"/>
    <x v="21"/>
    <x v="120"/>
    <x v="1063"/>
    <x v="0"/>
    <s v="NEGOCIOS"/>
    <x v="1"/>
  </r>
  <r>
    <x v="55"/>
    <x v="34"/>
    <x v="5"/>
    <x v="5"/>
    <x v="0"/>
    <x v="13"/>
    <x v="25"/>
    <x v="184"/>
    <x v="1064"/>
    <x v="0"/>
    <s v="NEGOCIOS"/>
    <x v="1"/>
  </r>
  <r>
    <x v="55"/>
    <x v="77"/>
    <x v="5"/>
    <x v="5"/>
    <x v="0"/>
    <x v="13"/>
    <x v="21"/>
    <x v="156"/>
    <x v="1065"/>
    <x v="0"/>
    <s v="NEGOCIOS"/>
    <x v="1"/>
  </r>
  <r>
    <x v="55"/>
    <x v="63"/>
    <x v="5"/>
    <x v="5"/>
    <x v="0"/>
    <x v="13"/>
    <x v="26"/>
    <x v="111"/>
    <x v="1066"/>
    <x v="0"/>
    <s v="NEGOCIOS"/>
    <x v="1"/>
  </r>
  <r>
    <x v="55"/>
    <x v="40"/>
    <x v="1"/>
    <x v="1"/>
    <x v="0"/>
    <x v="13"/>
    <x v="21"/>
    <x v="125"/>
    <x v="1067"/>
    <x v="0"/>
    <s v="NEGOCIOS"/>
    <x v="1"/>
  </r>
  <r>
    <x v="55"/>
    <x v="155"/>
    <x v="1"/>
    <x v="1"/>
    <x v="0"/>
    <x v="13"/>
    <x v="26"/>
    <x v="145"/>
    <x v="1068"/>
    <x v="0"/>
    <s v="NEGOCIOS"/>
    <x v="1"/>
  </r>
  <r>
    <x v="55"/>
    <x v="22"/>
    <x v="1"/>
    <x v="1"/>
    <x v="0"/>
    <x v="13"/>
    <x v="21"/>
    <x v="211"/>
    <x v="1069"/>
    <x v="0"/>
    <s v="NEGOCIOS"/>
    <x v="1"/>
  </r>
  <r>
    <x v="55"/>
    <x v="22"/>
    <x v="1"/>
    <x v="1"/>
    <x v="0"/>
    <x v="13"/>
    <x v="26"/>
    <x v="211"/>
    <x v="1070"/>
    <x v="0"/>
    <s v="NEGOCIOS"/>
    <x v="1"/>
  </r>
  <r>
    <x v="55"/>
    <x v="73"/>
    <x v="1"/>
    <x v="1"/>
    <x v="0"/>
    <x v="13"/>
    <x v="21"/>
    <x v="39"/>
    <x v="763"/>
    <x v="0"/>
    <s v="NEGOCIOS"/>
    <x v="1"/>
  </r>
  <r>
    <x v="55"/>
    <x v="1"/>
    <x v="1"/>
    <x v="1"/>
    <x v="0"/>
    <x v="13"/>
    <x v="1"/>
    <x v="1"/>
    <x v="1"/>
    <x v="287"/>
    <s v="NEGOCIOS"/>
    <x v="1"/>
  </r>
  <r>
    <x v="55"/>
    <x v="70"/>
    <x v="2"/>
    <x v="2"/>
    <x v="0"/>
    <x v="14"/>
    <x v="21"/>
    <x v="36"/>
    <x v="735"/>
    <x v="0"/>
    <s v="NEGOCIOS"/>
    <x v="1"/>
  </r>
  <r>
    <x v="55"/>
    <x v="158"/>
    <x v="2"/>
    <x v="2"/>
    <x v="0"/>
    <x v="14"/>
    <x v="25"/>
    <x v="168"/>
    <x v="1071"/>
    <x v="0"/>
    <s v="NEGOCIOS"/>
    <x v="1"/>
  </r>
  <r>
    <x v="55"/>
    <x v="16"/>
    <x v="2"/>
    <x v="2"/>
    <x v="0"/>
    <x v="14"/>
    <x v="21"/>
    <x v="93"/>
    <x v="1072"/>
    <x v="0"/>
    <s v="NEGOCIOS"/>
    <x v="1"/>
  </r>
  <r>
    <x v="55"/>
    <x v="47"/>
    <x v="2"/>
    <x v="2"/>
    <x v="0"/>
    <x v="14"/>
    <x v="21"/>
    <x v="68"/>
    <x v="1073"/>
    <x v="0"/>
    <s v="NEGOCIOS"/>
    <x v="1"/>
  </r>
  <r>
    <x v="55"/>
    <x v="85"/>
    <x v="2"/>
    <x v="2"/>
    <x v="0"/>
    <x v="14"/>
    <x v="21"/>
    <x v="161"/>
    <x v="1074"/>
    <x v="0"/>
    <s v="NEGOCIOS"/>
    <x v="1"/>
  </r>
  <r>
    <x v="55"/>
    <x v="118"/>
    <x v="2"/>
    <x v="2"/>
    <x v="0"/>
    <x v="14"/>
    <x v="21"/>
    <x v="69"/>
    <x v="1075"/>
    <x v="0"/>
    <s v="NEGOCIOS"/>
    <x v="1"/>
  </r>
  <r>
    <x v="55"/>
    <x v="24"/>
    <x v="2"/>
    <x v="2"/>
    <x v="0"/>
    <x v="14"/>
    <x v="21"/>
    <x v="202"/>
    <x v="1076"/>
    <x v="0"/>
    <s v="NEGOCIOS"/>
    <x v="1"/>
  </r>
  <r>
    <x v="55"/>
    <x v="107"/>
    <x v="2"/>
    <x v="2"/>
    <x v="0"/>
    <x v="14"/>
    <x v="21"/>
    <x v="158"/>
    <x v="1077"/>
    <x v="0"/>
    <s v="NEGOCIOS"/>
    <x v="1"/>
  </r>
  <r>
    <x v="55"/>
    <x v="157"/>
    <x v="2"/>
    <x v="2"/>
    <x v="0"/>
    <x v="14"/>
    <x v="21"/>
    <x v="147"/>
    <x v="1078"/>
    <x v="0"/>
    <s v="NEGOCIOS"/>
    <x v="1"/>
  </r>
  <r>
    <x v="55"/>
    <x v="35"/>
    <x v="2"/>
    <x v="2"/>
    <x v="0"/>
    <x v="14"/>
    <x v="21"/>
    <x v="170"/>
    <x v="999"/>
    <x v="0"/>
    <s v="NEGOCIOS"/>
    <x v="1"/>
  </r>
  <r>
    <x v="55"/>
    <x v="129"/>
    <x v="2"/>
    <x v="2"/>
    <x v="0"/>
    <x v="14"/>
    <x v="21"/>
    <x v="204"/>
    <x v="1079"/>
    <x v="0"/>
    <s v="NEGOCIOS"/>
    <x v="1"/>
  </r>
  <r>
    <x v="55"/>
    <x v="146"/>
    <x v="6"/>
    <x v="6"/>
    <x v="0"/>
    <x v="14"/>
    <x v="25"/>
    <x v="172"/>
    <x v="1071"/>
    <x v="0"/>
    <s v="NEGOCIOS"/>
    <x v="1"/>
  </r>
  <r>
    <x v="55"/>
    <x v="87"/>
    <x v="6"/>
    <x v="6"/>
    <x v="0"/>
    <x v="14"/>
    <x v="21"/>
    <x v="189"/>
    <x v="1080"/>
    <x v="0"/>
    <s v="NEGOCIOS"/>
    <x v="1"/>
  </r>
  <r>
    <x v="55"/>
    <x v="71"/>
    <x v="6"/>
    <x v="6"/>
    <x v="0"/>
    <x v="14"/>
    <x v="21"/>
    <x v="37"/>
    <x v="1081"/>
    <x v="0"/>
    <s v="NEGOCIOS"/>
    <x v="1"/>
  </r>
  <r>
    <x v="55"/>
    <x v="163"/>
    <x v="6"/>
    <x v="6"/>
    <x v="0"/>
    <x v="14"/>
    <x v="21"/>
    <x v="195"/>
    <x v="1082"/>
    <x v="0"/>
    <s v="NEGOCIOS"/>
    <x v="1"/>
  </r>
  <r>
    <x v="55"/>
    <x v="102"/>
    <x v="6"/>
    <x v="6"/>
    <x v="0"/>
    <x v="14"/>
    <x v="21"/>
    <x v="141"/>
    <x v="1083"/>
    <x v="0"/>
    <s v="NEGOCIOS"/>
    <x v="1"/>
  </r>
  <r>
    <x v="55"/>
    <x v="113"/>
    <x v="6"/>
    <x v="6"/>
    <x v="0"/>
    <x v="14"/>
    <x v="21"/>
    <x v="89"/>
    <x v="1084"/>
    <x v="0"/>
    <s v="NEGOCIOS"/>
    <x v="1"/>
  </r>
  <r>
    <x v="55"/>
    <x v="164"/>
    <x v="6"/>
    <x v="6"/>
    <x v="0"/>
    <x v="14"/>
    <x v="21"/>
    <x v="200"/>
    <x v="1085"/>
    <x v="0"/>
    <s v="NEGOCIOS"/>
    <x v="1"/>
  </r>
  <r>
    <x v="55"/>
    <x v="96"/>
    <x v="6"/>
    <x v="6"/>
    <x v="0"/>
    <x v="14"/>
    <x v="21"/>
    <x v="165"/>
    <x v="1086"/>
    <x v="0"/>
    <s v="NEGOCIOS"/>
    <x v="1"/>
  </r>
  <r>
    <x v="55"/>
    <x v="137"/>
    <x v="6"/>
    <x v="6"/>
    <x v="0"/>
    <x v="14"/>
    <x v="21"/>
    <x v="102"/>
    <x v="146"/>
    <x v="0"/>
    <s v="NEGOCIOS"/>
    <x v="1"/>
  </r>
  <r>
    <x v="55"/>
    <x v="26"/>
    <x v="3"/>
    <x v="3"/>
    <x v="0"/>
    <x v="14"/>
    <x v="25"/>
    <x v="115"/>
    <x v="1087"/>
    <x v="0"/>
    <s v="NEGOCIOS"/>
    <x v="1"/>
  </r>
  <r>
    <x v="55"/>
    <x v="19"/>
    <x v="3"/>
    <x v="3"/>
    <x v="0"/>
    <x v="14"/>
    <x v="21"/>
    <x v="62"/>
    <x v="1088"/>
    <x v="0"/>
    <s v="NEGOCIOS"/>
    <x v="1"/>
  </r>
  <r>
    <x v="55"/>
    <x v="60"/>
    <x v="3"/>
    <x v="3"/>
    <x v="0"/>
    <x v="14"/>
    <x v="21"/>
    <x v="57"/>
    <x v="1089"/>
    <x v="0"/>
    <s v="NEGOCIOS"/>
    <x v="1"/>
  </r>
  <r>
    <x v="55"/>
    <x v="108"/>
    <x v="3"/>
    <x v="3"/>
    <x v="0"/>
    <x v="14"/>
    <x v="21"/>
    <x v="63"/>
    <x v="736"/>
    <x v="0"/>
    <s v="NEGOCIOS"/>
    <x v="1"/>
  </r>
  <r>
    <x v="55"/>
    <x v="10"/>
    <x v="3"/>
    <x v="3"/>
    <x v="0"/>
    <x v="14"/>
    <x v="21"/>
    <x v="123"/>
    <x v="0"/>
    <x v="0"/>
    <s v="NEGOCIOS"/>
    <x v="1"/>
  </r>
  <r>
    <x v="55"/>
    <x v="114"/>
    <x v="3"/>
    <x v="3"/>
    <x v="0"/>
    <x v="14"/>
    <x v="21"/>
    <x v="76"/>
    <x v="735"/>
    <x v="0"/>
    <s v="NEGOCIOS"/>
    <x v="1"/>
  </r>
  <r>
    <x v="55"/>
    <x v="43"/>
    <x v="3"/>
    <x v="3"/>
    <x v="0"/>
    <x v="14"/>
    <x v="21"/>
    <x v="71"/>
    <x v="1085"/>
    <x v="0"/>
    <s v="NEGOCIOS"/>
    <x v="1"/>
  </r>
  <r>
    <x v="55"/>
    <x v="61"/>
    <x v="3"/>
    <x v="3"/>
    <x v="0"/>
    <x v="14"/>
    <x v="21"/>
    <x v="126"/>
    <x v="1090"/>
    <x v="0"/>
    <s v="NEGOCIOS"/>
    <x v="1"/>
  </r>
  <r>
    <x v="55"/>
    <x v="148"/>
    <x v="3"/>
    <x v="3"/>
    <x v="0"/>
    <x v="14"/>
    <x v="21"/>
    <x v="174"/>
    <x v="1091"/>
    <x v="0"/>
    <s v="NEGOCIOS"/>
    <x v="1"/>
  </r>
  <r>
    <x v="55"/>
    <x v="56"/>
    <x v="3"/>
    <x v="3"/>
    <x v="0"/>
    <x v="14"/>
    <x v="21"/>
    <x v="153"/>
    <x v="1092"/>
    <x v="0"/>
    <s v="NEGOCIOS"/>
    <x v="1"/>
  </r>
  <r>
    <x v="55"/>
    <x v="99"/>
    <x v="3"/>
    <x v="3"/>
    <x v="0"/>
    <x v="14"/>
    <x v="21"/>
    <x v="116"/>
    <x v="1093"/>
    <x v="0"/>
    <s v="NEGOCIOS"/>
    <x v="1"/>
  </r>
  <r>
    <x v="55"/>
    <x v="140"/>
    <x v="4"/>
    <x v="4"/>
    <x v="0"/>
    <x v="14"/>
    <x v="25"/>
    <x v="117"/>
    <x v="1094"/>
    <x v="0"/>
    <s v="NEGOCIOS"/>
    <x v="1"/>
  </r>
  <r>
    <x v="55"/>
    <x v="81"/>
    <x v="4"/>
    <x v="4"/>
    <x v="0"/>
    <x v="14"/>
    <x v="21"/>
    <x v="175"/>
    <x v="1095"/>
    <x v="0"/>
    <s v="NEGOCIOS"/>
    <x v="1"/>
  </r>
  <r>
    <x v="55"/>
    <x v="132"/>
    <x v="4"/>
    <x v="4"/>
    <x v="0"/>
    <x v="14"/>
    <x v="21"/>
    <x v="95"/>
    <x v="1096"/>
    <x v="0"/>
    <s v="NEGOCIOS"/>
    <x v="1"/>
  </r>
  <r>
    <x v="55"/>
    <x v="162"/>
    <x v="4"/>
    <x v="4"/>
    <x v="0"/>
    <x v="14"/>
    <x v="21"/>
    <x v="192"/>
    <x v="1097"/>
    <x v="0"/>
    <s v="NEGOCIOS"/>
    <x v="1"/>
  </r>
  <r>
    <x v="55"/>
    <x v="50"/>
    <x v="4"/>
    <x v="4"/>
    <x v="0"/>
    <x v="14"/>
    <x v="21"/>
    <x v="77"/>
    <x v="191"/>
    <x v="0"/>
    <s v="NEGOCIOS"/>
    <x v="1"/>
  </r>
  <r>
    <x v="55"/>
    <x v="89"/>
    <x v="4"/>
    <x v="4"/>
    <x v="0"/>
    <x v="14"/>
    <x v="21"/>
    <x v="154"/>
    <x v="1098"/>
    <x v="0"/>
    <s v="NEGOCIOS"/>
    <x v="1"/>
  </r>
  <r>
    <x v="55"/>
    <x v="30"/>
    <x v="4"/>
    <x v="4"/>
    <x v="0"/>
    <x v="14"/>
    <x v="21"/>
    <x v="159"/>
    <x v="1099"/>
    <x v="0"/>
    <s v="NEGOCIOS"/>
    <x v="1"/>
  </r>
  <r>
    <x v="55"/>
    <x v="126"/>
    <x v="4"/>
    <x v="4"/>
    <x v="0"/>
    <x v="14"/>
    <x v="21"/>
    <x v="83"/>
    <x v="1100"/>
    <x v="0"/>
    <s v="NEGOCIOS"/>
    <x v="1"/>
  </r>
  <r>
    <x v="55"/>
    <x v="31"/>
    <x v="4"/>
    <x v="4"/>
    <x v="0"/>
    <x v="14"/>
    <x v="21"/>
    <x v="72"/>
    <x v="1101"/>
    <x v="0"/>
    <s v="NEGOCIOS"/>
    <x v="1"/>
  </r>
  <r>
    <x v="55"/>
    <x v="78"/>
    <x v="4"/>
    <x v="4"/>
    <x v="0"/>
    <x v="14"/>
    <x v="21"/>
    <x v="160"/>
    <x v="736"/>
    <x v="0"/>
    <s v="NEGOCIOS"/>
    <x v="1"/>
  </r>
  <r>
    <x v="55"/>
    <x v="51"/>
    <x v="4"/>
    <x v="4"/>
    <x v="0"/>
    <x v="14"/>
    <x v="21"/>
    <x v="34"/>
    <x v="1102"/>
    <x v="0"/>
    <s v="NEGOCIOS"/>
    <x v="1"/>
  </r>
  <r>
    <x v="55"/>
    <x v="90"/>
    <x v="0"/>
    <x v="0"/>
    <x v="0"/>
    <x v="14"/>
    <x v="21"/>
    <x v="79"/>
    <x v="1103"/>
    <x v="0"/>
    <s v="NEGOCIOS"/>
    <x v="1"/>
  </r>
  <r>
    <x v="55"/>
    <x v="159"/>
    <x v="0"/>
    <x v="0"/>
    <x v="0"/>
    <x v="14"/>
    <x v="25"/>
    <x v="177"/>
    <x v="1104"/>
    <x v="0"/>
    <s v="NEGOCIOS"/>
    <x v="1"/>
  </r>
  <r>
    <x v="55"/>
    <x v="52"/>
    <x v="0"/>
    <x v="0"/>
    <x v="0"/>
    <x v="14"/>
    <x v="21"/>
    <x v="107"/>
    <x v="1105"/>
    <x v="0"/>
    <s v="NEGOCIOS"/>
    <x v="1"/>
  </r>
  <r>
    <x v="55"/>
    <x v="119"/>
    <x v="0"/>
    <x v="0"/>
    <x v="0"/>
    <x v="14"/>
    <x v="21"/>
    <x v="96"/>
    <x v="1106"/>
    <x v="0"/>
    <s v="NEGOCIOS"/>
    <x v="1"/>
  </r>
  <r>
    <x v="55"/>
    <x v="120"/>
    <x v="0"/>
    <x v="0"/>
    <x v="0"/>
    <x v="14"/>
    <x v="21"/>
    <x v="212"/>
    <x v="911"/>
    <x v="0"/>
    <s v="NEGOCIOS"/>
    <x v="1"/>
  </r>
  <r>
    <x v="55"/>
    <x v="53"/>
    <x v="0"/>
    <x v="0"/>
    <x v="0"/>
    <x v="14"/>
    <x v="21"/>
    <x v="144"/>
    <x v="1107"/>
    <x v="0"/>
    <s v="NEGOCIOS"/>
    <x v="1"/>
  </r>
  <r>
    <x v="55"/>
    <x v="46"/>
    <x v="0"/>
    <x v="0"/>
    <x v="0"/>
    <x v="14"/>
    <x v="21"/>
    <x v="155"/>
    <x v="1108"/>
    <x v="0"/>
    <s v="NEGOCIOS"/>
    <x v="1"/>
  </r>
  <r>
    <x v="55"/>
    <x v="92"/>
    <x v="0"/>
    <x v="0"/>
    <x v="0"/>
    <x v="14"/>
    <x v="21"/>
    <x v="109"/>
    <x v="790"/>
    <x v="0"/>
    <s v="NEGOCIOS"/>
    <x v="1"/>
  </r>
  <r>
    <x v="55"/>
    <x v="117"/>
    <x v="0"/>
    <x v="0"/>
    <x v="0"/>
    <x v="14"/>
    <x v="21"/>
    <x v="65"/>
    <x v="1109"/>
    <x v="0"/>
    <s v="NEGOCIOS"/>
    <x v="1"/>
  </r>
  <r>
    <x v="55"/>
    <x v="142"/>
    <x v="0"/>
    <x v="0"/>
    <x v="0"/>
    <x v="14"/>
    <x v="21"/>
    <x v="119"/>
    <x v="110"/>
    <x v="0"/>
    <s v="NEGOCIOS"/>
    <x v="1"/>
  </r>
  <r>
    <x v="55"/>
    <x v="32"/>
    <x v="5"/>
    <x v="5"/>
    <x v="0"/>
    <x v="14"/>
    <x v="21"/>
    <x v="81"/>
    <x v="1110"/>
    <x v="0"/>
    <s v="NEGOCIOS"/>
    <x v="1"/>
  </r>
  <r>
    <x v="55"/>
    <x v="76"/>
    <x v="5"/>
    <x v="5"/>
    <x v="0"/>
    <x v="14"/>
    <x v="21"/>
    <x v="182"/>
    <x v="1111"/>
    <x v="0"/>
    <s v="NEGOCIOS"/>
    <x v="1"/>
  </r>
  <r>
    <x v="55"/>
    <x v="76"/>
    <x v="5"/>
    <x v="5"/>
    <x v="0"/>
    <x v="14"/>
    <x v="25"/>
    <x v="182"/>
    <x v="1112"/>
    <x v="0"/>
    <s v="NEGOCIOS"/>
    <x v="1"/>
  </r>
  <r>
    <x v="55"/>
    <x v="115"/>
    <x v="5"/>
    <x v="5"/>
    <x v="0"/>
    <x v="14"/>
    <x v="21"/>
    <x v="213"/>
    <x v="826"/>
    <x v="0"/>
    <s v="NEGOCIOS"/>
    <x v="1"/>
  </r>
  <r>
    <x v="55"/>
    <x v="97"/>
    <x v="5"/>
    <x v="5"/>
    <x v="0"/>
    <x v="14"/>
    <x v="21"/>
    <x v="183"/>
    <x v="1113"/>
    <x v="0"/>
    <s v="NEGOCIOS"/>
    <x v="1"/>
  </r>
  <r>
    <x v="55"/>
    <x v="13"/>
    <x v="5"/>
    <x v="5"/>
    <x v="0"/>
    <x v="14"/>
    <x v="21"/>
    <x v="120"/>
    <x v="1114"/>
    <x v="0"/>
    <s v="NEGOCIOS"/>
    <x v="1"/>
  </r>
  <r>
    <x v="55"/>
    <x v="77"/>
    <x v="5"/>
    <x v="5"/>
    <x v="0"/>
    <x v="14"/>
    <x v="21"/>
    <x v="156"/>
    <x v="701"/>
    <x v="0"/>
    <s v="NEGOCIOS"/>
    <x v="1"/>
  </r>
  <r>
    <x v="55"/>
    <x v="141"/>
    <x v="5"/>
    <x v="5"/>
    <x v="0"/>
    <x v="14"/>
    <x v="21"/>
    <x v="185"/>
    <x v="952"/>
    <x v="0"/>
    <s v="NEGOCIOS"/>
    <x v="1"/>
  </r>
  <r>
    <x v="55"/>
    <x v="6"/>
    <x v="5"/>
    <x v="5"/>
    <x v="0"/>
    <x v="14"/>
    <x v="21"/>
    <x v="193"/>
    <x v="1115"/>
    <x v="0"/>
    <s v="NEGOCIOS"/>
    <x v="1"/>
  </r>
  <r>
    <x v="55"/>
    <x v="150"/>
    <x v="5"/>
    <x v="5"/>
    <x v="0"/>
    <x v="14"/>
    <x v="21"/>
    <x v="214"/>
    <x v="1116"/>
    <x v="0"/>
    <s v="NEGOCIOS"/>
    <x v="1"/>
  </r>
  <r>
    <x v="55"/>
    <x v="83"/>
    <x v="1"/>
    <x v="1"/>
    <x v="0"/>
    <x v="14"/>
    <x v="21"/>
    <x v="215"/>
    <x v="1117"/>
    <x v="0"/>
    <s v="NEGOCIOS"/>
    <x v="1"/>
  </r>
  <r>
    <x v="55"/>
    <x v="40"/>
    <x v="1"/>
    <x v="1"/>
    <x v="0"/>
    <x v="14"/>
    <x v="25"/>
    <x v="125"/>
    <x v="1104"/>
    <x v="0"/>
    <s v="NEGOCIOS"/>
    <x v="1"/>
  </r>
  <r>
    <x v="55"/>
    <x v="161"/>
    <x v="1"/>
    <x v="1"/>
    <x v="0"/>
    <x v="14"/>
    <x v="21"/>
    <x v="186"/>
    <x v="1118"/>
    <x v="0"/>
    <s v="NEGOCIOS"/>
    <x v="1"/>
  </r>
  <r>
    <x v="55"/>
    <x v="95"/>
    <x v="1"/>
    <x v="1"/>
    <x v="0"/>
    <x v="14"/>
    <x v="21"/>
    <x v="97"/>
    <x v="1119"/>
    <x v="0"/>
    <s v="NEGOCIOS"/>
    <x v="1"/>
  </r>
  <r>
    <x v="55"/>
    <x v="14"/>
    <x v="1"/>
    <x v="1"/>
    <x v="0"/>
    <x v="14"/>
    <x v="25"/>
    <x v="112"/>
    <x v="1120"/>
    <x v="0"/>
    <s v="NEGOCIOS"/>
    <x v="1"/>
  </r>
  <r>
    <x v="55"/>
    <x v="127"/>
    <x v="1"/>
    <x v="1"/>
    <x v="0"/>
    <x v="14"/>
    <x v="21"/>
    <x v="85"/>
    <x v="1121"/>
    <x v="0"/>
    <s v="NEGOCIOS"/>
    <x v="1"/>
  </r>
  <r>
    <x v="55"/>
    <x v="22"/>
    <x v="1"/>
    <x v="1"/>
    <x v="0"/>
    <x v="14"/>
    <x v="21"/>
    <x v="211"/>
    <x v="835"/>
    <x v="0"/>
    <s v="NEGOCIOS"/>
    <x v="1"/>
  </r>
  <r>
    <x v="55"/>
    <x v="42"/>
    <x v="1"/>
    <x v="1"/>
    <x v="0"/>
    <x v="14"/>
    <x v="21"/>
    <x v="167"/>
    <x v="1122"/>
    <x v="0"/>
    <s v="NEGOCIOS"/>
    <x v="1"/>
  </r>
  <r>
    <x v="55"/>
    <x v="8"/>
    <x v="1"/>
    <x v="1"/>
    <x v="0"/>
    <x v="14"/>
    <x v="21"/>
    <x v="187"/>
    <x v="1123"/>
    <x v="0"/>
    <s v="NEGOCIOS"/>
    <x v="1"/>
  </r>
  <r>
    <x v="55"/>
    <x v="101"/>
    <x v="1"/>
    <x v="1"/>
    <x v="0"/>
    <x v="14"/>
    <x v="21"/>
    <x v="207"/>
    <x v="1124"/>
    <x v="0"/>
    <s v="NEGOCIOS"/>
    <x v="1"/>
  </r>
  <r>
    <x v="55"/>
    <x v="152"/>
    <x v="1"/>
    <x v="1"/>
    <x v="0"/>
    <x v="14"/>
    <x v="21"/>
    <x v="194"/>
    <x v="1125"/>
    <x v="0"/>
    <s v="NEGOCIOS"/>
    <x v="1"/>
  </r>
  <r>
    <x v="55"/>
    <x v="1"/>
    <x v="1"/>
    <x v="1"/>
    <x v="0"/>
    <x v="14"/>
    <x v="1"/>
    <x v="1"/>
    <x v="1"/>
    <x v="288"/>
    <s v="NEGOCIOS"/>
    <x v="1"/>
  </r>
  <r>
    <x v="55"/>
    <x v="158"/>
    <x v="2"/>
    <x v="2"/>
    <x v="0"/>
    <x v="15"/>
    <x v="25"/>
    <x v="168"/>
    <x v="1126"/>
    <x v="0"/>
    <s v="NEGOCIOS"/>
    <x v="1"/>
  </r>
  <r>
    <x v="55"/>
    <x v="24"/>
    <x v="2"/>
    <x v="2"/>
    <x v="0"/>
    <x v="15"/>
    <x v="21"/>
    <x v="202"/>
    <x v="1127"/>
    <x v="0"/>
    <s v="NEGOCIOS"/>
    <x v="1"/>
  </r>
  <r>
    <x v="55"/>
    <x v="35"/>
    <x v="2"/>
    <x v="2"/>
    <x v="0"/>
    <x v="15"/>
    <x v="21"/>
    <x v="170"/>
    <x v="874"/>
    <x v="0"/>
    <s v="NEGOCIOS"/>
    <x v="1"/>
  </r>
  <r>
    <x v="55"/>
    <x v="146"/>
    <x v="6"/>
    <x v="6"/>
    <x v="0"/>
    <x v="15"/>
    <x v="25"/>
    <x v="172"/>
    <x v="1126"/>
    <x v="0"/>
    <s v="NEGOCIOS"/>
    <x v="1"/>
  </r>
  <r>
    <x v="55"/>
    <x v="87"/>
    <x v="6"/>
    <x v="6"/>
    <x v="0"/>
    <x v="15"/>
    <x v="26"/>
    <x v="189"/>
    <x v="959"/>
    <x v="0"/>
    <s v="NEGOCIOS"/>
    <x v="1"/>
  </r>
  <r>
    <x v="55"/>
    <x v="149"/>
    <x v="6"/>
    <x v="6"/>
    <x v="0"/>
    <x v="15"/>
    <x v="21"/>
    <x v="148"/>
    <x v="1128"/>
    <x v="0"/>
    <s v="NEGOCIOS"/>
    <x v="1"/>
  </r>
  <r>
    <x v="55"/>
    <x v="137"/>
    <x v="6"/>
    <x v="6"/>
    <x v="0"/>
    <x v="15"/>
    <x v="21"/>
    <x v="102"/>
    <x v="1129"/>
    <x v="0"/>
    <s v="NEGOCIOS"/>
    <x v="1"/>
  </r>
  <r>
    <x v="55"/>
    <x v="26"/>
    <x v="3"/>
    <x v="3"/>
    <x v="0"/>
    <x v="15"/>
    <x v="25"/>
    <x v="115"/>
    <x v="1126"/>
    <x v="0"/>
    <s v="NEGOCIOS"/>
    <x v="1"/>
  </r>
  <r>
    <x v="55"/>
    <x v="26"/>
    <x v="3"/>
    <x v="3"/>
    <x v="0"/>
    <x v="15"/>
    <x v="26"/>
    <x v="115"/>
    <x v="1"/>
    <x v="289"/>
    <s v="NEGOCIOS"/>
    <x v="1"/>
  </r>
  <r>
    <x v="55"/>
    <x v="60"/>
    <x v="3"/>
    <x v="3"/>
    <x v="0"/>
    <x v="15"/>
    <x v="21"/>
    <x v="57"/>
    <x v="1130"/>
    <x v="0"/>
    <s v="NEGOCIOS"/>
    <x v="1"/>
  </r>
  <r>
    <x v="55"/>
    <x v="69"/>
    <x v="3"/>
    <x v="3"/>
    <x v="0"/>
    <x v="15"/>
    <x v="21"/>
    <x v="152"/>
    <x v="1131"/>
    <x v="0"/>
    <s v="NEGOCIOS"/>
    <x v="1"/>
  </r>
  <r>
    <x v="55"/>
    <x v="27"/>
    <x v="3"/>
    <x v="3"/>
    <x v="0"/>
    <x v="15"/>
    <x v="21"/>
    <x v="43"/>
    <x v="1132"/>
    <x v="0"/>
    <s v="NEGOCIOS"/>
    <x v="1"/>
  </r>
  <r>
    <x v="55"/>
    <x v="135"/>
    <x v="3"/>
    <x v="3"/>
    <x v="0"/>
    <x v="15"/>
    <x v="25"/>
    <x v="149"/>
    <x v="1133"/>
    <x v="0"/>
    <s v="NEGOCIOS"/>
    <x v="1"/>
  </r>
  <r>
    <x v="55"/>
    <x v="140"/>
    <x v="4"/>
    <x v="4"/>
    <x v="0"/>
    <x v="15"/>
    <x v="25"/>
    <x v="117"/>
    <x v="1126"/>
    <x v="0"/>
    <s v="NEGOCIOS"/>
    <x v="1"/>
  </r>
  <r>
    <x v="55"/>
    <x v="159"/>
    <x v="0"/>
    <x v="0"/>
    <x v="0"/>
    <x v="15"/>
    <x v="25"/>
    <x v="177"/>
    <x v="1126"/>
    <x v="0"/>
    <s v="NEGOCIOS"/>
    <x v="1"/>
  </r>
  <r>
    <x v="55"/>
    <x v="116"/>
    <x v="0"/>
    <x v="0"/>
    <x v="0"/>
    <x v="15"/>
    <x v="21"/>
    <x v="64"/>
    <x v="1134"/>
    <x v="0"/>
    <s v="NEGOCIOS"/>
    <x v="1"/>
  </r>
  <r>
    <x v="55"/>
    <x v="76"/>
    <x v="5"/>
    <x v="5"/>
    <x v="0"/>
    <x v="15"/>
    <x v="25"/>
    <x v="182"/>
    <x v="1126"/>
    <x v="0"/>
    <s v="NEGOCIOS"/>
    <x v="1"/>
  </r>
  <r>
    <x v="55"/>
    <x v="115"/>
    <x v="5"/>
    <x v="5"/>
    <x v="0"/>
    <x v="15"/>
    <x v="26"/>
    <x v="213"/>
    <x v="1"/>
    <x v="289"/>
    <s v="NEGOCIOS"/>
    <x v="1"/>
  </r>
  <r>
    <x v="55"/>
    <x v="13"/>
    <x v="5"/>
    <x v="5"/>
    <x v="0"/>
    <x v="15"/>
    <x v="25"/>
    <x v="120"/>
    <x v="1135"/>
    <x v="0"/>
    <s v="NEGOCIOS"/>
    <x v="1"/>
  </r>
  <r>
    <x v="55"/>
    <x v="72"/>
    <x v="5"/>
    <x v="5"/>
    <x v="0"/>
    <x v="15"/>
    <x v="21"/>
    <x v="38"/>
    <x v="1136"/>
    <x v="0"/>
    <s v="NEGOCIOS"/>
    <x v="1"/>
  </r>
  <r>
    <x v="55"/>
    <x v="40"/>
    <x v="1"/>
    <x v="1"/>
    <x v="0"/>
    <x v="15"/>
    <x v="25"/>
    <x v="125"/>
    <x v="925"/>
    <x v="0"/>
    <s v="NEGOCIOS"/>
    <x v="1"/>
  </r>
  <r>
    <x v="55"/>
    <x v="1"/>
    <x v="1"/>
    <x v="1"/>
    <x v="0"/>
    <x v="15"/>
    <x v="1"/>
    <x v="1"/>
    <x v="1"/>
    <x v="290"/>
    <s v="NEGOCIOS"/>
    <x v="1"/>
  </r>
  <r>
    <x v="55"/>
    <x v="77"/>
    <x v="5"/>
    <x v="5"/>
    <x v="0"/>
    <x v="27"/>
    <x v="25"/>
    <x v="156"/>
    <x v="1137"/>
    <x v="0"/>
    <s v="NEGOCIOS"/>
    <x v="1"/>
  </r>
  <r>
    <x v="55"/>
    <x v="77"/>
    <x v="5"/>
    <x v="5"/>
    <x v="0"/>
    <x v="27"/>
    <x v="21"/>
    <x v="156"/>
    <x v="1138"/>
    <x v="0"/>
    <s v="NEGOCIOS"/>
    <x v="1"/>
  </r>
  <r>
    <x v="55"/>
    <x v="40"/>
    <x v="1"/>
    <x v="1"/>
    <x v="0"/>
    <x v="27"/>
    <x v="21"/>
    <x v="125"/>
    <x v="798"/>
    <x v="0"/>
    <s v="NEGOCIOS"/>
    <x v="1"/>
  </r>
  <r>
    <x v="55"/>
    <x v="1"/>
    <x v="1"/>
    <x v="1"/>
    <x v="0"/>
    <x v="27"/>
    <x v="1"/>
    <x v="1"/>
    <x v="1"/>
    <x v="291"/>
    <s v="NEGOCIOS"/>
    <x v="1"/>
  </r>
  <r>
    <x v="55"/>
    <x v="24"/>
    <x v="2"/>
    <x v="2"/>
    <x v="0"/>
    <x v="28"/>
    <x v="21"/>
    <x v="202"/>
    <x v="1139"/>
    <x v="0"/>
    <s v="NEGOCIOS"/>
    <x v="1"/>
  </r>
  <r>
    <x v="55"/>
    <x v="15"/>
    <x v="6"/>
    <x v="6"/>
    <x v="0"/>
    <x v="28"/>
    <x v="21"/>
    <x v="216"/>
    <x v="120"/>
    <x v="0"/>
    <s v="NEGOCIOS"/>
    <x v="1"/>
  </r>
  <r>
    <x v="55"/>
    <x v="10"/>
    <x v="3"/>
    <x v="3"/>
    <x v="0"/>
    <x v="28"/>
    <x v="21"/>
    <x v="123"/>
    <x v="1140"/>
    <x v="0"/>
    <s v="NEGOCIOS"/>
    <x v="1"/>
  </r>
  <r>
    <x v="55"/>
    <x v="44"/>
    <x v="3"/>
    <x v="3"/>
    <x v="0"/>
    <x v="28"/>
    <x v="21"/>
    <x v="191"/>
    <x v="240"/>
    <x v="0"/>
    <s v="NEGOCIOS"/>
    <x v="1"/>
  </r>
  <r>
    <x v="55"/>
    <x v="51"/>
    <x v="4"/>
    <x v="4"/>
    <x v="0"/>
    <x v="28"/>
    <x v="21"/>
    <x v="34"/>
    <x v="1141"/>
    <x v="0"/>
    <s v="NEGOCIOS"/>
    <x v="1"/>
  </r>
  <r>
    <x v="55"/>
    <x v="39"/>
    <x v="4"/>
    <x v="4"/>
    <x v="0"/>
    <x v="28"/>
    <x v="26"/>
    <x v="210"/>
    <x v="1142"/>
    <x v="0"/>
    <s v="NEGOCIOS"/>
    <x v="1"/>
  </r>
  <r>
    <x v="55"/>
    <x v="90"/>
    <x v="0"/>
    <x v="0"/>
    <x v="0"/>
    <x v="28"/>
    <x v="21"/>
    <x v="79"/>
    <x v="1143"/>
    <x v="0"/>
    <s v="NEGOCIOS"/>
    <x v="1"/>
  </r>
  <r>
    <x v="55"/>
    <x v="52"/>
    <x v="0"/>
    <x v="0"/>
    <x v="0"/>
    <x v="28"/>
    <x v="21"/>
    <x v="107"/>
    <x v="1144"/>
    <x v="0"/>
    <s v="NEGOCIOS"/>
    <x v="1"/>
  </r>
  <r>
    <x v="55"/>
    <x v="121"/>
    <x v="0"/>
    <x v="0"/>
    <x v="0"/>
    <x v="28"/>
    <x v="21"/>
    <x v="80"/>
    <x v="240"/>
    <x v="0"/>
    <s v="NEGOCIOS"/>
    <x v="1"/>
  </r>
  <r>
    <x v="55"/>
    <x v="45"/>
    <x v="0"/>
    <x v="0"/>
    <x v="0"/>
    <x v="28"/>
    <x v="21"/>
    <x v="180"/>
    <x v="1145"/>
    <x v="0"/>
    <s v="NEGOCIOS"/>
    <x v="1"/>
  </r>
  <r>
    <x v="55"/>
    <x v="166"/>
    <x v="0"/>
    <x v="0"/>
    <x v="0"/>
    <x v="28"/>
    <x v="21"/>
    <x v="217"/>
    <x v="909"/>
    <x v="0"/>
    <s v="NEGOCIOS"/>
    <x v="1"/>
  </r>
  <r>
    <x v="55"/>
    <x v="77"/>
    <x v="5"/>
    <x v="5"/>
    <x v="0"/>
    <x v="28"/>
    <x v="21"/>
    <x v="156"/>
    <x v="1146"/>
    <x v="0"/>
    <s v="NEGOCIOS"/>
    <x v="1"/>
  </r>
  <r>
    <x v="55"/>
    <x v="101"/>
    <x v="1"/>
    <x v="1"/>
    <x v="0"/>
    <x v="28"/>
    <x v="26"/>
    <x v="207"/>
    <x v="1147"/>
    <x v="0"/>
    <s v="NEGOCIOS"/>
    <x v="1"/>
  </r>
  <r>
    <x v="55"/>
    <x v="1"/>
    <x v="1"/>
    <x v="1"/>
    <x v="0"/>
    <x v="28"/>
    <x v="1"/>
    <x v="1"/>
    <x v="1"/>
    <x v="292"/>
    <s v="NEGOCIOS"/>
    <x v="1"/>
  </r>
  <r>
    <x v="55"/>
    <x v="157"/>
    <x v="2"/>
    <x v="2"/>
    <x v="0"/>
    <x v="29"/>
    <x v="26"/>
    <x v="147"/>
    <x v="1148"/>
    <x v="0"/>
    <s v="NEGOCIOS"/>
    <x v="1"/>
  </r>
  <r>
    <x v="55"/>
    <x v="112"/>
    <x v="2"/>
    <x v="2"/>
    <x v="0"/>
    <x v="29"/>
    <x v="21"/>
    <x v="209"/>
    <x v="1149"/>
    <x v="0"/>
    <s v="NEGOCIOS"/>
    <x v="1"/>
  </r>
  <r>
    <x v="55"/>
    <x v="84"/>
    <x v="2"/>
    <x v="2"/>
    <x v="0"/>
    <x v="29"/>
    <x v="21"/>
    <x v="203"/>
    <x v="1119"/>
    <x v="0"/>
    <s v="NEGOCIOS"/>
    <x v="1"/>
  </r>
  <r>
    <x v="55"/>
    <x v="110"/>
    <x v="2"/>
    <x v="2"/>
    <x v="0"/>
    <x v="29"/>
    <x v="21"/>
    <x v="171"/>
    <x v="1067"/>
    <x v="0"/>
    <s v="NEGOCIOS"/>
    <x v="1"/>
  </r>
  <r>
    <x v="55"/>
    <x v="129"/>
    <x v="2"/>
    <x v="2"/>
    <x v="0"/>
    <x v="29"/>
    <x v="21"/>
    <x v="204"/>
    <x v="1150"/>
    <x v="0"/>
    <s v="NEGOCIOS"/>
    <x v="1"/>
  </r>
  <r>
    <x v="55"/>
    <x v="146"/>
    <x v="6"/>
    <x v="6"/>
    <x v="0"/>
    <x v="29"/>
    <x v="21"/>
    <x v="172"/>
    <x v="1150"/>
    <x v="0"/>
    <s v="NEGOCIOS"/>
    <x v="1"/>
  </r>
  <r>
    <x v="55"/>
    <x v="167"/>
    <x v="6"/>
    <x v="6"/>
    <x v="0"/>
    <x v="29"/>
    <x v="25"/>
    <x v="218"/>
    <x v="1151"/>
    <x v="0"/>
    <s v="NEGOCIOS"/>
    <x v="1"/>
  </r>
  <r>
    <x v="55"/>
    <x v="36"/>
    <x v="6"/>
    <x v="6"/>
    <x v="0"/>
    <x v="29"/>
    <x v="21"/>
    <x v="94"/>
    <x v="1152"/>
    <x v="0"/>
    <s v="NEGOCIOS"/>
    <x v="1"/>
  </r>
  <r>
    <x v="55"/>
    <x v="87"/>
    <x v="6"/>
    <x v="6"/>
    <x v="0"/>
    <x v="29"/>
    <x v="21"/>
    <x v="189"/>
    <x v="1153"/>
    <x v="0"/>
    <s v="NEGOCIOS"/>
    <x v="1"/>
  </r>
  <r>
    <x v="55"/>
    <x v="71"/>
    <x v="6"/>
    <x v="6"/>
    <x v="0"/>
    <x v="29"/>
    <x v="21"/>
    <x v="37"/>
    <x v="1154"/>
    <x v="0"/>
    <s v="NEGOCIOS"/>
    <x v="1"/>
  </r>
  <r>
    <x v="55"/>
    <x v="149"/>
    <x v="6"/>
    <x v="6"/>
    <x v="0"/>
    <x v="29"/>
    <x v="26"/>
    <x v="148"/>
    <x v="1155"/>
    <x v="0"/>
    <s v="NEGOCIOS"/>
    <x v="1"/>
  </r>
  <r>
    <x v="55"/>
    <x v="164"/>
    <x v="6"/>
    <x v="6"/>
    <x v="0"/>
    <x v="29"/>
    <x v="21"/>
    <x v="200"/>
    <x v="1156"/>
    <x v="0"/>
    <s v="NEGOCIOS"/>
    <x v="1"/>
  </r>
  <r>
    <x v="55"/>
    <x v="21"/>
    <x v="6"/>
    <x v="6"/>
    <x v="0"/>
    <x v="29"/>
    <x v="21"/>
    <x v="70"/>
    <x v="1157"/>
    <x v="0"/>
    <s v="NEGOCIOS"/>
    <x v="1"/>
  </r>
  <r>
    <x v="55"/>
    <x v="26"/>
    <x v="3"/>
    <x v="3"/>
    <x v="0"/>
    <x v="29"/>
    <x v="21"/>
    <x v="115"/>
    <x v="816"/>
    <x v="0"/>
    <s v="NEGOCIOS"/>
    <x v="1"/>
  </r>
  <r>
    <x v="55"/>
    <x v="60"/>
    <x v="3"/>
    <x v="3"/>
    <x v="0"/>
    <x v="29"/>
    <x v="21"/>
    <x v="57"/>
    <x v="1158"/>
    <x v="0"/>
    <s v="NEGOCIOS"/>
    <x v="1"/>
  </r>
  <r>
    <x v="55"/>
    <x v="108"/>
    <x v="3"/>
    <x v="3"/>
    <x v="0"/>
    <x v="29"/>
    <x v="25"/>
    <x v="63"/>
    <x v="1159"/>
    <x v="0"/>
    <s v="NEGOCIOS"/>
    <x v="1"/>
  </r>
  <r>
    <x v="55"/>
    <x v="27"/>
    <x v="3"/>
    <x v="3"/>
    <x v="0"/>
    <x v="29"/>
    <x v="21"/>
    <x v="43"/>
    <x v="1160"/>
    <x v="0"/>
    <s v="NEGOCIOS"/>
    <x v="1"/>
  </r>
  <r>
    <x v="55"/>
    <x v="135"/>
    <x v="3"/>
    <x v="3"/>
    <x v="0"/>
    <x v="29"/>
    <x v="26"/>
    <x v="149"/>
    <x v="1161"/>
    <x v="0"/>
    <s v="NEGOCIOS"/>
    <x v="1"/>
  </r>
  <r>
    <x v="55"/>
    <x v="18"/>
    <x v="3"/>
    <x v="3"/>
    <x v="0"/>
    <x v="29"/>
    <x v="21"/>
    <x v="219"/>
    <x v="1162"/>
    <x v="0"/>
    <s v="NEGOCIOS"/>
    <x v="1"/>
  </r>
  <r>
    <x v="55"/>
    <x v="148"/>
    <x v="3"/>
    <x v="3"/>
    <x v="0"/>
    <x v="29"/>
    <x v="25"/>
    <x v="174"/>
    <x v="956"/>
    <x v="0"/>
    <s v="NEGOCIOS"/>
    <x v="1"/>
  </r>
  <r>
    <x v="55"/>
    <x v="80"/>
    <x v="4"/>
    <x v="4"/>
    <x v="0"/>
    <x v="29"/>
    <x v="25"/>
    <x v="90"/>
    <x v="1163"/>
    <x v="0"/>
    <s v="NEGOCIOS"/>
    <x v="1"/>
  </r>
  <r>
    <x v="55"/>
    <x v="154"/>
    <x v="4"/>
    <x v="4"/>
    <x v="0"/>
    <x v="29"/>
    <x v="26"/>
    <x v="143"/>
    <x v="1164"/>
    <x v="0"/>
    <s v="NEGOCIOS"/>
    <x v="1"/>
  </r>
  <r>
    <x v="55"/>
    <x v="62"/>
    <x v="4"/>
    <x v="4"/>
    <x v="0"/>
    <x v="29"/>
    <x v="21"/>
    <x v="176"/>
    <x v="911"/>
    <x v="0"/>
    <s v="NEGOCIOS"/>
    <x v="1"/>
  </r>
  <r>
    <x v="55"/>
    <x v="0"/>
    <x v="0"/>
    <x v="0"/>
    <x v="0"/>
    <x v="29"/>
    <x v="21"/>
    <x v="197"/>
    <x v="1165"/>
    <x v="0"/>
    <s v="NEGOCIOS"/>
    <x v="1"/>
  </r>
  <r>
    <x v="55"/>
    <x v="53"/>
    <x v="0"/>
    <x v="0"/>
    <x v="0"/>
    <x v="29"/>
    <x v="26"/>
    <x v="144"/>
    <x v="1166"/>
    <x v="0"/>
    <s v="NEGOCIOS"/>
    <x v="1"/>
  </r>
  <r>
    <x v="55"/>
    <x v="32"/>
    <x v="5"/>
    <x v="5"/>
    <x v="0"/>
    <x v="29"/>
    <x v="21"/>
    <x v="81"/>
    <x v="911"/>
    <x v="0"/>
    <s v="NEGOCIOS"/>
    <x v="1"/>
  </r>
  <r>
    <x v="55"/>
    <x v="72"/>
    <x v="5"/>
    <x v="5"/>
    <x v="0"/>
    <x v="29"/>
    <x v="21"/>
    <x v="38"/>
    <x v="1167"/>
    <x v="0"/>
    <s v="NEGOCIOS"/>
    <x v="1"/>
  </r>
  <r>
    <x v="55"/>
    <x v="63"/>
    <x v="5"/>
    <x v="5"/>
    <x v="0"/>
    <x v="29"/>
    <x v="26"/>
    <x v="111"/>
    <x v="1168"/>
    <x v="0"/>
    <s v="NEGOCIOS"/>
    <x v="1"/>
  </r>
  <r>
    <x v="55"/>
    <x v="153"/>
    <x v="5"/>
    <x v="5"/>
    <x v="0"/>
    <x v="29"/>
    <x v="21"/>
    <x v="157"/>
    <x v="1169"/>
    <x v="0"/>
    <s v="NEGOCIOS"/>
    <x v="1"/>
  </r>
  <r>
    <x v="55"/>
    <x v="20"/>
    <x v="5"/>
    <x v="5"/>
    <x v="0"/>
    <x v="29"/>
    <x v="21"/>
    <x v="45"/>
    <x v="1170"/>
    <x v="0"/>
    <s v="NEGOCIOS"/>
    <x v="1"/>
  </r>
  <r>
    <x v="55"/>
    <x v="155"/>
    <x v="1"/>
    <x v="1"/>
    <x v="0"/>
    <x v="29"/>
    <x v="26"/>
    <x v="145"/>
    <x v="1171"/>
    <x v="0"/>
    <s v="NEGOCIOS"/>
    <x v="1"/>
  </r>
  <r>
    <x v="55"/>
    <x v="101"/>
    <x v="1"/>
    <x v="1"/>
    <x v="0"/>
    <x v="29"/>
    <x v="21"/>
    <x v="207"/>
    <x v="1172"/>
    <x v="0"/>
    <s v="NEGOCIOS"/>
    <x v="1"/>
  </r>
  <r>
    <x v="55"/>
    <x v="98"/>
    <x v="1"/>
    <x v="1"/>
    <x v="0"/>
    <x v="29"/>
    <x v="26"/>
    <x v="198"/>
    <x v="1"/>
    <x v="293"/>
    <s v="NEGOCIOS"/>
    <x v="1"/>
  </r>
  <r>
    <x v="55"/>
    <x v="1"/>
    <x v="1"/>
    <x v="1"/>
    <x v="0"/>
    <x v="29"/>
    <x v="1"/>
    <x v="1"/>
    <x v="1"/>
    <x v="294"/>
    <s v="NEGOCIOS"/>
    <x v="1"/>
  </r>
  <r>
    <x v="55"/>
    <x v="35"/>
    <x v="2"/>
    <x v="2"/>
    <x v="0"/>
    <x v="30"/>
    <x v="21"/>
    <x v="170"/>
    <x v="1173"/>
    <x v="0"/>
    <s v="NEGOCIOS"/>
    <x v="1"/>
  </r>
  <r>
    <x v="55"/>
    <x v="110"/>
    <x v="2"/>
    <x v="2"/>
    <x v="0"/>
    <x v="30"/>
    <x v="25"/>
    <x v="171"/>
    <x v="1174"/>
    <x v="0"/>
    <s v="NEGOCIOS"/>
    <x v="1"/>
  </r>
  <r>
    <x v="55"/>
    <x v="167"/>
    <x v="6"/>
    <x v="6"/>
    <x v="0"/>
    <x v="30"/>
    <x v="25"/>
    <x v="218"/>
    <x v="1175"/>
    <x v="0"/>
    <s v="NEGOCIOS"/>
    <x v="1"/>
  </r>
  <r>
    <x v="55"/>
    <x v="87"/>
    <x v="6"/>
    <x v="6"/>
    <x v="0"/>
    <x v="30"/>
    <x v="21"/>
    <x v="189"/>
    <x v="1176"/>
    <x v="0"/>
    <s v="NEGOCIOS"/>
    <x v="1"/>
  </r>
  <r>
    <x v="55"/>
    <x v="164"/>
    <x v="6"/>
    <x v="6"/>
    <x v="0"/>
    <x v="30"/>
    <x v="25"/>
    <x v="200"/>
    <x v="1177"/>
    <x v="0"/>
    <s v="NEGOCIOS"/>
    <x v="1"/>
  </r>
  <r>
    <x v="55"/>
    <x v="164"/>
    <x v="6"/>
    <x v="6"/>
    <x v="0"/>
    <x v="30"/>
    <x v="21"/>
    <x v="200"/>
    <x v="1178"/>
    <x v="0"/>
    <s v="NEGOCIOS"/>
    <x v="1"/>
  </r>
  <r>
    <x v="55"/>
    <x v="11"/>
    <x v="6"/>
    <x v="6"/>
    <x v="0"/>
    <x v="30"/>
    <x v="21"/>
    <x v="91"/>
    <x v="1179"/>
    <x v="0"/>
    <s v="NEGOCIOS"/>
    <x v="1"/>
  </r>
  <r>
    <x v="55"/>
    <x v="96"/>
    <x v="6"/>
    <x v="6"/>
    <x v="0"/>
    <x v="30"/>
    <x v="21"/>
    <x v="165"/>
    <x v="1180"/>
    <x v="0"/>
    <s v="NEGOCIOS"/>
    <x v="1"/>
  </r>
  <r>
    <x v="55"/>
    <x v="108"/>
    <x v="3"/>
    <x v="3"/>
    <x v="0"/>
    <x v="30"/>
    <x v="25"/>
    <x v="63"/>
    <x v="1181"/>
    <x v="0"/>
    <s v="NEGOCIOS"/>
    <x v="1"/>
  </r>
  <r>
    <x v="55"/>
    <x v="75"/>
    <x v="3"/>
    <x v="3"/>
    <x v="0"/>
    <x v="30"/>
    <x v="21"/>
    <x v="220"/>
    <x v="1182"/>
    <x v="0"/>
    <s v="NEGOCIOS"/>
    <x v="1"/>
  </r>
  <r>
    <x v="55"/>
    <x v="148"/>
    <x v="3"/>
    <x v="3"/>
    <x v="0"/>
    <x v="30"/>
    <x v="25"/>
    <x v="174"/>
    <x v="956"/>
    <x v="0"/>
    <s v="NEGOCIOS"/>
    <x v="1"/>
  </r>
  <r>
    <x v="55"/>
    <x v="81"/>
    <x v="4"/>
    <x v="4"/>
    <x v="0"/>
    <x v="30"/>
    <x v="21"/>
    <x v="175"/>
    <x v="1183"/>
    <x v="0"/>
    <s v="NEGOCIOS"/>
    <x v="1"/>
  </r>
  <r>
    <x v="55"/>
    <x v="132"/>
    <x v="4"/>
    <x v="4"/>
    <x v="0"/>
    <x v="30"/>
    <x v="25"/>
    <x v="95"/>
    <x v="956"/>
    <x v="0"/>
    <s v="NEGOCIOS"/>
    <x v="1"/>
  </r>
  <r>
    <x v="55"/>
    <x v="50"/>
    <x v="4"/>
    <x v="4"/>
    <x v="0"/>
    <x v="30"/>
    <x v="25"/>
    <x v="77"/>
    <x v="1184"/>
    <x v="0"/>
    <s v="NEGOCIOS"/>
    <x v="1"/>
  </r>
  <r>
    <x v="55"/>
    <x v="89"/>
    <x v="4"/>
    <x v="4"/>
    <x v="0"/>
    <x v="30"/>
    <x v="21"/>
    <x v="154"/>
    <x v="1185"/>
    <x v="0"/>
    <s v="NEGOCIOS"/>
    <x v="1"/>
  </r>
  <r>
    <x v="55"/>
    <x v="30"/>
    <x v="4"/>
    <x v="4"/>
    <x v="0"/>
    <x v="30"/>
    <x v="21"/>
    <x v="159"/>
    <x v="1186"/>
    <x v="0"/>
    <s v="NEGOCIOS"/>
    <x v="1"/>
  </r>
  <r>
    <x v="55"/>
    <x v="159"/>
    <x v="0"/>
    <x v="0"/>
    <x v="0"/>
    <x v="30"/>
    <x v="25"/>
    <x v="177"/>
    <x v="1187"/>
    <x v="0"/>
    <s v="NEGOCIOS"/>
    <x v="1"/>
  </r>
  <r>
    <x v="55"/>
    <x v="57"/>
    <x v="0"/>
    <x v="0"/>
    <x v="0"/>
    <x v="30"/>
    <x v="25"/>
    <x v="44"/>
    <x v="1188"/>
    <x v="0"/>
    <s v="NEGOCIOS"/>
    <x v="1"/>
  </r>
  <r>
    <x v="55"/>
    <x v="57"/>
    <x v="0"/>
    <x v="0"/>
    <x v="0"/>
    <x v="30"/>
    <x v="21"/>
    <x v="44"/>
    <x v="1182"/>
    <x v="0"/>
    <s v="NEGOCIOS"/>
    <x v="1"/>
  </r>
  <r>
    <x v="55"/>
    <x v="100"/>
    <x v="0"/>
    <x v="0"/>
    <x v="0"/>
    <x v="30"/>
    <x v="21"/>
    <x v="73"/>
    <x v="1189"/>
    <x v="0"/>
    <s v="NEGOCIOS"/>
    <x v="1"/>
  </r>
  <r>
    <x v="55"/>
    <x v="136"/>
    <x v="0"/>
    <x v="0"/>
    <x v="0"/>
    <x v="30"/>
    <x v="21"/>
    <x v="100"/>
    <x v="1190"/>
    <x v="0"/>
    <s v="NEGOCIOS"/>
    <x v="1"/>
  </r>
  <r>
    <x v="55"/>
    <x v="32"/>
    <x v="5"/>
    <x v="5"/>
    <x v="0"/>
    <x v="30"/>
    <x v="21"/>
    <x v="81"/>
    <x v="1191"/>
    <x v="0"/>
    <s v="NEGOCIOS"/>
    <x v="1"/>
  </r>
  <r>
    <x v="55"/>
    <x v="76"/>
    <x v="5"/>
    <x v="5"/>
    <x v="0"/>
    <x v="30"/>
    <x v="25"/>
    <x v="182"/>
    <x v="1192"/>
    <x v="0"/>
    <s v="NEGOCIOS"/>
    <x v="1"/>
  </r>
  <r>
    <x v="55"/>
    <x v="72"/>
    <x v="5"/>
    <x v="5"/>
    <x v="0"/>
    <x v="30"/>
    <x v="21"/>
    <x v="38"/>
    <x v="1193"/>
    <x v="0"/>
    <s v="NEGOCIOS"/>
    <x v="1"/>
  </r>
  <r>
    <x v="55"/>
    <x v="34"/>
    <x v="5"/>
    <x v="5"/>
    <x v="0"/>
    <x v="30"/>
    <x v="25"/>
    <x v="184"/>
    <x v="960"/>
    <x v="0"/>
    <s v="NEGOCIOS"/>
    <x v="1"/>
  </r>
  <r>
    <x v="55"/>
    <x v="77"/>
    <x v="5"/>
    <x v="5"/>
    <x v="0"/>
    <x v="30"/>
    <x v="25"/>
    <x v="156"/>
    <x v="844"/>
    <x v="0"/>
    <s v="NEGOCIOS"/>
    <x v="1"/>
  </r>
  <r>
    <x v="55"/>
    <x v="77"/>
    <x v="5"/>
    <x v="5"/>
    <x v="0"/>
    <x v="30"/>
    <x v="21"/>
    <x v="156"/>
    <x v="1194"/>
    <x v="0"/>
    <s v="NEGOCIOS"/>
    <x v="1"/>
  </r>
  <r>
    <x v="55"/>
    <x v="40"/>
    <x v="1"/>
    <x v="1"/>
    <x v="0"/>
    <x v="30"/>
    <x v="21"/>
    <x v="125"/>
    <x v="907"/>
    <x v="0"/>
    <s v="NEGOCIOS"/>
    <x v="1"/>
  </r>
  <r>
    <x v="55"/>
    <x v="155"/>
    <x v="1"/>
    <x v="1"/>
    <x v="0"/>
    <x v="30"/>
    <x v="21"/>
    <x v="145"/>
    <x v="1195"/>
    <x v="0"/>
    <s v="NEGOCIOS"/>
    <x v="1"/>
  </r>
  <r>
    <x v="55"/>
    <x v="14"/>
    <x v="1"/>
    <x v="1"/>
    <x v="0"/>
    <x v="30"/>
    <x v="25"/>
    <x v="112"/>
    <x v="1196"/>
    <x v="0"/>
    <s v="NEGOCIOS"/>
    <x v="1"/>
  </r>
  <r>
    <x v="55"/>
    <x v="41"/>
    <x v="1"/>
    <x v="1"/>
    <x v="0"/>
    <x v="30"/>
    <x v="21"/>
    <x v="113"/>
    <x v="1197"/>
    <x v="0"/>
    <s v="NEGOCIOS"/>
    <x v="1"/>
  </r>
  <r>
    <x v="55"/>
    <x v="73"/>
    <x v="1"/>
    <x v="1"/>
    <x v="0"/>
    <x v="30"/>
    <x v="21"/>
    <x v="39"/>
    <x v="899"/>
    <x v="0"/>
    <s v="NEGOCIOS"/>
    <x v="1"/>
  </r>
  <r>
    <x v="55"/>
    <x v="1"/>
    <x v="1"/>
    <x v="1"/>
    <x v="0"/>
    <x v="30"/>
    <x v="1"/>
    <x v="1"/>
    <x v="1"/>
    <x v="295"/>
    <s v="NEGOCIOS"/>
    <x v="1"/>
  </r>
  <r>
    <x v="55"/>
    <x v="85"/>
    <x v="2"/>
    <x v="2"/>
    <x v="0"/>
    <x v="17"/>
    <x v="21"/>
    <x v="161"/>
    <x v="110"/>
    <x v="0"/>
    <s v="NEGOCIOS"/>
    <x v="1"/>
  </r>
  <r>
    <x v="55"/>
    <x v="24"/>
    <x v="2"/>
    <x v="2"/>
    <x v="0"/>
    <x v="17"/>
    <x v="21"/>
    <x v="202"/>
    <x v="1198"/>
    <x v="0"/>
    <s v="NEGOCIOS"/>
    <x v="1"/>
  </r>
  <r>
    <x v="55"/>
    <x v="144"/>
    <x v="2"/>
    <x v="2"/>
    <x v="0"/>
    <x v="17"/>
    <x v="26"/>
    <x v="162"/>
    <x v="1199"/>
    <x v="0"/>
    <s v="NEGOCIOS"/>
    <x v="1"/>
  </r>
  <r>
    <x v="55"/>
    <x v="71"/>
    <x v="6"/>
    <x v="6"/>
    <x v="0"/>
    <x v="17"/>
    <x v="21"/>
    <x v="37"/>
    <x v="1200"/>
    <x v="0"/>
    <s v="NEGOCIOS"/>
    <x v="1"/>
  </r>
  <r>
    <x v="55"/>
    <x v="71"/>
    <x v="6"/>
    <x v="6"/>
    <x v="0"/>
    <x v="17"/>
    <x v="26"/>
    <x v="37"/>
    <x v="1201"/>
    <x v="0"/>
    <s v="NEGOCIOS"/>
    <x v="1"/>
  </r>
  <r>
    <x v="55"/>
    <x v="137"/>
    <x v="6"/>
    <x v="6"/>
    <x v="0"/>
    <x v="17"/>
    <x v="21"/>
    <x v="102"/>
    <x v="1202"/>
    <x v="0"/>
    <s v="NEGOCIOS"/>
    <x v="1"/>
  </r>
  <r>
    <x v="55"/>
    <x v="23"/>
    <x v="3"/>
    <x v="3"/>
    <x v="0"/>
    <x v="17"/>
    <x v="26"/>
    <x v="221"/>
    <x v="911"/>
    <x v="0"/>
    <s v="NEGOCIOS"/>
    <x v="1"/>
  </r>
  <r>
    <x v="55"/>
    <x v="60"/>
    <x v="3"/>
    <x v="3"/>
    <x v="0"/>
    <x v="17"/>
    <x v="21"/>
    <x v="57"/>
    <x v="1202"/>
    <x v="0"/>
    <s v="NEGOCIOS"/>
    <x v="1"/>
  </r>
  <r>
    <x v="55"/>
    <x v="148"/>
    <x v="3"/>
    <x v="3"/>
    <x v="0"/>
    <x v="17"/>
    <x v="25"/>
    <x v="174"/>
    <x v="907"/>
    <x v="0"/>
    <s v="NEGOCIOS"/>
    <x v="1"/>
  </r>
  <r>
    <x v="55"/>
    <x v="148"/>
    <x v="3"/>
    <x v="3"/>
    <x v="0"/>
    <x v="17"/>
    <x v="21"/>
    <x v="174"/>
    <x v="670"/>
    <x v="0"/>
    <s v="NEGOCIOS"/>
    <x v="1"/>
  </r>
  <r>
    <x v="55"/>
    <x v="79"/>
    <x v="3"/>
    <x v="3"/>
    <x v="0"/>
    <x v="17"/>
    <x v="21"/>
    <x v="142"/>
    <x v="1203"/>
    <x v="0"/>
    <s v="NEGOCIOS"/>
    <x v="1"/>
  </r>
  <r>
    <x v="55"/>
    <x v="68"/>
    <x v="4"/>
    <x v="4"/>
    <x v="0"/>
    <x v="17"/>
    <x v="26"/>
    <x v="222"/>
    <x v="1204"/>
    <x v="0"/>
    <s v="NEGOCIOS"/>
    <x v="1"/>
  </r>
  <r>
    <x v="55"/>
    <x v="81"/>
    <x v="4"/>
    <x v="4"/>
    <x v="0"/>
    <x v="17"/>
    <x v="21"/>
    <x v="175"/>
    <x v="911"/>
    <x v="0"/>
    <s v="NEGOCIOS"/>
    <x v="1"/>
  </r>
  <r>
    <x v="55"/>
    <x v="162"/>
    <x v="4"/>
    <x v="4"/>
    <x v="0"/>
    <x v="17"/>
    <x v="21"/>
    <x v="192"/>
    <x v="1205"/>
    <x v="0"/>
    <s v="NEGOCIOS"/>
    <x v="1"/>
  </r>
  <r>
    <x v="55"/>
    <x v="50"/>
    <x v="4"/>
    <x v="4"/>
    <x v="0"/>
    <x v="17"/>
    <x v="26"/>
    <x v="77"/>
    <x v="1206"/>
    <x v="0"/>
    <s v="NEGOCIOS"/>
    <x v="1"/>
  </r>
  <r>
    <x v="55"/>
    <x v="89"/>
    <x v="4"/>
    <x v="4"/>
    <x v="0"/>
    <x v="17"/>
    <x v="26"/>
    <x v="154"/>
    <x v="899"/>
    <x v="0"/>
    <s v="NEGOCIOS"/>
    <x v="1"/>
  </r>
  <r>
    <x v="55"/>
    <x v="90"/>
    <x v="0"/>
    <x v="0"/>
    <x v="0"/>
    <x v="17"/>
    <x v="21"/>
    <x v="79"/>
    <x v="1207"/>
    <x v="0"/>
    <s v="NEGOCIOS"/>
    <x v="1"/>
  </r>
  <r>
    <x v="55"/>
    <x v="159"/>
    <x v="0"/>
    <x v="0"/>
    <x v="0"/>
    <x v="17"/>
    <x v="21"/>
    <x v="177"/>
    <x v="881"/>
    <x v="0"/>
    <s v="NEGOCIOS"/>
    <x v="1"/>
  </r>
  <r>
    <x v="55"/>
    <x v="159"/>
    <x v="0"/>
    <x v="0"/>
    <x v="0"/>
    <x v="17"/>
    <x v="26"/>
    <x v="177"/>
    <x v="1208"/>
    <x v="0"/>
    <s v="NEGOCIOS"/>
    <x v="1"/>
  </r>
  <r>
    <x v="55"/>
    <x v="0"/>
    <x v="0"/>
    <x v="0"/>
    <x v="0"/>
    <x v="17"/>
    <x v="26"/>
    <x v="197"/>
    <x v="862"/>
    <x v="0"/>
    <s v="NEGOCIOS"/>
    <x v="1"/>
  </r>
  <r>
    <x v="55"/>
    <x v="53"/>
    <x v="0"/>
    <x v="0"/>
    <x v="0"/>
    <x v="17"/>
    <x v="21"/>
    <x v="144"/>
    <x v="1209"/>
    <x v="0"/>
    <s v="NEGOCIOS"/>
    <x v="1"/>
  </r>
  <r>
    <x v="55"/>
    <x v="46"/>
    <x v="0"/>
    <x v="0"/>
    <x v="0"/>
    <x v="17"/>
    <x v="26"/>
    <x v="155"/>
    <x v="1210"/>
    <x v="0"/>
    <s v="NEGOCIOS"/>
    <x v="1"/>
  </r>
  <r>
    <x v="55"/>
    <x v="32"/>
    <x v="5"/>
    <x v="5"/>
    <x v="0"/>
    <x v="17"/>
    <x v="21"/>
    <x v="81"/>
    <x v="862"/>
    <x v="0"/>
    <s v="NEGOCIOS"/>
    <x v="1"/>
  </r>
  <r>
    <x v="55"/>
    <x v="13"/>
    <x v="5"/>
    <x v="5"/>
    <x v="0"/>
    <x v="17"/>
    <x v="26"/>
    <x v="120"/>
    <x v="1211"/>
    <x v="0"/>
    <s v="NEGOCIOS"/>
    <x v="1"/>
  </r>
  <r>
    <x v="55"/>
    <x v="72"/>
    <x v="5"/>
    <x v="5"/>
    <x v="0"/>
    <x v="17"/>
    <x v="21"/>
    <x v="38"/>
    <x v="53"/>
    <x v="0"/>
    <s v="NEGOCIOS"/>
    <x v="1"/>
  </r>
  <r>
    <x v="55"/>
    <x v="141"/>
    <x v="5"/>
    <x v="5"/>
    <x v="0"/>
    <x v="17"/>
    <x v="21"/>
    <x v="185"/>
    <x v="797"/>
    <x v="0"/>
    <s v="NEGOCIOS"/>
    <x v="1"/>
  </r>
  <r>
    <x v="55"/>
    <x v="141"/>
    <x v="5"/>
    <x v="5"/>
    <x v="0"/>
    <x v="17"/>
    <x v="26"/>
    <x v="185"/>
    <x v="1212"/>
    <x v="0"/>
    <s v="NEGOCIOS"/>
    <x v="1"/>
  </r>
  <r>
    <x v="55"/>
    <x v="40"/>
    <x v="1"/>
    <x v="1"/>
    <x v="0"/>
    <x v="17"/>
    <x v="21"/>
    <x v="125"/>
    <x v="835"/>
    <x v="0"/>
    <s v="NEGOCIOS"/>
    <x v="1"/>
  </r>
  <r>
    <x v="55"/>
    <x v="161"/>
    <x v="1"/>
    <x v="1"/>
    <x v="0"/>
    <x v="17"/>
    <x v="21"/>
    <x v="186"/>
    <x v="1213"/>
    <x v="0"/>
    <s v="NEGOCIOS"/>
    <x v="1"/>
  </r>
  <r>
    <x v="55"/>
    <x v="95"/>
    <x v="1"/>
    <x v="1"/>
    <x v="0"/>
    <x v="17"/>
    <x v="25"/>
    <x v="97"/>
    <x v="1214"/>
    <x v="0"/>
    <s v="NEGOCIOS"/>
    <x v="1"/>
  </r>
  <r>
    <x v="55"/>
    <x v="155"/>
    <x v="1"/>
    <x v="1"/>
    <x v="0"/>
    <x v="17"/>
    <x v="26"/>
    <x v="145"/>
    <x v="852"/>
    <x v="0"/>
    <s v="NEGOCIOS"/>
    <x v="1"/>
  </r>
  <r>
    <x v="55"/>
    <x v="55"/>
    <x v="1"/>
    <x v="1"/>
    <x v="0"/>
    <x v="17"/>
    <x v="26"/>
    <x v="188"/>
    <x v="1212"/>
    <x v="0"/>
    <s v="NEGOCIOS"/>
    <x v="1"/>
  </r>
  <r>
    <x v="55"/>
    <x v="1"/>
    <x v="1"/>
    <x v="1"/>
    <x v="0"/>
    <x v="17"/>
    <x v="1"/>
    <x v="1"/>
    <x v="1"/>
    <x v="296"/>
    <s v="NEGOCIOS"/>
    <x v="1"/>
  </r>
  <r>
    <x v="55"/>
    <x v="158"/>
    <x v="2"/>
    <x v="2"/>
    <x v="0"/>
    <x v="31"/>
    <x v="21"/>
    <x v="168"/>
    <x v="1215"/>
    <x v="0"/>
    <s v="NEGOCIOS"/>
    <x v="1"/>
  </r>
  <r>
    <x v="55"/>
    <x v="107"/>
    <x v="2"/>
    <x v="2"/>
    <x v="0"/>
    <x v="31"/>
    <x v="21"/>
    <x v="158"/>
    <x v="1216"/>
    <x v="0"/>
    <s v="NEGOCIOS"/>
    <x v="1"/>
  </r>
  <r>
    <x v="55"/>
    <x v="84"/>
    <x v="2"/>
    <x v="2"/>
    <x v="0"/>
    <x v="31"/>
    <x v="21"/>
    <x v="203"/>
    <x v="1217"/>
    <x v="0"/>
    <s v="NEGOCIOS"/>
    <x v="1"/>
  </r>
  <r>
    <x v="55"/>
    <x v="129"/>
    <x v="2"/>
    <x v="2"/>
    <x v="0"/>
    <x v="31"/>
    <x v="21"/>
    <x v="204"/>
    <x v="1218"/>
    <x v="0"/>
    <s v="NEGOCIOS"/>
    <x v="1"/>
  </r>
  <r>
    <x v="55"/>
    <x v="111"/>
    <x v="2"/>
    <x v="2"/>
    <x v="0"/>
    <x v="31"/>
    <x v="21"/>
    <x v="75"/>
    <x v="1219"/>
    <x v="0"/>
    <s v="NEGOCIOS"/>
    <x v="1"/>
  </r>
  <r>
    <x v="55"/>
    <x v="146"/>
    <x v="6"/>
    <x v="6"/>
    <x v="0"/>
    <x v="31"/>
    <x v="21"/>
    <x v="172"/>
    <x v="1220"/>
    <x v="0"/>
    <s v="NEGOCIOS"/>
    <x v="1"/>
  </r>
  <r>
    <x v="55"/>
    <x v="87"/>
    <x v="6"/>
    <x v="6"/>
    <x v="0"/>
    <x v="31"/>
    <x v="21"/>
    <x v="189"/>
    <x v="1221"/>
    <x v="0"/>
    <s v="NEGOCIOS"/>
    <x v="1"/>
  </r>
  <r>
    <x v="55"/>
    <x v="163"/>
    <x v="6"/>
    <x v="6"/>
    <x v="0"/>
    <x v="31"/>
    <x v="21"/>
    <x v="195"/>
    <x v="1222"/>
    <x v="0"/>
    <s v="NEGOCIOS"/>
    <x v="1"/>
  </r>
  <r>
    <x v="55"/>
    <x v="15"/>
    <x v="6"/>
    <x v="6"/>
    <x v="0"/>
    <x v="31"/>
    <x v="21"/>
    <x v="216"/>
    <x v="1223"/>
    <x v="0"/>
    <s v="NEGOCIOS"/>
    <x v="1"/>
  </r>
  <r>
    <x v="55"/>
    <x v="60"/>
    <x v="3"/>
    <x v="3"/>
    <x v="0"/>
    <x v="31"/>
    <x v="21"/>
    <x v="57"/>
    <x v="1224"/>
    <x v="0"/>
    <s v="NEGOCIOS"/>
    <x v="1"/>
  </r>
  <r>
    <x v="55"/>
    <x v="10"/>
    <x v="3"/>
    <x v="3"/>
    <x v="0"/>
    <x v="31"/>
    <x v="21"/>
    <x v="123"/>
    <x v="1225"/>
    <x v="0"/>
    <s v="NEGOCIOS"/>
    <x v="1"/>
  </r>
  <r>
    <x v="55"/>
    <x v="27"/>
    <x v="3"/>
    <x v="3"/>
    <x v="0"/>
    <x v="31"/>
    <x v="21"/>
    <x v="43"/>
    <x v="1226"/>
    <x v="0"/>
    <s v="NEGOCIOS"/>
    <x v="1"/>
  </r>
  <r>
    <x v="55"/>
    <x v="43"/>
    <x v="3"/>
    <x v="3"/>
    <x v="0"/>
    <x v="31"/>
    <x v="21"/>
    <x v="71"/>
    <x v="1183"/>
    <x v="0"/>
    <s v="NEGOCIOS"/>
    <x v="1"/>
  </r>
  <r>
    <x v="55"/>
    <x v="131"/>
    <x v="3"/>
    <x v="3"/>
    <x v="0"/>
    <x v="31"/>
    <x v="21"/>
    <x v="163"/>
    <x v="1227"/>
    <x v="0"/>
    <s v="NEGOCIOS"/>
    <x v="1"/>
  </r>
  <r>
    <x v="55"/>
    <x v="68"/>
    <x v="4"/>
    <x v="4"/>
    <x v="0"/>
    <x v="31"/>
    <x v="21"/>
    <x v="222"/>
    <x v="1228"/>
    <x v="0"/>
    <s v="NEGOCIOS"/>
    <x v="1"/>
  </r>
  <r>
    <x v="55"/>
    <x v="81"/>
    <x v="4"/>
    <x v="4"/>
    <x v="0"/>
    <x v="31"/>
    <x v="21"/>
    <x v="175"/>
    <x v="1229"/>
    <x v="0"/>
    <s v="NEGOCIOS"/>
    <x v="1"/>
  </r>
  <r>
    <x v="55"/>
    <x v="30"/>
    <x v="4"/>
    <x v="4"/>
    <x v="0"/>
    <x v="31"/>
    <x v="21"/>
    <x v="159"/>
    <x v="1230"/>
    <x v="0"/>
    <s v="NEGOCIOS"/>
    <x v="1"/>
  </r>
  <r>
    <x v="55"/>
    <x v="52"/>
    <x v="0"/>
    <x v="0"/>
    <x v="0"/>
    <x v="31"/>
    <x v="21"/>
    <x v="107"/>
    <x v="1231"/>
    <x v="0"/>
    <s v="NEGOCIOS"/>
    <x v="1"/>
  </r>
  <r>
    <x v="55"/>
    <x v="119"/>
    <x v="0"/>
    <x v="0"/>
    <x v="0"/>
    <x v="31"/>
    <x v="21"/>
    <x v="96"/>
    <x v="1232"/>
    <x v="0"/>
    <s v="NEGOCIOS"/>
    <x v="1"/>
  </r>
  <r>
    <x v="55"/>
    <x v="136"/>
    <x v="0"/>
    <x v="0"/>
    <x v="0"/>
    <x v="31"/>
    <x v="21"/>
    <x v="100"/>
    <x v="1194"/>
    <x v="0"/>
    <s v="NEGOCIOS"/>
    <x v="1"/>
  </r>
  <r>
    <x v="55"/>
    <x v="166"/>
    <x v="0"/>
    <x v="0"/>
    <x v="0"/>
    <x v="31"/>
    <x v="21"/>
    <x v="217"/>
    <x v="951"/>
    <x v="0"/>
    <s v="NEGOCIOS"/>
    <x v="1"/>
  </r>
  <r>
    <x v="55"/>
    <x v="72"/>
    <x v="5"/>
    <x v="5"/>
    <x v="0"/>
    <x v="31"/>
    <x v="21"/>
    <x v="38"/>
    <x v="1233"/>
    <x v="0"/>
    <s v="NEGOCIOS"/>
    <x v="1"/>
  </r>
  <r>
    <x v="55"/>
    <x v="125"/>
    <x v="5"/>
    <x v="5"/>
    <x v="0"/>
    <x v="31"/>
    <x v="21"/>
    <x v="82"/>
    <x v="1234"/>
    <x v="0"/>
    <s v="NEGOCIOS"/>
    <x v="1"/>
  </r>
  <r>
    <x v="55"/>
    <x v="77"/>
    <x v="5"/>
    <x v="5"/>
    <x v="0"/>
    <x v="31"/>
    <x v="21"/>
    <x v="156"/>
    <x v="1235"/>
    <x v="0"/>
    <s v="NEGOCIOS"/>
    <x v="1"/>
  </r>
  <r>
    <x v="55"/>
    <x v="139"/>
    <x v="5"/>
    <x v="5"/>
    <x v="0"/>
    <x v="31"/>
    <x v="21"/>
    <x v="110"/>
    <x v="835"/>
    <x v="0"/>
    <s v="NEGOCIOS"/>
    <x v="1"/>
  </r>
  <r>
    <x v="55"/>
    <x v="151"/>
    <x v="1"/>
    <x v="1"/>
    <x v="0"/>
    <x v="31"/>
    <x v="21"/>
    <x v="166"/>
    <x v="896"/>
    <x v="0"/>
    <s v="NEGOCIOS"/>
    <x v="1"/>
  </r>
  <r>
    <x v="55"/>
    <x v="42"/>
    <x v="1"/>
    <x v="1"/>
    <x v="0"/>
    <x v="31"/>
    <x v="21"/>
    <x v="167"/>
    <x v="905"/>
    <x v="0"/>
    <s v="NEGOCIOS"/>
    <x v="1"/>
  </r>
  <r>
    <x v="55"/>
    <x v="152"/>
    <x v="1"/>
    <x v="1"/>
    <x v="0"/>
    <x v="31"/>
    <x v="21"/>
    <x v="194"/>
    <x v="1236"/>
    <x v="0"/>
    <s v="NEGOCIOS"/>
    <x v="1"/>
  </r>
  <r>
    <x v="55"/>
    <x v="98"/>
    <x v="1"/>
    <x v="1"/>
    <x v="0"/>
    <x v="31"/>
    <x v="21"/>
    <x v="198"/>
    <x v="1237"/>
    <x v="0"/>
    <s v="NEGOCIOS"/>
    <x v="1"/>
  </r>
  <r>
    <x v="55"/>
    <x v="128"/>
    <x v="1"/>
    <x v="1"/>
    <x v="0"/>
    <x v="31"/>
    <x v="21"/>
    <x v="164"/>
    <x v="1238"/>
    <x v="0"/>
    <s v="NEGOCIOS"/>
    <x v="1"/>
  </r>
  <r>
    <x v="55"/>
    <x v="1"/>
    <x v="1"/>
    <x v="1"/>
    <x v="0"/>
    <x v="31"/>
    <x v="1"/>
    <x v="1"/>
    <x v="1"/>
    <x v="297"/>
    <s v="NEGOCIOS"/>
    <x v="1"/>
  </r>
  <r>
    <x v="55"/>
    <x v="70"/>
    <x v="2"/>
    <x v="2"/>
    <x v="0"/>
    <x v="32"/>
    <x v="21"/>
    <x v="36"/>
    <x v="1239"/>
    <x v="0"/>
    <s v="NEGOCIOS"/>
    <x v="1"/>
  </r>
  <r>
    <x v="55"/>
    <x v="16"/>
    <x v="2"/>
    <x v="2"/>
    <x v="0"/>
    <x v="32"/>
    <x v="21"/>
    <x v="93"/>
    <x v="1240"/>
    <x v="0"/>
    <s v="NEGOCIOS"/>
    <x v="1"/>
  </r>
  <r>
    <x v="55"/>
    <x v="106"/>
    <x v="2"/>
    <x v="2"/>
    <x v="0"/>
    <x v="32"/>
    <x v="21"/>
    <x v="223"/>
    <x v="1241"/>
    <x v="0"/>
    <s v="NEGOCIOS"/>
    <x v="1"/>
  </r>
  <r>
    <x v="55"/>
    <x v="47"/>
    <x v="2"/>
    <x v="2"/>
    <x v="0"/>
    <x v="32"/>
    <x v="21"/>
    <x v="68"/>
    <x v="1242"/>
    <x v="0"/>
    <s v="NEGOCIOS"/>
    <x v="1"/>
  </r>
  <r>
    <x v="55"/>
    <x v="85"/>
    <x v="2"/>
    <x v="2"/>
    <x v="0"/>
    <x v="32"/>
    <x v="21"/>
    <x v="161"/>
    <x v="1243"/>
    <x v="0"/>
    <s v="NEGOCIOS"/>
    <x v="1"/>
  </r>
  <r>
    <x v="55"/>
    <x v="84"/>
    <x v="2"/>
    <x v="2"/>
    <x v="0"/>
    <x v="32"/>
    <x v="21"/>
    <x v="203"/>
    <x v="1244"/>
    <x v="0"/>
    <s v="NEGOCIOS"/>
    <x v="1"/>
  </r>
  <r>
    <x v="55"/>
    <x v="35"/>
    <x v="2"/>
    <x v="2"/>
    <x v="0"/>
    <x v="32"/>
    <x v="21"/>
    <x v="170"/>
    <x v="1245"/>
    <x v="0"/>
    <s v="NEGOCIOS"/>
    <x v="1"/>
  </r>
  <r>
    <x v="55"/>
    <x v="110"/>
    <x v="2"/>
    <x v="2"/>
    <x v="0"/>
    <x v="32"/>
    <x v="21"/>
    <x v="171"/>
    <x v="1246"/>
    <x v="0"/>
    <s v="NEGOCIOS"/>
    <x v="1"/>
  </r>
  <r>
    <x v="55"/>
    <x v="111"/>
    <x v="2"/>
    <x v="2"/>
    <x v="0"/>
    <x v="32"/>
    <x v="21"/>
    <x v="75"/>
    <x v="1247"/>
    <x v="0"/>
    <s v="NEGOCIOS"/>
    <x v="1"/>
  </r>
  <r>
    <x v="55"/>
    <x v="86"/>
    <x v="6"/>
    <x v="6"/>
    <x v="0"/>
    <x v="32"/>
    <x v="21"/>
    <x v="224"/>
    <x v="1248"/>
    <x v="0"/>
    <s v="NEGOCIOS"/>
    <x v="1"/>
  </r>
  <r>
    <x v="55"/>
    <x v="36"/>
    <x v="6"/>
    <x v="6"/>
    <x v="0"/>
    <x v="32"/>
    <x v="21"/>
    <x v="94"/>
    <x v="1249"/>
    <x v="0"/>
    <s v="NEGOCIOS"/>
    <x v="1"/>
  </r>
  <r>
    <x v="55"/>
    <x v="147"/>
    <x v="6"/>
    <x v="6"/>
    <x v="0"/>
    <x v="32"/>
    <x v="21"/>
    <x v="132"/>
    <x v="1250"/>
    <x v="0"/>
    <s v="NEGOCIOS"/>
    <x v="1"/>
  </r>
  <r>
    <x v="55"/>
    <x v="137"/>
    <x v="6"/>
    <x v="6"/>
    <x v="0"/>
    <x v="32"/>
    <x v="21"/>
    <x v="102"/>
    <x v="1220"/>
    <x v="0"/>
    <s v="NEGOCIOS"/>
    <x v="1"/>
  </r>
  <r>
    <x v="55"/>
    <x v="74"/>
    <x v="3"/>
    <x v="3"/>
    <x v="0"/>
    <x v="32"/>
    <x v="21"/>
    <x v="151"/>
    <x v="1251"/>
    <x v="0"/>
    <s v="NEGOCIOS"/>
    <x v="1"/>
  </r>
  <r>
    <x v="55"/>
    <x v="26"/>
    <x v="3"/>
    <x v="3"/>
    <x v="0"/>
    <x v="32"/>
    <x v="21"/>
    <x v="115"/>
    <x v="1252"/>
    <x v="0"/>
    <s v="NEGOCIOS"/>
    <x v="1"/>
  </r>
  <r>
    <x v="55"/>
    <x v="60"/>
    <x v="3"/>
    <x v="3"/>
    <x v="0"/>
    <x v="32"/>
    <x v="21"/>
    <x v="57"/>
    <x v="456"/>
    <x v="0"/>
    <s v="NEGOCIOS"/>
    <x v="1"/>
  </r>
  <r>
    <x v="55"/>
    <x v="108"/>
    <x v="3"/>
    <x v="3"/>
    <x v="0"/>
    <x v="32"/>
    <x v="25"/>
    <x v="63"/>
    <x v="1253"/>
    <x v="0"/>
    <s v="NEGOCIOS"/>
    <x v="1"/>
  </r>
  <r>
    <x v="55"/>
    <x v="108"/>
    <x v="3"/>
    <x v="3"/>
    <x v="0"/>
    <x v="32"/>
    <x v="21"/>
    <x v="63"/>
    <x v="1254"/>
    <x v="0"/>
    <s v="NEGOCIOS"/>
    <x v="1"/>
  </r>
  <r>
    <x v="55"/>
    <x v="135"/>
    <x v="3"/>
    <x v="3"/>
    <x v="0"/>
    <x v="32"/>
    <x v="21"/>
    <x v="149"/>
    <x v="882"/>
    <x v="0"/>
    <s v="NEGOCIOS"/>
    <x v="1"/>
  </r>
  <r>
    <x v="55"/>
    <x v="114"/>
    <x v="3"/>
    <x v="3"/>
    <x v="0"/>
    <x v="32"/>
    <x v="21"/>
    <x v="76"/>
    <x v="1255"/>
    <x v="0"/>
    <s v="NEGOCIOS"/>
    <x v="1"/>
  </r>
  <r>
    <x v="55"/>
    <x v="56"/>
    <x v="3"/>
    <x v="3"/>
    <x v="0"/>
    <x v="32"/>
    <x v="21"/>
    <x v="153"/>
    <x v="1256"/>
    <x v="0"/>
    <s v="NEGOCIOS"/>
    <x v="1"/>
  </r>
  <r>
    <x v="55"/>
    <x v="99"/>
    <x v="3"/>
    <x v="3"/>
    <x v="0"/>
    <x v="32"/>
    <x v="21"/>
    <x v="116"/>
    <x v="1257"/>
    <x v="0"/>
    <s v="NEGOCIOS"/>
    <x v="1"/>
  </r>
  <r>
    <x v="55"/>
    <x v="68"/>
    <x v="4"/>
    <x v="4"/>
    <x v="0"/>
    <x v="32"/>
    <x v="21"/>
    <x v="222"/>
    <x v="1258"/>
    <x v="0"/>
    <s v="NEGOCIOS"/>
    <x v="1"/>
  </r>
  <r>
    <x v="55"/>
    <x v="68"/>
    <x v="4"/>
    <x v="4"/>
    <x v="0"/>
    <x v="32"/>
    <x v="26"/>
    <x v="222"/>
    <x v="1259"/>
    <x v="0"/>
    <s v="NEGOCIOS"/>
    <x v="1"/>
  </r>
  <r>
    <x v="55"/>
    <x v="81"/>
    <x v="4"/>
    <x v="4"/>
    <x v="0"/>
    <x v="32"/>
    <x v="21"/>
    <x v="175"/>
    <x v="896"/>
    <x v="0"/>
    <s v="NEGOCIOS"/>
    <x v="1"/>
  </r>
  <r>
    <x v="55"/>
    <x v="126"/>
    <x v="4"/>
    <x v="4"/>
    <x v="0"/>
    <x v="32"/>
    <x v="21"/>
    <x v="83"/>
    <x v="1260"/>
    <x v="0"/>
    <s v="NEGOCIOS"/>
    <x v="1"/>
  </r>
  <r>
    <x v="55"/>
    <x v="78"/>
    <x v="4"/>
    <x v="4"/>
    <x v="0"/>
    <x v="32"/>
    <x v="21"/>
    <x v="160"/>
    <x v="1261"/>
    <x v="0"/>
    <s v="NEGOCIOS"/>
    <x v="1"/>
  </r>
  <r>
    <x v="55"/>
    <x v="90"/>
    <x v="0"/>
    <x v="0"/>
    <x v="0"/>
    <x v="32"/>
    <x v="21"/>
    <x v="79"/>
    <x v="1262"/>
    <x v="0"/>
    <s v="NEGOCIOS"/>
    <x v="1"/>
  </r>
  <r>
    <x v="55"/>
    <x v="159"/>
    <x v="0"/>
    <x v="0"/>
    <x v="0"/>
    <x v="32"/>
    <x v="21"/>
    <x v="177"/>
    <x v="1263"/>
    <x v="0"/>
    <s v="NEGOCIOS"/>
    <x v="1"/>
  </r>
  <r>
    <x v="55"/>
    <x v="120"/>
    <x v="0"/>
    <x v="0"/>
    <x v="0"/>
    <x v="32"/>
    <x v="21"/>
    <x v="212"/>
    <x v="1264"/>
    <x v="0"/>
    <s v="NEGOCIOS"/>
    <x v="1"/>
  </r>
  <r>
    <x v="55"/>
    <x v="100"/>
    <x v="0"/>
    <x v="0"/>
    <x v="0"/>
    <x v="32"/>
    <x v="21"/>
    <x v="73"/>
    <x v="1265"/>
    <x v="0"/>
    <s v="NEGOCIOS"/>
    <x v="1"/>
  </r>
  <r>
    <x v="55"/>
    <x v="92"/>
    <x v="0"/>
    <x v="0"/>
    <x v="0"/>
    <x v="32"/>
    <x v="21"/>
    <x v="109"/>
    <x v="1266"/>
    <x v="0"/>
    <s v="NEGOCIOS"/>
    <x v="1"/>
  </r>
  <r>
    <x v="55"/>
    <x v="136"/>
    <x v="0"/>
    <x v="0"/>
    <x v="0"/>
    <x v="32"/>
    <x v="21"/>
    <x v="100"/>
    <x v="1267"/>
    <x v="0"/>
    <s v="NEGOCIOS"/>
    <x v="1"/>
  </r>
  <r>
    <x v="55"/>
    <x v="32"/>
    <x v="5"/>
    <x v="5"/>
    <x v="0"/>
    <x v="32"/>
    <x v="21"/>
    <x v="81"/>
    <x v="1268"/>
    <x v="0"/>
    <s v="NEGOCIOS"/>
    <x v="1"/>
  </r>
  <r>
    <x v="55"/>
    <x v="76"/>
    <x v="5"/>
    <x v="5"/>
    <x v="0"/>
    <x v="32"/>
    <x v="21"/>
    <x v="182"/>
    <x v="1269"/>
    <x v="0"/>
    <s v="NEGOCIOS"/>
    <x v="1"/>
  </r>
  <r>
    <x v="55"/>
    <x v="72"/>
    <x v="5"/>
    <x v="5"/>
    <x v="0"/>
    <x v="32"/>
    <x v="21"/>
    <x v="38"/>
    <x v="758"/>
    <x v="0"/>
    <s v="NEGOCIOS"/>
    <x v="1"/>
  </r>
  <r>
    <x v="55"/>
    <x v="168"/>
    <x v="5"/>
    <x v="5"/>
    <x v="0"/>
    <x v="32"/>
    <x v="21"/>
    <x v="225"/>
    <x v="1157"/>
    <x v="0"/>
    <s v="NEGOCIOS"/>
    <x v="1"/>
  </r>
  <r>
    <x v="55"/>
    <x v="153"/>
    <x v="5"/>
    <x v="5"/>
    <x v="0"/>
    <x v="32"/>
    <x v="21"/>
    <x v="157"/>
    <x v="1270"/>
    <x v="0"/>
    <s v="NEGOCIOS"/>
    <x v="1"/>
  </r>
  <r>
    <x v="55"/>
    <x v="124"/>
    <x v="5"/>
    <x v="5"/>
    <x v="0"/>
    <x v="32"/>
    <x v="21"/>
    <x v="206"/>
    <x v="1271"/>
    <x v="0"/>
    <s v="NEGOCIOS"/>
    <x v="1"/>
  </r>
  <r>
    <x v="55"/>
    <x v="95"/>
    <x v="1"/>
    <x v="1"/>
    <x v="0"/>
    <x v="32"/>
    <x v="21"/>
    <x v="97"/>
    <x v="1272"/>
    <x v="0"/>
    <s v="NEGOCIOS"/>
    <x v="1"/>
  </r>
  <r>
    <x v="55"/>
    <x v="42"/>
    <x v="1"/>
    <x v="1"/>
    <x v="0"/>
    <x v="32"/>
    <x v="21"/>
    <x v="167"/>
    <x v="865"/>
    <x v="0"/>
    <s v="NEGOCIOS"/>
    <x v="1"/>
  </r>
  <r>
    <x v="55"/>
    <x v="73"/>
    <x v="1"/>
    <x v="1"/>
    <x v="0"/>
    <x v="32"/>
    <x v="21"/>
    <x v="39"/>
    <x v="1273"/>
    <x v="0"/>
    <s v="NEGOCIOS"/>
    <x v="1"/>
  </r>
  <r>
    <x v="55"/>
    <x v="128"/>
    <x v="1"/>
    <x v="1"/>
    <x v="0"/>
    <x v="32"/>
    <x v="21"/>
    <x v="164"/>
    <x v="765"/>
    <x v="0"/>
    <s v="NEGOCIOS"/>
    <x v="1"/>
  </r>
  <r>
    <x v="55"/>
    <x v="1"/>
    <x v="1"/>
    <x v="1"/>
    <x v="0"/>
    <x v="32"/>
    <x v="1"/>
    <x v="1"/>
    <x v="1"/>
    <x v="298"/>
    <s v="NEGOCIOS"/>
    <x v="1"/>
  </r>
  <r>
    <x v="55"/>
    <x v="62"/>
    <x v="4"/>
    <x v="4"/>
    <x v="0"/>
    <x v="33"/>
    <x v="21"/>
    <x v="176"/>
    <x v="1274"/>
    <x v="0"/>
    <s v="NEGOCIOS"/>
    <x v="1"/>
  </r>
  <r>
    <x v="55"/>
    <x v="14"/>
    <x v="1"/>
    <x v="1"/>
    <x v="0"/>
    <x v="33"/>
    <x v="25"/>
    <x v="112"/>
    <x v="1275"/>
    <x v="0"/>
    <s v="NEGOCIOS"/>
    <x v="1"/>
  </r>
  <r>
    <x v="55"/>
    <x v="1"/>
    <x v="1"/>
    <x v="1"/>
    <x v="0"/>
    <x v="33"/>
    <x v="1"/>
    <x v="1"/>
    <x v="1"/>
    <x v="299"/>
    <s v="NEGOCIOS"/>
    <x v="1"/>
  </r>
  <r>
    <x v="55"/>
    <x v="134"/>
    <x v="6"/>
    <x v="6"/>
    <x v="0"/>
    <x v="34"/>
    <x v="21"/>
    <x v="226"/>
    <x v="1276"/>
    <x v="0"/>
    <s v="NEGOCIOS"/>
    <x v="1"/>
  </r>
  <r>
    <x v="55"/>
    <x v="147"/>
    <x v="6"/>
    <x v="6"/>
    <x v="0"/>
    <x v="34"/>
    <x v="21"/>
    <x v="132"/>
    <x v="1277"/>
    <x v="0"/>
    <s v="NEGOCIOS"/>
    <x v="1"/>
  </r>
  <r>
    <x v="55"/>
    <x v="104"/>
    <x v="3"/>
    <x v="3"/>
    <x v="0"/>
    <x v="34"/>
    <x v="21"/>
    <x v="196"/>
    <x v="1278"/>
    <x v="0"/>
    <s v="NEGOCIOS"/>
    <x v="1"/>
  </r>
  <r>
    <x v="55"/>
    <x v="81"/>
    <x v="4"/>
    <x v="4"/>
    <x v="0"/>
    <x v="34"/>
    <x v="21"/>
    <x v="175"/>
    <x v="1279"/>
    <x v="0"/>
    <s v="NEGOCIOS"/>
    <x v="1"/>
  </r>
  <r>
    <x v="55"/>
    <x v="159"/>
    <x v="0"/>
    <x v="0"/>
    <x v="0"/>
    <x v="34"/>
    <x v="21"/>
    <x v="177"/>
    <x v="1280"/>
    <x v="0"/>
    <s v="NEGOCIOS"/>
    <x v="1"/>
  </r>
  <r>
    <x v="55"/>
    <x v="72"/>
    <x v="5"/>
    <x v="5"/>
    <x v="0"/>
    <x v="34"/>
    <x v="21"/>
    <x v="38"/>
    <x v="1281"/>
    <x v="0"/>
    <s v="NEGOCIOS"/>
    <x v="1"/>
  </r>
  <r>
    <x v="55"/>
    <x v="42"/>
    <x v="1"/>
    <x v="1"/>
    <x v="0"/>
    <x v="34"/>
    <x v="21"/>
    <x v="167"/>
    <x v="1282"/>
    <x v="0"/>
    <s v="NEGOCIOS"/>
    <x v="1"/>
  </r>
  <r>
    <x v="55"/>
    <x v="1"/>
    <x v="1"/>
    <x v="1"/>
    <x v="0"/>
    <x v="34"/>
    <x v="1"/>
    <x v="1"/>
    <x v="1"/>
    <x v="300"/>
    <s v="NEGOCIOS"/>
    <x v="1"/>
  </r>
  <r>
    <x v="55"/>
    <x v="70"/>
    <x v="2"/>
    <x v="2"/>
    <x v="0"/>
    <x v="18"/>
    <x v="21"/>
    <x v="36"/>
    <x v="1283"/>
    <x v="0"/>
    <s v="NEGOCIOS"/>
    <x v="1"/>
  </r>
  <r>
    <x v="55"/>
    <x v="64"/>
    <x v="2"/>
    <x v="2"/>
    <x v="0"/>
    <x v="18"/>
    <x v="25"/>
    <x v="139"/>
    <x v="1284"/>
    <x v="0"/>
    <s v="NEGOCIOS"/>
    <x v="1"/>
  </r>
  <r>
    <x v="55"/>
    <x v="25"/>
    <x v="2"/>
    <x v="2"/>
    <x v="0"/>
    <x v="18"/>
    <x v="21"/>
    <x v="169"/>
    <x v="899"/>
    <x v="0"/>
    <s v="NEGOCIOS"/>
    <x v="1"/>
  </r>
  <r>
    <x v="55"/>
    <x v="35"/>
    <x v="2"/>
    <x v="2"/>
    <x v="0"/>
    <x v="18"/>
    <x v="21"/>
    <x v="170"/>
    <x v="1285"/>
    <x v="0"/>
    <s v="NEGOCIOS"/>
    <x v="1"/>
  </r>
  <r>
    <x v="55"/>
    <x v="110"/>
    <x v="2"/>
    <x v="2"/>
    <x v="0"/>
    <x v="18"/>
    <x v="25"/>
    <x v="171"/>
    <x v="907"/>
    <x v="0"/>
    <s v="NEGOCIOS"/>
    <x v="1"/>
  </r>
  <r>
    <x v="55"/>
    <x v="110"/>
    <x v="2"/>
    <x v="2"/>
    <x v="0"/>
    <x v="18"/>
    <x v="21"/>
    <x v="171"/>
    <x v="1286"/>
    <x v="0"/>
    <s v="NEGOCIOS"/>
    <x v="1"/>
  </r>
  <r>
    <x v="55"/>
    <x v="111"/>
    <x v="2"/>
    <x v="2"/>
    <x v="0"/>
    <x v="18"/>
    <x v="21"/>
    <x v="75"/>
    <x v="736"/>
    <x v="0"/>
    <s v="NEGOCIOS"/>
    <x v="1"/>
  </r>
  <r>
    <x v="55"/>
    <x v="36"/>
    <x v="6"/>
    <x v="6"/>
    <x v="0"/>
    <x v="18"/>
    <x v="25"/>
    <x v="94"/>
    <x v="1287"/>
    <x v="0"/>
    <s v="NEGOCIOS"/>
    <x v="1"/>
  </r>
  <r>
    <x v="55"/>
    <x v="164"/>
    <x v="6"/>
    <x v="6"/>
    <x v="0"/>
    <x v="18"/>
    <x v="25"/>
    <x v="200"/>
    <x v="1288"/>
    <x v="0"/>
    <s v="NEGOCIOS"/>
    <x v="1"/>
  </r>
  <r>
    <x v="55"/>
    <x v="137"/>
    <x v="6"/>
    <x v="6"/>
    <x v="0"/>
    <x v="18"/>
    <x v="21"/>
    <x v="102"/>
    <x v="736"/>
    <x v="0"/>
    <s v="NEGOCIOS"/>
    <x v="1"/>
  </r>
  <r>
    <x v="55"/>
    <x v="60"/>
    <x v="3"/>
    <x v="3"/>
    <x v="0"/>
    <x v="18"/>
    <x v="21"/>
    <x v="57"/>
    <x v="782"/>
    <x v="0"/>
    <s v="NEGOCIOS"/>
    <x v="1"/>
  </r>
  <r>
    <x v="55"/>
    <x v="79"/>
    <x v="3"/>
    <x v="3"/>
    <x v="0"/>
    <x v="18"/>
    <x v="21"/>
    <x v="142"/>
    <x v="1289"/>
    <x v="0"/>
    <s v="NEGOCIOS"/>
    <x v="1"/>
  </r>
  <r>
    <x v="55"/>
    <x v="89"/>
    <x v="4"/>
    <x v="4"/>
    <x v="0"/>
    <x v="18"/>
    <x v="21"/>
    <x v="154"/>
    <x v="736"/>
    <x v="0"/>
    <s v="NEGOCIOS"/>
    <x v="1"/>
  </r>
  <r>
    <x v="55"/>
    <x v="51"/>
    <x v="4"/>
    <x v="4"/>
    <x v="0"/>
    <x v="18"/>
    <x v="21"/>
    <x v="34"/>
    <x v="815"/>
    <x v="0"/>
    <s v="NEGOCIOS"/>
    <x v="1"/>
  </r>
  <r>
    <x v="55"/>
    <x v="90"/>
    <x v="0"/>
    <x v="0"/>
    <x v="0"/>
    <x v="18"/>
    <x v="21"/>
    <x v="79"/>
    <x v="1290"/>
    <x v="0"/>
    <s v="NEGOCIOS"/>
    <x v="1"/>
  </r>
  <r>
    <x v="55"/>
    <x v="168"/>
    <x v="5"/>
    <x v="5"/>
    <x v="0"/>
    <x v="18"/>
    <x v="21"/>
    <x v="225"/>
    <x v="736"/>
    <x v="0"/>
    <s v="NEGOCIOS"/>
    <x v="1"/>
  </r>
  <r>
    <x v="55"/>
    <x v="139"/>
    <x v="5"/>
    <x v="5"/>
    <x v="0"/>
    <x v="18"/>
    <x v="21"/>
    <x v="110"/>
    <x v="735"/>
    <x v="0"/>
    <s v="NEGOCIOS"/>
    <x v="1"/>
  </r>
  <r>
    <x v="55"/>
    <x v="161"/>
    <x v="1"/>
    <x v="1"/>
    <x v="0"/>
    <x v="18"/>
    <x v="21"/>
    <x v="186"/>
    <x v="736"/>
    <x v="0"/>
    <s v="NEGOCIOS"/>
    <x v="1"/>
  </r>
  <r>
    <x v="55"/>
    <x v="95"/>
    <x v="1"/>
    <x v="1"/>
    <x v="0"/>
    <x v="18"/>
    <x v="21"/>
    <x v="97"/>
    <x v="736"/>
    <x v="0"/>
    <s v="NEGOCIOS"/>
    <x v="1"/>
  </r>
  <r>
    <x v="55"/>
    <x v="155"/>
    <x v="1"/>
    <x v="1"/>
    <x v="0"/>
    <x v="18"/>
    <x v="21"/>
    <x v="145"/>
    <x v="1291"/>
    <x v="0"/>
    <s v="NEGOCIOS"/>
    <x v="1"/>
  </r>
  <r>
    <x v="55"/>
    <x v="1"/>
    <x v="1"/>
    <x v="1"/>
    <x v="0"/>
    <x v="18"/>
    <x v="1"/>
    <x v="1"/>
    <x v="1"/>
    <x v="301"/>
    <s v="NEGOCIOS"/>
    <x v="1"/>
  </r>
  <r>
    <x v="56"/>
    <x v="117"/>
    <x v="0"/>
    <x v="0"/>
    <x v="0"/>
    <x v="2"/>
    <x v="20"/>
    <x v="227"/>
    <x v="750"/>
    <x v="0"/>
    <s v="BOULEVARD EL DORADO"/>
    <x v="1"/>
  </r>
  <r>
    <x v="56"/>
    <x v="42"/>
    <x v="1"/>
    <x v="1"/>
    <x v="0"/>
    <x v="2"/>
    <x v="20"/>
    <x v="227"/>
    <x v="747"/>
    <x v="0"/>
    <s v="BOULEVARD EL DORADO"/>
    <x v="1"/>
  </r>
  <r>
    <x v="56"/>
    <x v="1"/>
    <x v="1"/>
    <x v="1"/>
    <x v="0"/>
    <x v="2"/>
    <x v="1"/>
    <x v="1"/>
    <x v="1"/>
    <x v="302"/>
    <s v="BOULEVARD EL DORADO"/>
    <x v="1"/>
  </r>
  <r>
    <x v="56"/>
    <x v="1"/>
    <x v="1"/>
    <x v="1"/>
    <x v="0"/>
    <x v="0"/>
    <x v="1"/>
    <x v="1"/>
    <x v="1"/>
    <x v="303"/>
    <s v="BOULEVARD EL DORADO"/>
    <x v="1"/>
  </r>
  <r>
    <x v="57"/>
    <x v="88"/>
    <x v="6"/>
    <x v="6"/>
    <x v="0"/>
    <x v="2"/>
    <x v="20"/>
    <x v="228"/>
    <x v="1292"/>
    <x v="0"/>
    <s v="SAN SEBASTIAN"/>
    <x v="1"/>
  </r>
  <r>
    <x v="57"/>
    <x v="38"/>
    <x v="4"/>
    <x v="4"/>
    <x v="0"/>
    <x v="2"/>
    <x v="20"/>
    <x v="228"/>
    <x v="742"/>
    <x v="0"/>
    <s v="SAN SEBASTIAN"/>
    <x v="1"/>
  </r>
  <r>
    <x v="57"/>
    <x v="31"/>
    <x v="4"/>
    <x v="4"/>
    <x v="0"/>
    <x v="2"/>
    <x v="20"/>
    <x v="228"/>
    <x v="742"/>
    <x v="0"/>
    <s v="SAN SEBASTIAN"/>
    <x v="1"/>
  </r>
  <r>
    <x v="57"/>
    <x v="159"/>
    <x v="0"/>
    <x v="0"/>
    <x v="0"/>
    <x v="2"/>
    <x v="20"/>
    <x v="228"/>
    <x v="737"/>
    <x v="0"/>
    <s v="SAN SEBASTIAN"/>
    <x v="1"/>
  </r>
  <r>
    <x v="57"/>
    <x v="91"/>
    <x v="0"/>
    <x v="0"/>
    <x v="0"/>
    <x v="2"/>
    <x v="20"/>
    <x v="228"/>
    <x v="747"/>
    <x v="0"/>
    <s v="SAN SEBASTIAN"/>
    <x v="1"/>
  </r>
  <r>
    <x v="57"/>
    <x v="121"/>
    <x v="0"/>
    <x v="0"/>
    <x v="0"/>
    <x v="2"/>
    <x v="20"/>
    <x v="228"/>
    <x v="744"/>
    <x v="0"/>
    <s v="SAN SEBASTIAN"/>
    <x v="1"/>
  </r>
  <r>
    <x v="57"/>
    <x v="46"/>
    <x v="0"/>
    <x v="0"/>
    <x v="0"/>
    <x v="2"/>
    <x v="20"/>
    <x v="228"/>
    <x v="744"/>
    <x v="0"/>
    <s v="SAN SEBASTIAN"/>
    <x v="1"/>
  </r>
  <r>
    <x v="57"/>
    <x v="41"/>
    <x v="1"/>
    <x v="1"/>
    <x v="0"/>
    <x v="2"/>
    <x v="20"/>
    <x v="228"/>
    <x v="1293"/>
    <x v="0"/>
    <s v="SAN SEBASTIAN"/>
    <x v="1"/>
  </r>
  <r>
    <x v="57"/>
    <x v="73"/>
    <x v="1"/>
    <x v="1"/>
    <x v="0"/>
    <x v="2"/>
    <x v="20"/>
    <x v="228"/>
    <x v="744"/>
    <x v="0"/>
    <s v="SAN SEBASTIAN"/>
    <x v="1"/>
  </r>
  <r>
    <x v="57"/>
    <x v="1"/>
    <x v="1"/>
    <x v="1"/>
    <x v="0"/>
    <x v="2"/>
    <x v="1"/>
    <x v="1"/>
    <x v="1"/>
    <x v="304"/>
    <s v="SAN SEBASTIAN"/>
    <x v="1"/>
  </r>
  <r>
    <x v="58"/>
    <x v="70"/>
    <x v="2"/>
    <x v="2"/>
    <x v="0"/>
    <x v="2"/>
    <x v="26"/>
    <x v="36"/>
    <x v="865"/>
    <x v="0"/>
    <s v="SANTIAGO INTERAMERICANA"/>
    <x v="1"/>
  </r>
  <r>
    <x v="58"/>
    <x v="106"/>
    <x v="2"/>
    <x v="2"/>
    <x v="0"/>
    <x v="2"/>
    <x v="21"/>
    <x v="223"/>
    <x v="782"/>
    <x v="0"/>
    <s v="SANTIAGO INTERAMERICANA"/>
    <x v="1"/>
  </r>
  <r>
    <x v="58"/>
    <x v="164"/>
    <x v="6"/>
    <x v="6"/>
    <x v="0"/>
    <x v="2"/>
    <x v="21"/>
    <x v="200"/>
    <x v="761"/>
    <x v="0"/>
    <s v="SANTIAGO INTERAMERICANA"/>
    <x v="1"/>
  </r>
  <r>
    <x v="58"/>
    <x v="78"/>
    <x v="4"/>
    <x v="4"/>
    <x v="0"/>
    <x v="2"/>
    <x v="21"/>
    <x v="160"/>
    <x v="782"/>
    <x v="0"/>
    <s v="SANTIAGO INTERAMERICANA"/>
    <x v="1"/>
  </r>
  <r>
    <x v="58"/>
    <x v="160"/>
    <x v="0"/>
    <x v="0"/>
    <x v="0"/>
    <x v="2"/>
    <x v="26"/>
    <x v="179"/>
    <x v="1294"/>
    <x v="0"/>
    <s v="SANTIAGO INTERAMERICANA"/>
    <x v="1"/>
  </r>
  <r>
    <x v="58"/>
    <x v="58"/>
    <x v="1"/>
    <x v="1"/>
    <x v="0"/>
    <x v="2"/>
    <x v="21"/>
    <x v="84"/>
    <x v="1295"/>
    <x v="0"/>
    <s v="SANTIAGO INTERAMERICANA"/>
    <x v="1"/>
  </r>
  <r>
    <x v="58"/>
    <x v="40"/>
    <x v="1"/>
    <x v="1"/>
    <x v="0"/>
    <x v="2"/>
    <x v="26"/>
    <x v="125"/>
    <x v="1296"/>
    <x v="0"/>
    <s v="SANTIAGO INTERAMERICANA"/>
    <x v="1"/>
  </r>
  <r>
    <x v="58"/>
    <x v="127"/>
    <x v="1"/>
    <x v="1"/>
    <x v="0"/>
    <x v="2"/>
    <x v="21"/>
    <x v="85"/>
    <x v="1295"/>
    <x v="0"/>
    <s v="SANTIAGO INTERAMERICANA"/>
    <x v="1"/>
  </r>
  <r>
    <x v="58"/>
    <x v="1"/>
    <x v="1"/>
    <x v="1"/>
    <x v="0"/>
    <x v="2"/>
    <x v="1"/>
    <x v="1"/>
    <x v="1"/>
    <x v="305"/>
    <s v="SANTIAGO INTERAMERICANA"/>
    <x v="1"/>
  </r>
  <r>
    <x v="59"/>
    <x v="56"/>
    <x v="3"/>
    <x v="3"/>
    <x v="0"/>
    <x v="2"/>
    <x v="21"/>
    <x v="153"/>
    <x v="814"/>
    <x v="0"/>
    <s v="CIUDAD DEL SABER"/>
    <x v="1"/>
  </r>
  <r>
    <x v="59"/>
    <x v="120"/>
    <x v="0"/>
    <x v="0"/>
    <x v="0"/>
    <x v="2"/>
    <x v="20"/>
    <x v="229"/>
    <x v="814"/>
    <x v="0"/>
    <s v="CIUDAD DEL SABER"/>
    <x v="1"/>
  </r>
  <r>
    <x v="59"/>
    <x v="83"/>
    <x v="1"/>
    <x v="1"/>
    <x v="0"/>
    <x v="2"/>
    <x v="26"/>
    <x v="215"/>
    <x v="1"/>
    <x v="306"/>
    <s v="CIUDAD DEL SABER"/>
    <x v="1"/>
  </r>
  <r>
    <x v="59"/>
    <x v="1"/>
    <x v="1"/>
    <x v="1"/>
    <x v="0"/>
    <x v="2"/>
    <x v="1"/>
    <x v="1"/>
    <x v="1"/>
    <x v="307"/>
    <s v="CIUDAD DEL SABER"/>
    <x v="1"/>
  </r>
  <r>
    <x v="60"/>
    <x v="143"/>
    <x v="2"/>
    <x v="2"/>
    <x v="0"/>
    <x v="2"/>
    <x v="20"/>
    <x v="230"/>
    <x v="1297"/>
    <x v="0"/>
    <s v="VILLA ZAITA"/>
    <x v="1"/>
  </r>
  <r>
    <x v="60"/>
    <x v="157"/>
    <x v="2"/>
    <x v="2"/>
    <x v="0"/>
    <x v="2"/>
    <x v="20"/>
    <x v="230"/>
    <x v="1298"/>
    <x v="0"/>
    <s v="VILLA ZAITA"/>
    <x v="1"/>
  </r>
  <r>
    <x v="60"/>
    <x v="36"/>
    <x v="6"/>
    <x v="6"/>
    <x v="0"/>
    <x v="2"/>
    <x v="20"/>
    <x v="230"/>
    <x v="1299"/>
    <x v="0"/>
    <s v="VILLA ZAITA"/>
    <x v="1"/>
  </r>
  <r>
    <x v="60"/>
    <x v="147"/>
    <x v="6"/>
    <x v="6"/>
    <x v="0"/>
    <x v="2"/>
    <x v="20"/>
    <x v="230"/>
    <x v="768"/>
    <x v="0"/>
    <s v="VILLA ZAITA"/>
    <x v="1"/>
  </r>
  <r>
    <x v="60"/>
    <x v="108"/>
    <x v="3"/>
    <x v="3"/>
    <x v="0"/>
    <x v="2"/>
    <x v="20"/>
    <x v="230"/>
    <x v="814"/>
    <x v="0"/>
    <s v="VILLA ZAITA"/>
    <x v="1"/>
  </r>
  <r>
    <x v="60"/>
    <x v="1"/>
    <x v="1"/>
    <x v="1"/>
    <x v="0"/>
    <x v="2"/>
    <x v="1"/>
    <x v="1"/>
    <x v="1"/>
    <x v="308"/>
    <s v="VILLA ZAITA"/>
    <x v="1"/>
  </r>
  <r>
    <x v="61"/>
    <x v="61"/>
    <x v="3"/>
    <x v="3"/>
    <x v="0"/>
    <x v="2"/>
    <x v="20"/>
    <x v="231"/>
    <x v="780"/>
    <x v="0"/>
    <s v="AZUERO TERMINAL PLAZA"/>
    <x v="1"/>
  </r>
  <r>
    <x v="61"/>
    <x v="56"/>
    <x v="3"/>
    <x v="3"/>
    <x v="0"/>
    <x v="2"/>
    <x v="29"/>
    <x v="51"/>
    <x v="1"/>
    <x v="188"/>
    <s v="AZUERO TERMINAL PLAZA"/>
    <x v="1"/>
  </r>
  <r>
    <x v="61"/>
    <x v="90"/>
    <x v="0"/>
    <x v="0"/>
    <x v="0"/>
    <x v="2"/>
    <x v="21"/>
    <x v="79"/>
    <x v="974"/>
    <x v="0"/>
    <s v="AZUERO TERMINAL PLAZA"/>
    <x v="1"/>
  </r>
  <r>
    <x v="61"/>
    <x v="91"/>
    <x v="0"/>
    <x v="0"/>
    <x v="0"/>
    <x v="2"/>
    <x v="21"/>
    <x v="118"/>
    <x v="974"/>
    <x v="0"/>
    <s v="AZUERO TERMINAL PLAZA"/>
    <x v="1"/>
  </r>
  <r>
    <x v="61"/>
    <x v="1"/>
    <x v="1"/>
    <x v="1"/>
    <x v="0"/>
    <x v="2"/>
    <x v="1"/>
    <x v="1"/>
    <x v="1"/>
    <x v="309"/>
    <s v="AZUERO TERMINAL PLAZA"/>
    <x v="1"/>
  </r>
  <r>
    <x v="61"/>
    <x v="11"/>
    <x v="6"/>
    <x v="6"/>
    <x v="0"/>
    <x v="1"/>
    <x v="21"/>
    <x v="91"/>
    <x v="839"/>
    <x v="0"/>
    <s v="AZUERO TERMINAL PLAZA"/>
    <x v="1"/>
  </r>
  <r>
    <x v="61"/>
    <x v="1"/>
    <x v="1"/>
    <x v="1"/>
    <x v="0"/>
    <x v="1"/>
    <x v="1"/>
    <x v="1"/>
    <x v="1"/>
    <x v="310"/>
    <s v="AZUERO TERMINAL PLAZA"/>
    <x v="1"/>
  </r>
  <r>
    <x v="62"/>
    <x v="71"/>
    <x v="6"/>
    <x v="6"/>
    <x v="0"/>
    <x v="2"/>
    <x v="20"/>
    <x v="232"/>
    <x v="742"/>
    <x v="0"/>
    <s v="TOWN CENTER COSTA DEL ESTE"/>
    <x v="1"/>
  </r>
  <r>
    <x v="62"/>
    <x v="22"/>
    <x v="1"/>
    <x v="1"/>
    <x v="0"/>
    <x v="2"/>
    <x v="20"/>
    <x v="232"/>
    <x v="751"/>
    <x v="0"/>
    <s v="TOWN CENTER COSTA DEL ESTE"/>
    <x v="1"/>
  </r>
  <r>
    <x v="62"/>
    <x v="1"/>
    <x v="1"/>
    <x v="1"/>
    <x v="0"/>
    <x v="2"/>
    <x v="1"/>
    <x v="1"/>
    <x v="1"/>
    <x v="311"/>
    <s v="TOWN CENTER COSTA DEL ESTE"/>
    <x v="1"/>
  </r>
  <r>
    <x v="63"/>
    <x v="135"/>
    <x v="3"/>
    <x v="3"/>
    <x v="0"/>
    <x v="2"/>
    <x v="21"/>
    <x v="149"/>
    <x v="1046"/>
    <x v="0"/>
    <s v="COSTA VERDE"/>
    <x v="1"/>
  </r>
  <r>
    <x v="63"/>
    <x v="114"/>
    <x v="3"/>
    <x v="3"/>
    <x v="0"/>
    <x v="2"/>
    <x v="20"/>
    <x v="233"/>
    <x v="771"/>
    <x v="0"/>
    <s v="COSTA VERDE"/>
    <x v="1"/>
  </r>
  <r>
    <x v="63"/>
    <x v="68"/>
    <x v="4"/>
    <x v="4"/>
    <x v="0"/>
    <x v="2"/>
    <x v="20"/>
    <x v="233"/>
    <x v="816"/>
    <x v="0"/>
    <s v="COSTA VERDE"/>
    <x v="1"/>
  </r>
  <r>
    <x v="63"/>
    <x v="132"/>
    <x v="4"/>
    <x v="4"/>
    <x v="0"/>
    <x v="2"/>
    <x v="20"/>
    <x v="233"/>
    <x v="771"/>
    <x v="0"/>
    <s v="COSTA VERDE"/>
    <x v="1"/>
  </r>
  <r>
    <x v="63"/>
    <x v="89"/>
    <x v="4"/>
    <x v="4"/>
    <x v="0"/>
    <x v="2"/>
    <x v="20"/>
    <x v="233"/>
    <x v="1300"/>
    <x v="0"/>
    <s v="COSTA VERDE"/>
    <x v="1"/>
  </r>
  <r>
    <x v="63"/>
    <x v="52"/>
    <x v="0"/>
    <x v="0"/>
    <x v="0"/>
    <x v="2"/>
    <x v="20"/>
    <x v="233"/>
    <x v="771"/>
    <x v="0"/>
    <s v="COSTA VERDE"/>
    <x v="1"/>
  </r>
  <r>
    <x v="63"/>
    <x v="120"/>
    <x v="0"/>
    <x v="0"/>
    <x v="0"/>
    <x v="2"/>
    <x v="20"/>
    <x v="233"/>
    <x v="1300"/>
    <x v="0"/>
    <s v="COSTA VERDE"/>
    <x v="1"/>
  </r>
  <r>
    <x v="63"/>
    <x v="77"/>
    <x v="5"/>
    <x v="5"/>
    <x v="0"/>
    <x v="2"/>
    <x v="20"/>
    <x v="233"/>
    <x v="771"/>
    <x v="0"/>
    <s v="COSTA VERDE"/>
    <x v="1"/>
  </r>
  <r>
    <x v="63"/>
    <x v="155"/>
    <x v="1"/>
    <x v="1"/>
    <x v="0"/>
    <x v="2"/>
    <x v="21"/>
    <x v="145"/>
    <x v="769"/>
    <x v="0"/>
    <s v="COSTA VERDE"/>
    <x v="1"/>
  </r>
  <r>
    <x v="63"/>
    <x v="1"/>
    <x v="1"/>
    <x v="1"/>
    <x v="0"/>
    <x v="2"/>
    <x v="1"/>
    <x v="1"/>
    <x v="1"/>
    <x v="312"/>
    <s v="COSTA VERDE"/>
    <x v="1"/>
  </r>
  <r>
    <x v="64"/>
    <x v="35"/>
    <x v="2"/>
    <x v="2"/>
    <x v="0"/>
    <x v="2"/>
    <x v="20"/>
    <x v="234"/>
    <x v="747"/>
    <x v="0"/>
    <s v="PLAZA LOS ANGELES"/>
    <x v="1"/>
  </r>
  <r>
    <x v="64"/>
    <x v="79"/>
    <x v="3"/>
    <x v="3"/>
    <x v="0"/>
    <x v="2"/>
    <x v="20"/>
    <x v="234"/>
    <x v="744"/>
    <x v="0"/>
    <s v="PLAZA LOS ANGELES"/>
    <x v="1"/>
  </r>
  <r>
    <x v="64"/>
    <x v="4"/>
    <x v="4"/>
    <x v="4"/>
    <x v="0"/>
    <x v="2"/>
    <x v="20"/>
    <x v="234"/>
    <x v="768"/>
    <x v="0"/>
    <s v="PLAZA LOS ANGELES"/>
    <x v="1"/>
  </r>
  <r>
    <x v="64"/>
    <x v="51"/>
    <x v="4"/>
    <x v="4"/>
    <x v="0"/>
    <x v="2"/>
    <x v="20"/>
    <x v="234"/>
    <x v="776"/>
    <x v="0"/>
    <s v="PLAZA LOS ANGELES"/>
    <x v="1"/>
  </r>
  <r>
    <x v="64"/>
    <x v="98"/>
    <x v="1"/>
    <x v="1"/>
    <x v="0"/>
    <x v="2"/>
    <x v="20"/>
    <x v="234"/>
    <x v="1301"/>
    <x v="0"/>
    <s v="PLAZA LOS ANGELES"/>
    <x v="1"/>
  </r>
  <r>
    <x v="64"/>
    <x v="128"/>
    <x v="1"/>
    <x v="1"/>
    <x v="0"/>
    <x v="2"/>
    <x v="20"/>
    <x v="234"/>
    <x v="747"/>
    <x v="0"/>
    <s v="PLAZA LOS ANGELES"/>
    <x v="1"/>
  </r>
  <r>
    <x v="64"/>
    <x v="1"/>
    <x v="1"/>
    <x v="1"/>
    <x v="0"/>
    <x v="2"/>
    <x v="1"/>
    <x v="1"/>
    <x v="1"/>
    <x v="313"/>
    <s v="PLAZA LOS ANGELES"/>
    <x v="1"/>
  </r>
  <r>
    <x v="64"/>
    <x v="28"/>
    <x v="3"/>
    <x v="3"/>
    <x v="0"/>
    <x v="0"/>
    <x v="23"/>
    <x v="235"/>
    <x v="1"/>
    <x v="314"/>
    <s v="PLAZA LOS ANGELES"/>
    <x v="1"/>
  </r>
  <r>
    <x v="64"/>
    <x v="44"/>
    <x v="3"/>
    <x v="3"/>
    <x v="0"/>
    <x v="0"/>
    <x v="30"/>
    <x v="236"/>
    <x v="776"/>
    <x v="0"/>
    <s v="PLAZA LOS ANGELES"/>
    <x v="1"/>
  </r>
  <r>
    <x v="64"/>
    <x v="44"/>
    <x v="3"/>
    <x v="3"/>
    <x v="0"/>
    <x v="0"/>
    <x v="31"/>
    <x v="236"/>
    <x v="776"/>
    <x v="0"/>
    <s v="PLAZA LOS ANGELES"/>
    <x v="1"/>
  </r>
  <r>
    <x v="64"/>
    <x v="1"/>
    <x v="1"/>
    <x v="1"/>
    <x v="0"/>
    <x v="0"/>
    <x v="1"/>
    <x v="1"/>
    <x v="1"/>
    <x v="314"/>
    <s v="PLAZA LOS ANGELES"/>
    <x v="1"/>
  </r>
  <r>
    <x v="65"/>
    <x v="10"/>
    <x v="3"/>
    <x v="3"/>
    <x v="0"/>
    <x v="2"/>
    <x v="21"/>
    <x v="123"/>
    <x v="909"/>
    <x v="0"/>
    <s v="SAN MATEO"/>
    <x v="1"/>
  </r>
  <r>
    <x v="65"/>
    <x v="1"/>
    <x v="1"/>
    <x v="1"/>
    <x v="0"/>
    <x v="2"/>
    <x v="1"/>
    <x v="1"/>
    <x v="1"/>
    <x v="315"/>
    <s v="SAN MATEO"/>
    <x v="1"/>
  </r>
  <r>
    <x v="66"/>
    <x v="70"/>
    <x v="2"/>
    <x v="2"/>
    <x v="0"/>
    <x v="2"/>
    <x v="21"/>
    <x v="36"/>
    <x v="769"/>
    <x v="0"/>
    <s v="BRISAS DEL GOLF ARRAIJAN"/>
    <x v="1"/>
  </r>
  <r>
    <x v="66"/>
    <x v="85"/>
    <x v="2"/>
    <x v="2"/>
    <x v="0"/>
    <x v="2"/>
    <x v="20"/>
    <x v="237"/>
    <x v="771"/>
    <x v="0"/>
    <s v="BRISAS DEL GOLF ARRAIJAN"/>
    <x v="1"/>
  </r>
  <r>
    <x v="66"/>
    <x v="129"/>
    <x v="2"/>
    <x v="2"/>
    <x v="0"/>
    <x v="2"/>
    <x v="20"/>
    <x v="237"/>
    <x v="771"/>
    <x v="0"/>
    <s v="BRISAS DEL GOLF ARRAIJAN"/>
    <x v="1"/>
  </r>
  <r>
    <x v="66"/>
    <x v="167"/>
    <x v="6"/>
    <x v="6"/>
    <x v="0"/>
    <x v="2"/>
    <x v="20"/>
    <x v="237"/>
    <x v="771"/>
    <x v="0"/>
    <s v="BRISAS DEL GOLF ARRAIJAN"/>
    <x v="1"/>
  </r>
  <r>
    <x v="66"/>
    <x v="36"/>
    <x v="6"/>
    <x v="6"/>
    <x v="0"/>
    <x v="2"/>
    <x v="20"/>
    <x v="237"/>
    <x v="771"/>
    <x v="0"/>
    <s v="BRISAS DEL GOLF ARRAIJAN"/>
    <x v="1"/>
  </r>
  <r>
    <x v="66"/>
    <x v="11"/>
    <x v="6"/>
    <x v="6"/>
    <x v="0"/>
    <x v="2"/>
    <x v="20"/>
    <x v="237"/>
    <x v="1302"/>
    <x v="0"/>
    <s v="BRISAS DEL GOLF ARRAIJAN"/>
    <x v="1"/>
  </r>
  <r>
    <x v="66"/>
    <x v="74"/>
    <x v="3"/>
    <x v="3"/>
    <x v="0"/>
    <x v="2"/>
    <x v="20"/>
    <x v="237"/>
    <x v="771"/>
    <x v="0"/>
    <s v="BRISAS DEL GOLF ARRAIJAN"/>
    <x v="1"/>
  </r>
  <r>
    <x v="66"/>
    <x v="131"/>
    <x v="3"/>
    <x v="3"/>
    <x v="0"/>
    <x v="2"/>
    <x v="20"/>
    <x v="237"/>
    <x v="771"/>
    <x v="0"/>
    <s v="BRISAS DEL GOLF ARRAIJAN"/>
    <x v="1"/>
  </r>
  <r>
    <x v="66"/>
    <x v="31"/>
    <x v="4"/>
    <x v="4"/>
    <x v="0"/>
    <x v="2"/>
    <x v="20"/>
    <x v="237"/>
    <x v="873"/>
    <x v="0"/>
    <s v="BRISAS DEL GOLF ARRAIJAN"/>
    <x v="1"/>
  </r>
  <r>
    <x v="66"/>
    <x v="90"/>
    <x v="0"/>
    <x v="0"/>
    <x v="0"/>
    <x v="2"/>
    <x v="20"/>
    <x v="237"/>
    <x v="771"/>
    <x v="0"/>
    <s v="BRISAS DEL GOLF ARRAIJAN"/>
    <x v="1"/>
  </r>
  <r>
    <x v="66"/>
    <x v="57"/>
    <x v="0"/>
    <x v="0"/>
    <x v="0"/>
    <x v="2"/>
    <x v="20"/>
    <x v="237"/>
    <x v="771"/>
    <x v="0"/>
    <s v="BRISAS DEL GOLF ARRAIJAN"/>
    <x v="1"/>
  </r>
  <r>
    <x v="66"/>
    <x v="100"/>
    <x v="0"/>
    <x v="0"/>
    <x v="0"/>
    <x v="2"/>
    <x v="20"/>
    <x v="237"/>
    <x v="873"/>
    <x v="0"/>
    <s v="BRISAS DEL GOLF ARRAIJAN"/>
    <x v="1"/>
  </r>
  <r>
    <x v="66"/>
    <x v="46"/>
    <x v="0"/>
    <x v="0"/>
    <x v="0"/>
    <x v="2"/>
    <x v="20"/>
    <x v="237"/>
    <x v="873"/>
    <x v="0"/>
    <s v="BRISAS DEL GOLF ARRAIJAN"/>
    <x v="1"/>
  </r>
  <r>
    <x v="66"/>
    <x v="93"/>
    <x v="0"/>
    <x v="0"/>
    <x v="0"/>
    <x v="2"/>
    <x v="20"/>
    <x v="237"/>
    <x v="873"/>
    <x v="0"/>
    <s v="BRISAS DEL GOLF ARRAIJAN"/>
    <x v="1"/>
  </r>
  <r>
    <x v="66"/>
    <x v="63"/>
    <x v="5"/>
    <x v="5"/>
    <x v="0"/>
    <x v="2"/>
    <x v="20"/>
    <x v="237"/>
    <x v="769"/>
    <x v="0"/>
    <s v="BRISAS DEL GOLF ARRAIJAN"/>
    <x v="1"/>
  </r>
  <r>
    <x v="66"/>
    <x v="20"/>
    <x v="5"/>
    <x v="5"/>
    <x v="0"/>
    <x v="2"/>
    <x v="21"/>
    <x v="45"/>
    <x v="769"/>
    <x v="0"/>
    <s v="BRISAS DEL GOLF ARRAIJAN"/>
    <x v="1"/>
  </r>
  <r>
    <x v="66"/>
    <x v="1"/>
    <x v="1"/>
    <x v="1"/>
    <x v="0"/>
    <x v="2"/>
    <x v="1"/>
    <x v="1"/>
    <x v="1"/>
    <x v="316"/>
    <s v="BRISAS DEL GOLF ARRAIJAN"/>
    <x v="1"/>
  </r>
  <r>
    <x v="66"/>
    <x v="11"/>
    <x v="6"/>
    <x v="6"/>
    <x v="0"/>
    <x v="0"/>
    <x v="21"/>
    <x v="91"/>
    <x v="819"/>
    <x v="0"/>
    <s v="BRISAS DEL GOLF ARRAIJAN"/>
    <x v="1"/>
  </r>
  <r>
    <x v="66"/>
    <x v="121"/>
    <x v="0"/>
    <x v="0"/>
    <x v="0"/>
    <x v="0"/>
    <x v="21"/>
    <x v="80"/>
    <x v="769"/>
    <x v="0"/>
    <s v="BRISAS DEL GOLF ARRAIJAN"/>
    <x v="1"/>
  </r>
  <r>
    <x v="66"/>
    <x v="1"/>
    <x v="1"/>
    <x v="1"/>
    <x v="0"/>
    <x v="0"/>
    <x v="1"/>
    <x v="1"/>
    <x v="1"/>
    <x v="317"/>
    <s v="BRISAS DEL GOLF ARRAIJAN"/>
    <x v="1"/>
  </r>
  <r>
    <x v="67"/>
    <x v="64"/>
    <x v="2"/>
    <x v="2"/>
    <x v="0"/>
    <x v="2"/>
    <x v="20"/>
    <x v="238"/>
    <x v="771"/>
    <x v="0"/>
    <s v="PASEO ARRAIJAN"/>
    <x v="1"/>
  </r>
  <r>
    <x v="67"/>
    <x v="107"/>
    <x v="2"/>
    <x v="2"/>
    <x v="0"/>
    <x v="2"/>
    <x v="20"/>
    <x v="238"/>
    <x v="1303"/>
    <x v="0"/>
    <s v="PASEO ARRAIJAN"/>
    <x v="1"/>
  </r>
  <r>
    <x v="67"/>
    <x v="146"/>
    <x v="6"/>
    <x v="6"/>
    <x v="0"/>
    <x v="2"/>
    <x v="20"/>
    <x v="238"/>
    <x v="769"/>
    <x v="0"/>
    <s v="PASEO ARRAIJAN"/>
    <x v="1"/>
  </r>
  <r>
    <x v="67"/>
    <x v="11"/>
    <x v="6"/>
    <x v="6"/>
    <x v="0"/>
    <x v="2"/>
    <x v="21"/>
    <x v="91"/>
    <x v="803"/>
    <x v="0"/>
    <s v="PASEO ARRAIJAN"/>
    <x v="1"/>
  </r>
  <r>
    <x v="67"/>
    <x v="49"/>
    <x v="3"/>
    <x v="3"/>
    <x v="0"/>
    <x v="2"/>
    <x v="20"/>
    <x v="238"/>
    <x v="805"/>
    <x v="0"/>
    <s v="PASEO ARRAIJAN"/>
    <x v="1"/>
  </r>
  <r>
    <x v="67"/>
    <x v="120"/>
    <x v="0"/>
    <x v="0"/>
    <x v="0"/>
    <x v="2"/>
    <x v="20"/>
    <x v="238"/>
    <x v="1304"/>
    <x v="0"/>
    <s v="PASEO ARRAIJAN"/>
    <x v="1"/>
  </r>
  <r>
    <x v="67"/>
    <x v="20"/>
    <x v="5"/>
    <x v="5"/>
    <x v="0"/>
    <x v="2"/>
    <x v="20"/>
    <x v="238"/>
    <x v="1304"/>
    <x v="0"/>
    <s v="PASEO ARRAIJAN"/>
    <x v="1"/>
  </r>
  <r>
    <x v="67"/>
    <x v="127"/>
    <x v="1"/>
    <x v="1"/>
    <x v="0"/>
    <x v="2"/>
    <x v="20"/>
    <x v="238"/>
    <x v="814"/>
    <x v="0"/>
    <s v="PASEO ARRAIJAN"/>
    <x v="1"/>
  </r>
  <r>
    <x v="67"/>
    <x v="1"/>
    <x v="1"/>
    <x v="1"/>
    <x v="0"/>
    <x v="2"/>
    <x v="1"/>
    <x v="1"/>
    <x v="1"/>
    <x v="318"/>
    <s v="PASEO ARRAIJAN"/>
    <x v="1"/>
  </r>
  <r>
    <x v="68"/>
    <x v="91"/>
    <x v="0"/>
    <x v="0"/>
    <x v="0"/>
    <x v="2"/>
    <x v="20"/>
    <x v="239"/>
    <x v="841"/>
    <x v="0"/>
    <s v="PLAZA NUEVO TOCUMEN"/>
    <x v="1"/>
  </r>
  <r>
    <x v="68"/>
    <x v="1"/>
    <x v="1"/>
    <x v="1"/>
    <x v="0"/>
    <x v="2"/>
    <x v="1"/>
    <x v="1"/>
    <x v="1"/>
    <x v="319"/>
    <s v="PLAZA NUEVO TOCUMEN"/>
    <x v="1"/>
  </r>
  <r>
    <x v="69"/>
    <x v="111"/>
    <x v="2"/>
    <x v="2"/>
    <x v="0"/>
    <x v="2"/>
    <x v="20"/>
    <x v="240"/>
    <x v="778"/>
    <x v="0"/>
    <s v="SANTA MARIA"/>
    <x v="1"/>
  </r>
  <r>
    <x v="69"/>
    <x v="65"/>
    <x v="6"/>
    <x v="6"/>
    <x v="0"/>
    <x v="2"/>
    <x v="20"/>
    <x v="240"/>
    <x v="778"/>
    <x v="0"/>
    <s v="SANTA MARIA"/>
    <x v="1"/>
  </r>
  <r>
    <x v="69"/>
    <x v="113"/>
    <x v="6"/>
    <x v="6"/>
    <x v="0"/>
    <x v="2"/>
    <x v="20"/>
    <x v="240"/>
    <x v="842"/>
    <x v="0"/>
    <s v="SANTA MARIA"/>
    <x v="1"/>
  </r>
  <r>
    <x v="69"/>
    <x v="96"/>
    <x v="6"/>
    <x v="6"/>
    <x v="0"/>
    <x v="2"/>
    <x v="20"/>
    <x v="240"/>
    <x v="744"/>
    <x v="0"/>
    <s v="SANTA MARIA"/>
    <x v="1"/>
  </r>
  <r>
    <x v="69"/>
    <x v="26"/>
    <x v="3"/>
    <x v="3"/>
    <x v="0"/>
    <x v="2"/>
    <x v="20"/>
    <x v="240"/>
    <x v="747"/>
    <x v="0"/>
    <s v="SANTA MARIA"/>
    <x v="1"/>
  </r>
  <r>
    <x v="69"/>
    <x v="148"/>
    <x v="3"/>
    <x v="3"/>
    <x v="0"/>
    <x v="2"/>
    <x v="20"/>
    <x v="240"/>
    <x v="747"/>
    <x v="0"/>
    <s v="SANTA MARIA"/>
    <x v="1"/>
  </r>
  <r>
    <x v="69"/>
    <x v="78"/>
    <x v="4"/>
    <x v="4"/>
    <x v="0"/>
    <x v="2"/>
    <x v="20"/>
    <x v="240"/>
    <x v="747"/>
    <x v="0"/>
    <s v="SANTA MARIA"/>
    <x v="1"/>
  </r>
  <r>
    <x v="69"/>
    <x v="5"/>
    <x v="0"/>
    <x v="0"/>
    <x v="0"/>
    <x v="2"/>
    <x v="20"/>
    <x v="240"/>
    <x v="842"/>
    <x v="0"/>
    <s v="SANTA MARIA"/>
    <x v="1"/>
  </r>
  <r>
    <x v="69"/>
    <x v="73"/>
    <x v="1"/>
    <x v="1"/>
    <x v="0"/>
    <x v="2"/>
    <x v="20"/>
    <x v="240"/>
    <x v="751"/>
    <x v="0"/>
    <s v="SANTA MARIA"/>
    <x v="1"/>
  </r>
  <r>
    <x v="69"/>
    <x v="1"/>
    <x v="1"/>
    <x v="1"/>
    <x v="0"/>
    <x v="2"/>
    <x v="1"/>
    <x v="1"/>
    <x v="1"/>
    <x v="320"/>
    <s v="SANTA MARIA"/>
    <x v="1"/>
  </r>
  <r>
    <x v="0"/>
    <x v="79"/>
    <x v="3"/>
    <x v="3"/>
    <x v="0"/>
    <x v="2"/>
    <x v="32"/>
    <x v="142"/>
    <x v="1305"/>
    <x v="0"/>
    <s v="CASA MATRIZ"/>
    <x v="2"/>
  </r>
  <r>
    <x v="0"/>
    <x v="160"/>
    <x v="0"/>
    <x v="0"/>
    <x v="0"/>
    <x v="2"/>
    <x v="32"/>
    <x v="179"/>
    <x v="1306"/>
    <x v="0"/>
    <s v="CASA MATRIZ"/>
    <x v="2"/>
  </r>
  <r>
    <x v="0"/>
    <x v="1"/>
    <x v="1"/>
    <x v="1"/>
    <x v="0"/>
    <x v="2"/>
    <x v="1"/>
    <x v="1"/>
    <x v="1"/>
    <x v="321"/>
    <s v="CASA MATRIZ"/>
    <x v="2"/>
  </r>
  <r>
    <x v="0"/>
    <x v="148"/>
    <x v="3"/>
    <x v="3"/>
    <x v="0"/>
    <x v="0"/>
    <x v="33"/>
    <x v="174"/>
    <x v="1182"/>
    <x v="0"/>
    <s v="CASA MATRIZ"/>
    <x v="2"/>
  </r>
  <r>
    <x v="0"/>
    <x v="117"/>
    <x v="0"/>
    <x v="0"/>
    <x v="0"/>
    <x v="0"/>
    <x v="33"/>
    <x v="65"/>
    <x v="759"/>
    <x v="0"/>
    <s v="CASA MATRIZ"/>
    <x v="2"/>
  </r>
  <r>
    <x v="0"/>
    <x v="1"/>
    <x v="1"/>
    <x v="1"/>
    <x v="0"/>
    <x v="0"/>
    <x v="1"/>
    <x v="1"/>
    <x v="1"/>
    <x v="322"/>
    <s v="CASA MATRIZ"/>
    <x v="2"/>
  </r>
  <r>
    <x v="1"/>
    <x v="10"/>
    <x v="3"/>
    <x v="3"/>
    <x v="0"/>
    <x v="2"/>
    <x v="33"/>
    <x v="123"/>
    <x v="874"/>
    <x v="0"/>
    <s v="PAITILLA"/>
    <x v="2"/>
  </r>
  <r>
    <x v="1"/>
    <x v="52"/>
    <x v="0"/>
    <x v="0"/>
    <x v="0"/>
    <x v="2"/>
    <x v="33"/>
    <x v="107"/>
    <x v="874"/>
    <x v="0"/>
    <s v="PAITILLA"/>
    <x v="2"/>
  </r>
  <r>
    <x v="1"/>
    <x v="153"/>
    <x v="5"/>
    <x v="5"/>
    <x v="0"/>
    <x v="2"/>
    <x v="33"/>
    <x v="157"/>
    <x v="874"/>
    <x v="0"/>
    <s v="PAITILLA"/>
    <x v="2"/>
  </r>
  <r>
    <x v="1"/>
    <x v="20"/>
    <x v="5"/>
    <x v="5"/>
    <x v="0"/>
    <x v="2"/>
    <x v="33"/>
    <x v="45"/>
    <x v="759"/>
    <x v="0"/>
    <s v="PAITILLA"/>
    <x v="2"/>
  </r>
  <r>
    <x v="1"/>
    <x v="1"/>
    <x v="1"/>
    <x v="1"/>
    <x v="0"/>
    <x v="2"/>
    <x v="1"/>
    <x v="1"/>
    <x v="1"/>
    <x v="237"/>
    <s v="PAITILLA"/>
    <x v="2"/>
  </r>
  <r>
    <x v="1"/>
    <x v="102"/>
    <x v="6"/>
    <x v="6"/>
    <x v="0"/>
    <x v="0"/>
    <x v="33"/>
    <x v="141"/>
    <x v="874"/>
    <x v="0"/>
    <s v="PAITILLA"/>
    <x v="2"/>
  </r>
  <r>
    <x v="1"/>
    <x v="19"/>
    <x v="3"/>
    <x v="3"/>
    <x v="0"/>
    <x v="0"/>
    <x v="33"/>
    <x v="62"/>
    <x v="874"/>
    <x v="0"/>
    <s v="PAITILLA"/>
    <x v="2"/>
  </r>
  <r>
    <x v="1"/>
    <x v="1"/>
    <x v="1"/>
    <x v="1"/>
    <x v="0"/>
    <x v="0"/>
    <x v="1"/>
    <x v="1"/>
    <x v="1"/>
    <x v="203"/>
    <s v="PAITILLA"/>
    <x v="2"/>
  </r>
  <r>
    <x v="2"/>
    <x v="118"/>
    <x v="2"/>
    <x v="2"/>
    <x v="0"/>
    <x v="0"/>
    <x v="33"/>
    <x v="69"/>
    <x v="874"/>
    <x v="0"/>
    <s v="EL DORADO"/>
    <x v="2"/>
  </r>
  <r>
    <x v="2"/>
    <x v="1"/>
    <x v="1"/>
    <x v="1"/>
    <x v="0"/>
    <x v="0"/>
    <x v="1"/>
    <x v="1"/>
    <x v="1"/>
    <x v="216"/>
    <s v="EL DORADO"/>
    <x v="2"/>
  </r>
  <r>
    <x v="2"/>
    <x v="1"/>
    <x v="1"/>
    <x v="1"/>
    <x v="0"/>
    <x v="1"/>
    <x v="1"/>
    <x v="1"/>
    <x v="1"/>
    <x v="216"/>
    <s v="EL DORADO"/>
    <x v="2"/>
  </r>
  <r>
    <x v="3"/>
    <x v="1"/>
    <x v="1"/>
    <x v="1"/>
    <x v="0"/>
    <x v="2"/>
    <x v="1"/>
    <x v="1"/>
    <x v="1"/>
    <x v="323"/>
    <s v="VIA ARGENTINA"/>
    <x v="2"/>
  </r>
  <r>
    <x v="3"/>
    <x v="1"/>
    <x v="1"/>
    <x v="1"/>
    <x v="0"/>
    <x v="1"/>
    <x v="1"/>
    <x v="1"/>
    <x v="1"/>
    <x v="216"/>
    <s v="VIA ARGENTINA"/>
    <x v="2"/>
  </r>
  <r>
    <x v="4"/>
    <x v="70"/>
    <x v="2"/>
    <x v="2"/>
    <x v="0"/>
    <x v="2"/>
    <x v="33"/>
    <x v="36"/>
    <x v="874"/>
    <x v="0"/>
    <s v="VIA PORRAS"/>
    <x v="2"/>
  </r>
  <r>
    <x v="4"/>
    <x v="144"/>
    <x v="2"/>
    <x v="2"/>
    <x v="0"/>
    <x v="2"/>
    <x v="32"/>
    <x v="162"/>
    <x v="1307"/>
    <x v="0"/>
    <s v="VIA PORRAS"/>
    <x v="2"/>
  </r>
  <r>
    <x v="4"/>
    <x v="79"/>
    <x v="3"/>
    <x v="3"/>
    <x v="0"/>
    <x v="2"/>
    <x v="32"/>
    <x v="142"/>
    <x v="1308"/>
    <x v="0"/>
    <s v="VIA PORRAS"/>
    <x v="2"/>
  </r>
  <r>
    <x v="4"/>
    <x v="79"/>
    <x v="3"/>
    <x v="3"/>
    <x v="0"/>
    <x v="2"/>
    <x v="33"/>
    <x v="142"/>
    <x v="759"/>
    <x v="0"/>
    <s v="VIA PORRAS"/>
    <x v="2"/>
  </r>
  <r>
    <x v="4"/>
    <x v="13"/>
    <x v="5"/>
    <x v="5"/>
    <x v="0"/>
    <x v="2"/>
    <x v="32"/>
    <x v="120"/>
    <x v="1309"/>
    <x v="0"/>
    <s v="VIA PORRAS"/>
    <x v="2"/>
  </r>
  <r>
    <x v="4"/>
    <x v="33"/>
    <x v="1"/>
    <x v="1"/>
    <x v="0"/>
    <x v="2"/>
    <x v="32"/>
    <x v="241"/>
    <x v="1310"/>
    <x v="0"/>
    <s v="VIA PORRAS"/>
    <x v="2"/>
  </r>
  <r>
    <x v="4"/>
    <x v="1"/>
    <x v="1"/>
    <x v="1"/>
    <x v="0"/>
    <x v="2"/>
    <x v="1"/>
    <x v="1"/>
    <x v="1"/>
    <x v="324"/>
    <s v="VIA PORRAS"/>
    <x v="2"/>
  </r>
  <r>
    <x v="4"/>
    <x v="47"/>
    <x v="2"/>
    <x v="2"/>
    <x v="0"/>
    <x v="0"/>
    <x v="33"/>
    <x v="68"/>
    <x v="874"/>
    <x v="0"/>
    <s v="VIA PORRAS"/>
    <x v="2"/>
  </r>
  <r>
    <x v="4"/>
    <x v="24"/>
    <x v="2"/>
    <x v="2"/>
    <x v="0"/>
    <x v="0"/>
    <x v="33"/>
    <x v="202"/>
    <x v="759"/>
    <x v="0"/>
    <s v="VIA PORRAS"/>
    <x v="2"/>
  </r>
  <r>
    <x v="4"/>
    <x v="129"/>
    <x v="2"/>
    <x v="2"/>
    <x v="0"/>
    <x v="0"/>
    <x v="33"/>
    <x v="204"/>
    <x v="146"/>
    <x v="0"/>
    <s v="VIA PORRAS"/>
    <x v="2"/>
  </r>
  <r>
    <x v="4"/>
    <x v="146"/>
    <x v="6"/>
    <x v="6"/>
    <x v="0"/>
    <x v="0"/>
    <x v="33"/>
    <x v="172"/>
    <x v="874"/>
    <x v="0"/>
    <s v="VIA PORRAS"/>
    <x v="2"/>
  </r>
  <r>
    <x v="4"/>
    <x v="36"/>
    <x v="6"/>
    <x v="6"/>
    <x v="0"/>
    <x v="0"/>
    <x v="33"/>
    <x v="94"/>
    <x v="874"/>
    <x v="0"/>
    <s v="VIA PORRAS"/>
    <x v="2"/>
  </r>
  <r>
    <x v="4"/>
    <x v="88"/>
    <x v="6"/>
    <x v="6"/>
    <x v="0"/>
    <x v="0"/>
    <x v="33"/>
    <x v="242"/>
    <x v="874"/>
    <x v="0"/>
    <s v="VIA PORRAS"/>
    <x v="2"/>
  </r>
  <r>
    <x v="4"/>
    <x v="134"/>
    <x v="6"/>
    <x v="6"/>
    <x v="0"/>
    <x v="0"/>
    <x v="33"/>
    <x v="226"/>
    <x v="899"/>
    <x v="0"/>
    <s v="VIA PORRAS"/>
    <x v="2"/>
  </r>
  <r>
    <x v="4"/>
    <x v="11"/>
    <x v="6"/>
    <x v="6"/>
    <x v="0"/>
    <x v="0"/>
    <x v="33"/>
    <x v="91"/>
    <x v="759"/>
    <x v="0"/>
    <s v="VIA PORRAS"/>
    <x v="2"/>
  </r>
  <r>
    <x v="4"/>
    <x v="19"/>
    <x v="3"/>
    <x v="3"/>
    <x v="0"/>
    <x v="0"/>
    <x v="33"/>
    <x v="62"/>
    <x v="874"/>
    <x v="0"/>
    <s v="VIA PORRAS"/>
    <x v="2"/>
  </r>
  <r>
    <x v="4"/>
    <x v="148"/>
    <x v="3"/>
    <x v="3"/>
    <x v="0"/>
    <x v="0"/>
    <x v="33"/>
    <x v="174"/>
    <x v="899"/>
    <x v="0"/>
    <s v="VIA PORRAS"/>
    <x v="2"/>
  </r>
  <r>
    <x v="4"/>
    <x v="132"/>
    <x v="4"/>
    <x v="4"/>
    <x v="0"/>
    <x v="0"/>
    <x v="33"/>
    <x v="95"/>
    <x v="1182"/>
    <x v="0"/>
    <s v="VIA PORRAS"/>
    <x v="2"/>
  </r>
  <r>
    <x v="4"/>
    <x v="89"/>
    <x v="4"/>
    <x v="4"/>
    <x v="0"/>
    <x v="0"/>
    <x v="33"/>
    <x v="154"/>
    <x v="874"/>
    <x v="0"/>
    <s v="VIA PORRAS"/>
    <x v="2"/>
  </r>
  <r>
    <x v="4"/>
    <x v="31"/>
    <x v="4"/>
    <x v="4"/>
    <x v="0"/>
    <x v="0"/>
    <x v="33"/>
    <x v="72"/>
    <x v="146"/>
    <x v="0"/>
    <s v="VIA PORRAS"/>
    <x v="2"/>
  </r>
  <r>
    <x v="4"/>
    <x v="119"/>
    <x v="0"/>
    <x v="0"/>
    <x v="0"/>
    <x v="0"/>
    <x v="33"/>
    <x v="96"/>
    <x v="759"/>
    <x v="0"/>
    <s v="VIA PORRAS"/>
    <x v="2"/>
  </r>
  <r>
    <x v="4"/>
    <x v="40"/>
    <x v="1"/>
    <x v="1"/>
    <x v="0"/>
    <x v="0"/>
    <x v="33"/>
    <x v="125"/>
    <x v="759"/>
    <x v="0"/>
    <s v="VIA PORRAS"/>
    <x v="2"/>
  </r>
  <r>
    <x v="4"/>
    <x v="95"/>
    <x v="1"/>
    <x v="1"/>
    <x v="0"/>
    <x v="0"/>
    <x v="33"/>
    <x v="97"/>
    <x v="874"/>
    <x v="0"/>
    <s v="VIA PORRAS"/>
    <x v="2"/>
  </r>
  <r>
    <x v="4"/>
    <x v="127"/>
    <x v="1"/>
    <x v="1"/>
    <x v="0"/>
    <x v="0"/>
    <x v="33"/>
    <x v="85"/>
    <x v="146"/>
    <x v="0"/>
    <s v="VIA PORRAS"/>
    <x v="2"/>
  </r>
  <r>
    <x v="4"/>
    <x v="8"/>
    <x v="1"/>
    <x v="1"/>
    <x v="0"/>
    <x v="0"/>
    <x v="33"/>
    <x v="187"/>
    <x v="759"/>
    <x v="0"/>
    <s v="VIA PORRAS"/>
    <x v="2"/>
  </r>
  <r>
    <x v="4"/>
    <x v="98"/>
    <x v="1"/>
    <x v="1"/>
    <x v="0"/>
    <x v="0"/>
    <x v="33"/>
    <x v="198"/>
    <x v="146"/>
    <x v="0"/>
    <s v="VIA PORRAS"/>
    <x v="2"/>
  </r>
  <r>
    <x v="4"/>
    <x v="1"/>
    <x v="1"/>
    <x v="1"/>
    <x v="0"/>
    <x v="0"/>
    <x v="1"/>
    <x v="1"/>
    <x v="1"/>
    <x v="325"/>
    <s v="VIA PORRAS"/>
    <x v="2"/>
  </r>
  <r>
    <x v="4"/>
    <x v="129"/>
    <x v="2"/>
    <x v="2"/>
    <x v="0"/>
    <x v="1"/>
    <x v="33"/>
    <x v="204"/>
    <x v="874"/>
    <x v="0"/>
    <s v="VIA PORRAS"/>
    <x v="2"/>
  </r>
  <r>
    <x v="4"/>
    <x v="114"/>
    <x v="3"/>
    <x v="3"/>
    <x v="0"/>
    <x v="1"/>
    <x v="33"/>
    <x v="76"/>
    <x v="874"/>
    <x v="0"/>
    <s v="VIA PORRAS"/>
    <x v="2"/>
  </r>
  <r>
    <x v="4"/>
    <x v="1"/>
    <x v="1"/>
    <x v="1"/>
    <x v="0"/>
    <x v="1"/>
    <x v="1"/>
    <x v="1"/>
    <x v="1"/>
    <x v="261"/>
    <s v="VIA PORRAS"/>
    <x v="2"/>
  </r>
  <r>
    <x v="5"/>
    <x v="19"/>
    <x v="3"/>
    <x v="3"/>
    <x v="0"/>
    <x v="0"/>
    <x v="33"/>
    <x v="62"/>
    <x v="874"/>
    <x v="0"/>
    <s v="EL INGENIO"/>
    <x v="2"/>
  </r>
  <r>
    <x v="5"/>
    <x v="1"/>
    <x v="1"/>
    <x v="1"/>
    <x v="0"/>
    <x v="0"/>
    <x v="1"/>
    <x v="1"/>
    <x v="1"/>
    <x v="216"/>
    <s v="EL INGENIO"/>
    <x v="2"/>
  </r>
  <r>
    <x v="6"/>
    <x v="0"/>
    <x v="0"/>
    <x v="0"/>
    <x v="0"/>
    <x v="2"/>
    <x v="32"/>
    <x v="197"/>
    <x v="1311"/>
    <x v="0"/>
    <s v="CHANIS"/>
    <x v="2"/>
  </r>
  <r>
    <x v="6"/>
    <x v="1"/>
    <x v="1"/>
    <x v="1"/>
    <x v="0"/>
    <x v="2"/>
    <x v="1"/>
    <x v="1"/>
    <x v="1"/>
    <x v="326"/>
    <s v="CHANIS"/>
    <x v="2"/>
  </r>
  <r>
    <x v="6"/>
    <x v="1"/>
    <x v="1"/>
    <x v="1"/>
    <x v="0"/>
    <x v="0"/>
    <x v="1"/>
    <x v="1"/>
    <x v="1"/>
    <x v="216"/>
    <s v="CHANIS"/>
    <x v="2"/>
  </r>
  <r>
    <x v="7"/>
    <x v="64"/>
    <x v="2"/>
    <x v="2"/>
    <x v="0"/>
    <x v="2"/>
    <x v="32"/>
    <x v="139"/>
    <x v="1312"/>
    <x v="0"/>
    <s v="PLAZA TOCUMEN"/>
    <x v="2"/>
  </r>
  <r>
    <x v="7"/>
    <x v="107"/>
    <x v="2"/>
    <x v="2"/>
    <x v="0"/>
    <x v="2"/>
    <x v="32"/>
    <x v="158"/>
    <x v="1215"/>
    <x v="0"/>
    <s v="PLAZA TOCUMEN"/>
    <x v="2"/>
  </r>
  <r>
    <x v="7"/>
    <x v="102"/>
    <x v="6"/>
    <x v="6"/>
    <x v="0"/>
    <x v="2"/>
    <x v="32"/>
    <x v="141"/>
    <x v="982"/>
    <x v="0"/>
    <s v="PLAZA TOCUMEN"/>
    <x v="2"/>
  </r>
  <r>
    <x v="7"/>
    <x v="21"/>
    <x v="6"/>
    <x v="6"/>
    <x v="0"/>
    <x v="2"/>
    <x v="32"/>
    <x v="70"/>
    <x v="1291"/>
    <x v="0"/>
    <s v="PLAZA TOCUMEN"/>
    <x v="2"/>
  </r>
  <r>
    <x v="7"/>
    <x v="3"/>
    <x v="3"/>
    <x v="3"/>
    <x v="0"/>
    <x v="2"/>
    <x v="32"/>
    <x v="243"/>
    <x v="801"/>
    <x v="0"/>
    <s v="PLAZA TOCUMEN"/>
    <x v="2"/>
  </r>
  <r>
    <x v="7"/>
    <x v="160"/>
    <x v="0"/>
    <x v="0"/>
    <x v="0"/>
    <x v="2"/>
    <x v="32"/>
    <x v="179"/>
    <x v="1313"/>
    <x v="0"/>
    <s v="PLAZA TOCUMEN"/>
    <x v="2"/>
  </r>
  <r>
    <x v="7"/>
    <x v="122"/>
    <x v="0"/>
    <x v="0"/>
    <x v="0"/>
    <x v="2"/>
    <x v="33"/>
    <x v="181"/>
    <x v="874"/>
    <x v="0"/>
    <s v="PLAZA TOCUMEN"/>
    <x v="2"/>
  </r>
  <r>
    <x v="7"/>
    <x v="145"/>
    <x v="5"/>
    <x v="5"/>
    <x v="0"/>
    <x v="2"/>
    <x v="32"/>
    <x v="124"/>
    <x v="1314"/>
    <x v="0"/>
    <s v="PLAZA TOCUMEN"/>
    <x v="2"/>
  </r>
  <r>
    <x v="7"/>
    <x v="83"/>
    <x v="1"/>
    <x v="1"/>
    <x v="0"/>
    <x v="2"/>
    <x v="32"/>
    <x v="215"/>
    <x v="1315"/>
    <x v="0"/>
    <s v="PLAZA TOCUMEN"/>
    <x v="2"/>
  </r>
  <r>
    <x v="7"/>
    <x v="1"/>
    <x v="1"/>
    <x v="1"/>
    <x v="0"/>
    <x v="2"/>
    <x v="1"/>
    <x v="1"/>
    <x v="1"/>
    <x v="327"/>
    <s v="PLAZA TOCUMEN"/>
    <x v="2"/>
  </r>
  <r>
    <x v="8"/>
    <x v="1"/>
    <x v="1"/>
    <x v="1"/>
    <x v="0"/>
    <x v="2"/>
    <x v="1"/>
    <x v="1"/>
    <x v="1"/>
    <x v="328"/>
    <s v="SANTIAGO"/>
    <x v="2"/>
  </r>
  <r>
    <x v="9"/>
    <x v="107"/>
    <x v="2"/>
    <x v="2"/>
    <x v="0"/>
    <x v="2"/>
    <x v="32"/>
    <x v="158"/>
    <x v="1316"/>
    <x v="0"/>
    <s v="OBARRIO"/>
    <x v="2"/>
  </r>
  <r>
    <x v="9"/>
    <x v="125"/>
    <x v="5"/>
    <x v="5"/>
    <x v="0"/>
    <x v="2"/>
    <x v="32"/>
    <x v="82"/>
    <x v="1317"/>
    <x v="0"/>
    <s v="OBARRIO"/>
    <x v="2"/>
  </r>
  <r>
    <x v="9"/>
    <x v="1"/>
    <x v="1"/>
    <x v="1"/>
    <x v="0"/>
    <x v="2"/>
    <x v="1"/>
    <x v="1"/>
    <x v="1"/>
    <x v="329"/>
    <s v="OBARRIO"/>
    <x v="2"/>
  </r>
  <r>
    <x v="9"/>
    <x v="71"/>
    <x v="6"/>
    <x v="6"/>
    <x v="0"/>
    <x v="0"/>
    <x v="33"/>
    <x v="37"/>
    <x v="874"/>
    <x v="0"/>
    <s v="OBARRIO"/>
    <x v="2"/>
  </r>
  <r>
    <x v="9"/>
    <x v="61"/>
    <x v="3"/>
    <x v="3"/>
    <x v="0"/>
    <x v="0"/>
    <x v="33"/>
    <x v="126"/>
    <x v="874"/>
    <x v="0"/>
    <s v="OBARRIO"/>
    <x v="2"/>
  </r>
  <r>
    <x v="9"/>
    <x v="132"/>
    <x v="4"/>
    <x v="4"/>
    <x v="0"/>
    <x v="0"/>
    <x v="33"/>
    <x v="95"/>
    <x v="146"/>
    <x v="0"/>
    <s v="OBARRIO"/>
    <x v="2"/>
  </r>
  <r>
    <x v="9"/>
    <x v="31"/>
    <x v="4"/>
    <x v="4"/>
    <x v="0"/>
    <x v="0"/>
    <x v="33"/>
    <x v="72"/>
    <x v="874"/>
    <x v="0"/>
    <s v="OBARRIO"/>
    <x v="2"/>
  </r>
  <r>
    <x v="9"/>
    <x v="90"/>
    <x v="0"/>
    <x v="0"/>
    <x v="0"/>
    <x v="0"/>
    <x v="33"/>
    <x v="79"/>
    <x v="874"/>
    <x v="0"/>
    <s v="OBARRIO"/>
    <x v="2"/>
  </r>
  <r>
    <x v="9"/>
    <x v="52"/>
    <x v="0"/>
    <x v="0"/>
    <x v="0"/>
    <x v="0"/>
    <x v="33"/>
    <x v="107"/>
    <x v="759"/>
    <x v="0"/>
    <s v="OBARRIO"/>
    <x v="2"/>
  </r>
  <r>
    <x v="9"/>
    <x v="53"/>
    <x v="0"/>
    <x v="0"/>
    <x v="0"/>
    <x v="0"/>
    <x v="33"/>
    <x v="144"/>
    <x v="759"/>
    <x v="0"/>
    <s v="OBARRIO"/>
    <x v="2"/>
  </r>
  <r>
    <x v="9"/>
    <x v="13"/>
    <x v="5"/>
    <x v="5"/>
    <x v="0"/>
    <x v="0"/>
    <x v="33"/>
    <x v="120"/>
    <x v="874"/>
    <x v="0"/>
    <s v="OBARRIO"/>
    <x v="2"/>
  </r>
  <r>
    <x v="9"/>
    <x v="40"/>
    <x v="1"/>
    <x v="1"/>
    <x v="0"/>
    <x v="0"/>
    <x v="33"/>
    <x v="125"/>
    <x v="146"/>
    <x v="0"/>
    <s v="OBARRIO"/>
    <x v="2"/>
  </r>
  <r>
    <x v="9"/>
    <x v="33"/>
    <x v="1"/>
    <x v="1"/>
    <x v="0"/>
    <x v="0"/>
    <x v="33"/>
    <x v="241"/>
    <x v="759"/>
    <x v="0"/>
    <s v="OBARRIO"/>
    <x v="2"/>
  </r>
  <r>
    <x v="9"/>
    <x v="1"/>
    <x v="1"/>
    <x v="1"/>
    <x v="0"/>
    <x v="0"/>
    <x v="1"/>
    <x v="1"/>
    <x v="1"/>
    <x v="330"/>
    <s v="OBARRIO"/>
    <x v="2"/>
  </r>
  <r>
    <x v="9"/>
    <x v="49"/>
    <x v="3"/>
    <x v="3"/>
    <x v="0"/>
    <x v="1"/>
    <x v="33"/>
    <x v="244"/>
    <x v="874"/>
    <x v="0"/>
    <s v="OBARRIO"/>
    <x v="2"/>
  </r>
  <r>
    <x v="9"/>
    <x v="75"/>
    <x v="3"/>
    <x v="3"/>
    <x v="0"/>
    <x v="1"/>
    <x v="33"/>
    <x v="220"/>
    <x v="146"/>
    <x v="0"/>
    <s v="OBARRIO"/>
    <x v="2"/>
  </r>
  <r>
    <x v="9"/>
    <x v="1"/>
    <x v="1"/>
    <x v="1"/>
    <x v="0"/>
    <x v="1"/>
    <x v="1"/>
    <x v="1"/>
    <x v="1"/>
    <x v="220"/>
    <s v="OBARRIO"/>
    <x v="2"/>
  </r>
  <r>
    <x v="70"/>
    <x v="70"/>
    <x v="2"/>
    <x v="2"/>
    <x v="0"/>
    <x v="2"/>
    <x v="32"/>
    <x v="36"/>
    <x v="1318"/>
    <x v="0"/>
    <s v="COLON"/>
    <x v="2"/>
  </r>
  <r>
    <x v="70"/>
    <x v="1"/>
    <x v="1"/>
    <x v="1"/>
    <x v="0"/>
    <x v="2"/>
    <x v="1"/>
    <x v="1"/>
    <x v="1"/>
    <x v="331"/>
    <s v="COLON"/>
    <x v="2"/>
  </r>
  <r>
    <x v="10"/>
    <x v="70"/>
    <x v="2"/>
    <x v="2"/>
    <x v="0"/>
    <x v="2"/>
    <x v="32"/>
    <x v="36"/>
    <x v="1319"/>
    <x v="0"/>
    <s v="HATO PINTADO"/>
    <x v="2"/>
  </r>
  <r>
    <x v="10"/>
    <x v="117"/>
    <x v="0"/>
    <x v="0"/>
    <x v="0"/>
    <x v="2"/>
    <x v="32"/>
    <x v="65"/>
    <x v="1320"/>
    <x v="0"/>
    <s v="HATO PINTADO"/>
    <x v="2"/>
  </r>
  <r>
    <x v="10"/>
    <x v="1"/>
    <x v="1"/>
    <x v="1"/>
    <x v="0"/>
    <x v="2"/>
    <x v="1"/>
    <x v="1"/>
    <x v="1"/>
    <x v="332"/>
    <s v="HATO PINTADO"/>
    <x v="2"/>
  </r>
  <r>
    <x v="10"/>
    <x v="16"/>
    <x v="2"/>
    <x v="2"/>
    <x v="0"/>
    <x v="0"/>
    <x v="33"/>
    <x v="93"/>
    <x v="765"/>
    <x v="0"/>
    <s v="HATO PINTADO"/>
    <x v="2"/>
  </r>
  <r>
    <x v="10"/>
    <x v="106"/>
    <x v="2"/>
    <x v="2"/>
    <x v="0"/>
    <x v="0"/>
    <x v="33"/>
    <x v="223"/>
    <x v="934"/>
    <x v="0"/>
    <s v="HATO PINTADO"/>
    <x v="2"/>
  </r>
  <r>
    <x v="10"/>
    <x v="47"/>
    <x v="2"/>
    <x v="2"/>
    <x v="0"/>
    <x v="0"/>
    <x v="33"/>
    <x v="68"/>
    <x v="765"/>
    <x v="0"/>
    <s v="HATO PINTADO"/>
    <x v="2"/>
  </r>
  <r>
    <x v="10"/>
    <x v="118"/>
    <x v="2"/>
    <x v="2"/>
    <x v="0"/>
    <x v="0"/>
    <x v="33"/>
    <x v="69"/>
    <x v="759"/>
    <x v="0"/>
    <s v="HATO PINTADO"/>
    <x v="2"/>
  </r>
  <r>
    <x v="10"/>
    <x v="24"/>
    <x v="2"/>
    <x v="2"/>
    <x v="0"/>
    <x v="0"/>
    <x v="33"/>
    <x v="202"/>
    <x v="759"/>
    <x v="0"/>
    <s v="HATO PINTADO"/>
    <x v="2"/>
  </r>
  <r>
    <x v="10"/>
    <x v="144"/>
    <x v="2"/>
    <x v="2"/>
    <x v="0"/>
    <x v="0"/>
    <x v="33"/>
    <x v="162"/>
    <x v="1182"/>
    <x v="0"/>
    <s v="HATO PINTADO"/>
    <x v="2"/>
  </r>
  <r>
    <x v="10"/>
    <x v="84"/>
    <x v="2"/>
    <x v="2"/>
    <x v="0"/>
    <x v="0"/>
    <x v="33"/>
    <x v="203"/>
    <x v="759"/>
    <x v="0"/>
    <s v="HATO PINTADO"/>
    <x v="2"/>
  </r>
  <r>
    <x v="10"/>
    <x v="111"/>
    <x v="2"/>
    <x v="2"/>
    <x v="0"/>
    <x v="0"/>
    <x v="33"/>
    <x v="75"/>
    <x v="759"/>
    <x v="0"/>
    <s v="HATO PINTADO"/>
    <x v="2"/>
  </r>
  <r>
    <x v="10"/>
    <x v="65"/>
    <x v="6"/>
    <x v="6"/>
    <x v="0"/>
    <x v="0"/>
    <x v="33"/>
    <x v="190"/>
    <x v="934"/>
    <x v="0"/>
    <s v="HATO PINTADO"/>
    <x v="2"/>
  </r>
  <r>
    <x v="10"/>
    <x v="36"/>
    <x v="6"/>
    <x v="6"/>
    <x v="0"/>
    <x v="0"/>
    <x v="33"/>
    <x v="94"/>
    <x v="759"/>
    <x v="0"/>
    <s v="HATO PINTADO"/>
    <x v="2"/>
  </r>
  <r>
    <x v="10"/>
    <x v="71"/>
    <x v="6"/>
    <x v="6"/>
    <x v="0"/>
    <x v="0"/>
    <x v="33"/>
    <x v="37"/>
    <x v="759"/>
    <x v="0"/>
    <s v="HATO PINTADO"/>
    <x v="2"/>
  </r>
  <r>
    <x v="10"/>
    <x v="163"/>
    <x v="6"/>
    <x v="6"/>
    <x v="0"/>
    <x v="0"/>
    <x v="33"/>
    <x v="195"/>
    <x v="759"/>
    <x v="0"/>
    <s v="HATO PINTADO"/>
    <x v="2"/>
  </r>
  <r>
    <x v="10"/>
    <x v="134"/>
    <x v="6"/>
    <x v="6"/>
    <x v="0"/>
    <x v="0"/>
    <x v="33"/>
    <x v="226"/>
    <x v="759"/>
    <x v="0"/>
    <s v="HATO PINTADO"/>
    <x v="2"/>
  </r>
  <r>
    <x v="10"/>
    <x v="164"/>
    <x v="6"/>
    <x v="6"/>
    <x v="0"/>
    <x v="0"/>
    <x v="33"/>
    <x v="200"/>
    <x v="765"/>
    <x v="0"/>
    <s v="HATO PINTADO"/>
    <x v="2"/>
  </r>
  <r>
    <x v="10"/>
    <x v="21"/>
    <x v="6"/>
    <x v="6"/>
    <x v="0"/>
    <x v="0"/>
    <x v="33"/>
    <x v="70"/>
    <x v="765"/>
    <x v="0"/>
    <s v="HATO PINTADO"/>
    <x v="2"/>
  </r>
  <r>
    <x v="10"/>
    <x v="26"/>
    <x v="3"/>
    <x v="3"/>
    <x v="0"/>
    <x v="0"/>
    <x v="33"/>
    <x v="115"/>
    <x v="759"/>
    <x v="0"/>
    <s v="HATO PINTADO"/>
    <x v="2"/>
  </r>
  <r>
    <x v="10"/>
    <x v="49"/>
    <x v="3"/>
    <x v="3"/>
    <x v="0"/>
    <x v="0"/>
    <x v="33"/>
    <x v="244"/>
    <x v="759"/>
    <x v="0"/>
    <s v="HATO PINTADO"/>
    <x v="2"/>
  </r>
  <r>
    <x v="10"/>
    <x v="108"/>
    <x v="3"/>
    <x v="3"/>
    <x v="0"/>
    <x v="0"/>
    <x v="33"/>
    <x v="63"/>
    <x v="1215"/>
    <x v="0"/>
    <s v="HATO PINTADO"/>
    <x v="2"/>
  </r>
  <r>
    <x v="10"/>
    <x v="27"/>
    <x v="3"/>
    <x v="3"/>
    <x v="0"/>
    <x v="0"/>
    <x v="33"/>
    <x v="43"/>
    <x v="759"/>
    <x v="0"/>
    <s v="HATO PINTADO"/>
    <x v="2"/>
  </r>
  <r>
    <x v="10"/>
    <x v="43"/>
    <x v="3"/>
    <x v="3"/>
    <x v="0"/>
    <x v="0"/>
    <x v="33"/>
    <x v="71"/>
    <x v="146"/>
    <x v="0"/>
    <s v="HATO PINTADO"/>
    <x v="2"/>
  </r>
  <r>
    <x v="10"/>
    <x v="75"/>
    <x v="3"/>
    <x v="3"/>
    <x v="0"/>
    <x v="0"/>
    <x v="33"/>
    <x v="220"/>
    <x v="759"/>
    <x v="0"/>
    <s v="HATO PINTADO"/>
    <x v="2"/>
  </r>
  <r>
    <x v="10"/>
    <x v="148"/>
    <x v="3"/>
    <x v="3"/>
    <x v="0"/>
    <x v="0"/>
    <x v="33"/>
    <x v="174"/>
    <x v="859"/>
    <x v="0"/>
    <s v="HATO PINTADO"/>
    <x v="2"/>
  </r>
  <r>
    <x v="10"/>
    <x v="79"/>
    <x v="3"/>
    <x v="3"/>
    <x v="0"/>
    <x v="0"/>
    <x v="33"/>
    <x v="142"/>
    <x v="1182"/>
    <x v="0"/>
    <s v="HATO PINTADO"/>
    <x v="2"/>
  </r>
  <r>
    <x v="10"/>
    <x v="56"/>
    <x v="3"/>
    <x v="3"/>
    <x v="0"/>
    <x v="0"/>
    <x v="33"/>
    <x v="153"/>
    <x v="765"/>
    <x v="0"/>
    <s v="HATO PINTADO"/>
    <x v="2"/>
  </r>
  <r>
    <x v="10"/>
    <x v="28"/>
    <x v="3"/>
    <x v="3"/>
    <x v="0"/>
    <x v="0"/>
    <x v="33"/>
    <x v="245"/>
    <x v="874"/>
    <x v="0"/>
    <s v="HATO PINTADO"/>
    <x v="2"/>
  </r>
  <r>
    <x v="10"/>
    <x v="99"/>
    <x v="3"/>
    <x v="3"/>
    <x v="0"/>
    <x v="0"/>
    <x v="33"/>
    <x v="116"/>
    <x v="765"/>
    <x v="0"/>
    <s v="HATO PINTADO"/>
    <x v="2"/>
  </r>
  <r>
    <x v="10"/>
    <x v="68"/>
    <x v="4"/>
    <x v="4"/>
    <x v="0"/>
    <x v="0"/>
    <x v="33"/>
    <x v="222"/>
    <x v="146"/>
    <x v="0"/>
    <s v="HATO PINTADO"/>
    <x v="2"/>
  </r>
  <r>
    <x v="10"/>
    <x v="81"/>
    <x v="4"/>
    <x v="4"/>
    <x v="0"/>
    <x v="0"/>
    <x v="33"/>
    <x v="175"/>
    <x v="899"/>
    <x v="0"/>
    <s v="HATO PINTADO"/>
    <x v="2"/>
  </r>
  <r>
    <x v="10"/>
    <x v="156"/>
    <x v="4"/>
    <x v="4"/>
    <x v="0"/>
    <x v="0"/>
    <x v="33"/>
    <x v="146"/>
    <x v="899"/>
    <x v="0"/>
    <s v="HATO PINTADO"/>
    <x v="2"/>
  </r>
  <r>
    <x v="10"/>
    <x v="132"/>
    <x v="4"/>
    <x v="4"/>
    <x v="0"/>
    <x v="0"/>
    <x v="33"/>
    <x v="95"/>
    <x v="759"/>
    <x v="0"/>
    <s v="HATO PINTADO"/>
    <x v="2"/>
  </r>
  <r>
    <x v="10"/>
    <x v="30"/>
    <x v="4"/>
    <x v="4"/>
    <x v="0"/>
    <x v="0"/>
    <x v="33"/>
    <x v="159"/>
    <x v="146"/>
    <x v="0"/>
    <s v="HATO PINTADO"/>
    <x v="2"/>
  </r>
  <r>
    <x v="10"/>
    <x v="165"/>
    <x v="4"/>
    <x v="4"/>
    <x v="0"/>
    <x v="0"/>
    <x v="33"/>
    <x v="205"/>
    <x v="146"/>
    <x v="0"/>
    <s v="HATO PINTADO"/>
    <x v="2"/>
  </r>
  <r>
    <x v="10"/>
    <x v="38"/>
    <x v="4"/>
    <x v="4"/>
    <x v="0"/>
    <x v="0"/>
    <x v="33"/>
    <x v="106"/>
    <x v="765"/>
    <x v="0"/>
    <s v="HATO PINTADO"/>
    <x v="2"/>
  </r>
  <r>
    <x v="10"/>
    <x v="51"/>
    <x v="4"/>
    <x v="4"/>
    <x v="0"/>
    <x v="0"/>
    <x v="33"/>
    <x v="34"/>
    <x v="146"/>
    <x v="0"/>
    <s v="HATO PINTADO"/>
    <x v="2"/>
  </r>
  <r>
    <x v="10"/>
    <x v="90"/>
    <x v="0"/>
    <x v="0"/>
    <x v="0"/>
    <x v="0"/>
    <x v="33"/>
    <x v="79"/>
    <x v="759"/>
    <x v="0"/>
    <s v="HATO PINTADO"/>
    <x v="2"/>
  </r>
  <r>
    <x v="10"/>
    <x v="57"/>
    <x v="0"/>
    <x v="0"/>
    <x v="0"/>
    <x v="0"/>
    <x v="33"/>
    <x v="44"/>
    <x v="934"/>
    <x v="0"/>
    <s v="HATO PINTADO"/>
    <x v="2"/>
  </r>
  <r>
    <x v="10"/>
    <x v="0"/>
    <x v="0"/>
    <x v="0"/>
    <x v="0"/>
    <x v="0"/>
    <x v="33"/>
    <x v="197"/>
    <x v="759"/>
    <x v="0"/>
    <s v="HATO PINTADO"/>
    <x v="2"/>
  </r>
  <r>
    <x v="10"/>
    <x v="91"/>
    <x v="0"/>
    <x v="0"/>
    <x v="0"/>
    <x v="0"/>
    <x v="33"/>
    <x v="118"/>
    <x v="146"/>
    <x v="0"/>
    <s v="HATO PINTADO"/>
    <x v="2"/>
  </r>
  <r>
    <x v="10"/>
    <x v="53"/>
    <x v="0"/>
    <x v="0"/>
    <x v="0"/>
    <x v="0"/>
    <x v="33"/>
    <x v="144"/>
    <x v="899"/>
    <x v="0"/>
    <s v="HATO PINTADO"/>
    <x v="2"/>
  </r>
  <r>
    <x v="10"/>
    <x v="45"/>
    <x v="0"/>
    <x v="0"/>
    <x v="0"/>
    <x v="0"/>
    <x v="33"/>
    <x v="180"/>
    <x v="1182"/>
    <x v="0"/>
    <s v="HATO PINTADO"/>
    <x v="2"/>
  </r>
  <r>
    <x v="10"/>
    <x v="92"/>
    <x v="0"/>
    <x v="0"/>
    <x v="0"/>
    <x v="0"/>
    <x v="33"/>
    <x v="109"/>
    <x v="874"/>
    <x v="0"/>
    <s v="HATO PINTADO"/>
    <x v="2"/>
  </r>
  <r>
    <x v="10"/>
    <x v="136"/>
    <x v="0"/>
    <x v="0"/>
    <x v="0"/>
    <x v="0"/>
    <x v="33"/>
    <x v="100"/>
    <x v="874"/>
    <x v="0"/>
    <s v="HATO PINTADO"/>
    <x v="2"/>
  </r>
  <r>
    <x v="10"/>
    <x v="122"/>
    <x v="0"/>
    <x v="0"/>
    <x v="0"/>
    <x v="0"/>
    <x v="33"/>
    <x v="181"/>
    <x v="759"/>
    <x v="0"/>
    <s v="HATO PINTADO"/>
    <x v="2"/>
  </r>
  <r>
    <x v="10"/>
    <x v="145"/>
    <x v="5"/>
    <x v="5"/>
    <x v="0"/>
    <x v="0"/>
    <x v="33"/>
    <x v="124"/>
    <x v="848"/>
    <x v="0"/>
    <s v="HATO PINTADO"/>
    <x v="2"/>
  </r>
  <r>
    <x v="10"/>
    <x v="72"/>
    <x v="5"/>
    <x v="5"/>
    <x v="0"/>
    <x v="0"/>
    <x v="33"/>
    <x v="38"/>
    <x v="934"/>
    <x v="0"/>
    <s v="HATO PINTADO"/>
    <x v="2"/>
  </r>
  <r>
    <x v="10"/>
    <x v="77"/>
    <x v="5"/>
    <x v="5"/>
    <x v="0"/>
    <x v="0"/>
    <x v="33"/>
    <x v="156"/>
    <x v="874"/>
    <x v="0"/>
    <s v="HATO PINTADO"/>
    <x v="2"/>
  </r>
  <r>
    <x v="10"/>
    <x v="139"/>
    <x v="5"/>
    <x v="5"/>
    <x v="0"/>
    <x v="0"/>
    <x v="33"/>
    <x v="110"/>
    <x v="899"/>
    <x v="0"/>
    <s v="HATO PINTADO"/>
    <x v="2"/>
  </r>
  <r>
    <x v="10"/>
    <x v="63"/>
    <x v="5"/>
    <x v="5"/>
    <x v="0"/>
    <x v="0"/>
    <x v="33"/>
    <x v="111"/>
    <x v="899"/>
    <x v="0"/>
    <s v="HATO PINTADO"/>
    <x v="2"/>
  </r>
  <r>
    <x v="10"/>
    <x v="123"/>
    <x v="5"/>
    <x v="5"/>
    <x v="0"/>
    <x v="0"/>
    <x v="33"/>
    <x v="74"/>
    <x v="765"/>
    <x v="0"/>
    <s v="HATO PINTADO"/>
    <x v="2"/>
  </r>
  <r>
    <x v="10"/>
    <x v="54"/>
    <x v="5"/>
    <x v="5"/>
    <x v="0"/>
    <x v="0"/>
    <x v="33"/>
    <x v="246"/>
    <x v="759"/>
    <x v="0"/>
    <s v="HATO PINTADO"/>
    <x v="2"/>
  </r>
  <r>
    <x v="10"/>
    <x v="150"/>
    <x v="5"/>
    <x v="5"/>
    <x v="0"/>
    <x v="0"/>
    <x v="33"/>
    <x v="214"/>
    <x v="759"/>
    <x v="0"/>
    <s v="HATO PINTADO"/>
    <x v="2"/>
  </r>
  <r>
    <x v="10"/>
    <x v="40"/>
    <x v="1"/>
    <x v="1"/>
    <x v="0"/>
    <x v="0"/>
    <x v="33"/>
    <x v="125"/>
    <x v="759"/>
    <x v="0"/>
    <s v="HATO PINTADO"/>
    <x v="2"/>
  </r>
  <r>
    <x v="10"/>
    <x v="95"/>
    <x v="1"/>
    <x v="1"/>
    <x v="0"/>
    <x v="0"/>
    <x v="33"/>
    <x v="97"/>
    <x v="859"/>
    <x v="0"/>
    <s v="HATO PINTADO"/>
    <x v="2"/>
  </r>
  <r>
    <x v="10"/>
    <x v="151"/>
    <x v="1"/>
    <x v="1"/>
    <x v="0"/>
    <x v="0"/>
    <x v="33"/>
    <x v="166"/>
    <x v="765"/>
    <x v="0"/>
    <s v="HATO PINTADO"/>
    <x v="2"/>
  </r>
  <r>
    <x v="10"/>
    <x v="42"/>
    <x v="1"/>
    <x v="1"/>
    <x v="0"/>
    <x v="0"/>
    <x v="33"/>
    <x v="167"/>
    <x v="934"/>
    <x v="0"/>
    <s v="HATO PINTADO"/>
    <x v="2"/>
  </r>
  <r>
    <x v="10"/>
    <x v="101"/>
    <x v="1"/>
    <x v="1"/>
    <x v="0"/>
    <x v="0"/>
    <x v="33"/>
    <x v="207"/>
    <x v="1132"/>
    <x v="0"/>
    <s v="HATO PINTADO"/>
    <x v="2"/>
  </r>
  <r>
    <x v="10"/>
    <x v="128"/>
    <x v="1"/>
    <x v="1"/>
    <x v="0"/>
    <x v="0"/>
    <x v="33"/>
    <x v="164"/>
    <x v="765"/>
    <x v="0"/>
    <s v="HATO PINTADO"/>
    <x v="2"/>
  </r>
  <r>
    <x v="10"/>
    <x v="1"/>
    <x v="1"/>
    <x v="1"/>
    <x v="0"/>
    <x v="0"/>
    <x v="1"/>
    <x v="1"/>
    <x v="1"/>
    <x v="333"/>
    <s v="HATO PINTADO"/>
    <x v="2"/>
  </r>
  <r>
    <x v="10"/>
    <x v="144"/>
    <x v="2"/>
    <x v="2"/>
    <x v="0"/>
    <x v="1"/>
    <x v="33"/>
    <x v="162"/>
    <x v="759"/>
    <x v="0"/>
    <s v="HATO PINTADO"/>
    <x v="2"/>
  </r>
  <r>
    <x v="10"/>
    <x v="87"/>
    <x v="6"/>
    <x v="6"/>
    <x v="0"/>
    <x v="1"/>
    <x v="33"/>
    <x v="189"/>
    <x v="146"/>
    <x v="0"/>
    <s v="HATO PINTADO"/>
    <x v="2"/>
  </r>
  <r>
    <x v="10"/>
    <x v="71"/>
    <x v="6"/>
    <x v="6"/>
    <x v="0"/>
    <x v="1"/>
    <x v="33"/>
    <x v="37"/>
    <x v="146"/>
    <x v="0"/>
    <s v="HATO PINTADO"/>
    <x v="2"/>
  </r>
  <r>
    <x v="10"/>
    <x v="113"/>
    <x v="6"/>
    <x v="6"/>
    <x v="0"/>
    <x v="1"/>
    <x v="33"/>
    <x v="89"/>
    <x v="874"/>
    <x v="0"/>
    <s v="HATO PINTADO"/>
    <x v="2"/>
  </r>
  <r>
    <x v="10"/>
    <x v="21"/>
    <x v="6"/>
    <x v="6"/>
    <x v="0"/>
    <x v="1"/>
    <x v="33"/>
    <x v="70"/>
    <x v="874"/>
    <x v="0"/>
    <s v="HATO PINTADO"/>
    <x v="2"/>
  </r>
  <r>
    <x v="10"/>
    <x v="108"/>
    <x v="3"/>
    <x v="3"/>
    <x v="0"/>
    <x v="1"/>
    <x v="33"/>
    <x v="63"/>
    <x v="759"/>
    <x v="0"/>
    <s v="HATO PINTADO"/>
    <x v="2"/>
  </r>
  <r>
    <x v="10"/>
    <x v="30"/>
    <x v="4"/>
    <x v="4"/>
    <x v="0"/>
    <x v="1"/>
    <x v="33"/>
    <x v="159"/>
    <x v="874"/>
    <x v="0"/>
    <s v="HATO PINTADO"/>
    <x v="2"/>
  </r>
  <r>
    <x v="10"/>
    <x v="51"/>
    <x v="4"/>
    <x v="4"/>
    <x v="0"/>
    <x v="1"/>
    <x v="33"/>
    <x v="34"/>
    <x v="874"/>
    <x v="0"/>
    <s v="HATO PINTADO"/>
    <x v="2"/>
  </r>
  <r>
    <x v="10"/>
    <x v="57"/>
    <x v="0"/>
    <x v="0"/>
    <x v="0"/>
    <x v="1"/>
    <x v="33"/>
    <x v="44"/>
    <x v="874"/>
    <x v="0"/>
    <s v="HATO PINTADO"/>
    <x v="2"/>
  </r>
  <r>
    <x v="10"/>
    <x v="91"/>
    <x v="0"/>
    <x v="0"/>
    <x v="0"/>
    <x v="1"/>
    <x v="33"/>
    <x v="118"/>
    <x v="874"/>
    <x v="0"/>
    <s v="HATO PINTADO"/>
    <x v="2"/>
  </r>
  <r>
    <x v="10"/>
    <x v="122"/>
    <x v="0"/>
    <x v="0"/>
    <x v="0"/>
    <x v="1"/>
    <x v="33"/>
    <x v="181"/>
    <x v="874"/>
    <x v="0"/>
    <s v="HATO PINTADO"/>
    <x v="2"/>
  </r>
  <r>
    <x v="10"/>
    <x v="95"/>
    <x v="1"/>
    <x v="1"/>
    <x v="0"/>
    <x v="1"/>
    <x v="33"/>
    <x v="97"/>
    <x v="874"/>
    <x v="0"/>
    <s v="HATO PINTADO"/>
    <x v="2"/>
  </r>
  <r>
    <x v="10"/>
    <x v="151"/>
    <x v="1"/>
    <x v="1"/>
    <x v="0"/>
    <x v="1"/>
    <x v="33"/>
    <x v="166"/>
    <x v="874"/>
    <x v="0"/>
    <s v="HATO PINTADO"/>
    <x v="2"/>
  </r>
  <r>
    <x v="10"/>
    <x v="1"/>
    <x v="1"/>
    <x v="1"/>
    <x v="0"/>
    <x v="1"/>
    <x v="1"/>
    <x v="1"/>
    <x v="1"/>
    <x v="322"/>
    <s v="HATO PINTADO"/>
    <x v="2"/>
  </r>
  <r>
    <x v="11"/>
    <x v="119"/>
    <x v="0"/>
    <x v="0"/>
    <x v="0"/>
    <x v="1"/>
    <x v="33"/>
    <x v="96"/>
    <x v="874"/>
    <x v="0"/>
    <s v="RIO ABAJO"/>
    <x v="2"/>
  </r>
  <r>
    <x v="11"/>
    <x v="1"/>
    <x v="1"/>
    <x v="1"/>
    <x v="0"/>
    <x v="1"/>
    <x v="1"/>
    <x v="1"/>
    <x v="1"/>
    <x v="216"/>
    <s v="RIO ABAJO"/>
    <x v="2"/>
  </r>
  <r>
    <x v="12"/>
    <x v="70"/>
    <x v="2"/>
    <x v="2"/>
    <x v="0"/>
    <x v="2"/>
    <x v="32"/>
    <x v="36"/>
    <x v="537"/>
    <x v="0"/>
    <s v="LA CHORRERA"/>
    <x v="2"/>
  </r>
  <r>
    <x v="12"/>
    <x v="43"/>
    <x v="3"/>
    <x v="3"/>
    <x v="0"/>
    <x v="2"/>
    <x v="32"/>
    <x v="71"/>
    <x v="1321"/>
    <x v="0"/>
    <s v="LA CHORRERA"/>
    <x v="2"/>
  </r>
  <r>
    <x v="12"/>
    <x v="160"/>
    <x v="0"/>
    <x v="0"/>
    <x v="0"/>
    <x v="2"/>
    <x v="32"/>
    <x v="179"/>
    <x v="1322"/>
    <x v="0"/>
    <s v="LA CHORRERA"/>
    <x v="2"/>
  </r>
  <r>
    <x v="12"/>
    <x v="40"/>
    <x v="1"/>
    <x v="1"/>
    <x v="0"/>
    <x v="2"/>
    <x v="32"/>
    <x v="125"/>
    <x v="1157"/>
    <x v="0"/>
    <s v="LA CHORRERA"/>
    <x v="2"/>
  </r>
  <r>
    <x v="12"/>
    <x v="1"/>
    <x v="1"/>
    <x v="1"/>
    <x v="0"/>
    <x v="2"/>
    <x v="1"/>
    <x v="1"/>
    <x v="1"/>
    <x v="334"/>
    <s v="LA CHORRERA"/>
    <x v="2"/>
  </r>
  <r>
    <x v="15"/>
    <x v="64"/>
    <x v="2"/>
    <x v="2"/>
    <x v="0"/>
    <x v="2"/>
    <x v="32"/>
    <x v="139"/>
    <x v="1323"/>
    <x v="0"/>
    <s v="VILLA LUCRE"/>
    <x v="2"/>
  </r>
  <r>
    <x v="15"/>
    <x v="135"/>
    <x v="3"/>
    <x v="3"/>
    <x v="0"/>
    <x v="2"/>
    <x v="32"/>
    <x v="149"/>
    <x v="1324"/>
    <x v="0"/>
    <s v="VILLA LUCRE"/>
    <x v="2"/>
  </r>
  <r>
    <x v="15"/>
    <x v="159"/>
    <x v="0"/>
    <x v="0"/>
    <x v="0"/>
    <x v="2"/>
    <x v="32"/>
    <x v="177"/>
    <x v="1325"/>
    <x v="0"/>
    <s v="VILLA LUCRE"/>
    <x v="2"/>
  </r>
  <r>
    <x v="15"/>
    <x v="160"/>
    <x v="0"/>
    <x v="0"/>
    <x v="0"/>
    <x v="2"/>
    <x v="32"/>
    <x v="179"/>
    <x v="1326"/>
    <x v="0"/>
    <s v="VILLA LUCRE"/>
    <x v="2"/>
  </r>
  <r>
    <x v="15"/>
    <x v="145"/>
    <x v="5"/>
    <x v="5"/>
    <x v="0"/>
    <x v="2"/>
    <x v="32"/>
    <x v="124"/>
    <x v="1327"/>
    <x v="0"/>
    <s v="VILLA LUCRE"/>
    <x v="2"/>
  </r>
  <r>
    <x v="15"/>
    <x v="40"/>
    <x v="1"/>
    <x v="1"/>
    <x v="0"/>
    <x v="2"/>
    <x v="32"/>
    <x v="125"/>
    <x v="1328"/>
    <x v="0"/>
    <s v="VILLA LUCRE"/>
    <x v="2"/>
  </r>
  <r>
    <x v="15"/>
    <x v="101"/>
    <x v="1"/>
    <x v="1"/>
    <x v="0"/>
    <x v="2"/>
    <x v="32"/>
    <x v="207"/>
    <x v="1329"/>
    <x v="0"/>
    <s v="VILLA LUCRE"/>
    <x v="2"/>
  </r>
  <r>
    <x v="15"/>
    <x v="1"/>
    <x v="1"/>
    <x v="1"/>
    <x v="0"/>
    <x v="2"/>
    <x v="1"/>
    <x v="1"/>
    <x v="1"/>
    <x v="335"/>
    <s v="VILLA LUCRE"/>
    <x v="2"/>
  </r>
  <r>
    <x v="15"/>
    <x v="16"/>
    <x v="2"/>
    <x v="2"/>
    <x v="0"/>
    <x v="0"/>
    <x v="33"/>
    <x v="93"/>
    <x v="899"/>
    <x v="0"/>
    <s v="VILLA LUCRE"/>
    <x v="2"/>
  </r>
  <r>
    <x v="15"/>
    <x v="118"/>
    <x v="2"/>
    <x v="2"/>
    <x v="0"/>
    <x v="0"/>
    <x v="33"/>
    <x v="69"/>
    <x v="759"/>
    <x v="0"/>
    <s v="VILLA LUCRE"/>
    <x v="2"/>
  </r>
  <r>
    <x v="15"/>
    <x v="144"/>
    <x v="2"/>
    <x v="2"/>
    <x v="0"/>
    <x v="0"/>
    <x v="33"/>
    <x v="162"/>
    <x v="934"/>
    <x v="0"/>
    <s v="VILLA LUCRE"/>
    <x v="2"/>
  </r>
  <r>
    <x v="15"/>
    <x v="65"/>
    <x v="6"/>
    <x v="6"/>
    <x v="0"/>
    <x v="0"/>
    <x v="33"/>
    <x v="190"/>
    <x v="146"/>
    <x v="0"/>
    <s v="VILLA LUCRE"/>
    <x v="2"/>
  </r>
  <r>
    <x v="15"/>
    <x v="36"/>
    <x v="6"/>
    <x v="6"/>
    <x v="0"/>
    <x v="0"/>
    <x v="33"/>
    <x v="94"/>
    <x v="874"/>
    <x v="0"/>
    <s v="VILLA LUCRE"/>
    <x v="2"/>
  </r>
  <r>
    <x v="15"/>
    <x v="88"/>
    <x v="6"/>
    <x v="6"/>
    <x v="0"/>
    <x v="0"/>
    <x v="33"/>
    <x v="242"/>
    <x v="146"/>
    <x v="0"/>
    <s v="VILLA LUCRE"/>
    <x v="2"/>
  </r>
  <r>
    <x v="15"/>
    <x v="113"/>
    <x v="6"/>
    <x v="6"/>
    <x v="0"/>
    <x v="0"/>
    <x v="33"/>
    <x v="89"/>
    <x v="874"/>
    <x v="0"/>
    <s v="VILLA LUCRE"/>
    <x v="2"/>
  </r>
  <r>
    <x v="15"/>
    <x v="21"/>
    <x v="6"/>
    <x v="6"/>
    <x v="0"/>
    <x v="0"/>
    <x v="33"/>
    <x v="70"/>
    <x v="146"/>
    <x v="0"/>
    <s v="VILLA LUCRE"/>
    <x v="2"/>
  </r>
  <r>
    <x v="15"/>
    <x v="23"/>
    <x v="3"/>
    <x v="3"/>
    <x v="0"/>
    <x v="0"/>
    <x v="33"/>
    <x v="221"/>
    <x v="765"/>
    <x v="0"/>
    <s v="VILLA LUCRE"/>
    <x v="2"/>
  </r>
  <r>
    <x v="15"/>
    <x v="49"/>
    <x v="3"/>
    <x v="3"/>
    <x v="0"/>
    <x v="0"/>
    <x v="33"/>
    <x v="244"/>
    <x v="874"/>
    <x v="0"/>
    <s v="VILLA LUCRE"/>
    <x v="2"/>
  </r>
  <r>
    <x v="15"/>
    <x v="43"/>
    <x v="3"/>
    <x v="3"/>
    <x v="0"/>
    <x v="0"/>
    <x v="33"/>
    <x v="71"/>
    <x v="759"/>
    <x v="0"/>
    <s v="VILLA LUCRE"/>
    <x v="2"/>
  </r>
  <r>
    <x v="15"/>
    <x v="75"/>
    <x v="3"/>
    <x v="3"/>
    <x v="0"/>
    <x v="0"/>
    <x v="33"/>
    <x v="220"/>
    <x v="1182"/>
    <x v="0"/>
    <s v="VILLA LUCRE"/>
    <x v="2"/>
  </r>
  <r>
    <x v="15"/>
    <x v="30"/>
    <x v="4"/>
    <x v="4"/>
    <x v="0"/>
    <x v="0"/>
    <x v="33"/>
    <x v="159"/>
    <x v="765"/>
    <x v="0"/>
    <s v="VILLA LUCRE"/>
    <x v="2"/>
  </r>
  <r>
    <x v="15"/>
    <x v="116"/>
    <x v="0"/>
    <x v="0"/>
    <x v="0"/>
    <x v="0"/>
    <x v="33"/>
    <x v="64"/>
    <x v="759"/>
    <x v="0"/>
    <s v="VILLA LUCRE"/>
    <x v="2"/>
  </r>
  <r>
    <x v="15"/>
    <x v="53"/>
    <x v="0"/>
    <x v="0"/>
    <x v="0"/>
    <x v="0"/>
    <x v="33"/>
    <x v="144"/>
    <x v="146"/>
    <x v="0"/>
    <s v="VILLA LUCRE"/>
    <x v="2"/>
  </r>
  <r>
    <x v="15"/>
    <x v="76"/>
    <x v="5"/>
    <x v="5"/>
    <x v="0"/>
    <x v="0"/>
    <x v="33"/>
    <x v="182"/>
    <x v="765"/>
    <x v="0"/>
    <s v="VILLA LUCRE"/>
    <x v="2"/>
  </r>
  <r>
    <x v="15"/>
    <x v="145"/>
    <x v="5"/>
    <x v="5"/>
    <x v="0"/>
    <x v="0"/>
    <x v="33"/>
    <x v="124"/>
    <x v="765"/>
    <x v="0"/>
    <s v="VILLA LUCRE"/>
    <x v="2"/>
  </r>
  <r>
    <x v="15"/>
    <x v="77"/>
    <x v="5"/>
    <x v="5"/>
    <x v="0"/>
    <x v="0"/>
    <x v="33"/>
    <x v="156"/>
    <x v="759"/>
    <x v="0"/>
    <s v="VILLA LUCRE"/>
    <x v="2"/>
  </r>
  <r>
    <x v="15"/>
    <x v="139"/>
    <x v="5"/>
    <x v="5"/>
    <x v="0"/>
    <x v="0"/>
    <x v="33"/>
    <x v="110"/>
    <x v="146"/>
    <x v="0"/>
    <s v="VILLA LUCRE"/>
    <x v="2"/>
  </r>
  <r>
    <x v="15"/>
    <x v="40"/>
    <x v="1"/>
    <x v="1"/>
    <x v="0"/>
    <x v="0"/>
    <x v="33"/>
    <x v="125"/>
    <x v="146"/>
    <x v="0"/>
    <s v="VILLA LUCRE"/>
    <x v="2"/>
  </r>
  <r>
    <x v="15"/>
    <x v="42"/>
    <x v="1"/>
    <x v="1"/>
    <x v="0"/>
    <x v="0"/>
    <x v="33"/>
    <x v="167"/>
    <x v="899"/>
    <x v="0"/>
    <s v="VILLA LUCRE"/>
    <x v="2"/>
  </r>
  <r>
    <x v="15"/>
    <x v="1"/>
    <x v="1"/>
    <x v="1"/>
    <x v="0"/>
    <x v="0"/>
    <x v="1"/>
    <x v="1"/>
    <x v="1"/>
    <x v="336"/>
    <s v="VILLA LUCRE"/>
    <x v="2"/>
  </r>
  <r>
    <x v="15"/>
    <x v="120"/>
    <x v="0"/>
    <x v="0"/>
    <x v="0"/>
    <x v="1"/>
    <x v="33"/>
    <x v="212"/>
    <x v="874"/>
    <x v="0"/>
    <s v="VILLA LUCRE"/>
    <x v="2"/>
  </r>
  <r>
    <x v="15"/>
    <x v="100"/>
    <x v="0"/>
    <x v="0"/>
    <x v="0"/>
    <x v="1"/>
    <x v="33"/>
    <x v="73"/>
    <x v="874"/>
    <x v="0"/>
    <s v="VILLA LUCRE"/>
    <x v="2"/>
  </r>
  <r>
    <x v="15"/>
    <x v="1"/>
    <x v="1"/>
    <x v="1"/>
    <x v="0"/>
    <x v="1"/>
    <x v="1"/>
    <x v="1"/>
    <x v="1"/>
    <x v="261"/>
    <s v="VILLA LUCRE"/>
    <x v="2"/>
  </r>
  <r>
    <x v="16"/>
    <x v="31"/>
    <x v="4"/>
    <x v="4"/>
    <x v="0"/>
    <x v="2"/>
    <x v="33"/>
    <x v="72"/>
    <x v="874"/>
    <x v="0"/>
    <s v="LOS ANDES"/>
    <x v="2"/>
  </r>
  <r>
    <x v="16"/>
    <x v="1"/>
    <x v="1"/>
    <x v="1"/>
    <x v="0"/>
    <x v="2"/>
    <x v="1"/>
    <x v="1"/>
    <x v="1"/>
    <x v="216"/>
    <s v="LOS ANDES"/>
    <x v="2"/>
  </r>
  <r>
    <x v="16"/>
    <x v="16"/>
    <x v="2"/>
    <x v="2"/>
    <x v="0"/>
    <x v="0"/>
    <x v="33"/>
    <x v="93"/>
    <x v="1215"/>
    <x v="0"/>
    <s v="LOS ANDES"/>
    <x v="2"/>
  </r>
  <r>
    <x v="16"/>
    <x v="106"/>
    <x v="2"/>
    <x v="2"/>
    <x v="0"/>
    <x v="0"/>
    <x v="33"/>
    <x v="223"/>
    <x v="1182"/>
    <x v="0"/>
    <s v="LOS ANDES"/>
    <x v="2"/>
  </r>
  <r>
    <x v="16"/>
    <x v="47"/>
    <x v="2"/>
    <x v="2"/>
    <x v="0"/>
    <x v="0"/>
    <x v="33"/>
    <x v="68"/>
    <x v="1182"/>
    <x v="0"/>
    <s v="LOS ANDES"/>
    <x v="2"/>
  </r>
  <r>
    <x v="16"/>
    <x v="85"/>
    <x v="2"/>
    <x v="2"/>
    <x v="0"/>
    <x v="0"/>
    <x v="33"/>
    <x v="161"/>
    <x v="1132"/>
    <x v="0"/>
    <s v="LOS ANDES"/>
    <x v="2"/>
  </r>
  <r>
    <x v="16"/>
    <x v="24"/>
    <x v="2"/>
    <x v="2"/>
    <x v="0"/>
    <x v="0"/>
    <x v="33"/>
    <x v="202"/>
    <x v="759"/>
    <x v="0"/>
    <s v="LOS ANDES"/>
    <x v="2"/>
  </r>
  <r>
    <x v="16"/>
    <x v="107"/>
    <x v="2"/>
    <x v="2"/>
    <x v="0"/>
    <x v="0"/>
    <x v="33"/>
    <x v="158"/>
    <x v="765"/>
    <x v="0"/>
    <s v="LOS ANDES"/>
    <x v="2"/>
  </r>
  <r>
    <x v="16"/>
    <x v="144"/>
    <x v="2"/>
    <x v="2"/>
    <x v="0"/>
    <x v="0"/>
    <x v="33"/>
    <x v="162"/>
    <x v="765"/>
    <x v="0"/>
    <s v="LOS ANDES"/>
    <x v="2"/>
  </r>
  <r>
    <x v="16"/>
    <x v="84"/>
    <x v="2"/>
    <x v="2"/>
    <x v="0"/>
    <x v="0"/>
    <x v="33"/>
    <x v="203"/>
    <x v="982"/>
    <x v="0"/>
    <s v="LOS ANDES"/>
    <x v="2"/>
  </r>
  <r>
    <x v="16"/>
    <x v="110"/>
    <x v="2"/>
    <x v="2"/>
    <x v="0"/>
    <x v="0"/>
    <x v="33"/>
    <x v="171"/>
    <x v="765"/>
    <x v="0"/>
    <s v="LOS ANDES"/>
    <x v="2"/>
  </r>
  <r>
    <x v="16"/>
    <x v="17"/>
    <x v="2"/>
    <x v="2"/>
    <x v="0"/>
    <x v="0"/>
    <x v="33"/>
    <x v="150"/>
    <x v="765"/>
    <x v="0"/>
    <s v="LOS ANDES"/>
    <x v="2"/>
  </r>
  <r>
    <x v="16"/>
    <x v="111"/>
    <x v="2"/>
    <x v="2"/>
    <x v="0"/>
    <x v="0"/>
    <x v="33"/>
    <x v="75"/>
    <x v="1182"/>
    <x v="0"/>
    <s v="LOS ANDES"/>
    <x v="2"/>
  </r>
  <r>
    <x v="16"/>
    <x v="86"/>
    <x v="6"/>
    <x v="6"/>
    <x v="0"/>
    <x v="0"/>
    <x v="33"/>
    <x v="224"/>
    <x v="759"/>
    <x v="0"/>
    <s v="LOS ANDES"/>
    <x v="2"/>
  </r>
  <r>
    <x v="16"/>
    <x v="65"/>
    <x v="6"/>
    <x v="6"/>
    <x v="0"/>
    <x v="0"/>
    <x v="33"/>
    <x v="190"/>
    <x v="934"/>
    <x v="0"/>
    <s v="LOS ANDES"/>
    <x v="2"/>
  </r>
  <r>
    <x v="16"/>
    <x v="36"/>
    <x v="6"/>
    <x v="6"/>
    <x v="0"/>
    <x v="0"/>
    <x v="33"/>
    <x v="94"/>
    <x v="1182"/>
    <x v="0"/>
    <s v="LOS ANDES"/>
    <x v="2"/>
  </r>
  <r>
    <x v="16"/>
    <x v="87"/>
    <x v="6"/>
    <x v="6"/>
    <x v="0"/>
    <x v="0"/>
    <x v="33"/>
    <x v="189"/>
    <x v="759"/>
    <x v="0"/>
    <s v="LOS ANDES"/>
    <x v="2"/>
  </r>
  <r>
    <x v="16"/>
    <x v="71"/>
    <x v="6"/>
    <x v="6"/>
    <x v="0"/>
    <x v="0"/>
    <x v="33"/>
    <x v="37"/>
    <x v="859"/>
    <x v="0"/>
    <s v="LOS ANDES"/>
    <x v="2"/>
  </r>
  <r>
    <x v="16"/>
    <x v="102"/>
    <x v="6"/>
    <x v="6"/>
    <x v="0"/>
    <x v="0"/>
    <x v="33"/>
    <x v="141"/>
    <x v="1132"/>
    <x v="0"/>
    <s v="LOS ANDES"/>
    <x v="2"/>
  </r>
  <r>
    <x v="16"/>
    <x v="134"/>
    <x v="6"/>
    <x v="6"/>
    <x v="0"/>
    <x v="0"/>
    <x v="33"/>
    <x v="226"/>
    <x v="765"/>
    <x v="0"/>
    <s v="LOS ANDES"/>
    <x v="2"/>
  </r>
  <r>
    <x v="16"/>
    <x v="147"/>
    <x v="6"/>
    <x v="6"/>
    <x v="0"/>
    <x v="0"/>
    <x v="33"/>
    <x v="132"/>
    <x v="759"/>
    <x v="0"/>
    <s v="LOS ANDES"/>
    <x v="2"/>
  </r>
  <r>
    <x v="16"/>
    <x v="11"/>
    <x v="6"/>
    <x v="6"/>
    <x v="0"/>
    <x v="0"/>
    <x v="33"/>
    <x v="91"/>
    <x v="859"/>
    <x v="0"/>
    <s v="LOS ANDES"/>
    <x v="2"/>
  </r>
  <r>
    <x v="16"/>
    <x v="21"/>
    <x v="6"/>
    <x v="6"/>
    <x v="0"/>
    <x v="0"/>
    <x v="33"/>
    <x v="70"/>
    <x v="874"/>
    <x v="0"/>
    <s v="LOS ANDES"/>
    <x v="2"/>
  </r>
  <r>
    <x v="16"/>
    <x v="137"/>
    <x v="6"/>
    <x v="6"/>
    <x v="0"/>
    <x v="0"/>
    <x v="33"/>
    <x v="102"/>
    <x v="146"/>
    <x v="0"/>
    <s v="LOS ANDES"/>
    <x v="2"/>
  </r>
  <r>
    <x v="16"/>
    <x v="26"/>
    <x v="3"/>
    <x v="3"/>
    <x v="0"/>
    <x v="0"/>
    <x v="33"/>
    <x v="115"/>
    <x v="146"/>
    <x v="0"/>
    <s v="LOS ANDES"/>
    <x v="2"/>
  </r>
  <r>
    <x v="16"/>
    <x v="23"/>
    <x v="3"/>
    <x v="3"/>
    <x v="0"/>
    <x v="0"/>
    <x v="33"/>
    <x v="221"/>
    <x v="859"/>
    <x v="0"/>
    <s v="LOS ANDES"/>
    <x v="2"/>
  </r>
  <r>
    <x v="16"/>
    <x v="19"/>
    <x v="3"/>
    <x v="3"/>
    <x v="0"/>
    <x v="0"/>
    <x v="33"/>
    <x v="62"/>
    <x v="765"/>
    <x v="0"/>
    <s v="LOS ANDES"/>
    <x v="2"/>
  </r>
  <r>
    <x v="16"/>
    <x v="108"/>
    <x v="3"/>
    <x v="3"/>
    <x v="0"/>
    <x v="0"/>
    <x v="33"/>
    <x v="63"/>
    <x v="952"/>
    <x v="0"/>
    <s v="LOS ANDES"/>
    <x v="2"/>
  </r>
  <r>
    <x v="16"/>
    <x v="27"/>
    <x v="3"/>
    <x v="3"/>
    <x v="0"/>
    <x v="0"/>
    <x v="33"/>
    <x v="43"/>
    <x v="765"/>
    <x v="0"/>
    <s v="LOS ANDES"/>
    <x v="2"/>
  </r>
  <r>
    <x v="16"/>
    <x v="114"/>
    <x v="3"/>
    <x v="3"/>
    <x v="0"/>
    <x v="0"/>
    <x v="33"/>
    <x v="76"/>
    <x v="1132"/>
    <x v="0"/>
    <s v="LOS ANDES"/>
    <x v="2"/>
  </r>
  <r>
    <x v="16"/>
    <x v="43"/>
    <x v="3"/>
    <x v="3"/>
    <x v="0"/>
    <x v="0"/>
    <x v="33"/>
    <x v="71"/>
    <x v="952"/>
    <x v="0"/>
    <s v="LOS ANDES"/>
    <x v="2"/>
  </r>
  <r>
    <x v="16"/>
    <x v="61"/>
    <x v="3"/>
    <x v="3"/>
    <x v="0"/>
    <x v="0"/>
    <x v="33"/>
    <x v="126"/>
    <x v="899"/>
    <x v="0"/>
    <s v="LOS ANDES"/>
    <x v="2"/>
  </r>
  <r>
    <x v="16"/>
    <x v="148"/>
    <x v="3"/>
    <x v="3"/>
    <x v="0"/>
    <x v="0"/>
    <x v="33"/>
    <x v="174"/>
    <x v="874"/>
    <x v="0"/>
    <s v="LOS ANDES"/>
    <x v="2"/>
  </r>
  <r>
    <x v="16"/>
    <x v="79"/>
    <x v="3"/>
    <x v="3"/>
    <x v="0"/>
    <x v="0"/>
    <x v="33"/>
    <x v="142"/>
    <x v="1182"/>
    <x v="0"/>
    <s v="LOS ANDES"/>
    <x v="2"/>
  </r>
  <r>
    <x v="16"/>
    <x v="56"/>
    <x v="3"/>
    <x v="3"/>
    <x v="0"/>
    <x v="0"/>
    <x v="33"/>
    <x v="153"/>
    <x v="759"/>
    <x v="0"/>
    <s v="LOS ANDES"/>
    <x v="2"/>
  </r>
  <r>
    <x v="16"/>
    <x v="28"/>
    <x v="3"/>
    <x v="3"/>
    <x v="0"/>
    <x v="0"/>
    <x v="33"/>
    <x v="245"/>
    <x v="874"/>
    <x v="0"/>
    <s v="LOS ANDES"/>
    <x v="2"/>
  </r>
  <r>
    <x v="16"/>
    <x v="131"/>
    <x v="3"/>
    <x v="3"/>
    <x v="0"/>
    <x v="0"/>
    <x v="33"/>
    <x v="163"/>
    <x v="759"/>
    <x v="0"/>
    <s v="LOS ANDES"/>
    <x v="2"/>
  </r>
  <r>
    <x v="16"/>
    <x v="81"/>
    <x v="4"/>
    <x v="4"/>
    <x v="0"/>
    <x v="0"/>
    <x v="33"/>
    <x v="175"/>
    <x v="934"/>
    <x v="0"/>
    <s v="LOS ANDES"/>
    <x v="2"/>
  </r>
  <r>
    <x v="16"/>
    <x v="132"/>
    <x v="4"/>
    <x v="4"/>
    <x v="0"/>
    <x v="0"/>
    <x v="33"/>
    <x v="95"/>
    <x v="874"/>
    <x v="0"/>
    <s v="LOS ANDES"/>
    <x v="2"/>
  </r>
  <r>
    <x v="16"/>
    <x v="12"/>
    <x v="4"/>
    <x v="4"/>
    <x v="0"/>
    <x v="0"/>
    <x v="33"/>
    <x v="247"/>
    <x v="874"/>
    <x v="0"/>
    <s v="LOS ANDES"/>
    <x v="2"/>
  </r>
  <r>
    <x v="16"/>
    <x v="29"/>
    <x v="4"/>
    <x v="4"/>
    <x v="0"/>
    <x v="0"/>
    <x v="33"/>
    <x v="248"/>
    <x v="899"/>
    <x v="0"/>
    <s v="LOS ANDES"/>
    <x v="2"/>
  </r>
  <r>
    <x v="16"/>
    <x v="30"/>
    <x v="4"/>
    <x v="4"/>
    <x v="0"/>
    <x v="0"/>
    <x v="33"/>
    <x v="159"/>
    <x v="934"/>
    <x v="0"/>
    <s v="LOS ANDES"/>
    <x v="2"/>
  </r>
  <r>
    <x v="16"/>
    <x v="165"/>
    <x v="4"/>
    <x v="4"/>
    <x v="0"/>
    <x v="0"/>
    <x v="33"/>
    <x v="205"/>
    <x v="765"/>
    <x v="0"/>
    <s v="LOS ANDES"/>
    <x v="2"/>
  </r>
  <r>
    <x v="16"/>
    <x v="4"/>
    <x v="4"/>
    <x v="4"/>
    <x v="0"/>
    <x v="0"/>
    <x v="33"/>
    <x v="199"/>
    <x v="874"/>
    <x v="0"/>
    <s v="LOS ANDES"/>
    <x v="2"/>
  </r>
  <r>
    <x v="16"/>
    <x v="159"/>
    <x v="0"/>
    <x v="0"/>
    <x v="0"/>
    <x v="0"/>
    <x v="33"/>
    <x v="177"/>
    <x v="146"/>
    <x v="0"/>
    <s v="LOS ANDES"/>
    <x v="2"/>
  </r>
  <r>
    <x v="16"/>
    <x v="120"/>
    <x v="0"/>
    <x v="0"/>
    <x v="0"/>
    <x v="0"/>
    <x v="33"/>
    <x v="212"/>
    <x v="934"/>
    <x v="0"/>
    <s v="LOS ANDES"/>
    <x v="2"/>
  </r>
  <r>
    <x v="16"/>
    <x v="53"/>
    <x v="0"/>
    <x v="0"/>
    <x v="0"/>
    <x v="0"/>
    <x v="33"/>
    <x v="144"/>
    <x v="146"/>
    <x v="0"/>
    <s v="LOS ANDES"/>
    <x v="2"/>
  </r>
  <r>
    <x v="16"/>
    <x v="45"/>
    <x v="0"/>
    <x v="0"/>
    <x v="0"/>
    <x v="0"/>
    <x v="33"/>
    <x v="180"/>
    <x v="1132"/>
    <x v="0"/>
    <s v="LOS ANDES"/>
    <x v="2"/>
  </r>
  <r>
    <x v="16"/>
    <x v="46"/>
    <x v="0"/>
    <x v="0"/>
    <x v="0"/>
    <x v="0"/>
    <x v="33"/>
    <x v="155"/>
    <x v="759"/>
    <x v="0"/>
    <s v="LOS ANDES"/>
    <x v="2"/>
  </r>
  <r>
    <x v="16"/>
    <x v="92"/>
    <x v="0"/>
    <x v="0"/>
    <x v="0"/>
    <x v="0"/>
    <x v="33"/>
    <x v="109"/>
    <x v="1182"/>
    <x v="0"/>
    <s v="LOS ANDES"/>
    <x v="2"/>
  </r>
  <r>
    <x v="16"/>
    <x v="136"/>
    <x v="0"/>
    <x v="0"/>
    <x v="0"/>
    <x v="0"/>
    <x v="33"/>
    <x v="100"/>
    <x v="759"/>
    <x v="0"/>
    <s v="LOS ANDES"/>
    <x v="2"/>
  </r>
  <r>
    <x v="16"/>
    <x v="122"/>
    <x v="0"/>
    <x v="0"/>
    <x v="0"/>
    <x v="0"/>
    <x v="33"/>
    <x v="181"/>
    <x v="874"/>
    <x v="0"/>
    <s v="LOS ANDES"/>
    <x v="2"/>
  </r>
  <r>
    <x v="16"/>
    <x v="32"/>
    <x v="5"/>
    <x v="5"/>
    <x v="0"/>
    <x v="0"/>
    <x v="33"/>
    <x v="81"/>
    <x v="874"/>
    <x v="0"/>
    <s v="LOS ANDES"/>
    <x v="2"/>
  </r>
  <r>
    <x v="16"/>
    <x v="115"/>
    <x v="5"/>
    <x v="5"/>
    <x v="0"/>
    <x v="0"/>
    <x v="33"/>
    <x v="213"/>
    <x v="848"/>
    <x v="0"/>
    <s v="LOS ANDES"/>
    <x v="2"/>
  </r>
  <r>
    <x v="16"/>
    <x v="97"/>
    <x v="5"/>
    <x v="5"/>
    <x v="0"/>
    <x v="0"/>
    <x v="33"/>
    <x v="183"/>
    <x v="899"/>
    <x v="0"/>
    <s v="LOS ANDES"/>
    <x v="2"/>
  </r>
  <r>
    <x v="16"/>
    <x v="13"/>
    <x v="5"/>
    <x v="5"/>
    <x v="0"/>
    <x v="0"/>
    <x v="33"/>
    <x v="120"/>
    <x v="859"/>
    <x v="0"/>
    <s v="LOS ANDES"/>
    <x v="2"/>
  </r>
  <r>
    <x v="16"/>
    <x v="72"/>
    <x v="5"/>
    <x v="5"/>
    <x v="0"/>
    <x v="0"/>
    <x v="33"/>
    <x v="38"/>
    <x v="759"/>
    <x v="0"/>
    <s v="LOS ANDES"/>
    <x v="2"/>
  </r>
  <r>
    <x v="16"/>
    <x v="125"/>
    <x v="5"/>
    <x v="5"/>
    <x v="0"/>
    <x v="0"/>
    <x v="33"/>
    <x v="82"/>
    <x v="934"/>
    <x v="0"/>
    <s v="LOS ANDES"/>
    <x v="2"/>
  </r>
  <r>
    <x v="16"/>
    <x v="34"/>
    <x v="5"/>
    <x v="5"/>
    <x v="0"/>
    <x v="0"/>
    <x v="33"/>
    <x v="184"/>
    <x v="759"/>
    <x v="0"/>
    <s v="LOS ANDES"/>
    <x v="2"/>
  </r>
  <r>
    <x v="16"/>
    <x v="77"/>
    <x v="5"/>
    <x v="5"/>
    <x v="0"/>
    <x v="0"/>
    <x v="33"/>
    <x v="156"/>
    <x v="146"/>
    <x v="0"/>
    <s v="LOS ANDES"/>
    <x v="2"/>
  </r>
  <r>
    <x v="16"/>
    <x v="139"/>
    <x v="5"/>
    <x v="5"/>
    <x v="0"/>
    <x v="0"/>
    <x v="33"/>
    <x v="110"/>
    <x v="1215"/>
    <x v="0"/>
    <s v="LOS ANDES"/>
    <x v="2"/>
  </r>
  <r>
    <x v="16"/>
    <x v="63"/>
    <x v="5"/>
    <x v="5"/>
    <x v="0"/>
    <x v="0"/>
    <x v="33"/>
    <x v="111"/>
    <x v="146"/>
    <x v="0"/>
    <s v="LOS ANDES"/>
    <x v="2"/>
  </r>
  <r>
    <x v="16"/>
    <x v="54"/>
    <x v="5"/>
    <x v="5"/>
    <x v="0"/>
    <x v="0"/>
    <x v="33"/>
    <x v="246"/>
    <x v="1182"/>
    <x v="0"/>
    <s v="LOS ANDES"/>
    <x v="2"/>
  </r>
  <r>
    <x v="16"/>
    <x v="150"/>
    <x v="5"/>
    <x v="5"/>
    <x v="0"/>
    <x v="0"/>
    <x v="33"/>
    <x v="214"/>
    <x v="874"/>
    <x v="0"/>
    <s v="LOS ANDES"/>
    <x v="2"/>
  </r>
  <r>
    <x v="16"/>
    <x v="20"/>
    <x v="5"/>
    <x v="5"/>
    <x v="0"/>
    <x v="0"/>
    <x v="33"/>
    <x v="45"/>
    <x v="765"/>
    <x v="0"/>
    <s v="LOS ANDES"/>
    <x v="2"/>
  </r>
  <r>
    <x v="16"/>
    <x v="40"/>
    <x v="1"/>
    <x v="1"/>
    <x v="0"/>
    <x v="0"/>
    <x v="33"/>
    <x v="125"/>
    <x v="899"/>
    <x v="0"/>
    <s v="LOS ANDES"/>
    <x v="2"/>
  </r>
  <r>
    <x v="16"/>
    <x v="161"/>
    <x v="1"/>
    <x v="1"/>
    <x v="0"/>
    <x v="0"/>
    <x v="33"/>
    <x v="186"/>
    <x v="899"/>
    <x v="0"/>
    <s v="LOS ANDES"/>
    <x v="2"/>
  </r>
  <r>
    <x v="16"/>
    <x v="95"/>
    <x v="1"/>
    <x v="1"/>
    <x v="0"/>
    <x v="0"/>
    <x v="33"/>
    <x v="97"/>
    <x v="1132"/>
    <x v="0"/>
    <s v="LOS ANDES"/>
    <x v="2"/>
  </r>
  <r>
    <x v="16"/>
    <x v="151"/>
    <x v="1"/>
    <x v="1"/>
    <x v="0"/>
    <x v="0"/>
    <x v="33"/>
    <x v="166"/>
    <x v="899"/>
    <x v="0"/>
    <s v="LOS ANDES"/>
    <x v="2"/>
  </r>
  <r>
    <x v="16"/>
    <x v="41"/>
    <x v="1"/>
    <x v="1"/>
    <x v="0"/>
    <x v="0"/>
    <x v="33"/>
    <x v="113"/>
    <x v="899"/>
    <x v="0"/>
    <s v="LOS ANDES"/>
    <x v="2"/>
  </r>
  <r>
    <x v="16"/>
    <x v="127"/>
    <x v="1"/>
    <x v="1"/>
    <x v="0"/>
    <x v="0"/>
    <x v="33"/>
    <x v="85"/>
    <x v="765"/>
    <x v="0"/>
    <s v="LOS ANDES"/>
    <x v="2"/>
  </r>
  <r>
    <x v="16"/>
    <x v="22"/>
    <x v="1"/>
    <x v="1"/>
    <x v="0"/>
    <x v="0"/>
    <x v="33"/>
    <x v="211"/>
    <x v="146"/>
    <x v="0"/>
    <s v="LOS ANDES"/>
    <x v="2"/>
  </r>
  <r>
    <x v="16"/>
    <x v="8"/>
    <x v="1"/>
    <x v="1"/>
    <x v="0"/>
    <x v="0"/>
    <x v="33"/>
    <x v="187"/>
    <x v="859"/>
    <x v="0"/>
    <s v="LOS ANDES"/>
    <x v="2"/>
  </r>
  <r>
    <x v="16"/>
    <x v="33"/>
    <x v="1"/>
    <x v="1"/>
    <x v="0"/>
    <x v="0"/>
    <x v="33"/>
    <x v="241"/>
    <x v="934"/>
    <x v="0"/>
    <s v="LOS ANDES"/>
    <x v="2"/>
  </r>
  <r>
    <x v="16"/>
    <x v="152"/>
    <x v="1"/>
    <x v="1"/>
    <x v="0"/>
    <x v="0"/>
    <x v="33"/>
    <x v="194"/>
    <x v="759"/>
    <x v="0"/>
    <s v="LOS ANDES"/>
    <x v="2"/>
  </r>
  <r>
    <x v="16"/>
    <x v="98"/>
    <x v="1"/>
    <x v="1"/>
    <x v="0"/>
    <x v="0"/>
    <x v="33"/>
    <x v="198"/>
    <x v="899"/>
    <x v="0"/>
    <s v="LOS ANDES"/>
    <x v="2"/>
  </r>
  <r>
    <x v="16"/>
    <x v="128"/>
    <x v="1"/>
    <x v="1"/>
    <x v="0"/>
    <x v="0"/>
    <x v="33"/>
    <x v="164"/>
    <x v="859"/>
    <x v="0"/>
    <s v="LOS ANDES"/>
    <x v="2"/>
  </r>
  <r>
    <x v="16"/>
    <x v="1"/>
    <x v="1"/>
    <x v="1"/>
    <x v="0"/>
    <x v="0"/>
    <x v="1"/>
    <x v="1"/>
    <x v="1"/>
    <x v="337"/>
    <s v="LOS ANDES"/>
    <x v="2"/>
  </r>
  <r>
    <x v="16"/>
    <x v="70"/>
    <x v="2"/>
    <x v="2"/>
    <x v="0"/>
    <x v="1"/>
    <x v="33"/>
    <x v="36"/>
    <x v="759"/>
    <x v="0"/>
    <s v="LOS ANDES"/>
    <x v="2"/>
  </r>
  <r>
    <x v="16"/>
    <x v="24"/>
    <x v="2"/>
    <x v="2"/>
    <x v="0"/>
    <x v="1"/>
    <x v="33"/>
    <x v="202"/>
    <x v="759"/>
    <x v="0"/>
    <s v="LOS ANDES"/>
    <x v="2"/>
  </r>
  <r>
    <x v="16"/>
    <x v="107"/>
    <x v="2"/>
    <x v="2"/>
    <x v="0"/>
    <x v="1"/>
    <x v="33"/>
    <x v="158"/>
    <x v="759"/>
    <x v="0"/>
    <s v="LOS ANDES"/>
    <x v="2"/>
  </r>
  <r>
    <x v="16"/>
    <x v="84"/>
    <x v="2"/>
    <x v="2"/>
    <x v="0"/>
    <x v="1"/>
    <x v="33"/>
    <x v="203"/>
    <x v="759"/>
    <x v="0"/>
    <s v="LOS ANDES"/>
    <x v="2"/>
  </r>
  <r>
    <x v="16"/>
    <x v="4"/>
    <x v="4"/>
    <x v="4"/>
    <x v="0"/>
    <x v="1"/>
    <x v="33"/>
    <x v="199"/>
    <x v="874"/>
    <x v="0"/>
    <s v="LOS ANDES"/>
    <x v="2"/>
  </r>
  <r>
    <x v="16"/>
    <x v="115"/>
    <x v="5"/>
    <x v="5"/>
    <x v="0"/>
    <x v="1"/>
    <x v="33"/>
    <x v="213"/>
    <x v="874"/>
    <x v="0"/>
    <s v="LOS ANDES"/>
    <x v="2"/>
  </r>
  <r>
    <x v="16"/>
    <x v="8"/>
    <x v="1"/>
    <x v="1"/>
    <x v="0"/>
    <x v="1"/>
    <x v="33"/>
    <x v="187"/>
    <x v="874"/>
    <x v="0"/>
    <s v="LOS ANDES"/>
    <x v="2"/>
  </r>
  <r>
    <x v="16"/>
    <x v="33"/>
    <x v="1"/>
    <x v="1"/>
    <x v="0"/>
    <x v="1"/>
    <x v="33"/>
    <x v="241"/>
    <x v="874"/>
    <x v="0"/>
    <s v="LOS ANDES"/>
    <x v="2"/>
  </r>
  <r>
    <x v="16"/>
    <x v="152"/>
    <x v="1"/>
    <x v="1"/>
    <x v="0"/>
    <x v="1"/>
    <x v="33"/>
    <x v="194"/>
    <x v="874"/>
    <x v="0"/>
    <s v="LOS ANDES"/>
    <x v="2"/>
  </r>
  <r>
    <x v="16"/>
    <x v="98"/>
    <x v="1"/>
    <x v="1"/>
    <x v="0"/>
    <x v="1"/>
    <x v="33"/>
    <x v="198"/>
    <x v="874"/>
    <x v="0"/>
    <s v="LOS ANDES"/>
    <x v="2"/>
  </r>
  <r>
    <x v="16"/>
    <x v="1"/>
    <x v="1"/>
    <x v="1"/>
    <x v="0"/>
    <x v="1"/>
    <x v="1"/>
    <x v="1"/>
    <x v="1"/>
    <x v="338"/>
    <s v="LOS ANDES"/>
    <x v="2"/>
  </r>
  <r>
    <x v="18"/>
    <x v="119"/>
    <x v="0"/>
    <x v="0"/>
    <x v="0"/>
    <x v="2"/>
    <x v="33"/>
    <x v="96"/>
    <x v="1330"/>
    <x v="0"/>
    <s v="AVENIDA CUBA"/>
    <x v="2"/>
  </r>
  <r>
    <x v="18"/>
    <x v="1"/>
    <x v="1"/>
    <x v="1"/>
    <x v="0"/>
    <x v="2"/>
    <x v="1"/>
    <x v="1"/>
    <x v="1"/>
    <x v="339"/>
    <s v="AVENIDA CUBA"/>
    <x v="2"/>
  </r>
  <r>
    <x v="18"/>
    <x v="62"/>
    <x v="4"/>
    <x v="4"/>
    <x v="0"/>
    <x v="1"/>
    <x v="33"/>
    <x v="176"/>
    <x v="874"/>
    <x v="0"/>
    <s v="AVENIDA CUBA"/>
    <x v="2"/>
  </r>
  <r>
    <x v="18"/>
    <x v="1"/>
    <x v="1"/>
    <x v="1"/>
    <x v="0"/>
    <x v="1"/>
    <x v="1"/>
    <x v="1"/>
    <x v="1"/>
    <x v="216"/>
    <s v="AVENIDA CUBA"/>
    <x v="2"/>
  </r>
  <r>
    <x v="19"/>
    <x v="164"/>
    <x v="6"/>
    <x v="6"/>
    <x v="0"/>
    <x v="2"/>
    <x v="33"/>
    <x v="200"/>
    <x v="874"/>
    <x v="0"/>
    <s v="CHITRE"/>
    <x v="2"/>
  </r>
  <r>
    <x v="19"/>
    <x v="46"/>
    <x v="0"/>
    <x v="0"/>
    <x v="0"/>
    <x v="2"/>
    <x v="33"/>
    <x v="155"/>
    <x v="874"/>
    <x v="0"/>
    <s v="CHITRE"/>
    <x v="2"/>
  </r>
  <r>
    <x v="19"/>
    <x v="58"/>
    <x v="1"/>
    <x v="1"/>
    <x v="0"/>
    <x v="2"/>
    <x v="32"/>
    <x v="84"/>
    <x v="1331"/>
    <x v="0"/>
    <s v="CHITRE"/>
    <x v="2"/>
  </r>
  <r>
    <x v="19"/>
    <x v="1"/>
    <x v="1"/>
    <x v="1"/>
    <x v="0"/>
    <x v="2"/>
    <x v="1"/>
    <x v="1"/>
    <x v="1"/>
    <x v="340"/>
    <s v="CHITRE"/>
    <x v="2"/>
  </r>
  <r>
    <x v="19"/>
    <x v="164"/>
    <x v="6"/>
    <x v="6"/>
    <x v="0"/>
    <x v="0"/>
    <x v="33"/>
    <x v="200"/>
    <x v="874"/>
    <x v="0"/>
    <s v="CHITRE"/>
    <x v="2"/>
  </r>
  <r>
    <x v="19"/>
    <x v="132"/>
    <x v="4"/>
    <x v="4"/>
    <x v="0"/>
    <x v="0"/>
    <x v="33"/>
    <x v="95"/>
    <x v="874"/>
    <x v="0"/>
    <s v="CHITRE"/>
    <x v="2"/>
  </r>
  <r>
    <x v="19"/>
    <x v="46"/>
    <x v="0"/>
    <x v="0"/>
    <x v="0"/>
    <x v="0"/>
    <x v="33"/>
    <x v="155"/>
    <x v="765"/>
    <x v="0"/>
    <s v="CHITRE"/>
    <x v="2"/>
  </r>
  <r>
    <x v="19"/>
    <x v="1"/>
    <x v="1"/>
    <x v="1"/>
    <x v="0"/>
    <x v="0"/>
    <x v="1"/>
    <x v="1"/>
    <x v="1"/>
    <x v="220"/>
    <s v="CHITRE"/>
    <x v="2"/>
  </r>
  <r>
    <x v="20"/>
    <x v="42"/>
    <x v="1"/>
    <x v="1"/>
    <x v="0"/>
    <x v="2"/>
    <x v="33"/>
    <x v="167"/>
    <x v="874"/>
    <x v="0"/>
    <s v="LOS PUEBLOS"/>
    <x v="2"/>
  </r>
  <r>
    <x v="20"/>
    <x v="1"/>
    <x v="1"/>
    <x v="1"/>
    <x v="0"/>
    <x v="2"/>
    <x v="1"/>
    <x v="1"/>
    <x v="1"/>
    <x v="216"/>
    <s v="LOS PUEBLOS"/>
    <x v="2"/>
  </r>
  <r>
    <x v="20"/>
    <x v="106"/>
    <x v="2"/>
    <x v="2"/>
    <x v="0"/>
    <x v="0"/>
    <x v="33"/>
    <x v="223"/>
    <x v="146"/>
    <x v="0"/>
    <s v="LOS PUEBLOS"/>
    <x v="2"/>
  </r>
  <r>
    <x v="20"/>
    <x v="107"/>
    <x v="2"/>
    <x v="2"/>
    <x v="0"/>
    <x v="0"/>
    <x v="33"/>
    <x v="158"/>
    <x v="874"/>
    <x v="0"/>
    <s v="LOS PUEBLOS"/>
    <x v="2"/>
  </r>
  <r>
    <x v="20"/>
    <x v="84"/>
    <x v="2"/>
    <x v="2"/>
    <x v="0"/>
    <x v="0"/>
    <x v="33"/>
    <x v="203"/>
    <x v="759"/>
    <x v="0"/>
    <s v="LOS PUEBLOS"/>
    <x v="2"/>
  </r>
  <r>
    <x v="20"/>
    <x v="36"/>
    <x v="6"/>
    <x v="6"/>
    <x v="0"/>
    <x v="0"/>
    <x v="33"/>
    <x v="94"/>
    <x v="759"/>
    <x v="0"/>
    <s v="LOS PUEBLOS"/>
    <x v="2"/>
  </r>
  <r>
    <x v="20"/>
    <x v="19"/>
    <x v="3"/>
    <x v="3"/>
    <x v="0"/>
    <x v="0"/>
    <x v="33"/>
    <x v="62"/>
    <x v="759"/>
    <x v="0"/>
    <s v="LOS PUEBLOS"/>
    <x v="2"/>
  </r>
  <r>
    <x v="20"/>
    <x v="56"/>
    <x v="3"/>
    <x v="3"/>
    <x v="0"/>
    <x v="0"/>
    <x v="33"/>
    <x v="153"/>
    <x v="1132"/>
    <x v="0"/>
    <s v="LOS PUEBLOS"/>
    <x v="2"/>
  </r>
  <r>
    <x v="20"/>
    <x v="156"/>
    <x v="4"/>
    <x v="4"/>
    <x v="0"/>
    <x v="0"/>
    <x v="33"/>
    <x v="146"/>
    <x v="1132"/>
    <x v="0"/>
    <s v="LOS PUEBLOS"/>
    <x v="2"/>
  </r>
  <r>
    <x v="20"/>
    <x v="50"/>
    <x v="4"/>
    <x v="4"/>
    <x v="0"/>
    <x v="0"/>
    <x v="33"/>
    <x v="77"/>
    <x v="146"/>
    <x v="0"/>
    <s v="LOS PUEBLOS"/>
    <x v="2"/>
  </r>
  <r>
    <x v="20"/>
    <x v="38"/>
    <x v="4"/>
    <x v="4"/>
    <x v="0"/>
    <x v="0"/>
    <x v="33"/>
    <x v="106"/>
    <x v="759"/>
    <x v="0"/>
    <s v="LOS PUEBLOS"/>
    <x v="2"/>
  </r>
  <r>
    <x v="20"/>
    <x v="57"/>
    <x v="0"/>
    <x v="0"/>
    <x v="0"/>
    <x v="0"/>
    <x v="33"/>
    <x v="44"/>
    <x v="146"/>
    <x v="0"/>
    <s v="LOS PUEBLOS"/>
    <x v="2"/>
  </r>
  <r>
    <x v="20"/>
    <x v="45"/>
    <x v="0"/>
    <x v="0"/>
    <x v="0"/>
    <x v="0"/>
    <x v="33"/>
    <x v="180"/>
    <x v="765"/>
    <x v="0"/>
    <s v="LOS PUEBLOS"/>
    <x v="2"/>
  </r>
  <r>
    <x v="20"/>
    <x v="115"/>
    <x v="5"/>
    <x v="5"/>
    <x v="0"/>
    <x v="0"/>
    <x v="33"/>
    <x v="213"/>
    <x v="759"/>
    <x v="0"/>
    <s v="LOS PUEBLOS"/>
    <x v="2"/>
  </r>
  <r>
    <x v="20"/>
    <x v="13"/>
    <x v="5"/>
    <x v="5"/>
    <x v="0"/>
    <x v="0"/>
    <x v="33"/>
    <x v="120"/>
    <x v="1182"/>
    <x v="0"/>
    <s v="LOS PUEBLOS"/>
    <x v="2"/>
  </r>
  <r>
    <x v="20"/>
    <x v="125"/>
    <x v="5"/>
    <x v="5"/>
    <x v="0"/>
    <x v="0"/>
    <x v="33"/>
    <x v="82"/>
    <x v="874"/>
    <x v="0"/>
    <s v="LOS PUEBLOS"/>
    <x v="2"/>
  </r>
  <r>
    <x v="20"/>
    <x v="168"/>
    <x v="5"/>
    <x v="5"/>
    <x v="0"/>
    <x v="0"/>
    <x v="33"/>
    <x v="225"/>
    <x v="759"/>
    <x v="0"/>
    <s v="LOS PUEBLOS"/>
    <x v="2"/>
  </r>
  <r>
    <x v="20"/>
    <x v="63"/>
    <x v="5"/>
    <x v="5"/>
    <x v="0"/>
    <x v="0"/>
    <x v="33"/>
    <x v="111"/>
    <x v="874"/>
    <x v="0"/>
    <s v="LOS PUEBLOS"/>
    <x v="2"/>
  </r>
  <r>
    <x v="20"/>
    <x v="124"/>
    <x v="5"/>
    <x v="5"/>
    <x v="0"/>
    <x v="0"/>
    <x v="33"/>
    <x v="206"/>
    <x v="874"/>
    <x v="0"/>
    <s v="LOS PUEBLOS"/>
    <x v="2"/>
  </r>
  <r>
    <x v="20"/>
    <x v="161"/>
    <x v="1"/>
    <x v="1"/>
    <x v="0"/>
    <x v="0"/>
    <x v="33"/>
    <x v="186"/>
    <x v="759"/>
    <x v="0"/>
    <s v="LOS PUEBLOS"/>
    <x v="2"/>
  </r>
  <r>
    <x v="20"/>
    <x v="95"/>
    <x v="1"/>
    <x v="1"/>
    <x v="0"/>
    <x v="0"/>
    <x v="33"/>
    <x v="97"/>
    <x v="146"/>
    <x v="0"/>
    <s v="LOS PUEBLOS"/>
    <x v="2"/>
  </r>
  <r>
    <x v="20"/>
    <x v="42"/>
    <x v="1"/>
    <x v="1"/>
    <x v="0"/>
    <x v="0"/>
    <x v="33"/>
    <x v="167"/>
    <x v="874"/>
    <x v="0"/>
    <s v="LOS PUEBLOS"/>
    <x v="2"/>
  </r>
  <r>
    <x v="20"/>
    <x v="8"/>
    <x v="1"/>
    <x v="1"/>
    <x v="0"/>
    <x v="0"/>
    <x v="33"/>
    <x v="187"/>
    <x v="759"/>
    <x v="0"/>
    <s v="LOS PUEBLOS"/>
    <x v="2"/>
  </r>
  <r>
    <x v="20"/>
    <x v="1"/>
    <x v="1"/>
    <x v="1"/>
    <x v="0"/>
    <x v="0"/>
    <x v="1"/>
    <x v="1"/>
    <x v="1"/>
    <x v="341"/>
    <s v="LOS PUEBLOS"/>
    <x v="2"/>
  </r>
  <r>
    <x v="20"/>
    <x v="30"/>
    <x v="4"/>
    <x v="4"/>
    <x v="0"/>
    <x v="1"/>
    <x v="33"/>
    <x v="159"/>
    <x v="874"/>
    <x v="0"/>
    <s v="LOS PUEBLOS"/>
    <x v="2"/>
  </r>
  <r>
    <x v="20"/>
    <x v="159"/>
    <x v="0"/>
    <x v="0"/>
    <x v="0"/>
    <x v="1"/>
    <x v="33"/>
    <x v="177"/>
    <x v="899"/>
    <x v="0"/>
    <s v="LOS PUEBLOS"/>
    <x v="2"/>
  </r>
  <r>
    <x v="20"/>
    <x v="42"/>
    <x v="1"/>
    <x v="1"/>
    <x v="0"/>
    <x v="1"/>
    <x v="33"/>
    <x v="167"/>
    <x v="874"/>
    <x v="0"/>
    <s v="LOS PUEBLOS"/>
    <x v="2"/>
  </r>
  <r>
    <x v="20"/>
    <x v="1"/>
    <x v="1"/>
    <x v="1"/>
    <x v="0"/>
    <x v="1"/>
    <x v="1"/>
    <x v="1"/>
    <x v="1"/>
    <x v="342"/>
    <s v="LOS PUEBLOS"/>
    <x v="2"/>
  </r>
  <r>
    <x v="21"/>
    <x v="159"/>
    <x v="0"/>
    <x v="0"/>
    <x v="0"/>
    <x v="2"/>
    <x v="33"/>
    <x v="177"/>
    <x v="874"/>
    <x v="0"/>
    <s v="TRANSISTMICA"/>
    <x v="2"/>
  </r>
  <r>
    <x v="21"/>
    <x v="1"/>
    <x v="1"/>
    <x v="1"/>
    <x v="0"/>
    <x v="2"/>
    <x v="1"/>
    <x v="1"/>
    <x v="1"/>
    <x v="216"/>
    <s v="TRANSISTMICA"/>
    <x v="2"/>
  </r>
  <r>
    <x v="21"/>
    <x v="118"/>
    <x v="2"/>
    <x v="2"/>
    <x v="0"/>
    <x v="0"/>
    <x v="33"/>
    <x v="69"/>
    <x v="1132"/>
    <x v="0"/>
    <s v="TRANSISTMICA"/>
    <x v="2"/>
  </r>
  <r>
    <x v="21"/>
    <x v="17"/>
    <x v="2"/>
    <x v="2"/>
    <x v="0"/>
    <x v="0"/>
    <x v="33"/>
    <x v="150"/>
    <x v="1215"/>
    <x v="0"/>
    <s v="TRANSISTMICA"/>
    <x v="2"/>
  </r>
  <r>
    <x v="21"/>
    <x v="87"/>
    <x v="6"/>
    <x v="6"/>
    <x v="0"/>
    <x v="0"/>
    <x v="33"/>
    <x v="189"/>
    <x v="859"/>
    <x v="0"/>
    <s v="TRANSISTMICA"/>
    <x v="2"/>
  </r>
  <r>
    <x v="21"/>
    <x v="15"/>
    <x v="6"/>
    <x v="6"/>
    <x v="0"/>
    <x v="0"/>
    <x v="33"/>
    <x v="216"/>
    <x v="859"/>
    <x v="0"/>
    <s v="TRANSISTMICA"/>
    <x v="2"/>
  </r>
  <r>
    <x v="21"/>
    <x v="23"/>
    <x v="3"/>
    <x v="3"/>
    <x v="0"/>
    <x v="0"/>
    <x v="33"/>
    <x v="221"/>
    <x v="952"/>
    <x v="0"/>
    <s v="TRANSISTMICA"/>
    <x v="2"/>
  </r>
  <r>
    <x v="21"/>
    <x v="56"/>
    <x v="3"/>
    <x v="3"/>
    <x v="0"/>
    <x v="0"/>
    <x v="33"/>
    <x v="153"/>
    <x v="1215"/>
    <x v="0"/>
    <s v="TRANSISTMICA"/>
    <x v="2"/>
  </r>
  <r>
    <x v="21"/>
    <x v="156"/>
    <x v="4"/>
    <x v="4"/>
    <x v="0"/>
    <x v="0"/>
    <x v="33"/>
    <x v="146"/>
    <x v="848"/>
    <x v="0"/>
    <s v="TRANSISTMICA"/>
    <x v="2"/>
  </r>
  <r>
    <x v="21"/>
    <x v="165"/>
    <x v="4"/>
    <x v="4"/>
    <x v="0"/>
    <x v="0"/>
    <x v="33"/>
    <x v="205"/>
    <x v="934"/>
    <x v="0"/>
    <s v="TRANSISTMICA"/>
    <x v="2"/>
  </r>
  <r>
    <x v="21"/>
    <x v="57"/>
    <x v="0"/>
    <x v="0"/>
    <x v="0"/>
    <x v="0"/>
    <x v="33"/>
    <x v="44"/>
    <x v="1182"/>
    <x v="0"/>
    <s v="TRANSISTMICA"/>
    <x v="2"/>
  </r>
  <r>
    <x v="21"/>
    <x v="45"/>
    <x v="0"/>
    <x v="0"/>
    <x v="0"/>
    <x v="0"/>
    <x v="33"/>
    <x v="180"/>
    <x v="859"/>
    <x v="0"/>
    <s v="TRANSISTMICA"/>
    <x v="2"/>
  </r>
  <r>
    <x v="21"/>
    <x v="97"/>
    <x v="5"/>
    <x v="5"/>
    <x v="0"/>
    <x v="0"/>
    <x v="33"/>
    <x v="183"/>
    <x v="982"/>
    <x v="0"/>
    <s v="TRANSISTMICA"/>
    <x v="2"/>
  </r>
  <r>
    <x v="21"/>
    <x v="13"/>
    <x v="5"/>
    <x v="5"/>
    <x v="0"/>
    <x v="0"/>
    <x v="33"/>
    <x v="120"/>
    <x v="874"/>
    <x v="0"/>
    <s v="TRANSISTMICA"/>
    <x v="2"/>
  </r>
  <r>
    <x v="21"/>
    <x v="141"/>
    <x v="5"/>
    <x v="5"/>
    <x v="0"/>
    <x v="0"/>
    <x v="33"/>
    <x v="185"/>
    <x v="982"/>
    <x v="0"/>
    <s v="TRANSISTMICA"/>
    <x v="2"/>
  </r>
  <r>
    <x v="21"/>
    <x v="40"/>
    <x v="1"/>
    <x v="1"/>
    <x v="0"/>
    <x v="0"/>
    <x v="33"/>
    <x v="125"/>
    <x v="1132"/>
    <x v="0"/>
    <s v="TRANSISTMICA"/>
    <x v="2"/>
  </r>
  <r>
    <x v="21"/>
    <x v="95"/>
    <x v="1"/>
    <x v="1"/>
    <x v="0"/>
    <x v="0"/>
    <x v="33"/>
    <x v="97"/>
    <x v="759"/>
    <x v="0"/>
    <s v="TRANSISTMICA"/>
    <x v="2"/>
  </r>
  <r>
    <x v="21"/>
    <x v="109"/>
    <x v="1"/>
    <x v="1"/>
    <x v="0"/>
    <x v="0"/>
    <x v="33"/>
    <x v="208"/>
    <x v="899"/>
    <x v="0"/>
    <s v="TRANSISTMICA"/>
    <x v="2"/>
  </r>
  <r>
    <x v="21"/>
    <x v="98"/>
    <x v="1"/>
    <x v="1"/>
    <x v="0"/>
    <x v="0"/>
    <x v="33"/>
    <x v="198"/>
    <x v="146"/>
    <x v="0"/>
    <s v="TRANSISTMICA"/>
    <x v="2"/>
  </r>
  <r>
    <x v="21"/>
    <x v="1"/>
    <x v="1"/>
    <x v="1"/>
    <x v="0"/>
    <x v="0"/>
    <x v="1"/>
    <x v="1"/>
    <x v="1"/>
    <x v="343"/>
    <s v="TRANSISTMICA"/>
    <x v="2"/>
  </r>
  <r>
    <x v="21"/>
    <x v="118"/>
    <x v="2"/>
    <x v="2"/>
    <x v="0"/>
    <x v="1"/>
    <x v="33"/>
    <x v="69"/>
    <x v="874"/>
    <x v="0"/>
    <s v="TRANSISTMICA"/>
    <x v="2"/>
  </r>
  <r>
    <x v="21"/>
    <x v="15"/>
    <x v="6"/>
    <x v="6"/>
    <x v="0"/>
    <x v="1"/>
    <x v="33"/>
    <x v="216"/>
    <x v="934"/>
    <x v="0"/>
    <s v="TRANSISTMICA"/>
    <x v="2"/>
  </r>
  <r>
    <x v="21"/>
    <x v="23"/>
    <x v="3"/>
    <x v="3"/>
    <x v="0"/>
    <x v="1"/>
    <x v="33"/>
    <x v="221"/>
    <x v="146"/>
    <x v="0"/>
    <s v="TRANSISTMICA"/>
    <x v="2"/>
  </r>
  <r>
    <x v="21"/>
    <x v="56"/>
    <x v="3"/>
    <x v="3"/>
    <x v="0"/>
    <x v="1"/>
    <x v="33"/>
    <x v="153"/>
    <x v="874"/>
    <x v="0"/>
    <s v="TRANSISTMICA"/>
    <x v="2"/>
  </r>
  <r>
    <x v="21"/>
    <x v="165"/>
    <x v="4"/>
    <x v="4"/>
    <x v="0"/>
    <x v="1"/>
    <x v="33"/>
    <x v="205"/>
    <x v="765"/>
    <x v="0"/>
    <s v="TRANSISTMICA"/>
    <x v="2"/>
  </r>
  <r>
    <x v="21"/>
    <x v="159"/>
    <x v="0"/>
    <x v="0"/>
    <x v="0"/>
    <x v="1"/>
    <x v="33"/>
    <x v="177"/>
    <x v="759"/>
    <x v="0"/>
    <s v="TRANSISTMICA"/>
    <x v="2"/>
  </r>
  <r>
    <x v="21"/>
    <x v="45"/>
    <x v="0"/>
    <x v="0"/>
    <x v="0"/>
    <x v="1"/>
    <x v="33"/>
    <x v="180"/>
    <x v="759"/>
    <x v="0"/>
    <s v="TRANSISTMICA"/>
    <x v="2"/>
  </r>
  <r>
    <x v="21"/>
    <x v="13"/>
    <x v="5"/>
    <x v="5"/>
    <x v="0"/>
    <x v="1"/>
    <x v="33"/>
    <x v="120"/>
    <x v="874"/>
    <x v="0"/>
    <s v="TRANSISTMICA"/>
    <x v="2"/>
  </r>
  <r>
    <x v="21"/>
    <x v="40"/>
    <x v="1"/>
    <x v="1"/>
    <x v="0"/>
    <x v="1"/>
    <x v="33"/>
    <x v="125"/>
    <x v="759"/>
    <x v="0"/>
    <s v="TRANSISTMICA"/>
    <x v="2"/>
  </r>
  <r>
    <x v="21"/>
    <x v="1"/>
    <x v="1"/>
    <x v="1"/>
    <x v="0"/>
    <x v="1"/>
    <x v="1"/>
    <x v="1"/>
    <x v="1"/>
    <x v="344"/>
    <s v="TRANSISTMICA"/>
    <x v="2"/>
  </r>
  <r>
    <x v="72"/>
    <x v="102"/>
    <x v="6"/>
    <x v="6"/>
    <x v="0"/>
    <x v="2"/>
    <x v="32"/>
    <x v="141"/>
    <x v="1332"/>
    <x v="0"/>
    <s v="ZONA LIBRE"/>
    <x v="2"/>
  </r>
  <r>
    <x v="72"/>
    <x v="1"/>
    <x v="1"/>
    <x v="1"/>
    <x v="0"/>
    <x v="2"/>
    <x v="1"/>
    <x v="1"/>
    <x v="1"/>
    <x v="345"/>
    <s v="ZONA LIBRE"/>
    <x v="2"/>
  </r>
  <r>
    <x v="23"/>
    <x v="64"/>
    <x v="2"/>
    <x v="2"/>
    <x v="0"/>
    <x v="2"/>
    <x v="32"/>
    <x v="139"/>
    <x v="1105"/>
    <x v="0"/>
    <s v="PARQUE LEFEVRE"/>
    <x v="2"/>
  </r>
  <r>
    <x v="23"/>
    <x v="160"/>
    <x v="0"/>
    <x v="0"/>
    <x v="0"/>
    <x v="2"/>
    <x v="32"/>
    <x v="179"/>
    <x v="1331"/>
    <x v="0"/>
    <s v="PARQUE LEFEVRE"/>
    <x v="2"/>
  </r>
  <r>
    <x v="23"/>
    <x v="1"/>
    <x v="1"/>
    <x v="1"/>
    <x v="0"/>
    <x v="2"/>
    <x v="1"/>
    <x v="1"/>
    <x v="1"/>
    <x v="346"/>
    <s v="PARQUE LEFEVRE"/>
    <x v="2"/>
  </r>
  <r>
    <x v="24"/>
    <x v="84"/>
    <x v="2"/>
    <x v="2"/>
    <x v="0"/>
    <x v="2"/>
    <x v="33"/>
    <x v="203"/>
    <x v="815"/>
    <x v="0"/>
    <s v="DAVID"/>
    <x v="2"/>
  </r>
  <r>
    <x v="24"/>
    <x v="1"/>
    <x v="1"/>
    <x v="1"/>
    <x v="0"/>
    <x v="2"/>
    <x v="1"/>
    <x v="1"/>
    <x v="1"/>
    <x v="347"/>
    <s v="DAVID"/>
    <x v="2"/>
  </r>
  <r>
    <x v="24"/>
    <x v="106"/>
    <x v="2"/>
    <x v="2"/>
    <x v="0"/>
    <x v="0"/>
    <x v="33"/>
    <x v="223"/>
    <x v="759"/>
    <x v="0"/>
    <s v="DAVID"/>
    <x v="2"/>
  </r>
  <r>
    <x v="24"/>
    <x v="47"/>
    <x v="2"/>
    <x v="2"/>
    <x v="0"/>
    <x v="0"/>
    <x v="33"/>
    <x v="68"/>
    <x v="759"/>
    <x v="0"/>
    <s v="DAVID"/>
    <x v="2"/>
  </r>
  <r>
    <x v="24"/>
    <x v="144"/>
    <x v="2"/>
    <x v="2"/>
    <x v="0"/>
    <x v="0"/>
    <x v="33"/>
    <x v="162"/>
    <x v="146"/>
    <x v="0"/>
    <s v="DAVID"/>
    <x v="2"/>
  </r>
  <r>
    <x v="24"/>
    <x v="35"/>
    <x v="2"/>
    <x v="2"/>
    <x v="0"/>
    <x v="0"/>
    <x v="33"/>
    <x v="170"/>
    <x v="874"/>
    <x v="0"/>
    <s v="DAVID"/>
    <x v="2"/>
  </r>
  <r>
    <x v="24"/>
    <x v="36"/>
    <x v="6"/>
    <x v="6"/>
    <x v="0"/>
    <x v="0"/>
    <x v="33"/>
    <x v="94"/>
    <x v="874"/>
    <x v="0"/>
    <s v="DAVID"/>
    <x v="2"/>
  </r>
  <r>
    <x v="24"/>
    <x v="164"/>
    <x v="6"/>
    <x v="6"/>
    <x v="0"/>
    <x v="0"/>
    <x v="33"/>
    <x v="200"/>
    <x v="146"/>
    <x v="0"/>
    <s v="DAVID"/>
    <x v="2"/>
  </r>
  <r>
    <x v="24"/>
    <x v="49"/>
    <x v="3"/>
    <x v="3"/>
    <x v="0"/>
    <x v="0"/>
    <x v="33"/>
    <x v="244"/>
    <x v="146"/>
    <x v="0"/>
    <s v="DAVID"/>
    <x v="2"/>
  </r>
  <r>
    <x v="24"/>
    <x v="60"/>
    <x v="3"/>
    <x v="3"/>
    <x v="0"/>
    <x v="0"/>
    <x v="33"/>
    <x v="57"/>
    <x v="874"/>
    <x v="0"/>
    <s v="DAVID"/>
    <x v="2"/>
  </r>
  <r>
    <x v="24"/>
    <x v="132"/>
    <x v="4"/>
    <x v="4"/>
    <x v="0"/>
    <x v="0"/>
    <x v="33"/>
    <x v="95"/>
    <x v="934"/>
    <x v="0"/>
    <s v="DAVID"/>
    <x v="2"/>
  </r>
  <r>
    <x v="24"/>
    <x v="162"/>
    <x v="4"/>
    <x v="4"/>
    <x v="0"/>
    <x v="0"/>
    <x v="33"/>
    <x v="192"/>
    <x v="874"/>
    <x v="0"/>
    <s v="DAVID"/>
    <x v="2"/>
  </r>
  <r>
    <x v="24"/>
    <x v="154"/>
    <x v="4"/>
    <x v="4"/>
    <x v="0"/>
    <x v="0"/>
    <x v="33"/>
    <x v="143"/>
    <x v="1182"/>
    <x v="0"/>
    <s v="DAVID"/>
    <x v="2"/>
  </r>
  <r>
    <x v="24"/>
    <x v="90"/>
    <x v="0"/>
    <x v="0"/>
    <x v="0"/>
    <x v="0"/>
    <x v="33"/>
    <x v="79"/>
    <x v="874"/>
    <x v="0"/>
    <s v="DAVID"/>
    <x v="2"/>
  </r>
  <r>
    <x v="24"/>
    <x v="159"/>
    <x v="0"/>
    <x v="0"/>
    <x v="0"/>
    <x v="0"/>
    <x v="33"/>
    <x v="177"/>
    <x v="759"/>
    <x v="0"/>
    <s v="DAVID"/>
    <x v="2"/>
  </r>
  <r>
    <x v="24"/>
    <x v="57"/>
    <x v="0"/>
    <x v="0"/>
    <x v="0"/>
    <x v="0"/>
    <x v="33"/>
    <x v="44"/>
    <x v="759"/>
    <x v="0"/>
    <s v="DAVID"/>
    <x v="2"/>
  </r>
  <r>
    <x v="24"/>
    <x v="121"/>
    <x v="0"/>
    <x v="0"/>
    <x v="0"/>
    <x v="0"/>
    <x v="33"/>
    <x v="80"/>
    <x v="874"/>
    <x v="0"/>
    <s v="DAVID"/>
    <x v="2"/>
  </r>
  <r>
    <x v="24"/>
    <x v="53"/>
    <x v="0"/>
    <x v="0"/>
    <x v="0"/>
    <x v="0"/>
    <x v="33"/>
    <x v="144"/>
    <x v="874"/>
    <x v="0"/>
    <s v="DAVID"/>
    <x v="2"/>
  </r>
  <r>
    <x v="24"/>
    <x v="46"/>
    <x v="0"/>
    <x v="0"/>
    <x v="0"/>
    <x v="0"/>
    <x v="33"/>
    <x v="155"/>
    <x v="759"/>
    <x v="0"/>
    <s v="DAVID"/>
    <x v="2"/>
  </r>
  <r>
    <x v="24"/>
    <x v="32"/>
    <x v="5"/>
    <x v="5"/>
    <x v="0"/>
    <x v="0"/>
    <x v="33"/>
    <x v="81"/>
    <x v="874"/>
    <x v="0"/>
    <s v="DAVID"/>
    <x v="2"/>
  </r>
  <r>
    <x v="24"/>
    <x v="76"/>
    <x v="5"/>
    <x v="5"/>
    <x v="0"/>
    <x v="0"/>
    <x v="33"/>
    <x v="182"/>
    <x v="874"/>
    <x v="0"/>
    <s v="DAVID"/>
    <x v="2"/>
  </r>
  <r>
    <x v="24"/>
    <x v="97"/>
    <x v="5"/>
    <x v="5"/>
    <x v="0"/>
    <x v="0"/>
    <x v="33"/>
    <x v="183"/>
    <x v="146"/>
    <x v="0"/>
    <s v="DAVID"/>
    <x v="2"/>
  </r>
  <r>
    <x v="24"/>
    <x v="13"/>
    <x v="5"/>
    <x v="5"/>
    <x v="0"/>
    <x v="0"/>
    <x v="33"/>
    <x v="120"/>
    <x v="759"/>
    <x v="0"/>
    <s v="DAVID"/>
    <x v="2"/>
  </r>
  <r>
    <x v="24"/>
    <x v="34"/>
    <x v="5"/>
    <x v="5"/>
    <x v="0"/>
    <x v="0"/>
    <x v="33"/>
    <x v="184"/>
    <x v="759"/>
    <x v="0"/>
    <s v="DAVID"/>
    <x v="2"/>
  </r>
  <r>
    <x v="24"/>
    <x v="63"/>
    <x v="5"/>
    <x v="5"/>
    <x v="0"/>
    <x v="0"/>
    <x v="33"/>
    <x v="111"/>
    <x v="1182"/>
    <x v="0"/>
    <s v="DAVID"/>
    <x v="2"/>
  </r>
  <r>
    <x v="24"/>
    <x v="123"/>
    <x v="5"/>
    <x v="5"/>
    <x v="0"/>
    <x v="0"/>
    <x v="33"/>
    <x v="74"/>
    <x v="759"/>
    <x v="0"/>
    <s v="DAVID"/>
    <x v="2"/>
  </r>
  <r>
    <x v="24"/>
    <x v="95"/>
    <x v="1"/>
    <x v="1"/>
    <x v="0"/>
    <x v="0"/>
    <x v="33"/>
    <x v="97"/>
    <x v="899"/>
    <x v="0"/>
    <s v="DAVID"/>
    <x v="2"/>
  </r>
  <r>
    <x v="24"/>
    <x v="22"/>
    <x v="1"/>
    <x v="1"/>
    <x v="0"/>
    <x v="0"/>
    <x v="33"/>
    <x v="211"/>
    <x v="759"/>
    <x v="0"/>
    <s v="DAVID"/>
    <x v="2"/>
  </r>
  <r>
    <x v="24"/>
    <x v="152"/>
    <x v="1"/>
    <x v="1"/>
    <x v="0"/>
    <x v="0"/>
    <x v="33"/>
    <x v="194"/>
    <x v="899"/>
    <x v="0"/>
    <s v="DAVID"/>
    <x v="2"/>
  </r>
  <r>
    <x v="24"/>
    <x v="1"/>
    <x v="1"/>
    <x v="1"/>
    <x v="0"/>
    <x v="0"/>
    <x v="1"/>
    <x v="1"/>
    <x v="1"/>
    <x v="348"/>
    <s v="DAVID"/>
    <x v="2"/>
  </r>
  <r>
    <x v="24"/>
    <x v="95"/>
    <x v="1"/>
    <x v="1"/>
    <x v="0"/>
    <x v="1"/>
    <x v="33"/>
    <x v="97"/>
    <x v="874"/>
    <x v="0"/>
    <s v="DAVID"/>
    <x v="2"/>
  </r>
  <r>
    <x v="24"/>
    <x v="14"/>
    <x v="1"/>
    <x v="1"/>
    <x v="0"/>
    <x v="1"/>
    <x v="33"/>
    <x v="112"/>
    <x v="874"/>
    <x v="0"/>
    <s v="DAVID"/>
    <x v="2"/>
  </r>
  <r>
    <x v="24"/>
    <x v="1"/>
    <x v="1"/>
    <x v="1"/>
    <x v="0"/>
    <x v="1"/>
    <x v="1"/>
    <x v="1"/>
    <x v="1"/>
    <x v="349"/>
    <s v="DAVID"/>
    <x v="2"/>
  </r>
  <r>
    <x v="25"/>
    <x v="64"/>
    <x v="2"/>
    <x v="2"/>
    <x v="0"/>
    <x v="2"/>
    <x v="32"/>
    <x v="139"/>
    <x v="1333"/>
    <x v="0"/>
    <s v="PLAZA LAS AMERICAS"/>
    <x v="2"/>
  </r>
  <r>
    <x v="25"/>
    <x v="68"/>
    <x v="4"/>
    <x v="4"/>
    <x v="0"/>
    <x v="2"/>
    <x v="32"/>
    <x v="222"/>
    <x v="280"/>
    <x v="0"/>
    <s v="PLAZA LAS AMERICAS"/>
    <x v="2"/>
  </r>
  <r>
    <x v="25"/>
    <x v="160"/>
    <x v="0"/>
    <x v="0"/>
    <x v="0"/>
    <x v="2"/>
    <x v="32"/>
    <x v="179"/>
    <x v="1334"/>
    <x v="0"/>
    <s v="PLAZA LAS AMERICAS"/>
    <x v="2"/>
  </r>
  <r>
    <x v="25"/>
    <x v="145"/>
    <x v="5"/>
    <x v="5"/>
    <x v="0"/>
    <x v="2"/>
    <x v="32"/>
    <x v="124"/>
    <x v="1335"/>
    <x v="0"/>
    <s v="PLAZA LAS AMERICAS"/>
    <x v="2"/>
  </r>
  <r>
    <x v="25"/>
    <x v="124"/>
    <x v="5"/>
    <x v="5"/>
    <x v="0"/>
    <x v="2"/>
    <x v="33"/>
    <x v="206"/>
    <x v="1336"/>
    <x v="0"/>
    <s v="PLAZA LAS AMERICAS"/>
    <x v="2"/>
  </r>
  <r>
    <x v="25"/>
    <x v="1"/>
    <x v="1"/>
    <x v="1"/>
    <x v="0"/>
    <x v="2"/>
    <x v="1"/>
    <x v="1"/>
    <x v="1"/>
    <x v="350"/>
    <s v="PLAZA LAS AMERICAS"/>
    <x v="2"/>
  </r>
  <r>
    <x v="26"/>
    <x v="65"/>
    <x v="6"/>
    <x v="6"/>
    <x v="0"/>
    <x v="2"/>
    <x v="33"/>
    <x v="190"/>
    <x v="1331"/>
    <x v="0"/>
    <s v="CORONADO"/>
    <x v="2"/>
  </r>
  <r>
    <x v="26"/>
    <x v="50"/>
    <x v="4"/>
    <x v="4"/>
    <x v="0"/>
    <x v="2"/>
    <x v="32"/>
    <x v="77"/>
    <x v="1337"/>
    <x v="0"/>
    <s v="CORONADO"/>
    <x v="2"/>
  </r>
  <r>
    <x v="26"/>
    <x v="13"/>
    <x v="5"/>
    <x v="5"/>
    <x v="0"/>
    <x v="2"/>
    <x v="32"/>
    <x v="120"/>
    <x v="1338"/>
    <x v="0"/>
    <s v="CORONADO"/>
    <x v="2"/>
  </r>
  <r>
    <x v="26"/>
    <x v="41"/>
    <x v="1"/>
    <x v="1"/>
    <x v="0"/>
    <x v="2"/>
    <x v="32"/>
    <x v="113"/>
    <x v="1339"/>
    <x v="0"/>
    <s v="CORONADO"/>
    <x v="2"/>
  </r>
  <r>
    <x v="26"/>
    <x v="1"/>
    <x v="1"/>
    <x v="1"/>
    <x v="0"/>
    <x v="2"/>
    <x v="1"/>
    <x v="1"/>
    <x v="1"/>
    <x v="351"/>
    <s v="CORONADO"/>
    <x v="2"/>
  </r>
  <r>
    <x v="27"/>
    <x v="77"/>
    <x v="5"/>
    <x v="5"/>
    <x v="0"/>
    <x v="2"/>
    <x v="32"/>
    <x v="156"/>
    <x v="1340"/>
    <x v="0"/>
    <s v="ALBROOK MALL"/>
    <x v="2"/>
  </r>
  <r>
    <x v="27"/>
    <x v="40"/>
    <x v="1"/>
    <x v="1"/>
    <x v="0"/>
    <x v="2"/>
    <x v="32"/>
    <x v="125"/>
    <x v="1341"/>
    <x v="0"/>
    <s v="ALBROOK MALL"/>
    <x v="2"/>
  </r>
  <r>
    <x v="27"/>
    <x v="14"/>
    <x v="1"/>
    <x v="1"/>
    <x v="0"/>
    <x v="2"/>
    <x v="32"/>
    <x v="112"/>
    <x v="1342"/>
    <x v="0"/>
    <s v="ALBROOK MALL"/>
    <x v="2"/>
  </r>
  <r>
    <x v="27"/>
    <x v="1"/>
    <x v="1"/>
    <x v="1"/>
    <x v="0"/>
    <x v="2"/>
    <x v="1"/>
    <x v="1"/>
    <x v="1"/>
    <x v="352"/>
    <s v="ALBROOK MALL"/>
    <x v="2"/>
  </r>
  <r>
    <x v="27"/>
    <x v="1"/>
    <x v="1"/>
    <x v="1"/>
    <x v="0"/>
    <x v="1"/>
    <x v="1"/>
    <x v="1"/>
    <x v="1"/>
    <x v="349"/>
    <s v="ALBROOK MALL"/>
    <x v="2"/>
  </r>
  <r>
    <x v="28"/>
    <x v="70"/>
    <x v="2"/>
    <x v="2"/>
    <x v="0"/>
    <x v="2"/>
    <x v="32"/>
    <x v="36"/>
    <x v="1343"/>
    <x v="0"/>
    <s v="PANAMA PACIFICO"/>
    <x v="2"/>
  </r>
  <r>
    <x v="28"/>
    <x v="1"/>
    <x v="1"/>
    <x v="1"/>
    <x v="0"/>
    <x v="2"/>
    <x v="1"/>
    <x v="1"/>
    <x v="1"/>
    <x v="353"/>
    <s v="PANAMA PACIFICO"/>
    <x v="2"/>
  </r>
  <r>
    <x v="76"/>
    <x v="1"/>
    <x v="1"/>
    <x v="1"/>
    <x v="0"/>
    <x v="0"/>
    <x v="1"/>
    <x v="1"/>
    <x v="1"/>
    <x v="216"/>
    <s v="AUTOBANCO VIA PORRAS 2"/>
    <x v="2"/>
  </r>
  <r>
    <x v="73"/>
    <x v="70"/>
    <x v="2"/>
    <x v="2"/>
    <x v="0"/>
    <x v="2"/>
    <x v="32"/>
    <x v="36"/>
    <x v="873"/>
    <x v="0"/>
    <s v="PENONOME"/>
    <x v="2"/>
  </r>
  <r>
    <x v="73"/>
    <x v="86"/>
    <x v="6"/>
    <x v="6"/>
    <x v="0"/>
    <x v="2"/>
    <x v="32"/>
    <x v="224"/>
    <x v="1344"/>
    <x v="0"/>
    <s v="PENONOME"/>
    <x v="2"/>
  </r>
  <r>
    <x v="73"/>
    <x v="65"/>
    <x v="6"/>
    <x v="6"/>
    <x v="0"/>
    <x v="2"/>
    <x v="32"/>
    <x v="190"/>
    <x v="1046"/>
    <x v="0"/>
    <s v="PENONOME"/>
    <x v="2"/>
  </r>
  <r>
    <x v="73"/>
    <x v="71"/>
    <x v="6"/>
    <x v="6"/>
    <x v="0"/>
    <x v="2"/>
    <x v="32"/>
    <x v="37"/>
    <x v="1344"/>
    <x v="0"/>
    <s v="PENONOME"/>
    <x v="2"/>
  </r>
  <r>
    <x v="73"/>
    <x v="102"/>
    <x v="6"/>
    <x v="6"/>
    <x v="0"/>
    <x v="2"/>
    <x v="32"/>
    <x v="141"/>
    <x v="1345"/>
    <x v="0"/>
    <s v="PENONOME"/>
    <x v="2"/>
  </r>
  <r>
    <x v="73"/>
    <x v="108"/>
    <x v="3"/>
    <x v="3"/>
    <x v="0"/>
    <x v="2"/>
    <x v="32"/>
    <x v="63"/>
    <x v="1346"/>
    <x v="0"/>
    <s v="PENONOME"/>
    <x v="2"/>
  </r>
  <r>
    <x v="73"/>
    <x v="79"/>
    <x v="3"/>
    <x v="3"/>
    <x v="0"/>
    <x v="2"/>
    <x v="32"/>
    <x v="142"/>
    <x v="1344"/>
    <x v="0"/>
    <s v="PENONOME"/>
    <x v="2"/>
  </r>
  <r>
    <x v="73"/>
    <x v="159"/>
    <x v="0"/>
    <x v="0"/>
    <x v="0"/>
    <x v="2"/>
    <x v="32"/>
    <x v="177"/>
    <x v="1347"/>
    <x v="0"/>
    <s v="PENONOME"/>
    <x v="2"/>
  </r>
  <r>
    <x v="73"/>
    <x v="160"/>
    <x v="0"/>
    <x v="0"/>
    <x v="0"/>
    <x v="2"/>
    <x v="32"/>
    <x v="179"/>
    <x v="15"/>
    <x v="0"/>
    <s v="PENONOME"/>
    <x v="2"/>
  </r>
  <r>
    <x v="73"/>
    <x v="1"/>
    <x v="1"/>
    <x v="1"/>
    <x v="0"/>
    <x v="2"/>
    <x v="1"/>
    <x v="1"/>
    <x v="1"/>
    <x v="354"/>
    <s v="PENONOME"/>
    <x v="2"/>
  </r>
  <r>
    <x v="29"/>
    <x v="110"/>
    <x v="2"/>
    <x v="2"/>
    <x v="0"/>
    <x v="0"/>
    <x v="33"/>
    <x v="171"/>
    <x v="874"/>
    <x v="0"/>
    <s v="ALBROOK"/>
    <x v="2"/>
  </r>
  <r>
    <x v="29"/>
    <x v="19"/>
    <x v="3"/>
    <x v="3"/>
    <x v="0"/>
    <x v="0"/>
    <x v="33"/>
    <x v="62"/>
    <x v="874"/>
    <x v="0"/>
    <s v="ALBROOK"/>
    <x v="2"/>
  </r>
  <r>
    <x v="29"/>
    <x v="27"/>
    <x v="3"/>
    <x v="3"/>
    <x v="0"/>
    <x v="0"/>
    <x v="33"/>
    <x v="43"/>
    <x v="874"/>
    <x v="0"/>
    <s v="ALBROOK"/>
    <x v="2"/>
  </r>
  <r>
    <x v="29"/>
    <x v="135"/>
    <x v="3"/>
    <x v="3"/>
    <x v="0"/>
    <x v="0"/>
    <x v="33"/>
    <x v="149"/>
    <x v="874"/>
    <x v="0"/>
    <s v="ALBROOK"/>
    <x v="2"/>
  </r>
  <r>
    <x v="29"/>
    <x v="56"/>
    <x v="3"/>
    <x v="3"/>
    <x v="0"/>
    <x v="0"/>
    <x v="33"/>
    <x v="153"/>
    <x v="874"/>
    <x v="0"/>
    <s v="ALBROOK"/>
    <x v="2"/>
  </r>
  <r>
    <x v="29"/>
    <x v="120"/>
    <x v="0"/>
    <x v="0"/>
    <x v="0"/>
    <x v="0"/>
    <x v="33"/>
    <x v="212"/>
    <x v="874"/>
    <x v="0"/>
    <s v="ALBROOK"/>
    <x v="2"/>
  </r>
  <r>
    <x v="29"/>
    <x v="92"/>
    <x v="0"/>
    <x v="0"/>
    <x v="0"/>
    <x v="0"/>
    <x v="33"/>
    <x v="109"/>
    <x v="759"/>
    <x v="0"/>
    <s v="ALBROOK"/>
    <x v="2"/>
  </r>
  <r>
    <x v="29"/>
    <x v="142"/>
    <x v="0"/>
    <x v="0"/>
    <x v="0"/>
    <x v="0"/>
    <x v="33"/>
    <x v="119"/>
    <x v="765"/>
    <x v="0"/>
    <s v="ALBROOK"/>
    <x v="2"/>
  </r>
  <r>
    <x v="29"/>
    <x v="97"/>
    <x v="5"/>
    <x v="5"/>
    <x v="0"/>
    <x v="0"/>
    <x v="33"/>
    <x v="183"/>
    <x v="759"/>
    <x v="0"/>
    <s v="ALBROOK"/>
    <x v="2"/>
  </r>
  <r>
    <x v="29"/>
    <x v="161"/>
    <x v="1"/>
    <x v="1"/>
    <x v="0"/>
    <x v="0"/>
    <x v="33"/>
    <x v="186"/>
    <x v="874"/>
    <x v="0"/>
    <s v="ALBROOK"/>
    <x v="2"/>
  </r>
  <r>
    <x v="29"/>
    <x v="95"/>
    <x v="1"/>
    <x v="1"/>
    <x v="0"/>
    <x v="0"/>
    <x v="33"/>
    <x v="97"/>
    <x v="874"/>
    <x v="0"/>
    <s v="ALBROOK"/>
    <x v="2"/>
  </r>
  <r>
    <x v="29"/>
    <x v="128"/>
    <x v="1"/>
    <x v="1"/>
    <x v="0"/>
    <x v="0"/>
    <x v="33"/>
    <x v="164"/>
    <x v="874"/>
    <x v="0"/>
    <s v="ALBROOK"/>
    <x v="2"/>
  </r>
  <r>
    <x v="29"/>
    <x v="1"/>
    <x v="1"/>
    <x v="1"/>
    <x v="0"/>
    <x v="0"/>
    <x v="1"/>
    <x v="1"/>
    <x v="1"/>
    <x v="344"/>
    <s v="ALBROOK"/>
    <x v="2"/>
  </r>
  <r>
    <x v="29"/>
    <x v="85"/>
    <x v="2"/>
    <x v="2"/>
    <x v="0"/>
    <x v="1"/>
    <x v="33"/>
    <x v="161"/>
    <x v="874"/>
    <x v="0"/>
    <s v="ALBROOK"/>
    <x v="2"/>
  </r>
  <r>
    <x v="29"/>
    <x v="146"/>
    <x v="6"/>
    <x v="6"/>
    <x v="0"/>
    <x v="1"/>
    <x v="33"/>
    <x v="172"/>
    <x v="759"/>
    <x v="0"/>
    <s v="ALBROOK"/>
    <x v="2"/>
  </r>
  <r>
    <x v="29"/>
    <x v="163"/>
    <x v="6"/>
    <x v="6"/>
    <x v="0"/>
    <x v="1"/>
    <x v="33"/>
    <x v="195"/>
    <x v="874"/>
    <x v="0"/>
    <s v="ALBROOK"/>
    <x v="2"/>
  </r>
  <r>
    <x v="29"/>
    <x v="1"/>
    <x v="1"/>
    <x v="1"/>
    <x v="0"/>
    <x v="1"/>
    <x v="1"/>
    <x v="1"/>
    <x v="1"/>
    <x v="355"/>
    <s v="ALBROOK"/>
    <x v="2"/>
  </r>
  <r>
    <x v="30"/>
    <x v="64"/>
    <x v="2"/>
    <x v="2"/>
    <x v="0"/>
    <x v="2"/>
    <x v="32"/>
    <x v="139"/>
    <x v="1348"/>
    <x v="0"/>
    <s v="SUCURSAL DE VISTA ALEGRE"/>
    <x v="2"/>
  </r>
  <r>
    <x v="30"/>
    <x v="84"/>
    <x v="2"/>
    <x v="2"/>
    <x v="0"/>
    <x v="2"/>
    <x v="33"/>
    <x v="203"/>
    <x v="775"/>
    <x v="0"/>
    <s v="SUCURSAL DE VISTA ALEGRE"/>
    <x v="2"/>
  </r>
  <r>
    <x v="30"/>
    <x v="36"/>
    <x v="6"/>
    <x v="6"/>
    <x v="0"/>
    <x v="2"/>
    <x v="33"/>
    <x v="94"/>
    <x v="874"/>
    <x v="0"/>
    <s v="SUCURSAL DE VISTA ALEGRE"/>
    <x v="2"/>
  </r>
  <r>
    <x v="30"/>
    <x v="169"/>
    <x v="6"/>
    <x v="6"/>
    <x v="0"/>
    <x v="2"/>
    <x v="33"/>
    <x v="249"/>
    <x v="874"/>
    <x v="0"/>
    <s v="SUCURSAL DE VISTA ALEGRE"/>
    <x v="2"/>
  </r>
  <r>
    <x v="30"/>
    <x v="50"/>
    <x v="4"/>
    <x v="4"/>
    <x v="0"/>
    <x v="2"/>
    <x v="32"/>
    <x v="77"/>
    <x v="1349"/>
    <x v="0"/>
    <s v="SUCURSAL DE VISTA ALEGRE"/>
    <x v="2"/>
  </r>
  <r>
    <x v="30"/>
    <x v="160"/>
    <x v="0"/>
    <x v="0"/>
    <x v="0"/>
    <x v="2"/>
    <x v="32"/>
    <x v="179"/>
    <x v="1350"/>
    <x v="0"/>
    <s v="SUCURSAL DE VISTA ALEGRE"/>
    <x v="2"/>
  </r>
  <r>
    <x v="30"/>
    <x v="1"/>
    <x v="1"/>
    <x v="1"/>
    <x v="0"/>
    <x v="2"/>
    <x v="1"/>
    <x v="1"/>
    <x v="1"/>
    <x v="356"/>
    <s v="SUCURSAL DE VISTA ALEGRE"/>
    <x v="2"/>
  </r>
  <r>
    <x v="30"/>
    <x v="16"/>
    <x v="2"/>
    <x v="2"/>
    <x v="0"/>
    <x v="0"/>
    <x v="33"/>
    <x v="93"/>
    <x v="759"/>
    <x v="0"/>
    <s v="SUCURSAL DE VISTA ALEGRE"/>
    <x v="2"/>
  </r>
  <r>
    <x v="30"/>
    <x v="144"/>
    <x v="2"/>
    <x v="2"/>
    <x v="0"/>
    <x v="0"/>
    <x v="33"/>
    <x v="162"/>
    <x v="874"/>
    <x v="0"/>
    <s v="SUCURSAL DE VISTA ALEGRE"/>
    <x v="2"/>
  </r>
  <r>
    <x v="30"/>
    <x v="129"/>
    <x v="2"/>
    <x v="2"/>
    <x v="0"/>
    <x v="0"/>
    <x v="33"/>
    <x v="204"/>
    <x v="759"/>
    <x v="0"/>
    <s v="SUCURSAL DE VISTA ALEGRE"/>
    <x v="2"/>
  </r>
  <r>
    <x v="30"/>
    <x v="146"/>
    <x v="6"/>
    <x v="6"/>
    <x v="0"/>
    <x v="0"/>
    <x v="33"/>
    <x v="172"/>
    <x v="874"/>
    <x v="0"/>
    <s v="SUCURSAL DE VISTA ALEGRE"/>
    <x v="2"/>
  </r>
  <r>
    <x v="30"/>
    <x v="36"/>
    <x v="6"/>
    <x v="6"/>
    <x v="0"/>
    <x v="0"/>
    <x v="33"/>
    <x v="94"/>
    <x v="874"/>
    <x v="0"/>
    <s v="SUCURSAL DE VISTA ALEGRE"/>
    <x v="2"/>
  </r>
  <r>
    <x v="30"/>
    <x v="87"/>
    <x v="6"/>
    <x v="6"/>
    <x v="0"/>
    <x v="0"/>
    <x v="33"/>
    <x v="189"/>
    <x v="874"/>
    <x v="0"/>
    <s v="SUCURSAL DE VISTA ALEGRE"/>
    <x v="2"/>
  </r>
  <r>
    <x v="30"/>
    <x v="102"/>
    <x v="6"/>
    <x v="6"/>
    <x v="0"/>
    <x v="0"/>
    <x v="33"/>
    <x v="141"/>
    <x v="874"/>
    <x v="0"/>
    <s v="SUCURSAL DE VISTA ALEGRE"/>
    <x v="2"/>
  </r>
  <r>
    <x v="30"/>
    <x v="134"/>
    <x v="6"/>
    <x v="6"/>
    <x v="0"/>
    <x v="0"/>
    <x v="33"/>
    <x v="226"/>
    <x v="874"/>
    <x v="0"/>
    <s v="SUCURSAL DE VISTA ALEGRE"/>
    <x v="2"/>
  </r>
  <r>
    <x v="30"/>
    <x v="11"/>
    <x v="6"/>
    <x v="6"/>
    <x v="0"/>
    <x v="0"/>
    <x v="33"/>
    <x v="91"/>
    <x v="759"/>
    <x v="0"/>
    <s v="SUCURSAL DE VISTA ALEGRE"/>
    <x v="2"/>
  </r>
  <r>
    <x v="30"/>
    <x v="67"/>
    <x v="6"/>
    <x v="6"/>
    <x v="0"/>
    <x v="0"/>
    <x v="33"/>
    <x v="32"/>
    <x v="759"/>
    <x v="0"/>
    <s v="SUCURSAL DE VISTA ALEGRE"/>
    <x v="2"/>
  </r>
  <r>
    <x v="30"/>
    <x v="26"/>
    <x v="3"/>
    <x v="3"/>
    <x v="0"/>
    <x v="0"/>
    <x v="33"/>
    <x v="115"/>
    <x v="146"/>
    <x v="0"/>
    <s v="SUCURSAL DE VISTA ALEGRE"/>
    <x v="2"/>
  </r>
  <r>
    <x v="30"/>
    <x v="49"/>
    <x v="3"/>
    <x v="3"/>
    <x v="0"/>
    <x v="0"/>
    <x v="33"/>
    <x v="244"/>
    <x v="765"/>
    <x v="0"/>
    <s v="SUCURSAL DE VISTA ALEGRE"/>
    <x v="2"/>
  </r>
  <r>
    <x v="30"/>
    <x v="19"/>
    <x v="3"/>
    <x v="3"/>
    <x v="0"/>
    <x v="0"/>
    <x v="33"/>
    <x v="62"/>
    <x v="874"/>
    <x v="0"/>
    <s v="SUCURSAL DE VISTA ALEGRE"/>
    <x v="2"/>
  </r>
  <r>
    <x v="30"/>
    <x v="18"/>
    <x v="3"/>
    <x v="3"/>
    <x v="0"/>
    <x v="0"/>
    <x v="33"/>
    <x v="219"/>
    <x v="759"/>
    <x v="0"/>
    <s v="SUCURSAL DE VISTA ALEGRE"/>
    <x v="2"/>
  </r>
  <r>
    <x v="30"/>
    <x v="114"/>
    <x v="3"/>
    <x v="3"/>
    <x v="0"/>
    <x v="0"/>
    <x v="33"/>
    <x v="76"/>
    <x v="874"/>
    <x v="0"/>
    <s v="SUCURSAL DE VISTA ALEGRE"/>
    <x v="2"/>
  </r>
  <r>
    <x v="30"/>
    <x v="61"/>
    <x v="3"/>
    <x v="3"/>
    <x v="0"/>
    <x v="0"/>
    <x v="33"/>
    <x v="126"/>
    <x v="874"/>
    <x v="0"/>
    <s v="SUCURSAL DE VISTA ALEGRE"/>
    <x v="2"/>
  </r>
  <r>
    <x v="30"/>
    <x v="148"/>
    <x v="3"/>
    <x v="3"/>
    <x v="0"/>
    <x v="0"/>
    <x v="33"/>
    <x v="174"/>
    <x v="759"/>
    <x v="0"/>
    <s v="SUCURSAL DE VISTA ALEGRE"/>
    <x v="2"/>
  </r>
  <r>
    <x v="30"/>
    <x v="79"/>
    <x v="3"/>
    <x v="3"/>
    <x v="0"/>
    <x v="0"/>
    <x v="33"/>
    <x v="142"/>
    <x v="759"/>
    <x v="0"/>
    <s v="SUCURSAL DE VISTA ALEGRE"/>
    <x v="2"/>
  </r>
  <r>
    <x v="30"/>
    <x v="56"/>
    <x v="3"/>
    <x v="3"/>
    <x v="0"/>
    <x v="0"/>
    <x v="33"/>
    <x v="153"/>
    <x v="146"/>
    <x v="0"/>
    <s v="SUCURSAL DE VISTA ALEGRE"/>
    <x v="2"/>
  </r>
  <r>
    <x v="30"/>
    <x v="81"/>
    <x v="4"/>
    <x v="4"/>
    <x v="0"/>
    <x v="0"/>
    <x v="33"/>
    <x v="175"/>
    <x v="765"/>
    <x v="0"/>
    <s v="SUCURSAL DE VISTA ALEGRE"/>
    <x v="2"/>
  </r>
  <r>
    <x v="30"/>
    <x v="156"/>
    <x v="4"/>
    <x v="4"/>
    <x v="0"/>
    <x v="0"/>
    <x v="33"/>
    <x v="146"/>
    <x v="765"/>
    <x v="0"/>
    <s v="SUCURSAL DE VISTA ALEGRE"/>
    <x v="2"/>
  </r>
  <r>
    <x v="30"/>
    <x v="29"/>
    <x v="4"/>
    <x v="4"/>
    <x v="0"/>
    <x v="0"/>
    <x v="33"/>
    <x v="248"/>
    <x v="874"/>
    <x v="0"/>
    <s v="SUCURSAL DE VISTA ALEGRE"/>
    <x v="2"/>
  </r>
  <r>
    <x v="30"/>
    <x v="165"/>
    <x v="4"/>
    <x v="4"/>
    <x v="0"/>
    <x v="0"/>
    <x v="33"/>
    <x v="205"/>
    <x v="146"/>
    <x v="0"/>
    <s v="SUCURSAL DE VISTA ALEGRE"/>
    <x v="2"/>
  </r>
  <r>
    <x v="30"/>
    <x v="38"/>
    <x v="4"/>
    <x v="4"/>
    <x v="0"/>
    <x v="0"/>
    <x v="33"/>
    <x v="106"/>
    <x v="874"/>
    <x v="0"/>
    <s v="SUCURSAL DE VISTA ALEGRE"/>
    <x v="2"/>
  </r>
  <r>
    <x v="30"/>
    <x v="159"/>
    <x v="0"/>
    <x v="0"/>
    <x v="0"/>
    <x v="0"/>
    <x v="33"/>
    <x v="177"/>
    <x v="759"/>
    <x v="0"/>
    <s v="SUCURSAL DE VISTA ALEGRE"/>
    <x v="2"/>
  </r>
  <r>
    <x v="30"/>
    <x v="116"/>
    <x v="0"/>
    <x v="0"/>
    <x v="0"/>
    <x v="0"/>
    <x v="33"/>
    <x v="64"/>
    <x v="146"/>
    <x v="0"/>
    <s v="SUCURSAL DE VISTA ALEGRE"/>
    <x v="2"/>
  </r>
  <r>
    <x v="30"/>
    <x v="57"/>
    <x v="0"/>
    <x v="0"/>
    <x v="0"/>
    <x v="0"/>
    <x v="33"/>
    <x v="44"/>
    <x v="759"/>
    <x v="0"/>
    <s v="SUCURSAL DE VISTA ALEGRE"/>
    <x v="2"/>
  </r>
  <r>
    <x v="30"/>
    <x v="119"/>
    <x v="0"/>
    <x v="0"/>
    <x v="0"/>
    <x v="0"/>
    <x v="33"/>
    <x v="96"/>
    <x v="759"/>
    <x v="0"/>
    <s v="SUCURSAL DE VISTA ALEGRE"/>
    <x v="2"/>
  </r>
  <r>
    <x v="30"/>
    <x v="0"/>
    <x v="0"/>
    <x v="0"/>
    <x v="0"/>
    <x v="0"/>
    <x v="33"/>
    <x v="197"/>
    <x v="759"/>
    <x v="0"/>
    <s v="SUCURSAL DE VISTA ALEGRE"/>
    <x v="2"/>
  </r>
  <r>
    <x v="30"/>
    <x v="121"/>
    <x v="0"/>
    <x v="0"/>
    <x v="0"/>
    <x v="0"/>
    <x v="33"/>
    <x v="80"/>
    <x v="759"/>
    <x v="0"/>
    <s v="SUCURSAL DE VISTA ALEGRE"/>
    <x v="2"/>
  </r>
  <r>
    <x v="30"/>
    <x v="53"/>
    <x v="0"/>
    <x v="0"/>
    <x v="0"/>
    <x v="0"/>
    <x v="33"/>
    <x v="144"/>
    <x v="759"/>
    <x v="0"/>
    <s v="SUCURSAL DE VISTA ALEGRE"/>
    <x v="2"/>
  </r>
  <r>
    <x v="30"/>
    <x v="115"/>
    <x v="5"/>
    <x v="5"/>
    <x v="0"/>
    <x v="0"/>
    <x v="33"/>
    <x v="213"/>
    <x v="899"/>
    <x v="0"/>
    <s v="SUCURSAL DE VISTA ALEGRE"/>
    <x v="2"/>
  </r>
  <r>
    <x v="30"/>
    <x v="13"/>
    <x v="5"/>
    <x v="5"/>
    <x v="0"/>
    <x v="0"/>
    <x v="33"/>
    <x v="120"/>
    <x v="759"/>
    <x v="0"/>
    <s v="SUCURSAL DE VISTA ALEGRE"/>
    <x v="2"/>
  </r>
  <r>
    <x v="30"/>
    <x v="72"/>
    <x v="5"/>
    <x v="5"/>
    <x v="0"/>
    <x v="0"/>
    <x v="33"/>
    <x v="38"/>
    <x v="759"/>
    <x v="0"/>
    <s v="SUCURSAL DE VISTA ALEGRE"/>
    <x v="2"/>
  </r>
  <r>
    <x v="30"/>
    <x v="139"/>
    <x v="5"/>
    <x v="5"/>
    <x v="0"/>
    <x v="0"/>
    <x v="33"/>
    <x v="110"/>
    <x v="759"/>
    <x v="0"/>
    <s v="SUCURSAL DE VISTA ALEGRE"/>
    <x v="2"/>
  </r>
  <r>
    <x v="30"/>
    <x v="63"/>
    <x v="5"/>
    <x v="5"/>
    <x v="0"/>
    <x v="0"/>
    <x v="33"/>
    <x v="111"/>
    <x v="759"/>
    <x v="0"/>
    <s v="SUCURSAL DE VISTA ALEGRE"/>
    <x v="2"/>
  </r>
  <r>
    <x v="30"/>
    <x v="123"/>
    <x v="5"/>
    <x v="5"/>
    <x v="0"/>
    <x v="0"/>
    <x v="33"/>
    <x v="74"/>
    <x v="874"/>
    <x v="0"/>
    <s v="SUCURSAL DE VISTA ALEGRE"/>
    <x v="2"/>
  </r>
  <r>
    <x v="30"/>
    <x v="40"/>
    <x v="1"/>
    <x v="1"/>
    <x v="0"/>
    <x v="0"/>
    <x v="33"/>
    <x v="125"/>
    <x v="1182"/>
    <x v="0"/>
    <s v="SUCURSAL DE VISTA ALEGRE"/>
    <x v="2"/>
  </r>
  <r>
    <x v="30"/>
    <x v="151"/>
    <x v="1"/>
    <x v="1"/>
    <x v="0"/>
    <x v="0"/>
    <x v="33"/>
    <x v="166"/>
    <x v="899"/>
    <x v="0"/>
    <s v="SUCURSAL DE VISTA ALEGRE"/>
    <x v="2"/>
  </r>
  <r>
    <x v="30"/>
    <x v="127"/>
    <x v="1"/>
    <x v="1"/>
    <x v="0"/>
    <x v="0"/>
    <x v="33"/>
    <x v="85"/>
    <x v="146"/>
    <x v="0"/>
    <s v="SUCURSAL DE VISTA ALEGRE"/>
    <x v="2"/>
  </r>
  <r>
    <x v="30"/>
    <x v="42"/>
    <x v="1"/>
    <x v="1"/>
    <x v="0"/>
    <x v="0"/>
    <x v="33"/>
    <x v="167"/>
    <x v="765"/>
    <x v="0"/>
    <s v="SUCURSAL DE VISTA ALEGRE"/>
    <x v="2"/>
  </r>
  <r>
    <x v="30"/>
    <x v="109"/>
    <x v="1"/>
    <x v="1"/>
    <x v="0"/>
    <x v="0"/>
    <x v="33"/>
    <x v="208"/>
    <x v="765"/>
    <x v="0"/>
    <s v="SUCURSAL DE VISTA ALEGRE"/>
    <x v="2"/>
  </r>
  <r>
    <x v="30"/>
    <x v="152"/>
    <x v="1"/>
    <x v="1"/>
    <x v="0"/>
    <x v="0"/>
    <x v="33"/>
    <x v="194"/>
    <x v="146"/>
    <x v="0"/>
    <s v="SUCURSAL DE VISTA ALEGRE"/>
    <x v="2"/>
  </r>
  <r>
    <x v="30"/>
    <x v="128"/>
    <x v="1"/>
    <x v="1"/>
    <x v="0"/>
    <x v="0"/>
    <x v="33"/>
    <x v="164"/>
    <x v="899"/>
    <x v="0"/>
    <s v="SUCURSAL DE VISTA ALEGRE"/>
    <x v="2"/>
  </r>
  <r>
    <x v="30"/>
    <x v="1"/>
    <x v="1"/>
    <x v="1"/>
    <x v="0"/>
    <x v="0"/>
    <x v="1"/>
    <x v="1"/>
    <x v="1"/>
    <x v="357"/>
    <s v="SUCURSAL DE VISTA ALEGRE"/>
    <x v="2"/>
  </r>
  <r>
    <x v="30"/>
    <x v="2"/>
    <x v="2"/>
    <x v="2"/>
    <x v="0"/>
    <x v="1"/>
    <x v="33"/>
    <x v="140"/>
    <x v="874"/>
    <x v="0"/>
    <s v="SUCURSAL DE VISTA ALEGRE"/>
    <x v="2"/>
  </r>
  <r>
    <x v="30"/>
    <x v="36"/>
    <x v="6"/>
    <x v="6"/>
    <x v="0"/>
    <x v="1"/>
    <x v="33"/>
    <x v="94"/>
    <x v="874"/>
    <x v="0"/>
    <s v="SUCURSAL DE VISTA ALEGRE"/>
    <x v="2"/>
  </r>
  <r>
    <x v="30"/>
    <x v="71"/>
    <x v="6"/>
    <x v="6"/>
    <x v="0"/>
    <x v="1"/>
    <x v="33"/>
    <x v="37"/>
    <x v="874"/>
    <x v="0"/>
    <s v="SUCURSAL DE VISTA ALEGRE"/>
    <x v="2"/>
  </r>
  <r>
    <x v="30"/>
    <x v="27"/>
    <x v="3"/>
    <x v="3"/>
    <x v="0"/>
    <x v="1"/>
    <x v="33"/>
    <x v="43"/>
    <x v="874"/>
    <x v="0"/>
    <s v="SUCURSAL DE VISTA ALEGRE"/>
    <x v="2"/>
  </r>
  <r>
    <x v="30"/>
    <x v="61"/>
    <x v="3"/>
    <x v="3"/>
    <x v="0"/>
    <x v="1"/>
    <x v="33"/>
    <x v="126"/>
    <x v="874"/>
    <x v="0"/>
    <s v="SUCURSAL DE VISTA ALEGRE"/>
    <x v="2"/>
  </r>
  <r>
    <x v="30"/>
    <x v="131"/>
    <x v="3"/>
    <x v="3"/>
    <x v="0"/>
    <x v="1"/>
    <x v="33"/>
    <x v="163"/>
    <x v="874"/>
    <x v="0"/>
    <s v="SUCURSAL DE VISTA ALEGRE"/>
    <x v="2"/>
  </r>
  <r>
    <x v="30"/>
    <x v="121"/>
    <x v="0"/>
    <x v="0"/>
    <x v="0"/>
    <x v="1"/>
    <x v="33"/>
    <x v="80"/>
    <x v="874"/>
    <x v="0"/>
    <s v="SUCURSAL DE VISTA ALEGRE"/>
    <x v="2"/>
  </r>
  <r>
    <x v="30"/>
    <x v="53"/>
    <x v="0"/>
    <x v="0"/>
    <x v="0"/>
    <x v="1"/>
    <x v="33"/>
    <x v="144"/>
    <x v="874"/>
    <x v="0"/>
    <s v="SUCURSAL DE VISTA ALEGRE"/>
    <x v="2"/>
  </r>
  <r>
    <x v="30"/>
    <x v="166"/>
    <x v="0"/>
    <x v="0"/>
    <x v="0"/>
    <x v="1"/>
    <x v="33"/>
    <x v="217"/>
    <x v="874"/>
    <x v="0"/>
    <s v="SUCURSAL DE VISTA ALEGRE"/>
    <x v="2"/>
  </r>
  <r>
    <x v="30"/>
    <x v="76"/>
    <x v="5"/>
    <x v="5"/>
    <x v="0"/>
    <x v="1"/>
    <x v="33"/>
    <x v="182"/>
    <x v="874"/>
    <x v="0"/>
    <s v="SUCURSAL DE VISTA ALEGRE"/>
    <x v="2"/>
  </r>
  <r>
    <x v="30"/>
    <x v="139"/>
    <x v="5"/>
    <x v="5"/>
    <x v="0"/>
    <x v="1"/>
    <x v="33"/>
    <x v="110"/>
    <x v="874"/>
    <x v="0"/>
    <s v="SUCURSAL DE VISTA ALEGRE"/>
    <x v="2"/>
  </r>
  <r>
    <x v="30"/>
    <x v="40"/>
    <x v="1"/>
    <x v="1"/>
    <x v="0"/>
    <x v="1"/>
    <x v="33"/>
    <x v="125"/>
    <x v="874"/>
    <x v="0"/>
    <s v="SUCURSAL DE VISTA ALEGRE"/>
    <x v="2"/>
  </r>
  <r>
    <x v="30"/>
    <x v="128"/>
    <x v="1"/>
    <x v="1"/>
    <x v="0"/>
    <x v="1"/>
    <x v="33"/>
    <x v="164"/>
    <x v="874"/>
    <x v="0"/>
    <s v="SUCURSAL DE VISTA ALEGRE"/>
    <x v="2"/>
  </r>
  <r>
    <x v="30"/>
    <x v="1"/>
    <x v="1"/>
    <x v="1"/>
    <x v="0"/>
    <x v="1"/>
    <x v="1"/>
    <x v="1"/>
    <x v="1"/>
    <x v="358"/>
    <s v="SUCURSAL DE VISTA ALEGRE"/>
    <x v="2"/>
  </r>
  <r>
    <x v="31"/>
    <x v="54"/>
    <x v="5"/>
    <x v="5"/>
    <x v="0"/>
    <x v="2"/>
    <x v="33"/>
    <x v="246"/>
    <x v="815"/>
    <x v="0"/>
    <s v="LAS TABLAS"/>
    <x v="2"/>
  </r>
  <r>
    <x v="31"/>
    <x v="1"/>
    <x v="1"/>
    <x v="1"/>
    <x v="0"/>
    <x v="2"/>
    <x v="1"/>
    <x v="1"/>
    <x v="1"/>
    <x v="359"/>
    <s v="LAS TABLAS"/>
    <x v="2"/>
  </r>
  <r>
    <x v="32"/>
    <x v="135"/>
    <x v="3"/>
    <x v="3"/>
    <x v="0"/>
    <x v="2"/>
    <x v="32"/>
    <x v="149"/>
    <x v="418"/>
    <x v="0"/>
    <s v="24 DE DICIEMBRE"/>
    <x v="2"/>
  </r>
  <r>
    <x v="32"/>
    <x v="1"/>
    <x v="1"/>
    <x v="1"/>
    <x v="0"/>
    <x v="2"/>
    <x v="1"/>
    <x v="1"/>
    <x v="1"/>
    <x v="360"/>
    <s v="24 DE DICIEMBRE"/>
    <x v="2"/>
  </r>
  <r>
    <x v="34"/>
    <x v="16"/>
    <x v="2"/>
    <x v="2"/>
    <x v="0"/>
    <x v="0"/>
    <x v="33"/>
    <x v="93"/>
    <x v="899"/>
    <x v="0"/>
    <s v="COSTA DEL ESTE"/>
    <x v="2"/>
  </r>
  <r>
    <x v="34"/>
    <x v="112"/>
    <x v="2"/>
    <x v="2"/>
    <x v="0"/>
    <x v="0"/>
    <x v="33"/>
    <x v="209"/>
    <x v="874"/>
    <x v="0"/>
    <s v="COSTA DEL ESTE"/>
    <x v="2"/>
  </r>
  <r>
    <x v="34"/>
    <x v="25"/>
    <x v="2"/>
    <x v="2"/>
    <x v="0"/>
    <x v="0"/>
    <x v="33"/>
    <x v="169"/>
    <x v="874"/>
    <x v="0"/>
    <s v="COSTA DEL ESTE"/>
    <x v="2"/>
  </r>
  <r>
    <x v="34"/>
    <x v="35"/>
    <x v="2"/>
    <x v="2"/>
    <x v="0"/>
    <x v="0"/>
    <x v="33"/>
    <x v="170"/>
    <x v="874"/>
    <x v="0"/>
    <s v="COSTA DEL ESTE"/>
    <x v="2"/>
  </r>
  <r>
    <x v="34"/>
    <x v="2"/>
    <x v="2"/>
    <x v="2"/>
    <x v="0"/>
    <x v="0"/>
    <x v="33"/>
    <x v="140"/>
    <x v="759"/>
    <x v="0"/>
    <s v="COSTA DEL ESTE"/>
    <x v="2"/>
  </r>
  <r>
    <x v="34"/>
    <x v="65"/>
    <x v="6"/>
    <x v="6"/>
    <x v="0"/>
    <x v="0"/>
    <x v="33"/>
    <x v="190"/>
    <x v="759"/>
    <x v="0"/>
    <s v="COSTA DEL ESTE"/>
    <x v="2"/>
  </r>
  <r>
    <x v="34"/>
    <x v="36"/>
    <x v="6"/>
    <x v="6"/>
    <x v="0"/>
    <x v="0"/>
    <x v="33"/>
    <x v="94"/>
    <x v="146"/>
    <x v="0"/>
    <s v="COSTA DEL ESTE"/>
    <x v="2"/>
  </r>
  <r>
    <x v="34"/>
    <x v="169"/>
    <x v="6"/>
    <x v="6"/>
    <x v="0"/>
    <x v="0"/>
    <x v="33"/>
    <x v="249"/>
    <x v="874"/>
    <x v="0"/>
    <s v="COSTA DEL ESTE"/>
    <x v="2"/>
  </r>
  <r>
    <x v="34"/>
    <x v="113"/>
    <x v="6"/>
    <x v="6"/>
    <x v="0"/>
    <x v="0"/>
    <x v="33"/>
    <x v="89"/>
    <x v="874"/>
    <x v="0"/>
    <s v="COSTA DEL ESTE"/>
    <x v="2"/>
  </r>
  <r>
    <x v="34"/>
    <x v="49"/>
    <x v="3"/>
    <x v="3"/>
    <x v="0"/>
    <x v="0"/>
    <x v="33"/>
    <x v="244"/>
    <x v="874"/>
    <x v="0"/>
    <s v="COSTA DEL ESTE"/>
    <x v="2"/>
  </r>
  <r>
    <x v="34"/>
    <x v="108"/>
    <x v="3"/>
    <x v="3"/>
    <x v="0"/>
    <x v="0"/>
    <x v="33"/>
    <x v="63"/>
    <x v="759"/>
    <x v="0"/>
    <s v="COSTA DEL ESTE"/>
    <x v="2"/>
  </r>
  <r>
    <x v="34"/>
    <x v="148"/>
    <x v="3"/>
    <x v="3"/>
    <x v="0"/>
    <x v="0"/>
    <x v="33"/>
    <x v="174"/>
    <x v="146"/>
    <x v="0"/>
    <s v="COSTA DEL ESTE"/>
    <x v="2"/>
  </r>
  <r>
    <x v="34"/>
    <x v="81"/>
    <x v="4"/>
    <x v="4"/>
    <x v="0"/>
    <x v="0"/>
    <x v="33"/>
    <x v="175"/>
    <x v="874"/>
    <x v="0"/>
    <s v="COSTA DEL ESTE"/>
    <x v="2"/>
  </r>
  <r>
    <x v="34"/>
    <x v="115"/>
    <x v="5"/>
    <x v="5"/>
    <x v="0"/>
    <x v="0"/>
    <x v="33"/>
    <x v="213"/>
    <x v="874"/>
    <x v="0"/>
    <s v="COSTA DEL ESTE"/>
    <x v="2"/>
  </r>
  <r>
    <x v="34"/>
    <x v="97"/>
    <x v="5"/>
    <x v="5"/>
    <x v="0"/>
    <x v="0"/>
    <x v="33"/>
    <x v="183"/>
    <x v="874"/>
    <x v="0"/>
    <s v="COSTA DEL ESTE"/>
    <x v="2"/>
  </r>
  <r>
    <x v="34"/>
    <x v="72"/>
    <x v="5"/>
    <x v="5"/>
    <x v="0"/>
    <x v="0"/>
    <x v="33"/>
    <x v="38"/>
    <x v="874"/>
    <x v="0"/>
    <s v="COSTA DEL ESTE"/>
    <x v="2"/>
  </r>
  <r>
    <x v="34"/>
    <x v="40"/>
    <x v="1"/>
    <x v="1"/>
    <x v="0"/>
    <x v="0"/>
    <x v="33"/>
    <x v="125"/>
    <x v="874"/>
    <x v="0"/>
    <s v="COSTA DEL ESTE"/>
    <x v="2"/>
  </r>
  <r>
    <x v="34"/>
    <x v="95"/>
    <x v="1"/>
    <x v="1"/>
    <x v="0"/>
    <x v="0"/>
    <x v="33"/>
    <x v="97"/>
    <x v="759"/>
    <x v="0"/>
    <s v="COSTA DEL ESTE"/>
    <x v="2"/>
  </r>
  <r>
    <x v="34"/>
    <x v="42"/>
    <x v="1"/>
    <x v="1"/>
    <x v="0"/>
    <x v="0"/>
    <x v="33"/>
    <x v="167"/>
    <x v="874"/>
    <x v="0"/>
    <s v="COSTA DEL ESTE"/>
    <x v="2"/>
  </r>
  <r>
    <x v="34"/>
    <x v="73"/>
    <x v="1"/>
    <x v="1"/>
    <x v="0"/>
    <x v="0"/>
    <x v="33"/>
    <x v="39"/>
    <x v="874"/>
    <x v="0"/>
    <s v="COSTA DEL ESTE"/>
    <x v="2"/>
  </r>
  <r>
    <x v="34"/>
    <x v="8"/>
    <x v="1"/>
    <x v="1"/>
    <x v="0"/>
    <x v="0"/>
    <x v="33"/>
    <x v="187"/>
    <x v="874"/>
    <x v="0"/>
    <s v="COSTA DEL ESTE"/>
    <x v="2"/>
  </r>
  <r>
    <x v="34"/>
    <x v="128"/>
    <x v="1"/>
    <x v="1"/>
    <x v="0"/>
    <x v="0"/>
    <x v="33"/>
    <x v="164"/>
    <x v="874"/>
    <x v="0"/>
    <s v="COSTA DEL ESTE"/>
    <x v="2"/>
  </r>
  <r>
    <x v="34"/>
    <x v="1"/>
    <x v="1"/>
    <x v="1"/>
    <x v="0"/>
    <x v="0"/>
    <x v="1"/>
    <x v="1"/>
    <x v="1"/>
    <x v="361"/>
    <s v="COSTA DEL ESTE"/>
    <x v="2"/>
  </r>
  <r>
    <x v="34"/>
    <x v="169"/>
    <x v="6"/>
    <x v="6"/>
    <x v="0"/>
    <x v="1"/>
    <x v="33"/>
    <x v="249"/>
    <x v="874"/>
    <x v="0"/>
    <s v="COSTA DEL ESTE"/>
    <x v="2"/>
  </r>
  <r>
    <x v="34"/>
    <x v="114"/>
    <x v="3"/>
    <x v="3"/>
    <x v="0"/>
    <x v="1"/>
    <x v="33"/>
    <x v="76"/>
    <x v="874"/>
    <x v="0"/>
    <s v="COSTA DEL ESTE"/>
    <x v="2"/>
  </r>
  <r>
    <x v="34"/>
    <x v="99"/>
    <x v="3"/>
    <x v="3"/>
    <x v="0"/>
    <x v="1"/>
    <x v="33"/>
    <x v="116"/>
    <x v="874"/>
    <x v="0"/>
    <s v="COSTA DEL ESTE"/>
    <x v="2"/>
  </r>
  <r>
    <x v="34"/>
    <x v="131"/>
    <x v="3"/>
    <x v="3"/>
    <x v="0"/>
    <x v="1"/>
    <x v="33"/>
    <x v="163"/>
    <x v="874"/>
    <x v="0"/>
    <s v="COSTA DEL ESTE"/>
    <x v="2"/>
  </r>
  <r>
    <x v="34"/>
    <x v="29"/>
    <x v="4"/>
    <x v="4"/>
    <x v="0"/>
    <x v="1"/>
    <x v="33"/>
    <x v="248"/>
    <x v="874"/>
    <x v="0"/>
    <s v="COSTA DEL ESTE"/>
    <x v="2"/>
  </r>
  <r>
    <x v="34"/>
    <x v="31"/>
    <x v="4"/>
    <x v="4"/>
    <x v="0"/>
    <x v="1"/>
    <x v="33"/>
    <x v="72"/>
    <x v="874"/>
    <x v="0"/>
    <s v="COSTA DEL ESTE"/>
    <x v="2"/>
  </r>
  <r>
    <x v="34"/>
    <x v="122"/>
    <x v="0"/>
    <x v="0"/>
    <x v="0"/>
    <x v="1"/>
    <x v="33"/>
    <x v="181"/>
    <x v="874"/>
    <x v="0"/>
    <s v="COSTA DEL ESTE"/>
    <x v="2"/>
  </r>
  <r>
    <x v="34"/>
    <x v="124"/>
    <x v="5"/>
    <x v="5"/>
    <x v="0"/>
    <x v="1"/>
    <x v="33"/>
    <x v="206"/>
    <x v="874"/>
    <x v="0"/>
    <s v="COSTA DEL ESTE"/>
    <x v="2"/>
  </r>
  <r>
    <x v="34"/>
    <x v="95"/>
    <x v="1"/>
    <x v="1"/>
    <x v="0"/>
    <x v="1"/>
    <x v="33"/>
    <x v="97"/>
    <x v="874"/>
    <x v="0"/>
    <s v="COSTA DEL ESTE"/>
    <x v="2"/>
  </r>
  <r>
    <x v="34"/>
    <x v="127"/>
    <x v="1"/>
    <x v="1"/>
    <x v="0"/>
    <x v="1"/>
    <x v="33"/>
    <x v="85"/>
    <x v="759"/>
    <x v="0"/>
    <s v="COSTA DEL ESTE"/>
    <x v="2"/>
  </r>
  <r>
    <x v="34"/>
    <x v="1"/>
    <x v="1"/>
    <x v="1"/>
    <x v="0"/>
    <x v="1"/>
    <x v="1"/>
    <x v="1"/>
    <x v="1"/>
    <x v="362"/>
    <s v="COSTA DEL ESTE"/>
    <x v="2"/>
  </r>
  <r>
    <x v="35"/>
    <x v="144"/>
    <x v="2"/>
    <x v="2"/>
    <x v="0"/>
    <x v="2"/>
    <x v="32"/>
    <x v="162"/>
    <x v="1351"/>
    <x v="0"/>
    <s v="MULTI PLAZA"/>
    <x v="2"/>
  </r>
  <r>
    <x v="35"/>
    <x v="144"/>
    <x v="2"/>
    <x v="2"/>
    <x v="0"/>
    <x v="2"/>
    <x v="33"/>
    <x v="162"/>
    <x v="874"/>
    <x v="0"/>
    <s v="MULTI PLAZA"/>
    <x v="2"/>
  </r>
  <r>
    <x v="35"/>
    <x v="102"/>
    <x v="6"/>
    <x v="6"/>
    <x v="0"/>
    <x v="2"/>
    <x v="33"/>
    <x v="141"/>
    <x v="874"/>
    <x v="0"/>
    <s v="MULTI PLAZA"/>
    <x v="2"/>
  </r>
  <r>
    <x v="35"/>
    <x v="37"/>
    <x v="6"/>
    <x v="6"/>
    <x v="0"/>
    <x v="2"/>
    <x v="33"/>
    <x v="250"/>
    <x v="874"/>
    <x v="0"/>
    <s v="MULTI PLAZA"/>
    <x v="2"/>
  </r>
  <r>
    <x v="35"/>
    <x v="114"/>
    <x v="3"/>
    <x v="3"/>
    <x v="0"/>
    <x v="2"/>
    <x v="33"/>
    <x v="76"/>
    <x v="874"/>
    <x v="0"/>
    <s v="MULTI PLAZA"/>
    <x v="2"/>
  </r>
  <r>
    <x v="35"/>
    <x v="100"/>
    <x v="0"/>
    <x v="0"/>
    <x v="0"/>
    <x v="2"/>
    <x v="33"/>
    <x v="73"/>
    <x v="874"/>
    <x v="0"/>
    <s v="MULTI PLAZA"/>
    <x v="2"/>
  </r>
  <r>
    <x v="35"/>
    <x v="145"/>
    <x v="5"/>
    <x v="5"/>
    <x v="0"/>
    <x v="2"/>
    <x v="32"/>
    <x v="124"/>
    <x v="1352"/>
    <x v="0"/>
    <s v="MULTI PLAZA"/>
    <x v="2"/>
  </r>
  <r>
    <x v="35"/>
    <x v="139"/>
    <x v="5"/>
    <x v="5"/>
    <x v="0"/>
    <x v="2"/>
    <x v="33"/>
    <x v="110"/>
    <x v="874"/>
    <x v="0"/>
    <s v="MULTI PLAZA"/>
    <x v="2"/>
  </r>
  <r>
    <x v="35"/>
    <x v="1"/>
    <x v="1"/>
    <x v="1"/>
    <x v="0"/>
    <x v="2"/>
    <x v="1"/>
    <x v="1"/>
    <x v="1"/>
    <x v="363"/>
    <s v="MULTI PLAZA"/>
    <x v="2"/>
  </r>
  <r>
    <x v="35"/>
    <x v="16"/>
    <x v="2"/>
    <x v="2"/>
    <x v="0"/>
    <x v="0"/>
    <x v="33"/>
    <x v="93"/>
    <x v="765"/>
    <x v="0"/>
    <s v="MULTI PLAZA"/>
    <x v="2"/>
  </r>
  <r>
    <x v="35"/>
    <x v="106"/>
    <x v="2"/>
    <x v="2"/>
    <x v="0"/>
    <x v="0"/>
    <x v="33"/>
    <x v="223"/>
    <x v="874"/>
    <x v="0"/>
    <s v="MULTI PLAZA"/>
    <x v="2"/>
  </r>
  <r>
    <x v="35"/>
    <x v="112"/>
    <x v="2"/>
    <x v="2"/>
    <x v="0"/>
    <x v="0"/>
    <x v="33"/>
    <x v="209"/>
    <x v="874"/>
    <x v="0"/>
    <s v="MULTI PLAZA"/>
    <x v="2"/>
  </r>
  <r>
    <x v="35"/>
    <x v="144"/>
    <x v="2"/>
    <x v="2"/>
    <x v="0"/>
    <x v="0"/>
    <x v="33"/>
    <x v="162"/>
    <x v="765"/>
    <x v="0"/>
    <s v="MULTI PLAZA"/>
    <x v="2"/>
  </r>
  <r>
    <x v="35"/>
    <x v="84"/>
    <x v="2"/>
    <x v="2"/>
    <x v="0"/>
    <x v="0"/>
    <x v="33"/>
    <x v="203"/>
    <x v="874"/>
    <x v="0"/>
    <s v="MULTI PLAZA"/>
    <x v="2"/>
  </r>
  <r>
    <x v="35"/>
    <x v="110"/>
    <x v="2"/>
    <x v="2"/>
    <x v="0"/>
    <x v="0"/>
    <x v="33"/>
    <x v="171"/>
    <x v="874"/>
    <x v="0"/>
    <s v="MULTI PLAZA"/>
    <x v="2"/>
  </r>
  <r>
    <x v="35"/>
    <x v="146"/>
    <x v="6"/>
    <x v="6"/>
    <x v="0"/>
    <x v="0"/>
    <x v="33"/>
    <x v="172"/>
    <x v="759"/>
    <x v="0"/>
    <s v="MULTI PLAZA"/>
    <x v="2"/>
  </r>
  <r>
    <x v="35"/>
    <x v="36"/>
    <x v="6"/>
    <x v="6"/>
    <x v="0"/>
    <x v="0"/>
    <x v="33"/>
    <x v="94"/>
    <x v="759"/>
    <x v="0"/>
    <s v="MULTI PLAZA"/>
    <x v="2"/>
  </r>
  <r>
    <x v="35"/>
    <x v="113"/>
    <x v="6"/>
    <x v="6"/>
    <x v="0"/>
    <x v="0"/>
    <x v="33"/>
    <x v="89"/>
    <x v="874"/>
    <x v="0"/>
    <s v="MULTI PLAZA"/>
    <x v="2"/>
  </r>
  <r>
    <x v="35"/>
    <x v="147"/>
    <x v="6"/>
    <x v="6"/>
    <x v="0"/>
    <x v="0"/>
    <x v="33"/>
    <x v="132"/>
    <x v="759"/>
    <x v="0"/>
    <s v="MULTI PLAZA"/>
    <x v="2"/>
  </r>
  <r>
    <x v="35"/>
    <x v="26"/>
    <x v="3"/>
    <x v="3"/>
    <x v="0"/>
    <x v="0"/>
    <x v="33"/>
    <x v="115"/>
    <x v="874"/>
    <x v="0"/>
    <s v="MULTI PLAZA"/>
    <x v="2"/>
  </r>
  <r>
    <x v="35"/>
    <x v="49"/>
    <x v="3"/>
    <x v="3"/>
    <x v="0"/>
    <x v="0"/>
    <x v="33"/>
    <x v="244"/>
    <x v="1182"/>
    <x v="0"/>
    <s v="MULTI PLAZA"/>
    <x v="2"/>
  </r>
  <r>
    <x v="35"/>
    <x v="43"/>
    <x v="3"/>
    <x v="3"/>
    <x v="0"/>
    <x v="0"/>
    <x v="33"/>
    <x v="71"/>
    <x v="759"/>
    <x v="0"/>
    <s v="MULTI PLAZA"/>
    <x v="2"/>
  </r>
  <r>
    <x v="35"/>
    <x v="148"/>
    <x v="3"/>
    <x v="3"/>
    <x v="0"/>
    <x v="0"/>
    <x v="33"/>
    <x v="174"/>
    <x v="759"/>
    <x v="0"/>
    <s v="MULTI PLAZA"/>
    <x v="2"/>
  </r>
  <r>
    <x v="35"/>
    <x v="99"/>
    <x v="3"/>
    <x v="3"/>
    <x v="0"/>
    <x v="0"/>
    <x v="33"/>
    <x v="116"/>
    <x v="874"/>
    <x v="0"/>
    <s v="MULTI PLAZA"/>
    <x v="2"/>
  </r>
  <r>
    <x v="35"/>
    <x v="132"/>
    <x v="4"/>
    <x v="4"/>
    <x v="0"/>
    <x v="0"/>
    <x v="33"/>
    <x v="95"/>
    <x v="765"/>
    <x v="0"/>
    <s v="MULTI PLAZA"/>
    <x v="2"/>
  </r>
  <r>
    <x v="35"/>
    <x v="29"/>
    <x v="4"/>
    <x v="4"/>
    <x v="0"/>
    <x v="0"/>
    <x v="33"/>
    <x v="248"/>
    <x v="874"/>
    <x v="0"/>
    <s v="MULTI PLAZA"/>
    <x v="2"/>
  </r>
  <r>
    <x v="35"/>
    <x v="154"/>
    <x v="4"/>
    <x v="4"/>
    <x v="0"/>
    <x v="0"/>
    <x v="33"/>
    <x v="143"/>
    <x v="759"/>
    <x v="0"/>
    <s v="MULTI PLAZA"/>
    <x v="2"/>
  </r>
  <r>
    <x v="35"/>
    <x v="31"/>
    <x v="4"/>
    <x v="4"/>
    <x v="0"/>
    <x v="0"/>
    <x v="33"/>
    <x v="72"/>
    <x v="759"/>
    <x v="0"/>
    <s v="MULTI PLAZA"/>
    <x v="2"/>
  </r>
  <r>
    <x v="35"/>
    <x v="4"/>
    <x v="4"/>
    <x v="4"/>
    <x v="0"/>
    <x v="0"/>
    <x v="33"/>
    <x v="199"/>
    <x v="874"/>
    <x v="0"/>
    <s v="MULTI PLAZA"/>
    <x v="2"/>
  </r>
  <r>
    <x v="35"/>
    <x v="159"/>
    <x v="0"/>
    <x v="0"/>
    <x v="0"/>
    <x v="0"/>
    <x v="33"/>
    <x v="177"/>
    <x v="765"/>
    <x v="0"/>
    <s v="MULTI PLAZA"/>
    <x v="2"/>
  </r>
  <r>
    <x v="35"/>
    <x v="116"/>
    <x v="0"/>
    <x v="0"/>
    <x v="0"/>
    <x v="0"/>
    <x v="33"/>
    <x v="64"/>
    <x v="759"/>
    <x v="0"/>
    <s v="MULTI PLAZA"/>
    <x v="2"/>
  </r>
  <r>
    <x v="35"/>
    <x v="119"/>
    <x v="0"/>
    <x v="0"/>
    <x v="0"/>
    <x v="0"/>
    <x v="33"/>
    <x v="96"/>
    <x v="759"/>
    <x v="0"/>
    <s v="MULTI PLAZA"/>
    <x v="2"/>
  </r>
  <r>
    <x v="35"/>
    <x v="120"/>
    <x v="0"/>
    <x v="0"/>
    <x v="0"/>
    <x v="0"/>
    <x v="33"/>
    <x v="212"/>
    <x v="874"/>
    <x v="0"/>
    <s v="MULTI PLAZA"/>
    <x v="2"/>
  </r>
  <r>
    <x v="35"/>
    <x v="100"/>
    <x v="0"/>
    <x v="0"/>
    <x v="0"/>
    <x v="0"/>
    <x v="33"/>
    <x v="73"/>
    <x v="759"/>
    <x v="0"/>
    <s v="MULTI PLAZA"/>
    <x v="2"/>
  </r>
  <r>
    <x v="35"/>
    <x v="46"/>
    <x v="0"/>
    <x v="0"/>
    <x v="0"/>
    <x v="0"/>
    <x v="33"/>
    <x v="155"/>
    <x v="874"/>
    <x v="0"/>
    <s v="MULTI PLAZA"/>
    <x v="2"/>
  </r>
  <r>
    <x v="35"/>
    <x v="92"/>
    <x v="0"/>
    <x v="0"/>
    <x v="0"/>
    <x v="0"/>
    <x v="33"/>
    <x v="109"/>
    <x v="759"/>
    <x v="0"/>
    <s v="MULTI PLAZA"/>
    <x v="2"/>
  </r>
  <r>
    <x v="35"/>
    <x v="142"/>
    <x v="0"/>
    <x v="0"/>
    <x v="0"/>
    <x v="0"/>
    <x v="33"/>
    <x v="119"/>
    <x v="874"/>
    <x v="0"/>
    <s v="MULTI PLAZA"/>
    <x v="2"/>
  </r>
  <r>
    <x v="35"/>
    <x v="136"/>
    <x v="0"/>
    <x v="0"/>
    <x v="0"/>
    <x v="0"/>
    <x v="33"/>
    <x v="100"/>
    <x v="874"/>
    <x v="0"/>
    <s v="MULTI PLAZA"/>
    <x v="2"/>
  </r>
  <r>
    <x v="35"/>
    <x v="145"/>
    <x v="5"/>
    <x v="5"/>
    <x v="0"/>
    <x v="0"/>
    <x v="33"/>
    <x v="124"/>
    <x v="146"/>
    <x v="0"/>
    <s v="MULTI PLAZA"/>
    <x v="2"/>
  </r>
  <r>
    <x v="35"/>
    <x v="168"/>
    <x v="5"/>
    <x v="5"/>
    <x v="0"/>
    <x v="0"/>
    <x v="33"/>
    <x v="225"/>
    <x v="765"/>
    <x v="0"/>
    <s v="MULTI PLAZA"/>
    <x v="2"/>
  </r>
  <r>
    <x v="35"/>
    <x v="34"/>
    <x v="5"/>
    <x v="5"/>
    <x v="0"/>
    <x v="0"/>
    <x v="33"/>
    <x v="184"/>
    <x v="146"/>
    <x v="0"/>
    <s v="MULTI PLAZA"/>
    <x v="2"/>
  </r>
  <r>
    <x v="35"/>
    <x v="139"/>
    <x v="5"/>
    <x v="5"/>
    <x v="0"/>
    <x v="0"/>
    <x v="33"/>
    <x v="110"/>
    <x v="759"/>
    <x v="0"/>
    <s v="MULTI PLAZA"/>
    <x v="2"/>
  </r>
  <r>
    <x v="35"/>
    <x v="63"/>
    <x v="5"/>
    <x v="5"/>
    <x v="0"/>
    <x v="0"/>
    <x v="33"/>
    <x v="111"/>
    <x v="759"/>
    <x v="0"/>
    <s v="MULTI PLAZA"/>
    <x v="2"/>
  </r>
  <r>
    <x v="35"/>
    <x v="150"/>
    <x v="5"/>
    <x v="5"/>
    <x v="0"/>
    <x v="0"/>
    <x v="33"/>
    <x v="214"/>
    <x v="874"/>
    <x v="0"/>
    <s v="MULTI PLAZA"/>
    <x v="2"/>
  </r>
  <r>
    <x v="35"/>
    <x v="161"/>
    <x v="1"/>
    <x v="1"/>
    <x v="0"/>
    <x v="0"/>
    <x v="33"/>
    <x v="186"/>
    <x v="146"/>
    <x v="0"/>
    <s v="MULTI PLAZA"/>
    <x v="2"/>
  </r>
  <r>
    <x v="35"/>
    <x v="95"/>
    <x v="1"/>
    <x v="1"/>
    <x v="0"/>
    <x v="0"/>
    <x v="33"/>
    <x v="97"/>
    <x v="874"/>
    <x v="0"/>
    <s v="MULTI PLAZA"/>
    <x v="2"/>
  </r>
  <r>
    <x v="35"/>
    <x v="151"/>
    <x v="1"/>
    <x v="1"/>
    <x v="0"/>
    <x v="0"/>
    <x v="33"/>
    <x v="166"/>
    <x v="146"/>
    <x v="0"/>
    <s v="MULTI PLAZA"/>
    <x v="2"/>
  </r>
  <r>
    <x v="35"/>
    <x v="127"/>
    <x v="1"/>
    <x v="1"/>
    <x v="0"/>
    <x v="0"/>
    <x v="33"/>
    <x v="85"/>
    <x v="759"/>
    <x v="0"/>
    <s v="MULTI PLAZA"/>
    <x v="2"/>
  </r>
  <r>
    <x v="35"/>
    <x v="22"/>
    <x v="1"/>
    <x v="1"/>
    <x v="0"/>
    <x v="0"/>
    <x v="33"/>
    <x v="211"/>
    <x v="759"/>
    <x v="0"/>
    <s v="MULTI PLAZA"/>
    <x v="2"/>
  </r>
  <r>
    <x v="35"/>
    <x v="42"/>
    <x v="1"/>
    <x v="1"/>
    <x v="0"/>
    <x v="0"/>
    <x v="33"/>
    <x v="167"/>
    <x v="874"/>
    <x v="0"/>
    <s v="MULTI PLAZA"/>
    <x v="2"/>
  </r>
  <r>
    <x v="35"/>
    <x v="101"/>
    <x v="1"/>
    <x v="1"/>
    <x v="0"/>
    <x v="0"/>
    <x v="33"/>
    <x v="207"/>
    <x v="859"/>
    <x v="0"/>
    <s v="MULTI PLAZA"/>
    <x v="2"/>
  </r>
  <r>
    <x v="35"/>
    <x v="109"/>
    <x v="1"/>
    <x v="1"/>
    <x v="0"/>
    <x v="0"/>
    <x v="33"/>
    <x v="208"/>
    <x v="759"/>
    <x v="0"/>
    <s v="MULTI PLAZA"/>
    <x v="2"/>
  </r>
  <r>
    <x v="35"/>
    <x v="152"/>
    <x v="1"/>
    <x v="1"/>
    <x v="0"/>
    <x v="0"/>
    <x v="33"/>
    <x v="194"/>
    <x v="759"/>
    <x v="0"/>
    <s v="MULTI PLAZA"/>
    <x v="2"/>
  </r>
  <r>
    <x v="35"/>
    <x v="128"/>
    <x v="1"/>
    <x v="1"/>
    <x v="0"/>
    <x v="0"/>
    <x v="33"/>
    <x v="164"/>
    <x v="759"/>
    <x v="0"/>
    <s v="MULTI PLAZA"/>
    <x v="2"/>
  </r>
  <r>
    <x v="35"/>
    <x v="1"/>
    <x v="1"/>
    <x v="1"/>
    <x v="0"/>
    <x v="0"/>
    <x v="1"/>
    <x v="1"/>
    <x v="1"/>
    <x v="364"/>
    <s v="MULTI PLAZA"/>
    <x v="2"/>
  </r>
  <r>
    <x v="35"/>
    <x v="129"/>
    <x v="2"/>
    <x v="2"/>
    <x v="0"/>
    <x v="1"/>
    <x v="33"/>
    <x v="204"/>
    <x v="874"/>
    <x v="0"/>
    <s v="MULTI PLAZA"/>
    <x v="2"/>
  </r>
  <r>
    <x v="35"/>
    <x v="102"/>
    <x v="6"/>
    <x v="6"/>
    <x v="0"/>
    <x v="1"/>
    <x v="33"/>
    <x v="141"/>
    <x v="874"/>
    <x v="0"/>
    <s v="MULTI PLAZA"/>
    <x v="2"/>
  </r>
  <r>
    <x v="35"/>
    <x v="120"/>
    <x v="0"/>
    <x v="0"/>
    <x v="0"/>
    <x v="1"/>
    <x v="33"/>
    <x v="212"/>
    <x v="874"/>
    <x v="0"/>
    <s v="MULTI PLAZA"/>
    <x v="2"/>
  </r>
  <r>
    <x v="35"/>
    <x v="100"/>
    <x v="0"/>
    <x v="0"/>
    <x v="0"/>
    <x v="1"/>
    <x v="33"/>
    <x v="73"/>
    <x v="874"/>
    <x v="0"/>
    <s v="MULTI PLAZA"/>
    <x v="2"/>
  </r>
  <r>
    <x v="35"/>
    <x v="124"/>
    <x v="5"/>
    <x v="5"/>
    <x v="0"/>
    <x v="1"/>
    <x v="33"/>
    <x v="206"/>
    <x v="874"/>
    <x v="0"/>
    <s v="MULTI PLAZA"/>
    <x v="2"/>
  </r>
  <r>
    <x v="35"/>
    <x v="1"/>
    <x v="1"/>
    <x v="1"/>
    <x v="0"/>
    <x v="1"/>
    <x v="1"/>
    <x v="1"/>
    <x v="1"/>
    <x v="365"/>
    <s v="MULTI PLAZA"/>
    <x v="2"/>
  </r>
  <r>
    <x v="36"/>
    <x v="43"/>
    <x v="3"/>
    <x v="3"/>
    <x v="0"/>
    <x v="2"/>
    <x v="32"/>
    <x v="71"/>
    <x v="1353"/>
    <x v="0"/>
    <s v="TERMINAL DE ALBROOK"/>
    <x v="2"/>
  </r>
  <r>
    <x v="36"/>
    <x v="159"/>
    <x v="0"/>
    <x v="0"/>
    <x v="0"/>
    <x v="2"/>
    <x v="33"/>
    <x v="177"/>
    <x v="874"/>
    <x v="0"/>
    <s v="TERMINAL DE ALBROOK"/>
    <x v="2"/>
  </r>
  <r>
    <x v="36"/>
    <x v="160"/>
    <x v="0"/>
    <x v="0"/>
    <x v="0"/>
    <x v="2"/>
    <x v="32"/>
    <x v="179"/>
    <x v="1354"/>
    <x v="0"/>
    <s v="TERMINAL DE ALBROOK"/>
    <x v="2"/>
  </r>
  <r>
    <x v="36"/>
    <x v="1"/>
    <x v="1"/>
    <x v="1"/>
    <x v="0"/>
    <x v="2"/>
    <x v="1"/>
    <x v="1"/>
    <x v="1"/>
    <x v="366"/>
    <s v="TERMINAL DE ALBROOK"/>
    <x v="2"/>
  </r>
  <r>
    <x v="36"/>
    <x v="70"/>
    <x v="2"/>
    <x v="2"/>
    <x v="0"/>
    <x v="0"/>
    <x v="33"/>
    <x v="36"/>
    <x v="146"/>
    <x v="0"/>
    <s v="TERMINAL DE ALBROOK"/>
    <x v="2"/>
  </r>
  <r>
    <x v="36"/>
    <x v="158"/>
    <x v="2"/>
    <x v="2"/>
    <x v="0"/>
    <x v="0"/>
    <x v="33"/>
    <x v="168"/>
    <x v="874"/>
    <x v="0"/>
    <s v="TERMINAL DE ALBROOK"/>
    <x v="2"/>
  </r>
  <r>
    <x v="36"/>
    <x v="106"/>
    <x v="2"/>
    <x v="2"/>
    <x v="0"/>
    <x v="0"/>
    <x v="33"/>
    <x v="223"/>
    <x v="874"/>
    <x v="0"/>
    <s v="TERMINAL DE ALBROOK"/>
    <x v="2"/>
  </r>
  <r>
    <x v="36"/>
    <x v="107"/>
    <x v="2"/>
    <x v="2"/>
    <x v="0"/>
    <x v="0"/>
    <x v="33"/>
    <x v="158"/>
    <x v="874"/>
    <x v="0"/>
    <s v="TERMINAL DE ALBROOK"/>
    <x v="2"/>
  </r>
  <r>
    <x v="36"/>
    <x v="112"/>
    <x v="2"/>
    <x v="2"/>
    <x v="0"/>
    <x v="0"/>
    <x v="33"/>
    <x v="209"/>
    <x v="146"/>
    <x v="0"/>
    <s v="TERMINAL DE ALBROOK"/>
    <x v="2"/>
  </r>
  <r>
    <x v="36"/>
    <x v="144"/>
    <x v="2"/>
    <x v="2"/>
    <x v="0"/>
    <x v="0"/>
    <x v="33"/>
    <x v="162"/>
    <x v="874"/>
    <x v="0"/>
    <s v="TERMINAL DE ALBROOK"/>
    <x v="2"/>
  </r>
  <r>
    <x v="36"/>
    <x v="146"/>
    <x v="6"/>
    <x v="6"/>
    <x v="0"/>
    <x v="0"/>
    <x v="33"/>
    <x v="172"/>
    <x v="765"/>
    <x v="0"/>
    <s v="TERMINAL DE ALBROOK"/>
    <x v="2"/>
  </r>
  <r>
    <x v="36"/>
    <x v="65"/>
    <x v="6"/>
    <x v="6"/>
    <x v="0"/>
    <x v="0"/>
    <x v="33"/>
    <x v="190"/>
    <x v="759"/>
    <x v="0"/>
    <s v="TERMINAL DE ALBROOK"/>
    <x v="2"/>
  </r>
  <r>
    <x v="36"/>
    <x v="169"/>
    <x v="6"/>
    <x v="6"/>
    <x v="0"/>
    <x v="0"/>
    <x v="33"/>
    <x v="249"/>
    <x v="759"/>
    <x v="0"/>
    <s v="TERMINAL DE ALBROOK"/>
    <x v="2"/>
  </r>
  <r>
    <x v="36"/>
    <x v="102"/>
    <x v="6"/>
    <x v="6"/>
    <x v="0"/>
    <x v="0"/>
    <x v="33"/>
    <x v="141"/>
    <x v="874"/>
    <x v="0"/>
    <s v="TERMINAL DE ALBROOK"/>
    <x v="2"/>
  </r>
  <r>
    <x v="36"/>
    <x v="113"/>
    <x v="6"/>
    <x v="6"/>
    <x v="0"/>
    <x v="0"/>
    <x v="33"/>
    <x v="89"/>
    <x v="759"/>
    <x v="0"/>
    <s v="TERMINAL DE ALBROOK"/>
    <x v="2"/>
  </r>
  <r>
    <x v="36"/>
    <x v="96"/>
    <x v="6"/>
    <x v="6"/>
    <x v="0"/>
    <x v="0"/>
    <x v="33"/>
    <x v="165"/>
    <x v="874"/>
    <x v="0"/>
    <s v="TERMINAL DE ALBROOK"/>
    <x v="2"/>
  </r>
  <r>
    <x v="36"/>
    <x v="67"/>
    <x v="6"/>
    <x v="6"/>
    <x v="0"/>
    <x v="0"/>
    <x v="33"/>
    <x v="32"/>
    <x v="874"/>
    <x v="0"/>
    <s v="TERMINAL DE ALBROOK"/>
    <x v="2"/>
  </r>
  <r>
    <x v="36"/>
    <x v="19"/>
    <x v="3"/>
    <x v="3"/>
    <x v="0"/>
    <x v="0"/>
    <x v="33"/>
    <x v="62"/>
    <x v="934"/>
    <x v="0"/>
    <s v="TERMINAL DE ALBROOK"/>
    <x v="2"/>
  </r>
  <r>
    <x v="36"/>
    <x v="108"/>
    <x v="3"/>
    <x v="3"/>
    <x v="0"/>
    <x v="0"/>
    <x v="33"/>
    <x v="63"/>
    <x v="759"/>
    <x v="0"/>
    <s v="TERMINAL DE ALBROOK"/>
    <x v="2"/>
  </r>
  <r>
    <x v="36"/>
    <x v="43"/>
    <x v="3"/>
    <x v="3"/>
    <x v="0"/>
    <x v="0"/>
    <x v="33"/>
    <x v="71"/>
    <x v="1182"/>
    <x v="0"/>
    <s v="TERMINAL DE ALBROOK"/>
    <x v="2"/>
  </r>
  <r>
    <x v="36"/>
    <x v="75"/>
    <x v="3"/>
    <x v="3"/>
    <x v="0"/>
    <x v="0"/>
    <x v="33"/>
    <x v="220"/>
    <x v="765"/>
    <x v="0"/>
    <s v="TERMINAL DE ALBROOK"/>
    <x v="2"/>
  </r>
  <r>
    <x v="36"/>
    <x v="61"/>
    <x v="3"/>
    <x v="3"/>
    <x v="0"/>
    <x v="0"/>
    <x v="33"/>
    <x v="126"/>
    <x v="874"/>
    <x v="0"/>
    <s v="TERMINAL DE ALBROOK"/>
    <x v="2"/>
  </r>
  <r>
    <x v="36"/>
    <x v="79"/>
    <x v="3"/>
    <x v="3"/>
    <x v="0"/>
    <x v="0"/>
    <x v="33"/>
    <x v="142"/>
    <x v="874"/>
    <x v="0"/>
    <s v="TERMINAL DE ALBROOK"/>
    <x v="2"/>
  </r>
  <r>
    <x v="36"/>
    <x v="56"/>
    <x v="3"/>
    <x v="3"/>
    <x v="0"/>
    <x v="0"/>
    <x v="33"/>
    <x v="153"/>
    <x v="759"/>
    <x v="0"/>
    <s v="TERMINAL DE ALBROOK"/>
    <x v="2"/>
  </r>
  <r>
    <x v="36"/>
    <x v="68"/>
    <x v="4"/>
    <x v="4"/>
    <x v="0"/>
    <x v="0"/>
    <x v="33"/>
    <x v="222"/>
    <x v="874"/>
    <x v="0"/>
    <s v="TERMINAL DE ALBROOK"/>
    <x v="2"/>
  </r>
  <r>
    <x v="36"/>
    <x v="81"/>
    <x v="4"/>
    <x v="4"/>
    <x v="0"/>
    <x v="0"/>
    <x v="33"/>
    <x v="175"/>
    <x v="146"/>
    <x v="0"/>
    <s v="TERMINAL DE ALBROOK"/>
    <x v="2"/>
  </r>
  <r>
    <x v="36"/>
    <x v="162"/>
    <x v="4"/>
    <x v="4"/>
    <x v="0"/>
    <x v="0"/>
    <x v="33"/>
    <x v="192"/>
    <x v="874"/>
    <x v="0"/>
    <s v="TERMINAL DE ALBROOK"/>
    <x v="2"/>
  </r>
  <r>
    <x v="36"/>
    <x v="12"/>
    <x v="4"/>
    <x v="4"/>
    <x v="0"/>
    <x v="0"/>
    <x v="33"/>
    <x v="247"/>
    <x v="874"/>
    <x v="0"/>
    <s v="TERMINAL DE ALBROOK"/>
    <x v="2"/>
  </r>
  <r>
    <x v="36"/>
    <x v="30"/>
    <x v="4"/>
    <x v="4"/>
    <x v="0"/>
    <x v="0"/>
    <x v="33"/>
    <x v="159"/>
    <x v="146"/>
    <x v="0"/>
    <s v="TERMINAL DE ALBROOK"/>
    <x v="2"/>
  </r>
  <r>
    <x v="36"/>
    <x v="62"/>
    <x v="4"/>
    <x v="4"/>
    <x v="0"/>
    <x v="0"/>
    <x v="33"/>
    <x v="176"/>
    <x v="759"/>
    <x v="0"/>
    <s v="TERMINAL DE ALBROOK"/>
    <x v="2"/>
  </r>
  <r>
    <x v="36"/>
    <x v="90"/>
    <x v="0"/>
    <x v="0"/>
    <x v="0"/>
    <x v="0"/>
    <x v="33"/>
    <x v="79"/>
    <x v="874"/>
    <x v="0"/>
    <s v="TERMINAL DE ALBROOK"/>
    <x v="2"/>
  </r>
  <r>
    <x v="36"/>
    <x v="159"/>
    <x v="0"/>
    <x v="0"/>
    <x v="0"/>
    <x v="0"/>
    <x v="33"/>
    <x v="177"/>
    <x v="146"/>
    <x v="0"/>
    <s v="TERMINAL DE ALBROOK"/>
    <x v="2"/>
  </r>
  <r>
    <x v="36"/>
    <x v="116"/>
    <x v="0"/>
    <x v="0"/>
    <x v="0"/>
    <x v="0"/>
    <x v="33"/>
    <x v="64"/>
    <x v="146"/>
    <x v="0"/>
    <s v="TERMINAL DE ALBROOK"/>
    <x v="2"/>
  </r>
  <r>
    <x v="36"/>
    <x v="100"/>
    <x v="0"/>
    <x v="0"/>
    <x v="0"/>
    <x v="0"/>
    <x v="33"/>
    <x v="73"/>
    <x v="899"/>
    <x v="0"/>
    <s v="TERMINAL DE ALBROOK"/>
    <x v="2"/>
  </r>
  <r>
    <x v="36"/>
    <x v="45"/>
    <x v="0"/>
    <x v="0"/>
    <x v="0"/>
    <x v="0"/>
    <x v="33"/>
    <x v="180"/>
    <x v="899"/>
    <x v="0"/>
    <s v="TERMINAL DE ALBROOK"/>
    <x v="2"/>
  </r>
  <r>
    <x v="36"/>
    <x v="166"/>
    <x v="0"/>
    <x v="0"/>
    <x v="0"/>
    <x v="0"/>
    <x v="33"/>
    <x v="217"/>
    <x v="874"/>
    <x v="0"/>
    <s v="TERMINAL DE ALBROOK"/>
    <x v="2"/>
  </r>
  <r>
    <x v="36"/>
    <x v="32"/>
    <x v="5"/>
    <x v="5"/>
    <x v="0"/>
    <x v="0"/>
    <x v="33"/>
    <x v="81"/>
    <x v="146"/>
    <x v="0"/>
    <s v="TERMINAL DE ALBROOK"/>
    <x v="2"/>
  </r>
  <r>
    <x v="36"/>
    <x v="76"/>
    <x v="5"/>
    <x v="5"/>
    <x v="0"/>
    <x v="0"/>
    <x v="33"/>
    <x v="182"/>
    <x v="899"/>
    <x v="0"/>
    <s v="TERMINAL DE ALBROOK"/>
    <x v="2"/>
  </r>
  <r>
    <x v="36"/>
    <x v="115"/>
    <x v="5"/>
    <x v="5"/>
    <x v="0"/>
    <x v="0"/>
    <x v="33"/>
    <x v="213"/>
    <x v="874"/>
    <x v="0"/>
    <s v="TERMINAL DE ALBROOK"/>
    <x v="2"/>
  </r>
  <r>
    <x v="36"/>
    <x v="97"/>
    <x v="5"/>
    <x v="5"/>
    <x v="0"/>
    <x v="0"/>
    <x v="33"/>
    <x v="183"/>
    <x v="759"/>
    <x v="0"/>
    <s v="TERMINAL DE ALBROOK"/>
    <x v="2"/>
  </r>
  <r>
    <x v="36"/>
    <x v="72"/>
    <x v="5"/>
    <x v="5"/>
    <x v="0"/>
    <x v="0"/>
    <x v="33"/>
    <x v="38"/>
    <x v="146"/>
    <x v="0"/>
    <s v="TERMINAL DE ALBROOK"/>
    <x v="2"/>
  </r>
  <r>
    <x v="36"/>
    <x v="125"/>
    <x v="5"/>
    <x v="5"/>
    <x v="0"/>
    <x v="0"/>
    <x v="33"/>
    <x v="82"/>
    <x v="146"/>
    <x v="0"/>
    <s v="TERMINAL DE ALBROOK"/>
    <x v="2"/>
  </r>
  <r>
    <x v="36"/>
    <x v="168"/>
    <x v="5"/>
    <x v="5"/>
    <x v="0"/>
    <x v="0"/>
    <x v="33"/>
    <x v="225"/>
    <x v="759"/>
    <x v="0"/>
    <s v="TERMINAL DE ALBROOK"/>
    <x v="2"/>
  </r>
  <r>
    <x v="36"/>
    <x v="77"/>
    <x v="5"/>
    <x v="5"/>
    <x v="0"/>
    <x v="0"/>
    <x v="33"/>
    <x v="156"/>
    <x v="899"/>
    <x v="0"/>
    <s v="TERMINAL DE ALBROOK"/>
    <x v="2"/>
  </r>
  <r>
    <x v="36"/>
    <x v="139"/>
    <x v="5"/>
    <x v="5"/>
    <x v="0"/>
    <x v="0"/>
    <x v="33"/>
    <x v="110"/>
    <x v="759"/>
    <x v="0"/>
    <s v="TERMINAL DE ALBROOK"/>
    <x v="2"/>
  </r>
  <r>
    <x v="36"/>
    <x v="124"/>
    <x v="5"/>
    <x v="5"/>
    <x v="0"/>
    <x v="0"/>
    <x v="33"/>
    <x v="206"/>
    <x v="146"/>
    <x v="0"/>
    <s v="TERMINAL DE ALBROOK"/>
    <x v="2"/>
  </r>
  <r>
    <x v="36"/>
    <x v="40"/>
    <x v="1"/>
    <x v="1"/>
    <x v="0"/>
    <x v="0"/>
    <x v="33"/>
    <x v="125"/>
    <x v="899"/>
    <x v="0"/>
    <s v="TERMINAL DE ALBROOK"/>
    <x v="2"/>
  </r>
  <r>
    <x v="36"/>
    <x v="41"/>
    <x v="1"/>
    <x v="1"/>
    <x v="0"/>
    <x v="0"/>
    <x v="33"/>
    <x v="113"/>
    <x v="146"/>
    <x v="0"/>
    <s v="TERMINAL DE ALBROOK"/>
    <x v="2"/>
  </r>
  <r>
    <x v="36"/>
    <x v="42"/>
    <x v="1"/>
    <x v="1"/>
    <x v="0"/>
    <x v="0"/>
    <x v="33"/>
    <x v="167"/>
    <x v="765"/>
    <x v="0"/>
    <s v="TERMINAL DE ALBROOK"/>
    <x v="2"/>
  </r>
  <r>
    <x v="36"/>
    <x v="101"/>
    <x v="1"/>
    <x v="1"/>
    <x v="0"/>
    <x v="0"/>
    <x v="33"/>
    <x v="207"/>
    <x v="874"/>
    <x v="0"/>
    <s v="TERMINAL DE ALBROOK"/>
    <x v="2"/>
  </r>
  <r>
    <x v="36"/>
    <x v="152"/>
    <x v="1"/>
    <x v="1"/>
    <x v="0"/>
    <x v="0"/>
    <x v="33"/>
    <x v="194"/>
    <x v="874"/>
    <x v="0"/>
    <s v="TERMINAL DE ALBROOK"/>
    <x v="2"/>
  </r>
  <r>
    <x v="36"/>
    <x v="1"/>
    <x v="1"/>
    <x v="1"/>
    <x v="0"/>
    <x v="0"/>
    <x v="1"/>
    <x v="1"/>
    <x v="1"/>
    <x v="251"/>
    <s v="TERMINAL DE ALBROOK"/>
    <x v="2"/>
  </r>
  <r>
    <x v="36"/>
    <x v="158"/>
    <x v="2"/>
    <x v="2"/>
    <x v="0"/>
    <x v="1"/>
    <x v="33"/>
    <x v="168"/>
    <x v="874"/>
    <x v="0"/>
    <s v="TERMINAL DE ALBROOK"/>
    <x v="2"/>
  </r>
  <r>
    <x v="36"/>
    <x v="106"/>
    <x v="2"/>
    <x v="2"/>
    <x v="0"/>
    <x v="1"/>
    <x v="33"/>
    <x v="223"/>
    <x v="874"/>
    <x v="0"/>
    <s v="TERMINAL DE ALBROOK"/>
    <x v="2"/>
  </r>
  <r>
    <x v="36"/>
    <x v="85"/>
    <x v="2"/>
    <x v="2"/>
    <x v="0"/>
    <x v="1"/>
    <x v="33"/>
    <x v="161"/>
    <x v="765"/>
    <x v="0"/>
    <s v="TERMINAL DE ALBROOK"/>
    <x v="2"/>
  </r>
  <r>
    <x v="36"/>
    <x v="107"/>
    <x v="2"/>
    <x v="2"/>
    <x v="0"/>
    <x v="1"/>
    <x v="33"/>
    <x v="158"/>
    <x v="874"/>
    <x v="0"/>
    <s v="TERMINAL DE ALBROOK"/>
    <x v="2"/>
  </r>
  <r>
    <x v="36"/>
    <x v="129"/>
    <x v="2"/>
    <x v="2"/>
    <x v="0"/>
    <x v="1"/>
    <x v="33"/>
    <x v="204"/>
    <x v="874"/>
    <x v="0"/>
    <s v="TERMINAL DE ALBROOK"/>
    <x v="2"/>
  </r>
  <r>
    <x v="36"/>
    <x v="108"/>
    <x v="3"/>
    <x v="3"/>
    <x v="0"/>
    <x v="1"/>
    <x v="33"/>
    <x v="63"/>
    <x v="874"/>
    <x v="0"/>
    <s v="TERMINAL DE ALBROOK"/>
    <x v="2"/>
  </r>
  <r>
    <x v="36"/>
    <x v="43"/>
    <x v="3"/>
    <x v="3"/>
    <x v="0"/>
    <x v="1"/>
    <x v="33"/>
    <x v="71"/>
    <x v="874"/>
    <x v="0"/>
    <s v="TERMINAL DE ALBROOK"/>
    <x v="2"/>
  </r>
  <r>
    <x v="36"/>
    <x v="44"/>
    <x v="3"/>
    <x v="3"/>
    <x v="0"/>
    <x v="1"/>
    <x v="33"/>
    <x v="191"/>
    <x v="874"/>
    <x v="0"/>
    <s v="TERMINAL DE ALBROOK"/>
    <x v="2"/>
  </r>
  <r>
    <x v="36"/>
    <x v="68"/>
    <x v="4"/>
    <x v="4"/>
    <x v="0"/>
    <x v="1"/>
    <x v="33"/>
    <x v="222"/>
    <x v="874"/>
    <x v="0"/>
    <s v="TERMINAL DE ALBROOK"/>
    <x v="2"/>
  </r>
  <r>
    <x v="36"/>
    <x v="89"/>
    <x v="4"/>
    <x v="4"/>
    <x v="0"/>
    <x v="1"/>
    <x v="33"/>
    <x v="154"/>
    <x v="874"/>
    <x v="0"/>
    <s v="TERMINAL DE ALBROOK"/>
    <x v="2"/>
  </r>
  <r>
    <x v="36"/>
    <x v="119"/>
    <x v="0"/>
    <x v="0"/>
    <x v="0"/>
    <x v="1"/>
    <x v="33"/>
    <x v="96"/>
    <x v="874"/>
    <x v="0"/>
    <s v="TERMINAL DE ALBROOK"/>
    <x v="2"/>
  </r>
  <r>
    <x v="36"/>
    <x v="45"/>
    <x v="0"/>
    <x v="0"/>
    <x v="0"/>
    <x v="1"/>
    <x v="33"/>
    <x v="180"/>
    <x v="874"/>
    <x v="0"/>
    <s v="TERMINAL DE ALBROOK"/>
    <x v="2"/>
  </r>
  <r>
    <x v="36"/>
    <x v="46"/>
    <x v="0"/>
    <x v="0"/>
    <x v="0"/>
    <x v="1"/>
    <x v="33"/>
    <x v="155"/>
    <x v="874"/>
    <x v="0"/>
    <s v="TERMINAL DE ALBROOK"/>
    <x v="2"/>
  </r>
  <r>
    <x v="36"/>
    <x v="125"/>
    <x v="5"/>
    <x v="5"/>
    <x v="0"/>
    <x v="1"/>
    <x v="33"/>
    <x v="82"/>
    <x v="874"/>
    <x v="0"/>
    <s v="TERMINAL DE ALBROOK"/>
    <x v="2"/>
  </r>
  <r>
    <x v="36"/>
    <x v="101"/>
    <x v="1"/>
    <x v="1"/>
    <x v="0"/>
    <x v="1"/>
    <x v="33"/>
    <x v="207"/>
    <x v="874"/>
    <x v="0"/>
    <s v="TERMINAL DE ALBROOK"/>
    <x v="2"/>
  </r>
  <r>
    <x v="36"/>
    <x v="1"/>
    <x v="1"/>
    <x v="1"/>
    <x v="0"/>
    <x v="1"/>
    <x v="1"/>
    <x v="1"/>
    <x v="1"/>
    <x v="367"/>
    <s v="TERMINAL DE ALBROOK"/>
    <x v="2"/>
  </r>
  <r>
    <x v="39"/>
    <x v="16"/>
    <x v="2"/>
    <x v="2"/>
    <x v="0"/>
    <x v="0"/>
    <x v="33"/>
    <x v="93"/>
    <x v="874"/>
    <x v="0"/>
    <s v="BRISAS DEL GOLF"/>
    <x v="2"/>
  </r>
  <r>
    <x v="39"/>
    <x v="118"/>
    <x v="2"/>
    <x v="2"/>
    <x v="0"/>
    <x v="0"/>
    <x v="33"/>
    <x v="69"/>
    <x v="874"/>
    <x v="0"/>
    <s v="BRISAS DEL GOLF"/>
    <x v="2"/>
  </r>
  <r>
    <x v="39"/>
    <x v="111"/>
    <x v="2"/>
    <x v="2"/>
    <x v="0"/>
    <x v="0"/>
    <x v="33"/>
    <x v="75"/>
    <x v="874"/>
    <x v="0"/>
    <s v="BRISAS DEL GOLF"/>
    <x v="2"/>
  </r>
  <r>
    <x v="39"/>
    <x v="65"/>
    <x v="6"/>
    <x v="6"/>
    <x v="0"/>
    <x v="0"/>
    <x v="33"/>
    <x v="190"/>
    <x v="874"/>
    <x v="0"/>
    <s v="BRISAS DEL GOLF"/>
    <x v="2"/>
  </r>
  <r>
    <x v="39"/>
    <x v="36"/>
    <x v="6"/>
    <x v="6"/>
    <x v="0"/>
    <x v="0"/>
    <x v="33"/>
    <x v="94"/>
    <x v="874"/>
    <x v="0"/>
    <s v="BRISAS DEL GOLF"/>
    <x v="2"/>
  </r>
  <r>
    <x v="39"/>
    <x v="87"/>
    <x v="6"/>
    <x v="6"/>
    <x v="0"/>
    <x v="0"/>
    <x v="33"/>
    <x v="189"/>
    <x v="874"/>
    <x v="0"/>
    <s v="BRISAS DEL GOLF"/>
    <x v="2"/>
  </r>
  <r>
    <x v="39"/>
    <x v="163"/>
    <x v="6"/>
    <x v="6"/>
    <x v="0"/>
    <x v="0"/>
    <x v="33"/>
    <x v="195"/>
    <x v="874"/>
    <x v="0"/>
    <s v="BRISAS DEL GOLF"/>
    <x v="2"/>
  </r>
  <r>
    <x v="39"/>
    <x v="113"/>
    <x v="6"/>
    <x v="6"/>
    <x v="0"/>
    <x v="0"/>
    <x v="33"/>
    <x v="89"/>
    <x v="874"/>
    <x v="0"/>
    <s v="BRISAS DEL GOLF"/>
    <x v="2"/>
  </r>
  <r>
    <x v="39"/>
    <x v="19"/>
    <x v="3"/>
    <x v="3"/>
    <x v="0"/>
    <x v="0"/>
    <x v="33"/>
    <x v="62"/>
    <x v="146"/>
    <x v="0"/>
    <s v="BRISAS DEL GOLF"/>
    <x v="2"/>
  </r>
  <r>
    <x v="39"/>
    <x v="27"/>
    <x v="3"/>
    <x v="3"/>
    <x v="0"/>
    <x v="0"/>
    <x v="33"/>
    <x v="43"/>
    <x v="874"/>
    <x v="0"/>
    <s v="BRISAS DEL GOLF"/>
    <x v="2"/>
  </r>
  <r>
    <x v="39"/>
    <x v="61"/>
    <x v="3"/>
    <x v="3"/>
    <x v="0"/>
    <x v="0"/>
    <x v="33"/>
    <x v="126"/>
    <x v="146"/>
    <x v="0"/>
    <s v="BRISAS DEL GOLF"/>
    <x v="2"/>
  </r>
  <r>
    <x v="39"/>
    <x v="56"/>
    <x v="3"/>
    <x v="3"/>
    <x v="0"/>
    <x v="0"/>
    <x v="33"/>
    <x v="153"/>
    <x v="146"/>
    <x v="0"/>
    <s v="BRISAS DEL GOLF"/>
    <x v="2"/>
  </r>
  <r>
    <x v="39"/>
    <x v="132"/>
    <x v="4"/>
    <x v="4"/>
    <x v="0"/>
    <x v="0"/>
    <x v="33"/>
    <x v="95"/>
    <x v="874"/>
    <x v="0"/>
    <s v="BRISAS DEL GOLF"/>
    <x v="2"/>
  </r>
  <r>
    <x v="39"/>
    <x v="162"/>
    <x v="4"/>
    <x v="4"/>
    <x v="0"/>
    <x v="0"/>
    <x v="33"/>
    <x v="192"/>
    <x v="759"/>
    <x v="0"/>
    <s v="BRISAS DEL GOLF"/>
    <x v="2"/>
  </r>
  <r>
    <x v="39"/>
    <x v="12"/>
    <x v="4"/>
    <x v="4"/>
    <x v="0"/>
    <x v="0"/>
    <x v="33"/>
    <x v="247"/>
    <x v="874"/>
    <x v="0"/>
    <s v="BRISAS DEL GOLF"/>
    <x v="2"/>
  </r>
  <r>
    <x v="39"/>
    <x v="29"/>
    <x v="4"/>
    <x v="4"/>
    <x v="0"/>
    <x v="0"/>
    <x v="33"/>
    <x v="248"/>
    <x v="874"/>
    <x v="0"/>
    <s v="BRISAS DEL GOLF"/>
    <x v="2"/>
  </r>
  <r>
    <x v="39"/>
    <x v="154"/>
    <x v="4"/>
    <x v="4"/>
    <x v="0"/>
    <x v="0"/>
    <x v="33"/>
    <x v="143"/>
    <x v="874"/>
    <x v="0"/>
    <s v="BRISAS DEL GOLF"/>
    <x v="2"/>
  </r>
  <r>
    <x v="39"/>
    <x v="78"/>
    <x v="4"/>
    <x v="4"/>
    <x v="0"/>
    <x v="0"/>
    <x v="33"/>
    <x v="160"/>
    <x v="874"/>
    <x v="0"/>
    <s v="BRISAS DEL GOLF"/>
    <x v="2"/>
  </r>
  <r>
    <x v="39"/>
    <x v="52"/>
    <x v="0"/>
    <x v="0"/>
    <x v="0"/>
    <x v="0"/>
    <x v="33"/>
    <x v="107"/>
    <x v="874"/>
    <x v="0"/>
    <s v="BRISAS DEL GOLF"/>
    <x v="2"/>
  </r>
  <r>
    <x v="39"/>
    <x v="121"/>
    <x v="0"/>
    <x v="0"/>
    <x v="0"/>
    <x v="0"/>
    <x v="33"/>
    <x v="80"/>
    <x v="874"/>
    <x v="0"/>
    <s v="BRISAS DEL GOLF"/>
    <x v="2"/>
  </r>
  <r>
    <x v="39"/>
    <x v="53"/>
    <x v="0"/>
    <x v="0"/>
    <x v="0"/>
    <x v="0"/>
    <x v="33"/>
    <x v="144"/>
    <x v="765"/>
    <x v="0"/>
    <s v="BRISAS DEL GOLF"/>
    <x v="2"/>
  </r>
  <r>
    <x v="39"/>
    <x v="92"/>
    <x v="0"/>
    <x v="0"/>
    <x v="0"/>
    <x v="0"/>
    <x v="33"/>
    <x v="109"/>
    <x v="874"/>
    <x v="0"/>
    <s v="BRISAS DEL GOLF"/>
    <x v="2"/>
  </r>
  <r>
    <x v="39"/>
    <x v="142"/>
    <x v="0"/>
    <x v="0"/>
    <x v="0"/>
    <x v="0"/>
    <x v="33"/>
    <x v="119"/>
    <x v="874"/>
    <x v="0"/>
    <s v="BRISAS DEL GOLF"/>
    <x v="2"/>
  </r>
  <r>
    <x v="39"/>
    <x v="76"/>
    <x v="5"/>
    <x v="5"/>
    <x v="0"/>
    <x v="0"/>
    <x v="33"/>
    <x v="182"/>
    <x v="146"/>
    <x v="0"/>
    <s v="BRISAS DEL GOLF"/>
    <x v="2"/>
  </r>
  <r>
    <x v="39"/>
    <x v="13"/>
    <x v="5"/>
    <x v="5"/>
    <x v="0"/>
    <x v="0"/>
    <x v="33"/>
    <x v="120"/>
    <x v="874"/>
    <x v="0"/>
    <s v="BRISAS DEL GOLF"/>
    <x v="2"/>
  </r>
  <r>
    <x v="39"/>
    <x v="72"/>
    <x v="5"/>
    <x v="5"/>
    <x v="0"/>
    <x v="0"/>
    <x v="33"/>
    <x v="38"/>
    <x v="759"/>
    <x v="0"/>
    <s v="BRISAS DEL GOLF"/>
    <x v="2"/>
  </r>
  <r>
    <x v="39"/>
    <x v="168"/>
    <x v="5"/>
    <x v="5"/>
    <x v="0"/>
    <x v="0"/>
    <x v="33"/>
    <x v="225"/>
    <x v="874"/>
    <x v="0"/>
    <s v="BRISAS DEL GOLF"/>
    <x v="2"/>
  </r>
  <r>
    <x v="39"/>
    <x v="77"/>
    <x v="5"/>
    <x v="5"/>
    <x v="0"/>
    <x v="0"/>
    <x v="33"/>
    <x v="156"/>
    <x v="874"/>
    <x v="0"/>
    <s v="BRISAS DEL GOLF"/>
    <x v="2"/>
  </r>
  <r>
    <x v="39"/>
    <x v="139"/>
    <x v="5"/>
    <x v="5"/>
    <x v="0"/>
    <x v="0"/>
    <x v="33"/>
    <x v="110"/>
    <x v="874"/>
    <x v="0"/>
    <s v="BRISAS DEL GOLF"/>
    <x v="2"/>
  </r>
  <r>
    <x v="39"/>
    <x v="63"/>
    <x v="5"/>
    <x v="5"/>
    <x v="0"/>
    <x v="0"/>
    <x v="33"/>
    <x v="111"/>
    <x v="874"/>
    <x v="0"/>
    <s v="BRISAS DEL GOLF"/>
    <x v="2"/>
  </r>
  <r>
    <x v="39"/>
    <x v="153"/>
    <x v="5"/>
    <x v="5"/>
    <x v="0"/>
    <x v="0"/>
    <x v="33"/>
    <x v="157"/>
    <x v="874"/>
    <x v="0"/>
    <s v="BRISAS DEL GOLF"/>
    <x v="2"/>
  </r>
  <r>
    <x v="39"/>
    <x v="150"/>
    <x v="5"/>
    <x v="5"/>
    <x v="0"/>
    <x v="0"/>
    <x v="33"/>
    <x v="214"/>
    <x v="874"/>
    <x v="0"/>
    <s v="BRISAS DEL GOLF"/>
    <x v="2"/>
  </r>
  <r>
    <x v="39"/>
    <x v="161"/>
    <x v="1"/>
    <x v="1"/>
    <x v="0"/>
    <x v="0"/>
    <x v="33"/>
    <x v="186"/>
    <x v="874"/>
    <x v="0"/>
    <s v="BRISAS DEL GOLF"/>
    <x v="2"/>
  </r>
  <r>
    <x v="39"/>
    <x v="151"/>
    <x v="1"/>
    <x v="1"/>
    <x v="0"/>
    <x v="0"/>
    <x v="33"/>
    <x v="166"/>
    <x v="146"/>
    <x v="0"/>
    <s v="BRISAS DEL GOLF"/>
    <x v="2"/>
  </r>
  <r>
    <x v="39"/>
    <x v="127"/>
    <x v="1"/>
    <x v="1"/>
    <x v="0"/>
    <x v="0"/>
    <x v="33"/>
    <x v="85"/>
    <x v="874"/>
    <x v="0"/>
    <s v="BRISAS DEL GOLF"/>
    <x v="2"/>
  </r>
  <r>
    <x v="39"/>
    <x v="42"/>
    <x v="1"/>
    <x v="1"/>
    <x v="0"/>
    <x v="0"/>
    <x v="33"/>
    <x v="167"/>
    <x v="765"/>
    <x v="0"/>
    <s v="BRISAS DEL GOLF"/>
    <x v="2"/>
  </r>
  <r>
    <x v="39"/>
    <x v="73"/>
    <x v="1"/>
    <x v="1"/>
    <x v="0"/>
    <x v="0"/>
    <x v="33"/>
    <x v="39"/>
    <x v="874"/>
    <x v="0"/>
    <s v="BRISAS DEL GOLF"/>
    <x v="2"/>
  </r>
  <r>
    <x v="39"/>
    <x v="98"/>
    <x v="1"/>
    <x v="1"/>
    <x v="0"/>
    <x v="0"/>
    <x v="33"/>
    <x v="198"/>
    <x v="874"/>
    <x v="0"/>
    <s v="BRISAS DEL GOLF"/>
    <x v="2"/>
  </r>
  <r>
    <x v="39"/>
    <x v="1"/>
    <x v="1"/>
    <x v="1"/>
    <x v="0"/>
    <x v="0"/>
    <x v="1"/>
    <x v="1"/>
    <x v="1"/>
    <x v="291"/>
    <s v="BRISAS DEL GOLF"/>
    <x v="2"/>
  </r>
  <r>
    <x v="39"/>
    <x v="87"/>
    <x v="6"/>
    <x v="6"/>
    <x v="0"/>
    <x v="1"/>
    <x v="33"/>
    <x v="189"/>
    <x v="146"/>
    <x v="0"/>
    <s v="BRISAS DEL GOLF"/>
    <x v="2"/>
  </r>
  <r>
    <x v="39"/>
    <x v="71"/>
    <x v="6"/>
    <x v="6"/>
    <x v="0"/>
    <x v="1"/>
    <x v="33"/>
    <x v="37"/>
    <x v="874"/>
    <x v="0"/>
    <s v="BRISAS DEL GOLF"/>
    <x v="2"/>
  </r>
  <r>
    <x v="39"/>
    <x v="1"/>
    <x v="1"/>
    <x v="1"/>
    <x v="0"/>
    <x v="1"/>
    <x v="1"/>
    <x v="1"/>
    <x v="1"/>
    <x v="220"/>
    <s v="BRISAS DEL GOLF"/>
    <x v="2"/>
  </r>
  <r>
    <x v="40"/>
    <x v="102"/>
    <x v="6"/>
    <x v="6"/>
    <x v="0"/>
    <x v="2"/>
    <x v="33"/>
    <x v="141"/>
    <x v="874"/>
    <x v="0"/>
    <s v="PUENTE CENTENARIO"/>
    <x v="2"/>
  </r>
  <r>
    <x v="40"/>
    <x v="128"/>
    <x v="1"/>
    <x v="1"/>
    <x v="0"/>
    <x v="2"/>
    <x v="33"/>
    <x v="164"/>
    <x v="874"/>
    <x v="0"/>
    <s v="PUENTE CENTENARIO"/>
    <x v="2"/>
  </r>
  <r>
    <x v="40"/>
    <x v="1"/>
    <x v="1"/>
    <x v="1"/>
    <x v="0"/>
    <x v="2"/>
    <x v="1"/>
    <x v="1"/>
    <x v="1"/>
    <x v="349"/>
    <s v="PUENTE CENTENARIO"/>
    <x v="2"/>
  </r>
  <r>
    <x v="40"/>
    <x v="16"/>
    <x v="2"/>
    <x v="2"/>
    <x v="0"/>
    <x v="0"/>
    <x v="33"/>
    <x v="93"/>
    <x v="899"/>
    <x v="0"/>
    <s v="PUENTE CENTENARIO"/>
    <x v="2"/>
  </r>
  <r>
    <x v="40"/>
    <x v="110"/>
    <x v="2"/>
    <x v="2"/>
    <x v="0"/>
    <x v="0"/>
    <x v="33"/>
    <x v="171"/>
    <x v="765"/>
    <x v="0"/>
    <s v="PUENTE CENTENARIO"/>
    <x v="2"/>
  </r>
  <r>
    <x v="40"/>
    <x v="36"/>
    <x v="6"/>
    <x v="6"/>
    <x v="0"/>
    <x v="0"/>
    <x v="33"/>
    <x v="94"/>
    <x v="874"/>
    <x v="0"/>
    <s v="PUENTE CENTENARIO"/>
    <x v="2"/>
  </r>
  <r>
    <x v="40"/>
    <x v="113"/>
    <x v="6"/>
    <x v="6"/>
    <x v="0"/>
    <x v="0"/>
    <x v="33"/>
    <x v="89"/>
    <x v="146"/>
    <x v="0"/>
    <s v="PUENTE CENTENARIO"/>
    <x v="2"/>
  </r>
  <r>
    <x v="40"/>
    <x v="148"/>
    <x v="3"/>
    <x v="3"/>
    <x v="0"/>
    <x v="0"/>
    <x v="33"/>
    <x v="174"/>
    <x v="848"/>
    <x v="0"/>
    <s v="PUENTE CENTENARIO"/>
    <x v="2"/>
  </r>
  <r>
    <x v="40"/>
    <x v="79"/>
    <x v="3"/>
    <x v="3"/>
    <x v="0"/>
    <x v="0"/>
    <x v="33"/>
    <x v="142"/>
    <x v="874"/>
    <x v="0"/>
    <s v="PUENTE CENTENARIO"/>
    <x v="2"/>
  </r>
  <r>
    <x v="40"/>
    <x v="156"/>
    <x v="4"/>
    <x v="4"/>
    <x v="0"/>
    <x v="0"/>
    <x v="33"/>
    <x v="146"/>
    <x v="146"/>
    <x v="0"/>
    <s v="PUENTE CENTENARIO"/>
    <x v="2"/>
  </r>
  <r>
    <x v="40"/>
    <x v="12"/>
    <x v="4"/>
    <x v="4"/>
    <x v="0"/>
    <x v="0"/>
    <x v="33"/>
    <x v="247"/>
    <x v="874"/>
    <x v="0"/>
    <s v="PUENTE CENTENARIO"/>
    <x v="2"/>
  </r>
  <r>
    <x v="40"/>
    <x v="62"/>
    <x v="4"/>
    <x v="4"/>
    <x v="0"/>
    <x v="0"/>
    <x v="33"/>
    <x v="176"/>
    <x v="874"/>
    <x v="0"/>
    <s v="PUENTE CENTENARIO"/>
    <x v="2"/>
  </r>
  <r>
    <x v="40"/>
    <x v="116"/>
    <x v="0"/>
    <x v="0"/>
    <x v="0"/>
    <x v="0"/>
    <x v="33"/>
    <x v="64"/>
    <x v="874"/>
    <x v="0"/>
    <s v="PUENTE CENTENARIO"/>
    <x v="2"/>
  </r>
  <r>
    <x v="40"/>
    <x v="119"/>
    <x v="0"/>
    <x v="0"/>
    <x v="0"/>
    <x v="0"/>
    <x v="33"/>
    <x v="96"/>
    <x v="874"/>
    <x v="0"/>
    <s v="PUENTE CENTENARIO"/>
    <x v="2"/>
  </r>
  <r>
    <x v="40"/>
    <x v="45"/>
    <x v="0"/>
    <x v="0"/>
    <x v="0"/>
    <x v="0"/>
    <x v="33"/>
    <x v="180"/>
    <x v="1182"/>
    <x v="0"/>
    <s v="PUENTE CENTENARIO"/>
    <x v="2"/>
  </r>
  <r>
    <x v="40"/>
    <x v="76"/>
    <x v="5"/>
    <x v="5"/>
    <x v="0"/>
    <x v="0"/>
    <x v="33"/>
    <x v="182"/>
    <x v="899"/>
    <x v="0"/>
    <s v="PUENTE CENTENARIO"/>
    <x v="2"/>
  </r>
  <r>
    <x v="40"/>
    <x v="125"/>
    <x v="5"/>
    <x v="5"/>
    <x v="0"/>
    <x v="0"/>
    <x v="33"/>
    <x v="82"/>
    <x v="146"/>
    <x v="0"/>
    <s v="PUENTE CENTENARIO"/>
    <x v="2"/>
  </r>
  <r>
    <x v="40"/>
    <x v="34"/>
    <x v="5"/>
    <x v="5"/>
    <x v="0"/>
    <x v="0"/>
    <x v="33"/>
    <x v="184"/>
    <x v="146"/>
    <x v="0"/>
    <s v="PUENTE CENTENARIO"/>
    <x v="2"/>
  </r>
  <r>
    <x v="40"/>
    <x v="63"/>
    <x v="5"/>
    <x v="5"/>
    <x v="0"/>
    <x v="0"/>
    <x v="33"/>
    <x v="111"/>
    <x v="765"/>
    <x v="0"/>
    <s v="PUENTE CENTENARIO"/>
    <x v="2"/>
  </r>
  <r>
    <x v="40"/>
    <x v="14"/>
    <x v="1"/>
    <x v="1"/>
    <x v="0"/>
    <x v="0"/>
    <x v="33"/>
    <x v="112"/>
    <x v="146"/>
    <x v="0"/>
    <s v="PUENTE CENTENARIO"/>
    <x v="2"/>
  </r>
  <r>
    <x v="40"/>
    <x v="151"/>
    <x v="1"/>
    <x v="1"/>
    <x v="0"/>
    <x v="0"/>
    <x v="33"/>
    <x v="166"/>
    <x v="1182"/>
    <x v="0"/>
    <s v="PUENTE CENTENARIO"/>
    <x v="2"/>
  </r>
  <r>
    <x v="40"/>
    <x v="33"/>
    <x v="1"/>
    <x v="1"/>
    <x v="0"/>
    <x v="0"/>
    <x v="33"/>
    <x v="241"/>
    <x v="146"/>
    <x v="0"/>
    <s v="PUENTE CENTENARIO"/>
    <x v="2"/>
  </r>
  <r>
    <x v="40"/>
    <x v="1"/>
    <x v="1"/>
    <x v="1"/>
    <x v="0"/>
    <x v="0"/>
    <x v="1"/>
    <x v="1"/>
    <x v="1"/>
    <x v="368"/>
    <s v="PUENTE CENTENARIO"/>
    <x v="2"/>
  </r>
  <r>
    <x v="40"/>
    <x v="112"/>
    <x v="2"/>
    <x v="2"/>
    <x v="0"/>
    <x v="1"/>
    <x v="33"/>
    <x v="209"/>
    <x v="759"/>
    <x v="0"/>
    <s v="PUENTE CENTENARIO"/>
    <x v="2"/>
  </r>
  <r>
    <x v="40"/>
    <x v="36"/>
    <x v="6"/>
    <x v="6"/>
    <x v="0"/>
    <x v="1"/>
    <x v="33"/>
    <x v="94"/>
    <x v="874"/>
    <x v="0"/>
    <s v="PUENTE CENTENARIO"/>
    <x v="2"/>
  </r>
  <r>
    <x v="40"/>
    <x v="71"/>
    <x v="6"/>
    <x v="6"/>
    <x v="0"/>
    <x v="1"/>
    <x v="33"/>
    <x v="37"/>
    <x v="146"/>
    <x v="0"/>
    <s v="PUENTE CENTENARIO"/>
    <x v="2"/>
  </r>
  <r>
    <x v="40"/>
    <x v="96"/>
    <x v="6"/>
    <x v="6"/>
    <x v="0"/>
    <x v="1"/>
    <x v="33"/>
    <x v="165"/>
    <x v="874"/>
    <x v="0"/>
    <s v="PUENTE CENTENARIO"/>
    <x v="2"/>
  </r>
  <r>
    <x v="40"/>
    <x v="136"/>
    <x v="0"/>
    <x v="0"/>
    <x v="0"/>
    <x v="1"/>
    <x v="33"/>
    <x v="100"/>
    <x v="146"/>
    <x v="0"/>
    <s v="PUENTE CENTENARIO"/>
    <x v="2"/>
  </r>
  <r>
    <x v="40"/>
    <x v="1"/>
    <x v="1"/>
    <x v="1"/>
    <x v="0"/>
    <x v="1"/>
    <x v="1"/>
    <x v="1"/>
    <x v="1"/>
    <x v="369"/>
    <s v="PUENTE CENTENARIO"/>
    <x v="2"/>
  </r>
  <r>
    <x v="74"/>
    <x v="169"/>
    <x v="6"/>
    <x v="6"/>
    <x v="0"/>
    <x v="2"/>
    <x v="34"/>
    <x v="251"/>
    <x v="1355"/>
    <x v="0"/>
    <s v="AGUADULCE"/>
    <x v="2"/>
  </r>
  <r>
    <x v="74"/>
    <x v="142"/>
    <x v="0"/>
    <x v="0"/>
    <x v="0"/>
    <x v="2"/>
    <x v="32"/>
    <x v="119"/>
    <x v="1356"/>
    <x v="0"/>
    <s v="AGUADULCE"/>
    <x v="2"/>
  </r>
  <r>
    <x v="74"/>
    <x v="1"/>
    <x v="1"/>
    <x v="1"/>
    <x v="0"/>
    <x v="2"/>
    <x v="1"/>
    <x v="1"/>
    <x v="1"/>
    <x v="370"/>
    <s v="AGUADULCE"/>
    <x v="2"/>
  </r>
  <r>
    <x v="75"/>
    <x v="79"/>
    <x v="3"/>
    <x v="3"/>
    <x v="0"/>
    <x v="2"/>
    <x v="32"/>
    <x v="142"/>
    <x v="1357"/>
    <x v="0"/>
    <s v="SABANITAS"/>
    <x v="2"/>
  </r>
  <r>
    <x v="75"/>
    <x v="1"/>
    <x v="1"/>
    <x v="1"/>
    <x v="0"/>
    <x v="2"/>
    <x v="1"/>
    <x v="1"/>
    <x v="1"/>
    <x v="371"/>
    <s v="SABANITAS"/>
    <x v="2"/>
  </r>
  <r>
    <x v="42"/>
    <x v="36"/>
    <x v="6"/>
    <x v="6"/>
    <x v="0"/>
    <x v="0"/>
    <x v="33"/>
    <x v="94"/>
    <x v="874"/>
    <x v="0"/>
    <s v="ALTOS DE PANAMA"/>
    <x v="2"/>
  </r>
  <r>
    <x v="42"/>
    <x v="71"/>
    <x v="6"/>
    <x v="6"/>
    <x v="0"/>
    <x v="0"/>
    <x v="33"/>
    <x v="37"/>
    <x v="874"/>
    <x v="0"/>
    <s v="ALTOS DE PANAMA"/>
    <x v="2"/>
  </r>
  <r>
    <x v="42"/>
    <x v="53"/>
    <x v="0"/>
    <x v="0"/>
    <x v="0"/>
    <x v="0"/>
    <x v="33"/>
    <x v="144"/>
    <x v="759"/>
    <x v="0"/>
    <s v="ALTOS DE PANAMA"/>
    <x v="2"/>
  </r>
  <r>
    <x v="42"/>
    <x v="136"/>
    <x v="0"/>
    <x v="0"/>
    <x v="0"/>
    <x v="0"/>
    <x v="33"/>
    <x v="100"/>
    <x v="759"/>
    <x v="0"/>
    <s v="ALTOS DE PANAMA"/>
    <x v="2"/>
  </r>
  <r>
    <x v="42"/>
    <x v="151"/>
    <x v="1"/>
    <x v="1"/>
    <x v="0"/>
    <x v="0"/>
    <x v="33"/>
    <x v="166"/>
    <x v="874"/>
    <x v="0"/>
    <s v="ALTOS DE PANAMA"/>
    <x v="2"/>
  </r>
  <r>
    <x v="42"/>
    <x v="127"/>
    <x v="1"/>
    <x v="1"/>
    <x v="0"/>
    <x v="0"/>
    <x v="33"/>
    <x v="85"/>
    <x v="874"/>
    <x v="0"/>
    <s v="ALTOS DE PANAMA"/>
    <x v="2"/>
  </r>
  <r>
    <x v="42"/>
    <x v="1"/>
    <x v="1"/>
    <x v="1"/>
    <x v="0"/>
    <x v="0"/>
    <x v="1"/>
    <x v="1"/>
    <x v="1"/>
    <x v="372"/>
    <s v="ALTOS DE PANAMA"/>
    <x v="2"/>
  </r>
  <r>
    <x v="42"/>
    <x v="21"/>
    <x v="6"/>
    <x v="6"/>
    <x v="0"/>
    <x v="1"/>
    <x v="33"/>
    <x v="70"/>
    <x v="874"/>
    <x v="0"/>
    <s v="ALTOS DE PANAMA"/>
    <x v="2"/>
  </r>
  <r>
    <x v="42"/>
    <x v="56"/>
    <x v="3"/>
    <x v="3"/>
    <x v="0"/>
    <x v="1"/>
    <x v="33"/>
    <x v="153"/>
    <x v="874"/>
    <x v="0"/>
    <s v="ALTOS DE PANAMA"/>
    <x v="2"/>
  </r>
  <r>
    <x v="42"/>
    <x v="29"/>
    <x v="4"/>
    <x v="4"/>
    <x v="0"/>
    <x v="1"/>
    <x v="33"/>
    <x v="248"/>
    <x v="874"/>
    <x v="0"/>
    <s v="ALTOS DE PANAMA"/>
    <x v="2"/>
  </r>
  <r>
    <x v="42"/>
    <x v="1"/>
    <x v="1"/>
    <x v="1"/>
    <x v="0"/>
    <x v="1"/>
    <x v="1"/>
    <x v="1"/>
    <x v="1"/>
    <x v="355"/>
    <s v="ALTOS DE PANAMA"/>
    <x v="2"/>
  </r>
  <r>
    <x v="43"/>
    <x v="170"/>
    <x v="2"/>
    <x v="2"/>
    <x v="0"/>
    <x v="2"/>
    <x v="32"/>
    <x v="252"/>
    <x v="982"/>
    <x v="0"/>
    <s v="VERSALLES"/>
    <x v="2"/>
  </r>
  <r>
    <x v="43"/>
    <x v="25"/>
    <x v="2"/>
    <x v="2"/>
    <x v="0"/>
    <x v="2"/>
    <x v="32"/>
    <x v="169"/>
    <x v="952"/>
    <x v="0"/>
    <s v="VERSALLES"/>
    <x v="2"/>
  </r>
  <r>
    <x v="43"/>
    <x v="86"/>
    <x v="6"/>
    <x v="6"/>
    <x v="0"/>
    <x v="2"/>
    <x v="32"/>
    <x v="224"/>
    <x v="982"/>
    <x v="0"/>
    <s v="VERSALLES"/>
    <x v="2"/>
  </r>
  <r>
    <x v="43"/>
    <x v="169"/>
    <x v="6"/>
    <x v="6"/>
    <x v="0"/>
    <x v="2"/>
    <x v="32"/>
    <x v="249"/>
    <x v="1215"/>
    <x v="0"/>
    <s v="VERSALLES"/>
    <x v="2"/>
  </r>
  <r>
    <x v="43"/>
    <x v="74"/>
    <x v="3"/>
    <x v="3"/>
    <x v="0"/>
    <x v="2"/>
    <x v="32"/>
    <x v="151"/>
    <x v="801"/>
    <x v="0"/>
    <s v="VERSALLES"/>
    <x v="2"/>
  </r>
  <r>
    <x v="43"/>
    <x v="114"/>
    <x v="3"/>
    <x v="3"/>
    <x v="0"/>
    <x v="2"/>
    <x v="32"/>
    <x v="76"/>
    <x v="1215"/>
    <x v="0"/>
    <s v="VERSALLES"/>
    <x v="2"/>
  </r>
  <r>
    <x v="43"/>
    <x v="80"/>
    <x v="4"/>
    <x v="4"/>
    <x v="0"/>
    <x v="2"/>
    <x v="32"/>
    <x v="90"/>
    <x v="801"/>
    <x v="0"/>
    <s v="VERSALLES"/>
    <x v="2"/>
  </r>
  <r>
    <x v="43"/>
    <x v="30"/>
    <x v="4"/>
    <x v="4"/>
    <x v="0"/>
    <x v="2"/>
    <x v="32"/>
    <x v="159"/>
    <x v="982"/>
    <x v="0"/>
    <s v="VERSALLES"/>
    <x v="2"/>
  </r>
  <r>
    <x v="43"/>
    <x v="90"/>
    <x v="0"/>
    <x v="0"/>
    <x v="0"/>
    <x v="2"/>
    <x v="32"/>
    <x v="79"/>
    <x v="801"/>
    <x v="0"/>
    <s v="VERSALLES"/>
    <x v="2"/>
  </r>
  <r>
    <x v="43"/>
    <x v="160"/>
    <x v="0"/>
    <x v="0"/>
    <x v="0"/>
    <x v="2"/>
    <x v="32"/>
    <x v="179"/>
    <x v="1215"/>
    <x v="0"/>
    <s v="VERSALLES"/>
    <x v="2"/>
  </r>
  <r>
    <x v="43"/>
    <x v="32"/>
    <x v="5"/>
    <x v="5"/>
    <x v="0"/>
    <x v="2"/>
    <x v="32"/>
    <x v="81"/>
    <x v="952"/>
    <x v="0"/>
    <s v="VERSALLES"/>
    <x v="2"/>
  </r>
  <r>
    <x v="43"/>
    <x v="77"/>
    <x v="5"/>
    <x v="5"/>
    <x v="0"/>
    <x v="2"/>
    <x v="32"/>
    <x v="156"/>
    <x v="982"/>
    <x v="0"/>
    <s v="VERSALLES"/>
    <x v="2"/>
  </r>
  <r>
    <x v="43"/>
    <x v="58"/>
    <x v="1"/>
    <x v="1"/>
    <x v="0"/>
    <x v="2"/>
    <x v="32"/>
    <x v="84"/>
    <x v="982"/>
    <x v="0"/>
    <s v="VERSALLES"/>
    <x v="2"/>
  </r>
  <r>
    <x v="43"/>
    <x v="42"/>
    <x v="1"/>
    <x v="1"/>
    <x v="0"/>
    <x v="2"/>
    <x v="32"/>
    <x v="167"/>
    <x v="982"/>
    <x v="0"/>
    <s v="VERSALLES"/>
    <x v="2"/>
  </r>
  <r>
    <x v="43"/>
    <x v="1"/>
    <x v="1"/>
    <x v="1"/>
    <x v="0"/>
    <x v="2"/>
    <x v="1"/>
    <x v="1"/>
    <x v="1"/>
    <x v="373"/>
    <s v="VERSALLES"/>
    <x v="2"/>
  </r>
  <r>
    <x v="43"/>
    <x v="1"/>
    <x v="1"/>
    <x v="1"/>
    <x v="0"/>
    <x v="0"/>
    <x v="1"/>
    <x v="1"/>
    <x v="1"/>
    <x v="355"/>
    <s v="VERSALLES"/>
    <x v="2"/>
  </r>
  <r>
    <x v="43"/>
    <x v="1"/>
    <x v="1"/>
    <x v="1"/>
    <x v="0"/>
    <x v="1"/>
    <x v="1"/>
    <x v="1"/>
    <x v="1"/>
    <x v="216"/>
    <s v="VERSALLES"/>
    <x v="2"/>
  </r>
  <r>
    <x v="45"/>
    <x v="108"/>
    <x v="3"/>
    <x v="3"/>
    <x v="0"/>
    <x v="2"/>
    <x v="32"/>
    <x v="63"/>
    <x v="1358"/>
    <x v="0"/>
    <s v="SAN FRANCISCO"/>
    <x v="2"/>
  </r>
  <r>
    <x v="45"/>
    <x v="0"/>
    <x v="0"/>
    <x v="0"/>
    <x v="0"/>
    <x v="2"/>
    <x v="32"/>
    <x v="197"/>
    <x v="1359"/>
    <x v="0"/>
    <s v="SAN FRANCISCO"/>
    <x v="2"/>
  </r>
  <r>
    <x v="45"/>
    <x v="1"/>
    <x v="1"/>
    <x v="1"/>
    <x v="0"/>
    <x v="2"/>
    <x v="1"/>
    <x v="1"/>
    <x v="1"/>
    <x v="374"/>
    <s v="SAN FRANCISCO"/>
    <x v="2"/>
  </r>
  <r>
    <x v="45"/>
    <x v="1"/>
    <x v="1"/>
    <x v="1"/>
    <x v="0"/>
    <x v="0"/>
    <x v="1"/>
    <x v="1"/>
    <x v="1"/>
    <x v="349"/>
    <s v="SAN FRANCISCO"/>
    <x v="2"/>
  </r>
  <r>
    <x v="46"/>
    <x v="132"/>
    <x v="4"/>
    <x v="4"/>
    <x v="0"/>
    <x v="2"/>
    <x v="33"/>
    <x v="95"/>
    <x v="874"/>
    <x v="0"/>
    <s v="PLAZA BANCO GENERAL"/>
    <x v="2"/>
  </r>
  <r>
    <x v="46"/>
    <x v="1"/>
    <x v="1"/>
    <x v="1"/>
    <x v="0"/>
    <x v="2"/>
    <x v="1"/>
    <x v="1"/>
    <x v="1"/>
    <x v="375"/>
    <s v="PLAZA BANCO GENERAL"/>
    <x v="2"/>
  </r>
  <r>
    <x v="46"/>
    <x v="28"/>
    <x v="3"/>
    <x v="3"/>
    <x v="0"/>
    <x v="0"/>
    <x v="33"/>
    <x v="245"/>
    <x v="874"/>
    <x v="0"/>
    <s v="PLAZA BANCO GENERAL"/>
    <x v="2"/>
  </r>
  <r>
    <x v="46"/>
    <x v="45"/>
    <x v="0"/>
    <x v="0"/>
    <x v="0"/>
    <x v="0"/>
    <x v="33"/>
    <x v="180"/>
    <x v="874"/>
    <x v="0"/>
    <s v="PLAZA BANCO GENERAL"/>
    <x v="2"/>
  </r>
  <r>
    <x v="46"/>
    <x v="13"/>
    <x v="5"/>
    <x v="5"/>
    <x v="0"/>
    <x v="0"/>
    <x v="33"/>
    <x v="120"/>
    <x v="874"/>
    <x v="0"/>
    <s v="PLAZA BANCO GENERAL"/>
    <x v="2"/>
  </r>
  <r>
    <x v="46"/>
    <x v="1"/>
    <x v="1"/>
    <x v="1"/>
    <x v="0"/>
    <x v="0"/>
    <x v="1"/>
    <x v="1"/>
    <x v="1"/>
    <x v="261"/>
    <s v="PLAZA BANCO GENERAL"/>
    <x v="2"/>
  </r>
  <r>
    <x v="47"/>
    <x v="85"/>
    <x v="2"/>
    <x v="2"/>
    <x v="0"/>
    <x v="2"/>
    <x v="32"/>
    <x v="161"/>
    <x v="1360"/>
    <x v="0"/>
    <s v="LA CHORRERA - PARQUE 10 DE NOV."/>
    <x v="2"/>
  </r>
  <r>
    <x v="47"/>
    <x v="65"/>
    <x v="6"/>
    <x v="6"/>
    <x v="0"/>
    <x v="2"/>
    <x v="32"/>
    <x v="190"/>
    <x v="1361"/>
    <x v="0"/>
    <s v="LA CHORRERA - PARQUE 10 DE NOV."/>
    <x v="2"/>
  </r>
  <r>
    <x v="47"/>
    <x v="102"/>
    <x v="6"/>
    <x v="6"/>
    <x v="0"/>
    <x v="2"/>
    <x v="33"/>
    <x v="141"/>
    <x v="759"/>
    <x v="0"/>
    <s v="LA CHORRERA - PARQUE 10 DE NOV."/>
    <x v="2"/>
  </r>
  <r>
    <x v="47"/>
    <x v="68"/>
    <x v="4"/>
    <x v="4"/>
    <x v="0"/>
    <x v="2"/>
    <x v="32"/>
    <x v="222"/>
    <x v="1362"/>
    <x v="0"/>
    <s v="LA CHORRERA - PARQUE 10 DE NOV."/>
    <x v="2"/>
  </r>
  <r>
    <x v="47"/>
    <x v="160"/>
    <x v="0"/>
    <x v="0"/>
    <x v="0"/>
    <x v="2"/>
    <x v="32"/>
    <x v="179"/>
    <x v="1363"/>
    <x v="0"/>
    <s v="LA CHORRERA - PARQUE 10 DE NOV."/>
    <x v="2"/>
  </r>
  <r>
    <x v="47"/>
    <x v="14"/>
    <x v="1"/>
    <x v="1"/>
    <x v="0"/>
    <x v="2"/>
    <x v="32"/>
    <x v="112"/>
    <x v="1364"/>
    <x v="0"/>
    <s v="LA CHORRERA - PARQUE 10 DE NOV."/>
    <x v="2"/>
  </r>
  <r>
    <x v="47"/>
    <x v="101"/>
    <x v="1"/>
    <x v="1"/>
    <x v="0"/>
    <x v="2"/>
    <x v="33"/>
    <x v="207"/>
    <x v="874"/>
    <x v="0"/>
    <s v="LA CHORRERA - PARQUE 10 DE NOV."/>
    <x v="2"/>
  </r>
  <r>
    <x v="47"/>
    <x v="1"/>
    <x v="1"/>
    <x v="1"/>
    <x v="0"/>
    <x v="2"/>
    <x v="1"/>
    <x v="1"/>
    <x v="1"/>
    <x v="376"/>
    <s v="LA CHORRERA - PARQUE 10 DE NOV."/>
    <x v="2"/>
  </r>
  <r>
    <x v="47"/>
    <x v="70"/>
    <x v="2"/>
    <x v="2"/>
    <x v="0"/>
    <x v="0"/>
    <x v="33"/>
    <x v="36"/>
    <x v="759"/>
    <x v="0"/>
    <s v="LA CHORRERA - PARQUE 10 DE NOV."/>
    <x v="2"/>
  </r>
  <r>
    <x v="47"/>
    <x v="16"/>
    <x v="2"/>
    <x v="2"/>
    <x v="0"/>
    <x v="0"/>
    <x v="33"/>
    <x v="93"/>
    <x v="1182"/>
    <x v="0"/>
    <s v="LA CHORRERA - PARQUE 10 DE NOV."/>
    <x v="2"/>
  </r>
  <r>
    <x v="47"/>
    <x v="106"/>
    <x v="2"/>
    <x v="2"/>
    <x v="0"/>
    <x v="0"/>
    <x v="33"/>
    <x v="223"/>
    <x v="1182"/>
    <x v="0"/>
    <s v="LA CHORRERA - PARQUE 10 DE NOV."/>
    <x v="2"/>
  </r>
  <r>
    <x v="47"/>
    <x v="47"/>
    <x v="2"/>
    <x v="2"/>
    <x v="0"/>
    <x v="0"/>
    <x v="33"/>
    <x v="68"/>
    <x v="874"/>
    <x v="0"/>
    <s v="LA CHORRERA - PARQUE 10 DE NOV."/>
    <x v="2"/>
  </r>
  <r>
    <x v="47"/>
    <x v="85"/>
    <x v="2"/>
    <x v="2"/>
    <x v="0"/>
    <x v="0"/>
    <x v="33"/>
    <x v="161"/>
    <x v="765"/>
    <x v="0"/>
    <s v="LA CHORRERA - PARQUE 10 DE NOV."/>
    <x v="2"/>
  </r>
  <r>
    <x v="47"/>
    <x v="112"/>
    <x v="2"/>
    <x v="2"/>
    <x v="0"/>
    <x v="0"/>
    <x v="33"/>
    <x v="209"/>
    <x v="859"/>
    <x v="0"/>
    <s v="LA CHORRERA - PARQUE 10 DE NOV."/>
    <x v="2"/>
  </r>
  <r>
    <x v="47"/>
    <x v="84"/>
    <x v="2"/>
    <x v="2"/>
    <x v="0"/>
    <x v="0"/>
    <x v="33"/>
    <x v="203"/>
    <x v="765"/>
    <x v="0"/>
    <s v="LA CHORRERA - PARQUE 10 DE NOV."/>
    <x v="2"/>
  </r>
  <r>
    <x v="47"/>
    <x v="129"/>
    <x v="2"/>
    <x v="2"/>
    <x v="0"/>
    <x v="0"/>
    <x v="33"/>
    <x v="204"/>
    <x v="765"/>
    <x v="0"/>
    <s v="LA CHORRERA - PARQUE 10 DE NOV."/>
    <x v="2"/>
  </r>
  <r>
    <x v="47"/>
    <x v="146"/>
    <x v="6"/>
    <x v="6"/>
    <x v="0"/>
    <x v="0"/>
    <x v="33"/>
    <x v="172"/>
    <x v="146"/>
    <x v="0"/>
    <s v="LA CHORRERA - PARQUE 10 DE NOV."/>
    <x v="2"/>
  </r>
  <r>
    <x v="47"/>
    <x v="36"/>
    <x v="6"/>
    <x v="6"/>
    <x v="0"/>
    <x v="0"/>
    <x v="33"/>
    <x v="94"/>
    <x v="952"/>
    <x v="0"/>
    <s v="LA CHORRERA - PARQUE 10 DE NOV."/>
    <x v="2"/>
  </r>
  <r>
    <x v="47"/>
    <x v="71"/>
    <x v="6"/>
    <x v="6"/>
    <x v="0"/>
    <x v="0"/>
    <x v="33"/>
    <x v="37"/>
    <x v="874"/>
    <x v="0"/>
    <s v="LA CHORRERA - PARQUE 10 DE NOV."/>
    <x v="2"/>
  </r>
  <r>
    <x v="47"/>
    <x v="163"/>
    <x v="6"/>
    <x v="6"/>
    <x v="0"/>
    <x v="0"/>
    <x v="33"/>
    <x v="195"/>
    <x v="874"/>
    <x v="0"/>
    <s v="LA CHORRERA - PARQUE 10 DE NOV."/>
    <x v="2"/>
  </r>
  <r>
    <x v="47"/>
    <x v="113"/>
    <x v="6"/>
    <x v="6"/>
    <x v="0"/>
    <x v="0"/>
    <x v="35"/>
    <x v="89"/>
    <x v="874"/>
    <x v="0"/>
    <s v="LA CHORRERA - PARQUE 10 DE NOV."/>
    <x v="2"/>
  </r>
  <r>
    <x v="47"/>
    <x v="134"/>
    <x v="6"/>
    <x v="6"/>
    <x v="0"/>
    <x v="0"/>
    <x v="33"/>
    <x v="226"/>
    <x v="874"/>
    <x v="0"/>
    <s v="LA CHORRERA - PARQUE 10 DE NOV."/>
    <x v="2"/>
  </r>
  <r>
    <x v="47"/>
    <x v="147"/>
    <x v="6"/>
    <x v="6"/>
    <x v="0"/>
    <x v="0"/>
    <x v="33"/>
    <x v="132"/>
    <x v="874"/>
    <x v="0"/>
    <s v="LA CHORRERA - PARQUE 10 DE NOV."/>
    <x v="2"/>
  </r>
  <r>
    <x v="47"/>
    <x v="21"/>
    <x v="6"/>
    <x v="6"/>
    <x v="0"/>
    <x v="0"/>
    <x v="36"/>
    <x v="253"/>
    <x v="765"/>
    <x v="0"/>
    <s v="LA CHORRERA - PARQUE 10 DE NOV."/>
    <x v="2"/>
  </r>
  <r>
    <x v="47"/>
    <x v="137"/>
    <x v="6"/>
    <x v="6"/>
    <x v="0"/>
    <x v="0"/>
    <x v="33"/>
    <x v="102"/>
    <x v="759"/>
    <x v="0"/>
    <s v="LA CHORRERA - PARQUE 10 DE NOV."/>
    <x v="2"/>
  </r>
  <r>
    <x v="47"/>
    <x v="23"/>
    <x v="3"/>
    <x v="3"/>
    <x v="0"/>
    <x v="0"/>
    <x v="33"/>
    <x v="221"/>
    <x v="952"/>
    <x v="0"/>
    <s v="LA CHORRERA - PARQUE 10 DE NOV."/>
    <x v="2"/>
  </r>
  <r>
    <x v="47"/>
    <x v="108"/>
    <x v="3"/>
    <x v="3"/>
    <x v="0"/>
    <x v="0"/>
    <x v="33"/>
    <x v="63"/>
    <x v="859"/>
    <x v="0"/>
    <s v="LA CHORRERA - PARQUE 10 DE NOV."/>
    <x v="2"/>
  </r>
  <r>
    <x v="47"/>
    <x v="135"/>
    <x v="3"/>
    <x v="3"/>
    <x v="0"/>
    <x v="0"/>
    <x v="33"/>
    <x v="149"/>
    <x v="146"/>
    <x v="0"/>
    <s v="LA CHORRERA - PARQUE 10 DE NOV."/>
    <x v="2"/>
  </r>
  <r>
    <x v="47"/>
    <x v="43"/>
    <x v="3"/>
    <x v="3"/>
    <x v="0"/>
    <x v="0"/>
    <x v="33"/>
    <x v="71"/>
    <x v="759"/>
    <x v="0"/>
    <s v="LA CHORRERA - PARQUE 10 DE NOV."/>
    <x v="2"/>
  </r>
  <r>
    <x v="47"/>
    <x v="75"/>
    <x v="3"/>
    <x v="3"/>
    <x v="0"/>
    <x v="0"/>
    <x v="33"/>
    <x v="220"/>
    <x v="899"/>
    <x v="0"/>
    <s v="LA CHORRERA - PARQUE 10 DE NOV."/>
    <x v="2"/>
  </r>
  <r>
    <x v="47"/>
    <x v="61"/>
    <x v="3"/>
    <x v="3"/>
    <x v="0"/>
    <x v="0"/>
    <x v="33"/>
    <x v="126"/>
    <x v="874"/>
    <x v="0"/>
    <s v="LA CHORRERA - PARQUE 10 DE NOV."/>
    <x v="2"/>
  </r>
  <r>
    <x v="47"/>
    <x v="148"/>
    <x v="3"/>
    <x v="3"/>
    <x v="0"/>
    <x v="0"/>
    <x v="33"/>
    <x v="174"/>
    <x v="1182"/>
    <x v="0"/>
    <s v="LA CHORRERA - PARQUE 10 DE NOV."/>
    <x v="2"/>
  </r>
  <r>
    <x v="47"/>
    <x v="79"/>
    <x v="3"/>
    <x v="3"/>
    <x v="0"/>
    <x v="0"/>
    <x v="33"/>
    <x v="142"/>
    <x v="874"/>
    <x v="0"/>
    <s v="LA CHORRERA - PARQUE 10 DE NOV."/>
    <x v="2"/>
  </r>
  <r>
    <x v="47"/>
    <x v="56"/>
    <x v="3"/>
    <x v="3"/>
    <x v="0"/>
    <x v="0"/>
    <x v="33"/>
    <x v="153"/>
    <x v="759"/>
    <x v="0"/>
    <s v="LA CHORRERA - PARQUE 10 DE NOV."/>
    <x v="2"/>
  </r>
  <r>
    <x v="47"/>
    <x v="28"/>
    <x v="3"/>
    <x v="3"/>
    <x v="0"/>
    <x v="0"/>
    <x v="33"/>
    <x v="245"/>
    <x v="759"/>
    <x v="0"/>
    <s v="LA CHORRERA - PARQUE 10 DE NOV."/>
    <x v="2"/>
  </r>
  <r>
    <x v="47"/>
    <x v="68"/>
    <x v="4"/>
    <x v="4"/>
    <x v="0"/>
    <x v="0"/>
    <x v="33"/>
    <x v="222"/>
    <x v="874"/>
    <x v="0"/>
    <s v="LA CHORRERA - PARQUE 10 DE NOV."/>
    <x v="2"/>
  </r>
  <r>
    <x v="47"/>
    <x v="81"/>
    <x v="4"/>
    <x v="4"/>
    <x v="0"/>
    <x v="0"/>
    <x v="33"/>
    <x v="175"/>
    <x v="1182"/>
    <x v="0"/>
    <s v="LA CHORRERA - PARQUE 10 DE NOV."/>
    <x v="2"/>
  </r>
  <r>
    <x v="47"/>
    <x v="132"/>
    <x v="4"/>
    <x v="4"/>
    <x v="0"/>
    <x v="0"/>
    <x v="33"/>
    <x v="95"/>
    <x v="1182"/>
    <x v="0"/>
    <s v="LA CHORRERA - PARQUE 10 DE NOV."/>
    <x v="2"/>
  </r>
  <r>
    <x v="47"/>
    <x v="50"/>
    <x v="4"/>
    <x v="4"/>
    <x v="0"/>
    <x v="0"/>
    <x v="33"/>
    <x v="77"/>
    <x v="146"/>
    <x v="0"/>
    <s v="LA CHORRERA - PARQUE 10 DE NOV."/>
    <x v="2"/>
  </r>
  <r>
    <x v="47"/>
    <x v="165"/>
    <x v="4"/>
    <x v="4"/>
    <x v="0"/>
    <x v="0"/>
    <x v="33"/>
    <x v="205"/>
    <x v="1182"/>
    <x v="0"/>
    <s v="LA CHORRERA - PARQUE 10 DE NOV."/>
    <x v="2"/>
  </r>
  <r>
    <x v="47"/>
    <x v="62"/>
    <x v="4"/>
    <x v="4"/>
    <x v="0"/>
    <x v="0"/>
    <x v="33"/>
    <x v="176"/>
    <x v="759"/>
    <x v="0"/>
    <s v="LA CHORRERA - PARQUE 10 DE NOV."/>
    <x v="2"/>
  </r>
  <r>
    <x v="47"/>
    <x v="4"/>
    <x v="4"/>
    <x v="4"/>
    <x v="0"/>
    <x v="0"/>
    <x v="33"/>
    <x v="199"/>
    <x v="874"/>
    <x v="0"/>
    <s v="LA CHORRERA - PARQUE 10 DE NOV."/>
    <x v="2"/>
  </r>
  <r>
    <x v="47"/>
    <x v="78"/>
    <x v="4"/>
    <x v="4"/>
    <x v="0"/>
    <x v="0"/>
    <x v="33"/>
    <x v="160"/>
    <x v="146"/>
    <x v="0"/>
    <s v="LA CHORRERA - PARQUE 10 DE NOV."/>
    <x v="2"/>
  </r>
  <r>
    <x v="47"/>
    <x v="52"/>
    <x v="0"/>
    <x v="0"/>
    <x v="0"/>
    <x v="0"/>
    <x v="33"/>
    <x v="107"/>
    <x v="759"/>
    <x v="0"/>
    <s v="LA CHORRERA - PARQUE 10 DE NOV."/>
    <x v="2"/>
  </r>
  <r>
    <x v="47"/>
    <x v="119"/>
    <x v="0"/>
    <x v="0"/>
    <x v="0"/>
    <x v="0"/>
    <x v="33"/>
    <x v="96"/>
    <x v="1182"/>
    <x v="0"/>
    <s v="LA CHORRERA - PARQUE 10 DE NOV."/>
    <x v="2"/>
  </r>
  <r>
    <x v="47"/>
    <x v="0"/>
    <x v="0"/>
    <x v="0"/>
    <x v="0"/>
    <x v="0"/>
    <x v="33"/>
    <x v="197"/>
    <x v="765"/>
    <x v="0"/>
    <s v="LA CHORRERA - PARQUE 10 DE NOV."/>
    <x v="2"/>
  </r>
  <r>
    <x v="47"/>
    <x v="100"/>
    <x v="0"/>
    <x v="0"/>
    <x v="0"/>
    <x v="0"/>
    <x v="33"/>
    <x v="73"/>
    <x v="765"/>
    <x v="0"/>
    <s v="LA CHORRERA - PARQUE 10 DE NOV."/>
    <x v="2"/>
  </r>
  <r>
    <x v="47"/>
    <x v="53"/>
    <x v="0"/>
    <x v="0"/>
    <x v="0"/>
    <x v="0"/>
    <x v="33"/>
    <x v="144"/>
    <x v="874"/>
    <x v="0"/>
    <s v="LA CHORRERA - PARQUE 10 DE NOV."/>
    <x v="2"/>
  </r>
  <r>
    <x v="47"/>
    <x v="45"/>
    <x v="0"/>
    <x v="0"/>
    <x v="0"/>
    <x v="0"/>
    <x v="33"/>
    <x v="180"/>
    <x v="899"/>
    <x v="0"/>
    <s v="LA CHORRERA - PARQUE 10 DE NOV."/>
    <x v="2"/>
  </r>
  <r>
    <x v="47"/>
    <x v="142"/>
    <x v="0"/>
    <x v="0"/>
    <x v="0"/>
    <x v="0"/>
    <x v="33"/>
    <x v="119"/>
    <x v="759"/>
    <x v="0"/>
    <s v="LA CHORRERA - PARQUE 10 DE NOV."/>
    <x v="2"/>
  </r>
  <r>
    <x v="47"/>
    <x v="76"/>
    <x v="5"/>
    <x v="5"/>
    <x v="0"/>
    <x v="0"/>
    <x v="33"/>
    <x v="182"/>
    <x v="899"/>
    <x v="0"/>
    <s v="LA CHORRERA - PARQUE 10 DE NOV."/>
    <x v="2"/>
  </r>
  <r>
    <x v="47"/>
    <x v="13"/>
    <x v="5"/>
    <x v="5"/>
    <x v="0"/>
    <x v="0"/>
    <x v="33"/>
    <x v="120"/>
    <x v="759"/>
    <x v="0"/>
    <s v="LA CHORRERA - PARQUE 10 DE NOV."/>
    <x v="2"/>
  </r>
  <r>
    <x v="47"/>
    <x v="72"/>
    <x v="5"/>
    <x v="5"/>
    <x v="0"/>
    <x v="0"/>
    <x v="33"/>
    <x v="38"/>
    <x v="1365"/>
    <x v="0"/>
    <s v="LA CHORRERA - PARQUE 10 DE NOV."/>
    <x v="2"/>
  </r>
  <r>
    <x v="47"/>
    <x v="125"/>
    <x v="5"/>
    <x v="5"/>
    <x v="0"/>
    <x v="0"/>
    <x v="33"/>
    <x v="82"/>
    <x v="759"/>
    <x v="0"/>
    <s v="LA CHORRERA - PARQUE 10 DE NOV."/>
    <x v="2"/>
  </r>
  <r>
    <x v="47"/>
    <x v="168"/>
    <x v="5"/>
    <x v="5"/>
    <x v="0"/>
    <x v="0"/>
    <x v="33"/>
    <x v="225"/>
    <x v="899"/>
    <x v="0"/>
    <s v="LA CHORRERA - PARQUE 10 DE NOV."/>
    <x v="2"/>
  </r>
  <r>
    <x v="47"/>
    <x v="139"/>
    <x v="5"/>
    <x v="5"/>
    <x v="0"/>
    <x v="0"/>
    <x v="33"/>
    <x v="110"/>
    <x v="934"/>
    <x v="0"/>
    <s v="LA CHORRERA - PARQUE 10 DE NOV."/>
    <x v="2"/>
  </r>
  <r>
    <x v="47"/>
    <x v="123"/>
    <x v="5"/>
    <x v="5"/>
    <x v="0"/>
    <x v="0"/>
    <x v="33"/>
    <x v="74"/>
    <x v="874"/>
    <x v="0"/>
    <s v="LA CHORRERA - PARQUE 10 DE NOV."/>
    <x v="2"/>
  </r>
  <r>
    <x v="47"/>
    <x v="153"/>
    <x v="5"/>
    <x v="5"/>
    <x v="0"/>
    <x v="0"/>
    <x v="33"/>
    <x v="157"/>
    <x v="899"/>
    <x v="0"/>
    <s v="LA CHORRERA - PARQUE 10 DE NOV."/>
    <x v="2"/>
  </r>
  <r>
    <x v="47"/>
    <x v="150"/>
    <x v="5"/>
    <x v="5"/>
    <x v="0"/>
    <x v="0"/>
    <x v="33"/>
    <x v="214"/>
    <x v="146"/>
    <x v="0"/>
    <s v="LA CHORRERA - PARQUE 10 DE NOV."/>
    <x v="2"/>
  </r>
  <r>
    <x v="47"/>
    <x v="95"/>
    <x v="1"/>
    <x v="1"/>
    <x v="0"/>
    <x v="0"/>
    <x v="33"/>
    <x v="97"/>
    <x v="952"/>
    <x v="0"/>
    <s v="LA CHORRERA - PARQUE 10 DE NOV."/>
    <x v="2"/>
  </r>
  <r>
    <x v="47"/>
    <x v="14"/>
    <x v="1"/>
    <x v="1"/>
    <x v="0"/>
    <x v="0"/>
    <x v="33"/>
    <x v="112"/>
    <x v="899"/>
    <x v="0"/>
    <s v="LA CHORRERA - PARQUE 10 DE NOV."/>
    <x v="2"/>
  </r>
  <r>
    <x v="47"/>
    <x v="151"/>
    <x v="1"/>
    <x v="1"/>
    <x v="0"/>
    <x v="0"/>
    <x v="33"/>
    <x v="166"/>
    <x v="899"/>
    <x v="0"/>
    <s v="LA CHORRERA - PARQUE 10 DE NOV."/>
    <x v="2"/>
  </r>
  <r>
    <x v="47"/>
    <x v="127"/>
    <x v="1"/>
    <x v="1"/>
    <x v="0"/>
    <x v="0"/>
    <x v="33"/>
    <x v="85"/>
    <x v="765"/>
    <x v="0"/>
    <s v="LA CHORRERA - PARQUE 10 DE NOV."/>
    <x v="2"/>
  </r>
  <r>
    <x v="47"/>
    <x v="22"/>
    <x v="1"/>
    <x v="1"/>
    <x v="0"/>
    <x v="0"/>
    <x v="33"/>
    <x v="211"/>
    <x v="765"/>
    <x v="0"/>
    <s v="LA CHORRERA - PARQUE 10 DE NOV."/>
    <x v="2"/>
  </r>
  <r>
    <x v="47"/>
    <x v="42"/>
    <x v="1"/>
    <x v="1"/>
    <x v="0"/>
    <x v="0"/>
    <x v="33"/>
    <x v="167"/>
    <x v="982"/>
    <x v="0"/>
    <s v="LA CHORRERA - PARQUE 10 DE NOV."/>
    <x v="2"/>
  </r>
  <r>
    <x v="47"/>
    <x v="33"/>
    <x v="1"/>
    <x v="1"/>
    <x v="0"/>
    <x v="0"/>
    <x v="33"/>
    <x v="241"/>
    <x v="899"/>
    <x v="0"/>
    <s v="LA CHORRERA - PARQUE 10 DE NOV."/>
    <x v="2"/>
  </r>
  <r>
    <x v="47"/>
    <x v="101"/>
    <x v="1"/>
    <x v="1"/>
    <x v="0"/>
    <x v="0"/>
    <x v="33"/>
    <x v="207"/>
    <x v="759"/>
    <x v="0"/>
    <s v="LA CHORRERA - PARQUE 10 DE NOV."/>
    <x v="2"/>
  </r>
  <r>
    <x v="47"/>
    <x v="109"/>
    <x v="1"/>
    <x v="1"/>
    <x v="0"/>
    <x v="0"/>
    <x v="33"/>
    <x v="208"/>
    <x v="146"/>
    <x v="0"/>
    <s v="LA CHORRERA - PARQUE 10 DE NOV."/>
    <x v="2"/>
  </r>
  <r>
    <x v="47"/>
    <x v="1"/>
    <x v="1"/>
    <x v="1"/>
    <x v="0"/>
    <x v="0"/>
    <x v="1"/>
    <x v="1"/>
    <x v="1"/>
    <x v="377"/>
    <s v="LA CHORRERA - PARQUE 10 DE NOV."/>
    <x v="2"/>
  </r>
  <r>
    <x v="47"/>
    <x v="87"/>
    <x v="6"/>
    <x v="6"/>
    <x v="0"/>
    <x v="1"/>
    <x v="33"/>
    <x v="189"/>
    <x v="759"/>
    <x v="0"/>
    <s v="LA CHORRERA - PARQUE 10 DE NOV."/>
    <x v="2"/>
  </r>
  <r>
    <x v="47"/>
    <x v="27"/>
    <x v="3"/>
    <x v="3"/>
    <x v="0"/>
    <x v="1"/>
    <x v="33"/>
    <x v="43"/>
    <x v="874"/>
    <x v="0"/>
    <s v="LA CHORRERA - PARQUE 10 DE NOV."/>
    <x v="2"/>
  </r>
  <r>
    <x v="47"/>
    <x v="56"/>
    <x v="3"/>
    <x v="3"/>
    <x v="0"/>
    <x v="1"/>
    <x v="33"/>
    <x v="153"/>
    <x v="874"/>
    <x v="0"/>
    <s v="LA CHORRERA - PARQUE 10 DE NOV."/>
    <x v="2"/>
  </r>
  <r>
    <x v="47"/>
    <x v="28"/>
    <x v="3"/>
    <x v="3"/>
    <x v="0"/>
    <x v="1"/>
    <x v="33"/>
    <x v="245"/>
    <x v="874"/>
    <x v="0"/>
    <s v="LA CHORRERA - PARQUE 10 DE NOV."/>
    <x v="2"/>
  </r>
  <r>
    <x v="47"/>
    <x v="68"/>
    <x v="4"/>
    <x v="4"/>
    <x v="0"/>
    <x v="1"/>
    <x v="33"/>
    <x v="222"/>
    <x v="874"/>
    <x v="0"/>
    <s v="LA CHORRERA - PARQUE 10 DE NOV."/>
    <x v="2"/>
  </r>
  <r>
    <x v="47"/>
    <x v="81"/>
    <x v="4"/>
    <x v="4"/>
    <x v="0"/>
    <x v="1"/>
    <x v="33"/>
    <x v="175"/>
    <x v="759"/>
    <x v="0"/>
    <s v="LA CHORRERA - PARQUE 10 DE NOV."/>
    <x v="2"/>
  </r>
  <r>
    <x v="47"/>
    <x v="89"/>
    <x v="4"/>
    <x v="4"/>
    <x v="0"/>
    <x v="1"/>
    <x v="33"/>
    <x v="154"/>
    <x v="759"/>
    <x v="0"/>
    <s v="LA CHORRERA - PARQUE 10 DE NOV."/>
    <x v="2"/>
  </r>
  <r>
    <x v="47"/>
    <x v="31"/>
    <x v="4"/>
    <x v="4"/>
    <x v="0"/>
    <x v="1"/>
    <x v="33"/>
    <x v="72"/>
    <x v="874"/>
    <x v="0"/>
    <s v="LA CHORRERA - PARQUE 10 DE NOV."/>
    <x v="2"/>
  </r>
  <r>
    <x v="47"/>
    <x v="90"/>
    <x v="0"/>
    <x v="0"/>
    <x v="0"/>
    <x v="1"/>
    <x v="33"/>
    <x v="79"/>
    <x v="874"/>
    <x v="0"/>
    <s v="LA CHORRERA - PARQUE 10 DE NOV."/>
    <x v="2"/>
  </r>
  <r>
    <x v="47"/>
    <x v="57"/>
    <x v="0"/>
    <x v="0"/>
    <x v="0"/>
    <x v="1"/>
    <x v="33"/>
    <x v="44"/>
    <x v="874"/>
    <x v="0"/>
    <s v="LA CHORRERA - PARQUE 10 DE NOV."/>
    <x v="2"/>
  </r>
  <r>
    <x v="47"/>
    <x v="52"/>
    <x v="0"/>
    <x v="0"/>
    <x v="0"/>
    <x v="1"/>
    <x v="33"/>
    <x v="107"/>
    <x v="874"/>
    <x v="0"/>
    <s v="LA CHORRERA - PARQUE 10 DE NOV."/>
    <x v="2"/>
  </r>
  <r>
    <x v="47"/>
    <x v="119"/>
    <x v="0"/>
    <x v="0"/>
    <x v="0"/>
    <x v="1"/>
    <x v="33"/>
    <x v="96"/>
    <x v="146"/>
    <x v="0"/>
    <s v="LA CHORRERA - PARQUE 10 DE NOV."/>
    <x v="2"/>
  </r>
  <r>
    <x v="47"/>
    <x v="0"/>
    <x v="0"/>
    <x v="0"/>
    <x v="0"/>
    <x v="1"/>
    <x v="33"/>
    <x v="197"/>
    <x v="874"/>
    <x v="0"/>
    <s v="LA CHORRERA - PARQUE 10 DE NOV."/>
    <x v="2"/>
  </r>
  <r>
    <x v="47"/>
    <x v="100"/>
    <x v="0"/>
    <x v="0"/>
    <x v="0"/>
    <x v="1"/>
    <x v="33"/>
    <x v="73"/>
    <x v="874"/>
    <x v="0"/>
    <s v="LA CHORRERA - PARQUE 10 DE NOV."/>
    <x v="2"/>
  </r>
  <r>
    <x v="47"/>
    <x v="136"/>
    <x v="0"/>
    <x v="0"/>
    <x v="0"/>
    <x v="1"/>
    <x v="33"/>
    <x v="100"/>
    <x v="874"/>
    <x v="0"/>
    <s v="LA CHORRERA - PARQUE 10 DE NOV."/>
    <x v="2"/>
  </r>
  <r>
    <x v="47"/>
    <x v="14"/>
    <x v="1"/>
    <x v="1"/>
    <x v="0"/>
    <x v="1"/>
    <x v="33"/>
    <x v="112"/>
    <x v="874"/>
    <x v="0"/>
    <s v="LA CHORRERA - PARQUE 10 DE NOV."/>
    <x v="2"/>
  </r>
  <r>
    <x v="47"/>
    <x v="151"/>
    <x v="1"/>
    <x v="1"/>
    <x v="0"/>
    <x v="1"/>
    <x v="33"/>
    <x v="166"/>
    <x v="874"/>
    <x v="0"/>
    <s v="LA CHORRERA - PARQUE 10 DE NOV."/>
    <x v="2"/>
  </r>
  <r>
    <x v="47"/>
    <x v="109"/>
    <x v="1"/>
    <x v="1"/>
    <x v="0"/>
    <x v="1"/>
    <x v="33"/>
    <x v="208"/>
    <x v="874"/>
    <x v="0"/>
    <s v="LA CHORRERA - PARQUE 10 DE NOV."/>
    <x v="2"/>
  </r>
  <r>
    <x v="47"/>
    <x v="1"/>
    <x v="1"/>
    <x v="1"/>
    <x v="0"/>
    <x v="1"/>
    <x v="1"/>
    <x v="1"/>
    <x v="1"/>
    <x v="378"/>
    <s v="LA CHORRERA - PARQUE 10 DE NOV."/>
    <x v="2"/>
  </r>
  <r>
    <x v="48"/>
    <x v="135"/>
    <x v="3"/>
    <x v="3"/>
    <x v="0"/>
    <x v="2"/>
    <x v="32"/>
    <x v="149"/>
    <x v="1366"/>
    <x v="0"/>
    <s v="COSTA DEL ESTE - CENTENARIO"/>
    <x v="2"/>
  </r>
  <r>
    <x v="48"/>
    <x v="1"/>
    <x v="1"/>
    <x v="1"/>
    <x v="0"/>
    <x v="2"/>
    <x v="1"/>
    <x v="1"/>
    <x v="1"/>
    <x v="379"/>
    <s v="COSTA DEL ESTE - CENTENARIO"/>
    <x v="2"/>
  </r>
  <r>
    <x v="49"/>
    <x v="70"/>
    <x v="2"/>
    <x v="2"/>
    <x v="0"/>
    <x v="2"/>
    <x v="32"/>
    <x v="36"/>
    <x v="1304"/>
    <x v="0"/>
    <s v="CLAYTON"/>
    <x v="2"/>
  </r>
  <r>
    <x v="49"/>
    <x v="43"/>
    <x v="3"/>
    <x v="3"/>
    <x v="0"/>
    <x v="2"/>
    <x v="32"/>
    <x v="71"/>
    <x v="1367"/>
    <x v="0"/>
    <s v="CLAYTON"/>
    <x v="2"/>
  </r>
  <r>
    <x v="49"/>
    <x v="160"/>
    <x v="0"/>
    <x v="0"/>
    <x v="0"/>
    <x v="2"/>
    <x v="32"/>
    <x v="179"/>
    <x v="709"/>
    <x v="0"/>
    <s v="CLAYTON"/>
    <x v="2"/>
  </r>
  <r>
    <x v="49"/>
    <x v="58"/>
    <x v="1"/>
    <x v="1"/>
    <x v="0"/>
    <x v="2"/>
    <x v="32"/>
    <x v="84"/>
    <x v="1368"/>
    <x v="0"/>
    <s v="CLAYTON"/>
    <x v="2"/>
  </r>
  <r>
    <x v="49"/>
    <x v="1"/>
    <x v="1"/>
    <x v="1"/>
    <x v="0"/>
    <x v="2"/>
    <x v="1"/>
    <x v="1"/>
    <x v="1"/>
    <x v="380"/>
    <s v="CLAYTON"/>
    <x v="2"/>
  </r>
  <r>
    <x v="49"/>
    <x v="43"/>
    <x v="3"/>
    <x v="3"/>
    <x v="0"/>
    <x v="0"/>
    <x v="33"/>
    <x v="71"/>
    <x v="759"/>
    <x v="0"/>
    <s v="CLAYTON"/>
    <x v="2"/>
  </r>
  <r>
    <x v="49"/>
    <x v="61"/>
    <x v="3"/>
    <x v="3"/>
    <x v="0"/>
    <x v="0"/>
    <x v="33"/>
    <x v="126"/>
    <x v="874"/>
    <x v="0"/>
    <s v="CLAYTON"/>
    <x v="2"/>
  </r>
  <r>
    <x v="49"/>
    <x v="81"/>
    <x v="4"/>
    <x v="4"/>
    <x v="0"/>
    <x v="0"/>
    <x v="33"/>
    <x v="175"/>
    <x v="759"/>
    <x v="0"/>
    <s v="CLAYTON"/>
    <x v="2"/>
  </r>
  <r>
    <x v="49"/>
    <x v="1"/>
    <x v="1"/>
    <x v="1"/>
    <x v="0"/>
    <x v="0"/>
    <x v="1"/>
    <x v="1"/>
    <x v="1"/>
    <x v="355"/>
    <s v="CLAYTON"/>
    <x v="2"/>
  </r>
  <r>
    <x v="49"/>
    <x v="125"/>
    <x v="5"/>
    <x v="5"/>
    <x v="0"/>
    <x v="1"/>
    <x v="33"/>
    <x v="82"/>
    <x v="874"/>
    <x v="0"/>
    <s v="CLAYTON"/>
    <x v="2"/>
  </r>
  <r>
    <x v="49"/>
    <x v="1"/>
    <x v="1"/>
    <x v="1"/>
    <x v="0"/>
    <x v="1"/>
    <x v="1"/>
    <x v="1"/>
    <x v="1"/>
    <x v="216"/>
    <s v="CLAYTON"/>
    <x v="2"/>
  </r>
  <r>
    <x v="50"/>
    <x v="65"/>
    <x v="6"/>
    <x v="6"/>
    <x v="0"/>
    <x v="2"/>
    <x v="32"/>
    <x v="190"/>
    <x v="1369"/>
    <x v="0"/>
    <s v="MARBELLA"/>
    <x v="2"/>
  </r>
  <r>
    <x v="50"/>
    <x v="79"/>
    <x v="3"/>
    <x v="3"/>
    <x v="0"/>
    <x v="2"/>
    <x v="32"/>
    <x v="142"/>
    <x v="1370"/>
    <x v="0"/>
    <s v="MARBELLA"/>
    <x v="2"/>
  </r>
  <r>
    <x v="50"/>
    <x v="31"/>
    <x v="4"/>
    <x v="4"/>
    <x v="0"/>
    <x v="2"/>
    <x v="32"/>
    <x v="72"/>
    <x v="1371"/>
    <x v="0"/>
    <s v="MARBELLA"/>
    <x v="2"/>
  </r>
  <r>
    <x v="50"/>
    <x v="160"/>
    <x v="0"/>
    <x v="0"/>
    <x v="0"/>
    <x v="2"/>
    <x v="32"/>
    <x v="179"/>
    <x v="1372"/>
    <x v="0"/>
    <s v="MARBELLA"/>
    <x v="2"/>
  </r>
  <r>
    <x v="50"/>
    <x v="41"/>
    <x v="1"/>
    <x v="1"/>
    <x v="0"/>
    <x v="2"/>
    <x v="32"/>
    <x v="113"/>
    <x v="1373"/>
    <x v="0"/>
    <s v="MARBELLA"/>
    <x v="2"/>
  </r>
  <r>
    <x v="50"/>
    <x v="1"/>
    <x v="1"/>
    <x v="1"/>
    <x v="0"/>
    <x v="2"/>
    <x v="1"/>
    <x v="1"/>
    <x v="1"/>
    <x v="381"/>
    <s v="MARBELLA"/>
    <x v="2"/>
  </r>
  <r>
    <x v="51"/>
    <x v="139"/>
    <x v="5"/>
    <x v="5"/>
    <x v="0"/>
    <x v="2"/>
    <x v="32"/>
    <x v="110"/>
    <x v="1374"/>
    <x v="0"/>
    <s v="PLAZA CAROLINA"/>
    <x v="2"/>
  </r>
  <r>
    <x v="51"/>
    <x v="1"/>
    <x v="1"/>
    <x v="1"/>
    <x v="0"/>
    <x v="2"/>
    <x v="1"/>
    <x v="1"/>
    <x v="1"/>
    <x v="382"/>
    <s v="PLAZA CAROLINA"/>
    <x v="2"/>
  </r>
  <r>
    <x v="51"/>
    <x v="1"/>
    <x v="1"/>
    <x v="1"/>
    <x v="0"/>
    <x v="0"/>
    <x v="1"/>
    <x v="1"/>
    <x v="1"/>
    <x v="349"/>
    <s v="PLAZA CAROLINA"/>
    <x v="2"/>
  </r>
  <r>
    <x v="53"/>
    <x v="47"/>
    <x v="2"/>
    <x v="2"/>
    <x v="0"/>
    <x v="0"/>
    <x v="33"/>
    <x v="68"/>
    <x v="759"/>
    <x v="0"/>
    <s v="VIA SIMON BOLIVAR"/>
    <x v="2"/>
  </r>
  <r>
    <x v="53"/>
    <x v="144"/>
    <x v="2"/>
    <x v="2"/>
    <x v="0"/>
    <x v="0"/>
    <x v="33"/>
    <x v="162"/>
    <x v="899"/>
    <x v="0"/>
    <s v="VIA SIMON BOLIVAR"/>
    <x v="2"/>
  </r>
  <r>
    <x v="53"/>
    <x v="129"/>
    <x v="2"/>
    <x v="2"/>
    <x v="0"/>
    <x v="0"/>
    <x v="33"/>
    <x v="204"/>
    <x v="874"/>
    <x v="0"/>
    <s v="VIA SIMON BOLIVAR"/>
    <x v="2"/>
  </r>
  <r>
    <x v="53"/>
    <x v="65"/>
    <x v="6"/>
    <x v="6"/>
    <x v="0"/>
    <x v="0"/>
    <x v="33"/>
    <x v="190"/>
    <x v="146"/>
    <x v="0"/>
    <s v="VIA SIMON BOLIVAR"/>
    <x v="2"/>
  </r>
  <r>
    <x v="53"/>
    <x v="36"/>
    <x v="6"/>
    <x v="6"/>
    <x v="0"/>
    <x v="0"/>
    <x v="33"/>
    <x v="94"/>
    <x v="874"/>
    <x v="0"/>
    <s v="VIA SIMON BOLIVAR"/>
    <x v="2"/>
  </r>
  <r>
    <x v="53"/>
    <x v="113"/>
    <x v="6"/>
    <x v="6"/>
    <x v="0"/>
    <x v="0"/>
    <x v="33"/>
    <x v="89"/>
    <x v="874"/>
    <x v="0"/>
    <s v="VIA SIMON BOLIVAR"/>
    <x v="2"/>
  </r>
  <r>
    <x v="53"/>
    <x v="108"/>
    <x v="3"/>
    <x v="3"/>
    <x v="0"/>
    <x v="0"/>
    <x v="33"/>
    <x v="63"/>
    <x v="1182"/>
    <x v="0"/>
    <s v="VIA SIMON BOLIVAR"/>
    <x v="2"/>
  </r>
  <r>
    <x v="53"/>
    <x v="135"/>
    <x v="3"/>
    <x v="3"/>
    <x v="0"/>
    <x v="0"/>
    <x v="33"/>
    <x v="149"/>
    <x v="759"/>
    <x v="0"/>
    <s v="VIA SIMON BOLIVAR"/>
    <x v="2"/>
  </r>
  <r>
    <x v="53"/>
    <x v="148"/>
    <x v="3"/>
    <x v="3"/>
    <x v="0"/>
    <x v="0"/>
    <x v="33"/>
    <x v="174"/>
    <x v="146"/>
    <x v="0"/>
    <s v="VIA SIMON BOLIVAR"/>
    <x v="2"/>
  </r>
  <r>
    <x v="53"/>
    <x v="44"/>
    <x v="3"/>
    <x v="3"/>
    <x v="0"/>
    <x v="0"/>
    <x v="33"/>
    <x v="191"/>
    <x v="874"/>
    <x v="0"/>
    <s v="VIA SIMON BOLIVAR"/>
    <x v="2"/>
  </r>
  <r>
    <x v="53"/>
    <x v="30"/>
    <x v="4"/>
    <x v="4"/>
    <x v="0"/>
    <x v="0"/>
    <x v="33"/>
    <x v="159"/>
    <x v="874"/>
    <x v="0"/>
    <s v="VIA SIMON BOLIVAR"/>
    <x v="2"/>
  </r>
  <r>
    <x v="53"/>
    <x v="159"/>
    <x v="0"/>
    <x v="0"/>
    <x v="0"/>
    <x v="0"/>
    <x v="33"/>
    <x v="177"/>
    <x v="874"/>
    <x v="0"/>
    <s v="VIA SIMON BOLIVAR"/>
    <x v="2"/>
  </r>
  <r>
    <x v="53"/>
    <x v="53"/>
    <x v="0"/>
    <x v="0"/>
    <x v="0"/>
    <x v="0"/>
    <x v="33"/>
    <x v="144"/>
    <x v="759"/>
    <x v="0"/>
    <s v="VIA SIMON BOLIVAR"/>
    <x v="2"/>
  </r>
  <r>
    <x v="53"/>
    <x v="122"/>
    <x v="0"/>
    <x v="0"/>
    <x v="0"/>
    <x v="0"/>
    <x v="33"/>
    <x v="181"/>
    <x v="874"/>
    <x v="0"/>
    <s v="VIA SIMON BOLIVAR"/>
    <x v="2"/>
  </r>
  <r>
    <x v="53"/>
    <x v="76"/>
    <x v="5"/>
    <x v="5"/>
    <x v="0"/>
    <x v="0"/>
    <x v="33"/>
    <x v="182"/>
    <x v="759"/>
    <x v="0"/>
    <s v="VIA SIMON BOLIVAR"/>
    <x v="2"/>
  </r>
  <r>
    <x v="53"/>
    <x v="97"/>
    <x v="5"/>
    <x v="5"/>
    <x v="0"/>
    <x v="0"/>
    <x v="33"/>
    <x v="183"/>
    <x v="759"/>
    <x v="0"/>
    <s v="VIA SIMON BOLIVAR"/>
    <x v="2"/>
  </r>
  <r>
    <x v="53"/>
    <x v="13"/>
    <x v="5"/>
    <x v="5"/>
    <x v="0"/>
    <x v="0"/>
    <x v="33"/>
    <x v="120"/>
    <x v="874"/>
    <x v="0"/>
    <s v="VIA SIMON BOLIVAR"/>
    <x v="2"/>
  </r>
  <r>
    <x v="53"/>
    <x v="168"/>
    <x v="5"/>
    <x v="5"/>
    <x v="0"/>
    <x v="0"/>
    <x v="33"/>
    <x v="225"/>
    <x v="874"/>
    <x v="0"/>
    <s v="VIA SIMON BOLIVAR"/>
    <x v="2"/>
  </r>
  <r>
    <x v="53"/>
    <x v="139"/>
    <x v="5"/>
    <x v="5"/>
    <x v="0"/>
    <x v="0"/>
    <x v="33"/>
    <x v="110"/>
    <x v="146"/>
    <x v="0"/>
    <s v="VIA SIMON BOLIVAR"/>
    <x v="2"/>
  </r>
  <r>
    <x v="53"/>
    <x v="123"/>
    <x v="5"/>
    <x v="5"/>
    <x v="0"/>
    <x v="0"/>
    <x v="33"/>
    <x v="74"/>
    <x v="874"/>
    <x v="0"/>
    <s v="VIA SIMON BOLIVAR"/>
    <x v="2"/>
  </r>
  <r>
    <x v="53"/>
    <x v="124"/>
    <x v="5"/>
    <x v="5"/>
    <x v="0"/>
    <x v="0"/>
    <x v="33"/>
    <x v="206"/>
    <x v="759"/>
    <x v="0"/>
    <s v="VIA SIMON BOLIVAR"/>
    <x v="2"/>
  </r>
  <r>
    <x v="53"/>
    <x v="40"/>
    <x v="1"/>
    <x v="1"/>
    <x v="0"/>
    <x v="0"/>
    <x v="33"/>
    <x v="125"/>
    <x v="759"/>
    <x v="0"/>
    <s v="VIA SIMON BOLIVAR"/>
    <x v="2"/>
  </r>
  <r>
    <x v="53"/>
    <x v="42"/>
    <x v="1"/>
    <x v="1"/>
    <x v="0"/>
    <x v="0"/>
    <x v="33"/>
    <x v="167"/>
    <x v="874"/>
    <x v="0"/>
    <s v="VIA SIMON BOLIVAR"/>
    <x v="2"/>
  </r>
  <r>
    <x v="53"/>
    <x v="33"/>
    <x v="1"/>
    <x v="1"/>
    <x v="0"/>
    <x v="0"/>
    <x v="33"/>
    <x v="241"/>
    <x v="874"/>
    <x v="0"/>
    <s v="VIA SIMON BOLIVAR"/>
    <x v="2"/>
  </r>
  <r>
    <x v="53"/>
    <x v="1"/>
    <x v="1"/>
    <x v="1"/>
    <x v="0"/>
    <x v="0"/>
    <x v="1"/>
    <x v="1"/>
    <x v="1"/>
    <x v="383"/>
    <s v="VIA SIMON BOLIVAR"/>
    <x v="2"/>
  </r>
  <r>
    <x v="53"/>
    <x v="148"/>
    <x v="3"/>
    <x v="3"/>
    <x v="0"/>
    <x v="1"/>
    <x v="33"/>
    <x v="174"/>
    <x v="874"/>
    <x v="0"/>
    <s v="VIA SIMON BOLIVAR"/>
    <x v="2"/>
  </r>
  <r>
    <x v="53"/>
    <x v="1"/>
    <x v="1"/>
    <x v="1"/>
    <x v="0"/>
    <x v="1"/>
    <x v="1"/>
    <x v="1"/>
    <x v="1"/>
    <x v="216"/>
    <s v="VIA SIMON BOLIVAR"/>
    <x v="2"/>
  </r>
  <r>
    <x v="54"/>
    <x v="1"/>
    <x v="1"/>
    <x v="1"/>
    <x v="0"/>
    <x v="0"/>
    <x v="1"/>
    <x v="1"/>
    <x v="1"/>
    <x v="261"/>
    <s v="JUSTO AROSEMENA"/>
    <x v="2"/>
  </r>
  <r>
    <x v="54"/>
    <x v="112"/>
    <x v="2"/>
    <x v="2"/>
    <x v="0"/>
    <x v="1"/>
    <x v="33"/>
    <x v="209"/>
    <x v="874"/>
    <x v="0"/>
    <s v="JUSTO AROSEMENA"/>
    <x v="2"/>
  </r>
  <r>
    <x v="54"/>
    <x v="67"/>
    <x v="6"/>
    <x v="6"/>
    <x v="0"/>
    <x v="1"/>
    <x v="33"/>
    <x v="32"/>
    <x v="874"/>
    <x v="0"/>
    <s v="JUSTO AROSEMENA"/>
    <x v="2"/>
  </r>
  <r>
    <x v="54"/>
    <x v="1"/>
    <x v="1"/>
    <x v="1"/>
    <x v="0"/>
    <x v="1"/>
    <x v="1"/>
    <x v="1"/>
    <x v="1"/>
    <x v="261"/>
    <s v="JUSTO AROSEMENA"/>
    <x v="2"/>
  </r>
  <r>
    <x v="55"/>
    <x v="157"/>
    <x v="2"/>
    <x v="2"/>
    <x v="0"/>
    <x v="19"/>
    <x v="33"/>
    <x v="147"/>
    <x v="1375"/>
    <x v="0"/>
    <s v="NEGOCIOS"/>
    <x v="2"/>
  </r>
  <r>
    <x v="55"/>
    <x v="1"/>
    <x v="1"/>
    <x v="1"/>
    <x v="0"/>
    <x v="19"/>
    <x v="1"/>
    <x v="1"/>
    <x v="1"/>
    <x v="384"/>
    <s v="NEGOCIOS"/>
    <x v="2"/>
  </r>
  <r>
    <x v="55"/>
    <x v="26"/>
    <x v="3"/>
    <x v="3"/>
    <x v="0"/>
    <x v="20"/>
    <x v="33"/>
    <x v="115"/>
    <x v="1376"/>
    <x v="0"/>
    <s v="NEGOCIOS"/>
    <x v="2"/>
  </r>
  <r>
    <x v="55"/>
    <x v="62"/>
    <x v="4"/>
    <x v="4"/>
    <x v="0"/>
    <x v="20"/>
    <x v="33"/>
    <x v="176"/>
    <x v="1377"/>
    <x v="0"/>
    <s v="NEGOCIOS"/>
    <x v="2"/>
  </r>
  <r>
    <x v="55"/>
    <x v="153"/>
    <x v="5"/>
    <x v="5"/>
    <x v="0"/>
    <x v="20"/>
    <x v="32"/>
    <x v="157"/>
    <x v="1378"/>
    <x v="0"/>
    <s v="NEGOCIOS"/>
    <x v="2"/>
  </r>
  <r>
    <x v="55"/>
    <x v="58"/>
    <x v="1"/>
    <x v="1"/>
    <x v="0"/>
    <x v="20"/>
    <x v="32"/>
    <x v="84"/>
    <x v="1379"/>
    <x v="0"/>
    <s v="NEGOCIOS"/>
    <x v="2"/>
  </r>
  <r>
    <x v="55"/>
    <x v="8"/>
    <x v="1"/>
    <x v="1"/>
    <x v="0"/>
    <x v="20"/>
    <x v="33"/>
    <x v="187"/>
    <x v="1380"/>
    <x v="0"/>
    <s v="NEGOCIOS"/>
    <x v="2"/>
  </r>
  <r>
    <x v="55"/>
    <x v="33"/>
    <x v="1"/>
    <x v="1"/>
    <x v="0"/>
    <x v="20"/>
    <x v="32"/>
    <x v="241"/>
    <x v="1381"/>
    <x v="0"/>
    <s v="NEGOCIOS"/>
    <x v="2"/>
  </r>
  <r>
    <x v="55"/>
    <x v="1"/>
    <x v="1"/>
    <x v="1"/>
    <x v="0"/>
    <x v="20"/>
    <x v="1"/>
    <x v="1"/>
    <x v="1"/>
    <x v="385"/>
    <s v="NEGOCIOS"/>
    <x v="2"/>
  </r>
  <r>
    <x v="55"/>
    <x v="70"/>
    <x v="2"/>
    <x v="2"/>
    <x v="0"/>
    <x v="21"/>
    <x v="32"/>
    <x v="36"/>
    <x v="1382"/>
    <x v="0"/>
    <s v="NEGOCIOS"/>
    <x v="2"/>
  </r>
  <r>
    <x v="55"/>
    <x v="144"/>
    <x v="2"/>
    <x v="2"/>
    <x v="0"/>
    <x v="21"/>
    <x v="32"/>
    <x v="162"/>
    <x v="1383"/>
    <x v="0"/>
    <s v="NEGOCIOS"/>
    <x v="2"/>
  </r>
  <r>
    <x v="55"/>
    <x v="108"/>
    <x v="3"/>
    <x v="3"/>
    <x v="0"/>
    <x v="21"/>
    <x v="32"/>
    <x v="63"/>
    <x v="1384"/>
    <x v="0"/>
    <s v="NEGOCIOS"/>
    <x v="2"/>
  </r>
  <r>
    <x v="55"/>
    <x v="135"/>
    <x v="3"/>
    <x v="3"/>
    <x v="0"/>
    <x v="21"/>
    <x v="32"/>
    <x v="149"/>
    <x v="1156"/>
    <x v="0"/>
    <s v="NEGOCIOS"/>
    <x v="2"/>
  </r>
  <r>
    <x v="55"/>
    <x v="68"/>
    <x v="4"/>
    <x v="4"/>
    <x v="0"/>
    <x v="21"/>
    <x v="32"/>
    <x v="222"/>
    <x v="1385"/>
    <x v="0"/>
    <s v="NEGOCIOS"/>
    <x v="2"/>
  </r>
  <r>
    <x v="55"/>
    <x v="115"/>
    <x v="5"/>
    <x v="5"/>
    <x v="0"/>
    <x v="21"/>
    <x v="32"/>
    <x v="213"/>
    <x v="1386"/>
    <x v="0"/>
    <s v="NEGOCIOS"/>
    <x v="2"/>
  </r>
  <r>
    <x v="55"/>
    <x v="1"/>
    <x v="1"/>
    <x v="1"/>
    <x v="0"/>
    <x v="21"/>
    <x v="1"/>
    <x v="1"/>
    <x v="1"/>
    <x v="386"/>
    <s v="NEGOCIOS"/>
    <x v="2"/>
  </r>
  <r>
    <x v="55"/>
    <x v="1"/>
    <x v="1"/>
    <x v="1"/>
    <x v="0"/>
    <x v="23"/>
    <x v="1"/>
    <x v="1"/>
    <x v="1"/>
    <x v="387"/>
    <s v="NEGOCIOS"/>
    <x v="2"/>
  </r>
  <r>
    <x v="55"/>
    <x v="144"/>
    <x v="2"/>
    <x v="2"/>
    <x v="0"/>
    <x v="3"/>
    <x v="32"/>
    <x v="162"/>
    <x v="1387"/>
    <x v="0"/>
    <s v="NEGOCIOS"/>
    <x v="2"/>
  </r>
  <r>
    <x v="55"/>
    <x v="113"/>
    <x v="6"/>
    <x v="6"/>
    <x v="0"/>
    <x v="3"/>
    <x v="32"/>
    <x v="89"/>
    <x v="1"/>
    <x v="262"/>
    <s v="NEGOCIOS"/>
    <x v="2"/>
  </r>
  <r>
    <x v="55"/>
    <x v="96"/>
    <x v="6"/>
    <x v="6"/>
    <x v="0"/>
    <x v="3"/>
    <x v="33"/>
    <x v="165"/>
    <x v="1203"/>
    <x v="0"/>
    <s v="NEGOCIOS"/>
    <x v="2"/>
  </r>
  <r>
    <x v="55"/>
    <x v="4"/>
    <x v="4"/>
    <x v="4"/>
    <x v="0"/>
    <x v="3"/>
    <x v="33"/>
    <x v="199"/>
    <x v="815"/>
    <x v="0"/>
    <s v="NEGOCIOS"/>
    <x v="2"/>
  </r>
  <r>
    <x v="55"/>
    <x v="1"/>
    <x v="1"/>
    <x v="1"/>
    <x v="0"/>
    <x v="3"/>
    <x v="1"/>
    <x v="1"/>
    <x v="1"/>
    <x v="388"/>
    <s v="NEGOCIOS"/>
    <x v="2"/>
  </r>
  <r>
    <x v="55"/>
    <x v="30"/>
    <x v="4"/>
    <x v="4"/>
    <x v="0"/>
    <x v="24"/>
    <x v="33"/>
    <x v="159"/>
    <x v="814"/>
    <x v="0"/>
    <s v="NEGOCIOS"/>
    <x v="2"/>
  </r>
  <r>
    <x v="55"/>
    <x v="142"/>
    <x v="0"/>
    <x v="0"/>
    <x v="0"/>
    <x v="24"/>
    <x v="33"/>
    <x v="119"/>
    <x v="736"/>
    <x v="0"/>
    <s v="NEGOCIOS"/>
    <x v="2"/>
  </r>
  <r>
    <x v="55"/>
    <x v="1"/>
    <x v="1"/>
    <x v="1"/>
    <x v="0"/>
    <x v="24"/>
    <x v="1"/>
    <x v="1"/>
    <x v="1"/>
    <x v="389"/>
    <s v="NEGOCIOS"/>
    <x v="2"/>
  </r>
  <r>
    <x v="55"/>
    <x v="85"/>
    <x v="2"/>
    <x v="2"/>
    <x v="0"/>
    <x v="4"/>
    <x v="33"/>
    <x v="161"/>
    <x v="815"/>
    <x v="0"/>
    <s v="NEGOCIOS"/>
    <x v="2"/>
  </r>
  <r>
    <x v="55"/>
    <x v="107"/>
    <x v="2"/>
    <x v="2"/>
    <x v="0"/>
    <x v="4"/>
    <x v="33"/>
    <x v="158"/>
    <x v="736"/>
    <x v="0"/>
    <s v="NEGOCIOS"/>
    <x v="2"/>
  </r>
  <r>
    <x v="55"/>
    <x v="26"/>
    <x v="3"/>
    <x v="3"/>
    <x v="0"/>
    <x v="4"/>
    <x v="33"/>
    <x v="115"/>
    <x v="735"/>
    <x v="0"/>
    <s v="NEGOCIOS"/>
    <x v="2"/>
  </r>
  <r>
    <x v="55"/>
    <x v="108"/>
    <x v="3"/>
    <x v="3"/>
    <x v="0"/>
    <x v="4"/>
    <x v="33"/>
    <x v="63"/>
    <x v="736"/>
    <x v="0"/>
    <s v="NEGOCIOS"/>
    <x v="2"/>
  </r>
  <r>
    <x v="55"/>
    <x v="1"/>
    <x v="1"/>
    <x v="1"/>
    <x v="0"/>
    <x v="4"/>
    <x v="1"/>
    <x v="1"/>
    <x v="1"/>
    <x v="390"/>
    <s v="NEGOCIOS"/>
    <x v="2"/>
  </r>
  <r>
    <x v="55"/>
    <x v="63"/>
    <x v="5"/>
    <x v="5"/>
    <x v="0"/>
    <x v="5"/>
    <x v="33"/>
    <x v="111"/>
    <x v="1388"/>
    <x v="0"/>
    <s v="NEGOCIOS"/>
    <x v="2"/>
  </r>
  <r>
    <x v="55"/>
    <x v="1"/>
    <x v="1"/>
    <x v="1"/>
    <x v="0"/>
    <x v="5"/>
    <x v="1"/>
    <x v="1"/>
    <x v="1"/>
    <x v="391"/>
    <s v="NEGOCIOS"/>
    <x v="2"/>
  </r>
  <r>
    <x v="55"/>
    <x v="118"/>
    <x v="2"/>
    <x v="2"/>
    <x v="0"/>
    <x v="6"/>
    <x v="33"/>
    <x v="69"/>
    <x v="1389"/>
    <x v="0"/>
    <s v="NEGOCIOS"/>
    <x v="2"/>
  </r>
  <r>
    <x v="55"/>
    <x v="86"/>
    <x v="6"/>
    <x v="6"/>
    <x v="0"/>
    <x v="6"/>
    <x v="32"/>
    <x v="224"/>
    <x v="1390"/>
    <x v="0"/>
    <s v="NEGOCIOS"/>
    <x v="2"/>
  </r>
  <r>
    <x v="55"/>
    <x v="11"/>
    <x v="6"/>
    <x v="6"/>
    <x v="0"/>
    <x v="6"/>
    <x v="33"/>
    <x v="91"/>
    <x v="765"/>
    <x v="0"/>
    <s v="NEGOCIOS"/>
    <x v="2"/>
  </r>
  <r>
    <x v="55"/>
    <x v="23"/>
    <x v="3"/>
    <x v="3"/>
    <x v="0"/>
    <x v="6"/>
    <x v="32"/>
    <x v="221"/>
    <x v="1391"/>
    <x v="0"/>
    <s v="NEGOCIOS"/>
    <x v="2"/>
  </r>
  <r>
    <x v="55"/>
    <x v="23"/>
    <x v="3"/>
    <x v="3"/>
    <x v="0"/>
    <x v="6"/>
    <x v="33"/>
    <x v="221"/>
    <x v="1392"/>
    <x v="0"/>
    <s v="NEGOCIOS"/>
    <x v="2"/>
  </r>
  <r>
    <x v="55"/>
    <x v="30"/>
    <x v="4"/>
    <x v="4"/>
    <x v="0"/>
    <x v="6"/>
    <x v="33"/>
    <x v="159"/>
    <x v="1393"/>
    <x v="0"/>
    <s v="NEGOCIOS"/>
    <x v="2"/>
  </r>
  <r>
    <x v="55"/>
    <x v="31"/>
    <x v="4"/>
    <x v="4"/>
    <x v="0"/>
    <x v="6"/>
    <x v="32"/>
    <x v="72"/>
    <x v="1394"/>
    <x v="0"/>
    <s v="NEGOCIOS"/>
    <x v="2"/>
  </r>
  <r>
    <x v="55"/>
    <x v="31"/>
    <x v="4"/>
    <x v="4"/>
    <x v="0"/>
    <x v="6"/>
    <x v="33"/>
    <x v="72"/>
    <x v="1395"/>
    <x v="0"/>
    <s v="NEGOCIOS"/>
    <x v="2"/>
  </r>
  <r>
    <x v="55"/>
    <x v="51"/>
    <x v="4"/>
    <x v="4"/>
    <x v="0"/>
    <x v="6"/>
    <x v="33"/>
    <x v="34"/>
    <x v="1396"/>
    <x v="0"/>
    <s v="NEGOCIOS"/>
    <x v="2"/>
  </r>
  <r>
    <x v="55"/>
    <x v="90"/>
    <x v="0"/>
    <x v="0"/>
    <x v="0"/>
    <x v="6"/>
    <x v="33"/>
    <x v="79"/>
    <x v="146"/>
    <x v="0"/>
    <s v="NEGOCIOS"/>
    <x v="2"/>
  </r>
  <r>
    <x v="55"/>
    <x v="159"/>
    <x v="0"/>
    <x v="0"/>
    <x v="0"/>
    <x v="6"/>
    <x v="32"/>
    <x v="177"/>
    <x v="891"/>
    <x v="0"/>
    <s v="NEGOCIOS"/>
    <x v="2"/>
  </r>
  <r>
    <x v="55"/>
    <x v="159"/>
    <x v="0"/>
    <x v="0"/>
    <x v="0"/>
    <x v="6"/>
    <x v="32"/>
    <x v="177"/>
    <x v="1"/>
    <x v="392"/>
    <s v="NEGOCIOS"/>
    <x v="2"/>
  </r>
  <r>
    <x v="55"/>
    <x v="160"/>
    <x v="0"/>
    <x v="0"/>
    <x v="0"/>
    <x v="6"/>
    <x v="32"/>
    <x v="179"/>
    <x v="911"/>
    <x v="0"/>
    <s v="NEGOCIOS"/>
    <x v="2"/>
  </r>
  <r>
    <x v="55"/>
    <x v="92"/>
    <x v="0"/>
    <x v="0"/>
    <x v="0"/>
    <x v="6"/>
    <x v="33"/>
    <x v="109"/>
    <x v="874"/>
    <x v="0"/>
    <s v="NEGOCIOS"/>
    <x v="2"/>
  </r>
  <r>
    <x v="55"/>
    <x v="117"/>
    <x v="0"/>
    <x v="0"/>
    <x v="0"/>
    <x v="6"/>
    <x v="33"/>
    <x v="65"/>
    <x v="874"/>
    <x v="0"/>
    <s v="NEGOCIOS"/>
    <x v="2"/>
  </r>
  <r>
    <x v="55"/>
    <x v="142"/>
    <x v="0"/>
    <x v="0"/>
    <x v="0"/>
    <x v="6"/>
    <x v="33"/>
    <x v="119"/>
    <x v="759"/>
    <x v="0"/>
    <s v="NEGOCIOS"/>
    <x v="2"/>
  </r>
  <r>
    <x v="55"/>
    <x v="136"/>
    <x v="0"/>
    <x v="0"/>
    <x v="0"/>
    <x v="6"/>
    <x v="33"/>
    <x v="100"/>
    <x v="759"/>
    <x v="0"/>
    <s v="NEGOCIOS"/>
    <x v="2"/>
  </r>
  <r>
    <x v="55"/>
    <x v="122"/>
    <x v="0"/>
    <x v="0"/>
    <x v="0"/>
    <x v="6"/>
    <x v="33"/>
    <x v="181"/>
    <x v="1397"/>
    <x v="0"/>
    <s v="NEGOCIOS"/>
    <x v="2"/>
  </r>
  <r>
    <x v="55"/>
    <x v="166"/>
    <x v="0"/>
    <x v="0"/>
    <x v="0"/>
    <x v="6"/>
    <x v="33"/>
    <x v="217"/>
    <x v="1182"/>
    <x v="0"/>
    <s v="NEGOCIOS"/>
    <x v="2"/>
  </r>
  <r>
    <x v="55"/>
    <x v="115"/>
    <x v="5"/>
    <x v="5"/>
    <x v="0"/>
    <x v="6"/>
    <x v="32"/>
    <x v="213"/>
    <x v="1236"/>
    <x v="0"/>
    <s v="NEGOCIOS"/>
    <x v="2"/>
  </r>
  <r>
    <x v="55"/>
    <x v="97"/>
    <x v="5"/>
    <x v="5"/>
    <x v="0"/>
    <x v="6"/>
    <x v="33"/>
    <x v="183"/>
    <x v="1398"/>
    <x v="0"/>
    <s v="NEGOCIOS"/>
    <x v="2"/>
  </r>
  <r>
    <x v="55"/>
    <x v="54"/>
    <x v="5"/>
    <x v="5"/>
    <x v="0"/>
    <x v="6"/>
    <x v="33"/>
    <x v="246"/>
    <x v="1399"/>
    <x v="0"/>
    <s v="NEGOCIOS"/>
    <x v="2"/>
  </r>
  <r>
    <x v="55"/>
    <x v="124"/>
    <x v="5"/>
    <x v="5"/>
    <x v="0"/>
    <x v="6"/>
    <x v="33"/>
    <x v="206"/>
    <x v="874"/>
    <x v="0"/>
    <s v="NEGOCIOS"/>
    <x v="2"/>
  </r>
  <r>
    <x v="55"/>
    <x v="41"/>
    <x v="1"/>
    <x v="1"/>
    <x v="0"/>
    <x v="6"/>
    <x v="33"/>
    <x v="113"/>
    <x v="1400"/>
    <x v="0"/>
    <s v="NEGOCIOS"/>
    <x v="2"/>
  </r>
  <r>
    <x v="55"/>
    <x v="41"/>
    <x v="1"/>
    <x v="1"/>
    <x v="0"/>
    <x v="6"/>
    <x v="32"/>
    <x v="113"/>
    <x v="1401"/>
    <x v="0"/>
    <s v="NEGOCIOS"/>
    <x v="2"/>
  </r>
  <r>
    <x v="55"/>
    <x v="22"/>
    <x v="1"/>
    <x v="1"/>
    <x v="0"/>
    <x v="6"/>
    <x v="32"/>
    <x v="211"/>
    <x v="1402"/>
    <x v="0"/>
    <s v="NEGOCIOS"/>
    <x v="2"/>
  </r>
  <r>
    <x v="55"/>
    <x v="98"/>
    <x v="1"/>
    <x v="1"/>
    <x v="0"/>
    <x v="6"/>
    <x v="32"/>
    <x v="198"/>
    <x v="1403"/>
    <x v="0"/>
    <s v="NEGOCIOS"/>
    <x v="2"/>
  </r>
  <r>
    <x v="55"/>
    <x v="1"/>
    <x v="1"/>
    <x v="1"/>
    <x v="0"/>
    <x v="6"/>
    <x v="1"/>
    <x v="1"/>
    <x v="1"/>
    <x v="393"/>
    <s v="NEGOCIOS"/>
    <x v="2"/>
  </r>
  <r>
    <x v="55"/>
    <x v="23"/>
    <x v="3"/>
    <x v="3"/>
    <x v="0"/>
    <x v="7"/>
    <x v="32"/>
    <x v="221"/>
    <x v="1404"/>
    <x v="0"/>
    <s v="NEGOCIOS"/>
    <x v="2"/>
  </r>
  <r>
    <x v="55"/>
    <x v="50"/>
    <x v="4"/>
    <x v="4"/>
    <x v="0"/>
    <x v="7"/>
    <x v="32"/>
    <x v="77"/>
    <x v="1331"/>
    <x v="0"/>
    <s v="NEGOCIOS"/>
    <x v="2"/>
  </r>
  <r>
    <x v="55"/>
    <x v="159"/>
    <x v="0"/>
    <x v="0"/>
    <x v="0"/>
    <x v="7"/>
    <x v="32"/>
    <x v="177"/>
    <x v="1405"/>
    <x v="0"/>
    <s v="NEGOCIOS"/>
    <x v="2"/>
  </r>
  <r>
    <x v="55"/>
    <x v="1"/>
    <x v="1"/>
    <x v="1"/>
    <x v="0"/>
    <x v="7"/>
    <x v="1"/>
    <x v="1"/>
    <x v="1"/>
    <x v="394"/>
    <s v="NEGOCIOS"/>
    <x v="2"/>
  </r>
  <r>
    <x v="55"/>
    <x v="20"/>
    <x v="5"/>
    <x v="5"/>
    <x v="0"/>
    <x v="35"/>
    <x v="33"/>
    <x v="45"/>
    <x v="1406"/>
    <x v="0"/>
    <s v="NEGOCIOS"/>
    <x v="2"/>
  </r>
  <r>
    <x v="55"/>
    <x v="1"/>
    <x v="1"/>
    <x v="1"/>
    <x v="0"/>
    <x v="35"/>
    <x v="1"/>
    <x v="1"/>
    <x v="1"/>
    <x v="395"/>
    <s v="NEGOCIOS"/>
    <x v="2"/>
  </r>
  <r>
    <x v="55"/>
    <x v="156"/>
    <x v="4"/>
    <x v="4"/>
    <x v="0"/>
    <x v="8"/>
    <x v="33"/>
    <x v="146"/>
    <x v="1407"/>
    <x v="0"/>
    <s v="NEGOCIOS"/>
    <x v="2"/>
  </r>
  <r>
    <x v="55"/>
    <x v="100"/>
    <x v="0"/>
    <x v="0"/>
    <x v="0"/>
    <x v="8"/>
    <x v="33"/>
    <x v="73"/>
    <x v="1408"/>
    <x v="0"/>
    <s v="NEGOCIOS"/>
    <x v="2"/>
  </r>
  <r>
    <x v="55"/>
    <x v="45"/>
    <x v="0"/>
    <x v="0"/>
    <x v="0"/>
    <x v="8"/>
    <x v="33"/>
    <x v="180"/>
    <x v="1409"/>
    <x v="0"/>
    <s v="NEGOCIOS"/>
    <x v="2"/>
  </r>
  <r>
    <x v="55"/>
    <x v="136"/>
    <x v="0"/>
    <x v="0"/>
    <x v="0"/>
    <x v="8"/>
    <x v="33"/>
    <x v="100"/>
    <x v="1410"/>
    <x v="0"/>
    <s v="NEGOCIOS"/>
    <x v="2"/>
  </r>
  <r>
    <x v="55"/>
    <x v="115"/>
    <x v="5"/>
    <x v="5"/>
    <x v="0"/>
    <x v="8"/>
    <x v="33"/>
    <x v="213"/>
    <x v="1411"/>
    <x v="0"/>
    <s v="NEGOCIOS"/>
    <x v="2"/>
  </r>
  <r>
    <x v="55"/>
    <x v="155"/>
    <x v="1"/>
    <x v="1"/>
    <x v="0"/>
    <x v="8"/>
    <x v="33"/>
    <x v="145"/>
    <x v="1412"/>
    <x v="0"/>
    <s v="NEGOCIOS"/>
    <x v="2"/>
  </r>
  <r>
    <x v="55"/>
    <x v="22"/>
    <x v="1"/>
    <x v="1"/>
    <x v="0"/>
    <x v="8"/>
    <x v="33"/>
    <x v="211"/>
    <x v="1413"/>
    <x v="0"/>
    <s v="NEGOCIOS"/>
    <x v="2"/>
  </r>
  <r>
    <x v="55"/>
    <x v="98"/>
    <x v="1"/>
    <x v="1"/>
    <x v="0"/>
    <x v="8"/>
    <x v="33"/>
    <x v="198"/>
    <x v="1414"/>
    <x v="0"/>
    <s v="NEGOCIOS"/>
    <x v="2"/>
  </r>
  <r>
    <x v="55"/>
    <x v="1"/>
    <x v="1"/>
    <x v="1"/>
    <x v="0"/>
    <x v="8"/>
    <x v="1"/>
    <x v="1"/>
    <x v="1"/>
    <x v="396"/>
    <s v="NEGOCIOS"/>
    <x v="2"/>
  </r>
  <r>
    <x v="55"/>
    <x v="106"/>
    <x v="2"/>
    <x v="2"/>
    <x v="0"/>
    <x v="9"/>
    <x v="33"/>
    <x v="223"/>
    <x v="1212"/>
    <x v="0"/>
    <s v="NEGOCIOS"/>
    <x v="2"/>
  </r>
  <r>
    <x v="55"/>
    <x v="85"/>
    <x v="2"/>
    <x v="2"/>
    <x v="0"/>
    <x v="9"/>
    <x v="32"/>
    <x v="161"/>
    <x v="1415"/>
    <x v="0"/>
    <s v="NEGOCIOS"/>
    <x v="2"/>
  </r>
  <r>
    <x v="55"/>
    <x v="85"/>
    <x v="2"/>
    <x v="2"/>
    <x v="0"/>
    <x v="9"/>
    <x v="33"/>
    <x v="161"/>
    <x v="1416"/>
    <x v="0"/>
    <s v="NEGOCIOS"/>
    <x v="2"/>
  </r>
  <r>
    <x v="55"/>
    <x v="112"/>
    <x v="2"/>
    <x v="2"/>
    <x v="0"/>
    <x v="9"/>
    <x v="33"/>
    <x v="209"/>
    <x v="1417"/>
    <x v="0"/>
    <s v="NEGOCIOS"/>
    <x v="2"/>
  </r>
  <r>
    <x v="55"/>
    <x v="144"/>
    <x v="2"/>
    <x v="2"/>
    <x v="0"/>
    <x v="9"/>
    <x v="33"/>
    <x v="162"/>
    <x v="1418"/>
    <x v="0"/>
    <s v="NEGOCIOS"/>
    <x v="2"/>
  </r>
  <r>
    <x v="55"/>
    <x v="87"/>
    <x v="6"/>
    <x v="6"/>
    <x v="0"/>
    <x v="9"/>
    <x v="33"/>
    <x v="189"/>
    <x v="1419"/>
    <x v="0"/>
    <s v="NEGOCIOS"/>
    <x v="2"/>
  </r>
  <r>
    <x v="55"/>
    <x v="71"/>
    <x v="6"/>
    <x v="6"/>
    <x v="0"/>
    <x v="9"/>
    <x v="32"/>
    <x v="37"/>
    <x v="1420"/>
    <x v="0"/>
    <s v="NEGOCIOS"/>
    <x v="2"/>
  </r>
  <r>
    <x v="55"/>
    <x v="15"/>
    <x v="6"/>
    <x v="6"/>
    <x v="0"/>
    <x v="9"/>
    <x v="33"/>
    <x v="216"/>
    <x v="1421"/>
    <x v="0"/>
    <s v="NEGOCIOS"/>
    <x v="2"/>
  </r>
  <r>
    <x v="55"/>
    <x v="113"/>
    <x v="6"/>
    <x v="6"/>
    <x v="0"/>
    <x v="9"/>
    <x v="33"/>
    <x v="89"/>
    <x v="1422"/>
    <x v="0"/>
    <s v="NEGOCIOS"/>
    <x v="2"/>
  </r>
  <r>
    <x v="55"/>
    <x v="134"/>
    <x v="6"/>
    <x v="6"/>
    <x v="0"/>
    <x v="9"/>
    <x v="33"/>
    <x v="226"/>
    <x v="1423"/>
    <x v="0"/>
    <s v="NEGOCIOS"/>
    <x v="2"/>
  </r>
  <r>
    <x v="55"/>
    <x v="147"/>
    <x v="6"/>
    <x v="6"/>
    <x v="0"/>
    <x v="9"/>
    <x v="33"/>
    <x v="132"/>
    <x v="1424"/>
    <x v="0"/>
    <s v="NEGOCIOS"/>
    <x v="2"/>
  </r>
  <r>
    <x v="55"/>
    <x v="21"/>
    <x v="6"/>
    <x v="6"/>
    <x v="0"/>
    <x v="9"/>
    <x v="32"/>
    <x v="70"/>
    <x v="1425"/>
    <x v="0"/>
    <s v="NEGOCIOS"/>
    <x v="2"/>
  </r>
  <r>
    <x v="55"/>
    <x v="96"/>
    <x v="6"/>
    <x v="6"/>
    <x v="0"/>
    <x v="9"/>
    <x v="33"/>
    <x v="165"/>
    <x v="1426"/>
    <x v="0"/>
    <s v="NEGOCIOS"/>
    <x v="2"/>
  </r>
  <r>
    <x v="55"/>
    <x v="23"/>
    <x v="3"/>
    <x v="3"/>
    <x v="0"/>
    <x v="9"/>
    <x v="32"/>
    <x v="221"/>
    <x v="1427"/>
    <x v="0"/>
    <s v="NEGOCIOS"/>
    <x v="2"/>
  </r>
  <r>
    <x v="55"/>
    <x v="27"/>
    <x v="3"/>
    <x v="3"/>
    <x v="0"/>
    <x v="9"/>
    <x v="33"/>
    <x v="43"/>
    <x v="1428"/>
    <x v="0"/>
    <s v="NEGOCIOS"/>
    <x v="2"/>
  </r>
  <r>
    <x v="55"/>
    <x v="135"/>
    <x v="3"/>
    <x v="3"/>
    <x v="0"/>
    <x v="9"/>
    <x v="32"/>
    <x v="149"/>
    <x v="1429"/>
    <x v="0"/>
    <s v="NEGOCIOS"/>
    <x v="2"/>
  </r>
  <r>
    <x v="55"/>
    <x v="79"/>
    <x v="3"/>
    <x v="3"/>
    <x v="0"/>
    <x v="9"/>
    <x v="33"/>
    <x v="142"/>
    <x v="1430"/>
    <x v="0"/>
    <s v="NEGOCIOS"/>
    <x v="2"/>
  </r>
  <r>
    <x v="55"/>
    <x v="104"/>
    <x v="3"/>
    <x v="3"/>
    <x v="0"/>
    <x v="9"/>
    <x v="33"/>
    <x v="196"/>
    <x v="1431"/>
    <x v="0"/>
    <s v="NEGOCIOS"/>
    <x v="2"/>
  </r>
  <r>
    <x v="55"/>
    <x v="131"/>
    <x v="3"/>
    <x v="3"/>
    <x v="0"/>
    <x v="9"/>
    <x v="33"/>
    <x v="163"/>
    <x v="1432"/>
    <x v="0"/>
    <s v="NEGOCIOS"/>
    <x v="2"/>
  </r>
  <r>
    <x v="55"/>
    <x v="156"/>
    <x v="4"/>
    <x v="4"/>
    <x v="0"/>
    <x v="9"/>
    <x v="32"/>
    <x v="146"/>
    <x v="1433"/>
    <x v="0"/>
    <s v="NEGOCIOS"/>
    <x v="2"/>
  </r>
  <r>
    <x v="55"/>
    <x v="50"/>
    <x v="4"/>
    <x v="4"/>
    <x v="0"/>
    <x v="9"/>
    <x v="32"/>
    <x v="77"/>
    <x v="1434"/>
    <x v="0"/>
    <s v="NEGOCIOS"/>
    <x v="2"/>
  </r>
  <r>
    <x v="55"/>
    <x v="154"/>
    <x v="4"/>
    <x v="4"/>
    <x v="0"/>
    <x v="9"/>
    <x v="33"/>
    <x v="143"/>
    <x v="1435"/>
    <x v="0"/>
    <s v="NEGOCIOS"/>
    <x v="2"/>
  </r>
  <r>
    <x v="55"/>
    <x v="90"/>
    <x v="0"/>
    <x v="0"/>
    <x v="0"/>
    <x v="9"/>
    <x v="33"/>
    <x v="79"/>
    <x v="1436"/>
    <x v="0"/>
    <s v="NEGOCIOS"/>
    <x v="2"/>
  </r>
  <r>
    <x v="55"/>
    <x v="52"/>
    <x v="0"/>
    <x v="0"/>
    <x v="0"/>
    <x v="9"/>
    <x v="33"/>
    <x v="107"/>
    <x v="1437"/>
    <x v="0"/>
    <s v="NEGOCIOS"/>
    <x v="2"/>
  </r>
  <r>
    <x v="55"/>
    <x v="53"/>
    <x v="0"/>
    <x v="0"/>
    <x v="0"/>
    <x v="9"/>
    <x v="33"/>
    <x v="144"/>
    <x v="1212"/>
    <x v="0"/>
    <s v="NEGOCIOS"/>
    <x v="2"/>
  </r>
  <r>
    <x v="55"/>
    <x v="115"/>
    <x v="5"/>
    <x v="5"/>
    <x v="0"/>
    <x v="9"/>
    <x v="32"/>
    <x v="213"/>
    <x v="1438"/>
    <x v="0"/>
    <s v="NEGOCIOS"/>
    <x v="2"/>
  </r>
  <r>
    <x v="55"/>
    <x v="97"/>
    <x v="5"/>
    <x v="5"/>
    <x v="0"/>
    <x v="9"/>
    <x v="33"/>
    <x v="183"/>
    <x v="464"/>
    <x v="0"/>
    <s v="NEGOCIOS"/>
    <x v="2"/>
  </r>
  <r>
    <x v="55"/>
    <x v="1"/>
    <x v="1"/>
    <x v="1"/>
    <x v="0"/>
    <x v="9"/>
    <x v="1"/>
    <x v="1"/>
    <x v="1"/>
    <x v="397"/>
    <s v="NEGOCIOS"/>
    <x v="2"/>
  </r>
  <r>
    <x v="55"/>
    <x v="70"/>
    <x v="2"/>
    <x v="2"/>
    <x v="0"/>
    <x v="26"/>
    <x v="33"/>
    <x v="36"/>
    <x v="1439"/>
    <x v="0"/>
    <s v="NEGOCIOS"/>
    <x v="2"/>
  </r>
  <r>
    <x v="55"/>
    <x v="135"/>
    <x v="3"/>
    <x v="3"/>
    <x v="0"/>
    <x v="26"/>
    <x v="33"/>
    <x v="149"/>
    <x v="1283"/>
    <x v="0"/>
    <s v="NEGOCIOS"/>
    <x v="2"/>
  </r>
  <r>
    <x v="55"/>
    <x v="89"/>
    <x v="4"/>
    <x v="4"/>
    <x v="0"/>
    <x v="26"/>
    <x v="32"/>
    <x v="154"/>
    <x v="1440"/>
    <x v="0"/>
    <s v="NEGOCIOS"/>
    <x v="2"/>
  </r>
  <r>
    <x v="55"/>
    <x v="52"/>
    <x v="0"/>
    <x v="0"/>
    <x v="0"/>
    <x v="26"/>
    <x v="33"/>
    <x v="107"/>
    <x v="1441"/>
    <x v="0"/>
    <s v="NEGOCIOS"/>
    <x v="2"/>
  </r>
  <r>
    <x v="55"/>
    <x v="160"/>
    <x v="0"/>
    <x v="0"/>
    <x v="0"/>
    <x v="26"/>
    <x v="32"/>
    <x v="179"/>
    <x v="1442"/>
    <x v="0"/>
    <s v="NEGOCIOS"/>
    <x v="2"/>
  </r>
  <r>
    <x v="55"/>
    <x v="34"/>
    <x v="5"/>
    <x v="5"/>
    <x v="0"/>
    <x v="26"/>
    <x v="32"/>
    <x v="184"/>
    <x v="1443"/>
    <x v="0"/>
    <s v="NEGOCIOS"/>
    <x v="2"/>
  </r>
  <r>
    <x v="55"/>
    <x v="1"/>
    <x v="1"/>
    <x v="1"/>
    <x v="0"/>
    <x v="26"/>
    <x v="1"/>
    <x v="1"/>
    <x v="1"/>
    <x v="398"/>
    <s v="NEGOCIOS"/>
    <x v="2"/>
  </r>
  <r>
    <x v="55"/>
    <x v="47"/>
    <x v="2"/>
    <x v="2"/>
    <x v="0"/>
    <x v="10"/>
    <x v="33"/>
    <x v="68"/>
    <x v="1444"/>
    <x v="0"/>
    <s v="NEGOCIOS"/>
    <x v="2"/>
  </r>
  <r>
    <x v="55"/>
    <x v="146"/>
    <x v="6"/>
    <x v="6"/>
    <x v="0"/>
    <x v="10"/>
    <x v="33"/>
    <x v="172"/>
    <x v="1445"/>
    <x v="0"/>
    <s v="NEGOCIOS"/>
    <x v="2"/>
  </r>
  <r>
    <x v="55"/>
    <x v="169"/>
    <x v="6"/>
    <x v="6"/>
    <x v="0"/>
    <x v="10"/>
    <x v="33"/>
    <x v="249"/>
    <x v="1446"/>
    <x v="0"/>
    <s v="NEGOCIOS"/>
    <x v="2"/>
  </r>
  <r>
    <x v="55"/>
    <x v="29"/>
    <x v="4"/>
    <x v="4"/>
    <x v="0"/>
    <x v="10"/>
    <x v="33"/>
    <x v="248"/>
    <x v="1447"/>
    <x v="0"/>
    <s v="NEGOCIOS"/>
    <x v="2"/>
  </r>
  <r>
    <x v="55"/>
    <x v="136"/>
    <x v="0"/>
    <x v="0"/>
    <x v="0"/>
    <x v="10"/>
    <x v="33"/>
    <x v="100"/>
    <x v="736"/>
    <x v="0"/>
    <s v="NEGOCIOS"/>
    <x v="2"/>
  </r>
  <r>
    <x v="55"/>
    <x v="32"/>
    <x v="5"/>
    <x v="5"/>
    <x v="0"/>
    <x v="10"/>
    <x v="33"/>
    <x v="81"/>
    <x v="1448"/>
    <x v="0"/>
    <s v="NEGOCIOS"/>
    <x v="2"/>
  </r>
  <r>
    <x v="55"/>
    <x v="153"/>
    <x v="5"/>
    <x v="5"/>
    <x v="0"/>
    <x v="10"/>
    <x v="33"/>
    <x v="157"/>
    <x v="736"/>
    <x v="0"/>
    <s v="NEGOCIOS"/>
    <x v="2"/>
  </r>
  <r>
    <x v="55"/>
    <x v="150"/>
    <x v="5"/>
    <x v="5"/>
    <x v="0"/>
    <x v="10"/>
    <x v="33"/>
    <x v="214"/>
    <x v="1449"/>
    <x v="0"/>
    <s v="NEGOCIOS"/>
    <x v="2"/>
  </r>
  <r>
    <x v="55"/>
    <x v="127"/>
    <x v="1"/>
    <x v="1"/>
    <x v="0"/>
    <x v="10"/>
    <x v="33"/>
    <x v="85"/>
    <x v="1450"/>
    <x v="0"/>
    <s v="NEGOCIOS"/>
    <x v="2"/>
  </r>
  <r>
    <x v="55"/>
    <x v="33"/>
    <x v="1"/>
    <x v="1"/>
    <x v="0"/>
    <x v="10"/>
    <x v="33"/>
    <x v="241"/>
    <x v="736"/>
    <x v="0"/>
    <s v="NEGOCIOS"/>
    <x v="2"/>
  </r>
  <r>
    <x v="55"/>
    <x v="1"/>
    <x v="1"/>
    <x v="1"/>
    <x v="0"/>
    <x v="10"/>
    <x v="1"/>
    <x v="1"/>
    <x v="1"/>
    <x v="399"/>
    <s v="NEGOCIOS"/>
    <x v="2"/>
  </r>
  <r>
    <x v="55"/>
    <x v="70"/>
    <x v="2"/>
    <x v="2"/>
    <x v="0"/>
    <x v="11"/>
    <x v="32"/>
    <x v="36"/>
    <x v="1451"/>
    <x v="0"/>
    <s v="NEGOCIOS"/>
    <x v="2"/>
  </r>
  <r>
    <x v="55"/>
    <x v="70"/>
    <x v="2"/>
    <x v="2"/>
    <x v="0"/>
    <x v="11"/>
    <x v="33"/>
    <x v="36"/>
    <x v="1452"/>
    <x v="0"/>
    <s v="NEGOCIOS"/>
    <x v="2"/>
  </r>
  <r>
    <x v="55"/>
    <x v="47"/>
    <x v="2"/>
    <x v="2"/>
    <x v="0"/>
    <x v="11"/>
    <x v="33"/>
    <x v="68"/>
    <x v="1115"/>
    <x v="0"/>
    <s v="NEGOCIOS"/>
    <x v="2"/>
  </r>
  <r>
    <x v="55"/>
    <x v="111"/>
    <x v="2"/>
    <x v="2"/>
    <x v="0"/>
    <x v="11"/>
    <x v="33"/>
    <x v="75"/>
    <x v="1453"/>
    <x v="0"/>
    <s v="NEGOCIOS"/>
    <x v="2"/>
  </r>
  <r>
    <x v="55"/>
    <x v="86"/>
    <x v="6"/>
    <x v="6"/>
    <x v="0"/>
    <x v="11"/>
    <x v="32"/>
    <x v="224"/>
    <x v="1454"/>
    <x v="0"/>
    <s v="NEGOCIOS"/>
    <x v="2"/>
  </r>
  <r>
    <x v="55"/>
    <x v="134"/>
    <x v="6"/>
    <x v="6"/>
    <x v="0"/>
    <x v="11"/>
    <x v="33"/>
    <x v="226"/>
    <x v="1455"/>
    <x v="0"/>
    <s v="NEGOCIOS"/>
    <x v="2"/>
  </r>
  <r>
    <x v="55"/>
    <x v="21"/>
    <x v="6"/>
    <x v="6"/>
    <x v="0"/>
    <x v="11"/>
    <x v="32"/>
    <x v="70"/>
    <x v="1456"/>
    <x v="0"/>
    <s v="NEGOCIOS"/>
    <x v="2"/>
  </r>
  <r>
    <x v="55"/>
    <x v="19"/>
    <x v="3"/>
    <x v="3"/>
    <x v="0"/>
    <x v="11"/>
    <x v="33"/>
    <x v="62"/>
    <x v="1457"/>
    <x v="0"/>
    <s v="NEGOCIOS"/>
    <x v="2"/>
  </r>
  <r>
    <x v="55"/>
    <x v="18"/>
    <x v="3"/>
    <x v="3"/>
    <x v="0"/>
    <x v="11"/>
    <x v="33"/>
    <x v="219"/>
    <x v="1458"/>
    <x v="0"/>
    <s v="NEGOCIOS"/>
    <x v="2"/>
  </r>
  <r>
    <x v="55"/>
    <x v="79"/>
    <x v="3"/>
    <x v="3"/>
    <x v="0"/>
    <x v="11"/>
    <x v="33"/>
    <x v="142"/>
    <x v="1459"/>
    <x v="0"/>
    <s v="NEGOCIOS"/>
    <x v="2"/>
  </r>
  <r>
    <x v="55"/>
    <x v="28"/>
    <x v="3"/>
    <x v="3"/>
    <x v="0"/>
    <x v="11"/>
    <x v="33"/>
    <x v="245"/>
    <x v="1460"/>
    <x v="0"/>
    <s v="NEGOCIOS"/>
    <x v="2"/>
  </r>
  <r>
    <x v="55"/>
    <x v="99"/>
    <x v="3"/>
    <x v="3"/>
    <x v="0"/>
    <x v="11"/>
    <x v="33"/>
    <x v="116"/>
    <x v="1459"/>
    <x v="0"/>
    <s v="NEGOCIOS"/>
    <x v="2"/>
  </r>
  <r>
    <x v="55"/>
    <x v="68"/>
    <x v="4"/>
    <x v="4"/>
    <x v="0"/>
    <x v="11"/>
    <x v="32"/>
    <x v="222"/>
    <x v="1461"/>
    <x v="0"/>
    <s v="NEGOCIOS"/>
    <x v="2"/>
  </r>
  <r>
    <x v="55"/>
    <x v="162"/>
    <x v="4"/>
    <x v="4"/>
    <x v="0"/>
    <x v="11"/>
    <x v="33"/>
    <x v="192"/>
    <x v="1462"/>
    <x v="0"/>
    <s v="NEGOCIOS"/>
    <x v="2"/>
  </r>
  <r>
    <x v="55"/>
    <x v="160"/>
    <x v="0"/>
    <x v="0"/>
    <x v="0"/>
    <x v="11"/>
    <x v="32"/>
    <x v="179"/>
    <x v="1463"/>
    <x v="0"/>
    <s v="NEGOCIOS"/>
    <x v="2"/>
  </r>
  <r>
    <x v="55"/>
    <x v="142"/>
    <x v="0"/>
    <x v="0"/>
    <x v="0"/>
    <x v="11"/>
    <x v="33"/>
    <x v="119"/>
    <x v="1464"/>
    <x v="0"/>
    <s v="NEGOCIOS"/>
    <x v="2"/>
  </r>
  <r>
    <x v="55"/>
    <x v="72"/>
    <x v="5"/>
    <x v="5"/>
    <x v="0"/>
    <x v="11"/>
    <x v="33"/>
    <x v="38"/>
    <x v="1465"/>
    <x v="0"/>
    <s v="NEGOCIOS"/>
    <x v="2"/>
  </r>
  <r>
    <x v="55"/>
    <x v="125"/>
    <x v="5"/>
    <x v="5"/>
    <x v="0"/>
    <x v="11"/>
    <x v="32"/>
    <x v="82"/>
    <x v="769"/>
    <x v="0"/>
    <s v="NEGOCIOS"/>
    <x v="2"/>
  </r>
  <r>
    <x v="55"/>
    <x v="124"/>
    <x v="5"/>
    <x v="5"/>
    <x v="0"/>
    <x v="11"/>
    <x v="32"/>
    <x v="206"/>
    <x v="1041"/>
    <x v="0"/>
    <s v="NEGOCIOS"/>
    <x v="2"/>
  </r>
  <r>
    <x v="55"/>
    <x v="124"/>
    <x v="5"/>
    <x v="5"/>
    <x v="0"/>
    <x v="11"/>
    <x v="33"/>
    <x v="206"/>
    <x v="1466"/>
    <x v="0"/>
    <s v="NEGOCIOS"/>
    <x v="2"/>
  </r>
  <r>
    <x v="55"/>
    <x v="40"/>
    <x v="1"/>
    <x v="1"/>
    <x v="0"/>
    <x v="11"/>
    <x v="32"/>
    <x v="125"/>
    <x v="1467"/>
    <x v="0"/>
    <s v="NEGOCIOS"/>
    <x v="2"/>
  </r>
  <r>
    <x v="55"/>
    <x v="73"/>
    <x v="1"/>
    <x v="1"/>
    <x v="0"/>
    <x v="11"/>
    <x v="33"/>
    <x v="39"/>
    <x v="1468"/>
    <x v="0"/>
    <s v="NEGOCIOS"/>
    <x v="2"/>
  </r>
  <r>
    <x v="55"/>
    <x v="55"/>
    <x v="1"/>
    <x v="1"/>
    <x v="0"/>
    <x v="11"/>
    <x v="33"/>
    <x v="188"/>
    <x v="1469"/>
    <x v="0"/>
    <s v="NEGOCIOS"/>
    <x v="2"/>
  </r>
  <r>
    <x v="55"/>
    <x v="98"/>
    <x v="1"/>
    <x v="1"/>
    <x v="0"/>
    <x v="11"/>
    <x v="33"/>
    <x v="198"/>
    <x v="1470"/>
    <x v="0"/>
    <s v="NEGOCIOS"/>
    <x v="2"/>
  </r>
  <r>
    <x v="55"/>
    <x v="1"/>
    <x v="1"/>
    <x v="1"/>
    <x v="0"/>
    <x v="11"/>
    <x v="1"/>
    <x v="1"/>
    <x v="1"/>
    <x v="400"/>
    <s v="NEGOCIOS"/>
    <x v="2"/>
  </r>
  <r>
    <x v="55"/>
    <x v="1"/>
    <x v="1"/>
    <x v="1"/>
    <x v="0"/>
    <x v="36"/>
    <x v="1"/>
    <x v="1"/>
    <x v="1"/>
    <x v="401"/>
    <s v="NEGOCIOS"/>
    <x v="2"/>
  </r>
  <r>
    <x v="55"/>
    <x v="118"/>
    <x v="2"/>
    <x v="2"/>
    <x v="0"/>
    <x v="12"/>
    <x v="33"/>
    <x v="69"/>
    <x v="1471"/>
    <x v="0"/>
    <s v="NEGOCIOS"/>
    <x v="2"/>
  </r>
  <r>
    <x v="55"/>
    <x v="147"/>
    <x v="6"/>
    <x v="6"/>
    <x v="0"/>
    <x v="12"/>
    <x v="33"/>
    <x v="132"/>
    <x v="1472"/>
    <x v="0"/>
    <s v="NEGOCIOS"/>
    <x v="2"/>
  </r>
  <r>
    <x v="55"/>
    <x v="4"/>
    <x v="4"/>
    <x v="4"/>
    <x v="0"/>
    <x v="12"/>
    <x v="33"/>
    <x v="199"/>
    <x v="1473"/>
    <x v="0"/>
    <s v="NEGOCIOS"/>
    <x v="2"/>
  </r>
  <r>
    <x v="55"/>
    <x v="159"/>
    <x v="0"/>
    <x v="0"/>
    <x v="0"/>
    <x v="12"/>
    <x v="33"/>
    <x v="177"/>
    <x v="1474"/>
    <x v="0"/>
    <s v="NEGOCIOS"/>
    <x v="2"/>
  </r>
  <r>
    <x v="55"/>
    <x v="115"/>
    <x v="5"/>
    <x v="5"/>
    <x v="0"/>
    <x v="12"/>
    <x v="33"/>
    <x v="213"/>
    <x v="1475"/>
    <x v="0"/>
    <s v="NEGOCIOS"/>
    <x v="2"/>
  </r>
  <r>
    <x v="55"/>
    <x v="145"/>
    <x v="5"/>
    <x v="5"/>
    <x v="0"/>
    <x v="12"/>
    <x v="33"/>
    <x v="124"/>
    <x v="1476"/>
    <x v="0"/>
    <s v="NEGOCIOS"/>
    <x v="2"/>
  </r>
  <r>
    <x v="55"/>
    <x v="55"/>
    <x v="1"/>
    <x v="1"/>
    <x v="0"/>
    <x v="12"/>
    <x v="33"/>
    <x v="188"/>
    <x v="1477"/>
    <x v="0"/>
    <s v="NEGOCIOS"/>
    <x v="2"/>
  </r>
  <r>
    <x v="55"/>
    <x v="1"/>
    <x v="1"/>
    <x v="1"/>
    <x v="0"/>
    <x v="12"/>
    <x v="1"/>
    <x v="1"/>
    <x v="1"/>
    <x v="402"/>
    <s v="NEGOCIOS"/>
    <x v="2"/>
  </r>
  <r>
    <x v="55"/>
    <x v="77"/>
    <x v="5"/>
    <x v="5"/>
    <x v="0"/>
    <x v="13"/>
    <x v="32"/>
    <x v="156"/>
    <x v="1478"/>
    <x v="0"/>
    <s v="NEGOCIOS"/>
    <x v="2"/>
  </r>
  <r>
    <x v="55"/>
    <x v="22"/>
    <x v="1"/>
    <x v="1"/>
    <x v="0"/>
    <x v="13"/>
    <x v="32"/>
    <x v="211"/>
    <x v="1479"/>
    <x v="0"/>
    <s v="NEGOCIOS"/>
    <x v="2"/>
  </r>
  <r>
    <x v="55"/>
    <x v="1"/>
    <x v="1"/>
    <x v="1"/>
    <x v="0"/>
    <x v="13"/>
    <x v="1"/>
    <x v="1"/>
    <x v="1"/>
    <x v="403"/>
    <s v="NEGOCIOS"/>
    <x v="2"/>
  </r>
  <r>
    <x v="55"/>
    <x v="85"/>
    <x v="2"/>
    <x v="2"/>
    <x v="0"/>
    <x v="14"/>
    <x v="33"/>
    <x v="161"/>
    <x v="736"/>
    <x v="0"/>
    <s v="NEGOCIOS"/>
    <x v="2"/>
  </r>
  <r>
    <x v="55"/>
    <x v="144"/>
    <x v="2"/>
    <x v="2"/>
    <x v="0"/>
    <x v="14"/>
    <x v="32"/>
    <x v="162"/>
    <x v="1403"/>
    <x v="0"/>
    <s v="NEGOCIOS"/>
    <x v="2"/>
  </r>
  <r>
    <x v="55"/>
    <x v="163"/>
    <x v="6"/>
    <x v="6"/>
    <x v="0"/>
    <x v="14"/>
    <x v="33"/>
    <x v="195"/>
    <x v="911"/>
    <x v="0"/>
    <s v="NEGOCIOS"/>
    <x v="2"/>
  </r>
  <r>
    <x v="55"/>
    <x v="74"/>
    <x v="3"/>
    <x v="3"/>
    <x v="0"/>
    <x v="14"/>
    <x v="33"/>
    <x v="151"/>
    <x v="735"/>
    <x v="0"/>
    <s v="NEGOCIOS"/>
    <x v="2"/>
  </r>
  <r>
    <x v="55"/>
    <x v="26"/>
    <x v="3"/>
    <x v="3"/>
    <x v="0"/>
    <x v="14"/>
    <x v="33"/>
    <x v="115"/>
    <x v="736"/>
    <x v="0"/>
    <s v="NEGOCIOS"/>
    <x v="2"/>
  </r>
  <r>
    <x v="55"/>
    <x v="23"/>
    <x v="3"/>
    <x v="3"/>
    <x v="0"/>
    <x v="14"/>
    <x v="32"/>
    <x v="221"/>
    <x v="1480"/>
    <x v="0"/>
    <s v="NEGOCIOS"/>
    <x v="2"/>
  </r>
  <r>
    <x v="55"/>
    <x v="108"/>
    <x v="3"/>
    <x v="3"/>
    <x v="0"/>
    <x v="14"/>
    <x v="33"/>
    <x v="63"/>
    <x v="911"/>
    <x v="0"/>
    <s v="NEGOCIOS"/>
    <x v="2"/>
  </r>
  <r>
    <x v="55"/>
    <x v="61"/>
    <x v="3"/>
    <x v="3"/>
    <x v="0"/>
    <x v="14"/>
    <x v="33"/>
    <x v="126"/>
    <x v="911"/>
    <x v="0"/>
    <s v="NEGOCIOS"/>
    <x v="2"/>
  </r>
  <r>
    <x v="55"/>
    <x v="81"/>
    <x v="4"/>
    <x v="4"/>
    <x v="0"/>
    <x v="14"/>
    <x v="33"/>
    <x v="175"/>
    <x v="736"/>
    <x v="0"/>
    <s v="NEGOCIOS"/>
    <x v="2"/>
  </r>
  <r>
    <x v="55"/>
    <x v="132"/>
    <x v="4"/>
    <x v="4"/>
    <x v="0"/>
    <x v="14"/>
    <x v="33"/>
    <x v="95"/>
    <x v="735"/>
    <x v="0"/>
    <s v="NEGOCIOS"/>
    <x v="2"/>
  </r>
  <r>
    <x v="55"/>
    <x v="162"/>
    <x v="4"/>
    <x v="4"/>
    <x v="0"/>
    <x v="14"/>
    <x v="33"/>
    <x v="192"/>
    <x v="815"/>
    <x v="0"/>
    <s v="NEGOCIOS"/>
    <x v="2"/>
  </r>
  <r>
    <x v="55"/>
    <x v="50"/>
    <x v="4"/>
    <x v="4"/>
    <x v="0"/>
    <x v="14"/>
    <x v="33"/>
    <x v="77"/>
    <x v="146"/>
    <x v="0"/>
    <s v="NEGOCIOS"/>
    <x v="2"/>
  </r>
  <r>
    <x v="55"/>
    <x v="38"/>
    <x v="4"/>
    <x v="4"/>
    <x v="0"/>
    <x v="14"/>
    <x v="33"/>
    <x v="106"/>
    <x v="816"/>
    <x v="0"/>
    <s v="NEGOCIOS"/>
    <x v="2"/>
  </r>
  <r>
    <x v="55"/>
    <x v="90"/>
    <x v="0"/>
    <x v="0"/>
    <x v="0"/>
    <x v="14"/>
    <x v="33"/>
    <x v="79"/>
    <x v="735"/>
    <x v="0"/>
    <s v="NEGOCIOS"/>
    <x v="2"/>
  </r>
  <r>
    <x v="55"/>
    <x v="121"/>
    <x v="0"/>
    <x v="0"/>
    <x v="0"/>
    <x v="14"/>
    <x v="33"/>
    <x v="80"/>
    <x v="736"/>
    <x v="0"/>
    <s v="NEGOCIOS"/>
    <x v="2"/>
  </r>
  <r>
    <x v="55"/>
    <x v="92"/>
    <x v="0"/>
    <x v="0"/>
    <x v="0"/>
    <x v="14"/>
    <x v="33"/>
    <x v="109"/>
    <x v="736"/>
    <x v="0"/>
    <s v="NEGOCIOS"/>
    <x v="2"/>
  </r>
  <r>
    <x v="55"/>
    <x v="136"/>
    <x v="0"/>
    <x v="0"/>
    <x v="0"/>
    <x v="14"/>
    <x v="33"/>
    <x v="100"/>
    <x v="736"/>
    <x v="0"/>
    <s v="NEGOCIOS"/>
    <x v="2"/>
  </r>
  <r>
    <x v="55"/>
    <x v="115"/>
    <x v="5"/>
    <x v="5"/>
    <x v="0"/>
    <x v="14"/>
    <x v="33"/>
    <x v="213"/>
    <x v="736"/>
    <x v="0"/>
    <s v="NEGOCIOS"/>
    <x v="2"/>
  </r>
  <r>
    <x v="55"/>
    <x v="72"/>
    <x v="5"/>
    <x v="5"/>
    <x v="0"/>
    <x v="14"/>
    <x v="33"/>
    <x v="38"/>
    <x v="1481"/>
    <x v="0"/>
    <s v="NEGOCIOS"/>
    <x v="2"/>
  </r>
  <r>
    <x v="55"/>
    <x v="1"/>
    <x v="1"/>
    <x v="1"/>
    <x v="0"/>
    <x v="14"/>
    <x v="1"/>
    <x v="1"/>
    <x v="1"/>
    <x v="404"/>
    <s v="NEGOCIOS"/>
    <x v="2"/>
  </r>
  <r>
    <x v="55"/>
    <x v="150"/>
    <x v="5"/>
    <x v="5"/>
    <x v="0"/>
    <x v="15"/>
    <x v="33"/>
    <x v="214"/>
    <x v="1482"/>
    <x v="0"/>
    <s v="NEGOCIOS"/>
    <x v="2"/>
  </r>
  <r>
    <x v="55"/>
    <x v="1"/>
    <x v="1"/>
    <x v="1"/>
    <x v="0"/>
    <x v="15"/>
    <x v="1"/>
    <x v="1"/>
    <x v="1"/>
    <x v="405"/>
    <s v="NEGOCIOS"/>
    <x v="2"/>
  </r>
  <r>
    <x v="55"/>
    <x v="167"/>
    <x v="6"/>
    <x v="6"/>
    <x v="0"/>
    <x v="27"/>
    <x v="33"/>
    <x v="218"/>
    <x v="1483"/>
    <x v="0"/>
    <s v="NEGOCIOS"/>
    <x v="2"/>
  </r>
  <r>
    <x v="55"/>
    <x v="114"/>
    <x v="3"/>
    <x v="3"/>
    <x v="0"/>
    <x v="27"/>
    <x v="33"/>
    <x v="76"/>
    <x v="1137"/>
    <x v="0"/>
    <s v="NEGOCIOS"/>
    <x v="2"/>
  </r>
  <r>
    <x v="55"/>
    <x v="1"/>
    <x v="1"/>
    <x v="1"/>
    <x v="0"/>
    <x v="27"/>
    <x v="1"/>
    <x v="1"/>
    <x v="1"/>
    <x v="406"/>
    <s v="NEGOCIOS"/>
    <x v="2"/>
  </r>
  <r>
    <x v="55"/>
    <x v="36"/>
    <x v="6"/>
    <x v="6"/>
    <x v="0"/>
    <x v="28"/>
    <x v="33"/>
    <x v="94"/>
    <x v="1484"/>
    <x v="0"/>
    <s v="NEGOCIOS"/>
    <x v="2"/>
  </r>
  <r>
    <x v="55"/>
    <x v="159"/>
    <x v="0"/>
    <x v="0"/>
    <x v="0"/>
    <x v="28"/>
    <x v="32"/>
    <x v="177"/>
    <x v="1"/>
    <x v="407"/>
    <s v="NEGOCIOS"/>
    <x v="2"/>
  </r>
  <r>
    <x v="55"/>
    <x v="46"/>
    <x v="0"/>
    <x v="0"/>
    <x v="0"/>
    <x v="28"/>
    <x v="32"/>
    <x v="155"/>
    <x v="1485"/>
    <x v="0"/>
    <s v="NEGOCIOS"/>
    <x v="2"/>
  </r>
  <r>
    <x v="55"/>
    <x v="92"/>
    <x v="0"/>
    <x v="0"/>
    <x v="0"/>
    <x v="28"/>
    <x v="33"/>
    <x v="109"/>
    <x v="849"/>
    <x v="0"/>
    <s v="NEGOCIOS"/>
    <x v="2"/>
  </r>
  <r>
    <x v="55"/>
    <x v="20"/>
    <x v="5"/>
    <x v="5"/>
    <x v="0"/>
    <x v="28"/>
    <x v="33"/>
    <x v="45"/>
    <x v="1486"/>
    <x v="0"/>
    <s v="NEGOCIOS"/>
    <x v="2"/>
  </r>
  <r>
    <x v="55"/>
    <x v="1"/>
    <x v="1"/>
    <x v="1"/>
    <x v="0"/>
    <x v="28"/>
    <x v="1"/>
    <x v="1"/>
    <x v="1"/>
    <x v="408"/>
    <s v="NEGOCIOS"/>
    <x v="2"/>
  </r>
  <r>
    <x v="55"/>
    <x v="112"/>
    <x v="2"/>
    <x v="2"/>
    <x v="0"/>
    <x v="29"/>
    <x v="33"/>
    <x v="209"/>
    <x v="1487"/>
    <x v="0"/>
    <s v="NEGOCIOS"/>
    <x v="2"/>
  </r>
  <r>
    <x v="55"/>
    <x v="36"/>
    <x v="6"/>
    <x v="6"/>
    <x v="0"/>
    <x v="29"/>
    <x v="33"/>
    <x v="94"/>
    <x v="1488"/>
    <x v="0"/>
    <s v="NEGOCIOS"/>
    <x v="2"/>
  </r>
  <r>
    <x v="55"/>
    <x v="71"/>
    <x v="6"/>
    <x v="6"/>
    <x v="0"/>
    <x v="29"/>
    <x v="33"/>
    <x v="37"/>
    <x v="1489"/>
    <x v="0"/>
    <s v="NEGOCIOS"/>
    <x v="2"/>
  </r>
  <r>
    <x v="55"/>
    <x v="15"/>
    <x v="6"/>
    <x v="6"/>
    <x v="0"/>
    <x v="29"/>
    <x v="33"/>
    <x v="216"/>
    <x v="1490"/>
    <x v="0"/>
    <s v="NEGOCIOS"/>
    <x v="2"/>
  </r>
  <r>
    <x v="55"/>
    <x v="27"/>
    <x v="3"/>
    <x v="3"/>
    <x v="0"/>
    <x v="29"/>
    <x v="33"/>
    <x v="43"/>
    <x v="1491"/>
    <x v="0"/>
    <s v="NEGOCIOS"/>
    <x v="2"/>
  </r>
  <r>
    <x v="55"/>
    <x v="18"/>
    <x v="3"/>
    <x v="3"/>
    <x v="0"/>
    <x v="29"/>
    <x v="33"/>
    <x v="219"/>
    <x v="1492"/>
    <x v="0"/>
    <s v="NEGOCIOS"/>
    <x v="2"/>
  </r>
  <r>
    <x v="55"/>
    <x v="44"/>
    <x v="3"/>
    <x v="3"/>
    <x v="0"/>
    <x v="29"/>
    <x v="33"/>
    <x v="191"/>
    <x v="876"/>
    <x v="0"/>
    <s v="NEGOCIOS"/>
    <x v="2"/>
  </r>
  <r>
    <x v="55"/>
    <x v="132"/>
    <x v="4"/>
    <x v="4"/>
    <x v="0"/>
    <x v="29"/>
    <x v="33"/>
    <x v="95"/>
    <x v="1493"/>
    <x v="0"/>
    <s v="NEGOCIOS"/>
    <x v="2"/>
  </r>
  <r>
    <x v="55"/>
    <x v="154"/>
    <x v="4"/>
    <x v="4"/>
    <x v="0"/>
    <x v="29"/>
    <x v="33"/>
    <x v="143"/>
    <x v="1494"/>
    <x v="0"/>
    <s v="NEGOCIOS"/>
    <x v="2"/>
  </r>
  <r>
    <x v="55"/>
    <x v="77"/>
    <x v="5"/>
    <x v="5"/>
    <x v="0"/>
    <x v="29"/>
    <x v="33"/>
    <x v="156"/>
    <x v="1495"/>
    <x v="0"/>
    <s v="NEGOCIOS"/>
    <x v="2"/>
  </r>
  <r>
    <x v="55"/>
    <x v="98"/>
    <x v="1"/>
    <x v="1"/>
    <x v="0"/>
    <x v="29"/>
    <x v="32"/>
    <x v="198"/>
    <x v="1496"/>
    <x v="0"/>
    <s v="NEGOCIOS"/>
    <x v="2"/>
  </r>
  <r>
    <x v="55"/>
    <x v="1"/>
    <x v="1"/>
    <x v="1"/>
    <x v="0"/>
    <x v="29"/>
    <x v="1"/>
    <x v="1"/>
    <x v="1"/>
    <x v="409"/>
    <s v="NEGOCIOS"/>
    <x v="2"/>
  </r>
  <r>
    <x v="55"/>
    <x v="84"/>
    <x v="2"/>
    <x v="2"/>
    <x v="0"/>
    <x v="16"/>
    <x v="33"/>
    <x v="203"/>
    <x v="1497"/>
    <x v="0"/>
    <s v="NEGOCIOS"/>
    <x v="2"/>
  </r>
  <r>
    <x v="55"/>
    <x v="142"/>
    <x v="0"/>
    <x v="0"/>
    <x v="0"/>
    <x v="16"/>
    <x v="33"/>
    <x v="119"/>
    <x v="1498"/>
    <x v="0"/>
    <s v="NEGOCIOS"/>
    <x v="2"/>
  </r>
  <r>
    <x v="55"/>
    <x v="1"/>
    <x v="1"/>
    <x v="1"/>
    <x v="0"/>
    <x v="16"/>
    <x v="1"/>
    <x v="1"/>
    <x v="1"/>
    <x v="410"/>
    <s v="NEGOCIOS"/>
    <x v="2"/>
  </r>
  <r>
    <x v="55"/>
    <x v="133"/>
    <x v="2"/>
    <x v="2"/>
    <x v="0"/>
    <x v="30"/>
    <x v="32"/>
    <x v="254"/>
    <x v="1499"/>
    <x v="0"/>
    <s v="NEGOCIOS"/>
    <x v="2"/>
  </r>
  <r>
    <x v="55"/>
    <x v="86"/>
    <x v="6"/>
    <x v="6"/>
    <x v="0"/>
    <x v="30"/>
    <x v="32"/>
    <x v="224"/>
    <x v="1500"/>
    <x v="0"/>
    <s v="NEGOCIOS"/>
    <x v="2"/>
  </r>
  <r>
    <x v="55"/>
    <x v="108"/>
    <x v="3"/>
    <x v="3"/>
    <x v="0"/>
    <x v="30"/>
    <x v="32"/>
    <x v="63"/>
    <x v="1501"/>
    <x v="0"/>
    <s v="NEGOCIOS"/>
    <x v="2"/>
  </r>
  <r>
    <x v="55"/>
    <x v="68"/>
    <x v="4"/>
    <x v="4"/>
    <x v="0"/>
    <x v="30"/>
    <x v="32"/>
    <x v="222"/>
    <x v="1502"/>
    <x v="0"/>
    <s v="NEGOCIOS"/>
    <x v="2"/>
  </r>
  <r>
    <x v="55"/>
    <x v="50"/>
    <x v="4"/>
    <x v="4"/>
    <x v="0"/>
    <x v="30"/>
    <x v="32"/>
    <x v="77"/>
    <x v="1215"/>
    <x v="0"/>
    <s v="NEGOCIOS"/>
    <x v="2"/>
  </r>
  <r>
    <x v="55"/>
    <x v="115"/>
    <x v="5"/>
    <x v="5"/>
    <x v="0"/>
    <x v="30"/>
    <x v="32"/>
    <x v="213"/>
    <x v="1503"/>
    <x v="0"/>
    <s v="NEGOCIOS"/>
    <x v="2"/>
  </r>
  <r>
    <x v="55"/>
    <x v="153"/>
    <x v="5"/>
    <x v="5"/>
    <x v="0"/>
    <x v="30"/>
    <x v="32"/>
    <x v="157"/>
    <x v="1504"/>
    <x v="0"/>
    <s v="NEGOCIOS"/>
    <x v="2"/>
  </r>
  <r>
    <x v="55"/>
    <x v="40"/>
    <x v="1"/>
    <x v="1"/>
    <x v="0"/>
    <x v="30"/>
    <x v="32"/>
    <x v="125"/>
    <x v="1505"/>
    <x v="0"/>
    <s v="NEGOCIOS"/>
    <x v="2"/>
  </r>
  <r>
    <x v="55"/>
    <x v="1"/>
    <x v="1"/>
    <x v="1"/>
    <x v="0"/>
    <x v="30"/>
    <x v="1"/>
    <x v="1"/>
    <x v="1"/>
    <x v="411"/>
    <s v="NEGOCIOS"/>
    <x v="2"/>
  </r>
  <r>
    <x v="55"/>
    <x v="144"/>
    <x v="2"/>
    <x v="2"/>
    <x v="0"/>
    <x v="17"/>
    <x v="32"/>
    <x v="162"/>
    <x v="1506"/>
    <x v="0"/>
    <s v="NEGOCIOS"/>
    <x v="2"/>
  </r>
  <r>
    <x v="55"/>
    <x v="71"/>
    <x v="6"/>
    <x v="6"/>
    <x v="0"/>
    <x v="17"/>
    <x v="32"/>
    <x v="37"/>
    <x v="1507"/>
    <x v="0"/>
    <s v="NEGOCIOS"/>
    <x v="2"/>
  </r>
  <r>
    <x v="55"/>
    <x v="21"/>
    <x v="6"/>
    <x v="6"/>
    <x v="0"/>
    <x v="17"/>
    <x v="32"/>
    <x v="70"/>
    <x v="1508"/>
    <x v="0"/>
    <s v="NEGOCIOS"/>
    <x v="2"/>
  </r>
  <r>
    <x v="55"/>
    <x v="23"/>
    <x v="3"/>
    <x v="3"/>
    <x v="0"/>
    <x v="17"/>
    <x v="32"/>
    <x v="221"/>
    <x v="1509"/>
    <x v="0"/>
    <s v="NEGOCIOS"/>
    <x v="2"/>
  </r>
  <r>
    <x v="55"/>
    <x v="50"/>
    <x v="4"/>
    <x v="4"/>
    <x v="0"/>
    <x v="17"/>
    <x v="32"/>
    <x v="77"/>
    <x v="1510"/>
    <x v="0"/>
    <s v="NEGOCIOS"/>
    <x v="2"/>
  </r>
  <r>
    <x v="55"/>
    <x v="50"/>
    <x v="4"/>
    <x v="4"/>
    <x v="0"/>
    <x v="17"/>
    <x v="33"/>
    <x v="77"/>
    <x v="1511"/>
    <x v="0"/>
    <s v="NEGOCIOS"/>
    <x v="2"/>
  </r>
  <r>
    <x v="55"/>
    <x v="89"/>
    <x v="4"/>
    <x v="4"/>
    <x v="0"/>
    <x v="17"/>
    <x v="32"/>
    <x v="154"/>
    <x v="1512"/>
    <x v="0"/>
    <s v="NEGOCIOS"/>
    <x v="2"/>
  </r>
  <r>
    <x v="55"/>
    <x v="0"/>
    <x v="0"/>
    <x v="0"/>
    <x v="0"/>
    <x v="17"/>
    <x v="32"/>
    <x v="197"/>
    <x v="1513"/>
    <x v="0"/>
    <s v="NEGOCIOS"/>
    <x v="2"/>
  </r>
  <r>
    <x v="55"/>
    <x v="46"/>
    <x v="0"/>
    <x v="0"/>
    <x v="0"/>
    <x v="17"/>
    <x v="32"/>
    <x v="155"/>
    <x v="1514"/>
    <x v="0"/>
    <s v="NEGOCIOS"/>
    <x v="2"/>
  </r>
  <r>
    <x v="55"/>
    <x v="13"/>
    <x v="5"/>
    <x v="5"/>
    <x v="0"/>
    <x v="17"/>
    <x v="32"/>
    <x v="120"/>
    <x v="1515"/>
    <x v="0"/>
    <s v="NEGOCIOS"/>
    <x v="2"/>
  </r>
  <r>
    <x v="55"/>
    <x v="141"/>
    <x v="5"/>
    <x v="5"/>
    <x v="0"/>
    <x v="17"/>
    <x v="32"/>
    <x v="185"/>
    <x v="1516"/>
    <x v="0"/>
    <s v="NEGOCIOS"/>
    <x v="2"/>
  </r>
  <r>
    <x v="55"/>
    <x v="155"/>
    <x v="1"/>
    <x v="1"/>
    <x v="0"/>
    <x v="17"/>
    <x v="32"/>
    <x v="145"/>
    <x v="1517"/>
    <x v="0"/>
    <s v="NEGOCIOS"/>
    <x v="2"/>
  </r>
  <r>
    <x v="55"/>
    <x v="98"/>
    <x v="1"/>
    <x v="1"/>
    <x v="0"/>
    <x v="17"/>
    <x v="32"/>
    <x v="198"/>
    <x v="1518"/>
    <x v="0"/>
    <s v="NEGOCIOS"/>
    <x v="2"/>
  </r>
  <r>
    <x v="55"/>
    <x v="1"/>
    <x v="1"/>
    <x v="1"/>
    <x v="0"/>
    <x v="17"/>
    <x v="1"/>
    <x v="1"/>
    <x v="1"/>
    <x v="412"/>
    <s v="NEGOCIOS"/>
    <x v="2"/>
  </r>
  <r>
    <x v="55"/>
    <x v="1"/>
    <x v="1"/>
    <x v="1"/>
    <x v="0"/>
    <x v="31"/>
    <x v="1"/>
    <x v="1"/>
    <x v="1"/>
    <x v="413"/>
    <s v="NEGOCIOS"/>
    <x v="2"/>
  </r>
  <r>
    <x v="55"/>
    <x v="85"/>
    <x v="2"/>
    <x v="2"/>
    <x v="0"/>
    <x v="32"/>
    <x v="32"/>
    <x v="161"/>
    <x v="1519"/>
    <x v="0"/>
    <s v="NEGOCIOS"/>
    <x v="2"/>
  </r>
  <r>
    <x v="55"/>
    <x v="17"/>
    <x v="2"/>
    <x v="2"/>
    <x v="0"/>
    <x v="32"/>
    <x v="33"/>
    <x v="150"/>
    <x v="136"/>
    <x v="0"/>
    <s v="NEGOCIOS"/>
    <x v="2"/>
  </r>
  <r>
    <x v="55"/>
    <x v="102"/>
    <x v="6"/>
    <x v="6"/>
    <x v="0"/>
    <x v="32"/>
    <x v="32"/>
    <x v="141"/>
    <x v="1520"/>
    <x v="0"/>
    <s v="NEGOCIOS"/>
    <x v="2"/>
  </r>
  <r>
    <x v="55"/>
    <x v="21"/>
    <x v="6"/>
    <x v="6"/>
    <x v="0"/>
    <x v="32"/>
    <x v="32"/>
    <x v="70"/>
    <x v="1521"/>
    <x v="0"/>
    <s v="NEGOCIOS"/>
    <x v="2"/>
  </r>
  <r>
    <x v="55"/>
    <x v="23"/>
    <x v="3"/>
    <x v="3"/>
    <x v="0"/>
    <x v="32"/>
    <x v="32"/>
    <x v="221"/>
    <x v="1505"/>
    <x v="0"/>
    <s v="NEGOCIOS"/>
    <x v="2"/>
  </r>
  <r>
    <x v="55"/>
    <x v="99"/>
    <x v="3"/>
    <x v="3"/>
    <x v="0"/>
    <x v="32"/>
    <x v="33"/>
    <x v="116"/>
    <x v="1522"/>
    <x v="0"/>
    <s v="NEGOCIOS"/>
    <x v="2"/>
  </r>
  <r>
    <x v="55"/>
    <x v="1"/>
    <x v="1"/>
    <x v="1"/>
    <x v="0"/>
    <x v="32"/>
    <x v="1"/>
    <x v="1"/>
    <x v="1"/>
    <x v="414"/>
    <s v="NEGOCIOS"/>
    <x v="2"/>
  </r>
  <r>
    <x v="55"/>
    <x v="156"/>
    <x v="4"/>
    <x v="4"/>
    <x v="0"/>
    <x v="33"/>
    <x v="32"/>
    <x v="146"/>
    <x v="1523"/>
    <x v="0"/>
    <s v="NEGOCIOS"/>
    <x v="2"/>
  </r>
  <r>
    <x v="55"/>
    <x v="98"/>
    <x v="1"/>
    <x v="1"/>
    <x v="0"/>
    <x v="33"/>
    <x v="33"/>
    <x v="198"/>
    <x v="899"/>
    <x v="0"/>
    <s v="NEGOCIOS"/>
    <x v="2"/>
  </r>
  <r>
    <x v="55"/>
    <x v="1"/>
    <x v="1"/>
    <x v="1"/>
    <x v="0"/>
    <x v="33"/>
    <x v="1"/>
    <x v="1"/>
    <x v="1"/>
    <x v="415"/>
    <s v="NEGOCIOS"/>
    <x v="2"/>
  </r>
  <r>
    <x v="55"/>
    <x v="111"/>
    <x v="2"/>
    <x v="2"/>
    <x v="0"/>
    <x v="18"/>
    <x v="33"/>
    <x v="75"/>
    <x v="736"/>
    <x v="0"/>
    <s v="NEGOCIOS"/>
    <x v="2"/>
  </r>
  <r>
    <x v="55"/>
    <x v="60"/>
    <x v="3"/>
    <x v="3"/>
    <x v="0"/>
    <x v="18"/>
    <x v="33"/>
    <x v="57"/>
    <x v="585"/>
    <x v="0"/>
    <s v="NEGOCIOS"/>
    <x v="2"/>
  </r>
  <r>
    <x v="55"/>
    <x v="161"/>
    <x v="1"/>
    <x v="1"/>
    <x v="0"/>
    <x v="18"/>
    <x v="33"/>
    <x v="186"/>
    <x v="1524"/>
    <x v="0"/>
    <s v="NEGOCIOS"/>
    <x v="2"/>
  </r>
  <r>
    <x v="55"/>
    <x v="1"/>
    <x v="1"/>
    <x v="1"/>
    <x v="0"/>
    <x v="18"/>
    <x v="1"/>
    <x v="1"/>
    <x v="1"/>
    <x v="416"/>
    <s v="NEGOCIOS"/>
    <x v="2"/>
  </r>
  <r>
    <x v="56"/>
    <x v="160"/>
    <x v="0"/>
    <x v="0"/>
    <x v="0"/>
    <x v="2"/>
    <x v="32"/>
    <x v="179"/>
    <x v="1525"/>
    <x v="0"/>
    <s v="BOULEVARD EL DORADO"/>
    <x v="2"/>
  </r>
  <r>
    <x v="56"/>
    <x v="1"/>
    <x v="1"/>
    <x v="1"/>
    <x v="0"/>
    <x v="2"/>
    <x v="1"/>
    <x v="1"/>
    <x v="1"/>
    <x v="417"/>
    <s v="BOULEVARD EL DORADO"/>
    <x v="2"/>
  </r>
  <r>
    <x v="56"/>
    <x v="47"/>
    <x v="2"/>
    <x v="2"/>
    <x v="0"/>
    <x v="0"/>
    <x v="33"/>
    <x v="68"/>
    <x v="874"/>
    <x v="0"/>
    <s v="BOULEVARD EL DORADO"/>
    <x v="2"/>
  </r>
  <r>
    <x v="56"/>
    <x v="144"/>
    <x v="2"/>
    <x v="2"/>
    <x v="0"/>
    <x v="0"/>
    <x v="33"/>
    <x v="162"/>
    <x v="759"/>
    <x v="0"/>
    <s v="BOULEVARD EL DORADO"/>
    <x v="2"/>
  </r>
  <r>
    <x v="56"/>
    <x v="65"/>
    <x v="6"/>
    <x v="6"/>
    <x v="0"/>
    <x v="0"/>
    <x v="33"/>
    <x v="190"/>
    <x v="759"/>
    <x v="0"/>
    <s v="BOULEVARD EL DORADO"/>
    <x v="2"/>
  </r>
  <r>
    <x v="56"/>
    <x v="96"/>
    <x v="6"/>
    <x v="6"/>
    <x v="0"/>
    <x v="0"/>
    <x v="33"/>
    <x v="165"/>
    <x v="759"/>
    <x v="0"/>
    <s v="BOULEVARD EL DORADO"/>
    <x v="2"/>
  </r>
  <r>
    <x v="56"/>
    <x v="99"/>
    <x v="3"/>
    <x v="3"/>
    <x v="0"/>
    <x v="0"/>
    <x v="33"/>
    <x v="116"/>
    <x v="759"/>
    <x v="0"/>
    <s v="BOULEVARD EL DORADO"/>
    <x v="2"/>
  </r>
  <r>
    <x v="56"/>
    <x v="132"/>
    <x v="4"/>
    <x v="4"/>
    <x v="0"/>
    <x v="0"/>
    <x v="33"/>
    <x v="95"/>
    <x v="759"/>
    <x v="0"/>
    <s v="BOULEVARD EL DORADO"/>
    <x v="2"/>
  </r>
  <r>
    <x v="56"/>
    <x v="154"/>
    <x v="4"/>
    <x v="4"/>
    <x v="0"/>
    <x v="0"/>
    <x v="33"/>
    <x v="143"/>
    <x v="765"/>
    <x v="0"/>
    <s v="BOULEVARD EL DORADO"/>
    <x v="2"/>
  </r>
  <r>
    <x v="56"/>
    <x v="31"/>
    <x v="4"/>
    <x v="4"/>
    <x v="0"/>
    <x v="0"/>
    <x v="33"/>
    <x v="72"/>
    <x v="874"/>
    <x v="0"/>
    <s v="BOULEVARD EL DORADO"/>
    <x v="2"/>
  </r>
  <r>
    <x v="56"/>
    <x v="57"/>
    <x v="0"/>
    <x v="0"/>
    <x v="0"/>
    <x v="0"/>
    <x v="33"/>
    <x v="44"/>
    <x v="874"/>
    <x v="0"/>
    <s v="BOULEVARD EL DORADO"/>
    <x v="2"/>
  </r>
  <r>
    <x v="56"/>
    <x v="45"/>
    <x v="0"/>
    <x v="0"/>
    <x v="0"/>
    <x v="0"/>
    <x v="33"/>
    <x v="180"/>
    <x v="1182"/>
    <x v="0"/>
    <s v="BOULEVARD EL DORADO"/>
    <x v="2"/>
  </r>
  <r>
    <x v="56"/>
    <x v="92"/>
    <x v="0"/>
    <x v="0"/>
    <x v="0"/>
    <x v="0"/>
    <x v="33"/>
    <x v="109"/>
    <x v="874"/>
    <x v="0"/>
    <s v="BOULEVARD EL DORADO"/>
    <x v="2"/>
  </r>
  <r>
    <x v="56"/>
    <x v="136"/>
    <x v="0"/>
    <x v="0"/>
    <x v="0"/>
    <x v="0"/>
    <x v="33"/>
    <x v="100"/>
    <x v="146"/>
    <x v="0"/>
    <s v="BOULEVARD EL DORADO"/>
    <x v="2"/>
  </r>
  <r>
    <x v="56"/>
    <x v="97"/>
    <x v="5"/>
    <x v="5"/>
    <x v="0"/>
    <x v="0"/>
    <x v="33"/>
    <x v="183"/>
    <x v="1132"/>
    <x v="0"/>
    <s v="BOULEVARD EL DORADO"/>
    <x v="2"/>
  </r>
  <r>
    <x v="56"/>
    <x v="77"/>
    <x v="5"/>
    <x v="5"/>
    <x v="0"/>
    <x v="0"/>
    <x v="33"/>
    <x v="156"/>
    <x v="759"/>
    <x v="0"/>
    <s v="BOULEVARD EL DORADO"/>
    <x v="2"/>
  </r>
  <r>
    <x v="56"/>
    <x v="139"/>
    <x v="5"/>
    <x v="5"/>
    <x v="0"/>
    <x v="0"/>
    <x v="33"/>
    <x v="110"/>
    <x v="759"/>
    <x v="0"/>
    <s v="BOULEVARD EL DORADO"/>
    <x v="2"/>
  </r>
  <r>
    <x v="56"/>
    <x v="63"/>
    <x v="5"/>
    <x v="5"/>
    <x v="0"/>
    <x v="0"/>
    <x v="33"/>
    <x v="111"/>
    <x v="874"/>
    <x v="0"/>
    <s v="BOULEVARD EL DORADO"/>
    <x v="2"/>
  </r>
  <r>
    <x v="56"/>
    <x v="40"/>
    <x v="1"/>
    <x v="1"/>
    <x v="0"/>
    <x v="0"/>
    <x v="33"/>
    <x v="125"/>
    <x v="146"/>
    <x v="0"/>
    <s v="BOULEVARD EL DORADO"/>
    <x v="2"/>
  </r>
  <r>
    <x v="56"/>
    <x v="42"/>
    <x v="1"/>
    <x v="1"/>
    <x v="0"/>
    <x v="0"/>
    <x v="33"/>
    <x v="167"/>
    <x v="765"/>
    <x v="0"/>
    <s v="BOULEVARD EL DORADO"/>
    <x v="2"/>
  </r>
  <r>
    <x v="56"/>
    <x v="101"/>
    <x v="1"/>
    <x v="1"/>
    <x v="0"/>
    <x v="0"/>
    <x v="33"/>
    <x v="207"/>
    <x v="874"/>
    <x v="0"/>
    <s v="BOULEVARD EL DORADO"/>
    <x v="2"/>
  </r>
  <r>
    <x v="56"/>
    <x v="152"/>
    <x v="1"/>
    <x v="1"/>
    <x v="0"/>
    <x v="0"/>
    <x v="33"/>
    <x v="194"/>
    <x v="874"/>
    <x v="0"/>
    <s v="BOULEVARD EL DORADO"/>
    <x v="2"/>
  </r>
  <r>
    <x v="56"/>
    <x v="1"/>
    <x v="1"/>
    <x v="1"/>
    <x v="0"/>
    <x v="0"/>
    <x v="1"/>
    <x v="1"/>
    <x v="1"/>
    <x v="418"/>
    <s v="BOULEVARD EL DORADO"/>
    <x v="2"/>
  </r>
  <r>
    <x v="56"/>
    <x v="102"/>
    <x v="6"/>
    <x v="6"/>
    <x v="0"/>
    <x v="1"/>
    <x v="33"/>
    <x v="141"/>
    <x v="874"/>
    <x v="0"/>
    <s v="BOULEVARD EL DORADO"/>
    <x v="2"/>
  </r>
  <r>
    <x v="56"/>
    <x v="96"/>
    <x v="6"/>
    <x v="6"/>
    <x v="0"/>
    <x v="1"/>
    <x v="33"/>
    <x v="165"/>
    <x v="874"/>
    <x v="0"/>
    <s v="BOULEVARD EL DORADO"/>
    <x v="2"/>
  </r>
  <r>
    <x v="56"/>
    <x v="30"/>
    <x v="4"/>
    <x v="4"/>
    <x v="0"/>
    <x v="1"/>
    <x v="33"/>
    <x v="159"/>
    <x v="874"/>
    <x v="0"/>
    <s v="BOULEVARD EL DORADO"/>
    <x v="2"/>
  </r>
  <r>
    <x v="56"/>
    <x v="31"/>
    <x v="4"/>
    <x v="4"/>
    <x v="0"/>
    <x v="1"/>
    <x v="33"/>
    <x v="72"/>
    <x v="874"/>
    <x v="0"/>
    <s v="BOULEVARD EL DORADO"/>
    <x v="2"/>
  </r>
  <r>
    <x v="56"/>
    <x v="92"/>
    <x v="0"/>
    <x v="0"/>
    <x v="0"/>
    <x v="1"/>
    <x v="33"/>
    <x v="109"/>
    <x v="874"/>
    <x v="0"/>
    <s v="BOULEVARD EL DORADO"/>
    <x v="2"/>
  </r>
  <r>
    <x v="56"/>
    <x v="136"/>
    <x v="0"/>
    <x v="0"/>
    <x v="0"/>
    <x v="1"/>
    <x v="33"/>
    <x v="100"/>
    <x v="874"/>
    <x v="0"/>
    <s v="BOULEVARD EL DORADO"/>
    <x v="2"/>
  </r>
  <r>
    <x v="56"/>
    <x v="76"/>
    <x v="5"/>
    <x v="5"/>
    <x v="0"/>
    <x v="1"/>
    <x v="33"/>
    <x v="182"/>
    <x v="874"/>
    <x v="0"/>
    <s v="BOULEVARD EL DORADO"/>
    <x v="2"/>
  </r>
  <r>
    <x v="56"/>
    <x v="95"/>
    <x v="1"/>
    <x v="1"/>
    <x v="0"/>
    <x v="1"/>
    <x v="33"/>
    <x v="97"/>
    <x v="759"/>
    <x v="0"/>
    <s v="BOULEVARD EL DORADO"/>
    <x v="2"/>
  </r>
  <r>
    <x v="56"/>
    <x v="101"/>
    <x v="1"/>
    <x v="1"/>
    <x v="0"/>
    <x v="1"/>
    <x v="33"/>
    <x v="207"/>
    <x v="874"/>
    <x v="0"/>
    <s v="BOULEVARD EL DORADO"/>
    <x v="2"/>
  </r>
  <r>
    <x v="56"/>
    <x v="1"/>
    <x v="1"/>
    <x v="1"/>
    <x v="0"/>
    <x v="1"/>
    <x v="1"/>
    <x v="1"/>
    <x v="1"/>
    <x v="365"/>
    <s v="BOULEVARD EL DORADO"/>
    <x v="2"/>
  </r>
  <r>
    <x v="57"/>
    <x v="144"/>
    <x v="2"/>
    <x v="2"/>
    <x v="0"/>
    <x v="2"/>
    <x v="33"/>
    <x v="162"/>
    <x v="874"/>
    <x v="0"/>
    <s v="SAN SEBASTIAN"/>
    <x v="2"/>
  </r>
  <r>
    <x v="57"/>
    <x v="116"/>
    <x v="0"/>
    <x v="0"/>
    <x v="0"/>
    <x v="2"/>
    <x v="33"/>
    <x v="64"/>
    <x v="874"/>
    <x v="0"/>
    <s v="SAN SEBASTIAN"/>
    <x v="2"/>
  </r>
  <r>
    <x v="57"/>
    <x v="1"/>
    <x v="1"/>
    <x v="1"/>
    <x v="0"/>
    <x v="2"/>
    <x v="1"/>
    <x v="1"/>
    <x v="1"/>
    <x v="349"/>
    <s v="SAN SEBASTIAN"/>
    <x v="2"/>
  </r>
  <r>
    <x v="57"/>
    <x v="70"/>
    <x v="2"/>
    <x v="2"/>
    <x v="0"/>
    <x v="0"/>
    <x v="33"/>
    <x v="36"/>
    <x v="934"/>
    <x v="0"/>
    <s v="SAN SEBASTIAN"/>
    <x v="2"/>
  </r>
  <r>
    <x v="57"/>
    <x v="16"/>
    <x v="2"/>
    <x v="2"/>
    <x v="0"/>
    <x v="0"/>
    <x v="33"/>
    <x v="93"/>
    <x v="759"/>
    <x v="0"/>
    <s v="SAN SEBASTIAN"/>
    <x v="2"/>
  </r>
  <r>
    <x v="57"/>
    <x v="47"/>
    <x v="2"/>
    <x v="2"/>
    <x v="0"/>
    <x v="0"/>
    <x v="33"/>
    <x v="68"/>
    <x v="759"/>
    <x v="0"/>
    <s v="SAN SEBASTIAN"/>
    <x v="2"/>
  </r>
  <r>
    <x v="57"/>
    <x v="118"/>
    <x v="2"/>
    <x v="2"/>
    <x v="0"/>
    <x v="0"/>
    <x v="33"/>
    <x v="69"/>
    <x v="899"/>
    <x v="0"/>
    <s v="SAN SEBASTIAN"/>
    <x v="2"/>
  </r>
  <r>
    <x v="57"/>
    <x v="107"/>
    <x v="2"/>
    <x v="2"/>
    <x v="0"/>
    <x v="0"/>
    <x v="33"/>
    <x v="158"/>
    <x v="874"/>
    <x v="0"/>
    <s v="SAN SEBASTIAN"/>
    <x v="2"/>
  </r>
  <r>
    <x v="57"/>
    <x v="144"/>
    <x v="2"/>
    <x v="2"/>
    <x v="0"/>
    <x v="0"/>
    <x v="33"/>
    <x v="162"/>
    <x v="859"/>
    <x v="0"/>
    <s v="SAN SEBASTIAN"/>
    <x v="2"/>
  </r>
  <r>
    <x v="57"/>
    <x v="84"/>
    <x v="2"/>
    <x v="2"/>
    <x v="0"/>
    <x v="0"/>
    <x v="33"/>
    <x v="203"/>
    <x v="759"/>
    <x v="0"/>
    <s v="SAN SEBASTIAN"/>
    <x v="2"/>
  </r>
  <r>
    <x v="57"/>
    <x v="2"/>
    <x v="2"/>
    <x v="2"/>
    <x v="0"/>
    <x v="0"/>
    <x v="33"/>
    <x v="140"/>
    <x v="759"/>
    <x v="0"/>
    <s v="SAN SEBASTIAN"/>
    <x v="2"/>
  </r>
  <r>
    <x v="57"/>
    <x v="110"/>
    <x v="2"/>
    <x v="2"/>
    <x v="0"/>
    <x v="0"/>
    <x v="33"/>
    <x v="171"/>
    <x v="146"/>
    <x v="0"/>
    <s v="SAN SEBASTIAN"/>
    <x v="2"/>
  </r>
  <r>
    <x v="57"/>
    <x v="129"/>
    <x v="2"/>
    <x v="2"/>
    <x v="0"/>
    <x v="0"/>
    <x v="33"/>
    <x v="204"/>
    <x v="146"/>
    <x v="0"/>
    <s v="SAN SEBASTIAN"/>
    <x v="2"/>
  </r>
  <r>
    <x v="57"/>
    <x v="111"/>
    <x v="2"/>
    <x v="2"/>
    <x v="0"/>
    <x v="0"/>
    <x v="33"/>
    <x v="75"/>
    <x v="874"/>
    <x v="0"/>
    <s v="SAN SEBASTIAN"/>
    <x v="2"/>
  </r>
  <r>
    <x v="57"/>
    <x v="146"/>
    <x v="6"/>
    <x v="6"/>
    <x v="0"/>
    <x v="0"/>
    <x v="33"/>
    <x v="172"/>
    <x v="934"/>
    <x v="0"/>
    <s v="SAN SEBASTIAN"/>
    <x v="2"/>
  </r>
  <r>
    <x v="57"/>
    <x v="65"/>
    <x v="6"/>
    <x v="6"/>
    <x v="0"/>
    <x v="0"/>
    <x v="33"/>
    <x v="190"/>
    <x v="874"/>
    <x v="0"/>
    <s v="SAN SEBASTIAN"/>
    <x v="2"/>
  </r>
  <r>
    <x v="57"/>
    <x v="36"/>
    <x v="6"/>
    <x v="6"/>
    <x v="0"/>
    <x v="0"/>
    <x v="33"/>
    <x v="94"/>
    <x v="146"/>
    <x v="0"/>
    <s v="SAN SEBASTIAN"/>
    <x v="2"/>
  </r>
  <r>
    <x v="57"/>
    <x v="87"/>
    <x v="6"/>
    <x v="6"/>
    <x v="0"/>
    <x v="0"/>
    <x v="33"/>
    <x v="189"/>
    <x v="146"/>
    <x v="0"/>
    <s v="SAN SEBASTIAN"/>
    <x v="2"/>
  </r>
  <r>
    <x v="57"/>
    <x v="71"/>
    <x v="6"/>
    <x v="6"/>
    <x v="0"/>
    <x v="0"/>
    <x v="33"/>
    <x v="37"/>
    <x v="759"/>
    <x v="0"/>
    <s v="SAN SEBASTIAN"/>
    <x v="2"/>
  </r>
  <r>
    <x v="57"/>
    <x v="163"/>
    <x v="6"/>
    <x v="6"/>
    <x v="0"/>
    <x v="0"/>
    <x v="33"/>
    <x v="195"/>
    <x v="759"/>
    <x v="0"/>
    <s v="SAN SEBASTIAN"/>
    <x v="2"/>
  </r>
  <r>
    <x v="57"/>
    <x v="169"/>
    <x v="6"/>
    <x v="6"/>
    <x v="0"/>
    <x v="0"/>
    <x v="33"/>
    <x v="249"/>
    <x v="934"/>
    <x v="0"/>
    <s v="SAN SEBASTIAN"/>
    <x v="2"/>
  </r>
  <r>
    <x v="57"/>
    <x v="134"/>
    <x v="6"/>
    <x v="6"/>
    <x v="0"/>
    <x v="0"/>
    <x v="33"/>
    <x v="226"/>
    <x v="899"/>
    <x v="0"/>
    <s v="SAN SEBASTIAN"/>
    <x v="2"/>
  </r>
  <r>
    <x v="57"/>
    <x v="11"/>
    <x v="6"/>
    <x v="6"/>
    <x v="0"/>
    <x v="0"/>
    <x v="33"/>
    <x v="91"/>
    <x v="146"/>
    <x v="0"/>
    <s v="SAN SEBASTIAN"/>
    <x v="2"/>
  </r>
  <r>
    <x v="57"/>
    <x v="96"/>
    <x v="6"/>
    <x v="6"/>
    <x v="0"/>
    <x v="0"/>
    <x v="33"/>
    <x v="165"/>
    <x v="146"/>
    <x v="0"/>
    <s v="SAN SEBASTIAN"/>
    <x v="2"/>
  </r>
  <r>
    <x v="57"/>
    <x v="137"/>
    <x v="6"/>
    <x v="6"/>
    <x v="0"/>
    <x v="0"/>
    <x v="33"/>
    <x v="102"/>
    <x v="934"/>
    <x v="0"/>
    <s v="SAN SEBASTIAN"/>
    <x v="2"/>
  </r>
  <r>
    <x v="57"/>
    <x v="26"/>
    <x v="3"/>
    <x v="3"/>
    <x v="0"/>
    <x v="0"/>
    <x v="33"/>
    <x v="115"/>
    <x v="934"/>
    <x v="0"/>
    <s v="SAN SEBASTIAN"/>
    <x v="2"/>
  </r>
  <r>
    <x v="57"/>
    <x v="23"/>
    <x v="3"/>
    <x v="3"/>
    <x v="0"/>
    <x v="0"/>
    <x v="33"/>
    <x v="221"/>
    <x v="874"/>
    <x v="0"/>
    <s v="SAN SEBASTIAN"/>
    <x v="2"/>
  </r>
  <r>
    <x v="57"/>
    <x v="49"/>
    <x v="3"/>
    <x v="3"/>
    <x v="0"/>
    <x v="0"/>
    <x v="33"/>
    <x v="244"/>
    <x v="146"/>
    <x v="0"/>
    <s v="SAN SEBASTIAN"/>
    <x v="2"/>
  </r>
  <r>
    <x v="57"/>
    <x v="19"/>
    <x v="3"/>
    <x v="3"/>
    <x v="0"/>
    <x v="0"/>
    <x v="33"/>
    <x v="62"/>
    <x v="759"/>
    <x v="0"/>
    <s v="SAN SEBASTIAN"/>
    <x v="2"/>
  </r>
  <r>
    <x v="57"/>
    <x v="108"/>
    <x v="3"/>
    <x v="3"/>
    <x v="0"/>
    <x v="0"/>
    <x v="33"/>
    <x v="63"/>
    <x v="759"/>
    <x v="0"/>
    <s v="SAN SEBASTIAN"/>
    <x v="2"/>
  </r>
  <r>
    <x v="57"/>
    <x v="10"/>
    <x v="3"/>
    <x v="3"/>
    <x v="0"/>
    <x v="0"/>
    <x v="33"/>
    <x v="123"/>
    <x v="146"/>
    <x v="0"/>
    <s v="SAN SEBASTIAN"/>
    <x v="2"/>
  </r>
  <r>
    <x v="57"/>
    <x v="135"/>
    <x v="3"/>
    <x v="3"/>
    <x v="0"/>
    <x v="0"/>
    <x v="33"/>
    <x v="149"/>
    <x v="765"/>
    <x v="0"/>
    <s v="SAN SEBASTIAN"/>
    <x v="2"/>
  </r>
  <r>
    <x v="57"/>
    <x v="43"/>
    <x v="3"/>
    <x v="3"/>
    <x v="0"/>
    <x v="0"/>
    <x v="33"/>
    <x v="71"/>
    <x v="874"/>
    <x v="0"/>
    <s v="SAN SEBASTIAN"/>
    <x v="2"/>
  </r>
  <r>
    <x v="57"/>
    <x v="75"/>
    <x v="3"/>
    <x v="3"/>
    <x v="0"/>
    <x v="0"/>
    <x v="33"/>
    <x v="220"/>
    <x v="1215"/>
    <x v="0"/>
    <s v="SAN SEBASTIAN"/>
    <x v="2"/>
  </r>
  <r>
    <x v="57"/>
    <x v="148"/>
    <x v="3"/>
    <x v="3"/>
    <x v="0"/>
    <x v="0"/>
    <x v="33"/>
    <x v="174"/>
    <x v="874"/>
    <x v="0"/>
    <s v="SAN SEBASTIAN"/>
    <x v="2"/>
  </r>
  <r>
    <x v="57"/>
    <x v="79"/>
    <x v="3"/>
    <x v="3"/>
    <x v="0"/>
    <x v="0"/>
    <x v="33"/>
    <x v="142"/>
    <x v="759"/>
    <x v="0"/>
    <s v="SAN SEBASTIAN"/>
    <x v="2"/>
  </r>
  <r>
    <x v="57"/>
    <x v="56"/>
    <x v="3"/>
    <x v="3"/>
    <x v="0"/>
    <x v="0"/>
    <x v="33"/>
    <x v="153"/>
    <x v="765"/>
    <x v="0"/>
    <s v="SAN SEBASTIAN"/>
    <x v="2"/>
  </r>
  <r>
    <x v="57"/>
    <x v="99"/>
    <x v="3"/>
    <x v="3"/>
    <x v="0"/>
    <x v="0"/>
    <x v="33"/>
    <x v="116"/>
    <x v="759"/>
    <x v="0"/>
    <s v="SAN SEBASTIAN"/>
    <x v="2"/>
  </r>
  <r>
    <x v="57"/>
    <x v="44"/>
    <x v="3"/>
    <x v="3"/>
    <x v="0"/>
    <x v="0"/>
    <x v="33"/>
    <x v="191"/>
    <x v="874"/>
    <x v="0"/>
    <s v="SAN SEBASTIAN"/>
    <x v="2"/>
  </r>
  <r>
    <x v="57"/>
    <x v="131"/>
    <x v="3"/>
    <x v="3"/>
    <x v="0"/>
    <x v="0"/>
    <x v="33"/>
    <x v="163"/>
    <x v="759"/>
    <x v="0"/>
    <s v="SAN SEBASTIAN"/>
    <x v="2"/>
  </r>
  <r>
    <x v="57"/>
    <x v="81"/>
    <x v="4"/>
    <x v="4"/>
    <x v="0"/>
    <x v="0"/>
    <x v="33"/>
    <x v="175"/>
    <x v="1132"/>
    <x v="0"/>
    <s v="SAN SEBASTIAN"/>
    <x v="2"/>
  </r>
  <r>
    <x v="57"/>
    <x v="132"/>
    <x v="4"/>
    <x v="4"/>
    <x v="0"/>
    <x v="0"/>
    <x v="33"/>
    <x v="95"/>
    <x v="765"/>
    <x v="0"/>
    <s v="SAN SEBASTIAN"/>
    <x v="2"/>
  </r>
  <r>
    <x v="57"/>
    <x v="162"/>
    <x v="4"/>
    <x v="4"/>
    <x v="0"/>
    <x v="0"/>
    <x v="33"/>
    <x v="192"/>
    <x v="759"/>
    <x v="0"/>
    <s v="SAN SEBASTIAN"/>
    <x v="2"/>
  </r>
  <r>
    <x v="57"/>
    <x v="12"/>
    <x v="4"/>
    <x v="4"/>
    <x v="0"/>
    <x v="0"/>
    <x v="33"/>
    <x v="247"/>
    <x v="765"/>
    <x v="0"/>
    <s v="SAN SEBASTIAN"/>
    <x v="2"/>
  </r>
  <r>
    <x v="57"/>
    <x v="50"/>
    <x v="4"/>
    <x v="4"/>
    <x v="0"/>
    <x v="0"/>
    <x v="33"/>
    <x v="77"/>
    <x v="759"/>
    <x v="0"/>
    <s v="SAN SEBASTIAN"/>
    <x v="2"/>
  </r>
  <r>
    <x v="57"/>
    <x v="89"/>
    <x v="4"/>
    <x v="4"/>
    <x v="0"/>
    <x v="0"/>
    <x v="33"/>
    <x v="154"/>
    <x v="765"/>
    <x v="0"/>
    <s v="SAN SEBASTIAN"/>
    <x v="2"/>
  </r>
  <r>
    <x v="57"/>
    <x v="165"/>
    <x v="4"/>
    <x v="4"/>
    <x v="0"/>
    <x v="0"/>
    <x v="33"/>
    <x v="205"/>
    <x v="1182"/>
    <x v="0"/>
    <s v="SAN SEBASTIAN"/>
    <x v="2"/>
  </r>
  <r>
    <x v="57"/>
    <x v="62"/>
    <x v="4"/>
    <x v="4"/>
    <x v="0"/>
    <x v="0"/>
    <x v="33"/>
    <x v="176"/>
    <x v="146"/>
    <x v="0"/>
    <s v="SAN SEBASTIAN"/>
    <x v="2"/>
  </r>
  <r>
    <x v="57"/>
    <x v="38"/>
    <x v="4"/>
    <x v="4"/>
    <x v="0"/>
    <x v="0"/>
    <x v="33"/>
    <x v="106"/>
    <x v="874"/>
    <x v="0"/>
    <s v="SAN SEBASTIAN"/>
    <x v="2"/>
  </r>
  <r>
    <x v="57"/>
    <x v="31"/>
    <x v="4"/>
    <x v="4"/>
    <x v="0"/>
    <x v="0"/>
    <x v="33"/>
    <x v="72"/>
    <x v="874"/>
    <x v="0"/>
    <s v="SAN SEBASTIAN"/>
    <x v="2"/>
  </r>
  <r>
    <x v="57"/>
    <x v="78"/>
    <x v="4"/>
    <x v="4"/>
    <x v="0"/>
    <x v="0"/>
    <x v="33"/>
    <x v="160"/>
    <x v="146"/>
    <x v="0"/>
    <s v="SAN SEBASTIAN"/>
    <x v="2"/>
  </r>
  <r>
    <x v="57"/>
    <x v="90"/>
    <x v="0"/>
    <x v="0"/>
    <x v="0"/>
    <x v="0"/>
    <x v="33"/>
    <x v="79"/>
    <x v="759"/>
    <x v="0"/>
    <s v="SAN SEBASTIAN"/>
    <x v="2"/>
  </r>
  <r>
    <x v="57"/>
    <x v="116"/>
    <x v="0"/>
    <x v="0"/>
    <x v="0"/>
    <x v="0"/>
    <x v="33"/>
    <x v="64"/>
    <x v="952"/>
    <x v="0"/>
    <s v="SAN SEBASTIAN"/>
    <x v="2"/>
  </r>
  <r>
    <x v="57"/>
    <x v="119"/>
    <x v="0"/>
    <x v="0"/>
    <x v="0"/>
    <x v="0"/>
    <x v="33"/>
    <x v="96"/>
    <x v="1132"/>
    <x v="0"/>
    <s v="SAN SEBASTIAN"/>
    <x v="2"/>
  </r>
  <r>
    <x v="57"/>
    <x v="0"/>
    <x v="0"/>
    <x v="0"/>
    <x v="0"/>
    <x v="0"/>
    <x v="33"/>
    <x v="197"/>
    <x v="759"/>
    <x v="0"/>
    <s v="SAN SEBASTIAN"/>
    <x v="2"/>
  </r>
  <r>
    <x v="57"/>
    <x v="121"/>
    <x v="0"/>
    <x v="0"/>
    <x v="0"/>
    <x v="0"/>
    <x v="33"/>
    <x v="80"/>
    <x v="146"/>
    <x v="0"/>
    <s v="SAN SEBASTIAN"/>
    <x v="2"/>
  </r>
  <r>
    <x v="57"/>
    <x v="100"/>
    <x v="0"/>
    <x v="0"/>
    <x v="0"/>
    <x v="0"/>
    <x v="33"/>
    <x v="73"/>
    <x v="765"/>
    <x v="0"/>
    <s v="SAN SEBASTIAN"/>
    <x v="2"/>
  </r>
  <r>
    <x v="57"/>
    <x v="53"/>
    <x v="0"/>
    <x v="0"/>
    <x v="0"/>
    <x v="0"/>
    <x v="33"/>
    <x v="144"/>
    <x v="934"/>
    <x v="0"/>
    <s v="SAN SEBASTIAN"/>
    <x v="2"/>
  </r>
  <r>
    <x v="57"/>
    <x v="45"/>
    <x v="0"/>
    <x v="0"/>
    <x v="0"/>
    <x v="0"/>
    <x v="33"/>
    <x v="180"/>
    <x v="899"/>
    <x v="0"/>
    <s v="SAN SEBASTIAN"/>
    <x v="2"/>
  </r>
  <r>
    <x v="57"/>
    <x v="46"/>
    <x v="0"/>
    <x v="0"/>
    <x v="0"/>
    <x v="0"/>
    <x v="33"/>
    <x v="155"/>
    <x v="759"/>
    <x v="0"/>
    <s v="SAN SEBASTIAN"/>
    <x v="2"/>
  </r>
  <r>
    <x v="57"/>
    <x v="92"/>
    <x v="0"/>
    <x v="0"/>
    <x v="0"/>
    <x v="0"/>
    <x v="33"/>
    <x v="109"/>
    <x v="146"/>
    <x v="0"/>
    <s v="SAN SEBASTIAN"/>
    <x v="2"/>
  </r>
  <r>
    <x v="57"/>
    <x v="142"/>
    <x v="0"/>
    <x v="0"/>
    <x v="0"/>
    <x v="0"/>
    <x v="33"/>
    <x v="119"/>
    <x v="759"/>
    <x v="0"/>
    <s v="SAN SEBASTIAN"/>
    <x v="2"/>
  </r>
  <r>
    <x v="57"/>
    <x v="136"/>
    <x v="0"/>
    <x v="0"/>
    <x v="0"/>
    <x v="0"/>
    <x v="33"/>
    <x v="100"/>
    <x v="146"/>
    <x v="0"/>
    <s v="SAN SEBASTIAN"/>
    <x v="2"/>
  </r>
  <r>
    <x v="57"/>
    <x v="166"/>
    <x v="0"/>
    <x v="0"/>
    <x v="0"/>
    <x v="0"/>
    <x v="33"/>
    <x v="217"/>
    <x v="146"/>
    <x v="0"/>
    <s v="SAN SEBASTIAN"/>
    <x v="2"/>
  </r>
  <r>
    <x v="57"/>
    <x v="76"/>
    <x v="5"/>
    <x v="5"/>
    <x v="0"/>
    <x v="0"/>
    <x v="33"/>
    <x v="182"/>
    <x v="848"/>
    <x v="0"/>
    <s v="SAN SEBASTIAN"/>
    <x v="2"/>
  </r>
  <r>
    <x v="57"/>
    <x v="115"/>
    <x v="5"/>
    <x v="5"/>
    <x v="0"/>
    <x v="0"/>
    <x v="33"/>
    <x v="213"/>
    <x v="765"/>
    <x v="0"/>
    <s v="SAN SEBASTIAN"/>
    <x v="2"/>
  </r>
  <r>
    <x v="57"/>
    <x v="13"/>
    <x v="5"/>
    <x v="5"/>
    <x v="0"/>
    <x v="0"/>
    <x v="33"/>
    <x v="120"/>
    <x v="899"/>
    <x v="0"/>
    <s v="SAN SEBASTIAN"/>
    <x v="2"/>
  </r>
  <r>
    <x v="57"/>
    <x v="72"/>
    <x v="5"/>
    <x v="5"/>
    <x v="0"/>
    <x v="0"/>
    <x v="33"/>
    <x v="38"/>
    <x v="759"/>
    <x v="0"/>
    <s v="SAN SEBASTIAN"/>
    <x v="2"/>
  </r>
  <r>
    <x v="57"/>
    <x v="125"/>
    <x v="5"/>
    <x v="5"/>
    <x v="0"/>
    <x v="0"/>
    <x v="33"/>
    <x v="82"/>
    <x v="759"/>
    <x v="0"/>
    <s v="SAN SEBASTIAN"/>
    <x v="2"/>
  </r>
  <r>
    <x v="57"/>
    <x v="168"/>
    <x v="5"/>
    <x v="5"/>
    <x v="0"/>
    <x v="0"/>
    <x v="33"/>
    <x v="225"/>
    <x v="759"/>
    <x v="0"/>
    <s v="SAN SEBASTIAN"/>
    <x v="2"/>
  </r>
  <r>
    <x v="57"/>
    <x v="77"/>
    <x v="5"/>
    <x v="5"/>
    <x v="0"/>
    <x v="0"/>
    <x v="33"/>
    <x v="156"/>
    <x v="874"/>
    <x v="0"/>
    <s v="SAN SEBASTIAN"/>
    <x v="2"/>
  </r>
  <r>
    <x v="57"/>
    <x v="139"/>
    <x v="5"/>
    <x v="5"/>
    <x v="0"/>
    <x v="0"/>
    <x v="33"/>
    <x v="110"/>
    <x v="1215"/>
    <x v="0"/>
    <s v="SAN SEBASTIAN"/>
    <x v="2"/>
  </r>
  <r>
    <x v="57"/>
    <x v="63"/>
    <x v="5"/>
    <x v="5"/>
    <x v="0"/>
    <x v="0"/>
    <x v="33"/>
    <x v="111"/>
    <x v="146"/>
    <x v="0"/>
    <s v="SAN SEBASTIAN"/>
    <x v="2"/>
  </r>
  <r>
    <x v="57"/>
    <x v="141"/>
    <x v="5"/>
    <x v="5"/>
    <x v="0"/>
    <x v="0"/>
    <x v="33"/>
    <x v="185"/>
    <x v="874"/>
    <x v="0"/>
    <s v="SAN SEBASTIAN"/>
    <x v="2"/>
  </r>
  <r>
    <x v="57"/>
    <x v="123"/>
    <x v="5"/>
    <x v="5"/>
    <x v="0"/>
    <x v="0"/>
    <x v="33"/>
    <x v="74"/>
    <x v="759"/>
    <x v="0"/>
    <s v="SAN SEBASTIAN"/>
    <x v="2"/>
  </r>
  <r>
    <x v="57"/>
    <x v="54"/>
    <x v="5"/>
    <x v="5"/>
    <x v="0"/>
    <x v="0"/>
    <x v="33"/>
    <x v="246"/>
    <x v="146"/>
    <x v="0"/>
    <s v="SAN SEBASTIAN"/>
    <x v="2"/>
  </r>
  <r>
    <x v="57"/>
    <x v="150"/>
    <x v="5"/>
    <x v="5"/>
    <x v="0"/>
    <x v="0"/>
    <x v="33"/>
    <x v="214"/>
    <x v="759"/>
    <x v="0"/>
    <s v="SAN SEBASTIAN"/>
    <x v="2"/>
  </r>
  <r>
    <x v="57"/>
    <x v="20"/>
    <x v="5"/>
    <x v="5"/>
    <x v="0"/>
    <x v="0"/>
    <x v="33"/>
    <x v="45"/>
    <x v="146"/>
    <x v="0"/>
    <s v="SAN SEBASTIAN"/>
    <x v="2"/>
  </r>
  <r>
    <x v="57"/>
    <x v="40"/>
    <x v="1"/>
    <x v="1"/>
    <x v="0"/>
    <x v="0"/>
    <x v="33"/>
    <x v="125"/>
    <x v="1132"/>
    <x v="0"/>
    <s v="SAN SEBASTIAN"/>
    <x v="2"/>
  </r>
  <r>
    <x v="57"/>
    <x v="95"/>
    <x v="1"/>
    <x v="1"/>
    <x v="0"/>
    <x v="0"/>
    <x v="33"/>
    <x v="97"/>
    <x v="874"/>
    <x v="0"/>
    <s v="SAN SEBASTIAN"/>
    <x v="2"/>
  </r>
  <r>
    <x v="57"/>
    <x v="151"/>
    <x v="1"/>
    <x v="1"/>
    <x v="0"/>
    <x v="0"/>
    <x v="33"/>
    <x v="166"/>
    <x v="146"/>
    <x v="0"/>
    <s v="SAN SEBASTIAN"/>
    <x v="2"/>
  </r>
  <r>
    <x v="57"/>
    <x v="41"/>
    <x v="1"/>
    <x v="1"/>
    <x v="0"/>
    <x v="0"/>
    <x v="33"/>
    <x v="113"/>
    <x v="899"/>
    <x v="0"/>
    <s v="SAN SEBASTIAN"/>
    <x v="2"/>
  </r>
  <r>
    <x v="57"/>
    <x v="127"/>
    <x v="1"/>
    <x v="1"/>
    <x v="0"/>
    <x v="0"/>
    <x v="33"/>
    <x v="85"/>
    <x v="146"/>
    <x v="0"/>
    <s v="SAN SEBASTIAN"/>
    <x v="2"/>
  </r>
  <r>
    <x v="57"/>
    <x v="42"/>
    <x v="1"/>
    <x v="1"/>
    <x v="0"/>
    <x v="0"/>
    <x v="33"/>
    <x v="167"/>
    <x v="859"/>
    <x v="0"/>
    <s v="SAN SEBASTIAN"/>
    <x v="2"/>
  </r>
  <r>
    <x v="57"/>
    <x v="8"/>
    <x v="1"/>
    <x v="1"/>
    <x v="0"/>
    <x v="0"/>
    <x v="33"/>
    <x v="187"/>
    <x v="874"/>
    <x v="0"/>
    <s v="SAN SEBASTIAN"/>
    <x v="2"/>
  </r>
  <r>
    <x v="57"/>
    <x v="101"/>
    <x v="1"/>
    <x v="1"/>
    <x v="0"/>
    <x v="0"/>
    <x v="33"/>
    <x v="207"/>
    <x v="759"/>
    <x v="0"/>
    <s v="SAN SEBASTIAN"/>
    <x v="2"/>
  </r>
  <r>
    <x v="57"/>
    <x v="152"/>
    <x v="1"/>
    <x v="1"/>
    <x v="0"/>
    <x v="0"/>
    <x v="33"/>
    <x v="194"/>
    <x v="146"/>
    <x v="0"/>
    <s v="SAN SEBASTIAN"/>
    <x v="2"/>
  </r>
  <r>
    <x v="57"/>
    <x v="1"/>
    <x v="1"/>
    <x v="1"/>
    <x v="0"/>
    <x v="0"/>
    <x v="1"/>
    <x v="1"/>
    <x v="1"/>
    <x v="419"/>
    <s v="SAN SEBASTIAN"/>
    <x v="2"/>
  </r>
  <r>
    <x v="57"/>
    <x v="118"/>
    <x v="2"/>
    <x v="2"/>
    <x v="0"/>
    <x v="1"/>
    <x v="33"/>
    <x v="69"/>
    <x v="874"/>
    <x v="0"/>
    <s v="SAN SEBASTIAN"/>
    <x v="2"/>
  </r>
  <r>
    <x v="57"/>
    <x v="107"/>
    <x v="2"/>
    <x v="2"/>
    <x v="0"/>
    <x v="1"/>
    <x v="33"/>
    <x v="158"/>
    <x v="874"/>
    <x v="0"/>
    <s v="SAN SEBASTIAN"/>
    <x v="2"/>
  </r>
  <r>
    <x v="57"/>
    <x v="84"/>
    <x v="2"/>
    <x v="2"/>
    <x v="0"/>
    <x v="1"/>
    <x v="33"/>
    <x v="203"/>
    <x v="874"/>
    <x v="0"/>
    <s v="SAN SEBASTIAN"/>
    <x v="2"/>
  </r>
  <r>
    <x v="57"/>
    <x v="2"/>
    <x v="2"/>
    <x v="2"/>
    <x v="0"/>
    <x v="1"/>
    <x v="33"/>
    <x v="140"/>
    <x v="874"/>
    <x v="0"/>
    <s v="SAN SEBASTIAN"/>
    <x v="2"/>
  </r>
  <r>
    <x v="57"/>
    <x v="110"/>
    <x v="2"/>
    <x v="2"/>
    <x v="0"/>
    <x v="1"/>
    <x v="33"/>
    <x v="171"/>
    <x v="874"/>
    <x v="0"/>
    <s v="SAN SEBASTIAN"/>
    <x v="2"/>
  </r>
  <r>
    <x v="57"/>
    <x v="71"/>
    <x v="6"/>
    <x v="6"/>
    <x v="0"/>
    <x v="1"/>
    <x v="33"/>
    <x v="37"/>
    <x v="874"/>
    <x v="0"/>
    <s v="SAN SEBASTIAN"/>
    <x v="2"/>
  </r>
  <r>
    <x v="57"/>
    <x v="134"/>
    <x v="6"/>
    <x v="6"/>
    <x v="0"/>
    <x v="1"/>
    <x v="33"/>
    <x v="226"/>
    <x v="874"/>
    <x v="0"/>
    <s v="SAN SEBASTIAN"/>
    <x v="2"/>
  </r>
  <r>
    <x v="57"/>
    <x v="96"/>
    <x v="6"/>
    <x v="6"/>
    <x v="0"/>
    <x v="1"/>
    <x v="33"/>
    <x v="165"/>
    <x v="874"/>
    <x v="0"/>
    <s v="SAN SEBASTIAN"/>
    <x v="2"/>
  </r>
  <r>
    <x v="57"/>
    <x v="137"/>
    <x v="6"/>
    <x v="6"/>
    <x v="0"/>
    <x v="1"/>
    <x v="33"/>
    <x v="102"/>
    <x v="146"/>
    <x v="0"/>
    <s v="SAN SEBASTIAN"/>
    <x v="2"/>
  </r>
  <r>
    <x v="57"/>
    <x v="23"/>
    <x v="3"/>
    <x v="3"/>
    <x v="0"/>
    <x v="1"/>
    <x v="33"/>
    <x v="221"/>
    <x v="874"/>
    <x v="0"/>
    <s v="SAN SEBASTIAN"/>
    <x v="2"/>
  </r>
  <r>
    <x v="57"/>
    <x v="19"/>
    <x v="3"/>
    <x v="3"/>
    <x v="0"/>
    <x v="1"/>
    <x v="33"/>
    <x v="62"/>
    <x v="874"/>
    <x v="0"/>
    <s v="SAN SEBASTIAN"/>
    <x v="2"/>
  </r>
  <r>
    <x v="57"/>
    <x v="79"/>
    <x v="3"/>
    <x v="3"/>
    <x v="0"/>
    <x v="1"/>
    <x v="33"/>
    <x v="142"/>
    <x v="874"/>
    <x v="0"/>
    <s v="SAN SEBASTIAN"/>
    <x v="2"/>
  </r>
  <r>
    <x v="57"/>
    <x v="56"/>
    <x v="3"/>
    <x v="3"/>
    <x v="0"/>
    <x v="1"/>
    <x v="33"/>
    <x v="153"/>
    <x v="874"/>
    <x v="0"/>
    <s v="SAN SEBASTIAN"/>
    <x v="2"/>
  </r>
  <r>
    <x v="57"/>
    <x v="62"/>
    <x v="4"/>
    <x v="4"/>
    <x v="0"/>
    <x v="1"/>
    <x v="33"/>
    <x v="176"/>
    <x v="874"/>
    <x v="0"/>
    <s v="SAN SEBASTIAN"/>
    <x v="2"/>
  </r>
  <r>
    <x v="57"/>
    <x v="90"/>
    <x v="0"/>
    <x v="0"/>
    <x v="0"/>
    <x v="1"/>
    <x v="33"/>
    <x v="79"/>
    <x v="874"/>
    <x v="0"/>
    <s v="SAN SEBASTIAN"/>
    <x v="2"/>
  </r>
  <r>
    <x v="57"/>
    <x v="116"/>
    <x v="0"/>
    <x v="0"/>
    <x v="0"/>
    <x v="1"/>
    <x v="33"/>
    <x v="64"/>
    <x v="874"/>
    <x v="0"/>
    <s v="SAN SEBASTIAN"/>
    <x v="2"/>
  </r>
  <r>
    <x v="57"/>
    <x v="100"/>
    <x v="0"/>
    <x v="0"/>
    <x v="0"/>
    <x v="1"/>
    <x v="33"/>
    <x v="73"/>
    <x v="874"/>
    <x v="0"/>
    <s v="SAN SEBASTIAN"/>
    <x v="2"/>
  </r>
  <r>
    <x v="57"/>
    <x v="142"/>
    <x v="0"/>
    <x v="0"/>
    <x v="0"/>
    <x v="1"/>
    <x v="33"/>
    <x v="119"/>
    <x v="874"/>
    <x v="0"/>
    <s v="SAN SEBASTIAN"/>
    <x v="2"/>
  </r>
  <r>
    <x v="57"/>
    <x v="76"/>
    <x v="5"/>
    <x v="5"/>
    <x v="0"/>
    <x v="1"/>
    <x v="33"/>
    <x v="182"/>
    <x v="874"/>
    <x v="0"/>
    <s v="SAN SEBASTIAN"/>
    <x v="2"/>
  </r>
  <r>
    <x v="57"/>
    <x v="115"/>
    <x v="5"/>
    <x v="5"/>
    <x v="0"/>
    <x v="1"/>
    <x v="33"/>
    <x v="213"/>
    <x v="874"/>
    <x v="0"/>
    <s v="SAN SEBASTIAN"/>
    <x v="2"/>
  </r>
  <r>
    <x v="57"/>
    <x v="125"/>
    <x v="5"/>
    <x v="5"/>
    <x v="0"/>
    <x v="1"/>
    <x v="33"/>
    <x v="82"/>
    <x v="874"/>
    <x v="0"/>
    <s v="SAN SEBASTIAN"/>
    <x v="2"/>
  </r>
  <r>
    <x v="57"/>
    <x v="54"/>
    <x v="5"/>
    <x v="5"/>
    <x v="0"/>
    <x v="1"/>
    <x v="33"/>
    <x v="246"/>
    <x v="874"/>
    <x v="0"/>
    <s v="SAN SEBASTIAN"/>
    <x v="2"/>
  </r>
  <r>
    <x v="57"/>
    <x v="40"/>
    <x v="1"/>
    <x v="1"/>
    <x v="0"/>
    <x v="1"/>
    <x v="33"/>
    <x v="125"/>
    <x v="759"/>
    <x v="0"/>
    <s v="SAN SEBASTIAN"/>
    <x v="2"/>
  </r>
  <r>
    <x v="57"/>
    <x v="1"/>
    <x v="1"/>
    <x v="1"/>
    <x v="0"/>
    <x v="1"/>
    <x v="1"/>
    <x v="1"/>
    <x v="1"/>
    <x v="367"/>
    <s v="SAN SEBASTIAN"/>
    <x v="2"/>
  </r>
  <r>
    <x v="58"/>
    <x v="139"/>
    <x v="5"/>
    <x v="5"/>
    <x v="0"/>
    <x v="2"/>
    <x v="33"/>
    <x v="110"/>
    <x v="782"/>
    <x v="0"/>
    <s v="SANTIAGO INTERAMERICANA"/>
    <x v="2"/>
  </r>
  <r>
    <x v="58"/>
    <x v="1"/>
    <x v="1"/>
    <x v="1"/>
    <x v="0"/>
    <x v="2"/>
    <x v="1"/>
    <x v="1"/>
    <x v="1"/>
    <x v="420"/>
    <s v="SANTIAGO INTERAMERICANA"/>
    <x v="2"/>
  </r>
  <r>
    <x v="60"/>
    <x v="102"/>
    <x v="6"/>
    <x v="6"/>
    <x v="0"/>
    <x v="0"/>
    <x v="33"/>
    <x v="141"/>
    <x v="874"/>
    <x v="0"/>
    <s v="VILLA ZAITA"/>
    <x v="2"/>
  </r>
  <r>
    <x v="60"/>
    <x v="1"/>
    <x v="1"/>
    <x v="1"/>
    <x v="0"/>
    <x v="0"/>
    <x v="1"/>
    <x v="1"/>
    <x v="1"/>
    <x v="216"/>
    <s v="VILLA ZAITA"/>
    <x v="2"/>
  </r>
  <r>
    <x v="62"/>
    <x v="71"/>
    <x v="6"/>
    <x v="6"/>
    <x v="0"/>
    <x v="2"/>
    <x v="32"/>
    <x v="37"/>
    <x v="1526"/>
    <x v="0"/>
    <s v="TOWN CENTER COSTA DEL ESTE"/>
    <x v="2"/>
  </r>
  <r>
    <x v="62"/>
    <x v="115"/>
    <x v="5"/>
    <x v="5"/>
    <x v="0"/>
    <x v="2"/>
    <x v="32"/>
    <x v="213"/>
    <x v="1527"/>
    <x v="0"/>
    <s v="TOWN CENTER COSTA DEL ESTE"/>
    <x v="2"/>
  </r>
  <r>
    <x v="62"/>
    <x v="1"/>
    <x v="1"/>
    <x v="1"/>
    <x v="0"/>
    <x v="2"/>
    <x v="1"/>
    <x v="1"/>
    <x v="1"/>
    <x v="421"/>
    <s v="TOWN CENTER COSTA DEL ESTE"/>
    <x v="2"/>
  </r>
  <r>
    <x v="63"/>
    <x v="64"/>
    <x v="2"/>
    <x v="2"/>
    <x v="0"/>
    <x v="2"/>
    <x v="32"/>
    <x v="139"/>
    <x v="1528"/>
    <x v="0"/>
    <s v="COSTA VERDE"/>
    <x v="2"/>
  </r>
  <r>
    <x v="63"/>
    <x v="23"/>
    <x v="3"/>
    <x v="3"/>
    <x v="0"/>
    <x v="2"/>
    <x v="32"/>
    <x v="221"/>
    <x v="1529"/>
    <x v="0"/>
    <s v="COSTA VERDE"/>
    <x v="2"/>
  </r>
  <r>
    <x v="63"/>
    <x v="43"/>
    <x v="3"/>
    <x v="3"/>
    <x v="0"/>
    <x v="2"/>
    <x v="32"/>
    <x v="71"/>
    <x v="1530"/>
    <x v="0"/>
    <s v="COSTA VERDE"/>
    <x v="2"/>
  </r>
  <r>
    <x v="63"/>
    <x v="159"/>
    <x v="0"/>
    <x v="0"/>
    <x v="0"/>
    <x v="2"/>
    <x v="32"/>
    <x v="177"/>
    <x v="1336"/>
    <x v="0"/>
    <s v="COSTA VERDE"/>
    <x v="2"/>
  </r>
  <r>
    <x v="63"/>
    <x v="117"/>
    <x v="0"/>
    <x v="0"/>
    <x v="0"/>
    <x v="2"/>
    <x v="32"/>
    <x v="65"/>
    <x v="1531"/>
    <x v="0"/>
    <s v="COSTA VERDE"/>
    <x v="2"/>
  </r>
  <r>
    <x v="63"/>
    <x v="155"/>
    <x v="1"/>
    <x v="1"/>
    <x v="0"/>
    <x v="2"/>
    <x v="32"/>
    <x v="145"/>
    <x v="1532"/>
    <x v="0"/>
    <s v="COSTA VERDE"/>
    <x v="2"/>
  </r>
  <r>
    <x v="63"/>
    <x v="1"/>
    <x v="1"/>
    <x v="1"/>
    <x v="0"/>
    <x v="2"/>
    <x v="1"/>
    <x v="1"/>
    <x v="1"/>
    <x v="422"/>
    <s v="COSTA VERDE"/>
    <x v="2"/>
  </r>
  <r>
    <x v="64"/>
    <x v="1"/>
    <x v="1"/>
    <x v="1"/>
    <x v="0"/>
    <x v="2"/>
    <x v="1"/>
    <x v="1"/>
    <x v="1"/>
    <x v="423"/>
    <s v="PLAZA LOS ANGELES"/>
    <x v="2"/>
  </r>
  <r>
    <x v="65"/>
    <x v="10"/>
    <x v="3"/>
    <x v="3"/>
    <x v="0"/>
    <x v="2"/>
    <x v="33"/>
    <x v="123"/>
    <x v="1533"/>
    <x v="0"/>
    <s v="SAN MATEO"/>
    <x v="2"/>
  </r>
  <r>
    <x v="65"/>
    <x v="135"/>
    <x v="3"/>
    <x v="3"/>
    <x v="0"/>
    <x v="2"/>
    <x v="32"/>
    <x v="149"/>
    <x v="1533"/>
    <x v="0"/>
    <s v="SAN MATEO"/>
    <x v="2"/>
  </r>
  <r>
    <x v="65"/>
    <x v="150"/>
    <x v="5"/>
    <x v="5"/>
    <x v="0"/>
    <x v="2"/>
    <x v="32"/>
    <x v="214"/>
    <x v="1534"/>
    <x v="0"/>
    <s v="SAN MATEO"/>
    <x v="2"/>
  </r>
  <r>
    <x v="65"/>
    <x v="101"/>
    <x v="1"/>
    <x v="1"/>
    <x v="0"/>
    <x v="2"/>
    <x v="32"/>
    <x v="207"/>
    <x v="1535"/>
    <x v="0"/>
    <s v="SAN MATEO"/>
    <x v="2"/>
  </r>
  <r>
    <x v="65"/>
    <x v="128"/>
    <x v="1"/>
    <x v="1"/>
    <x v="0"/>
    <x v="2"/>
    <x v="32"/>
    <x v="164"/>
    <x v="1536"/>
    <x v="0"/>
    <s v="SAN MATEO"/>
    <x v="2"/>
  </r>
  <r>
    <x v="65"/>
    <x v="1"/>
    <x v="1"/>
    <x v="1"/>
    <x v="0"/>
    <x v="2"/>
    <x v="1"/>
    <x v="1"/>
    <x v="1"/>
    <x v="424"/>
    <s v="SAN MATEO"/>
    <x v="2"/>
  </r>
  <r>
    <x v="65"/>
    <x v="87"/>
    <x v="6"/>
    <x v="6"/>
    <x v="0"/>
    <x v="0"/>
    <x v="33"/>
    <x v="189"/>
    <x v="874"/>
    <x v="0"/>
    <s v="SAN MATEO"/>
    <x v="2"/>
  </r>
  <r>
    <x v="65"/>
    <x v="1"/>
    <x v="1"/>
    <x v="1"/>
    <x v="0"/>
    <x v="0"/>
    <x v="1"/>
    <x v="1"/>
    <x v="1"/>
    <x v="216"/>
    <s v="SAN MATEO"/>
    <x v="2"/>
  </r>
  <r>
    <x v="66"/>
    <x v="64"/>
    <x v="2"/>
    <x v="2"/>
    <x v="0"/>
    <x v="2"/>
    <x v="32"/>
    <x v="139"/>
    <x v="493"/>
    <x v="0"/>
    <s v="BRISAS DEL GOLF ARRAIJAN"/>
    <x v="2"/>
  </r>
  <r>
    <x v="66"/>
    <x v="43"/>
    <x v="3"/>
    <x v="3"/>
    <x v="0"/>
    <x v="2"/>
    <x v="32"/>
    <x v="71"/>
    <x v="1286"/>
    <x v="0"/>
    <s v="BRISAS DEL GOLF ARRAIJAN"/>
    <x v="2"/>
  </r>
  <r>
    <x v="66"/>
    <x v="68"/>
    <x v="4"/>
    <x v="4"/>
    <x v="0"/>
    <x v="2"/>
    <x v="32"/>
    <x v="222"/>
    <x v="1537"/>
    <x v="0"/>
    <s v="BRISAS DEL GOLF ARRAIJAN"/>
    <x v="2"/>
  </r>
  <r>
    <x v="66"/>
    <x v="160"/>
    <x v="0"/>
    <x v="0"/>
    <x v="0"/>
    <x v="2"/>
    <x v="32"/>
    <x v="179"/>
    <x v="1538"/>
    <x v="0"/>
    <s v="BRISAS DEL GOLF ARRAIJAN"/>
    <x v="2"/>
  </r>
  <r>
    <x v="66"/>
    <x v="41"/>
    <x v="1"/>
    <x v="1"/>
    <x v="0"/>
    <x v="2"/>
    <x v="32"/>
    <x v="113"/>
    <x v="1539"/>
    <x v="0"/>
    <s v="BRISAS DEL GOLF ARRAIJAN"/>
    <x v="2"/>
  </r>
  <r>
    <x v="66"/>
    <x v="1"/>
    <x v="1"/>
    <x v="1"/>
    <x v="0"/>
    <x v="2"/>
    <x v="1"/>
    <x v="1"/>
    <x v="1"/>
    <x v="425"/>
    <s v="BRISAS DEL GOLF ARRAIJAN"/>
    <x v="2"/>
  </r>
  <r>
    <x v="67"/>
    <x v="144"/>
    <x v="2"/>
    <x v="2"/>
    <x v="0"/>
    <x v="2"/>
    <x v="33"/>
    <x v="162"/>
    <x v="1540"/>
    <x v="0"/>
    <s v="PASEO ARRAIJAN"/>
    <x v="2"/>
  </r>
  <r>
    <x v="67"/>
    <x v="65"/>
    <x v="6"/>
    <x v="6"/>
    <x v="0"/>
    <x v="2"/>
    <x v="32"/>
    <x v="190"/>
    <x v="1311"/>
    <x v="0"/>
    <s v="PASEO ARRAIJAN"/>
    <x v="2"/>
  </r>
  <r>
    <x v="67"/>
    <x v="108"/>
    <x v="3"/>
    <x v="3"/>
    <x v="0"/>
    <x v="2"/>
    <x v="32"/>
    <x v="63"/>
    <x v="1541"/>
    <x v="0"/>
    <s v="PASEO ARRAIJAN"/>
    <x v="2"/>
  </r>
  <r>
    <x v="67"/>
    <x v="79"/>
    <x v="3"/>
    <x v="3"/>
    <x v="0"/>
    <x v="2"/>
    <x v="32"/>
    <x v="142"/>
    <x v="1542"/>
    <x v="0"/>
    <s v="PASEO ARRAIJAN"/>
    <x v="2"/>
  </r>
  <r>
    <x v="67"/>
    <x v="50"/>
    <x v="4"/>
    <x v="4"/>
    <x v="0"/>
    <x v="2"/>
    <x v="32"/>
    <x v="77"/>
    <x v="1543"/>
    <x v="0"/>
    <s v="PASEO ARRAIJAN"/>
    <x v="2"/>
  </r>
  <r>
    <x v="67"/>
    <x v="117"/>
    <x v="0"/>
    <x v="0"/>
    <x v="0"/>
    <x v="2"/>
    <x v="32"/>
    <x v="65"/>
    <x v="1544"/>
    <x v="0"/>
    <s v="PASEO ARRAIJAN"/>
    <x v="2"/>
  </r>
  <r>
    <x v="67"/>
    <x v="115"/>
    <x v="5"/>
    <x v="5"/>
    <x v="0"/>
    <x v="2"/>
    <x v="32"/>
    <x v="213"/>
    <x v="1545"/>
    <x v="0"/>
    <s v="PASEO ARRAIJAN"/>
    <x v="2"/>
  </r>
  <r>
    <x v="67"/>
    <x v="13"/>
    <x v="5"/>
    <x v="5"/>
    <x v="0"/>
    <x v="2"/>
    <x v="32"/>
    <x v="120"/>
    <x v="1546"/>
    <x v="0"/>
    <s v="PASEO ARRAIJAN"/>
    <x v="2"/>
  </r>
  <r>
    <x v="67"/>
    <x v="77"/>
    <x v="5"/>
    <x v="5"/>
    <x v="0"/>
    <x v="2"/>
    <x v="32"/>
    <x v="156"/>
    <x v="1547"/>
    <x v="0"/>
    <s v="PASEO ARRAIJAN"/>
    <x v="2"/>
  </r>
  <r>
    <x v="67"/>
    <x v="1"/>
    <x v="1"/>
    <x v="1"/>
    <x v="0"/>
    <x v="2"/>
    <x v="1"/>
    <x v="1"/>
    <x v="1"/>
    <x v="426"/>
    <s v="PASEO ARRAIJAN"/>
    <x v="2"/>
  </r>
  <r>
    <x v="67"/>
    <x v="129"/>
    <x v="2"/>
    <x v="2"/>
    <x v="0"/>
    <x v="1"/>
    <x v="33"/>
    <x v="204"/>
    <x v="874"/>
    <x v="0"/>
    <s v="PASEO ARRAIJAN"/>
    <x v="2"/>
  </r>
  <r>
    <x v="67"/>
    <x v="1"/>
    <x v="1"/>
    <x v="1"/>
    <x v="0"/>
    <x v="1"/>
    <x v="1"/>
    <x v="1"/>
    <x v="1"/>
    <x v="216"/>
    <s v="PASEO ARRAIJAN"/>
    <x v="2"/>
  </r>
  <r>
    <x v="0"/>
    <x v="160"/>
    <x v="0"/>
    <x v="0"/>
    <x v="0"/>
    <x v="2"/>
    <x v="37"/>
    <x v="179"/>
    <x v="1548"/>
    <x v="0"/>
    <s v="CASA MATRIZ"/>
    <x v="3"/>
  </r>
  <r>
    <x v="0"/>
    <x v="1"/>
    <x v="1"/>
    <x v="1"/>
    <x v="0"/>
    <x v="2"/>
    <x v="1"/>
    <x v="1"/>
    <x v="1"/>
    <x v="427"/>
    <s v="CASA MATRIZ"/>
    <x v="3"/>
  </r>
  <r>
    <x v="3"/>
    <x v="1"/>
    <x v="1"/>
    <x v="1"/>
    <x v="0"/>
    <x v="2"/>
    <x v="1"/>
    <x v="1"/>
    <x v="1"/>
    <x v="221"/>
    <s v="VIA ARGENTINA"/>
    <x v="3"/>
  </r>
  <r>
    <x v="6"/>
    <x v="58"/>
    <x v="1"/>
    <x v="1"/>
    <x v="0"/>
    <x v="2"/>
    <x v="37"/>
    <x v="84"/>
    <x v="1549"/>
    <x v="0"/>
    <s v="CHANIS"/>
    <x v="3"/>
  </r>
  <r>
    <x v="6"/>
    <x v="1"/>
    <x v="1"/>
    <x v="1"/>
    <x v="0"/>
    <x v="2"/>
    <x v="1"/>
    <x v="1"/>
    <x v="1"/>
    <x v="428"/>
    <s v="CHANIS"/>
    <x v="3"/>
  </r>
  <r>
    <x v="7"/>
    <x v="22"/>
    <x v="1"/>
    <x v="1"/>
    <x v="0"/>
    <x v="2"/>
    <x v="37"/>
    <x v="211"/>
    <x v="1550"/>
    <x v="0"/>
    <s v="PLAZA TOCUMEN"/>
    <x v="3"/>
  </r>
  <r>
    <x v="7"/>
    <x v="1"/>
    <x v="1"/>
    <x v="1"/>
    <x v="0"/>
    <x v="2"/>
    <x v="1"/>
    <x v="1"/>
    <x v="1"/>
    <x v="429"/>
    <s v="PLAZA TOCUMEN"/>
    <x v="3"/>
  </r>
  <r>
    <x v="8"/>
    <x v="55"/>
    <x v="1"/>
    <x v="1"/>
    <x v="0"/>
    <x v="2"/>
    <x v="37"/>
    <x v="188"/>
    <x v="1129"/>
    <x v="0"/>
    <s v="SANTIAGO"/>
    <x v="3"/>
  </r>
  <r>
    <x v="8"/>
    <x v="1"/>
    <x v="1"/>
    <x v="1"/>
    <x v="0"/>
    <x v="2"/>
    <x v="1"/>
    <x v="1"/>
    <x v="1"/>
    <x v="430"/>
    <s v="SANTIAGO"/>
    <x v="3"/>
  </r>
  <r>
    <x v="70"/>
    <x v="22"/>
    <x v="1"/>
    <x v="1"/>
    <x v="0"/>
    <x v="2"/>
    <x v="37"/>
    <x v="211"/>
    <x v="1551"/>
    <x v="0"/>
    <s v="COLON"/>
    <x v="3"/>
  </r>
  <r>
    <x v="70"/>
    <x v="1"/>
    <x v="1"/>
    <x v="1"/>
    <x v="0"/>
    <x v="2"/>
    <x v="1"/>
    <x v="1"/>
    <x v="1"/>
    <x v="431"/>
    <s v="COLON"/>
    <x v="3"/>
  </r>
  <r>
    <x v="12"/>
    <x v="41"/>
    <x v="1"/>
    <x v="1"/>
    <x v="0"/>
    <x v="2"/>
    <x v="37"/>
    <x v="113"/>
    <x v="1552"/>
    <x v="0"/>
    <s v="LA CHORRERA"/>
    <x v="3"/>
  </r>
  <r>
    <x v="12"/>
    <x v="1"/>
    <x v="1"/>
    <x v="1"/>
    <x v="0"/>
    <x v="2"/>
    <x v="1"/>
    <x v="1"/>
    <x v="1"/>
    <x v="432"/>
    <s v="LA CHORRERA"/>
    <x v="3"/>
  </r>
  <r>
    <x v="14"/>
    <x v="1"/>
    <x v="1"/>
    <x v="1"/>
    <x v="0"/>
    <x v="2"/>
    <x v="1"/>
    <x v="1"/>
    <x v="1"/>
    <x v="433"/>
    <s v="LOS ANGELES"/>
    <x v="3"/>
  </r>
  <r>
    <x v="15"/>
    <x v="71"/>
    <x v="6"/>
    <x v="6"/>
    <x v="0"/>
    <x v="2"/>
    <x v="37"/>
    <x v="37"/>
    <x v="816"/>
    <x v="0"/>
    <s v="VILLA LUCRE"/>
    <x v="3"/>
  </r>
  <r>
    <x v="15"/>
    <x v="1"/>
    <x v="1"/>
    <x v="1"/>
    <x v="0"/>
    <x v="2"/>
    <x v="1"/>
    <x v="1"/>
    <x v="1"/>
    <x v="221"/>
    <s v="VILLA LUCRE"/>
    <x v="3"/>
  </r>
  <r>
    <x v="16"/>
    <x v="128"/>
    <x v="1"/>
    <x v="1"/>
    <x v="0"/>
    <x v="2"/>
    <x v="37"/>
    <x v="164"/>
    <x v="1553"/>
    <x v="0"/>
    <s v="LOS ANDES"/>
    <x v="3"/>
  </r>
  <r>
    <x v="16"/>
    <x v="1"/>
    <x v="1"/>
    <x v="1"/>
    <x v="0"/>
    <x v="2"/>
    <x v="1"/>
    <x v="1"/>
    <x v="1"/>
    <x v="434"/>
    <s v="LOS ANDES"/>
    <x v="3"/>
  </r>
  <r>
    <x v="72"/>
    <x v="125"/>
    <x v="5"/>
    <x v="5"/>
    <x v="0"/>
    <x v="2"/>
    <x v="37"/>
    <x v="82"/>
    <x v="911"/>
    <x v="0"/>
    <s v="ZONA LIBRE"/>
    <x v="3"/>
  </r>
  <r>
    <x v="72"/>
    <x v="1"/>
    <x v="1"/>
    <x v="1"/>
    <x v="0"/>
    <x v="2"/>
    <x v="1"/>
    <x v="1"/>
    <x v="1"/>
    <x v="232"/>
    <s v="ZONA LIBRE"/>
    <x v="3"/>
  </r>
  <r>
    <x v="24"/>
    <x v="129"/>
    <x v="2"/>
    <x v="2"/>
    <x v="0"/>
    <x v="2"/>
    <x v="38"/>
    <x v="204"/>
    <x v="1554"/>
    <x v="0"/>
    <s v="DAVID"/>
    <x v="3"/>
  </r>
  <r>
    <x v="24"/>
    <x v="39"/>
    <x v="4"/>
    <x v="4"/>
    <x v="0"/>
    <x v="2"/>
    <x v="37"/>
    <x v="210"/>
    <x v="1"/>
    <x v="435"/>
    <s v="DAVID"/>
    <x v="3"/>
  </r>
  <r>
    <x v="27"/>
    <x v="77"/>
    <x v="5"/>
    <x v="5"/>
    <x v="0"/>
    <x v="2"/>
    <x v="37"/>
    <x v="156"/>
    <x v="1555"/>
    <x v="0"/>
    <s v="ALBROOK MALL"/>
    <x v="3"/>
  </r>
  <r>
    <x v="27"/>
    <x v="41"/>
    <x v="1"/>
    <x v="1"/>
    <x v="0"/>
    <x v="2"/>
    <x v="37"/>
    <x v="113"/>
    <x v="1556"/>
    <x v="0"/>
    <s v="ALBROOK MALL"/>
    <x v="3"/>
  </r>
  <r>
    <x v="27"/>
    <x v="1"/>
    <x v="1"/>
    <x v="1"/>
    <x v="0"/>
    <x v="2"/>
    <x v="1"/>
    <x v="1"/>
    <x v="1"/>
    <x v="436"/>
    <s v="ALBROOK MALL"/>
    <x v="3"/>
  </r>
  <r>
    <x v="73"/>
    <x v="40"/>
    <x v="1"/>
    <x v="1"/>
    <x v="0"/>
    <x v="2"/>
    <x v="37"/>
    <x v="125"/>
    <x v="1557"/>
    <x v="0"/>
    <s v="PENONOME"/>
    <x v="3"/>
  </r>
  <r>
    <x v="73"/>
    <x v="1"/>
    <x v="1"/>
    <x v="1"/>
    <x v="0"/>
    <x v="2"/>
    <x v="1"/>
    <x v="1"/>
    <x v="1"/>
    <x v="437"/>
    <s v="PENONOME"/>
    <x v="3"/>
  </r>
  <r>
    <x v="35"/>
    <x v="128"/>
    <x v="1"/>
    <x v="1"/>
    <x v="0"/>
    <x v="2"/>
    <x v="37"/>
    <x v="164"/>
    <x v="891"/>
    <x v="0"/>
    <s v="MULTI PLAZA"/>
    <x v="3"/>
  </r>
  <r>
    <x v="35"/>
    <x v="1"/>
    <x v="1"/>
    <x v="1"/>
    <x v="0"/>
    <x v="2"/>
    <x v="1"/>
    <x v="1"/>
    <x v="1"/>
    <x v="438"/>
    <s v="MULTI PLAZA"/>
    <x v="3"/>
  </r>
  <r>
    <x v="36"/>
    <x v="77"/>
    <x v="5"/>
    <x v="5"/>
    <x v="0"/>
    <x v="2"/>
    <x v="37"/>
    <x v="156"/>
    <x v="1558"/>
    <x v="0"/>
    <s v="TERMINAL DE ALBROOK"/>
    <x v="3"/>
  </r>
  <r>
    <x v="36"/>
    <x v="58"/>
    <x v="1"/>
    <x v="1"/>
    <x v="0"/>
    <x v="2"/>
    <x v="37"/>
    <x v="84"/>
    <x v="1559"/>
    <x v="0"/>
    <s v="TERMINAL DE ALBROOK"/>
    <x v="3"/>
  </r>
  <r>
    <x v="36"/>
    <x v="1"/>
    <x v="1"/>
    <x v="1"/>
    <x v="0"/>
    <x v="2"/>
    <x v="1"/>
    <x v="1"/>
    <x v="1"/>
    <x v="439"/>
    <s v="TERMINAL DE ALBROOK"/>
    <x v="3"/>
  </r>
  <r>
    <x v="74"/>
    <x v="98"/>
    <x v="1"/>
    <x v="1"/>
    <x v="0"/>
    <x v="2"/>
    <x v="37"/>
    <x v="198"/>
    <x v="899"/>
    <x v="0"/>
    <s v="AGUADULCE"/>
    <x v="3"/>
  </r>
  <r>
    <x v="74"/>
    <x v="1"/>
    <x v="1"/>
    <x v="1"/>
    <x v="0"/>
    <x v="2"/>
    <x v="1"/>
    <x v="1"/>
    <x v="1"/>
    <x v="355"/>
    <s v="AGUADULCE"/>
    <x v="3"/>
  </r>
  <r>
    <x v="75"/>
    <x v="33"/>
    <x v="1"/>
    <x v="1"/>
    <x v="0"/>
    <x v="2"/>
    <x v="37"/>
    <x v="241"/>
    <x v="1560"/>
    <x v="0"/>
    <s v="SABANITAS"/>
    <x v="3"/>
  </r>
  <r>
    <x v="75"/>
    <x v="101"/>
    <x v="1"/>
    <x v="1"/>
    <x v="0"/>
    <x v="2"/>
    <x v="37"/>
    <x v="207"/>
    <x v="1338"/>
    <x v="0"/>
    <s v="SABANITAS"/>
    <x v="3"/>
  </r>
  <r>
    <x v="75"/>
    <x v="1"/>
    <x v="1"/>
    <x v="1"/>
    <x v="0"/>
    <x v="2"/>
    <x v="1"/>
    <x v="1"/>
    <x v="1"/>
    <x v="440"/>
    <s v="SABANITAS"/>
    <x v="3"/>
  </r>
  <r>
    <x v="41"/>
    <x v="1"/>
    <x v="1"/>
    <x v="1"/>
    <x v="0"/>
    <x v="2"/>
    <x v="1"/>
    <x v="1"/>
    <x v="1"/>
    <x v="441"/>
    <s v="METROMALL"/>
    <x v="3"/>
  </r>
  <r>
    <x v="45"/>
    <x v="108"/>
    <x v="3"/>
    <x v="3"/>
    <x v="0"/>
    <x v="2"/>
    <x v="38"/>
    <x v="63"/>
    <x v="768"/>
    <x v="0"/>
    <s v="SAN FRANCISCO"/>
    <x v="3"/>
  </r>
  <r>
    <x v="45"/>
    <x v="1"/>
    <x v="1"/>
    <x v="1"/>
    <x v="0"/>
    <x v="2"/>
    <x v="1"/>
    <x v="1"/>
    <x v="1"/>
    <x v="442"/>
    <s v="SAN FRANCISCO"/>
    <x v="3"/>
  </r>
  <r>
    <x v="46"/>
    <x v="50"/>
    <x v="4"/>
    <x v="4"/>
    <x v="0"/>
    <x v="2"/>
    <x v="37"/>
    <x v="77"/>
    <x v="1561"/>
    <x v="0"/>
    <s v="PLAZA BANCO GENERAL"/>
    <x v="3"/>
  </r>
  <r>
    <x v="46"/>
    <x v="1"/>
    <x v="1"/>
    <x v="1"/>
    <x v="0"/>
    <x v="2"/>
    <x v="1"/>
    <x v="1"/>
    <x v="1"/>
    <x v="443"/>
    <s v="PLAZA BANCO GENERAL"/>
    <x v="3"/>
  </r>
  <r>
    <x v="49"/>
    <x v="101"/>
    <x v="1"/>
    <x v="1"/>
    <x v="0"/>
    <x v="2"/>
    <x v="37"/>
    <x v="207"/>
    <x v="1562"/>
    <x v="0"/>
    <s v="CLAYTON"/>
    <x v="3"/>
  </r>
  <r>
    <x v="49"/>
    <x v="1"/>
    <x v="1"/>
    <x v="1"/>
    <x v="0"/>
    <x v="2"/>
    <x v="1"/>
    <x v="1"/>
    <x v="1"/>
    <x v="444"/>
    <s v="CLAYTON"/>
    <x v="3"/>
  </r>
  <r>
    <x v="51"/>
    <x v="70"/>
    <x v="2"/>
    <x v="2"/>
    <x v="0"/>
    <x v="2"/>
    <x v="37"/>
    <x v="36"/>
    <x v="1563"/>
    <x v="0"/>
    <s v="PLAZA CAROLINA"/>
    <x v="3"/>
  </r>
  <r>
    <x v="51"/>
    <x v="1"/>
    <x v="1"/>
    <x v="1"/>
    <x v="0"/>
    <x v="2"/>
    <x v="1"/>
    <x v="1"/>
    <x v="1"/>
    <x v="445"/>
    <s v="PLAZA CAROLINA"/>
    <x v="3"/>
  </r>
  <r>
    <x v="52"/>
    <x v="98"/>
    <x v="1"/>
    <x v="1"/>
    <x v="0"/>
    <x v="2"/>
    <x v="37"/>
    <x v="198"/>
    <x v="1564"/>
    <x v="0"/>
    <s v="PLAZA CORDOBA"/>
    <x v="3"/>
  </r>
  <r>
    <x v="52"/>
    <x v="1"/>
    <x v="1"/>
    <x v="1"/>
    <x v="0"/>
    <x v="2"/>
    <x v="1"/>
    <x v="1"/>
    <x v="1"/>
    <x v="446"/>
    <s v="PLAZA CORDOBA"/>
    <x v="3"/>
  </r>
  <r>
    <x v="54"/>
    <x v="21"/>
    <x v="6"/>
    <x v="6"/>
    <x v="0"/>
    <x v="2"/>
    <x v="37"/>
    <x v="70"/>
    <x v="816"/>
    <x v="0"/>
    <s v="JUSTO AROSEMENA"/>
    <x v="3"/>
  </r>
  <r>
    <x v="54"/>
    <x v="1"/>
    <x v="1"/>
    <x v="1"/>
    <x v="0"/>
    <x v="2"/>
    <x v="1"/>
    <x v="1"/>
    <x v="1"/>
    <x v="447"/>
    <s v="JUSTO AROSEMENA"/>
    <x v="3"/>
  </r>
  <r>
    <x v="55"/>
    <x v="70"/>
    <x v="2"/>
    <x v="2"/>
    <x v="0"/>
    <x v="3"/>
    <x v="37"/>
    <x v="36"/>
    <x v="1565"/>
    <x v="0"/>
    <s v="NEGOCIOS"/>
    <x v="3"/>
  </r>
  <r>
    <x v="55"/>
    <x v="71"/>
    <x v="6"/>
    <x v="6"/>
    <x v="0"/>
    <x v="3"/>
    <x v="37"/>
    <x v="37"/>
    <x v="1566"/>
    <x v="0"/>
    <s v="NEGOCIOS"/>
    <x v="3"/>
  </r>
  <r>
    <x v="55"/>
    <x v="1"/>
    <x v="1"/>
    <x v="1"/>
    <x v="0"/>
    <x v="3"/>
    <x v="1"/>
    <x v="1"/>
    <x v="1"/>
    <x v="448"/>
    <s v="NEGOCIOS"/>
    <x v="3"/>
  </r>
  <r>
    <x v="55"/>
    <x v="1"/>
    <x v="1"/>
    <x v="1"/>
    <x v="0"/>
    <x v="24"/>
    <x v="1"/>
    <x v="1"/>
    <x v="1"/>
    <x v="449"/>
    <s v="NEGOCIOS"/>
    <x v="3"/>
  </r>
  <r>
    <x v="55"/>
    <x v="89"/>
    <x v="4"/>
    <x v="4"/>
    <x v="0"/>
    <x v="4"/>
    <x v="37"/>
    <x v="154"/>
    <x v="1567"/>
    <x v="0"/>
    <s v="NEGOCIOS"/>
    <x v="3"/>
  </r>
  <r>
    <x v="55"/>
    <x v="1"/>
    <x v="1"/>
    <x v="1"/>
    <x v="0"/>
    <x v="4"/>
    <x v="1"/>
    <x v="1"/>
    <x v="1"/>
    <x v="450"/>
    <s v="NEGOCIOS"/>
    <x v="3"/>
  </r>
  <r>
    <x v="55"/>
    <x v="39"/>
    <x v="4"/>
    <x v="4"/>
    <x v="0"/>
    <x v="5"/>
    <x v="37"/>
    <x v="210"/>
    <x v="1554"/>
    <x v="0"/>
    <s v="NEGOCIOS"/>
    <x v="3"/>
  </r>
  <r>
    <x v="55"/>
    <x v="1"/>
    <x v="1"/>
    <x v="1"/>
    <x v="0"/>
    <x v="5"/>
    <x v="1"/>
    <x v="1"/>
    <x v="1"/>
    <x v="451"/>
    <s v="NEGOCIOS"/>
    <x v="3"/>
  </r>
  <r>
    <x v="55"/>
    <x v="86"/>
    <x v="6"/>
    <x v="6"/>
    <x v="0"/>
    <x v="6"/>
    <x v="38"/>
    <x v="224"/>
    <x v="1568"/>
    <x v="0"/>
    <s v="NEGOCIOS"/>
    <x v="3"/>
  </r>
  <r>
    <x v="55"/>
    <x v="135"/>
    <x v="3"/>
    <x v="3"/>
    <x v="0"/>
    <x v="6"/>
    <x v="38"/>
    <x v="149"/>
    <x v="1569"/>
    <x v="0"/>
    <s v="NEGOCIOS"/>
    <x v="3"/>
  </r>
  <r>
    <x v="55"/>
    <x v="89"/>
    <x v="4"/>
    <x v="4"/>
    <x v="0"/>
    <x v="6"/>
    <x v="38"/>
    <x v="154"/>
    <x v="1570"/>
    <x v="0"/>
    <s v="NEGOCIOS"/>
    <x v="3"/>
  </r>
  <r>
    <x v="55"/>
    <x v="92"/>
    <x v="0"/>
    <x v="0"/>
    <x v="0"/>
    <x v="6"/>
    <x v="38"/>
    <x v="109"/>
    <x v="1571"/>
    <x v="0"/>
    <s v="NEGOCIOS"/>
    <x v="3"/>
  </r>
  <r>
    <x v="55"/>
    <x v="122"/>
    <x v="0"/>
    <x v="0"/>
    <x v="0"/>
    <x v="6"/>
    <x v="38"/>
    <x v="181"/>
    <x v="1572"/>
    <x v="0"/>
    <s v="NEGOCIOS"/>
    <x v="3"/>
  </r>
  <r>
    <x v="55"/>
    <x v="139"/>
    <x v="5"/>
    <x v="5"/>
    <x v="0"/>
    <x v="6"/>
    <x v="38"/>
    <x v="110"/>
    <x v="1573"/>
    <x v="0"/>
    <s v="NEGOCIOS"/>
    <x v="3"/>
  </r>
  <r>
    <x v="55"/>
    <x v="150"/>
    <x v="5"/>
    <x v="5"/>
    <x v="0"/>
    <x v="6"/>
    <x v="37"/>
    <x v="214"/>
    <x v="1574"/>
    <x v="0"/>
    <s v="NEGOCIOS"/>
    <x v="3"/>
  </r>
  <r>
    <x v="55"/>
    <x v="83"/>
    <x v="1"/>
    <x v="1"/>
    <x v="0"/>
    <x v="6"/>
    <x v="38"/>
    <x v="215"/>
    <x v="1575"/>
    <x v="0"/>
    <s v="NEGOCIOS"/>
    <x v="3"/>
  </r>
  <r>
    <x v="55"/>
    <x v="40"/>
    <x v="1"/>
    <x v="1"/>
    <x v="0"/>
    <x v="6"/>
    <x v="37"/>
    <x v="125"/>
    <x v="1576"/>
    <x v="0"/>
    <s v="NEGOCIOS"/>
    <x v="3"/>
  </r>
  <r>
    <x v="55"/>
    <x v="14"/>
    <x v="1"/>
    <x v="1"/>
    <x v="0"/>
    <x v="6"/>
    <x v="38"/>
    <x v="112"/>
    <x v="1577"/>
    <x v="0"/>
    <s v="NEGOCIOS"/>
    <x v="3"/>
  </r>
  <r>
    <x v="55"/>
    <x v="41"/>
    <x v="1"/>
    <x v="1"/>
    <x v="0"/>
    <x v="6"/>
    <x v="37"/>
    <x v="113"/>
    <x v="1578"/>
    <x v="0"/>
    <s v="NEGOCIOS"/>
    <x v="3"/>
  </r>
  <r>
    <x v="55"/>
    <x v="22"/>
    <x v="1"/>
    <x v="1"/>
    <x v="0"/>
    <x v="6"/>
    <x v="37"/>
    <x v="211"/>
    <x v="1579"/>
    <x v="0"/>
    <s v="NEGOCIOS"/>
    <x v="3"/>
  </r>
  <r>
    <x v="55"/>
    <x v="33"/>
    <x v="1"/>
    <x v="1"/>
    <x v="0"/>
    <x v="6"/>
    <x v="37"/>
    <x v="241"/>
    <x v="1580"/>
    <x v="0"/>
    <s v="NEGOCIOS"/>
    <x v="3"/>
  </r>
  <r>
    <x v="55"/>
    <x v="101"/>
    <x v="1"/>
    <x v="1"/>
    <x v="0"/>
    <x v="6"/>
    <x v="37"/>
    <x v="207"/>
    <x v="1424"/>
    <x v="0"/>
    <s v="NEGOCIOS"/>
    <x v="3"/>
  </r>
  <r>
    <x v="55"/>
    <x v="1"/>
    <x v="1"/>
    <x v="1"/>
    <x v="0"/>
    <x v="6"/>
    <x v="1"/>
    <x v="1"/>
    <x v="1"/>
    <x v="452"/>
    <s v="NEGOCIOS"/>
    <x v="3"/>
  </r>
  <r>
    <x v="55"/>
    <x v="96"/>
    <x v="6"/>
    <x v="6"/>
    <x v="0"/>
    <x v="7"/>
    <x v="37"/>
    <x v="165"/>
    <x v="1"/>
    <x v="453"/>
    <s v="NEGOCIOS"/>
    <x v="3"/>
  </r>
  <r>
    <x v="55"/>
    <x v="50"/>
    <x v="4"/>
    <x v="4"/>
    <x v="0"/>
    <x v="7"/>
    <x v="37"/>
    <x v="77"/>
    <x v="1581"/>
    <x v="0"/>
    <s v="NEGOCIOS"/>
    <x v="3"/>
  </r>
  <r>
    <x v="55"/>
    <x v="39"/>
    <x v="4"/>
    <x v="4"/>
    <x v="0"/>
    <x v="7"/>
    <x v="37"/>
    <x v="210"/>
    <x v="1582"/>
    <x v="0"/>
    <s v="NEGOCIOS"/>
    <x v="3"/>
  </r>
  <r>
    <x v="55"/>
    <x v="39"/>
    <x v="4"/>
    <x v="4"/>
    <x v="0"/>
    <x v="7"/>
    <x v="37"/>
    <x v="210"/>
    <x v="1"/>
    <x v="454"/>
    <s v="NEGOCIOS"/>
    <x v="3"/>
  </r>
  <r>
    <x v="55"/>
    <x v="40"/>
    <x v="1"/>
    <x v="1"/>
    <x v="0"/>
    <x v="7"/>
    <x v="37"/>
    <x v="125"/>
    <x v="1583"/>
    <x v="0"/>
    <s v="NEGOCIOS"/>
    <x v="3"/>
  </r>
  <r>
    <x v="55"/>
    <x v="1"/>
    <x v="1"/>
    <x v="1"/>
    <x v="0"/>
    <x v="7"/>
    <x v="1"/>
    <x v="1"/>
    <x v="1"/>
    <x v="455"/>
    <s v="NEGOCIOS"/>
    <x v="3"/>
  </r>
  <r>
    <x v="55"/>
    <x v="169"/>
    <x v="6"/>
    <x v="6"/>
    <x v="0"/>
    <x v="8"/>
    <x v="38"/>
    <x v="249"/>
    <x v="1584"/>
    <x v="0"/>
    <s v="NEGOCIOS"/>
    <x v="3"/>
  </r>
  <r>
    <x v="55"/>
    <x v="4"/>
    <x v="4"/>
    <x v="4"/>
    <x v="0"/>
    <x v="8"/>
    <x v="38"/>
    <x v="199"/>
    <x v="1585"/>
    <x v="0"/>
    <s v="NEGOCIOS"/>
    <x v="3"/>
  </r>
  <r>
    <x v="55"/>
    <x v="1"/>
    <x v="1"/>
    <x v="1"/>
    <x v="0"/>
    <x v="8"/>
    <x v="1"/>
    <x v="1"/>
    <x v="1"/>
    <x v="456"/>
    <s v="NEGOCIOS"/>
    <x v="3"/>
  </r>
  <r>
    <x v="55"/>
    <x v="107"/>
    <x v="2"/>
    <x v="2"/>
    <x v="0"/>
    <x v="9"/>
    <x v="37"/>
    <x v="158"/>
    <x v="910"/>
    <x v="0"/>
    <s v="NEGOCIOS"/>
    <x v="3"/>
  </r>
  <r>
    <x v="55"/>
    <x v="96"/>
    <x v="6"/>
    <x v="6"/>
    <x v="0"/>
    <x v="9"/>
    <x v="38"/>
    <x v="165"/>
    <x v="1586"/>
    <x v="0"/>
    <s v="NEGOCIOS"/>
    <x v="3"/>
  </r>
  <r>
    <x v="55"/>
    <x v="79"/>
    <x v="3"/>
    <x v="3"/>
    <x v="0"/>
    <x v="9"/>
    <x v="37"/>
    <x v="142"/>
    <x v="1121"/>
    <x v="0"/>
    <s v="NEGOCIOS"/>
    <x v="3"/>
  </r>
  <r>
    <x v="55"/>
    <x v="62"/>
    <x v="4"/>
    <x v="4"/>
    <x v="0"/>
    <x v="9"/>
    <x v="38"/>
    <x v="176"/>
    <x v="903"/>
    <x v="0"/>
    <s v="NEGOCIOS"/>
    <x v="3"/>
  </r>
  <r>
    <x v="55"/>
    <x v="145"/>
    <x v="5"/>
    <x v="5"/>
    <x v="0"/>
    <x v="9"/>
    <x v="38"/>
    <x v="124"/>
    <x v="1587"/>
    <x v="0"/>
    <s v="NEGOCIOS"/>
    <x v="3"/>
  </r>
  <r>
    <x v="55"/>
    <x v="1"/>
    <x v="1"/>
    <x v="1"/>
    <x v="0"/>
    <x v="9"/>
    <x v="1"/>
    <x v="1"/>
    <x v="1"/>
    <x v="457"/>
    <s v="NEGOCIOS"/>
    <x v="3"/>
  </r>
  <r>
    <x v="55"/>
    <x v="1"/>
    <x v="1"/>
    <x v="1"/>
    <x v="0"/>
    <x v="26"/>
    <x v="1"/>
    <x v="1"/>
    <x v="1"/>
    <x v="458"/>
    <s v="NEGOCIOS"/>
    <x v="3"/>
  </r>
  <r>
    <x v="55"/>
    <x v="85"/>
    <x v="2"/>
    <x v="2"/>
    <x v="0"/>
    <x v="11"/>
    <x v="38"/>
    <x v="161"/>
    <x v="1588"/>
    <x v="0"/>
    <s v="NEGOCIOS"/>
    <x v="3"/>
  </r>
  <r>
    <x v="55"/>
    <x v="1"/>
    <x v="1"/>
    <x v="1"/>
    <x v="0"/>
    <x v="11"/>
    <x v="1"/>
    <x v="1"/>
    <x v="1"/>
    <x v="459"/>
    <s v="NEGOCIOS"/>
    <x v="3"/>
  </r>
  <r>
    <x v="55"/>
    <x v="169"/>
    <x v="6"/>
    <x v="6"/>
    <x v="0"/>
    <x v="12"/>
    <x v="38"/>
    <x v="249"/>
    <x v="1589"/>
    <x v="0"/>
    <s v="NEGOCIOS"/>
    <x v="3"/>
  </r>
  <r>
    <x v="55"/>
    <x v="79"/>
    <x v="3"/>
    <x v="3"/>
    <x v="0"/>
    <x v="12"/>
    <x v="38"/>
    <x v="142"/>
    <x v="1590"/>
    <x v="0"/>
    <s v="NEGOCIOS"/>
    <x v="3"/>
  </r>
  <r>
    <x v="55"/>
    <x v="62"/>
    <x v="4"/>
    <x v="4"/>
    <x v="0"/>
    <x v="12"/>
    <x v="38"/>
    <x v="176"/>
    <x v="1591"/>
    <x v="0"/>
    <s v="NEGOCIOS"/>
    <x v="3"/>
  </r>
  <r>
    <x v="55"/>
    <x v="4"/>
    <x v="4"/>
    <x v="4"/>
    <x v="0"/>
    <x v="12"/>
    <x v="38"/>
    <x v="199"/>
    <x v="1592"/>
    <x v="0"/>
    <s v="NEGOCIOS"/>
    <x v="3"/>
  </r>
  <r>
    <x v="55"/>
    <x v="1"/>
    <x v="1"/>
    <x v="1"/>
    <x v="0"/>
    <x v="12"/>
    <x v="1"/>
    <x v="1"/>
    <x v="1"/>
    <x v="460"/>
    <s v="NEGOCIOS"/>
    <x v="3"/>
  </r>
  <r>
    <x v="55"/>
    <x v="96"/>
    <x v="6"/>
    <x v="6"/>
    <x v="0"/>
    <x v="13"/>
    <x v="37"/>
    <x v="165"/>
    <x v="1593"/>
    <x v="0"/>
    <s v="NEGOCIOS"/>
    <x v="3"/>
  </r>
  <r>
    <x v="55"/>
    <x v="145"/>
    <x v="5"/>
    <x v="5"/>
    <x v="0"/>
    <x v="13"/>
    <x v="38"/>
    <x v="124"/>
    <x v="816"/>
    <x v="0"/>
    <s v="NEGOCIOS"/>
    <x v="3"/>
  </r>
  <r>
    <x v="55"/>
    <x v="1"/>
    <x v="1"/>
    <x v="1"/>
    <x v="0"/>
    <x v="13"/>
    <x v="1"/>
    <x v="1"/>
    <x v="1"/>
    <x v="461"/>
    <s v="NEGOCIOS"/>
    <x v="3"/>
  </r>
  <r>
    <x v="55"/>
    <x v="85"/>
    <x v="2"/>
    <x v="2"/>
    <x v="0"/>
    <x v="14"/>
    <x v="38"/>
    <x v="161"/>
    <x v="1594"/>
    <x v="0"/>
    <s v="NEGOCIOS"/>
    <x v="3"/>
  </r>
  <r>
    <x v="55"/>
    <x v="144"/>
    <x v="2"/>
    <x v="2"/>
    <x v="0"/>
    <x v="14"/>
    <x v="38"/>
    <x v="162"/>
    <x v="816"/>
    <x v="0"/>
    <s v="NEGOCIOS"/>
    <x v="3"/>
  </r>
  <r>
    <x v="55"/>
    <x v="9"/>
    <x v="6"/>
    <x v="6"/>
    <x v="0"/>
    <x v="14"/>
    <x v="38"/>
    <x v="255"/>
    <x v="1061"/>
    <x v="0"/>
    <s v="NEGOCIOS"/>
    <x v="3"/>
  </r>
  <r>
    <x v="55"/>
    <x v="23"/>
    <x v="3"/>
    <x v="3"/>
    <x v="0"/>
    <x v="14"/>
    <x v="37"/>
    <x v="221"/>
    <x v="1595"/>
    <x v="0"/>
    <s v="NEGOCIOS"/>
    <x v="3"/>
  </r>
  <r>
    <x v="55"/>
    <x v="79"/>
    <x v="3"/>
    <x v="3"/>
    <x v="0"/>
    <x v="14"/>
    <x v="37"/>
    <x v="142"/>
    <x v="816"/>
    <x v="0"/>
    <s v="NEGOCIOS"/>
    <x v="3"/>
  </r>
  <r>
    <x v="55"/>
    <x v="50"/>
    <x v="4"/>
    <x v="4"/>
    <x v="0"/>
    <x v="14"/>
    <x v="37"/>
    <x v="77"/>
    <x v="900"/>
    <x v="0"/>
    <s v="NEGOCIOS"/>
    <x v="3"/>
  </r>
  <r>
    <x v="55"/>
    <x v="89"/>
    <x v="4"/>
    <x v="4"/>
    <x v="0"/>
    <x v="14"/>
    <x v="37"/>
    <x v="154"/>
    <x v="1596"/>
    <x v="0"/>
    <s v="NEGOCIOS"/>
    <x v="3"/>
  </r>
  <r>
    <x v="55"/>
    <x v="62"/>
    <x v="4"/>
    <x v="4"/>
    <x v="0"/>
    <x v="14"/>
    <x v="37"/>
    <x v="176"/>
    <x v="1061"/>
    <x v="0"/>
    <s v="NEGOCIOS"/>
    <x v="3"/>
  </r>
  <r>
    <x v="55"/>
    <x v="159"/>
    <x v="0"/>
    <x v="0"/>
    <x v="0"/>
    <x v="14"/>
    <x v="37"/>
    <x v="177"/>
    <x v="1596"/>
    <x v="0"/>
    <s v="NEGOCIOS"/>
    <x v="3"/>
  </r>
  <r>
    <x v="55"/>
    <x v="145"/>
    <x v="5"/>
    <x v="5"/>
    <x v="0"/>
    <x v="14"/>
    <x v="37"/>
    <x v="124"/>
    <x v="816"/>
    <x v="0"/>
    <s v="NEGOCIOS"/>
    <x v="3"/>
  </r>
  <r>
    <x v="55"/>
    <x v="150"/>
    <x v="5"/>
    <x v="5"/>
    <x v="0"/>
    <x v="14"/>
    <x v="37"/>
    <x v="214"/>
    <x v="1061"/>
    <x v="0"/>
    <s v="NEGOCIOS"/>
    <x v="3"/>
  </r>
  <r>
    <x v="55"/>
    <x v="40"/>
    <x v="1"/>
    <x v="1"/>
    <x v="0"/>
    <x v="14"/>
    <x v="37"/>
    <x v="125"/>
    <x v="816"/>
    <x v="0"/>
    <s v="NEGOCIOS"/>
    <x v="3"/>
  </r>
  <r>
    <x v="55"/>
    <x v="1"/>
    <x v="1"/>
    <x v="1"/>
    <x v="0"/>
    <x v="14"/>
    <x v="1"/>
    <x v="1"/>
    <x v="1"/>
    <x v="462"/>
    <s v="NEGOCIOS"/>
    <x v="3"/>
  </r>
  <r>
    <x v="55"/>
    <x v="159"/>
    <x v="0"/>
    <x v="0"/>
    <x v="0"/>
    <x v="15"/>
    <x v="38"/>
    <x v="177"/>
    <x v="1061"/>
    <x v="0"/>
    <s v="NEGOCIOS"/>
    <x v="3"/>
  </r>
  <r>
    <x v="55"/>
    <x v="1"/>
    <x v="1"/>
    <x v="1"/>
    <x v="0"/>
    <x v="15"/>
    <x v="1"/>
    <x v="1"/>
    <x v="1"/>
    <x v="463"/>
    <s v="NEGOCIOS"/>
    <x v="3"/>
  </r>
  <r>
    <x v="55"/>
    <x v="25"/>
    <x v="2"/>
    <x v="2"/>
    <x v="0"/>
    <x v="28"/>
    <x v="38"/>
    <x v="169"/>
    <x v="1597"/>
    <x v="0"/>
    <s v="NEGOCIOS"/>
    <x v="3"/>
  </r>
  <r>
    <x v="55"/>
    <x v="75"/>
    <x v="3"/>
    <x v="3"/>
    <x v="0"/>
    <x v="28"/>
    <x v="38"/>
    <x v="220"/>
    <x v="1182"/>
    <x v="0"/>
    <s v="NEGOCIOS"/>
    <x v="3"/>
  </r>
  <r>
    <x v="55"/>
    <x v="78"/>
    <x v="4"/>
    <x v="4"/>
    <x v="0"/>
    <x v="28"/>
    <x v="37"/>
    <x v="160"/>
    <x v="1"/>
    <x v="464"/>
    <s v="NEGOCIOS"/>
    <x v="3"/>
  </r>
  <r>
    <x v="55"/>
    <x v="142"/>
    <x v="0"/>
    <x v="0"/>
    <x v="0"/>
    <x v="28"/>
    <x v="37"/>
    <x v="119"/>
    <x v="1598"/>
    <x v="0"/>
    <s v="NEGOCIOS"/>
    <x v="3"/>
  </r>
  <r>
    <x v="55"/>
    <x v="141"/>
    <x v="5"/>
    <x v="5"/>
    <x v="0"/>
    <x v="28"/>
    <x v="38"/>
    <x v="185"/>
    <x v="1599"/>
    <x v="0"/>
    <s v="NEGOCIOS"/>
    <x v="3"/>
  </r>
  <r>
    <x v="55"/>
    <x v="151"/>
    <x v="1"/>
    <x v="1"/>
    <x v="0"/>
    <x v="28"/>
    <x v="38"/>
    <x v="166"/>
    <x v="1600"/>
    <x v="0"/>
    <s v="NEGOCIOS"/>
    <x v="3"/>
  </r>
  <r>
    <x v="55"/>
    <x v="1"/>
    <x v="1"/>
    <x v="1"/>
    <x v="0"/>
    <x v="28"/>
    <x v="1"/>
    <x v="1"/>
    <x v="1"/>
    <x v="465"/>
    <s v="NEGOCIOS"/>
    <x v="3"/>
  </r>
  <r>
    <x v="55"/>
    <x v="1"/>
    <x v="1"/>
    <x v="1"/>
    <x v="0"/>
    <x v="29"/>
    <x v="1"/>
    <x v="1"/>
    <x v="1"/>
    <x v="466"/>
    <s v="NEGOCIOS"/>
    <x v="3"/>
  </r>
  <r>
    <x v="55"/>
    <x v="84"/>
    <x v="2"/>
    <x v="2"/>
    <x v="0"/>
    <x v="16"/>
    <x v="38"/>
    <x v="203"/>
    <x v="1601"/>
    <x v="0"/>
    <s v="NEGOCIOS"/>
    <x v="3"/>
  </r>
  <r>
    <x v="55"/>
    <x v="1"/>
    <x v="1"/>
    <x v="1"/>
    <x v="0"/>
    <x v="16"/>
    <x v="1"/>
    <x v="1"/>
    <x v="1"/>
    <x v="467"/>
    <s v="NEGOCIOS"/>
    <x v="3"/>
  </r>
  <r>
    <x v="55"/>
    <x v="85"/>
    <x v="2"/>
    <x v="2"/>
    <x v="0"/>
    <x v="30"/>
    <x v="37"/>
    <x v="161"/>
    <x v="1602"/>
    <x v="0"/>
    <s v="NEGOCIOS"/>
    <x v="3"/>
  </r>
  <r>
    <x v="55"/>
    <x v="107"/>
    <x v="2"/>
    <x v="2"/>
    <x v="0"/>
    <x v="30"/>
    <x v="37"/>
    <x v="158"/>
    <x v="1603"/>
    <x v="0"/>
    <s v="NEGOCIOS"/>
    <x v="3"/>
  </r>
  <r>
    <x v="55"/>
    <x v="1"/>
    <x v="1"/>
    <x v="1"/>
    <x v="0"/>
    <x v="30"/>
    <x v="1"/>
    <x v="1"/>
    <x v="1"/>
    <x v="468"/>
    <s v="NEGOCIOS"/>
    <x v="3"/>
  </r>
  <r>
    <x v="55"/>
    <x v="102"/>
    <x v="6"/>
    <x v="6"/>
    <x v="0"/>
    <x v="17"/>
    <x v="37"/>
    <x v="141"/>
    <x v="1604"/>
    <x v="0"/>
    <s v="NEGOCIOS"/>
    <x v="3"/>
  </r>
  <r>
    <x v="55"/>
    <x v="1"/>
    <x v="1"/>
    <x v="1"/>
    <x v="0"/>
    <x v="17"/>
    <x v="1"/>
    <x v="1"/>
    <x v="1"/>
    <x v="469"/>
    <s v="NEGOCIOS"/>
    <x v="3"/>
  </r>
  <r>
    <x v="55"/>
    <x v="24"/>
    <x v="2"/>
    <x v="2"/>
    <x v="0"/>
    <x v="32"/>
    <x v="38"/>
    <x v="202"/>
    <x v="1602"/>
    <x v="0"/>
    <s v="NEGOCIOS"/>
    <x v="3"/>
  </r>
  <r>
    <x v="55"/>
    <x v="21"/>
    <x v="6"/>
    <x v="6"/>
    <x v="0"/>
    <x v="32"/>
    <x v="37"/>
    <x v="70"/>
    <x v="1605"/>
    <x v="0"/>
    <s v="NEGOCIOS"/>
    <x v="3"/>
  </r>
  <r>
    <x v="55"/>
    <x v="1"/>
    <x v="1"/>
    <x v="1"/>
    <x v="0"/>
    <x v="32"/>
    <x v="1"/>
    <x v="1"/>
    <x v="1"/>
    <x v="470"/>
    <s v="NEGOCIOS"/>
    <x v="3"/>
  </r>
  <r>
    <x v="55"/>
    <x v="79"/>
    <x v="3"/>
    <x v="3"/>
    <x v="0"/>
    <x v="34"/>
    <x v="38"/>
    <x v="142"/>
    <x v="952"/>
    <x v="0"/>
    <s v="NEGOCIOS"/>
    <x v="3"/>
  </r>
  <r>
    <x v="55"/>
    <x v="90"/>
    <x v="0"/>
    <x v="0"/>
    <x v="0"/>
    <x v="34"/>
    <x v="37"/>
    <x v="79"/>
    <x v="1"/>
    <x v="471"/>
    <s v="NEGOCIOS"/>
    <x v="3"/>
  </r>
  <r>
    <x v="55"/>
    <x v="155"/>
    <x v="1"/>
    <x v="1"/>
    <x v="0"/>
    <x v="34"/>
    <x v="38"/>
    <x v="145"/>
    <x v="1596"/>
    <x v="0"/>
    <s v="NEGOCIOS"/>
    <x v="3"/>
  </r>
  <r>
    <x v="55"/>
    <x v="33"/>
    <x v="1"/>
    <x v="1"/>
    <x v="0"/>
    <x v="34"/>
    <x v="38"/>
    <x v="241"/>
    <x v="1606"/>
    <x v="0"/>
    <s v="NEGOCIOS"/>
    <x v="3"/>
  </r>
  <r>
    <x v="55"/>
    <x v="1"/>
    <x v="1"/>
    <x v="1"/>
    <x v="0"/>
    <x v="34"/>
    <x v="1"/>
    <x v="1"/>
    <x v="1"/>
    <x v="472"/>
    <s v="NEGOCIOS"/>
    <x v="3"/>
  </r>
  <r>
    <x v="56"/>
    <x v="1"/>
    <x v="1"/>
    <x v="1"/>
    <x v="0"/>
    <x v="2"/>
    <x v="1"/>
    <x v="1"/>
    <x v="1"/>
    <x v="221"/>
    <s v="BOULEVARD EL DORADO"/>
    <x v="3"/>
  </r>
  <r>
    <x v="58"/>
    <x v="23"/>
    <x v="3"/>
    <x v="3"/>
    <x v="0"/>
    <x v="2"/>
    <x v="37"/>
    <x v="221"/>
    <x v="1607"/>
    <x v="0"/>
    <s v="SANTIAGO INTERAMERICANA"/>
    <x v="3"/>
  </r>
  <r>
    <x v="58"/>
    <x v="40"/>
    <x v="1"/>
    <x v="1"/>
    <x v="0"/>
    <x v="2"/>
    <x v="37"/>
    <x v="125"/>
    <x v="1608"/>
    <x v="0"/>
    <s v="SANTIAGO INTERAMERICANA"/>
    <x v="3"/>
  </r>
  <r>
    <x v="58"/>
    <x v="1"/>
    <x v="1"/>
    <x v="1"/>
    <x v="0"/>
    <x v="2"/>
    <x v="1"/>
    <x v="1"/>
    <x v="1"/>
    <x v="473"/>
    <s v="SANTIAGO INTERAMERICANA"/>
    <x v="3"/>
  </r>
  <r>
    <x v="66"/>
    <x v="41"/>
    <x v="1"/>
    <x v="1"/>
    <x v="0"/>
    <x v="2"/>
    <x v="37"/>
    <x v="113"/>
    <x v="1609"/>
    <x v="0"/>
    <s v="BRISAS DEL GOLF ARRAIJAN"/>
    <x v="3"/>
  </r>
  <r>
    <x v="66"/>
    <x v="1"/>
    <x v="1"/>
    <x v="1"/>
    <x v="0"/>
    <x v="2"/>
    <x v="1"/>
    <x v="1"/>
    <x v="1"/>
    <x v="474"/>
    <s v="BRISAS DEL GOLF ARRAIJAN"/>
    <x v="3"/>
  </r>
  <r>
    <x v="0"/>
    <x v="70"/>
    <x v="2"/>
    <x v="2"/>
    <x v="0"/>
    <x v="2"/>
    <x v="39"/>
    <x v="36"/>
    <x v="1381"/>
    <x v="0"/>
    <s v="CASA MATRIZ"/>
    <x v="4"/>
  </r>
  <r>
    <x v="0"/>
    <x v="144"/>
    <x v="2"/>
    <x v="2"/>
    <x v="0"/>
    <x v="2"/>
    <x v="39"/>
    <x v="162"/>
    <x v="1610"/>
    <x v="0"/>
    <s v="CASA MATRIZ"/>
    <x v="4"/>
  </r>
  <r>
    <x v="0"/>
    <x v="86"/>
    <x v="6"/>
    <x v="6"/>
    <x v="0"/>
    <x v="2"/>
    <x v="39"/>
    <x v="224"/>
    <x v="1611"/>
    <x v="0"/>
    <s v="CASA MATRIZ"/>
    <x v="4"/>
  </r>
  <r>
    <x v="0"/>
    <x v="108"/>
    <x v="3"/>
    <x v="3"/>
    <x v="0"/>
    <x v="2"/>
    <x v="39"/>
    <x v="63"/>
    <x v="1612"/>
    <x v="0"/>
    <s v="CASA MATRIZ"/>
    <x v="4"/>
  </r>
  <r>
    <x v="0"/>
    <x v="135"/>
    <x v="3"/>
    <x v="3"/>
    <x v="0"/>
    <x v="2"/>
    <x v="39"/>
    <x v="149"/>
    <x v="1613"/>
    <x v="0"/>
    <s v="CASA MATRIZ"/>
    <x v="4"/>
  </r>
  <r>
    <x v="0"/>
    <x v="0"/>
    <x v="0"/>
    <x v="0"/>
    <x v="0"/>
    <x v="2"/>
    <x v="39"/>
    <x v="197"/>
    <x v="1614"/>
    <x v="0"/>
    <s v="CASA MATRIZ"/>
    <x v="4"/>
  </r>
  <r>
    <x v="0"/>
    <x v="13"/>
    <x v="5"/>
    <x v="5"/>
    <x v="0"/>
    <x v="2"/>
    <x v="39"/>
    <x v="120"/>
    <x v="1615"/>
    <x v="0"/>
    <s v="CASA MATRIZ"/>
    <x v="4"/>
  </r>
  <r>
    <x v="0"/>
    <x v="139"/>
    <x v="5"/>
    <x v="5"/>
    <x v="0"/>
    <x v="2"/>
    <x v="39"/>
    <x v="110"/>
    <x v="1616"/>
    <x v="0"/>
    <s v="CASA MATRIZ"/>
    <x v="4"/>
  </r>
  <r>
    <x v="0"/>
    <x v="153"/>
    <x v="5"/>
    <x v="5"/>
    <x v="0"/>
    <x v="2"/>
    <x v="39"/>
    <x v="157"/>
    <x v="1617"/>
    <x v="0"/>
    <s v="CASA MATRIZ"/>
    <x v="4"/>
  </r>
  <r>
    <x v="0"/>
    <x v="1"/>
    <x v="1"/>
    <x v="1"/>
    <x v="0"/>
    <x v="2"/>
    <x v="1"/>
    <x v="1"/>
    <x v="1"/>
    <x v="475"/>
    <s v="CASA MATRIZ"/>
    <x v="4"/>
  </r>
  <r>
    <x v="1"/>
    <x v="106"/>
    <x v="2"/>
    <x v="2"/>
    <x v="0"/>
    <x v="2"/>
    <x v="40"/>
    <x v="223"/>
    <x v="1618"/>
    <x v="0"/>
    <s v="PAITILLA"/>
    <x v="4"/>
  </r>
  <r>
    <x v="1"/>
    <x v="36"/>
    <x v="6"/>
    <x v="6"/>
    <x v="0"/>
    <x v="2"/>
    <x v="40"/>
    <x v="94"/>
    <x v="1619"/>
    <x v="0"/>
    <s v="PAITILLA"/>
    <x v="4"/>
  </r>
  <r>
    <x v="1"/>
    <x v="30"/>
    <x v="4"/>
    <x v="4"/>
    <x v="0"/>
    <x v="2"/>
    <x v="40"/>
    <x v="159"/>
    <x v="1620"/>
    <x v="0"/>
    <s v="PAITILLA"/>
    <x v="4"/>
  </r>
  <r>
    <x v="1"/>
    <x v="90"/>
    <x v="0"/>
    <x v="0"/>
    <x v="0"/>
    <x v="2"/>
    <x v="40"/>
    <x v="79"/>
    <x v="1621"/>
    <x v="0"/>
    <s v="PAITILLA"/>
    <x v="4"/>
  </r>
  <r>
    <x v="1"/>
    <x v="1"/>
    <x v="1"/>
    <x v="1"/>
    <x v="0"/>
    <x v="2"/>
    <x v="1"/>
    <x v="1"/>
    <x v="1"/>
    <x v="476"/>
    <s v="PAITILLA"/>
    <x v="4"/>
  </r>
  <r>
    <x v="2"/>
    <x v="70"/>
    <x v="2"/>
    <x v="2"/>
    <x v="0"/>
    <x v="2"/>
    <x v="39"/>
    <x v="36"/>
    <x v="784"/>
    <x v="0"/>
    <s v="EL DORADO"/>
    <x v="4"/>
  </r>
  <r>
    <x v="2"/>
    <x v="70"/>
    <x v="2"/>
    <x v="2"/>
    <x v="0"/>
    <x v="2"/>
    <x v="40"/>
    <x v="36"/>
    <x v="1622"/>
    <x v="0"/>
    <s v="EL DORADO"/>
    <x v="4"/>
  </r>
  <r>
    <x v="2"/>
    <x v="75"/>
    <x v="3"/>
    <x v="3"/>
    <x v="0"/>
    <x v="2"/>
    <x v="40"/>
    <x v="220"/>
    <x v="1623"/>
    <x v="0"/>
    <s v="EL DORADO"/>
    <x v="4"/>
  </r>
  <r>
    <x v="2"/>
    <x v="0"/>
    <x v="0"/>
    <x v="0"/>
    <x v="0"/>
    <x v="2"/>
    <x v="40"/>
    <x v="197"/>
    <x v="1138"/>
    <x v="0"/>
    <s v="EL DORADO"/>
    <x v="4"/>
  </r>
  <r>
    <x v="2"/>
    <x v="160"/>
    <x v="0"/>
    <x v="0"/>
    <x v="0"/>
    <x v="2"/>
    <x v="39"/>
    <x v="179"/>
    <x v="1624"/>
    <x v="0"/>
    <s v="EL DORADO"/>
    <x v="4"/>
  </r>
  <r>
    <x v="2"/>
    <x v="73"/>
    <x v="1"/>
    <x v="1"/>
    <x v="0"/>
    <x v="2"/>
    <x v="40"/>
    <x v="39"/>
    <x v="1138"/>
    <x v="0"/>
    <s v="EL DORADO"/>
    <x v="4"/>
  </r>
  <r>
    <x v="2"/>
    <x v="128"/>
    <x v="1"/>
    <x v="1"/>
    <x v="0"/>
    <x v="2"/>
    <x v="39"/>
    <x v="164"/>
    <x v="1625"/>
    <x v="0"/>
    <s v="EL DORADO"/>
    <x v="4"/>
  </r>
  <r>
    <x v="2"/>
    <x v="1"/>
    <x v="1"/>
    <x v="1"/>
    <x v="0"/>
    <x v="2"/>
    <x v="1"/>
    <x v="1"/>
    <x v="1"/>
    <x v="477"/>
    <s v="EL DORADO"/>
    <x v="4"/>
  </r>
  <r>
    <x v="3"/>
    <x v="85"/>
    <x v="2"/>
    <x v="2"/>
    <x v="0"/>
    <x v="2"/>
    <x v="39"/>
    <x v="161"/>
    <x v="1626"/>
    <x v="0"/>
    <s v="VIA ARGENTINA"/>
    <x v="4"/>
  </r>
  <r>
    <x v="3"/>
    <x v="102"/>
    <x v="6"/>
    <x v="6"/>
    <x v="0"/>
    <x v="2"/>
    <x v="39"/>
    <x v="141"/>
    <x v="1627"/>
    <x v="0"/>
    <s v="VIA ARGENTINA"/>
    <x v="4"/>
  </r>
  <r>
    <x v="3"/>
    <x v="68"/>
    <x v="4"/>
    <x v="4"/>
    <x v="0"/>
    <x v="2"/>
    <x v="39"/>
    <x v="222"/>
    <x v="1628"/>
    <x v="0"/>
    <s v="VIA ARGENTINA"/>
    <x v="4"/>
  </r>
  <r>
    <x v="3"/>
    <x v="159"/>
    <x v="0"/>
    <x v="0"/>
    <x v="0"/>
    <x v="2"/>
    <x v="39"/>
    <x v="177"/>
    <x v="1629"/>
    <x v="0"/>
    <s v="VIA ARGENTINA"/>
    <x v="4"/>
  </r>
  <r>
    <x v="3"/>
    <x v="0"/>
    <x v="0"/>
    <x v="0"/>
    <x v="0"/>
    <x v="2"/>
    <x v="39"/>
    <x v="197"/>
    <x v="1630"/>
    <x v="0"/>
    <s v="VIA ARGENTINA"/>
    <x v="4"/>
  </r>
  <r>
    <x v="3"/>
    <x v="145"/>
    <x v="5"/>
    <x v="5"/>
    <x v="0"/>
    <x v="2"/>
    <x v="39"/>
    <x v="124"/>
    <x v="1631"/>
    <x v="0"/>
    <s v="VIA ARGENTINA"/>
    <x v="4"/>
  </r>
  <r>
    <x v="3"/>
    <x v="77"/>
    <x v="5"/>
    <x v="5"/>
    <x v="0"/>
    <x v="2"/>
    <x v="39"/>
    <x v="156"/>
    <x v="1632"/>
    <x v="0"/>
    <s v="VIA ARGENTINA"/>
    <x v="4"/>
  </r>
  <r>
    <x v="3"/>
    <x v="1"/>
    <x v="1"/>
    <x v="1"/>
    <x v="0"/>
    <x v="2"/>
    <x v="1"/>
    <x v="1"/>
    <x v="1"/>
    <x v="478"/>
    <s v="VIA ARGENTINA"/>
    <x v="4"/>
  </r>
  <r>
    <x v="4"/>
    <x v="144"/>
    <x v="2"/>
    <x v="2"/>
    <x v="0"/>
    <x v="2"/>
    <x v="39"/>
    <x v="162"/>
    <x v="1633"/>
    <x v="0"/>
    <s v="VIA PORRAS"/>
    <x v="4"/>
  </r>
  <r>
    <x v="4"/>
    <x v="79"/>
    <x v="3"/>
    <x v="3"/>
    <x v="0"/>
    <x v="2"/>
    <x v="39"/>
    <x v="142"/>
    <x v="1633"/>
    <x v="0"/>
    <s v="VIA PORRAS"/>
    <x v="4"/>
  </r>
  <r>
    <x v="4"/>
    <x v="0"/>
    <x v="0"/>
    <x v="0"/>
    <x v="0"/>
    <x v="2"/>
    <x v="39"/>
    <x v="197"/>
    <x v="1156"/>
    <x v="0"/>
    <s v="VIA PORRAS"/>
    <x v="4"/>
  </r>
  <r>
    <x v="4"/>
    <x v="13"/>
    <x v="5"/>
    <x v="5"/>
    <x v="0"/>
    <x v="2"/>
    <x v="39"/>
    <x v="120"/>
    <x v="1634"/>
    <x v="0"/>
    <s v="VIA PORRAS"/>
    <x v="4"/>
  </r>
  <r>
    <x v="4"/>
    <x v="33"/>
    <x v="1"/>
    <x v="1"/>
    <x v="0"/>
    <x v="2"/>
    <x v="39"/>
    <x v="241"/>
    <x v="1635"/>
    <x v="0"/>
    <s v="VIA PORRAS"/>
    <x v="4"/>
  </r>
  <r>
    <x v="4"/>
    <x v="1"/>
    <x v="1"/>
    <x v="1"/>
    <x v="0"/>
    <x v="2"/>
    <x v="1"/>
    <x v="1"/>
    <x v="1"/>
    <x v="479"/>
    <s v="VIA PORRAS"/>
    <x v="4"/>
  </r>
  <r>
    <x v="5"/>
    <x v="70"/>
    <x v="2"/>
    <x v="2"/>
    <x v="0"/>
    <x v="2"/>
    <x v="39"/>
    <x v="36"/>
    <x v="1636"/>
    <x v="0"/>
    <s v="EL INGENIO"/>
    <x v="4"/>
  </r>
  <r>
    <x v="5"/>
    <x v="79"/>
    <x v="3"/>
    <x v="3"/>
    <x v="0"/>
    <x v="2"/>
    <x v="39"/>
    <x v="142"/>
    <x v="1637"/>
    <x v="0"/>
    <s v="EL INGENIO"/>
    <x v="4"/>
  </r>
  <r>
    <x v="5"/>
    <x v="33"/>
    <x v="1"/>
    <x v="1"/>
    <x v="0"/>
    <x v="2"/>
    <x v="39"/>
    <x v="241"/>
    <x v="1638"/>
    <x v="0"/>
    <s v="EL INGENIO"/>
    <x v="4"/>
  </r>
  <r>
    <x v="5"/>
    <x v="1"/>
    <x v="1"/>
    <x v="1"/>
    <x v="0"/>
    <x v="2"/>
    <x v="1"/>
    <x v="1"/>
    <x v="1"/>
    <x v="480"/>
    <s v="EL INGENIO"/>
    <x v="4"/>
  </r>
  <r>
    <x v="6"/>
    <x v="170"/>
    <x v="2"/>
    <x v="2"/>
    <x v="0"/>
    <x v="2"/>
    <x v="40"/>
    <x v="252"/>
    <x v="858"/>
    <x v="0"/>
    <s v="CHANIS"/>
    <x v="4"/>
  </r>
  <r>
    <x v="6"/>
    <x v="64"/>
    <x v="2"/>
    <x v="2"/>
    <x v="0"/>
    <x v="2"/>
    <x v="39"/>
    <x v="139"/>
    <x v="763"/>
    <x v="0"/>
    <s v="CHANIS"/>
    <x v="4"/>
  </r>
  <r>
    <x v="6"/>
    <x v="107"/>
    <x v="2"/>
    <x v="2"/>
    <x v="0"/>
    <x v="2"/>
    <x v="39"/>
    <x v="158"/>
    <x v="1639"/>
    <x v="0"/>
    <s v="CHANIS"/>
    <x v="4"/>
  </r>
  <r>
    <x v="6"/>
    <x v="68"/>
    <x v="4"/>
    <x v="4"/>
    <x v="0"/>
    <x v="2"/>
    <x v="39"/>
    <x v="222"/>
    <x v="891"/>
    <x v="0"/>
    <s v="CHANIS"/>
    <x v="4"/>
  </r>
  <r>
    <x v="6"/>
    <x v="115"/>
    <x v="5"/>
    <x v="5"/>
    <x v="0"/>
    <x v="2"/>
    <x v="39"/>
    <x v="213"/>
    <x v="1640"/>
    <x v="0"/>
    <s v="CHANIS"/>
    <x v="4"/>
  </r>
  <r>
    <x v="6"/>
    <x v="58"/>
    <x v="1"/>
    <x v="1"/>
    <x v="0"/>
    <x v="2"/>
    <x v="39"/>
    <x v="84"/>
    <x v="1641"/>
    <x v="0"/>
    <s v="CHANIS"/>
    <x v="4"/>
  </r>
  <r>
    <x v="6"/>
    <x v="98"/>
    <x v="1"/>
    <x v="1"/>
    <x v="0"/>
    <x v="2"/>
    <x v="39"/>
    <x v="198"/>
    <x v="1200"/>
    <x v="0"/>
    <s v="CHANIS"/>
    <x v="4"/>
  </r>
  <r>
    <x v="6"/>
    <x v="1"/>
    <x v="1"/>
    <x v="1"/>
    <x v="0"/>
    <x v="2"/>
    <x v="1"/>
    <x v="1"/>
    <x v="1"/>
    <x v="481"/>
    <s v="CHANIS"/>
    <x v="4"/>
  </r>
  <r>
    <x v="7"/>
    <x v="64"/>
    <x v="2"/>
    <x v="2"/>
    <x v="0"/>
    <x v="2"/>
    <x v="39"/>
    <x v="139"/>
    <x v="1642"/>
    <x v="0"/>
    <s v="PLAZA TOCUMEN"/>
    <x v="4"/>
  </r>
  <r>
    <x v="7"/>
    <x v="71"/>
    <x v="6"/>
    <x v="6"/>
    <x v="0"/>
    <x v="2"/>
    <x v="39"/>
    <x v="37"/>
    <x v="1335"/>
    <x v="0"/>
    <s v="PLAZA TOCUMEN"/>
    <x v="4"/>
  </r>
  <r>
    <x v="7"/>
    <x v="135"/>
    <x v="3"/>
    <x v="3"/>
    <x v="0"/>
    <x v="2"/>
    <x v="39"/>
    <x v="149"/>
    <x v="1344"/>
    <x v="0"/>
    <s v="PLAZA TOCUMEN"/>
    <x v="4"/>
  </r>
  <r>
    <x v="7"/>
    <x v="89"/>
    <x v="4"/>
    <x v="4"/>
    <x v="0"/>
    <x v="2"/>
    <x v="39"/>
    <x v="154"/>
    <x v="1643"/>
    <x v="0"/>
    <s v="PLAZA TOCUMEN"/>
    <x v="4"/>
  </r>
  <r>
    <x v="7"/>
    <x v="92"/>
    <x v="0"/>
    <x v="0"/>
    <x v="0"/>
    <x v="2"/>
    <x v="40"/>
    <x v="109"/>
    <x v="1644"/>
    <x v="0"/>
    <s v="PLAZA TOCUMEN"/>
    <x v="4"/>
  </r>
  <r>
    <x v="7"/>
    <x v="115"/>
    <x v="5"/>
    <x v="5"/>
    <x v="0"/>
    <x v="2"/>
    <x v="39"/>
    <x v="213"/>
    <x v="1645"/>
    <x v="0"/>
    <s v="PLAZA TOCUMEN"/>
    <x v="4"/>
  </r>
  <r>
    <x v="7"/>
    <x v="20"/>
    <x v="5"/>
    <x v="5"/>
    <x v="0"/>
    <x v="2"/>
    <x v="40"/>
    <x v="45"/>
    <x v="1528"/>
    <x v="0"/>
    <s v="PLAZA TOCUMEN"/>
    <x v="4"/>
  </r>
  <r>
    <x v="7"/>
    <x v="1"/>
    <x v="1"/>
    <x v="1"/>
    <x v="0"/>
    <x v="2"/>
    <x v="1"/>
    <x v="1"/>
    <x v="1"/>
    <x v="482"/>
    <s v="PLAZA TOCUMEN"/>
    <x v="4"/>
  </r>
  <r>
    <x v="8"/>
    <x v="23"/>
    <x v="3"/>
    <x v="3"/>
    <x v="0"/>
    <x v="2"/>
    <x v="39"/>
    <x v="221"/>
    <x v="810"/>
    <x v="0"/>
    <s v="SANTIAGO"/>
    <x v="4"/>
  </r>
  <r>
    <x v="8"/>
    <x v="79"/>
    <x v="3"/>
    <x v="3"/>
    <x v="0"/>
    <x v="2"/>
    <x v="39"/>
    <x v="142"/>
    <x v="1646"/>
    <x v="0"/>
    <s v="SANTIAGO"/>
    <x v="4"/>
  </r>
  <r>
    <x v="8"/>
    <x v="53"/>
    <x v="0"/>
    <x v="0"/>
    <x v="0"/>
    <x v="2"/>
    <x v="40"/>
    <x v="144"/>
    <x v="1303"/>
    <x v="0"/>
    <s v="SANTIAGO"/>
    <x v="4"/>
  </r>
  <r>
    <x v="8"/>
    <x v="77"/>
    <x v="5"/>
    <x v="5"/>
    <x v="0"/>
    <x v="2"/>
    <x v="39"/>
    <x v="156"/>
    <x v="1647"/>
    <x v="0"/>
    <s v="SANTIAGO"/>
    <x v="4"/>
  </r>
  <r>
    <x v="8"/>
    <x v="22"/>
    <x v="1"/>
    <x v="1"/>
    <x v="0"/>
    <x v="2"/>
    <x v="39"/>
    <x v="211"/>
    <x v="810"/>
    <x v="0"/>
    <s v="SANTIAGO"/>
    <x v="4"/>
  </r>
  <r>
    <x v="8"/>
    <x v="1"/>
    <x v="1"/>
    <x v="1"/>
    <x v="0"/>
    <x v="2"/>
    <x v="1"/>
    <x v="1"/>
    <x v="1"/>
    <x v="483"/>
    <s v="SANTIAGO"/>
    <x v="4"/>
  </r>
  <r>
    <x v="9"/>
    <x v="107"/>
    <x v="2"/>
    <x v="2"/>
    <x v="0"/>
    <x v="2"/>
    <x v="39"/>
    <x v="158"/>
    <x v="847"/>
    <x v="0"/>
    <s v="OBARRIO"/>
    <x v="4"/>
  </r>
  <r>
    <x v="9"/>
    <x v="107"/>
    <x v="2"/>
    <x v="2"/>
    <x v="0"/>
    <x v="2"/>
    <x v="40"/>
    <x v="158"/>
    <x v="1648"/>
    <x v="0"/>
    <s v="OBARRIO"/>
    <x v="4"/>
  </r>
  <r>
    <x v="9"/>
    <x v="50"/>
    <x v="4"/>
    <x v="4"/>
    <x v="0"/>
    <x v="2"/>
    <x v="39"/>
    <x v="77"/>
    <x v="1649"/>
    <x v="0"/>
    <s v="OBARRIO"/>
    <x v="4"/>
  </r>
  <r>
    <x v="9"/>
    <x v="125"/>
    <x v="5"/>
    <x v="5"/>
    <x v="0"/>
    <x v="2"/>
    <x v="39"/>
    <x v="82"/>
    <x v="1650"/>
    <x v="0"/>
    <s v="OBARRIO"/>
    <x v="4"/>
  </r>
  <r>
    <x v="9"/>
    <x v="155"/>
    <x v="1"/>
    <x v="1"/>
    <x v="0"/>
    <x v="2"/>
    <x v="39"/>
    <x v="145"/>
    <x v="601"/>
    <x v="0"/>
    <s v="OBARRIO"/>
    <x v="4"/>
  </r>
  <r>
    <x v="9"/>
    <x v="1"/>
    <x v="1"/>
    <x v="1"/>
    <x v="0"/>
    <x v="2"/>
    <x v="1"/>
    <x v="1"/>
    <x v="1"/>
    <x v="484"/>
    <s v="OBARRIO"/>
    <x v="4"/>
  </r>
  <r>
    <x v="70"/>
    <x v="86"/>
    <x v="6"/>
    <x v="6"/>
    <x v="0"/>
    <x v="2"/>
    <x v="39"/>
    <x v="224"/>
    <x v="1535"/>
    <x v="0"/>
    <s v="COLON"/>
    <x v="4"/>
  </r>
  <r>
    <x v="70"/>
    <x v="154"/>
    <x v="4"/>
    <x v="4"/>
    <x v="0"/>
    <x v="2"/>
    <x v="39"/>
    <x v="143"/>
    <x v="1651"/>
    <x v="0"/>
    <s v="COLON"/>
    <x v="4"/>
  </r>
  <r>
    <x v="70"/>
    <x v="41"/>
    <x v="1"/>
    <x v="1"/>
    <x v="0"/>
    <x v="2"/>
    <x v="39"/>
    <x v="113"/>
    <x v="1652"/>
    <x v="0"/>
    <s v="COLON"/>
    <x v="4"/>
  </r>
  <r>
    <x v="70"/>
    <x v="1"/>
    <x v="1"/>
    <x v="1"/>
    <x v="0"/>
    <x v="2"/>
    <x v="1"/>
    <x v="1"/>
    <x v="1"/>
    <x v="485"/>
    <s v="COLON"/>
    <x v="4"/>
  </r>
  <r>
    <x v="10"/>
    <x v="70"/>
    <x v="2"/>
    <x v="2"/>
    <x v="0"/>
    <x v="2"/>
    <x v="39"/>
    <x v="36"/>
    <x v="1653"/>
    <x v="0"/>
    <s v="HATO PINTADO"/>
    <x v="4"/>
  </r>
  <r>
    <x v="10"/>
    <x v="144"/>
    <x v="2"/>
    <x v="2"/>
    <x v="0"/>
    <x v="2"/>
    <x v="39"/>
    <x v="162"/>
    <x v="1654"/>
    <x v="0"/>
    <s v="HATO PINTADO"/>
    <x v="4"/>
  </r>
  <r>
    <x v="10"/>
    <x v="71"/>
    <x v="6"/>
    <x v="6"/>
    <x v="0"/>
    <x v="2"/>
    <x v="39"/>
    <x v="37"/>
    <x v="1655"/>
    <x v="0"/>
    <s v="HATO PINTADO"/>
    <x v="4"/>
  </r>
  <r>
    <x v="10"/>
    <x v="108"/>
    <x v="3"/>
    <x v="3"/>
    <x v="0"/>
    <x v="2"/>
    <x v="39"/>
    <x v="63"/>
    <x v="1656"/>
    <x v="0"/>
    <s v="HATO PINTADO"/>
    <x v="4"/>
  </r>
  <r>
    <x v="10"/>
    <x v="68"/>
    <x v="4"/>
    <x v="4"/>
    <x v="0"/>
    <x v="2"/>
    <x v="39"/>
    <x v="222"/>
    <x v="1073"/>
    <x v="0"/>
    <s v="HATO PINTADO"/>
    <x v="4"/>
  </r>
  <r>
    <x v="10"/>
    <x v="50"/>
    <x v="4"/>
    <x v="4"/>
    <x v="0"/>
    <x v="2"/>
    <x v="39"/>
    <x v="77"/>
    <x v="1657"/>
    <x v="0"/>
    <s v="HATO PINTADO"/>
    <x v="4"/>
  </r>
  <r>
    <x v="10"/>
    <x v="159"/>
    <x v="0"/>
    <x v="0"/>
    <x v="0"/>
    <x v="2"/>
    <x v="39"/>
    <x v="177"/>
    <x v="1658"/>
    <x v="0"/>
    <s v="HATO PINTADO"/>
    <x v="4"/>
  </r>
  <r>
    <x v="10"/>
    <x v="117"/>
    <x v="0"/>
    <x v="0"/>
    <x v="0"/>
    <x v="2"/>
    <x v="39"/>
    <x v="65"/>
    <x v="1659"/>
    <x v="0"/>
    <s v="HATO PINTADO"/>
    <x v="4"/>
  </r>
  <r>
    <x v="10"/>
    <x v="115"/>
    <x v="5"/>
    <x v="5"/>
    <x v="0"/>
    <x v="2"/>
    <x v="39"/>
    <x v="213"/>
    <x v="1660"/>
    <x v="0"/>
    <s v="HATO PINTADO"/>
    <x v="4"/>
  </r>
  <r>
    <x v="10"/>
    <x v="13"/>
    <x v="5"/>
    <x v="5"/>
    <x v="0"/>
    <x v="2"/>
    <x v="39"/>
    <x v="120"/>
    <x v="1661"/>
    <x v="0"/>
    <s v="HATO PINTADO"/>
    <x v="4"/>
  </r>
  <r>
    <x v="10"/>
    <x v="155"/>
    <x v="1"/>
    <x v="1"/>
    <x v="0"/>
    <x v="2"/>
    <x v="39"/>
    <x v="145"/>
    <x v="1662"/>
    <x v="0"/>
    <s v="HATO PINTADO"/>
    <x v="4"/>
  </r>
  <r>
    <x v="10"/>
    <x v="1"/>
    <x v="1"/>
    <x v="1"/>
    <x v="0"/>
    <x v="2"/>
    <x v="1"/>
    <x v="1"/>
    <x v="1"/>
    <x v="486"/>
    <s v="HATO PINTADO"/>
    <x v="4"/>
  </r>
  <r>
    <x v="11"/>
    <x v="108"/>
    <x v="3"/>
    <x v="3"/>
    <x v="0"/>
    <x v="2"/>
    <x v="39"/>
    <x v="63"/>
    <x v="1663"/>
    <x v="0"/>
    <s v="RIO ABAJO"/>
    <x v="4"/>
  </r>
  <r>
    <x v="11"/>
    <x v="115"/>
    <x v="5"/>
    <x v="5"/>
    <x v="0"/>
    <x v="2"/>
    <x v="39"/>
    <x v="213"/>
    <x v="1664"/>
    <x v="0"/>
    <s v="RIO ABAJO"/>
    <x v="4"/>
  </r>
  <r>
    <x v="11"/>
    <x v="1"/>
    <x v="1"/>
    <x v="1"/>
    <x v="0"/>
    <x v="2"/>
    <x v="1"/>
    <x v="1"/>
    <x v="1"/>
    <x v="487"/>
    <s v="RIO ABAJO"/>
    <x v="4"/>
  </r>
  <r>
    <x v="12"/>
    <x v="108"/>
    <x v="3"/>
    <x v="3"/>
    <x v="0"/>
    <x v="2"/>
    <x v="39"/>
    <x v="63"/>
    <x v="1665"/>
    <x v="0"/>
    <s v="LA CHORRERA"/>
    <x v="4"/>
  </r>
  <r>
    <x v="12"/>
    <x v="33"/>
    <x v="1"/>
    <x v="1"/>
    <x v="0"/>
    <x v="2"/>
    <x v="39"/>
    <x v="241"/>
    <x v="1666"/>
    <x v="0"/>
    <s v="LA CHORRERA"/>
    <x v="4"/>
  </r>
  <r>
    <x v="12"/>
    <x v="98"/>
    <x v="1"/>
    <x v="1"/>
    <x v="0"/>
    <x v="2"/>
    <x v="39"/>
    <x v="198"/>
    <x v="982"/>
    <x v="0"/>
    <s v="LA CHORRERA"/>
    <x v="4"/>
  </r>
  <r>
    <x v="12"/>
    <x v="1"/>
    <x v="1"/>
    <x v="1"/>
    <x v="0"/>
    <x v="2"/>
    <x v="1"/>
    <x v="1"/>
    <x v="1"/>
    <x v="488"/>
    <s v="LA CHORRERA"/>
    <x v="4"/>
  </r>
  <r>
    <x v="13"/>
    <x v="133"/>
    <x v="2"/>
    <x v="2"/>
    <x v="0"/>
    <x v="2"/>
    <x v="39"/>
    <x v="254"/>
    <x v="1667"/>
    <x v="0"/>
    <s v="AVENIDA CENTRAL"/>
    <x v="4"/>
  </r>
  <r>
    <x v="13"/>
    <x v="13"/>
    <x v="5"/>
    <x v="5"/>
    <x v="0"/>
    <x v="2"/>
    <x v="39"/>
    <x v="120"/>
    <x v="536"/>
    <x v="0"/>
    <s v="AVENIDA CENTRAL"/>
    <x v="4"/>
  </r>
  <r>
    <x v="13"/>
    <x v="58"/>
    <x v="1"/>
    <x v="1"/>
    <x v="0"/>
    <x v="2"/>
    <x v="39"/>
    <x v="84"/>
    <x v="823"/>
    <x v="0"/>
    <s v="AVENIDA CENTRAL"/>
    <x v="4"/>
  </r>
  <r>
    <x v="13"/>
    <x v="14"/>
    <x v="1"/>
    <x v="1"/>
    <x v="0"/>
    <x v="2"/>
    <x v="39"/>
    <x v="112"/>
    <x v="1596"/>
    <x v="0"/>
    <s v="AVENIDA CENTRAL"/>
    <x v="4"/>
  </r>
  <r>
    <x v="13"/>
    <x v="55"/>
    <x v="1"/>
    <x v="1"/>
    <x v="0"/>
    <x v="2"/>
    <x v="39"/>
    <x v="188"/>
    <x v="1668"/>
    <x v="0"/>
    <s v="AVENIDA CENTRAL"/>
    <x v="4"/>
  </r>
  <r>
    <x v="13"/>
    <x v="1"/>
    <x v="1"/>
    <x v="1"/>
    <x v="0"/>
    <x v="2"/>
    <x v="1"/>
    <x v="1"/>
    <x v="1"/>
    <x v="489"/>
    <s v="AVENIDA CENTRAL"/>
    <x v="4"/>
  </r>
  <r>
    <x v="14"/>
    <x v="70"/>
    <x v="2"/>
    <x v="2"/>
    <x v="0"/>
    <x v="2"/>
    <x v="39"/>
    <x v="36"/>
    <x v="1669"/>
    <x v="0"/>
    <s v="LOS ANGELES"/>
    <x v="4"/>
  </r>
  <r>
    <x v="14"/>
    <x v="71"/>
    <x v="6"/>
    <x v="6"/>
    <x v="0"/>
    <x v="2"/>
    <x v="39"/>
    <x v="37"/>
    <x v="1670"/>
    <x v="0"/>
    <s v="LOS ANGELES"/>
    <x v="4"/>
  </r>
  <r>
    <x v="14"/>
    <x v="43"/>
    <x v="3"/>
    <x v="3"/>
    <x v="0"/>
    <x v="2"/>
    <x v="39"/>
    <x v="71"/>
    <x v="1671"/>
    <x v="0"/>
    <s v="LOS ANGELES"/>
    <x v="4"/>
  </r>
  <r>
    <x v="14"/>
    <x v="160"/>
    <x v="0"/>
    <x v="0"/>
    <x v="0"/>
    <x v="2"/>
    <x v="39"/>
    <x v="179"/>
    <x v="1672"/>
    <x v="0"/>
    <s v="LOS ANGELES"/>
    <x v="4"/>
  </r>
  <r>
    <x v="14"/>
    <x v="153"/>
    <x v="5"/>
    <x v="5"/>
    <x v="0"/>
    <x v="2"/>
    <x v="39"/>
    <x v="157"/>
    <x v="1673"/>
    <x v="0"/>
    <s v="LOS ANGELES"/>
    <x v="4"/>
  </r>
  <r>
    <x v="14"/>
    <x v="1"/>
    <x v="1"/>
    <x v="1"/>
    <x v="0"/>
    <x v="2"/>
    <x v="1"/>
    <x v="1"/>
    <x v="1"/>
    <x v="490"/>
    <s v="LOS ANGELES"/>
    <x v="4"/>
  </r>
  <r>
    <x v="15"/>
    <x v="64"/>
    <x v="2"/>
    <x v="2"/>
    <x v="0"/>
    <x v="2"/>
    <x v="39"/>
    <x v="139"/>
    <x v="1674"/>
    <x v="0"/>
    <s v="VILLA LUCRE"/>
    <x v="4"/>
  </r>
  <r>
    <x v="15"/>
    <x v="133"/>
    <x v="2"/>
    <x v="2"/>
    <x v="0"/>
    <x v="2"/>
    <x v="39"/>
    <x v="254"/>
    <x v="1675"/>
    <x v="0"/>
    <s v="VILLA LUCRE"/>
    <x v="4"/>
  </r>
  <r>
    <x v="15"/>
    <x v="135"/>
    <x v="3"/>
    <x v="3"/>
    <x v="0"/>
    <x v="2"/>
    <x v="39"/>
    <x v="149"/>
    <x v="1676"/>
    <x v="0"/>
    <s v="VILLA LUCRE"/>
    <x v="4"/>
  </r>
  <r>
    <x v="15"/>
    <x v="160"/>
    <x v="0"/>
    <x v="0"/>
    <x v="0"/>
    <x v="2"/>
    <x v="39"/>
    <x v="179"/>
    <x v="1677"/>
    <x v="0"/>
    <s v="VILLA LUCRE"/>
    <x v="4"/>
  </r>
  <r>
    <x v="15"/>
    <x v="145"/>
    <x v="5"/>
    <x v="5"/>
    <x v="0"/>
    <x v="2"/>
    <x v="39"/>
    <x v="124"/>
    <x v="810"/>
    <x v="0"/>
    <s v="VILLA LUCRE"/>
    <x v="4"/>
  </r>
  <r>
    <x v="15"/>
    <x v="40"/>
    <x v="1"/>
    <x v="1"/>
    <x v="0"/>
    <x v="2"/>
    <x v="39"/>
    <x v="125"/>
    <x v="1678"/>
    <x v="0"/>
    <s v="VILLA LUCRE"/>
    <x v="4"/>
  </r>
  <r>
    <x v="15"/>
    <x v="1"/>
    <x v="1"/>
    <x v="1"/>
    <x v="0"/>
    <x v="2"/>
    <x v="1"/>
    <x v="1"/>
    <x v="1"/>
    <x v="491"/>
    <s v="VILLA LUCRE"/>
    <x v="4"/>
  </r>
  <r>
    <x v="16"/>
    <x v="71"/>
    <x v="6"/>
    <x v="6"/>
    <x v="0"/>
    <x v="2"/>
    <x v="39"/>
    <x v="37"/>
    <x v="1679"/>
    <x v="0"/>
    <s v="LOS ANDES"/>
    <x v="4"/>
  </r>
  <r>
    <x v="16"/>
    <x v="145"/>
    <x v="5"/>
    <x v="5"/>
    <x v="0"/>
    <x v="2"/>
    <x v="39"/>
    <x v="124"/>
    <x v="1680"/>
    <x v="0"/>
    <s v="LOS ANDES"/>
    <x v="4"/>
  </r>
  <r>
    <x v="16"/>
    <x v="128"/>
    <x v="1"/>
    <x v="1"/>
    <x v="0"/>
    <x v="2"/>
    <x v="39"/>
    <x v="164"/>
    <x v="1681"/>
    <x v="0"/>
    <s v="LOS ANDES"/>
    <x v="4"/>
  </r>
  <r>
    <x v="16"/>
    <x v="1"/>
    <x v="1"/>
    <x v="1"/>
    <x v="0"/>
    <x v="2"/>
    <x v="1"/>
    <x v="1"/>
    <x v="1"/>
    <x v="492"/>
    <s v="LOS ANDES"/>
    <x v="4"/>
  </r>
  <r>
    <x v="17"/>
    <x v="107"/>
    <x v="2"/>
    <x v="2"/>
    <x v="0"/>
    <x v="2"/>
    <x v="39"/>
    <x v="158"/>
    <x v="240"/>
    <x v="0"/>
    <s v="VIA ESPANA"/>
    <x v="4"/>
  </r>
  <r>
    <x v="17"/>
    <x v="79"/>
    <x v="3"/>
    <x v="3"/>
    <x v="0"/>
    <x v="2"/>
    <x v="39"/>
    <x v="142"/>
    <x v="1682"/>
    <x v="0"/>
    <s v="VIA ESPANA"/>
    <x v="4"/>
  </r>
  <r>
    <x v="17"/>
    <x v="62"/>
    <x v="4"/>
    <x v="4"/>
    <x v="0"/>
    <x v="2"/>
    <x v="39"/>
    <x v="176"/>
    <x v="816"/>
    <x v="0"/>
    <s v="VIA ESPANA"/>
    <x v="4"/>
  </r>
  <r>
    <x v="17"/>
    <x v="22"/>
    <x v="1"/>
    <x v="1"/>
    <x v="0"/>
    <x v="2"/>
    <x v="39"/>
    <x v="211"/>
    <x v="1683"/>
    <x v="0"/>
    <s v="VIA ESPANA"/>
    <x v="4"/>
  </r>
  <r>
    <x v="17"/>
    <x v="98"/>
    <x v="1"/>
    <x v="1"/>
    <x v="0"/>
    <x v="2"/>
    <x v="39"/>
    <x v="198"/>
    <x v="1684"/>
    <x v="0"/>
    <s v="VIA ESPANA"/>
    <x v="4"/>
  </r>
  <r>
    <x v="17"/>
    <x v="1"/>
    <x v="1"/>
    <x v="1"/>
    <x v="0"/>
    <x v="2"/>
    <x v="1"/>
    <x v="1"/>
    <x v="1"/>
    <x v="493"/>
    <s v="VIA ESPANA"/>
    <x v="4"/>
  </r>
  <r>
    <x v="18"/>
    <x v="70"/>
    <x v="2"/>
    <x v="2"/>
    <x v="0"/>
    <x v="2"/>
    <x v="39"/>
    <x v="36"/>
    <x v="1685"/>
    <x v="0"/>
    <s v="AVENIDA CUBA"/>
    <x v="4"/>
  </r>
  <r>
    <x v="18"/>
    <x v="77"/>
    <x v="5"/>
    <x v="5"/>
    <x v="0"/>
    <x v="2"/>
    <x v="39"/>
    <x v="156"/>
    <x v="1686"/>
    <x v="0"/>
    <s v="AVENIDA CUBA"/>
    <x v="4"/>
  </r>
  <r>
    <x v="18"/>
    <x v="33"/>
    <x v="1"/>
    <x v="1"/>
    <x v="0"/>
    <x v="2"/>
    <x v="39"/>
    <x v="241"/>
    <x v="988"/>
    <x v="0"/>
    <s v="AVENIDA CUBA"/>
    <x v="4"/>
  </r>
  <r>
    <x v="18"/>
    <x v="1"/>
    <x v="1"/>
    <x v="1"/>
    <x v="0"/>
    <x v="2"/>
    <x v="1"/>
    <x v="1"/>
    <x v="1"/>
    <x v="494"/>
    <s v="AVENIDA CUBA"/>
    <x v="4"/>
  </r>
  <r>
    <x v="19"/>
    <x v="70"/>
    <x v="2"/>
    <x v="2"/>
    <x v="0"/>
    <x v="2"/>
    <x v="39"/>
    <x v="36"/>
    <x v="1687"/>
    <x v="0"/>
    <s v="CHITRE"/>
    <x v="4"/>
  </r>
  <r>
    <x v="19"/>
    <x v="31"/>
    <x v="4"/>
    <x v="4"/>
    <x v="0"/>
    <x v="2"/>
    <x v="39"/>
    <x v="72"/>
    <x v="1688"/>
    <x v="0"/>
    <s v="CHITRE"/>
    <x v="4"/>
  </r>
  <r>
    <x v="19"/>
    <x v="58"/>
    <x v="1"/>
    <x v="1"/>
    <x v="0"/>
    <x v="2"/>
    <x v="39"/>
    <x v="84"/>
    <x v="1689"/>
    <x v="0"/>
    <s v="CHITRE"/>
    <x v="4"/>
  </r>
  <r>
    <x v="19"/>
    <x v="1"/>
    <x v="1"/>
    <x v="1"/>
    <x v="0"/>
    <x v="2"/>
    <x v="1"/>
    <x v="1"/>
    <x v="1"/>
    <x v="495"/>
    <s v="CHITRE"/>
    <x v="4"/>
  </r>
  <r>
    <x v="20"/>
    <x v="133"/>
    <x v="2"/>
    <x v="2"/>
    <x v="0"/>
    <x v="2"/>
    <x v="39"/>
    <x v="254"/>
    <x v="1690"/>
    <x v="0"/>
    <s v="LOS PUEBLOS"/>
    <x v="4"/>
  </r>
  <r>
    <x v="20"/>
    <x v="71"/>
    <x v="6"/>
    <x v="6"/>
    <x v="0"/>
    <x v="2"/>
    <x v="39"/>
    <x v="37"/>
    <x v="1691"/>
    <x v="0"/>
    <s v="LOS PUEBLOS"/>
    <x v="4"/>
  </r>
  <r>
    <x v="20"/>
    <x v="135"/>
    <x v="3"/>
    <x v="3"/>
    <x v="0"/>
    <x v="2"/>
    <x v="39"/>
    <x v="149"/>
    <x v="1692"/>
    <x v="0"/>
    <s v="LOS PUEBLOS"/>
    <x v="4"/>
  </r>
  <r>
    <x v="20"/>
    <x v="50"/>
    <x v="4"/>
    <x v="4"/>
    <x v="0"/>
    <x v="2"/>
    <x v="39"/>
    <x v="77"/>
    <x v="1693"/>
    <x v="0"/>
    <s v="LOS PUEBLOS"/>
    <x v="4"/>
  </r>
  <r>
    <x v="20"/>
    <x v="160"/>
    <x v="0"/>
    <x v="0"/>
    <x v="0"/>
    <x v="2"/>
    <x v="39"/>
    <x v="179"/>
    <x v="1176"/>
    <x v="0"/>
    <s v="LOS PUEBLOS"/>
    <x v="4"/>
  </r>
  <r>
    <x v="20"/>
    <x v="45"/>
    <x v="0"/>
    <x v="0"/>
    <x v="0"/>
    <x v="2"/>
    <x v="40"/>
    <x v="180"/>
    <x v="1694"/>
    <x v="0"/>
    <s v="LOS PUEBLOS"/>
    <x v="4"/>
  </r>
  <r>
    <x v="20"/>
    <x v="22"/>
    <x v="1"/>
    <x v="1"/>
    <x v="0"/>
    <x v="2"/>
    <x v="39"/>
    <x v="211"/>
    <x v="1695"/>
    <x v="0"/>
    <s v="LOS PUEBLOS"/>
    <x v="4"/>
  </r>
  <r>
    <x v="20"/>
    <x v="1"/>
    <x v="1"/>
    <x v="1"/>
    <x v="0"/>
    <x v="2"/>
    <x v="1"/>
    <x v="1"/>
    <x v="1"/>
    <x v="496"/>
    <s v="LOS PUEBLOS"/>
    <x v="4"/>
  </r>
  <r>
    <x v="21"/>
    <x v="85"/>
    <x v="2"/>
    <x v="2"/>
    <x v="0"/>
    <x v="2"/>
    <x v="40"/>
    <x v="161"/>
    <x v="907"/>
    <x v="0"/>
    <s v="TRANSISTMICA"/>
    <x v="4"/>
  </r>
  <r>
    <x v="21"/>
    <x v="169"/>
    <x v="6"/>
    <x v="6"/>
    <x v="0"/>
    <x v="2"/>
    <x v="40"/>
    <x v="249"/>
    <x v="907"/>
    <x v="0"/>
    <s v="TRANSISTMICA"/>
    <x v="4"/>
  </r>
  <r>
    <x v="21"/>
    <x v="44"/>
    <x v="3"/>
    <x v="3"/>
    <x v="0"/>
    <x v="2"/>
    <x v="40"/>
    <x v="191"/>
    <x v="1696"/>
    <x v="0"/>
    <s v="TRANSISTMICA"/>
    <x v="4"/>
  </r>
  <r>
    <x v="21"/>
    <x v="50"/>
    <x v="4"/>
    <x v="4"/>
    <x v="0"/>
    <x v="2"/>
    <x v="39"/>
    <x v="77"/>
    <x v="1697"/>
    <x v="0"/>
    <s v="TRANSISTMICA"/>
    <x v="4"/>
  </r>
  <r>
    <x v="21"/>
    <x v="121"/>
    <x v="0"/>
    <x v="0"/>
    <x v="0"/>
    <x v="2"/>
    <x v="40"/>
    <x v="80"/>
    <x v="907"/>
    <x v="0"/>
    <s v="TRANSISTMICA"/>
    <x v="4"/>
  </r>
  <r>
    <x v="21"/>
    <x v="76"/>
    <x v="5"/>
    <x v="5"/>
    <x v="0"/>
    <x v="2"/>
    <x v="40"/>
    <x v="182"/>
    <x v="907"/>
    <x v="0"/>
    <s v="TRANSISTMICA"/>
    <x v="4"/>
  </r>
  <r>
    <x v="21"/>
    <x v="40"/>
    <x v="1"/>
    <x v="1"/>
    <x v="0"/>
    <x v="2"/>
    <x v="39"/>
    <x v="125"/>
    <x v="1698"/>
    <x v="0"/>
    <s v="TRANSISTMICA"/>
    <x v="4"/>
  </r>
  <r>
    <x v="21"/>
    <x v="152"/>
    <x v="1"/>
    <x v="1"/>
    <x v="0"/>
    <x v="2"/>
    <x v="39"/>
    <x v="194"/>
    <x v="1699"/>
    <x v="0"/>
    <s v="TRANSISTMICA"/>
    <x v="4"/>
  </r>
  <r>
    <x v="21"/>
    <x v="1"/>
    <x v="1"/>
    <x v="1"/>
    <x v="0"/>
    <x v="2"/>
    <x v="1"/>
    <x v="1"/>
    <x v="1"/>
    <x v="497"/>
    <s v="TRANSISTMICA"/>
    <x v="4"/>
  </r>
  <r>
    <x v="72"/>
    <x v="64"/>
    <x v="2"/>
    <x v="2"/>
    <x v="0"/>
    <x v="2"/>
    <x v="39"/>
    <x v="139"/>
    <x v="1700"/>
    <x v="0"/>
    <s v="ZONA LIBRE"/>
    <x v="4"/>
  </r>
  <r>
    <x v="72"/>
    <x v="107"/>
    <x v="2"/>
    <x v="2"/>
    <x v="0"/>
    <x v="2"/>
    <x v="39"/>
    <x v="158"/>
    <x v="1701"/>
    <x v="0"/>
    <s v="ZONA LIBRE"/>
    <x v="4"/>
  </r>
  <r>
    <x v="72"/>
    <x v="102"/>
    <x v="6"/>
    <x v="6"/>
    <x v="0"/>
    <x v="2"/>
    <x v="39"/>
    <x v="141"/>
    <x v="1702"/>
    <x v="0"/>
    <s v="ZONA LIBRE"/>
    <x v="4"/>
  </r>
  <r>
    <x v="72"/>
    <x v="23"/>
    <x v="3"/>
    <x v="3"/>
    <x v="0"/>
    <x v="2"/>
    <x v="39"/>
    <x v="221"/>
    <x v="1703"/>
    <x v="0"/>
    <s v="ZONA LIBRE"/>
    <x v="4"/>
  </r>
  <r>
    <x v="72"/>
    <x v="125"/>
    <x v="5"/>
    <x v="5"/>
    <x v="0"/>
    <x v="2"/>
    <x v="39"/>
    <x v="82"/>
    <x v="1704"/>
    <x v="0"/>
    <s v="ZONA LIBRE"/>
    <x v="4"/>
  </r>
  <r>
    <x v="72"/>
    <x v="155"/>
    <x v="1"/>
    <x v="1"/>
    <x v="0"/>
    <x v="2"/>
    <x v="39"/>
    <x v="145"/>
    <x v="1705"/>
    <x v="0"/>
    <s v="ZONA LIBRE"/>
    <x v="4"/>
  </r>
  <r>
    <x v="72"/>
    <x v="1"/>
    <x v="1"/>
    <x v="1"/>
    <x v="0"/>
    <x v="2"/>
    <x v="1"/>
    <x v="1"/>
    <x v="1"/>
    <x v="498"/>
    <s v="ZONA LIBRE"/>
    <x v="4"/>
  </r>
  <r>
    <x v="22"/>
    <x v="135"/>
    <x v="3"/>
    <x v="3"/>
    <x v="0"/>
    <x v="2"/>
    <x v="39"/>
    <x v="149"/>
    <x v="1706"/>
    <x v="0"/>
    <s v="PLAZA GALAPAGO"/>
    <x v="4"/>
  </r>
  <r>
    <x v="22"/>
    <x v="152"/>
    <x v="1"/>
    <x v="1"/>
    <x v="0"/>
    <x v="2"/>
    <x v="40"/>
    <x v="194"/>
    <x v="1707"/>
    <x v="0"/>
    <s v="PLAZA GALAPAGO"/>
    <x v="4"/>
  </r>
  <r>
    <x v="22"/>
    <x v="1"/>
    <x v="1"/>
    <x v="1"/>
    <x v="0"/>
    <x v="2"/>
    <x v="1"/>
    <x v="1"/>
    <x v="1"/>
    <x v="499"/>
    <s v="PLAZA GALAPAGO"/>
    <x v="4"/>
  </r>
  <r>
    <x v="23"/>
    <x v="71"/>
    <x v="6"/>
    <x v="6"/>
    <x v="0"/>
    <x v="2"/>
    <x v="39"/>
    <x v="37"/>
    <x v="1708"/>
    <x v="0"/>
    <s v="PARQUE LEFEVRE"/>
    <x v="4"/>
  </r>
  <r>
    <x v="23"/>
    <x v="108"/>
    <x v="3"/>
    <x v="3"/>
    <x v="0"/>
    <x v="2"/>
    <x v="39"/>
    <x v="63"/>
    <x v="1709"/>
    <x v="0"/>
    <s v="PARQUE LEFEVRE"/>
    <x v="4"/>
  </r>
  <r>
    <x v="23"/>
    <x v="0"/>
    <x v="0"/>
    <x v="0"/>
    <x v="0"/>
    <x v="2"/>
    <x v="39"/>
    <x v="197"/>
    <x v="1710"/>
    <x v="0"/>
    <s v="PARQUE LEFEVRE"/>
    <x v="4"/>
  </r>
  <r>
    <x v="23"/>
    <x v="145"/>
    <x v="5"/>
    <x v="5"/>
    <x v="0"/>
    <x v="2"/>
    <x v="39"/>
    <x v="124"/>
    <x v="1711"/>
    <x v="0"/>
    <s v="PARQUE LEFEVRE"/>
    <x v="4"/>
  </r>
  <r>
    <x v="23"/>
    <x v="33"/>
    <x v="1"/>
    <x v="1"/>
    <x v="0"/>
    <x v="2"/>
    <x v="39"/>
    <x v="241"/>
    <x v="1712"/>
    <x v="0"/>
    <s v="PARQUE LEFEVRE"/>
    <x v="4"/>
  </r>
  <r>
    <x v="23"/>
    <x v="128"/>
    <x v="1"/>
    <x v="1"/>
    <x v="0"/>
    <x v="2"/>
    <x v="39"/>
    <x v="164"/>
    <x v="1713"/>
    <x v="0"/>
    <s v="PARQUE LEFEVRE"/>
    <x v="4"/>
  </r>
  <r>
    <x v="23"/>
    <x v="1"/>
    <x v="1"/>
    <x v="1"/>
    <x v="0"/>
    <x v="2"/>
    <x v="1"/>
    <x v="1"/>
    <x v="1"/>
    <x v="500"/>
    <s v="PARQUE LEFEVRE"/>
    <x v="4"/>
  </r>
  <r>
    <x v="24"/>
    <x v="87"/>
    <x v="6"/>
    <x v="6"/>
    <x v="0"/>
    <x v="2"/>
    <x v="40"/>
    <x v="189"/>
    <x v="1714"/>
    <x v="0"/>
    <s v="DAVID"/>
    <x v="4"/>
  </r>
  <r>
    <x v="24"/>
    <x v="71"/>
    <x v="6"/>
    <x v="6"/>
    <x v="0"/>
    <x v="2"/>
    <x v="39"/>
    <x v="37"/>
    <x v="1715"/>
    <x v="0"/>
    <s v="DAVID"/>
    <x v="4"/>
  </r>
  <r>
    <x v="24"/>
    <x v="125"/>
    <x v="5"/>
    <x v="5"/>
    <x v="0"/>
    <x v="2"/>
    <x v="39"/>
    <x v="82"/>
    <x v="905"/>
    <x v="0"/>
    <s v="DAVID"/>
    <x v="4"/>
  </r>
  <r>
    <x v="24"/>
    <x v="63"/>
    <x v="5"/>
    <x v="5"/>
    <x v="0"/>
    <x v="2"/>
    <x v="39"/>
    <x v="111"/>
    <x v="1716"/>
    <x v="0"/>
    <s v="DAVID"/>
    <x v="4"/>
  </r>
  <r>
    <x v="24"/>
    <x v="1"/>
    <x v="1"/>
    <x v="1"/>
    <x v="0"/>
    <x v="2"/>
    <x v="1"/>
    <x v="1"/>
    <x v="1"/>
    <x v="501"/>
    <s v="DAVID"/>
    <x v="4"/>
  </r>
  <r>
    <x v="25"/>
    <x v="64"/>
    <x v="2"/>
    <x v="2"/>
    <x v="0"/>
    <x v="2"/>
    <x v="39"/>
    <x v="139"/>
    <x v="1717"/>
    <x v="0"/>
    <s v="PLAZA LAS AMERICAS"/>
    <x v="4"/>
  </r>
  <r>
    <x v="25"/>
    <x v="68"/>
    <x v="4"/>
    <x v="4"/>
    <x v="0"/>
    <x v="2"/>
    <x v="39"/>
    <x v="222"/>
    <x v="1718"/>
    <x v="0"/>
    <s v="PLAZA LAS AMERICAS"/>
    <x v="4"/>
  </r>
  <r>
    <x v="25"/>
    <x v="160"/>
    <x v="0"/>
    <x v="0"/>
    <x v="0"/>
    <x v="2"/>
    <x v="39"/>
    <x v="179"/>
    <x v="419"/>
    <x v="0"/>
    <s v="PLAZA LAS AMERICAS"/>
    <x v="4"/>
  </r>
  <r>
    <x v="25"/>
    <x v="145"/>
    <x v="5"/>
    <x v="5"/>
    <x v="0"/>
    <x v="2"/>
    <x v="39"/>
    <x v="124"/>
    <x v="1719"/>
    <x v="0"/>
    <s v="PLAZA LAS AMERICAS"/>
    <x v="4"/>
  </r>
  <r>
    <x v="25"/>
    <x v="1"/>
    <x v="1"/>
    <x v="1"/>
    <x v="0"/>
    <x v="2"/>
    <x v="1"/>
    <x v="1"/>
    <x v="1"/>
    <x v="502"/>
    <s v="PLAZA LAS AMERICAS"/>
    <x v="4"/>
  </r>
  <r>
    <x v="26"/>
    <x v="65"/>
    <x v="6"/>
    <x v="6"/>
    <x v="0"/>
    <x v="2"/>
    <x v="39"/>
    <x v="190"/>
    <x v="1720"/>
    <x v="0"/>
    <s v="CORONADO"/>
    <x v="4"/>
  </r>
  <r>
    <x v="26"/>
    <x v="65"/>
    <x v="6"/>
    <x v="6"/>
    <x v="0"/>
    <x v="2"/>
    <x v="40"/>
    <x v="190"/>
    <x v="1721"/>
    <x v="0"/>
    <s v="CORONADO"/>
    <x v="4"/>
  </r>
  <r>
    <x v="26"/>
    <x v="135"/>
    <x v="3"/>
    <x v="3"/>
    <x v="0"/>
    <x v="2"/>
    <x v="39"/>
    <x v="149"/>
    <x v="1722"/>
    <x v="0"/>
    <s v="CORONADO"/>
    <x v="4"/>
  </r>
  <r>
    <x v="26"/>
    <x v="50"/>
    <x v="4"/>
    <x v="4"/>
    <x v="0"/>
    <x v="2"/>
    <x v="39"/>
    <x v="77"/>
    <x v="1723"/>
    <x v="0"/>
    <s v="CORONADO"/>
    <x v="4"/>
  </r>
  <r>
    <x v="26"/>
    <x v="31"/>
    <x v="4"/>
    <x v="4"/>
    <x v="0"/>
    <x v="2"/>
    <x v="39"/>
    <x v="72"/>
    <x v="1724"/>
    <x v="0"/>
    <s v="CORONADO"/>
    <x v="4"/>
  </r>
  <r>
    <x v="26"/>
    <x v="33"/>
    <x v="1"/>
    <x v="1"/>
    <x v="0"/>
    <x v="2"/>
    <x v="39"/>
    <x v="241"/>
    <x v="1220"/>
    <x v="0"/>
    <s v="CORONADO"/>
    <x v="4"/>
  </r>
  <r>
    <x v="26"/>
    <x v="1"/>
    <x v="1"/>
    <x v="1"/>
    <x v="0"/>
    <x v="2"/>
    <x v="1"/>
    <x v="1"/>
    <x v="1"/>
    <x v="503"/>
    <s v="CORONADO"/>
    <x v="4"/>
  </r>
  <r>
    <x v="27"/>
    <x v="156"/>
    <x v="4"/>
    <x v="4"/>
    <x v="0"/>
    <x v="2"/>
    <x v="39"/>
    <x v="146"/>
    <x v="1725"/>
    <x v="0"/>
    <s v="ALBROOK MALL"/>
    <x v="4"/>
  </r>
  <r>
    <x v="27"/>
    <x v="58"/>
    <x v="1"/>
    <x v="1"/>
    <x v="0"/>
    <x v="2"/>
    <x v="39"/>
    <x v="84"/>
    <x v="1726"/>
    <x v="0"/>
    <s v="ALBROOK MALL"/>
    <x v="4"/>
  </r>
  <r>
    <x v="27"/>
    <x v="98"/>
    <x v="1"/>
    <x v="1"/>
    <x v="0"/>
    <x v="2"/>
    <x v="39"/>
    <x v="198"/>
    <x v="1727"/>
    <x v="0"/>
    <s v="ALBROOK MALL"/>
    <x v="4"/>
  </r>
  <r>
    <x v="27"/>
    <x v="128"/>
    <x v="1"/>
    <x v="1"/>
    <x v="0"/>
    <x v="2"/>
    <x v="39"/>
    <x v="164"/>
    <x v="1728"/>
    <x v="0"/>
    <s v="ALBROOK MALL"/>
    <x v="4"/>
  </r>
  <r>
    <x v="27"/>
    <x v="1"/>
    <x v="1"/>
    <x v="1"/>
    <x v="0"/>
    <x v="2"/>
    <x v="1"/>
    <x v="1"/>
    <x v="1"/>
    <x v="504"/>
    <s v="ALBROOK MALL"/>
    <x v="4"/>
  </r>
  <r>
    <x v="28"/>
    <x v="64"/>
    <x v="2"/>
    <x v="2"/>
    <x v="0"/>
    <x v="2"/>
    <x v="39"/>
    <x v="139"/>
    <x v="905"/>
    <x v="0"/>
    <s v="PANAMA PACIFICO"/>
    <x v="4"/>
  </r>
  <r>
    <x v="28"/>
    <x v="86"/>
    <x v="6"/>
    <x v="6"/>
    <x v="0"/>
    <x v="2"/>
    <x v="39"/>
    <x v="224"/>
    <x v="1729"/>
    <x v="0"/>
    <s v="PANAMA PACIFICO"/>
    <x v="4"/>
  </r>
  <r>
    <x v="28"/>
    <x v="52"/>
    <x v="0"/>
    <x v="0"/>
    <x v="0"/>
    <x v="2"/>
    <x v="40"/>
    <x v="107"/>
    <x v="187"/>
    <x v="0"/>
    <s v="PANAMA PACIFICO"/>
    <x v="4"/>
  </r>
  <r>
    <x v="28"/>
    <x v="155"/>
    <x v="1"/>
    <x v="1"/>
    <x v="0"/>
    <x v="2"/>
    <x v="39"/>
    <x v="145"/>
    <x v="1730"/>
    <x v="0"/>
    <s v="PANAMA PACIFICO"/>
    <x v="4"/>
  </r>
  <r>
    <x v="28"/>
    <x v="128"/>
    <x v="1"/>
    <x v="1"/>
    <x v="0"/>
    <x v="2"/>
    <x v="39"/>
    <x v="164"/>
    <x v="1242"/>
    <x v="0"/>
    <s v="PANAMA PACIFICO"/>
    <x v="4"/>
  </r>
  <r>
    <x v="28"/>
    <x v="1"/>
    <x v="1"/>
    <x v="1"/>
    <x v="0"/>
    <x v="2"/>
    <x v="1"/>
    <x v="1"/>
    <x v="1"/>
    <x v="505"/>
    <s v="PANAMA PACIFICO"/>
    <x v="4"/>
  </r>
  <r>
    <x v="29"/>
    <x v="86"/>
    <x v="6"/>
    <x v="6"/>
    <x v="0"/>
    <x v="2"/>
    <x v="39"/>
    <x v="224"/>
    <x v="1731"/>
    <x v="0"/>
    <s v="ALBROOK"/>
    <x v="4"/>
  </r>
  <r>
    <x v="29"/>
    <x v="97"/>
    <x v="5"/>
    <x v="5"/>
    <x v="0"/>
    <x v="2"/>
    <x v="40"/>
    <x v="183"/>
    <x v="1732"/>
    <x v="0"/>
    <s v="ALBROOK"/>
    <x v="4"/>
  </r>
  <r>
    <x v="29"/>
    <x v="13"/>
    <x v="5"/>
    <x v="5"/>
    <x v="0"/>
    <x v="2"/>
    <x v="39"/>
    <x v="120"/>
    <x v="1084"/>
    <x v="0"/>
    <s v="ALBROOK"/>
    <x v="4"/>
  </r>
  <r>
    <x v="29"/>
    <x v="101"/>
    <x v="1"/>
    <x v="1"/>
    <x v="0"/>
    <x v="2"/>
    <x v="40"/>
    <x v="207"/>
    <x v="840"/>
    <x v="0"/>
    <s v="ALBROOK"/>
    <x v="4"/>
  </r>
  <r>
    <x v="29"/>
    <x v="55"/>
    <x v="1"/>
    <x v="1"/>
    <x v="0"/>
    <x v="2"/>
    <x v="39"/>
    <x v="188"/>
    <x v="1733"/>
    <x v="0"/>
    <s v="ALBROOK"/>
    <x v="4"/>
  </r>
  <r>
    <x v="29"/>
    <x v="128"/>
    <x v="1"/>
    <x v="1"/>
    <x v="0"/>
    <x v="2"/>
    <x v="39"/>
    <x v="164"/>
    <x v="1734"/>
    <x v="0"/>
    <s v="ALBROOK"/>
    <x v="4"/>
  </r>
  <r>
    <x v="29"/>
    <x v="128"/>
    <x v="1"/>
    <x v="1"/>
    <x v="0"/>
    <x v="2"/>
    <x v="40"/>
    <x v="164"/>
    <x v="1136"/>
    <x v="0"/>
    <s v="ALBROOK"/>
    <x v="4"/>
  </r>
  <r>
    <x v="29"/>
    <x v="1"/>
    <x v="1"/>
    <x v="1"/>
    <x v="0"/>
    <x v="2"/>
    <x v="1"/>
    <x v="1"/>
    <x v="1"/>
    <x v="506"/>
    <s v="ALBROOK"/>
    <x v="4"/>
  </r>
  <r>
    <x v="30"/>
    <x v="64"/>
    <x v="2"/>
    <x v="2"/>
    <x v="0"/>
    <x v="2"/>
    <x v="39"/>
    <x v="139"/>
    <x v="1735"/>
    <x v="0"/>
    <s v="SUCURSAL DE VISTA ALEGRE"/>
    <x v="4"/>
  </r>
  <r>
    <x v="30"/>
    <x v="71"/>
    <x v="6"/>
    <x v="6"/>
    <x v="0"/>
    <x v="2"/>
    <x v="39"/>
    <x v="37"/>
    <x v="1365"/>
    <x v="0"/>
    <s v="SUCURSAL DE VISTA ALEGRE"/>
    <x v="4"/>
  </r>
  <r>
    <x v="30"/>
    <x v="160"/>
    <x v="0"/>
    <x v="0"/>
    <x v="0"/>
    <x v="2"/>
    <x v="39"/>
    <x v="179"/>
    <x v="1579"/>
    <x v="0"/>
    <s v="SUCURSAL DE VISTA ALEGRE"/>
    <x v="4"/>
  </r>
  <r>
    <x v="30"/>
    <x v="1"/>
    <x v="1"/>
    <x v="1"/>
    <x v="0"/>
    <x v="2"/>
    <x v="1"/>
    <x v="1"/>
    <x v="1"/>
    <x v="507"/>
    <s v="SUCURSAL DE VISTA ALEGRE"/>
    <x v="4"/>
  </r>
  <r>
    <x v="31"/>
    <x v="68"/>
    <x v="4"/>
    <x v="4"/>
    <x v="0"/>
    <x v="2"/>
    <x v="39"/>
    <x v="222"/>
    <x v="1736"/>
    <x v="0"/>
    <s v="LAS TABLAS"/>
    <x v="4"/>
  </r>
  <r>
    <x v="31"/>
    <x v="153"/>
    <x v="5"/>
    <x v="5"/>
    <x v="0"/>
    <x v="2"/>
    <x v="39"/>
    <x v="157"/>
    <x v="816"/>
    <x v="0"/>
    <s v="LAS TABLAS"/>
    <x v="4"/>
  </r>
  <r>
    <x v="31"/>
    <x v="1"/>
    <x v="1"/>
    <x v="1"/>
    <x v="0"/>
    <x v="2"/>
    <x v="1"/>
    <x v="1"/>
    <x v="1"/>
    <x v="508"/>
    <s v="LAS TABLAS"/>
    <x v="4"/>
  </r>
  <r>
    <x v="32"/>
    <x v="50"/>
    <x v="4"/>
    <x v="4"/>
    <x v="0"/>
    <x v="2"/>
    <x v="39"/>
    <x v="77"/>
    <x v="1737"/>
    <x v="0"/>
    <s v="24 DE DICIEMBRE"/>
    <x v="4"/>
  </r>
  <r>
    <x v="32"/>
    <x v="115"/>
    <x v="5"/>
    <x v="5"/>
    <x v="0"/>
    <x v="2"/>
    <x v="39"/>
    <x v="213"/>
    <x v="1335"/>
    <x v="0"/>
    <s v="24 DE DICIEMBRE"/>
    <x v="4"/>
  </r>
  <r>
    <x v="32"/>
    <x v="40"/>
    <x v="1"/>
    <x v="1"/>
    <x v="0"/>
    <x v="2"/>
    <x v="39"/>
    <x v="125"/>
    <x v="1738"/>
    <x v="0"/>
    <s v="24 DE DICIEMBRE"/>
    <x v="4"/>
  </r>
  <r>
    <x v="32"/>
    <x v="33"/>
    <x v="1"/>
    <x v="1"/>
    <x v="0"/>
    <x v="2"/>
    <x v="39"/>
    <x v="241"/>
    <x v="1575"/>
    <x v="0"/>
    <s v="24 DE DICIEMBRE"/>
    <x v="4"/>
  </r>
  <r>
    <x v="32"/>
    <x v="1"/>
    <x v="1"/>
    <x v="1"/>
    <x v="0"/>
    <x v="2"/>
    <x v="1"/>
    <x v="1"/>
    <x v="1"/>
    <x v="509"/>
    <s v="24 DE DICIEMBRE"/>
    <x v="4"/>
  </r>
  <r>
    <x v="33"/>
    <x v="21"/>
    <x v="6"/>
    <x v="6"/>
    <x v="0"/>
    <x v="2"/>
    <x v="39"/>
    <x v="70"/>
    <x v="848"/>
    <x v="0"/>
    <s v="DAVID - TERRONAL"/>
    <x v="4"/>
  </r>
  <r>
    <x v="33"/>
    <x v="68"/>
    <x v="4"/>
    <x v="4"/>
    <x v="0"/>
    <x v="2"/>
    <x v="39"/>
    <x v="222"/>
    <x v="1739"/>
    <x v="0"/>
    <s v="DAVID - TERRONAL"/>
    <x v="4"/>
  </r>
  <r>
    <x v="33"/>
    <x v="50"/>
    <x v="4"/>
    <x v="4"/>
    <x v="0"/>
    <x v="2"/>
    <x v="39"/>
    <x v="77"/>
    <x v="764"/>
    <x v="0"/>
    <s v="DAVID - TERRONAL"/>
    <x v="4"/>
  </r>
  <r>
    <x v="33"/>
    <x v="13"/>
    <x v="5"/>
    <x v="5"/>
    <x v="0"/>
    <x v="2"/>
    <x v="39"/>
    <x v="120"/>
    <x v="1740"/>
    <x v="0"/>
    <s v="DAVID - TERRONAL"/>
    <x v="4"/>
  </r>
  <r>
    <x v="33"/>
    <x v="33"/>
    <x v="1"/>
    <x v="1"/>
    <x v="0"/>
    <x v="2"/>
    <x v="39"/>
    <x v="241"/>
    <x v="1741"/>
    <x v="0"/>
    <s v="DAVID - TERRONAL"/>
    <x v="4"/>
  </r>
  <r>
    <x v="33"/>
    <x v="55"/>
    <x v="1"/>
    <x v="1"/>
    <x v="0"/>
    <x v="2"/>
    <x v="39"/>
    <x v="188"/>
    <x v="1742"/>
    <x v="0"/>
    <s v="DAVID - TERRONAL"/>
    <x v="4"/>
  </r>
  <r>
    <x v="33"/>
    <x v="1"/>
    <x v="1"/>
    <x v="1"/>
    <x v="0"/>
    <x v="2"/>
    <x v="1"/>
    <x v="1"/>
    <x v="1"/>
    <x v="510"/>
    <s v="DAVID - TERRONAL"/>
    <x v="4"/>
  </r>
  <r>
    <x v="34"/>
    <x v="64"/>
    <x v="2"/>
    <x v="2"/>
    <x v="0"/>
    <x v="2"/>
    <x v="39"/>
    <x v="139"/>
    <x v="1236"/>
    <x v="0"/>
    <s v="COSTA DEL ESTE"/>
    <x v="4"/>
  </r>
  <r>
    <x v="34"/>
    <x v="65"/>
    <x v="6"/>
    <x v="6"/>
    <x v="0"/>
    <x v="2"/>
    <x v="39"/>
    <x v="190"/>
    <x v="1743"/>
    <x v="0"/>
    <s v="COSTA DEL ESTE"/>
    <x v="4"/>
  </r>
  <r>
    <x v="34"/>
    <x v="79"/>
    <x v="3"/>
    <x v="3"/>
    <x v="0"/>
    <x v="2"/>
    <x v="39"/>
    <x v="142"/>
    <x v="865"/>
    <x v="0"/>
    <s v="COSTA DEL ESTE"/>
    <x v="4"/>
  </r>
  <r>
    <x v="34"/>
    <x v="156"/>
    <x v="4"/>
    <x v="4"/>
    <x v="0"/>
    <x v="2"/>
    <x v="39"/>
    <x v="146"/>
    <x v="1236"/>
    <x v="0"/>
    <s v="COSTA DEL ESTE"/>
    <x v="4"/>
  </r>
  <r>
    <x v="34"/>
    <x v="160"/>
    <x v="0"/>
    <x v="0"/>
    <x v="0"/>
    <x v="2"/>
    <x v="39"/>
    <x v="179"/>
    <x v="900"/>
    <x v="0"/>
    <s v="COSTA DEL ESTE"/>
    <x v="4"/>
  </r>
  <r>
    <x v="34"/>
    <x v="13"/>
    <x v="5"/>
    <x v="5"/>
    <x v="0"/>
    <x v="2"/>
    <x v="39"/>
    <x v="120"/>
    <x v="1744"/>
    <x v="0"/>
    <s v="COSTA DEL ESTE"/>
    <x v="4"/>
  </r>
  <r>
    <x v="34"/>
    <x v="1"/>
    <x v="1"/>
    <x v="1"/>
    <x v="0"/>
    <x v="2"/>
    <x v="1"/>
    <x v="1"/>
    <x v="1"/>
    <x v="511"/>
    <s v="COSTA DEL ESTE"/>
    <x v="4"/>
  </r>
  <r>
    <x v="35"/>
    <x v="79"/>
    <x v="3"/>
    <x v="3"/>
    <x v="0"/>
    <x v="2"/>
    <x v="39"/>
    <x v="142"/>
    <x v="1582"/>
    <x v="0"/>
    <s v="MULTI PLAZA"/>
    <x v="4"/>
  </r>
  <r>
    <x v="35"/>
    <x v="79"/>
    <x v="3"/>
    <x v="3"/>
    <x v="0"/>
    <x v="2"/>
    <x v="39"/>
    <x v="142"/>
    <x v="1"/>
    <x v="454"/>
    <s v="MULTI PLAZA"/>
    <x v="4"/>
  </r>
  <r>
    <x v="35"/>
    <x v="44"/>
    <x v="3"/>
    <x v="3"/>
    <x v="0"/>
    <x v="2"/>
    <x v="39"/>
    <x v="191"/>
    <x v="1745"/>
    <x v="0"/>
    <s v="MULTI PLAZA"/>
    <x v="4"/>
  </r>
  <r>
    <x v="35"/>
    <x v="154"/>
    <x v="4"/>
    <x v="4"/>
    <x v="0"/>
    <x v="2"/>
    <x v="39"/>
    <x v="143"/>
    <x v="587"/>
    <x v="0"/>
    <s v="MULTI PLAZA"/>
    <x v="4"/>
  </r>
  <r>
    <x v="35"/>
    <x v="46"/>
    <x v="0"/>
    <x v="0"/>
    <x v="0"/>
    <x v="2"/>
    <x v="39"/>
    <x v="155"/>
    <x v="1746"/>
    <x v="0"/>
    <s v="MULTI PLAZA"/>
    <x v="4"/>
  </r>
  <r>
    <x v="35"/>
    <x v="139"/>
    <x v="5"/>
    <x v="5"/>
    <x v="0"/>
    <x v="2"/>
    <x v="39"/>
    <x v="110"/>
    <x v="1747"/>
    <x v="0"/>
    <s v="MULTI PLAZA"/>
    <x v="4"/>
  </r>
  <r>
    <x v="35"/>
    <x v="41"/>
    <x v="1"/>
    <x v="1"/>
    <x v="0"/>
    <x v="2"/>
    <x v="39"/>
    <x v="113"/>
    <x v="1748"/>
    <x v="0"/>
    <s v="MULTI PLAZA"/>
    <x v="4"/>
  </r>
  <r>
    <x v="35"/>
    <x v="128"/>
    <x v="1"/>
    <x v="1"/>
    <x v="0"/>
    <x v="2"/>
    <x v="39"/>
    <x v="164"/>
    <x v="1749"/>
    <x v="0"/>
    <s v="MULTI PLAZA"/>
    <x v="4"/>
  </r>
  <r>
    <x v="35"/>
    <x v="1"/>
    <x v="1"/>
    <x v="1"/>
    <x v="0"/>
    <x v="2"/>
    <x v="1"/>
    <x v="1"/>
    <x v="1"/>
    <x v="512"/>
    <s v="MULTI PLAZA"/>
    <x v="4"/>
  </r>
  <r>
    <x v="77"/>
    <x v="111"/>
    <x v="2"/>
    <x v="2"/>
    <x v="0"/>
    <x v="2"/>
    <x v="40"/>
    <x v="75"/>
    <x v="1737"/>
    <x v="0"/>
    <s v="HOSPITAL PUNTA PACIFICA"/>
    <x v="4"/>
  </r>
  <r>
    <x v="77"/>
    <x v="154"/>
    <x v="4"/>
    <x v="4"/>
    <x v="0"/>
    <x v="2"/>
    <x v="39"/>
    <x v="143"/>
    <x v="782"/>
    <x v="0"/>
    <s v="HOSPITAL PUNTA PACIFICA"/>
    <x v="4"/>
  </r>
  <r>
    <x v="77"/>
    <x v="41"/>
    <x v="1"/>
    <x v="1"/>
    <x v="0"/>
    <x v="2"/>
    <x v="39"/>
    <x v="113"/>
    <x v="1750"/>
    <x v="0"/>
    <s v="HOSPITAL PUNTA PACIFICA"/>
    <x v="4"/>
  </r>
  <r>
    <x v="77"/>
    <x v="152"/>
    <x v="1"/>
    <x v="1"/>
    <x v="0"/>
    <x v="2"/>
    <x v="39"/>
    <x v="194"/>
    <x v="1751"/>
    <x v="0"/>
    <s v="HOSPITAL PUNTA PACIFICA"/>
    <x v="4"/>
  </r>
  <r>
    <x v="77"/>
    <x v="128"/>
    <x v="1"/>
    <x v="1"/>
    <x v="0"/>
    <x v="2"/>
    <x v="39"/>
    <x v="164"/>
    <x v="1752"/>
    <x v="0"/>
    <s v="HOSPITAL PUNTA PACIFICA"/>
    <x v="4"/>
  </r>
  <r>
    <x v="77"/>
    <x v="1"/>
    <x v="1"/>
    <x v="1"/>
    <x v="0"/>
    <x v="2"/>
    <x v="1"/>
    <x v="1"/>
    <x v="1"/>
    <x v="513"/>
    <s v="HOSPITAL PUNTA PACIFICA"/>
    <x v="4"/>
  </r>
  <r>
    <x v="36"/>
    <x v="144"/>
    <x v="2"/>
    <x v="2"/>
    <x v="0"/>
    <x v="2"/>
    <x v="39"/>
    <x v="162"/>
    <x v="1753"/>
    <x v="0"/>
    <s v="TERMINAL DE ALBROOK"/>
    <x v="4"/>
  </r>
  <r>
    <x v="36"/>
    <x v="36"/>
    <x v="6"/>
    <x v="6"/>
    <x v="0"/>
    <x v="2"/>
    <x v="40"/>
    <x v="94"/>
    <x v="1754"/>
    <x v="0"/>
    <s v="TERMINAL DE ALBROOK"/>
    <x v="4"/>
  </r>
  <r>
    <x v="36"/>
    <x v="102"/>
    <x v="6"/>
    <x v="6"/>
    <x v="0"/>
    <x v="2"/>
    <x v="39"/>
    <x v="141"/>
    <x v="1755"/>
    <x v="0"/>
    <s v="TERMINAL DE ALBROOK"/>
    <x v="4"/>
  </r>
  <r>
    <x v="36"/>
    <x v="108"/>
    <x v="3"/>
    <x v="3"/>
    <x v="0"/>
    <x v="2"/>
    <x v="40"/>
    <x v="63"/>
    <x v="1756"/>
    <x v="0"/>
    <s v="TERMINAL DE ALBROOK"/>
    <x v="4"/>
  </r>
  <r>
    <x v="36"/>
    <x v="43"/>
    <x v="3"/>
    <x v="3"/>
    <x v="0"/>
    <x v="2"/>
    <x v="39"/>
    <x v="71"/>
    <x v="1757"/>
    <x v="0"/>
    <s v="TERMINAL DE ALBROOK"/>
    <x v="4"/>
  </r>
  <r>
    <x v="36"/>
    <x v="68"/>
    <x v="4"/>
    <x v="4"/>
    <x v="0"/>
    <x v="2"/>
    <x v="39"/>
    <x v="222"/>
    <x v="187"/>
    <x v="0"/>
    <s v="TERMINAL DE ALBROOK"/>
    <x v="4"/>
  </r>
  <r>
    <x v="36"/>
    <x v="50"/>
    <x v="4"/>
    <x v="4"/>
    <x v="0"/>
    <x v="2"/>
    <x v="39"/>
    <x v="77"/>
    <x v="1758"/>
    <x v="0"/>
    <s v="TERMINAL DE ALBROOK"/>
    <x v="4"/>
  </r>
  <r>
    <x v="36"/>
    <x v="57"/>
    <x v="0"/>
    <x v="0"/>
    <x v="0"/>
    <x v="2"/>
    <x v="39"/>
    <x v="44"/>
    <x v="1759"/>
    <x v="0"/>
    <s v="TERMINAL DE ALBROOK"/>
    <x v="4"/>
  </r>
  <r>
    <x v="36"/>
    <x v="117"/>
    <x v="0"/>
    <x v="0"/>
    <x v="0"/>
    <x v="2"/>
    <x v="39"/>
    <x v="65"/>
    <x v="1760"/>
    <x v="0"/>
    <s v="TERMINAL DE ALBROOK"/>
    <x v="4"/>
  </r>
  <r>
    <x v="36"/>
    <x v="115"/>
    <x v="5"/>
    <x v="5"/>
    <x v="0"/>
    <x v="2"/>
    <x v="39"/>
    <x v="213"/>
    <x v="1761"/>
    <x v="0"/>
    <s v="TERMINAL DE ALBROOK"/>
    <x v="4"/>
  </r>
  <r>
    <x v="36"/>
    <x v="13"/>
    <x v="5"/>
    <x v="5"/>
    <x v="0"/>
    <x v="2"/>
    <x v="39"/>
    <x v="120"/>
    <x v="1762"/>
    <x v="0"/>
    <s v="TERMINAL DE ALBROOK"/>
    <x v="4"/>
  </r>
  <r>
    <x v="36"/>
    <x v="153"/>
    <x v="5"/>
    <x v="5"/>
    <x v="0"/>
    <x v="2"/>
    <x v="39"/>
    <x v="157"/>
    <x v="1017"/>
    <x v="0"/>
    <s v="TERMINAL DE ALBROOK"/>
    <x v="4"/>
  </r>
  <r>
    <x v="36"/>
    <x v="152"/>
    <x v="1"/>
    <x v="1"/>
    <x v="0"/>
    <x v="2"/>
    <x v="39"/>
    <x v="194"/>
    <x v="1763"/>
    <x v="0"/>
    <s v="TERMINAL DE ALBROOK"/>
    <x v="4"/>
  </r>
  <r>
    <x v="36"/>
    <x v="1"/>
    <x v="1"/>
    <x v="1"/>
    <x v="0"/>
    <x v="2"/>
    <x v="1"/>
    <x v="1"/>
    <x v="1"/>
    <x v="514"/>
    <s v="TERMINAL DE ALBROOK"/>
    <x v="4"/>
  </r>
  <r>
    <x v="37"/>
    <x v="147"/>
    <x v="6"/>
    <x v="6"/>
    <x v="0"/>
    <x v="2"/>
    <x v="39"/>
    <x v="132"/>
    <x v="1764"/>
    <x v="0"/>
    <s v="CONCEPCION"/>
    <x v="4"/>
  </r>
  <r>
    <x v="37"/>
    <x v="50"/>
    <x v="4"/>
    <x v="4"/>
    <x v="0"/>
    <x v="2"/>
    <x v="39"/>
    <x v="77"/>
    <x v="482"/>
    <x v="0"/>
    <s v="CONCEPCION"/>
    <x v="4"/>
  </r>
  <r>
    <x v="37"/>
    <x v="117"/>
    <x v="0"/>
    <x v="0"/>
    <x v="0"/>
    <x v="2"/>
    <x v="39"/>
    <x v="65"/>
    <x v="1765"/>
    <x v="0"/>
    <s v="CONCEPCION"/>
    <x v="4"/>
  </r>
  <r>
    <x v="37"/>
    <x v="1"/>
    <x v="1"/>
    <x v="1"/>
    <x v="0"/>
    <x v="2"/>
    <x v="1"/>
    <x v="1"/>
    <x v="1"/>
    <x v="515"/>
    <s v="CONCEPCION"/>
    <x v="4"/>
  </r>
  <r>
    <x v="38"/>
    <x v="144"/>
    <x v="2"/>
    <x v="2"/>
    <x v="0"/>
    <x v="2"/>
    <x v="39"/>
    <x v="162"/>
    <x v="858"/>
    <x v="0"/>
    <s v="BOQUETE"/>
    <x v="4"/>
  </r>
  <r>
    <x v="38"/>
    <x v="77"/>
    <x v="5"/>
    <x v="5"/>
    <x v="0"/>
    <x v="2"/>
    <x v="39"/>
    <x v="156"/>
    <x v="1766"/>
    <x v="0"/>
    <s v="BOQUETE"/>
    <x v="4"/>
  </r>
  <r>
    <x v="38"/>
    <x v="1"/>
    <x v="1"/>
    <x v="1"/>
    <x v="0"/>
    <x v="2"/>
    <x v="1"/>
    <x v="1"/>
    <x v="1"/>
    <x v="516"/>
    <s v="BOQUETE"/>
    <x v="4"/>
  </r>
  <r>
    <x v="39"/>
    <x v="112"/>
    <x v="2"/>
    <x v="2"/>
    <x v="0"/>
    <x v="2"/>
    <x v="40"/>
    <x v="209"/>
    <x v="1767"/>
    <x v="0"/>
    <s v="BRISAS DEL GOLF"/>
    <x v="4"/>
  </r>
  <r>
    <x v="39"/>
    <x v="86"/>
    <x v="6"/>
    <x v="6"/>
    <x v="0"/>
    <x v="2"/>
    <x v="39"/>
    <x v="224"/>
    <x v="1768"/>
    <x v="0"/>
    <s v="BRISAS DEL GOLF"/>
    <x v="4"/>
  </r>
  <r>
    <x v="39"/>
    <x v="71"/>
    <x v="6"/>
    <x v="6"/>
    <x v="0"/>
    <x v="2"/>
    <x v="40"/>
    <x v="37"/>
    <x v="782"/>
    <x v="0"/>
    <s v="BRISAS DEL GOLF"/>
    <x v="4"/>
  </r>
  <r>
    <x v="39"/>
    <x v="135"/>
    <x v="3"/>
    <x v="3"/>
    <x v="0"/>
    <x v="2"/>
    <x v="39"/>
    <x v="149"/>
    <x v="1769"/>
    <x v="0"/>
    <s v="BRISAS DEL GOLF"/>
    <x v="4"/>
  </r>
  <r>
    <x v="39"/>
    <x v="156"/>
    <x v="4"/>
    <x v="4"/>
    <x v="0"/>
    <x v="2"/>
    <x v="39"/>
    <x v="146"/>
    <x v="1770"/>
    <x v="0"/>
    <s v="BRISAS DEL GOLF"/>
    <x v="4"/>
  </r>
  <r>
    <x v="39"/>
    <x v="162"/>
    <x v="4"/>
    <x v="4"/>
    <x v="0"/>
    <x v="2"/>
    <x v="40"/>
    <x v="192"/>
    <x v="865"/>
    <x v="0"/>
    <s v="BRISAS DEL GOLF"/>
    <x v="4"/>
  </r>
  <r>
    <x v="39"/>
    <x v="154"/>
    <x v="4"/>
    <x v="4"/>
    <x v="0"/>
    <x v="2"/>
    <x v="39"/>
    <x v="143"/>
    <x v="1771"/>
    <x v="0"/>
    <s v="BRISAS DEL GOLF"/>
    <x v="4"/>
  </r>
  <r>
    <x v="39"/>
    <x v="160"/>
    <x v="0"/>
    <x v="0"/>
    <x v="0"/>
    <x v="2"/>
    <x v="39"/>
    <x v="179"/>
    <x v="1772"/>
    <x v="0"/>
    <s v="BRISAS DEL GOLF"/>
    <x v="4"/>
  </r>
  <r>
    <x v="39"/>
    <x v="115"/>
    <x v="5"/>
    <x v="5"/>
    <x v="0"/>
    <x v="2"/>
    <x v="39"/>
    <x v="213"/>
    <x v="1773"/>
    <x v="0"/>
    <s v="BRISAS DEL GOLF"/>
    <x v="4"/>
  </r>
  <r>
    <x v="39"/>
    <x v="150"/>
    <x v="5"/>
    <x v="5"/>
    <x v="0"/>
    <x v="2"/>
    <x v="39"/>
    <x v="214"/>
    <x v="806"/>
    <x v="0"/>
    <s v="BRISAS DEL GOLF"/>
    <x v="4"/>
  </r>
  <r>
    <x v="39"/>
    <x v="128"/>
    <x v="1"/>
    <x v="1"/>
    <x v="0"/>
    <x v="2"/>
    <x v="39"/>
    <x v="164"/>
    <x v="1774"/>
    <x v="0"/>
    <s v="BRISAS DEL GOLF"/>
    <x v="4"/>
  </r>
  <r>
    <x v="39"/>
    <x v="1"/>
    <x v="1"/>
    <x v="1"/>
    <x v="0"/>
    <x v="2"/>
    <x v="1"/>
    <x v="1"/>
    <x v="1"/>
    <x v="517"/>
    <s v="BRISAS DEL GOLF"/>
    <x v="4"/>
  </r>
  <r>
    <x v="40"/>
    <x v="71"/>
    <x v="6"/>
    <x v="6"/>
    <x v="0"/>
    <x v="2"/>
    <x v="39"/>
    <x v="37"/>
    <x v="1775"/>
    <x v="0"/>
    <s v="PUENTE CENTENARIO"/>
    <x v="4"/>
  </r>
  <r>
    <x v="40"/>
    <x v="90"/>
    <x v="0"/>
    <x v="0"/>
    <x v="0"/>
    <x v="2"/>
    <x v="40"/>
    <x v="79"/>
    <x v="1776"/>
    <x v="0"/>
    <s v="PUENTE CENTENARIO"/>
    <x v="4"/>
  </r>
  <r>
    <x v="40"/>
    <x v="57"/>
    <x v="0"/>
    <x v="0"/>
    <x v="0"/>
    <x v="2"/>
    <x v="39"/>
    <x v="44"/>
    <x v="1777"/>
    <x v="0"/>
    <s v="PUENTE CENTENARIO"/>
    <x v="4"/>
  </r>
  <r>
    <x v="40"/>
    <x v="98"/>
    <x v="1"/>
    <x v="1"/>
    <x v="0"/>
    <x v="2"/>
    <x v="39"/>
    <x v="198"/>
    <x v="1778"/>
    <x v="0"/>
    <s v="PUENTE CENTENARIO"/>
    <x v="4"/>
  </r>
  <r>
    <x v="40"/>
    <x v="1"/>
    <x v="1"/>
    <x v="1"/>
    <x v="0"/>
    <x v="2"/>
    <x v="1"/>
    <x v="1"/>
    <x v="1"/>
    <x v="518"/>
    <s v="PUENTE CENTENARIO"/>
    <x v="4"/>
  </r>
  <r>
    <x v="74"/>
    <x v="79"/>
    <x v="3"/>
    <x v="3"/>
    <x v="0"/>
    <x v="2"/>
    <x v="39"/>
    <x v="142"/>
    <x v="1779"/>
    <x v="0"/>
    <s v="AGUADULCE"/>
    <x v="4"/>
  </r>
  <r>
    <x v="74"/>
    <x v="28"/>
    <x v="3"/>
    <x v="3"/>
    <x v="0"/>
    <x v="2"/>
    <x v="40"/>
    <x v="245"/>
    <x v="1780"/>
    <x v="0"/>
    <s v="AGUADULCE"/>
    <x v="4"/>
  </r>
  <r>
    <x v="74"/>
    <x v="142"/>
    <x v="0"/>
    <x v="0"/>
    <x v="0"/>
    <x v="2"/>
    <x v="39"/>
    <x v="119"/>
    <x v="1781"/>
    <x v="0"/>
    <s v="AGUADULCE"/>
    <x v="4"/>
  </r>
  <r>
    <x v="74"/>
    <x v="72"/>
    <x v="5"/>
    <x v="5"/>
    <x v="0"/>
    <x v="2"/>
    <x v="40"/>
    <x v="38"/>
    <x v="1782"/>
    <x v="0"/>
    <s v="AGUADULCE"/>
    <x v="4"/>
  </r>
  <r>
    <x v="74"/>
    <x v="40"/>
    <x v="1"/>
    <x v="1"/>
    <x v="0"/>
    <x v="2"/>
    <x v="39"/>
    <x v="125"/>
    <x v="1783"/>
    <x v="0"/>
    <s v="AGUADULCE"/>
    <x v="4"/>
  </r>
  <r>
    <x v="74"/>
    <x v="155"/>
    <x v="1"/>
    <x v="1"/>
    <x v="0"/>
    <x v="2"/>
    <x v="39"/>
    <x v="145"/>
    <x v="1784"/>
    <x v="0"/>
    <s v="AGUADULCE"/>
    <x v="4"/>
  </r>
  <r>
    <x v="74"/>
    <x v="98"/>
    <x v="1"/>
    <x v="1"/>
    <x v="0"/>
    <x v="2"/>
    <x v="39"/>
    <x v="198"/>
    <x v="1785"/>
    <x v="0"/>
    <s v="AGUADULCE"/>
    <x v="4"/>
  </r>
  <r>
    <x v="74"/>
    <x v="1"/>
    <x v="1"/>
    <x v="1"/>
    <x v="0"/>
    <x v="2"/>
    <x v="1"/>
    <x v="1"/>
    <x v="1"/>
    <x v="519"/>
    <s v="AGUADULCE"/>
    <x v="4"/>
  </r>
  <r>
    <x v="75"/>
    <x v="134"/>
    <x v="6"/>
    <x v="6"/>
    <x v="0"/>
    <x v="2"/>
    <x v="40"/>
    <x v="226"/>
    <x v="861"/>
    <x v="0"/>
    <s v="SABANITAS"/>
    <x v="4"/>
  </r>
  <r>
    <x v="75"/>
    <x v="0"/>
    <x v="0"/>
    <x v="0"/>
    <x v="0"/>
    <x v="2"/>
    <x v="39"/>
    <x v="197"/>
    <x v="1786"/>
    <x v="0"/>
    <s v="SABANITAS"/>
    <x v="4"/>
  </r>
  <r>
    <x v="75"/>
    <x v="101"/>
    <x v="1"/>
    <x v="1"/>
    <x v="0"/>
    <x v="2"/>
    <x v="39"/>
    <x v="207"/>
    <x v="1061"/>
    <x v="0"/>
    <s v="SABANITAS"/>
    <x v="4"/>
  </r>
  <r>
    <x v="75"/>
    <x v="1"/>
    <x v="1"/>
    <x v="1"/>
    <x v="0"/>
    <x v="2"/>
    <x v="1"/>
    <x v="1"/>
    <x v="1"/>
    <x v="520"/>
    <s v="SABANITAS"/>
    <x v="4"/>
  </r>
  <r>
    <x v="41"/>
    <x v="107"/>
    <x v="2"/>
    <x v="2"/>
    <x v="0"/>
    <x v="2"/>
    <x v="39"/>
    <x v="158"/>
    <x v="1787"/>
    <x v="0"/>
    <s v="METROMALL"/>
    <x v="4"/>
  </r>
  <r>
    <x v="41"/>
    <x v="13"/>
    <x v="5"/>
    <x v="5"/>
    <x v="0"/>
    <x v="2"/>
    <x v="39"/>
    <x v="120"/>
    <x v="1004"/>
    <x v="0"/>
    <s v="METROMALL"/>
    <x v="4"/>
  </r>
  <r>
    <x v="41"/>
    <x v="77"/>
    <x v="5"/>
    <x v="5"/>
    <x v="0"/>
    <x v="2"/>
    <x v="39"/>
    <x v="156"/>
    <x v="1004"/>
    <x v="0"/>
    <s v="METROMALL"/>
    <x v="4"/>
  </r>
  <r>
    <x v="41"/>
    <x v="1"/>
    <x v="1"/>
    <x v="1"/>
    <x v="0"/>
    <x v="2"/>
    <x v="1"/>
    <x v="1"/>
    <x v="1"/>
    <x v="521"/>
    <s v="METROMALL"/>
    <x v="4"/>
  </r>
  <r>
    <x v="43"/>
    <x v="70"/>
    <x v="2"/>
    <x v="2"/>
    <x v="0"/>
    <x v="2"/>
    <x v="39"/>
    <x v="36"/>
    <x v="1788"/>
    <x v="0"/>
    <s v="VERSALLES"/>
    <x v="4"/>
  </r>
  <r>
    <x v="43"/>
    <x v="144"/>
    <x v="2"/>
    <x v="2"/>
    <x v="0"/>
    <x v="2"/>
    <x v="39"/>
    <x v="162"/>
    <x v="1789"/>
    <x v="0"/>
    <s v="VERSALLES"/>
    <x v="4"/>
  </r>
  <r>
    <x v="43"/>
    <x v="89"/>
    <x v="4"/>
    <x v="4"/>
    <x v="0"/>
    <x v="2"/>
    <x v="39"/>
    <x v="154"/>
    <x v="1790"/>
    <x v="0"/>
    <s v="VERSALLES"/>
    <x v="4"/>
  </r>
  <r>
    <x v="43"/>
    <x v="13"/>
    <x v="5"/>
    <x v="5"/>
    <x v="0"/>
    <x v="2"/>
    <x v="39"/>
    <x v="120"/>
    <x v="1791"/>
    <x v="0"/>
    <s v="VERSALLES"/>
    <x v="4"/>
  </r>
  <r>
    <x v="43"/>
    <x v="155"/>
    <x v="1"/>
    <x v="1"/>
    <x v="0"/>
    <x v="2"/>
    <x v="39"/>
    <x v="145"/>
    <x v="1792"/>
    <x v="0"/>
    <s v="VERSALLES"/>
    <x v="4"/>
  </r>
  <r>
    <x v="43"/>
    <x v="1"/>
    <x v="1"/>
    <x v="1"/>
    <x v="0"/>
    <x v="2"/>
    <x v="1"/>
    <x v="1"/>
    <x v="1"/>
    <x v="522"/>
    <s v="VERSALLES"/>
    <x v="4"/>
  </r>
  <r>
    <x v="44"/>
    <x v="64"/>
    <x v="2"/>
    <x v="2"/>
    <x v="0"/>
    <x v="2"/>
    <x v="39"/>
    <x v="139"/>
    <x v="1793"/>
    <x v="0"/>
    <s v="BUSINESS PARK"/>
    <x v="4"/>
  </r>
  <r>
    <x v="44"/>
    <x v="133"/>
    <x v="2"/>
    <x v="2"/>
    <x v="0"/>
    <x v="2"/>
    <x v="39"/>
    <x v="254"/>
    <x v="146"/>
    <x v="0"/>
    <s v="BUSINESS PARK"/>
    <x v="4"/>
  </r>
  <r>
    <x v="44"/>
    <x v="21"/>
    <x v="6"/>
    <x v="6"/>
    <x v="0"/>
    <x v="2"/>
    <x v="39"/>
    <x v="70"/>
    <x v="1794"/>
    <x v="0"/>
    <s v="BUSINESS PARK"/>
    <x v="4"/>
  </r>
  <r>
    <x v="44"/>
    <x v="23"/>
    <x v="3"/>
    <x v="3"/>
    <x v="0"/>
    <x v="2"/>
    <x v="39"/>
    <x v="221"/>
    <x v="798"/>
    <x v="0"/>
    <s v="BUSINESS PARK"/>
    <x v="4"/>
  </r>
  <r>
    <x v="44"/>
    <x v="135"/>
    <x v="3"/>
    <x v="3"/>
    <x v="0"/>
    <x v="2"/>
    <x v="39"/>
    <x v="149"/>
    <x v="816"/>
    <x v="0"/>
    <s v="BUSINESS PARK"/>
    <x v="4"/>
  </r>
  <r>
    <x v="44"/>
    <x v="62"/>
    <x v="4"/>
    <x v="4"/>
    <x v="0"/>
    <x v="2"/>
    <x v="39"/>
    <x v="176"/>
    <x v="1795"/>
    <x v="0"/>
    <s v="BUSINESS PARK"/>
    <x v="4"/>
  </r>
  <r>
    <x v="44"/>
    <x v="57"/>
    <x v="0"/>
    <x v="0"/>
    <x v="0"/>
    <x v="2"/>
    <x v="39"/>
    <x v="44"/>
    <x v="905"/>
    <x v="0"/>
    <s v="BUSINESS PARK"/>
    <x v="4"/>
  </r>
  <r>
    <x v="44"/>
    <x v="117"/>
    <x v="0"/>
    <x v="0"/>
    <x v="0"/>
    <x v="2"/>
    <x v="39"/>
    <x v="65"/>
    <x v="187"/>
    <x v="0"/>
    <s v="BUSINESS PARK"/>
    <x v="4"/>
  </r>
  <r>
    <x v="44"/>
    <x v="128"/>
    <x v="1"/>
    <x v="1"/>
    <x v="0"/>
    <x v="2"/>
    <x v="39"/>
    <x v="164"/>
    <x v="1061"/>
    <x v="0"/>
    <s v="BUSINESS PARK"/>
    <x v="4"/>
  </r>
  <r>
    <x v="44"/>
    <x v="1"/>
    <x v="1"/>
    <x v="1"/>
    <x v="0"/>
    <x v="2"/>
    <x v="1"/>
    <x v="1"/>
    <x v="1"/>
    <x v="523"/>
    <s v="BUSINESS PARK"/>
    <x v="4"/>
  </r>
  <r>
    <x v="45"/>
    <x v="70"/>
    <x v="2"/>
    <x v="2"/>
    <x v="0"/>
    <x v="2"/>
    <x v="39"/>
    <x v="36"/>
    <x v="1796"/>
    <x v="0"/>
    <s v="SAN FRANCISCO"/>
    <x v="4"/>
  </r>
  <r>
    <x v="45"/>
    <x v="111"/>
    <x v="2"/>
    <x v="2"/>
    <x v="0"/>
    <x v="2"/>
    <x v="40"/>
    <x v="75"/>
    <x v="852"/>
    <x v="0"/>
    <s v="SAN FRANCISCO"/>
    <x v="4"/>
  </r>
  <r>
    <x v="45"/>
    <x v="71"/>
    <x v="6"/>
    <x v="6"/>
    <x v="0"/>
    <x v="2"/>
    <x v="40"/>
    <x v="37"/>
    <x v="1797"/>
    <x v="0"/>
    <s v="SAN FRANCISCO"/>
    <x v="4"/>
  </r>
  <r>
    <x v="45"/>
    <x v="56"/>
    <x v="3"/>
    <x v="3"/>
    <x v="0"/>
    <x v="2"/>
    <x v="40"/>
    <x v="153"/>
    <x v="1798"/>
    <x v="0"/>
    <s v="SAN FRANCISCO"/>
    <x v="4"/>
  </r>
  <r>
    <x v="45"/>
    <x v="90"/>
    <x v="0"/>
    <x v="0"/>
    <x v="0"/>
    <x v="2"/>
    <x v="40"/>
    <x v="79"/>
    <x v="1799"/>
    <x v="0"/>
    <s v="SAN FRANCISCO"/>
    <x v="4"/>
  </r>
  <r>
    <x v="45"/>
    <x v="76"/>
    <x v="5"/>
    <x v="5"/>
    <x v="0"/>
    <x v="2"/>
    <x v="40"/>
    <x v="182"/>
    <x v="1800"/>
    <x v="0"/>
    <s v="SAN FRANCISCO"/>
    <x v="4"/>
  </r>
  <r>
    <x v="45"/>
    <x v="1"/>
    <x v="1"/>
    <x v="1"/>
    <x v="0"/>
    <x v="2"/>
    <x v="1"/>
    <x v="1"/>
    <x v="1"/>
    <x v="524"/>
    <s v="SAN FRANCISCO"/>
    <x v="4"/>
  </r>
  <r>
    <x v="46"/>
    <x v="86"/>
    <x v="6"/>
    <x v="6"/>
    <x v="0"/>
    <x v="2"/>
    <x v="39"/>
    <x v="224"/>
    <x v="1801"/>
    <x v="0"/>
    <s v="PLAZA BANCO GENERAL"/>
    <x v="4"/>
  </r>
  <r>
    <x v="46"/>
    <x v="108"/>
    <x v="3"/>
    <x v="3"/>
    <x v="0"/>
    <x v="2"/>
    <x v="39"/>
    <x v="63"/>
    <x v="1802"/>
    <x v="0"/>
    <s v="PLAZA BANCO GENERAL"/>
    <x v="4"/>
  </r>
  <r>
    <x v="46"/>
    <x v="79"/>
    <x v="3"/>
    <x v="3"/>
    <x v="0"/>
    <x v="2"/>
    <x v="39"/>
    <x v="142"/>
    <x v="1803"/>
    <x v="0"/>
    <s v="PLAZA BANCO GENERAL"/>
    <x v="4"/>
  </r>
  <r>
    <x v="46"/>
    <x v="159"/>
    <x v="0"/>
    <x v="0"/>
    <x v="0"/>
    <x v="2"/>
    <x v="39"/>
    <x v="177"/>
    <x v="1804"/>
    <x v="0"/>
    <s v="PLAZA BANCO GENERAL"/>
    <x v="4"/>
  </r>
  <r>
    <x v="46"/>
    <x v="160"/>
    <x v="0"/>
    <x v="0"/>
    <x v="0"/>
    <x v="2"/>
    <x v="39"/>
    <x v="179"/>
    <x v="1805"/>
    <x v="0"/>
    <s v="PLAZA BANCO GENERAL"/>
    <x v="4"/>
  </r>
  <r>
    <x v="46"/>
    <x v="145"/>
    <x v="5"/>
    <x v="5"/>
    <x v="0"/>
    <x v="2"/>
    <x v="39"/>
    <x v="124"/>
    <x v="1806"/>
    <x v="0"/>
    <s v="PLAZA BANCO GENERAL"/>
    <x v="4"/>
  </r>
  <r>
    <x v="46"/>
    <x v="41"/>
    <x v="1"/>
    <x v="1"/>
    <x v="0"/>
    <x v="2"/>
    <x v="39"/>
    <x v="113"/>
    <x v="1807"/>
    <x v="0"/>
    <s v="PLAZA BANCO GENERAL"/>
    <x v="4"/>
  </r>
  <r>
    <x v="46"/>
    <x v="33"/>
    <x v="1"/>
    <x v="1"/>
    <x v="0"/>
    <x v="2"/>
    <x v="39"/>
    <x v="241"/>
    <x v="1808"/>
    <x v="0"/>
    <s v="PLAZA BANCO GENERAL"/>
    <x v="4"/>
  </r>
  <r>
    <x v="46"/>
    <x v="128"/>
    <x v="1"/>
    <x v="1"/>
    <x v="0"/>
    <x v="2"/>
    <x v="39"/>
    <x v="164"/>
    <x v="1809"/>
    <x v="0"/>
    <s v="PLAZA BANCO GENERAL"/>
    <x v="4"/>
  </r>
  <r>
    <x v="46"/>
    <x v="1"/>
    <x v="1"/>
    <x v="1"/>
    <x v="0"/>
    <x v="2"/>
    <x v="1"/>
    <x v="1"/>
    <x v="1"/>
    <x v="525"/>
    <s v="PLAZA BANCO GENERAL"/>
    <x v="4"/>
  </r>
  <r>
    <x v="47"/>
    <x v="85"/>
    <x v="2"/>
    <x v="2"/>
    <x v="0"/>
    <x v="2"/>
    <x v="39"/>
    <x v="161"/>
    <x v="1810"/>
    <x v="0"/>
    <s v="LA CHORRERA - PARQUE 10 DE NOV."/>
    <x v="4"/>
  </r>
  <r>
    <x v="47"/>
    <x v="68"/>
    <x v="4"/>
    <x v="4"/>
    <x v="0"/>
    <x v="2"/>
    <x v="39"/>
    <x v="222"/>
    <x v="1811"/>
    <x v="0"/>
    <s v="LA CHORRERA - PARQUE 10 DE NOV."/>
    <x v="4"/>
  </r>
  <r>
    <x v="47"/>
    <x v="160"/>
    <x v="0"/>
    <x v="0"/>
    <x v="0"/>
    <x v="2"/>
    <x v="39"/>
    <x v="179"/>
    <x v="1812"/>
    <x v="0"/>
    <s v="LA CHORRERA - PARQUE 10 DE NOV."/>
    <x v="4"/>
  </r>
  <r>
    <x v="47"/>
    <x v="150"/>
    <x v="5"/>
    <x v="5"/>
    <x v="0"/>
    <x v="2"/>
    <x v="39"/>
    <x v="214"/>
    <x v="1813"/>
    <x v="0"/>
    <s v="LA CHORRERA - PARQUE 10 DE NOV."/>
    <x v="4"/>
  </r>
  <r>
    <x v="47"/>
    <x v="14"/>
    <x v="1"/>
    <x v="1"/>
    <x v="0"/>
    <x v="2"/>
    <x v="39"/>
    <x v="112"/>
    <x v="1814"/>
    <x v="0"/>
    <s v="LA CHORRERA - PARQUE 10 DE NOV."/>
    <x v="4"/>
  </r>
  <r>
    <x v="47"/>
    <x v="1"/>
    <x v="1"/>
    <x v="1"/>
    <x v="0"/>
    <x v="2"/>
    <x v="1"/>
    <x v="1"/>
    <x v="1"/>
    <x v="526"/>
    <s v="LA CHORRERA - PARQUE 10 DE NOV."/>
    <x v="4"/>
  </r>
  <r>
    <x v="48"/>
    <x v="86"/>
    <x v="6"/>
    <x v="6"/>
    <x v="0"/>
    <x v="2"/>
    <x v="39"/>
    <x v="224"/>
    <x v="1379"/>
    <x v="0"/>
    <s v="COSTA DEL ESTE - CENTENARIO"/>
    <x v="4"/>
  </r>
  <r>
    <x v="48"/>
    <x v="102"/>
    <x v="6"/>
    <x v="6"/>
    <x v="0"/>
    <x v="2"/>
    <x v="39"/>
    <x v="141"/>
    <x v="1815"/>
    <x v="0"/>
    <s v="COSTA DEL ESTE - CENTENARIO"/>
    <x v="4"/>
  </r>
  <r>
    <x v="48"/>
    <x v="62"/>
    <x v="4"/>
    <x v="4"/>
    <x v="0"/>
    <x v="2"/>
    <x v="39"/>
    <x v="176"/>
    <x v="1816"/>
    <x v="0"/>
    <s v="COSTA DEL ESTE - CENTENARIO"/>
    <x v="4"/>
  </r>
  <r>
    <x v="48"/>
    <x v="117"/>
    <x v="0"/>
    <x v="0"/>
    <x v="0"/>
    <x v="2"/>
    <x v="39"/>
    <x v="65"/>
    <x v="1817"/>
    <x v="0"/>
    <s v="COSTA DEL ESTE - CENTENARIO"/>
    <x v="4"/>
  </r>
  <r>
    <x v="48"/>
    <x v="115"/>
    <x v="5"/>
    <x v="5"/>
    <x v="0"/>
    <x v="2"/>
    <x v="39"/>
    <x v="213"/>
    <x v="1818"/>
    <x v="0"/>
    <s v="COSTA DEL ESTE - CENTENARIO"/>
    <x v="4"/>
  </r>
  <r>
    <x v="48"/>
    <x v="128"/>
    <x v="1"/>
    <x v="1"/>
    <x v="0"/>
    <x v="2"/>
    <x v="39"/>
    <x v="164"/>
    <x v="1819"/>
    <x v="0"/>
    <s v="COSTA DEL ESTE - CENTENARIO"/>
    <x v="4"/>
  </r>
  <r>
    <x v="48"/>
    <x v="1"/>
    <x v="1"/>
    <x v="1"/>
    <x v="0"/>
    <x v="2"/>
    <x v="1"/>
    <x v="1"/>
    <x v="1"/>
    <x v="527"/>
    <s v="COSTA DEL ESTE - CENTENARIO"/>
    <x v="4"/>
  </r>
  <r>
    <x v="49"/>
    <x v="86"/>
    <x v="6"/>
    <x v="6"/>
    <x v="0"/>
    <x v="2"/>
    <x v="39"/>
    <x v="224"/>
    <x v="493"/>
    <x v="0"/>
    <s v="CLAYTON"/>
    <x v="4"/>
  </r>
  <r>
    <x v="49"/>
    <x v="71"/>
    <x v="6"/>
    <x v="6"/>
    <x v="0"/>
    <x v="2"/>
    <x v="39"/>
    <x v="37"/>
    <x v="1795"/>
    <x v="0"/>
    <s v="CLAYTON"/>
    <x v="4"/>
  </r>
  <r>
    <x v="49"/>
    <x v="21"/>
    <x v="6"/>
    <x v="6"/>
    <x v="0"/>
    <x v="2"/>
    <x v="39"/>
    <x v="70"/>
    <x v="1820"/>
    <x v="0"/>
    <s v="CLAYTON"/>
    <x v="4"/>
  </r>
  <r>
    <x v="49"/>
    <x v="50"/>
    <x v="4"/>
    <x v="4"/>
    <x v="0"/>
    <x v="2"/>
    <x v="39"/>
    <x v="77"/>
    <x v="1821"/>
    <x v="0"/>
    <s v="CLAYTON"/>
    <x v="4"/>
  </r>
  <r>
    <x v="49"/>
    <x v="154"/>
    <x v="4"/>
    <x v="4"/>
    <x v="0"/>
    <x v="2"/>
    <x v="39"/>
    <x v="143"/>
    <x v="1822"/>
    <x v="0"/>
    <s v="CLAYTON"/>
    <x v="4"/>
  </r>
  <r>
    <x v="49"/>
    <x v="13"/>
    <x v="5"/>
    <x v="5"/>
    <x v="0"/>
    <x v="2"/>
    <x v="39"/>
    <x v="120"/>
    <x v="1823"/>
    <x v="0"/>
    <s v="CLAYTON"/>
    <x v="4"/>
  </r>
  <r>
    <x v="49"/>
    <x v="128"/>
    <x v="1"/>
    <x v="1"/>
    <x v="0"/>
    <x v="2"/>
    <x v="39"/>
    <x v="164"/>
    <x v="1824"/>
    <x v="0"/>
    <s v="CLAYTON"/>
    <x v="4"/>
  </r>
  <r>
    <x v="49"/>
    <x v="1"/>
    <x v="1"/>
    <x v="1"/>
    <x v="0"/>
    <x v="2"/>
    <x v="1"/>
    <x v="1"/>
    <x v="1"/>
    <x v="528"/>
    <s v="CLAYTON"/>
    <x v="4"/>
  </r>
  <r>
    <x v="50"/>
    <x v="147"/>
    <x v="6"/>
    <x v="6"/>
    <x v="0"/>
    <x v="2"/>
    <x v="39"/>
    <x v="132"/>
    <x v="1825"/>
    <x v="0"/>
    <s v="MARBELLA"/>
    <x v="4"/>
  </r>
  <r>
    <x v="50"/>
    <x v="156"/>
    <x v="4"/>
    <x v="4"/>
    <x v="0"/>
    <x v="2"/>
    <x v="39"/>
    <x v="146"/>
    <x v="1826"/>
    <x v="0"/>
    <s v="MARBELLA"/>
    <x v="4"/>
  </r>
  <r>
    <x v="50"/>
    <x v="145"/>
    <x v="5"/>
    <x v="5"/>
    <x v="0"/>
    <x v="2"/>
    <x v="39"/>
    <x v="124"/>
    <x v="1827"/>
    <x v="0"/>
    <s v="MARBELLA"/>
    <x v="4"/>
  </r>
  <r>
    <x v="50"/>
    <x v="41"/>
    <x v="1"/>
    <x v="1"/>
    <x v="0"/>
    <x v="2"/>
    <x v="39"/>
    <x v="113"/>
    <x v="1282"/>
    <x v="0"/>
    <s v="MARBELLA"/>
    <x v="4"/>
  </r>
  <r>
    <x v="50"/>
    <x v="1"/>
    <x v="1"/>
    <x v="1"/>
    <x v="0"/>
    <x v="2"/>
    <x v="1"/>
    <x v="1"/>
    <x v="1"/>
    <x v="529"/>
    <s v="MARBELLA"/>
    <x v="4"/>
  </r>
  <r>
    <x v="51"/>
    <x v="70"/>
    <x v="2"/>
    <x v="2"/>
    <x v="0"/>
    <x v="2"/>
    <x v="39"/>
    <x v="36"/>
    <x v="1828"/>
    <x v="0"/>
    <s v="PLAZA CAROLINA"/>
    <x v="4"/>
  </r>
  <r>
    <x v="51"/>
    <x v="23"/>
    <x v="3"/>
    <x v="3"/>
    <x v="0"/>
    <x v="2"/>
    <x v="39"/>
    <x v="221"/>
    <x v="1829"/>
    <x v="0"/>
    <s v="PLAZA CAROLINA"/>
    <x v="4"/>
  </r>
  <r>
    <x v="51"/>
    <x v="68"/>
    <x v="4"/>
    <x v="4"/>
    <x v="0"/>
    <x v="2"/>
    <x v="39"/>
    <x v="222"/>
    <x v="703"/>
    <x v="0"/>
    <s v="PLAZA CAROLINA"/>
    <x v="4"/>
  </r>
  <r>
    <x v="51"/>
    <x v="115"/>
    <x v="5"/>
    <x v="5"/>
    <x v="0"/>
    <x v="2"/>
    <x v="39"/>
    <x v="213"/>
    <x v="1830"/>
    <x v="0"/>
    <s v="PLAZA CAROLINA"/>
    <x v="4"/>
  </r>
  <r>
    <x v="51"/>
    <x v="101"/>
    <x v="1"/>
    <x v="1"/>
    <x v="0"/>
    <x v="2"/>
    <x v="40"/>
    <x v="207"/>
    <x v="1831"/>
    <x v="0"/>
    <s v="PLAZA CAROLINA"/>
    <x v="4"/>
  </r>
  <r>
    <x v="51"/>
    <x v="128"/>
    <x v="1"/>
    <x v="1"/>
    <x v="0"/>
    <x v="2"/>
    <x v="40"/>
    <x v="164"/>
    <x v="1222"/>
    <x v="0"/>
    <s v="PLAZA CAROLINA"/>
    <x v="4"/>
  </r>
  <r>
    <x v="51"/>
    <x v="1"/>
    <x v="1"/>
    <x v="1"/>
    <x v="0"/>
    <x v="2"/>
    <x v="1"/>
    <x v="1"/>
    <x v="1"/>
    <x v="530"/>
    <s v="PLAZA CAROLINA"/>
    <x v="4"/>
  </r>
  <r>
    <x v="52"/>
    <x v="81"/>
    <x v="4"/>
    <x v="4"/>
    <x v="0"/>
    <x v="2"/>
    <x v="40"/>
    <x v="175"/>
    <x v="1567"/>
    <x v="0"/>
    <s v="PLAZA CORDOBA"/>
    <x v="4"/>
  </r>
  <r>
    <x v="52"/>
    <x v="46"/>
    <x v="0"/>
    <x v="0"/>
    <x v="0"/>
    <x v="2"/>
    <x v="39"/>
    <x v="155"/>
    <x v="1832"/>
    <x v="0"/>
    <s v="PLAZA CORDOBA"/>
    <x v="4"/>
  </r>
  <r>
    <x v="52"/>
    <x v="98"/>
    <x v="1"/>
    <x v="1"/>
    <x v="0"/>
    <x v="2"/>
    <x v="39"/>
    <x v="198"/>
    <x v="1833"/>
    <x v="0"/>
    <s v="PLAZA CORDOBA"/>
    <x v="4"/>
  </r>
  <r>
    <x v="52"/>
    <x v="1"/>
    <x v="1"/>
    <x v="1"/>
    <x v="0"/>
    <x v="2"/>
    <x v="1"/>
    <x v="1"/>
    <x v="1"/>
    <x v="531"/>
    <s v="PLAZA CORDOBA"/>
    <x v="4"/>
  </r>
  <r>
    <x v="53"/>
    <x v="70"/>
    <x v="2"/>
    <x v="2"/>
    <x v="0"/>
    <x v="2"/>
    <x v="39"/>
    <x v="36"/>
    <x v="1834"/>
    <x v="0"/>
    <s v="VIA SIMON BOLIVAR"/>
    <x v="4"/>
  </r>
  <r>
    <x v="53"/>
    <x v="64"/>
    <x v="2"/>
    <x v="2"/>
    <x v="0"/>
    <x v="2"/>
    <x v="39"/>
    <x v="139"/>
    <x v="19"/>
    <x v="0"/>
    <s v="VIA SIMON BOLIVAR"/>
    <x v="4"/>
  </r>
  <r>
    <x v="53"/>
    <x v="107"/>
    <x v="2"/>
    <x v="2"/>
    <x v="0"/>
    <x v="2"/>
    <x v="39"/>
    <x v="158"/>
    <x v="1835"/>
    <x v="0"/>
    <s v="VIA SIMON BOLIVAR"/>
    <x v="4"/>
  </r>
  <r>
    <x v="53"/>
    <x v="108"/>
    <x v="3"/>
    <x v="3"/>
    <x v="0"/>
    <x v="2"/>
    <x v="39"/>
    <x v="63"/>
    <x v="1836"/>
    <x v="0"/>
    <s v="VIA SIMON BOLIVAR"/>
    <x v="4"/>
  </r>
  <r>
    <x v="53"/>
    <x v="68"/>
    <x v="4"/>
    <x v="4"/>
    <x v="0"/>
    <x v="2"/>
    <x v="39"/>
    <x v="222"/>
    <x v="1837"/>
    <x v="0"/>
    <s v="VIA SIMON BOLIVAR"/>
    <x v="4"/>
  </r>
  <r>
    <x v="53"/>
    <x v="50"/>
    <x v="4"/>
    <x v="4"/>
    <x v="0"/>
    <x v="2"/>
    <x v="39"/>
    <x v="77"/>
    <x v="1838"/>
    <x v="0"/>
    <s v="VIA SIMON BOLIVAR"/>
    <x v="4"/>
  </r>
  <r>
    <x v="53"/>
    <x v="153"/>
    <x v="5"/>
    <x v="5"/>
    <x v="0"/>
    <x v="2"/>
    <x v="39"/>
    <x v="157"/>
    <x v="1839"/>
    <x v="0"/>
    <s v="VIA SIMON BOLIVAR"/>
    <x v="4"/>
  </r>
  <r>
    <x v="53"/>
    <x v="1"/>
    <x v="1"/>
    <x v="1"/>
    <x v="0"/>
    <x v="2"/>
    <x v="1"/>
    <x v="1"/>
    <x v="1"/>
    <x v="532"/>
    <s v="VIA SIMON BOLIVAR"/>
    <x v="4"/>
  </r>
  <r>
    <x v="54"/>
    <x v="144"/>
    <x v="2"/>
    <x v="2"/>
    <x v="0"/>
    <x v="2"/>
    <x v="39"/>
    <x v="162"/>
    <x v="1840"/>
    <x v="0"/>
    <s v="JUSTO AROSEMENA"/>
    <x v="4"/>
  </r>
  <r>
    <x v="54"/>
    <x v="114"/>
    <x v="3"/>
    <x v="3"/>
    <x v="0"/>
    <x v="2"/>
    <x v="40"/>
    <x v="76"/>
    <x v="1841"/>
    <x v="0"/>
    <s v="JUSTO AROSEMENA"/>
    <x v="4"/>
  </r>
  <r>
    <x v="54"/>
    <x v="68"/>
    <x v="4"/>
    <x v="4"/>
    <x v="0"/>
    <x v="2"/>
    <x v="39"/>
    <x v="222"/>
    <x v="1842"/>
    <x v="0"/>
    <s v="JUSTO AROSEMENA"/>
    <x v="4"/>
  </r>
  <r>
    <x v="54"/>
    <x v="159"/>
    <x v="0"/>
    <x v="0"/>
    <x v="0"/>
    <x v="2"/>
    <x v="39"/>
    <x v="177"/>
    <x v="1843"/>
    <x v="0"/>
    <s v="JUSTO AROSEMENA"/>
    <x v="4"/>
  </r>
  <r>
    <x v="54"/>
    <x v="0"/>
    <x v="0"/>
    <x v="0"/>
    <x v="0"/>
    <x v="2"/>
    <x v="39"/>
    <x v="197"/>
    <x v="1844"/>
    <x v="0"/>
    <s v="JUSTO AROSEMENA"/>
    <x v="4"/>
  </r>
  <r>
    <x v="54"/>
    <x v="101"/>
    <x v="1"/>
    <x v="1"/>
    <x v="0"/>
    <x v="2"/>
    <x v="40"/>
    <x v="207"/>
    <x v="1845"/>
    <x v="0"/>
    <s v="JUSTO AROSEMENA"/>
    <x v="4"/>
  </r>
  <r>
    <x v="54"/>
    <x v="98"/>
    <x v="1"/>
    <x v="1"/>
    <x v="0"/>
    <x v="2"/>
    <x v="39"/>
    <x v="198"/>
    <x v="1846"/>
    <x v="0"/>
    <s v="JUSTO AROSEMENA"/>
    <x v="4"/>
  </r>
  <r>
    <x v="54"/>
    <x v="1"/>
    <x v="1"/>
    <x v="1"/>
    <x v="0"/>
    <x v="2"/>
    <x v="1"/>
    <x v="1"/>
    <x v="1"/>
    <x v="533"/>
    <s v="JUSTO AROSEMENA"/>
    <x v="4"/>
  </r>
  <r>
    <x v="55"/>
    <x v="1"/>
    <x v="1"/>
    <x v="1"/>
    <x v="0"/>
    <x v="19"/>
    <x v="1"/>
    <x v="1"/>
    <x v="1"/>
    <x v="534"/>
    <s v="NEGOCIOS"/>
    <x v="4"/>
  </r>
  <r>
    <x v="55"/>
    <x v="41"/>
    <x v="1"/>
    <x v="1"/>
    <x v="0"/>
    <x v="20"/>
    <x v="39"/>
    <x v="113"/>
    <x v="1847"/>
    <x v="0"/>
    <s v="NEGOCIOS"/>
    <x v="4"/>
  </r>
  <r>
    <x v="55"/>
    <x v="101"/>
    <x v="1"/>
    <x v="1"/>
    <x v="0"/>
    <x v="20"/>
    <x v="39"/>
    <x v="207"/>
    <x v="1848"/>
    <x v="0"/>
    <s v="NEGOCIOS"/>
    <x v="4"/>
  </r>
  <r>
    <x v="55"/>
    <x v="1"/>
    <x v="1"/>
    <x v="1"/>
    <x v="0"/>
    <x v="20"/>
    <x v="1"/>
    <x v="1"/>
    <x v="1"/>
    <x v="535"/>
    <s v="NEGOCIOS"/>
    <x v="4"/>
  </r>
  <r>
    <x v="55"/>
    <x v="36"/>
    <x v="6"/>
    <x v="6"/>
    <x v="0"/>
    <x v="22"/>
    <x v="40"/>
    <x v="94"/>
    <x v="1849"/>
    <x v="0"/>
    <s v="NEGOCIOS"/>
    <x v="4"/>
  </r>
  <r>
    <x v="55"/>
    <x v="1"/>
    <x v="1"/>
    <x v="1"/>
    <x v="0"/>
    <x v="22"/>
    <x v="1"/>
    <x v="1"/>
    <x v="1"/>
    <x v="536"/>
    <s v="NEGOCIOS"/>
    <x v="4"/>
  </r>
  <r>
    <x v="55"/>
    <x v="25"/>
    <x v="2"/>
    <x v="2"/>
    <x v="0"/>
    <x v="3"/>
    <x v="39"/>
    <x v="169"/>
    <x v="460"/>
    <x v="0"/>
    <s v="NEGOCIOS"/>
    <x v="4"/>
  </r>
  <r>
    <x v="55"/>
    <x v="1"/>
    <x v="1"/>
    <x v="1"/>
    <x v="0"/>
    <x v="3"/>
    <x v="1"/>
    <x v="1"/>
    <x v="1"/>
    <x v="537"/>
    <s v="NEGOCIOS"/>
    <x v="4"/>
  </r>
  <r>
    <x v="55"/>
    <x v="25"/>
    <x v="2"/>
    <x v="2"/>
    <x v="0"/>
    <x v="24"/>
    <x v="40"/>
    <x v="169"/>
    <x v="951"/>
    <x v="0"/>
    <s v="NEGOCIOS"/>
    <x v="4"/>
  </r>
  <r>
    <x v="55"/>
    <x v="101"/>
    <x v="1"/>
    <x v="1"/>
    <x v="0"/>
    <x v="24"/>
    <x v="40"/>
    <x v="207"/>
    <x v="1850"/>
    <x v="0"/>
    <s v="NEGOCIOS"/>
    <x v="4"/>
  </r>
  <r>
    <x v="55"/>
    <x v="98"/>
    <x v="1"/>
    <x v="1"/>
    <x v="0"/>
    <x v="24"/>
    <x v="40"/>
    <x v="198"/>
    <x v="1851"/>
    <x v="0"/>
    <s v="NEGOCIOS"/>
    <x v="4"/>
  </r>
  <r>
    <x v="55"/>
    <x v="1"/>
    <x v="1"/>
    <x v="1"/>
    <x v="0"/>
    <x v="24"/>
    <x v="1"/>
    <x v="1"/>
    <x v="1"/>
    <x v="538"/>
    <s v="NEGOCIOS"/>
    <x v="4"/>
  </r>
  <r>
    <x v="55"/>
    <x v="144"/>
    <x v="2"/>
    <x v="2"/>
    <x v="0"/>
    <x v="4"/>
    <x v="40"/>
    <x v="162"/>
    <x v="1852"/>
    <x v="0"/>
    <s v="NEGOCIOS"/>
    <x v="4"/>
  </r>
  <r>
    <x v="55"/>
    <x v="111"/>
    <x v="2"/>
    <x v="2"/>
    <x v="0"/>
    <x v="4"/>
    <x v="40"/>
    <x v="75"/>
    <x v="1853"/>
    <x v="0"/>
    <s v="NEGOCIOS"/>
    <x v="4"/>
  </r>
  <r>
    <x v="55"/>
    <x v="131"/>
    <x v="3"/>
    <x v="3"/>
    <x v="0"/>
    <x v="4"/>
    <x v="40"/>
    <x v="163"/>
    <x v="1854"/>
    <x v="0"/>
    <s v="NEGOCIOS"/>
    <x v="4"/>
  </r>
  <r>
    <x v="55"/>
    <x v="32"/>
    <x v="5"/>
    <x v="5"/>
    <x v="0"/>
    <x v="4"/>
    <x v="40"/>
    <x v="81"/>
    <x v="1855"/>
    <x v="0"/>
    <s v="NEGOCIOS"/>
    <x v="4"/>
  </r>
  <r>
    <x v="55"/>
    <x v="150"/>
    <x v="5"/>
    <x v="5"/>
    <x v="0"/>
    <x v="4"/>
    <x v="40"/>
    <x v="214"/>
    <x v="1856"/>
    <x v="0"/>
    <s v="NEGOCIOS"/>
    <x v="4"/>
  </r>
  <r>
    <x v="55"/>
    <x v="124"/>
    <x v="5"/>
    <x v="5"/>
    <x v="0"/>
    <x v="4"/>
    <x v="40"/>
    <x v="206"/>
    <x v="1857"/>
    <x v="0"/>
    <s v="NEGOCIOS"/>
    <x v="4"/>
  </r>
  <r>
    <x v="55"/>
    <x v="161"/>
    <x v="1"/>
    <x v="1"/>
    <x v="0"/>
    <x v="4"/>
    <x v="40"/>
    <x v="186"/>
    <x v="1858"/>
    <x v="0"/>
    <s v="NEGOCIOS"/>
    <x v="4"/>
  </r>
  <r>
    <x v="55"/>
    <x v="22"/>
    <x v="1"/>
    <x v="1"/>
    <x v="0"/>
    <x v="4"/>
    <x v="40"/>
    <x v="211"/>
    <x v="1859"/>
    <x v="0"/>
    <s v="NEGOCIOS"/>
    <x v="4"/>
  </r>
  <r>
    <x v="55"/>
    <x v="128"/>
    <x v="1"/>
    <x v="1"/>
    <x v="0"/>
    <x v="4"/>
    <x v="40"/>
    <x v="164"/>
    <x v="1860"/>
    <x v="0"/>
    <s v="NEGOCIOS"/>
    <x v="4"/>
  </r>
  <r>
    <x v="55"/>
    <x v="1"/>
    <x v="1"/>
    <x v="1"/>
    <x v="0"/>
    <x v="4"/>
    <x v="1"/>
    <x v="1"/>
    <x v="1"/>
    <x v="539"/>
    <s v="NEGOCIOS"/>
    <x v="4"/>
  </r>
  <r>
    <x v="55"/>
    <x v="116"/>
    <x v="0"/>
    <x v="0"/>
    <x v="0"/>
    <x v="5"/>
    <x v="40"/>
    <x v="64"/>
    <x v="1861"/>
    <x v="0"/>
    <s v="NEGOCIOS"/>
    <x v="4"/>
  </r>
  <r>
    <x v="55"/>
    <x v="98"/>
    <x v="1"/>
    <x v="1"/>
    <x v="0"/>
    <x v="5"/>
    <x v="40"/>
    <x v="198"/>
    <x v="1862"/>
    <x v="0"/>
    <s v="NEGOCIOS"/>
    <x v="4"/>
  </r>
  <r>
    <x v="55"/>
    <x v="1"/>
    <x v="1"/>
    <x v="1"/>
    <x v="0"/>
    <x v="5"/>
    <x v="1"/>
    <x v="1"/>
    <x v="1"/>
    <x v="540"/>
    <s v="NEGOCIOS"/>
    <x v="4"/>
  </r>
  <r>
    <x v="55"/>
    <x v="147"/>
    <x v="6"/>
    <x v="6"/>
    <x v="0"/>
    <x v="6"/>
    <x v="40"/>
    <x v="132"/>
    <x v="1370"/>
    <x v="0"/>
    <s v="NEGOCIOS"/>
    <x v="4"/>
  </r>
  <r>
    <x v="55"/>
    <x v="96"/>
    <x v="6"/>
    <x v="6"/>
    <x v="0"/>
    <x v="6"/>
    <x v="40"/>
    <x v="165"/>
    <x v="1863"/>
    <x v="0"/>
    <s v="NEGOCIOS"/>
    <x v="4"/>
  </r>
  <r>
    <x v="55"/>
    <x v="23"/>
    <x v="3"/>
    <x v="3"/>
    <x v="0"/>
    <x v="6"/>
    <x v="39"/>
    <x v="221"/>
    <x v="1864"/>
    <x v="0"/>
    <s v="NEGOCIOS"/>
    <x v="4"/>
  </r>
  <r>
    <x v="55"/>
    <x v="79"/>
    <x v="3"/>
    <x v="3"/>
    <x v="0"/>
    <x v="6"/>
    <x v="39"/>
    <x v="142"/>
    <x v="1588"/>
    <x v="0"/>
    <s v="NEGOCIOS"/>
    <x v="4"/>
  </r>
  <r>
    <x v="55"/>
    <x v="44"/>
    <x v="3"/>
    <x v="3"/>
    <x v="0"/>
    <x v="6"/>
    <x v="40"/>
    <x v="191"/>
    <x v="896"/>
    <x v="0"/>
    <s v="NEGOCIOS"/>
    <x v="4"/>
  </r>
  <r>
    <x v="55"/>
    <x v="68"/>
    <x v="4"/>
    <x v="4"/>
    <x v="0"/>
    <x v="6"/>
    <x v="39"/>
    <x v="222"/>
    <x v="1865"/>
    <x v="0"/>
    <s v="NEGOCIOS"/>
    <x v="4"/>
  </r>
  <r>
    <x v="55"/>
    <x v="156"/>
    <x v="4"/>
    <x v="4"/>
    <x v="0"/>
    <x v="6"/>
    <x v="39"/>
    <x v="146"/>
    <x v="240"/>
    <x v="0"/>
    <s v="NEGOCIOS"/>
    <x v="4"/>
  </r>
  <r>
    <x v="55"/>
    <x v="159"/>
    <x v="0"/>
    <x v="0"/>
    <x v="0"/>
    <x v="6"/>
    <x v="39"/>
    <x v="177"/>
    <x v="1866"/>
    <x v="0"/>
    <s v="NEGOCIOS"/>
    <x v="4"/>
  </r>
  <r>
    <x v="55"/>
    <x v="0"/>
    <x v="0"/>
    <x v="0"/>
    <x v="0"/>
    <x v="6"/>
    <x v="40"/>
    <x v="197"/>
    <x v="1867"/>
    <x v="0"/>
    <s v="NEGOCIOS"/>
    <x v="4"/>
  </r>
  <r>
    <x v="55"/>
    <x v="160"/>
    <x v="0"/>
    <x v="0"/>
    <x v="0"/>
    <x v="6"/>
    <x v="39"/>
    <x v="179"/>
    <x v="911"/>
    <x v="0"/>
    <s v="NEGOCIOS"/>
    <x v="4"/>
  </r>
  <r>
    <x v="55"/>
    <x v="145"/>
    <x v="5"/>
    <x v="5"/>
    <x v="0"/>
    <x v="6"/>
    <x v="39"/>
    <x v="124"/>
    <x v="1868"/>
    <x v="0"/>
    <s v="NEGOCIOS"/>
    <x v="4"/>
  </r>
  <r>
    <x v="55"/>
    <x v="13"/>
    <x v="5"/>
    <x v="5"/>
    <x v="0"/>
    <x v="6"/>
    <x v="39"/>
    <x v="120"/>
    <x v="1471"/>
    <x v="0"/>
    <s v="NEGOCIOS"/>
    <x v="4"/>
  </r>
  <r>
    <x v="55"/>
    <x v="22"/>
    <x v="1"/>
    <x v="1"/>
    <x v="0"/>
    <x v="6"/>
    <x v="39"/>
    <x v="211"/>
    <x v="1869"/>
    <x v="0"/>
    <s v="NEGOCIOS"/>
    <x v="4"/>
  </r>
  <r>
    <x v="55"/>
    <x v="33"/>
    <x v="1"/>
    <x v="1"/>
    <x v="0"/>
    <x v="6"/>
    <x v="39"/>
    <x v="241"/>
    <x v="1870"/>
    <x v="0"/>
    <s v="NEGOCIOS"/>
    <x v="4"/>
  </r>
  <r>
    <x v="55"/>
    <x v="98"/>
    <x v="1"/>
    <x v="1"/>
    <x v="0"/>
    <x v="6"/>
    <x v="40"/>
    <x v="198"/>
    <x v="1871"/>
    <x v="0"/>
    <s v="NEGOCIOS"/>
    <x v="4"/>
  </r>
  <r>
    <x v="55"/>
    <x v="1"/>
    <x v="1"/>
    <x v="1"/>
    <x v="0"/>
    <x v="6"/>
    <x v="1"/>
    <x v="1"/>
    <x v="1"/>
    <x v="541"/>
    <s v="NEGOCIOS"/>
    <x v="4"/>
  </r>
  <r>
    <x v="55"/>
    <x v="85"/>
    <x v="2"/>
    <x v="2"/>
    <x v="0"/>
    <x v="7"/>
    <x v="40"/>
    <x v="161"/>
    <x v="1872"/>
    <x v="0"/>
    <s v="NEGOCIOS"/>
    <x v="4"/>
  </r>
  <r>
    <x v="55"/>
    <x v="25"/>
    <x v="2"/>
    <x v="2"/>
    <x v="0"/>
    <x v="7"/>
    <x v="40"/>
    <x v="169"/>
    <x v="1873"/>
    <x v="0"/>
    <s v="NEGOCIOS"/>
    <x v="4"/>
  </r>
  <r>
    <x v="55"/>
    <x v="129"/>
    <x v="2"/>
    <x v="2"/>
    <x v="0"/>
    <x v="7"/>
    <x v="40"/>
    <x v="204"/>
    <x v="1874"/>
    <x v="0"/>
    <s v="NEGOCIOS"/>
    <x v="4"/>
  </r>
  <r>
    <x v="55"/>
    <x v="49"/>
    <x v="3"/>
    <x v="3"/>
    <x v="0"/>
    <x v="7"/>
    <x v="40"/>
    <x v="244"/>
    <x v="1875"/>
    <x v="0"/>
    <s v="NEGOCIOS"/>
    <x v="4"/>
  </r>
  <r>
    <x v="55"/>
    <x v="159"/>
    <x v="0"/>
    <x v="0"/>
    <x v="0"/>
    <x v="7"/>
    <x v="39"/>
    <x v="177"/>
    <x v="1876"/>
    <x v="0"/>
    <s v="NEGOCIOS"/>
    <x v="4"/>
  </r>
  <r>
    <x v="55"/>
    <x v="53"/>
    <x v="0"/>
    <x v="0"/>
    <x v="0"/>
    <x v="7"/>
    <x v="40"/>
    <x v="144"/>
    <x v="1877"/>
    <x v="0"/>
    <s v="NEGOCIOS"/>
    <x v="4"/>
  </r>
  <r>
    <x v="55"/>
    <x v="76"/>
    <x v="5"/>
    <x v="5"/>
    <x v="0"/>
    <x v="7"/>
    <x v="40"/>
    <x v="182"/>
    <x v="1878"/>
    <x v="0"/>
    <s v="NEGOCIOS"/>
    <x v="4"/>
  </r>
  <r>
    <x v="55"/>
    <x v="97"/>
    <x v="5"/>
    <x v="5"/>
    <x v="0"/>
    <x v="7"/>
    <x v="40"/>
    <x v="183"/>
    <x v="1879"/>
    <x v="0"/>
    <s v="NEGOCIOS"/>
    <x v="4"/>
  </r>
  <r>
    <x v="55"/>
    <x v="150"/>
    <x v="5"/>
    <x v="5"/>
    <x v="0"/>
    <x v="7"/>
    <x v="40"/>
    <x v="214"/>
    <x v="1880"/>
    <x v="0"/>
    <s v="NEGOCIOS"/>
    <x v="4"/>
  </r>
  <r>
    <x v="55"/>
    <x v="101"/>
    <x v="1"/>
    <x v="1"/>
    <x v="0"/>
    <x v="7"/>
    <x v="39"/>
    <x v="207"/>
    <x v="1"/>
    <x v="542"/>
    <s v="NEGOCIOS"/>
    <x v="4"/>
  </r>
  <r>
    <x v="55"/>
    <x v="152"/>
    <x v="1"/>
    <x v="1"/>
    <x v="0"/>
    <x v="7"/>
    <x v="40"/>
    <x v="194"/>
    <x v="1881"/>
    <x v="0"/>
    <s v="NEGOCIOS"/>
    <x v="4"/>
  </r>
  <r>
    <x v="55"/>
    <x v="55"/>
    <x v="1"/>
    <x v="1"/>
    <x v="0"/>
    <x v="7"/>
    <x v="40"/>
    <x v="188"/>
    <x v="1882"/>
    <x v="0"/>
    <s v="NEGOCIOS"/>
    <x v="4"/>
  </r>
  <r>
    <x v="55"/>
    <x v="128"/>
    <x v="1"/>
    <x v="1"/>
    <x v="0"/>
    <x v="7"/>
    <x v="40"/>
    <x v="164"/>
    <x v="1883"/>
    <x v="0"/>
    <s v="NEGOCIOS"/>
    <x v="4"/>
  </r>
  <r>
    <x v="55"/>
    <x v="1"/>
    <x v="1"/>
    <x v="1"/>
    <x v="0"/>
    <x v="7"/>
    <x v="1"/>
    <x v="1"/>
    <x v="1"/>
    <x v="543"/>
    <s v="NEGOCIOS"/>
    <x v="4"/>
  </r>
  <r>
    <x v="55"/>
    <x v="157"/>
    <x v="2"/>
    <x v="2"/>
    <x v="0"/>
    <x v="8"/>
    <x v="40"/>
    <x v="147"/>
    <x v="1884"/>
    <x v="0"/>
    <s v="NEGOCIOS"/>
    <x v="4"/>
  </r>
  <r>
    <x v="55"/>
    <x v="11"/>
    <x v="6"/>
    <x v="6"/>
    <x v="0"/>
    <x v="8"/>
    <x v="40"/>
    <x v="91"/>
    <x v="1885"/>
    <x v="0"/>
    <s v="NEGOCIOS"/>
    <x v="4"/>
  </r>
  <r>
    <x v="55"/>
    <x v="165"/>
    <x v="4"/>
    <x v="4"/>
    <x v="0"/>
    <x v="8"/>
    <x v="40"/>
    <x v="205"/>
    <x v="1886"/>
    <x v="0"/>
    <s v="NEGOCIOS"/>
    <x v="4"/>
  </r>
  <r>
    <x v="55"/>
    <x v="0"/>
    <x v="0"/>
    <x v="0"/>
    <x v="0"/>
    <x v="8"/>
    <x v="40"/>
    <x v="197"/>
    <x v="1887"/>
    <x v="0"/>
    <s v="NEGOCIOS"/>
    <x v="4"/>
  </r>
  <r>
    <x v="55"/>
    <x v="152"/>
    <x v="1"/>
    <x v="1"/>
    <x v="0"/>
    <x v="8"/>
    <x v="40"/>
    <x v="194"/>
    <x v="1888"/>
    <x v="0"/>
    <s v="NEGOCIOS"/>
    <x v="4"/>
  </r>
  <r>
    <x v="55"/>
    <x v="128"/>
    <x v="1"/>
    <x v="1"/>
    <x v="0"/>
    <x v="8"/>
    <x v="40"/>
    <x v="164"/>
    <x v="1889"/>
    <x v="0"/>
    <s v="NEGOCIOS"/>
    <x v="4"/>
  </r>
  <r>
    <x v="55"/>
    <x v="1"/>
    <x v="1"/>
    <x v="1"/>
    <x v="0"/>
    <x v="8"/>
    <x v="1"/>
    <x v="1"/>
    <x v="1"/>
    <x v="544"/>
    <s v="NEGOCIOS"/>
    <x v="4"/>
  </r>
  <r>
    <x v="55"/>
    <x v="107"/>
    <x v="2"/>
    <x v="2"/>
    <x v="0"/>
    <x v="9"/>
    <x v="39"/>
    <x v="158"/>
    <x v="1890"/>
    <x v="0"/>
    <s v="NEGOCIOS"/>
    <x v="4"/>
  </r>
  <r>
    <x v="55"/>
    <x v="25"/>
    <x v="2"/>
    <x v="2"/>
    <x v="0"/>
    <x v="9"/>
    <x v="40"/>
    <x v="169"/>
    <x v="1846"/>
    <x v="0"/>
    <s v="NEGOCIOS"/>
    <x v="4"/>
  </r>
  <r>
    <x v="55"/>
    <x v="144"/>
    <x v="2"/>
    <x v="2"/>
    <x v="0"/>
    <x v="9"/>
    <x v="39"/>
    <x v="162"/>
    <x v="1891"/>
    <x v="0"/>
    <s v="NEGOCIOS"/>
    <x v="4"/>
  </r>
  <r>
    <x v="55"/>
    <x v="144"/>
    <x v="2"/>
    <x v="2"/>
    <x v="0"/>
    <x v="9"/>
    <x v="40"/>
    <x v="162"/>
    <x v="816"/>
    <x v="0"/>
    <s v="NEGOCIOS"/>
    <x v="4"/>
  </r>
  <r>
    <x v="55"/>
    <x v="35"/>
    <x v="2"/>
    <x v="2"/>
    <x v="0"/>
    <x v="9"/>
    <x v="40"/>
    <x v="170"/>
    <x v="936"/>
    <x v="0"/>
    <s v="NEGOCIOS"/>
    <x v="4"/>
  </r>
  <r>
    <x v="55"/>
    <x v="87"/>
    <x v="6"/>
    <x v="6"/>
    <x v="0"/>
    <x v="9"/>
    <x v="40"/>
    <x v="189"/>
    <x v="1892"/>
    <x v="0"/>
    <s v="NEGOCIOS"/>
    <x v="4"/>
  </r>
  <r>
    <x v="55"/>
    <x v="169"/>
    <x v="6"/>
    <x v="6"/>
    <x v="0"/>
    <x v="9"/>
    <x v="40"/>
    <x v="249"/>
    <x v="874"/>
    <x v="0"/>
    <s v="NEGOCIOS"/>
    <x v="4"/>
  </r>
  <r>
    <x v="55"/>
    <x v="21"/>
    <x v="6"/>
    <x v="6"/>
    <x v="0"/>
    <x v="9"/>
    <x v="39"/>
    <x v="70"/>
    <x v="1893"/>
    <x v="0"/>
    <s v="NEGOCIOS"/>
    <x v="4"/>
  </r>
  <r>
    <x v="55"/>
    <x v="96"/>
    <x v="6"/>
    <x v="6"/>
    <x v="0"/>
    <x v="9"/>
    <x v="40"/>
    <x v="165"/>
    <x v="1894"/>
    <x v="0"/>
    <s v="NEGOCIOS"/>
    <x v="4"/>
  </r>
  <r>
    <x v="55"/>
    <x v="23"/>
    <x v="3"/>
    <x v="3"/>
    <x v="0"/>
    <x v="9"/>
    <x v="39"/>
    <x v="221"/>
    <x v="1895"/>
    <x v="0"/>
    <s v="NEGOCIOS"/>
    <x v="4"/>
  </r>
  <r>
    <x v="55"/>
    <x v="135"/>
    <x v="3"/>
    <x v="3"/>
    <x v="0"/>
    <x v="9"/>
    <x v="39"/>
    <x v="149"/>
    <x v="1896"/>
    <x v="0"/>
    <s v="NEGOCIOS"/>
    <x v="4"/>
  </r>
  <r>
    <x v="55"/>
    <x v="156"/>
    <x v="4"/>
    <x v="4"/>
    <x v="0"/>
    <x v="9"/>
    <x v="39"/>
    <x v="146"/>
    <x v="108"/>
    <x v="0"/>
    <s v="NEGOCIOS"/>
    <x v="4"/>
  </r>
  <r>
    <x v="55"/>
    <x v="154"/>
    <x v="4"/>
    <x v="4"/>
    <x v="0"/>
    <x v="9"/>
    <x v="40"/>
    <x v="143"/>
    <x v="1897"/>
    <x v="0"/>
    <s v="NEGOCIOS"/>
    <x v="4"/>
  </r>
  <r>
    <x v="55"/>
    <x v="31"/>
    <x v="4"/>
    <x v="4"/>
    <x v="0"/>
    <x v="9"/>
    <x v="39"/>
    <x v="72"/>
    <x v="1898"/>
    <x v="0"/>
    <s v="NEGOCIOS"/>
    <x v="4"/>
  </r>
  <r>
    <x v="55"/>
    <x v="0"/>
    <x v="0"/>
    <x v="0"/>
    <x v="0"/>
    <x v="9"/>
    <x v="39"/>
    <x v="197"/>
    <x v="1899"/>
    <x v="0"/>
    <s v="NEGOCIOS"/>
    <x v="4"/>
  </r>
  <r>
    <x v="55"/>
    <x v="45"/>
    <x v="0"/>
    <x v="0"/>
    <x v="0"/>
    <x v="9"/>
    <x v="40"/>
    <x v="180"/>
    <x v="1385"/>
    <x v="0"/>
    <s v="NEGOCIOS"/>
    <x v="4"/>
  </r>
  <r>
    <x v="55"/>
    <x v="72"/>
    <x v="5"/>
    <x v="5"/>
    <x v="0"/>
    <x v="9"/>
    <x v="40"/>
    <x v="38"/>
    <x v="1900"/>
    <x v="0"/>
    <s v="NEGOCIOS"/>
    <x v="4"/>
  </r>
  <r>
    <x v="55"/>
    <x v="41"/>
    <x v="1"/>
    <x v="1"/>
    <x v="0"/>
    <x v="9"/>
    <x v="40"/>
    <x v="113"/>
    <x v="1901"/>
    <x v="0"/>
    <s v="NEGOCIOS"/>
    <x v="4"/>
  </r>
  <r>
    <x v="55"/>
    <x v="22"/>
    <x v="1"/>
    <x v="1"/>
    <x v="0"/>
    <x v="9"/>
    <x v="39"/>
    <x v="211"/>
    <x v="1902"/>
    <x v="0"/>
    <s v="NEGOCIOS"/>
    <x v="4"/>
  </r>
  <r>
    <x v="55"/>
    <x v="73"/>
    <x v="1"/>
    <x v="1"/>
    <x v="0"/>
    <x v="9"/>
    <x v="40"/>
    <x v="39"/>
    <x v="1903"/>
    <x v="0"/>
    <s v="NEGOCIOS"/>
    <x v="4"/>
  </r>
  <r>
    <x v="55"/>
    <x v="98"/>
    <x v="1"/>
    <x v="1"/>
    <x v="0"/>
    <x v="9"/>
    <x v="39"/>
    <x v="198"/>
    <x v="895"/>
    <x v="0"/>
    <s v="NEGOCIOS"/>
    <x v="4"/>
  </r>
  <r>
    <x v="55"/>
    <x v="128"/>
    <x v="1"/>
    <x v="1"/>
    <x v="0"/>
    <x v="9"/>
    <x v="39"/>
    <x v="164"/>
    <x v="1169"/>
    <x v="0"/>
    <s v="NEGOCIOS"/>
    <x v="4"/>
  </r>
  <r>
    <x v="55"/>
    <x v="128"/>
    <x v="1"/>
    <x v="1"/>
    <x v="0"/>
    <x v="9"/>
    <x v="40"/>
    <x v="164"/>
    <x v="1904"/>
    <x v="0"/>
    <s v="NEGOCIOS"/>
    <x v="4"/>
  </r>
  <r>
    <x v="55"/>
    <x v="1"/>
    <x v="1"/>
    <x v="1"/>
    <x v="0"/>
    <x v="9"/>
    <x v="1"/>
    <x v="1"/>
    <x v="1"/>
    <x v="545"/>
    <s v="NEGOCIOS"/>
    <x v="4"/>
  </r>
  <r>
    <x v="55"/>
    <x v="85"/>
    <x v="2"/>
    <x v="2"/>
    <x v="0"/>
    <x v="26"/>
    <x v="40"/>
    <x v="161"/>
    <x v="951"/>
    <x v="0"/>
    <s v="NEGOCIOS"/>
    <x v="4"/>
  </r>
  <r>
    <x v="55"/>
    <x v="113"/>
    <x v="6"/>
    <x v="6"/>
    <x v="0"/>
    <x v="26"/>
    <x v="40"/>
    <x v="89"/>
    <x v="1905"/>
    <x v="0"/>
    <s v="NEGOCIOS"/>
    <x v="4"/>
  </r>
  <r>
    <x v="55"/>
    <x v="89"/>
    <x v="4"/>
    <x v="4"/>
    <x v="0"/>
    <x v="26"/>
    <x v="39"/>
    <x v="154"/>
    <x v="1906"/>
    <x v="0"/>
    <s v="NEGOCIOS"/>
    <x v="4"/>
  </r>
  <r>
    <x v="55"/>
    <x v="1"/>
    <x v="1"/>
    <x v="1"/>
    <x v="0"/>
    <x v="26"/>
    <x v="1"/>
    <x v="1"/>
    <x v="1"/>
    <x v="546"/>
    <s v="NEGOCIOS"/>
    <x v="4"/>
  </r>
  <r>
    <x v="55"/>
    <x v="47"/>
    <x v="2"/>
    <x v="2"/>
    <x v="0"/>
    <x v="10"/>
    <x v="40"/>
    <x v="68"/>
    <x v="1907"/>
    <x v="0"/>
    <s v="NEGOCIOS"/>
    <x v="4"/>
  </r>
  <r>
    <x v="55"/>
    <x v="144"/>
    <x v="2"/>
    <x v="2"/>
    <x v="0"/>
    <x v="10"/>
    <x v="40"/>
    <x v="162"/>
    <x v="1908"/>
    <x v="0"/>
    <s v="NEGOCIOS"/>
    <x v="4"/>
  </r>
  <r>
    <x v="55"/>
    <x v="169"/>
    <x v="6"/>
    <x v="6"/>
    <x v="0"/>
    <x v="10"/>
    <x v="40"/>
    <x v="249"/>
    <x v="1866"/>
    <x v="0"/>
    <s v="NEGOCIOS"/>
    <x v="4"/>
  </r>
  <r>
    <x v="55"/>
    <x v="79"/>
    <x v="3"/>
    <x v="3"/>
    <x v="0"/>
    <x v="10"/>
    <x v="40"/>
    <x v="142"/>
    <x v="1909"/>
    <x v="0"/>
    <s v="NEGOCIOS"/>
    <x v="4"/>
  </r>
  <r>
    <x v="55"/>
    <x v="132"/>
    <x v="4"/>
    <x v="4"/>
    <x v="0"/>
    <x v="10"/>
    <x v="40"/>
    <x v="95"/>
    <x v="1866"/>
    <x v="0"/>
    <s v="NEGOCIOS"/>
    <x v="4"/>
  </r>
  <r>
    <x v="55"/>
    <x v="29"/>
    <x v="4"/>
    <x v="4"/>
    <x v="0"/>
    <x v="10"/>
    <x v="40"/>
    <x v="248"/>
    <x v="1866"/>
    <x v="0"/>
    <s v="NEGOCIOS"/>
    <x v="4"/>
  </r>
  <r>
    <x v="55"/>
    <x v="142"/>
    <x v="0"/>
    <x v="0"/>
    <x v="0"/>
    <x v="10"/>
    <x v="40"/>
    <x v="119"/>
    <x v="1866"/>
    <x v="0"/>
    <s v="NEGOCIOS"/>
    <x v="4"/>
  </r>
  <r>
    <x v="55"/>
    <x v="155"/>
    <x v="1"/>
    <x v="1"/>
    <x v="0"/>
    <x v="10"/>
    <x v="39"/>
    <x v="145"/>
    <x v="1910"/>
    <x v="0"/>
    <s v="NEGOCIOS"/>
    <x v="4"/>
  </r>
  <r>
    <x v="55"/>
    <x v="1"/>
    <x v="1"/>
    <x v="1"/>
    <x v="0"/>
    <x v="10"/>
    <x v="1"/>
    <x v="1"/>
    <x v="1"/>
    <x v="547"/>
    <s v="NEGOCIOS"/>
    <x v="4"/>
  </r>
  <r>
    <x v="55"/>
    <x v="70"/>
    <x v="2"/>
    <x v="2"/>
    <x v="0"/>
    <x v="11"/>
    <x v="39"/>
    <x v="36"/>
    <x v="952"/>
    <x v="0"/>
    <s v="NEGOCIOS"/>
    <x v="4"/>
  </r>
  <r>
    <x v="55"/>
    <x v="70"/>
    <x v="2"/>
    <x v="2"/>
    <x v="0"/>
    <x v="11"/>
    <x v="40"/>
    <x v="36"/>
    <x v="1911"/>
    <x v="0"/>
    <s v="NEGOCIOS"/>
    <x v="4"/>
  </r>
  <r>
    <x v="55"/>
    <x v="47"/>
    <x v="2"/>
    <x v="2"/>
    <x v="0"/>
    <x v="11"/>
    <x v="40"/>
    <x v="68"/>
    <x v="1912"/>
    <x v="0"/>
    <s v="NEGOCIOS"/>
    <x v="4"/>
  </r>
  <r>
    <x v="55"/>
    <x v="86"/>
    <x v="6"/>
    <x v="6"/>
    <x v="0"/>
    <x v="11"/>
    <x v="39"/>
    <x v="224"/>
    <x v="1913"/>
    <x v="0"/>
    <s v="NEGOCIOS"/>
    <x v="4"/>
  </r>
  <r>
    <x v="55"/>
    <x v="134"/>
    <x v="6"/>
    <x v="6"/>
    <x v="0"/>
    <x v="11"/>
    <x v="40"/>
    <x v="226"/>
    <x v="1914"/>
    <x v="0"/>
    <s v="NEGOCIOS"/>
    <x v="4"/>
  </r>
  <r>
    <x v="55"/>
    <x v="18"/>
    <x v="3"/>
    <x v="3"/>
    <x v="0"/>
    <x v="11"/>
    <x v="40"/>
    <x v="219"/>
    <x v="1596"/>
    <x v="0"/>
    <s v="NEGOCIOS"/>
    <x v="4"/>
  </r>
  <r>
    <x v="55"/>
    <x v="28"/>
    <x v="3"/>
    <x v="3"/>
    <x v="0"/>
    <x v="11"/>
    <x v="40"/>
    <x v="245"/>
    <x v="1915"/>
    <x v="0"/>
    <s v="NEGOCIOS"/>
    <x v="4"/>
  </r>
  <r>
    <x v="55"/>
    <x v="132"/>
    <x v="4"/>
    <x v="4"/>
    <x v="0"/>
    <x v="11"/>
    <x v="40"/>
    <x v="95"/>
    <x v="1805"/>
    <x v="0"/>
    <s v="NEGOCIOS"/>
    <x v="4"/>
  </r>
  <r>
    <x v="55"/>
    <x v="162"/>
    <x v="4"/>
    <x v="4"/>
    <x v="0"/>
    <x v="11"/>
    <x v="40"/>
    <x v="192"/>
    <x v="1916"/>
    <x v="0"/>
    <s v="NEGOCIOS"/>
    <x v="4"/>
  </r>
  <r>
    <x v="55"/>
    <x v="142"/>
    <x v="0"/>
    <x v="0"/>
    <x v="0"/>
    <x v="11"/>
    <x v="40"/>
    <x v="119"/>
    <x v="816"/>
    <x v="0"/>
    <s v="NEGOCIOS"/>
    <x v="4"/>
  </r>
  <r>
    <x v="55"/>
    <x v="72"/>
    <x v="5"/>
    <x v="5"/>
    <x v="0"/>
    <x v="11"/>
    <x v="40"/>
    <x v="38"/>
    <x v="1917"/>
    <x v="0"/>
    <s v="NEGOCIOS"/>
    <x v="4"/>
  </r>
  <r>
    <x v="55"/>
    <x v="40"/>
    <x v="1"/>
    <x v="1"/>
    <x v="0"/>
    <x v="11"/>
    <x v="40"/>
    <x v="125"/>
    <x v="1918"/>
    <x v="0"/>
    <s v="NEGOCIOS"/>
    <x v="4"/>
  </r>
  <r>
    <x v="55"/>
    <x v="40"/>
    <x v="1"/>
    <x v="1"/>
    <x v="0"/>
    <x v="11"/>
    <x v="39"/>
    <x v="125"/>
    <x v="1919"/>
    <x v="0"/>
    <s v="NEGOCIOS"/>
    <x v="4"/>
  </r>
  <r>
    <x v="55"/>
    <x v="127"/>
    <x v="1"/>
    <x v="1"/>
    <x v="0"/>
    <x v="11"/>
    <x v="40"/>
    <x v="85"/>
    <x v="1920"/>
    <x v="0"/>
    <s v="NEGOCIOS"/>
    <x v="4"/>
  </r>
  <r>
    <x v="55"/>
    <x v="42"/>
    <x v="1"/>
    <x v="1"/>
    <x v="0"/>
    <x v="11"/>
    <x v="40"/>
    <x v="167"/>
    <x v="1921"/>
    <x v="0"/>
    <s v="NEGOCIOS"/>
    <x v="4"/>
  </r>
  <r>
    <x v="55"/>
    <x v="33"/>
    <x v="1"/>
    <x v="1"/>
    <x v="0"/>
    <x v="11"/>
    <x v="39"/>
    <x v="241"/>
    <x v="1922"/>
    <x v="0"/>
    <s v="NEGOCIOS"/>
    <x v="4"/>
  </r>
  <r>
    <x v="55"/>
    <x v="55"/>
    <x v="1"/>
    <x v="1"/>
    <x v="0"/>
    <x v="11"/>
    <x v="40"/>
    <x v="188"/>
    <x v="1923"/>
    <x v="0"/>
    <s v="NEGOCIOS"/>
    <x v="4"/>
  </r>
  <r>
    <x v="55"/>
    <x v="128"/>
    <x v="1"/>
    <x v="1"/>
    <x v="0"/>
    <x v="11"/>
    <x v="40"/>
    <x v="164"/>
    <x v="1924"/>
    <x v="0"/>
    <s v="NEGOCIOS"/>
    <x v="4"/>
  </r>
  <r>
    <x v="55"/>
    <x v="1"/>
    <x v="1"/>
    <x v="1"/>
    <x v="0"/>
    <x v="11"/>
    <x v="1"/>
    <x v="1"/>
    <x v="1"/>
    <x v="548"/>
    <s v="NEGOCIOS"/>
    <x v="4"/>
  </r>
  <r>
    <x v="55"/>
    <x v="167"/>
    <x v="6"/>
    <x v="6"/>
    <x v="0"/>
    <x v="36"/>
    <x v="40"/>
    <x v="218"/>
    <x v="816"/>
    <x v="0"/>
    <s v="NEGOCIOS"/>
    <x v="4"/>
  </r>
  <r>
    <x v="55"/>
    <x v="33"/>
    <x v="1"/>
    <x v="1"/>
    <x v="0"/>
    <x v="36"/>
    <x v="39"/>
    <x v="241"/>
    <x v="1209"/>
    <x v="0"/>
    <s v="NEGOCIOS"/>
    <x v="4"/>
  </r>
  <r>
    <x v="55"/>
    <x v="152"/>
    <x v="1"/>
    <x v="1"/>
    <x v="0"/>
    <x v="36"/>
    <x v="39"/>
    <x v="194"/>
    <x v="1925"/>
    <x v="0"/>
    <s v="NEGOCIOS"/>
    <x v="4"/>
  </r>
  <r>
    <x v="55"/>
    <x v="98"/>
    <x v="1"/>
    <x v="1"/>
    <x v="0"/>
    <x v="36"/>
    <x v="39"/>
    <x v="198"/>
    <x v="1926"/>
    <x v="0"/>
    <s v="NEGOCIOS"/>
    <x v="4"/>
  </r>
  <r>
    <x v="55"/>
    <x v="1"/>
    <x v="1"/>
    <x v="1"/>
    <x v="0"/>
    <x v="36"/>
    <x v="1"/>
    <x v="1"/>
    <x v="1"/>
    <x v="549"/>
    <s v="NEGOCIOS"/>
    <x v="4"/>
  </r>
  <r>
    <x v="55"/>
    <x v="106"/>
    <x v="2"/>
    <x v="2"/>
    <x v="0"/>
    <x v="12"/>
    <x v="40"/>
    <x v="223"/>
    <x v="792"/>
    <x v="0"/>
    <s v="NEGOCIOS"/>
    <x v="4"/>
  </r>
  <r>
    <x v="55"/>
    <x v="110"/>
    <x v="2"/>
    <x v="2"/>
    <x v="0"/>
    <x v="12"/>
    <x v="40"/>
    <x v="171"/>
    <x v="1927"/>
    <x v="0"/>
    <s v="NEGOCIOS"/>
    <x v="4"/>
  </r>
  <r>
    <x v="55"/>
    <x v="17"/>
    <x v="2"/>
    <x v="2"/>
    <x v="0"/>
    <x v="12"/>
    <x v="40"/>
    <x v="150"/>
    <x v="1928"/>
    <x v="0"/>
    <s v="NEGOCIOS"/>
    <x v="4"/>
  </r>
  <r>
    <x v="55"/>
    <x v="129"/>
    <x v="2"/>
    <x v="2"/>
    <x v="0"/>
    <x v="12"/>
    <x v="40"/>
    <x v="204"/>
    <x v="909"/>
    <x v="0"/>
    <s v="NEGOCIOS"/>
    <x v="4"/>
  </r>
  <r>
    <x v="55"/>
    <x v="137"/>
    <x v="6"/>
    <x v="6"/>
    <x v="0"/>
    <x v="12"/>
    <x v="40"/>
    <x v="102"/>
    <x v="782"/>
    <x v="0"/>
    <s v="NEGOCIOS"/>
    <x v="4"/>
  </r>
  <r>
    <x v="55"/>
    <x v="60"/>
    <x v="3"/>
    <x v="3"/>
    <x v="0"/>
    <x v="12"/>
    <x v="40"/>
    <x v="57"/>
    <x v="1929"/>
    <x v="0"/>
    <s v="NEGOCIOS"/>
    <x v="4"/>
  </r>
  <r>
    <x v="55"/>
    <x v="50"/>
    <x v="4"/>
    <x v="4"/>
    <x v="0"/>
    <x v="12"/>
    <x v="40"/>
    <x v="77"/>
    <x v="905"/>
    <x v="0"/>
    <s v="NEGOCIOS"/>
    <x v="4"/>
  </r>
  <r>
    <x v="55"/>
    <x v="4"/>
    <x v="4"/>
    <x v="4"/>
    <x v="0"/>
    <x v="12"/>
    <x v="40"/>
    <x v="199"/>
    <x v="800"/>
    <x v="0"/>
    <s v="NEGOCIOS"/>
    <x v="4"/>
  </r>
  <r>
    <x v="55"/>
    <x v="52"/>
    <x v="0"/>
    <x v="0"/>
    <x v="0"/>
    <x v="12"/>
    <x v="40"/>
    <x v="107"/>
    <x v="1930"/>
    <x v="0"/>
    <s v="NEGOCIOS"/>
    <x v="4"/>
  </r>
  <r>
    <x v="55"/>
    <x v="91"/>
    <x v="0"/>
    <x v="0"/>
    <x v="0"/>
    <x v="12"/>
    <x v="40"/>
    <x v="118"/>
    <x v="1931"/>
    <x v="0"/>
    <s v="NEGOCIOS"/>
    <x v="4"/>
  </r>
  <r>
    <x v="55"/>
    <x v="153"/>
    <x v="5"/>
    <x v="5"/>
    <x v="0"/>
    <x v="12"/>
    <x v="40"/>
    <x v="157"/>
    <x v="1932"/>
    <x v="0"/>
    <s v="NEGOCIOS"/>
    <x v="4"/>
  </r>
  <r>
    <x v="55"/>
    <x v="6"/>
    <x v="5"/>
    <x v="5"/>
    <x v="0"/>
    <x v="12"/>
    <x v="40"/>
    <x v="193"/>
    <x v="1933"/>
    <x v="0"/>
    <s v="NEGOCIOS"/>
    <x v="4"/>
  </r>
  <r>
    <x v="55"/>
    <x v="1"/>
    <x v="1"/>
    <x v="1"/>
    <x v="0"/>
    <x v="12"/>
    <x v="1"/>
    <x v="1"/>
    <x v="1"/>
    <x v="550"/>
    <s v="NEGOCIOS"/>
    <x v="4"/>
  </r>
  <r>
    <x v="55"/>
    <x v="66"/>
    <x v="4"/>
    <x v="4"/>
    <x v="0"/>
    <x v="13"/>
    <x v="40"/>
    <x v="78"/>
    <x v="1934"/>
    <x v="0"/>
    <s v="NEGOCIOS"/>
    <x v="4"/>
  </r>
  <r>
    <x v="55"/>
    <x v="54"/>
    <x v="5"/>
    <x v="5"/>
    <x v="0"/>
    <x v="13"/>
    <x v="40"/>
    <x v="246"/>
    <x v="1935"/>
    <x v="0"/>
    <s v="NEGOCIOS"/>
    <x v="4"/>
  </r>
  <r>
    <x v="55"/>
    <x v="22"/>
    <x v="1"/>
    <x v="1"/>
    <x v="0"/>
    <x v="13"/>
    <x v="39"/>
    <x v="211"/>
    <x v="1105"/>
    <x v="0"/>
    <s v="NEGOCIOS"/>
    <x v="4"/>
  </r>
  <r>
    <x v="55"/>
    <x v="101"/>
    <x v="1"/>
    <x v="1"/>
    <x v="0"/>
    <x v="13"/>
    <x v="39"/>
    <x v="207"/>
    <x v="1876"/>
    <x v="0"/>
    <s v="NEGOCIOS"/>
    <x v="4"/>
  </r>
  <r>
    <x v="55"/>
    <x v="152"/>
    <x v="1"/>
    <x v="1"/>
    <x v="0"/>
    <x v="13"/>
    <x v="39"/>
    <x v="194"/>
    <x v="1936"/>
    <x v="0"/>
    <s v="NEGOCIOS"/>
    <x v="4"/>
  </r>
  <r>
    <x v="55"/>
    <x v="128"/>
    <x v="1"/>
    <x v="1"/>
    <x v="0"/>
    <x v="13"/>
    <x v="40"/>
    <x v="164"/>
    <x v="909"/>
    <x v="0"/>
    <s v="NEGOCIOS"/>
    <x v="4"/>
  </r>
  <r>
    <x v="55"/>
    <x v="1"/>
    <x v="1"/>
    <x v="1"/>
    <x v="0"/>
    <x v="13"/>
    <x v="1"/>
    <x v="1"/>
    <x v="1"/>
    <x v="551"/>
    <s v="NEGOCIOS"/>
    <x v="4"/>
  </r>
  <r>
    <x v="55"/>
    <x v="144"/>
    <x v="2"/>
    <x v="2"/>
    <x v="0"/>
    <x v="14"/>
    <x v="40"/>
    <x v="162"/>
    <x v="1937"/>
    <x v="0"/>
    <s v="NEGOCIOS"/>
    <x v="4"/>
  </r>
  <r>
    <x v="55"/>
    <x v="169"/>
    <x v="6"/>
    <x v="6"/>
    <x v="0"/>
    <x v="14"/>
    <x v="40"/>
    <x v="249"/>
    <x v="1737"/>
    <x v="0"/>
    <s v="NEGOCIOS"/>
    <x v="4"/>
  </r>
  <r>
    <x v="55"/>
    <x v="108"/>
    <x v="3"/>
    <x v="3"/>
    <x v="0"/>
    <x v="14"/>
    <x v="39"/>
    <x v="63"/>
    <x v="1938"/>
    <x v="0"/>
    <s v="NEGOCIOS"/>
    <x v="4"/>
  </r>
  <r>
    <x v="55"/>
    <x v="18"/>
    <x v="3"/>
    <x v="3"/>
    <x v="0"/>
    <x v="14"/>
    <x v="40"/>
    <x v="219"/>
    <x v="899"/>
    <x v="0"/>
    <s v="NEGOCIOS"/>
    <x v="4"/>
  </r>
  <r>
    <x v="55"/>
    <x v="81"/>
    <x v="4"/>
    <x v="4"/>
    <x v="0"/>
    <x v="14"/>
    <x v="40"/>
    <x v="175"/>
    <x v="852"/>
    <x v="0"/>
    <s v="NEGOCIOS"/>
    <x v="4"/>
  </r>
  <r>
    <x v="55"/>
    <x v="156"/>
    <x v="4"/>
    <x v="4"/>
    <x v="0"/>
    <x v="14"/>
    <x v="40"/>
    <x v="146"/>
    <x v="933"/>
    <x v="0"/>
    <s v="NEGOCIOS"/>
    <x v="4"/>
  </r>
  <r>
    <x v="55"/>
    <x v="162"/>
    <x v="4"/>
    <x v="4"/>
    <x v="0"/>
    <x v="14"/>
    <x v="40"/>
    <x v="192"/>
    <x v="563"/>
    <x v="0"/>
    <s v="NEGOCIOS"/>
    <x v="4"/>
  </r>
  <r>
    <x v="55"/>
    <x v="126"/>
    <x v="4"/>
    <x v="4"/>
    <x v="0"/>
    <x v="14"/>
    <x v="40"/>
    <x v="83"/>
    <x v="1939"/>
    <x v="0"/>
    <s v="NEGOCIOS"/>
    <x v="4"/>
  </r>
  <r>
    <x v="55"/>
    <x v="78"/>
    <x v="4"/>
    <x v="4"/>
    <x v="0"/>
    <x v="14"/>
    <x v="40"/>
    <x v="160"/>
    <x v="1940"/>
    <x v="0"/>
    <s v="NEGOCIOS"/>
    <x v="4"/>
  </r>
  <r>
    <x v="55"/>
    <x v="51"/>
    <x v="4"/>
    <x v="4"/>
    <x v="0"/>
    <x v="14"/>
    <x v="40"/>
    <x v="34"/>
    <x v="1941"/>
    <x v="0"/>
    <s v="NEGOCIOS"/>
    <x v="4"/>
  </r>
  <r>
    <x v="55"/>
    <x v="90"/>
    <x v="0"/>
    <x v="0"/>
    <x v="0"/>
    <x v="14"/>
    <x v="40"/>
    <x v="79"/>
    <x v="1836"/>
    <x v="0"/>
    <s v="NEGOCIOS"/>
    <x v="4"/>
  </r>
  <r>
    <x v="55"/>
    <x v="57"/>
    <x v="0"/>
    <x v="0"/>
    <x v="0"/>
    <x v="14"/>
    <x v="40"/>
    <x v="44"/>
    <x v="1942"/>
    <x v="0"/>
    <s v="NEGOCIOS"/>
    <x v="4"/>
  </r>
  <r>
    <x v="55"/>
    <x v="32"/>
    <x v="5"/>
    <x v="5"/>
    <x v="0"/>
    <x v="14"/>
    <x v="40"/>
    <x v="81"/>
    <x v="1132"/>
    <x v="0"/>
    <s v="NEGOCIOS"/>
    <x v="4"/>
  </r>
  <r>
    <x v="55"/>
    <x v="125"/>
    <x v="5"/>
    <x v="5"/>
    <x v="0"/>
    <x v="14"/>
    <x v="39"/>
    <x v="82"/>
    <x v="1943"/>
    <x v="0"/>
    <s v="NEGOCIOS"/>
    <x v="4"/>
  </r>
  <r>
    <x v="55"/>
    <x v="41"/>
    <x v="1"/>
    <x v="1"/>
    <x v="0"/>
    <x v="14"/>
    <x v="40"/>
    <x v="113"/>
    <x v="1944"/>
    <x v="0"/>
    <s v="NEGOCIOS"/>
    <x v="4"/>
  </r>
  <r>
    <x v="55"/>
    <x v="22"/>
    <x v="1"/>
    <x v="1"/>
    <x v="0"/>
    <x v="14"/>
    <x v="39"/>
    <x v="211"/>
    <x v="1945"/>
    <x v="0"/>
    <s v="NEGOCIOS"/>
    <x v="4"/>
  </r>
  <r>
    <x v="55"/>
    <x v="152"/>
    <x v="1"/>
    <x v="1"/>
    <x v="0"/>
    <x v="14"/>
    <x v="40"/>
    <x v="194"/>
    <x v="1946"/>
    <x v="0"/>
    <s v="NEGOCIOS"/>
    <x v="4"/>
  </r>
  <r>
    <x v="55"/>
    <x v="152"/>
    <x v="1"/>
    <x v="1"/>
    <x v="0"/>
    <x v="14"/>
    <x v="39"/>
    <x v="194"/>
    <x v="1947"/>
    <x v="0"/>
    <s v="NEGOCIOS"/>
    <x v="4"/>
  </r>
  <r>
    <x v="55"/>
    <x v="55"/>
    <x v="1"/>
    <x v="1"/>
    <x v="0"/>
    <x v="14"/>
    <x v="39"/>
    <x v="188"/>
    <x v="1948"/>
    <x v="0"/>
    <s v="NEGOCIOS"/>
    <x v="4"/>
  </r>
  <r>
    <x v="55"/>
    <x v="128"/>
    <x v="1"/>
    <x v="1"/>
    <x v="0"/>
    <x v="14"/>
    <x v="40"/>
    <x v="164"/>
    <x v="1949"/>
    <x v="0"/>
    <s v="NEGOCIOS"/>
    <x v="4"/>
  </r>
  <r>
    <x v="55"/>
    <x v="1"/>
    <x v="1"/>
    <x v="1"/>
    <x v="0"/>
    <x v="14"/>
    <x v="1"/>
    <x v="1"/>
    <x v="1"/>
    <x v="552"/>
    <s v="NEGOCIOS"/>
    <x v="4"/>
  </r>
  <r>
    <x v="55"/>
    <x v="13"/>
    <x v="5"/>
    <x v="5"/>
    <x v="0"/>
    <x v="15"/>
    <x v="40"/>
    <x v="120"/>
    <x v="1950"/>
    <x v="0"/>
    <s v="NEGOCIOS"/>
    <x v="4"/>
  </r>
  <r>
    <x v="55"/>
    <x v="8"/>
    <x v="1"/>
    <x v="1"/>
    <x v="0"/>
    <x v="15"/>
    <x v="40"/>
    <x v="187"/>
    <x v="1951"/>
    <x v="0"/>
    <s v="NEGOCIOS"/>
    <x v="4"/>
  </r>
  <r>
    <x v="55"/>
    <x v="128"/>
    <x v="1"/>
    <x v="1"/>
    <x v="0"/>
    <x v="15"/>
    <x v="40"/>
    <x v="164"/>
    <x v="1588"/>
    <x v="0"/>
    <s v="NEGOCIOS"/>
    <x v="4"/>
  </r>
  <r>
    <x v="55"/>
    <x v="1"/>
    <x v="1"/>
    <x v="1"/>
    <x v="0"/>
    <x v="15"/>
    <x v="1"/>
    <x v="1"/>
    <x v="1"/>
    <x v="553"/>
    <s v="NEGOCIOS"/>
    <x v="4"/>
  </r>
  <r>
    <x v="55"/>
    <x v="129"/>
    <x v="2"/>
    <x v="2"/>
    <x v="0"/>
    <x v="28"/>
    <x v="40"/>
    <x v="204"/>
    <x v="782"/>
    <x v="0"/>
    <s v="NEGOCIOS"/>
    <x v="4"/>
  </r>
  <r>
    <x v="55"/>
    <x v="71"/>
    <x v="6"/>
    <x v="6"/>
    <x v="0"/>
    <x v="28"/>
    <x v="40"/>
    <x v="37"/>
    <x v="782"/>
    <x v="0"/>
    <s v="NEGOCIOS"/>
    <x v="4"/>
  </r>
  <r>
    <x v="55"/>
    <x v="162"/>
    <x v="4"/>
    <x v="4"/>
    <x v="0"/>
    <x v="28"/>
    <x v="40"/>
    <x v="192"/>
    <x v="966"/>
    <x v="0"/>
    <s v="NEGOCIOS"/>
    <x v="4"/>
  </r>
  <r>
    <x v="55"/>
    <x v="159"/>
    <x v="0"/>
    <x v="0"/>
    <x v="0"/>
    <x v="28"/>
    <x v="39"/>
    <x v="177"/>
    <x v="1484"/>
    <x v="0"/>
    <s v="NEGOCIOS"/>
    <x v="4"/>
  </r>
  <r>
    <x v="55"/>
    <x v="121"/>
    <x v="0"/>
    <x v="0"/>
    <x v="0"/>
    <x v="28"/>
    <x v="40"/>
    <x v="80"/>
    <x v="1566"/>
    <x v="0"/>
    <s v="NEGOCIOS"/>
    <x v="4"/>
  </r>
  <r>
    <x v="55"/>
    <x v="53"/>
    <x v="0"/>
    <x v="0"/>
    <x v="0"/>
    <x v="28"/>
    <x v="40"/>
    <x v="144"/>
    <x v="1952"/>
    <x v="0"/>
    <s v="NEGOCIOS"/>
    <x v="4"/>
  </r>
  <r>
    <x v="55"/>
    <x v="115"/>
    <x v="5"/>
    <x v="5"/>
    <x v="0"/>
    <x v="28"/>
    <x v="39"/>
    <x v="213"/>
    <x v="1641"/>
    <x v="0"/>
    <s v="NEGOCIOS"/>
    <x v="4"/>
  </r>
  <r>
    <x v="55"/>
    <x v="73"/>
    <x v="1"/>
    <x v="1"/>
    <x v="0"/>
    <x v="28"/>
    <x v="40"/>
    <x v="39"/>
    <x v="782"/>
    <x v="0"/>
    <s v="NEGOCIOS"/>
    <x v="4"/>
  </r>
  <r>
    <x v="55"/>
    <x v="98"/>
    <x v="1"/>
    <x v="1"/>
    <x v="0"/>
    <x v="28"/>
    <x v="39"/>
    <x v="198"/>
    <x v="1953"/>
    <x v="0"/>
    <s v="NEGOCIOS"/>
    <x v="4"/>
  </r>
  <r>
    <x v="55"/>
    <x v="1"/>
    <x v="1"/>
    <x v="1"/>
    <x v="0"/>
    <x v="28"/>
    <x v="1"/>
    <x v="1"/>
    <x v="1"/>
    <x v="554"/>
    <s v="NEGOCIOS"/>
    <x v="4"/>
  </r>
  <r>
    <x v="55"/>
    <x v="53"/>
    <x v="0"/>
    <x v="0"/>
    <x v="0"/>
    <x v="29"/>
    <x v="40"/>
    <x v="144"/>
    <x v="1954"/>
    <x v="0"/>
    <s v="NEGOCIOS"/>
    <x v="4"/>
  </r>
  <r>
    <x v="55"/>
    <x v="41"/>
    <x v="1"/>
    <x v="1"/>
    <x v="0"/>
    <x v="29"/>
    <x v="40"/>
    <x v="113"/>
    <x v="909"/>
    <x v="0"/>
    <s v="NEGOCIOS"/>
    <x v="4"/>
  </r>
  <r>
    <x v="55"/>
    <x v="33"/>
    <x v="1"/>
    <x v="1"/>
    <x v="0"/>
    <x v="29"/>
    <x v="39"/>
    <x v="241"/>
    <x v="1955"/>
    <x v="0"/>
    <s v="NEGOCIOS"/>
    <x v="4"/>
  </r>
  <r>
    <x v="55"/>
    <x v="98"/>
    <x v="1"/>
    <x v="1"/>
    <x v="0"/>
    <x v="29"/>
    <x v="39"/>
    <x v="198"/>
    <x v="1956"/>
    <x v="0"/>
    <s v="NEGOCIOS"/>
    <x v="4"/>
  </r>
  <r>
    <x v="55"/>
    <x v="98"/>
    <x v="1"/>
    <x v="1"/>
    <x v="0"/>
    <x v="29"/>
    <x v="40"/>
    <x v="198"/>
    <x v="1957"/>
    <x v="0"/>
    <s v="NEGOCIOS"/>
    <x v="4"/>
  </r>
  <r>
    <x v="55"/>
    <x v="1"/>
    <x v="1"/>
    <x v="1"/>
    <x v="0"/>
    <x v="29"/>
    <x v="1"/>
    <x v="1"/>
    <x v="1"/>
    <x v="555"/>
    <s v="NEGOCIOS"/>
    <x v="4"/>
  </r>
  <r>
    <x v="55"/>
    <x v="41"/>
    <x v="1"/>
    <x v="1"/>
    <x v="0"/>
    <x v="30"/>
    <x v="39"/>
    <x v="113"/>
    <x v="1958"/>
    <x v="0"/>
    <s v="NEGOCIOS"/>
    <x v="4"/>
  </r>
  <r>
    <x v="55"/>
    <x v="1"/>
    <x v="1"/>
    <x v="1"/>
    <x v="0"/>
    <x v="30"/>
    <x v="1"/>
    <x v="1"/>
    <x v="1"/>
    <x v="556"/>
    <s v="NEGOCIOS"/>
    <x v="4"/>
  </r>
  <r>
    <x v="55"/>
    <x v="107"/>
    <x v="2"/>
    <x v="2"/>
    <x v="0"/>
    <x v="17"/>
    <x v="40"/>
    <x v="158"/>
    <x v="911"/>
    <x v="0"/>
    <s v="NEGOCIOS"/>
    <x v="4"/>
  </r>
  <r>
    <x v="55"/>
    <x v="144"/>
    <x v="2"/>
    <x v="2"/>
    <x v="0"/>
    <x v="17"/>
    <x v="39"/>
    <x v="162"/>
    <x v="1959"/>
    <x v="0"/>
    <s v="NEGOCIOS"/>
    <x v="4"/>
  </r>
  <r>
    <x v="55"/>
    <x v="71"/>
    <x v="6"/>
    <x v="6"/>
    <x v="0"/>
    <x v="17"/>
    <x v="39"/>
    <x v="37"/>
    <x v="1609"/>
    <x v="0"/>
    <s v="NEGOCIOS"/>
    <x v="4"/>
  </r>
  <r>
    <x v="55"/>
    <x v="13"/>
    <x v="5"/>
    <x v="5"/>
    <x v="0"/>
    <x v="17"/>
    <x v="39"/>
    <x v="120"/>
    <x v="1960"/>
    <x v="0"/>
    <s v="NEGOCIOS"/>
    <x v="4"/>
  </r>
  <r>
    <x v="55"/>
    <x v="55"/>
    <x v="1"/>
    <x v="1"/>
    <x v="0"/>
    <x v="17"/>
    <x v="39"/>
    <x v="188"/>
    <x v="736"/>
    <x v="0"/>
    <s v="NEGOCIOS"/>
    <x v="4"/>
  </r>
  <r>
    <x v="55"/>
    <x v="98"/>
    <x v="1"/>
    <x v="1"/>
    <x v="0"/>
    <x v="17"/>
    <x v="39"/>
    <x v="198"/>
    <x v="1961"/>
    <x v="0"/>
    <s v="NEGOCIOS"/>
    <x v="4"/>
  </r>
  <r>
    <x v="55"/>
    <x v="128"/>
    <x v="1"/>
    <x v="1"/>
    <x v="0"/>
    <x v="17"/>
    <x v="39"/>
    <x v="164"/>
    <x v="780"/>
    <x v="0"/>
    <s v="NEGOCIOS"/>
    <x v="4"/>
  </r>
  <r>
    <x v="55"/>
    <x v="1"/>
    <x v="1"/>
    <x v="1"/>
    <x v="0"/>
    <x v="17"/>
    <x v="1"/>
    <x v="1"/>
    <x v="1"/>
    <x v="557"/>
    <s v="NEGOCIOS"/>
    <x v="4"/>
  </r>
  <r>
    <x v="55"/>
    <x v="114"/>
    <x v="3"/>
    <x v="3"/>
    <x v="0"/>
    <x v="32"/>
    <x v="40"/>
    <x v="76"/>
    <x v="1962"/>
    <x v="0"/>
    <s v="NEGOCIOS"/>
    <x v="4"/>
  </r>
  <r>
    <x v="55"/>
    <x v="1"/>
    <x v="1"/>
    <x v="1"/>
    <x v="0"/>
    <x v="32"/>
    <x v="1"/>
    <x v="1"/>
    <x v="1"/>
    <x v="558"/>
    <s v="NEGOCIOS"/>
    <x v="4"/>
  </r>
  <r>
    <x v="55"/>
    <x v="33"/>
    <x v="1"/>
    <x v="1"/>
    <x v="0"/>
    <x v="33"/>
    <x v="39"/>
    <x v="241"/>
    <x v="1963"/>
    <x v="0"/>
    <s v="NEGOCIOS"/>
    <x v="4"/>
  </r>
  <r>
    <x v="55"/>
    <x v="1"/>
    <x v="1"/>
    <x v="1"/>
    <x v="0"/>
    <x v="33"/>
    <x v="1"/>
    <x v="1"/>
    <x v="1"/>
    <x v="559"/>
    <s v="NEGOCIOS"/>
    <x v="4"/>
  </r>
  <r>
    <x v="55"/>
    <x v="157"/>
    <x v="2"/>
    <x v="2"/>
    <x v="0"/>
    <x v="37"/>
    <x v="40"/>
    <x v="147"/>
    <x v="1964"/>
    <x v="0"/>
    <s v="NEGOCIOS"/>
    <x v="4"/>
  </r>
  <r>
    <x v="55"/>
    <x v="132"/>
    <x v="4"/>
    <x v="4"/>
    <x v="0"/>
    <x v="37"/>
    <x v="40"/>
    <x v="95"/>
    <x v="1965"/>
    <x v="0"/>
    <s v="NEGOCIOS"/>
    <x v="4"/>
  </r>
  <r>
    <x v="55"/>
    <x v="78"/>
    <x v="4"/>
    <x v="4"/>
    <x v="0"/>
    <x v="37"/>
    <x v="40"/>
    <x v="160"/>
    <x v="1966"/>
    <x v="0"/>
    <s v="NEGOCIOS"/>
    <x v="4"/>
  </r>
  <r>
    <x v="55"/>
    <x v="1"/>
    <x v="1"/>
    <x v="1"/>
    <x v="0"/>
    <x v="37"/>
    <x v="1"/>
    <x v="1"/>
    <x v="1"/>
    <x v="560"/>
    <s v="NEGOCIOS"/>
    <x v="4"/>
  </r>
  <r>
    <x v="55"/>
    <x v="118"/>
    <x v="2"/>
    <x v="2"/>
    <x v="0"/>
    <x v="34"/>
    <x v="40"/>
    <x v="69"/>
    <x v="1967"/>
    <x v="0"/>
    <s v="NEGOCIOS"/>
    <x v="4"/>
  </r>
  <r>
    <x v="55"/>
    <x v="57"/>
    <x v="0"/>
    <x v="0"/>
    <x v="0"/>
    <x v="34"/>
    <x v="39"/>
    <x v="44"/>
    <x v="1744"/>
    <x v="0"/>
    <s v="NEGOCIOS"/>
    <x v="4"/>
  </r>
  <r>
    <x v="55"/>
    <x v="1"/>
    <x v="1"/>
    <x v="1"/>
    <x v="0"/>
    <x v="34"/>
    <x v="1"/>
    <x v="1"/>
    <x v="1"/>
    <x v="561"/>
    <s v="NEGOCIOS"/>
    <x v="4"/>
  </r>
  <r>
    <x v="55"/>
    <x v="16"/>
    <x v="2"/>
    <x v="2"/>
    <x v="0"/>
    <x v="18"/>
    <x v="40"/>
    <x v="93"/>
    <x v="1968"/>
    <x v="0"/>
    <s v="NEGOCIOS"/>
    <x v="4"/>
  </r>
  <r>
    <x v="55"/>
    <x v="146"/>
    <x v="6"/>
    <x v="6"/>
    <x v="0"/>
    <x v="18"/>
    <x v="40"/>
    <x v="172"/>
    <x v="1969"/>
    <x v="0"/>
    <s v="NEGOCIOS"/>
    <x v="4"/>
  </r>
  <r>
    <x v="55"/>
    <x v="65"/>
    <x v="6"/>
    <x v="6"/>
    <x v="0"/>
    <x v="18"/>
    <x v="40"/>
    <x v="190"/>
    <x v="1970"/>
    <x v="0"/>
    <s v="NEGOCIOS"/>
    <x v="4"/>
  </r>
  <r>
    <x v="55"/>
    <x v="65"/>
    <x v="6"/>
    <x v="6"/>
    <x v="0"/>
    <x v="18"/>
    <x v="39"/>
    <x v="190"/>
    <x v="1"/>
    <x v="562"/>
    <s v="NEGOCIOS"/>
    <x v="4"/>
  </r>
  <r>
    <x v="55"/>
    <x v="59"/>
    <x v="6"/>
    <x v="6"/>
    <x v="0"/>
    <x v="18"/>
    <x v="40"/>
    <x v="256"/>
    <x v="1971"/>
    <x v="0"/>
    <s v="NEGOCIOS"/>
    <x v="4"/>
  </r>
  <r>
    <x v="55"/>
    <x v="156"/>
    <x v="4"/>
    <x v="4"/>
    <x v="0"/>
    <x v="18"/>
    <x v="40"/>
    <x v="146"/>
    <x v="1972"/>
    <x v="0"/>
    <s v="NEGOCIOS"/>
    <x v="4"/>
  </r>
  <r>
    <x v="55"/>
    <x v="116"/>
    <x v="0"/>
    <x v="0"/>
    <x v="0"/>
    <x v="18"/>
    <x v="40"/>
    <x v="64"/>
    <x v="1973"/>
    <x v="0"/>
    <s v="NEGOCIOS"/>
    <x v="4"/>
  </r>
  <r>
    <x v="55"/>
    <x v="76"/>
    <x v="5"/>
    <x v="5"/>
    <x v="0"/>
    <x v="18"/>
    <x v="40"/>
    <x v="182"/>
    <x v="1974"/>
    <x v="0"/>
    <s v="NEGOCIOS"/>
    <x v="4"/>
  </r>
  <r>
    <x v="55"/>
    <x v="95"/>
    <x v="1"/>
    <x v="1"/>
    <x v="0"/>
    <x v="18"/>
    <x v="40"/>
    <x v="97"/>
    <x v="1975"/>
    <x v="0"/>
    <s v="NEGOCIOS"/>
    <x v="4"/>
  </r>
  <r>
    <x v="55"/>
    <x v="155"/>
    <x v="1"/>
    <x v="1"/>
    <x v="0"/>
    <x v="18"/>
    <x v="40"/>
    <x v="145"/>
    <x v="1976"/>
    <x v="0"/>
    <s v="NEGOCIOS"/>
    <x v="4"/>
  </r>
  <r>
    <x v="55"/>
    <x v="1"/>
    <x v="1"/>
    <x v="1"/>
    <x v="0"/>
    <x v="18"/>
    <x v="1"/>
    <x v="1"/>
    <x v="1"/>
    <x v="563"/>
    <s v="NEGOCIOS"/>
    <x v="4"/>
  </r>
  <r>
    <x v="56"/>
    <x v="129"/>
    <x v="2"/>
    <x v="2"/>
    <x v="0"/>
    <x v="2"/>
    <x v="40"/>
    <x v="204"/>
    <x v="1977"/>
    <x v="0"/>
    <s v="BOULEVARD EL DORADO"/>
    <x v="4"/>
  </r>
  <r>
    <x v="56"/>
    <x v="86"/>
    <x v="6"/>
    <x v="6"/>
    <x v="0"/>
    <x v="2"/>
    <x v="39"/>
    <x v="224"/>
    <x v="1978"/>
    <x v="0"/>
    <s v="BOULEVARD EL DORADO"/>
    <x v="4"/>
  </r>
  <r>
    <x v="56"/>
    <x v="71"/>
    <x v="6"/>
    <x v="6"/>
    <x v="0"/>
    <x v="2"/>
    <x v="39"/>
    <x v="37"/>
    <x v="1979"/>
    <x v="0"/>
    <s v="BOULEVARD EL DORADO"/>
    <x v="4"/>
  </r>
  <r>
    <x v="56"/>
    <x v="135"/>
    <x v="3"/>
    <x v="3"/>
    <x v="0"/>
    <x v="2"/>
    <x v="39"/>
    <x v="149"/>
    <x v="1980"/>
    <x v="0"/>
    <s v="BOULEVARD EL DORADO"/>
    <x v="4"/>
  </r>
  <r>
    <x v="56"/>
    <x v="43"/>
    <x v="3"/>
    <x v="3"/>
    <x v="0"/>
    <x v="2"/>
    <x v="40"/>
    <x v="71"/>
    <x v="782"/>
    <x v="0"/>
    <s v="BOULEVARD EL DORADO"/>
    <x v="4"/>
  </r>
  <r>
    <x v="56"/>
    <x v="50"/>
    <x v="4"/>
    <x v="4"/>
    <x v="0"/>
    <x v="2"/>
    <x v="39"/>
    <x v="77"/>
    <x v="1981"/>
    <x v="0"/>
    <s v="BOULEVARD EL DORADO"/>
    <x v="4"/>
  </r>
  <r>
    <x v="56"/>
    <x v="160"/>
    <x v="0"/>
    <x v="0"/>
    <x v="0"/>
    <x v="2"/>
    <x v="39"/>
    <x v="179"/>
    <x v="1982"/>
    <x v="0"/>
    <s v="BOULEVARD EL DORADO"/>
    <x v="4"/>
  </r>
  <r>
    <x v="56"/>
    <x v="46"/>
    <x v="0"/>
    <x v="0"/>
    <x v="0"/>
    <x v="2"/>
    <x v="39"/>
    <x v="155"/>
    <x v="1983"/>
    <x v="0"/>
    <s v="BOULEVARD EL DORADO"/>
    <x v="4"/>
  </r>
  <r>
    <x v="56"/>
    <x v="145"/>
    <x v="5"/>
    <x v="5"/>
    <x v="0"/>
    <x v="2"/>
    <x v="39"/>
    <x v="124"/>
    <x v="1984"/>
    <x v="0"/>
    <s v="BOULEVARD EL DORADO"/>
    <x v="4"/>
  </r>
  <r>
    <x v="56"/>
    <x v="77"/>
    <x v="5"/>
    <x v="5"/>
    <x v="0"/>
    <x v="2"/>
    <x v="39"/>
    <x v="156"/>
    <x v="1985"/>
    <x v="0"/>
    <s v="BOULEVARD EL DORADO"/>
    <x v="4"/>
  </r>
  <r>
    <x v="56"/>
    <x v="155"/>
    <x v="1"/>
    <x v="1"/>
    <x v="0"/>
    <x v="2"/>
    <x v="39"/>
    <x v="145"/>
    <x v="1986"/>
    <x v="0"/>
    <s v="BOULEVARD EL DORADO"/>
    <x v="4"/>
  </r>
  <r>
    <x v="56"/>
    <x v="1"/>
    <x v="1"/>
    <x v="1"/>
    <x v="0"/>
    <x v="2"/>
    <x v="1"/>
    <x v="1"/>
    <x v="1"/>
    <x v="564"/>
    <s v="BOULEVARD EL DORADO"/>
    <x v="4"/>
  </r>
  <r>
    <x v="57"/>
    <x v="50"/>
    <x v="4"/>
    <x v="4"/>
    <x v="0"/>
    <x v="2"/>
    <x v="39"/>
    <x v="77"/>
    <x v="1987"/>
    <x v="0"/>
    <s v="SAN SEBASTIAN"/>
    <x v="4"/>
  </r>
  <r>
    <x v="57"/>
    <x v="55"/>
    <x v="1"/>
    <x v="1"/>
    <x v="0"/>
    <x v="2"/>
    <x v="39"/>
    <x v="188"/>
    <x v="1988"/>
    <x v="0"/>
    <s v="SAN SEBASTIAN"/>
    <x v="4"/>
  </r>
  <r>
    <x v="57"/>
    <x v="1"/>
    <x v="1"/>
    <x v="1"/>
    <x v="0"/>
    <x v="2"/>
    <x v="1"/>
    <x v="1"/>
    <x v="1"/>
    <x v="565"/>
    <s v="SAN SEBASTIAN"/>
    <x v="4"/>
  </r>
  <r>
    <x v="58"/>
    <x v="71"/>
    <x v="6"/>
    <x v="6"/>
    <x v="0"/>
    <x v="2"/>
    <x v="39"/>
    <x v="37"/>
    <x v="1989"/>
    <x v="0"/>
    <s v="SANTIAGO INTERAMERICANA"/>
    <x v="4"/>
  </r>
  <r>
    <x v="58"/>
    <x v="23"/>
    <x v="3"/>
    <x v="3"/>
    <x v="0"/>
    <x v="2"/>
    <x v="39"/>
    <x v="221"/>
    <x v="1990"/>
    <x v="0"/>
    <s v="SANTIAGO INTERAMERICANA"/>
    <x v="4"/>
  </r>
  <r>
    <x v="58"/>
    <x v="160"/>
    <x v="0"/>
    <x v="0"/>
    <x v="0"/>
    <x v="2"/>
    <x v="39"/>
    <x v="179"/>
    <x v="1991"/>
    <x v="0"/>
    <s v="SANTIAGO INTERAMERICANA"/>
    <x v="4"/>
  </r>
  <r>
    <x v="58"/>
    <x v="77"/>
    <x v="5"/>
    <x v="5"/>
    <x v="0"/>
    <x v="2"/>
    <x v="39"/>
    <x v="156"/>
    <x v="1992"/>
    <x v="0"/>
    <s v="SANTIAGO INTERAMERICANA"/>
    <x v="4"/>
  </r>
  <r>
    <x v="58"/>
    <x v="1"/>
    <x v="1"/>
    <x v="1"/>
    <x v="0"/>
    <x v="2"/>
    <x v="1"/>
    <x v="1"/>
    <x v="1"/>
    <x v="566"/>
    <s v="SANTIAGO INTERAMERICANA"/>
    <x v="4"/>
  </r>
  <r>
    <x v="59"/>
    <x v="144"/>
    <x v="2"/>
    <x v="2"/>
    <x v="0"/>
    <x v="2"/>
    <x v="39"/>
    <x v="162"/>
    <x v="1993"/>
    <x v="0"/>
    <s v="CIUDAD DEL SABER"/>
    <x v="4"/>
  </r>
  <r>
    <x v="59"/>
    <x v="159"/>
    <x v="0"/>
    <x v="0"/>
    <x v="0"/>
    <x v="2"/>
    <x v="39"/>
    <x v="177"/>
    <x v="909"/>
    <x v="0"/>
    <s v="CIUDAD DEL SABER"/>
    <x v="4"/>
  </r>
  <r>
    <x v="59"/>
    <x v="145"/>
    <x v="5"/>
    <x v="5"/>
    <x v="0"/>
    <x v="2"/>
    <x v="39"/>
    <x v="124"/>
    <x v="1471"/>
    <x v="0"/>
    <s v="CIUDAD DEL SABER"/>
    <x v="4"/>
  </r>
  <r>
    <x v="59"/>
    <x v="1"/>
    <x v="1"/>
    <x v="1"/>
    <x v="0"/>
    <x v="2"/>
    <x v="1"/>
    <x v="1"/>
    <x v="1"/>
    <x v="567"/>
    <s v="CIUDAD DEL SABER"/>
    <x v="4"/>
  </r>
  <r>
    <x v="60"/>
    <x v="88"/>
    <x v="6"/>
    <x v="6"/>
    <x v="0"/>
    <x v="2"/>
    <x v="40"/>
    <x v="242"/>
    <x v="858"/>
    <x v="0"/>
    <s v="VILLA ZAITA"/>
    <x v="4"/>
  </r>
  <r>
    <x v="60"/>
    <x v="60"/>
    <x v="3"/>
    <x v="3"/>
    <x v="0"/>
    <x v="2"/>
    <x v="40"/>
    <x v="57"/>
    <x v="1994"/>
    <x v="0"/>
    <s v="VILLA ZAITA"/>
    <x v="4"/>
  </r>
  <r>
    <x v="60"/>
    <x v="132"/>
    <x v="4"/>
    <x v="4"/>
    <x v="0"/>
    <x v="2"/>
    <x v="40"/>
    <x v="95"/>
    <x v="1776"/>
    <x v="0"/>
    <s v="VILLA ZAITA"/>
    <x v="4"/>
  </r>
  <r>
    <x v="60"/>
    <x v="154"/>
    <x v="4"/>
    <x v="4"/>
    <x v="0"/>
    <x v="2"/>
    <x v="39"/>
    <x v="143"/>
    <x v="1995"/>
    <x v="0"/>
    <s v="VILLA ZAITA"/>
    <x v="4"/>
  </r>
  <r>
    <x v="60"/>
    <x v="51"/>
    <x v="4"/>
    <x v="4"/>
    <x v="0"/>
    <x v="2"/>
    <x v="40"/>
    <x v="34"/>
    <x v="1996"/>
    <x v="0"/>
    <s v="VILLA ZAITA"/>
    <x v="4"/>
  </r>
  <r>
    <x v="60"/>
    <x v="0"/>
    <x v="0"/>
    <x v="0"/>
    <x v="0"/>
    <x v="2"/>
    <x v="39"/>
    <x v="197"/>
    <x v="1997"/>
    <x v="0"/>
    <s v="VILLA ZAITA"/>
    <x v="4"/>
  </r>
  <r>
    <x v="60"/>
    <x v="125"/>
    <x v="5"/>
    <x v="5"/>
    <x v="0"/>
    <x v="2"/>
    <x v="40"/>
    <x v="82"/>
    <x v="1998"/>
    <x v="0"/>
    <s v="VILLA ZAITA"/>
    <x v="4"/>
  </r>
  <r>
    <x v="60"/>
    <x v="77"/>
    <x v="5"/>
    <x v="5"/>
    <x v="0"/>
    <x v="2"/>
    <x v="39"/>
    <x v="156"/>
    <x v="782"/>
    <x v="0"/>
    <s v="VILLA ZAITA"/>
    <x v="4"/>
  </r>
  <r>
    <x v="60"/>
    <x v="124"/>
    <x v="5"/>
    <x v="5"/>
    <x v="0"/>
    <x v="2"/>
    <x v="40"/>
    <x v="206"/>
    <x v="1999"/>
    <x v="0"/>
    <s v="VILLA ZAITA"/>
    <x v="4"/>
  </r>
  <r>
    <x v="60"/>
    <x v="42"/>
    <x v="1"/>
    <x v="1"/>
    <x v="0"/>
    <x v="2"/>
    <x v="40"/>
    <x v="167"/>
    <x v="1641"/>
    <x v="0"/>
    <s v="VILLA ZAITA"/>
    <x v="4"/>
  </r>
  <r>
    <x v="60"/>
    <x v="33"/>
    <x v="1"/>
    <x v="1"/>
    <x v="0"/>
    <x v="2"/>
    <x v="39"/>
    <x v="241"/>
    <x v="1723"/>
    <x v="0"/>
    <s v="VILLA ZAITA"/>
    <x v="4"/>
  </r>
  <r>
    <x v="60"/>
    <x v="1"/>
    <x v="1"/>
    <x v="1"/>
    <x v="0"/>
    <x v="2"/>
    <x v="1"/>
    <x v="1"/>
    <x v="1"/>
    <x v="568"/>
    <s v="VILLA ZAITA"/>
    <x v="4"/>
  </r>
  <r>
    <x v="61"/>
    <x v="102"/>
    <x v="6"/>
    <x v="6"/>
    <x v="0"/>
    <x v="2"/>
    <x v="39"/>
    <x v="141"/>
    <x v="1139"/>
    <x v="0"/>
    <s v="AZUERO TERMINAL PLAZA"/>
    <x v="4"/>
  </r>
  <r>
    <x v="61"/>
    <x v="79"/>
    <x v="3"/>
    <x v="3"/>
    <x v="0"/>
    <x v="2"/>
    <x v="39"/>
    <x v="142"/>
    <x v="1641"/>
    <x v="0"/>
    <s v="AZUERO TERMINAL PLAZA"/>
    <x v="4"/>
  </r>
  <r>
    <x v="61"/>
    <x v="115"/>
    <x v="5"/>
    <x v="5"/>
    <x v="0"/>
    <x v="2"/>
    <x v="39"/>
    <x v="213"/>
    <x v="1822"/>
    <x v="0"/>
    <s v="AZUERO TERMINAL PLAZA"/>
    <x v="4"/>
  </r>
  <r>
    <x v="61"/>
    <x v="1"/>
    <x v="1"/>
    <x v="1"/>
    <x v="0"/>
    <x v="2"/>
    <x v="1"/>
    <x v="1"/>
    <x v="1"/>
    <x v="569"/>
    <s v="AZUERO TERMINAL PLAZA"/>
    <x v="4"/>
  </r>
  <r>
    <x v="62"/>
    <x v="85"/>
    <x v="2"/>
    <x v="2"/>
    <x v="0"/>
    <x v="2"/>
    <x v="39"/>
    <x v="161"/>
    <x v="2000"/>
    <x v="0"/>
    <s v="TOWN CENTER COSTA DEL ESTE"/>
    <x v="4"/>
  </r>
  <r>
    <x v="62"/>
    <x v="102"/>
    <x v="6"/>
    <x v="6"/>
    <x v="0"/>
    <x v="2"/>
    <x v="39"/>
    <x v="141"/>
    <x v="1194"/>
    <x v="0"/>
    <s v="TOWN CENTER COSTA DEL ESTE"/>
    <x v="4"/>
  </r>
  <r>
    <x v="62"/>
    <x v="21"/>
    <x v="6"/>
    <x v="6"/>
    <x v="0"/>
    <x v="2"/>
    <x v="39"/>
    <x v="70"/>
    <x v="2001"/>
    <x v="0"/>
    <s v="TOWN CENTER COSTA DEL ESTE"/>
    <x v="4"/>
  </r>
  <r>
    <x v="62"/>
    <x v="135"/>
    <x v="3"/>
    <x v="3"/>
    <x v="0"/>
    <x v="2"/>
    <x v="39"/>
    <x v="149"/>
    <x v="2002"/>
    <x v="0"/>
    <s v="TOWN CENTER COSTA DEL ESTE"/>
    <x v="4"/>
  </r>
  <r>
    <x v="62"/>
    <x v="127"/>
    <x v="1"/>
    <x v="1"/>
    <x v="0"/>
    <x v="2"/>
    <x v="40"/>
    <x v="85"/>
    <x v="858"/>
    <x v="0"/>
    <s v="TOWN CENTER COSTA DEL ESTE"/>
    <x v="4"/>
  </r>
  <r>
    <x v="62"/>
    <x v="98"/>
    <x v="1"/>
    <x v="1"/>
    <x v="0"/>
    <x v="2"/>
    <x v="39"/>
    <x v="198"/>
    <x v="2003"/>
    <x v="0"/>
    <s v="TOWN CENTER COSTA DEL ESTE"/>
    <x v="4"/>
  </r>
  <r>
    <x v="62"/>
    <x v="1"/>
    <x v="1"/>
    <x v="1"/>
    <x v="0"/>
    <x v="2"/>
    <x v="1"/>
    <x v="1"/>
    <x v="1"/>
    <x v="570"/>
    <s v="TOWN CENTER COSTA DEL ESTE"/>
    <x v="4"/>
  </r>
  <r>
    <x v="63"/>
    <x v="70"/>
    <x v="2"/>
    <x v="2"/>
    <x v="0"/>
    <x v="2"/>
    <x v="39"/>
    <x v="36"/>
    <x v="171"/>
    <x v="0"/>
    <s v="COSTA VERDE"/>
    <x v="4"/>
  </r>
  <r>
    <x v="63"/>
    <x v="86"/>
    <x v="6"/>
    <x v="6"/>
    <x v="0"/>
    <x v="2"/>
    <x v="39"/>
    <x v="224"/>
    <x v="2004"/>
    <x v="0"/>
    <s v="COSTA VERDE"/>
    <x v="4"/>
  </r>
  <r>
    <x v="63"/>
    <x v="43"/>
    <x v="3"/>
    <x v="3"/>
    <x v="0"/>
    <x v="2"/>
    <x v="39"/>
    <x v="71"/>
    <x v="2005"/>
    <x v="0"/>
    <s v="COSTA VERDE"/>
    <x v="4"/>
  </r>
  <r>
    <x v="63"/>
    <x v="159"/>
    <x v="0"/>
    <x v="0"/>
    <x v="0"/>
    <x v="2"/>
    <x v="39"/>
    <x v="177"/>
    <x v="2006"/>
    <x v="0"/>
    <s v="COSTA VERDE"/>
    <x v="4"/>
  </r>
  <r>
    <x v="63"/>
    <x v="117"/>
    <x v="0"/>
    <x v="0"/>
    <x v="0"/>
    <x v="2"/>
    <x v="39"/>
    <x v="65"/>
    <x v="2007"/>
    <x v="0"/>
    <s v="COSTA VERDE"/>
    <x v="4"/>
  </r>
  <r>
    <x v="63"/>
    <x v="98"/>
    <x v="1"/>
    <x v="1"/>
    <x v="0"/>
    <x v="2"/>
    <x v="39"/>
    <x v="198"/>
    <x v="2008"/>
    <x v="0"/>
    <s v="COSTA VERDE"/>
    <x v="4"/>
  </r>
  <r>
    <x v="63"/>
    <x v="1"/>
    <x v="1"/>
    <x v="1"/>
    <x v="0"/>
    <x v="2"/>
    <x v="1"/>
    <x v="1"/>
    <x v="1"/>
    <x v="571"/>
    <s v="COSTA VERDE"/>
    <x v="4"/>
  </r>
  <r>
    <x v="64"/>
    <x v="85"/>
    <x v="2"/>
    <x v="2"/>
    <x v="0"/>
    <x v="2"/>
    <x v="39"/>
    <x v="161"/>
    <x v="2009"/>
    <x v="0"/>
    <s v="PLAZA LOS ANGELES"/>
    <x v="4"/>
  </r>
  <r>
    <x v="64"/>
    <x v="85"/>
    <x v="2"/>
    <x v="2"/>
    <x v="0"/>
    <x v="2"/>
    <x v="40"/>
    <x v="161"/>
    <x v="2010"/>
    <x v="0"/>
    <s v="PLAZA LOS ANGELES"/>
    <x v="4"/>
  </r>
  <r>
    <x v="64"/>
    <x v="0"/>
    <x v="0"/>
    <x v="0"/>
    <x v="0"/>
    <x v="2"/>
    <x v="39"/>
    <x v="197"/>
    <x v="2011"/>
    <x v="0"/>
    <s v="PLAZA LOS ANGELES"/>
    <x v="4"/>
  </r>
  <r>
    <x v="64"/>
    <x v="40"/>
    <x v="1"/>
    <x v="1"/>
    <x v="0"/>
    <x v="2"/>
    <x v="39"/>
    <x v="125"/>
    <x v="2012"/>
    <x v="0"/>
    <s v="PLAZA LOS ANGELES"/>
    <x v="4"/>
  </r>
  <r>
    <x v="64"/>
    <x v="1"/>
    <x v="1"/>
    <x v="1"/>
    <x v="0"/>
    <x v="2"/>
    <x v="1"/>
    <x v="1"/>
    <x v="1"/>
    <x v="572"/>
    <s v="PLAZA LOS ANGELES"/>
    <x v="4"/>
  </r>
  <r>
    <x v="65"/>
    <x v="135"/>
    <x v="3"/>
    <x v="3"/>
    <x v="0"/>
    <x v="2"/>
    <x v="39"/>
    <x v="149"/>
    <x v="2013"/>
    <x v="0"/>
    <s v="SAN MATEO"/>
    <x v="4"/>
  </r>
  <r>
    <x v="65"/>
    <x v="50"/>
    <x v="4"/>
    <x v="4"/>
    <x v="0"/>
    <x v="2"/>
    <x v="39"/>
    <x v="77"/>
    <x v="2014"/>
    <x v="0"/>
    <s v="SAN MATEO"/>
    <x v="4"/>
  </r>
  <r>
    <x v="65"/>
    <x v="101"/>
    <x v="1"/>
    <x v="1"/>
    <x v="0"/>
    <x v="2"/>
    <x v="39"/>
    <x v="207"/>
    <x v="2015"/>
    <x v="0"/>
    <s v="SAN MATEO"/>
    <x v="4"/>
  </r>
  <r>
    <x v="65"/>
    <x v="128"/>
    <x v="1"/>
    <x v="1"/>
    <x v="0"/>
    <x v="2"/>
    <x v="39"/>
    <x v="164"/>
    <x v="1690"/>
    <x v="0"/>
    <s v="SAN MATEO"/>
    <x v="4"/>
  </r>
  <r>
    <x v="65"/>
    <x v="1"/>
    <x v="1"/>
    <x v="1"/>
    <x v="0"/>
    <x v="2"/>
    <x v="1"/>
    <x v="1"/>
    <x v="1"/>
    <x v="573"/>
    <s v="SAN MATEO"/>
    <x v="4"/>
  </r>
  <r>
    <x v="66"/>
    <x v="86"/>
    <x v="6"/>
    <x v="6"/>
    <x v="0"/>
    <x v="2"/>
    <x v="39"/>
    <x v="224"/>
    <x v="2016"/>
    <x v="0"/>
    <s v="BRISAS DEL GOLF ARRAIJAN"/>
    <x v="4"/>
  </r>
  <r>
    <x v="66"/>
    <x v="77"/>
    <x v="5"/>
    <x v="5"/>
    <x v="0"/>
    <x v="2"/>
    <x v="39"/>
    <x v="156"/>
    <x v="2017"/>
    <x v="0"/>
    <s v="BRISAS DEL GOLF ARRAIJAN"/>
    <x v="4"/>
  </r>
  <r>
    <x v="66"/>
    <x v="41"/>
    <x v="1"/>
    <x v="1"/>
    <x v="0"/>
    <x v="2"/>
    <x v="39"/>
    <x v="113"/>
    <x v="2018"/>
    <x v="0"/>
    <s v="BRISAS DEL GOLF ARRAIJAN"/>
    <x v="4"/>
  </r>
  <r>
    <x v="66"/>
    <x v="1"/>
    <x v="1"/>
    <x v="1"/>
    <x v="0"/>
    <x v="2"/>
    <x v="1"/>
    <x v="1"/>
    <x v="1"/>
    <x v="574"/>
    <s v="BRISAS DEL GOLF ARRAIJAN"/>
    <x v="4"/>
  </r>
  <r>
    <x v="67"/>
    <x v="47"/>
    <x v="2"/>
    <x v="2"/>
    <x v="0"/>
    <x v="2"/>
    <x v="40"/>
    <x v="68"/>
    <x v="2019"/>
    <x v="0"/>
    <s v="PASEO ARRAIJAN"/>
    <x v="4"/>
  </r>
  <r>
    <x v="67"/>
    <x v="108"/>
    <x v="3"/>
    <x v="3"/>
    <x v="0"/>
    <x v="2"/>
    <x v="39"/>
    <x v="63"/>
    <x v="1212"/>
    <x v="0"/>
    <s v="PASEO ARRAIJAN"/>
    <x v="4"/>
  </r>
  <r>
    <x v="67"/>
    <x v="159"/>
    <x v="0"/>
    <x v="0"/>
    <x v="0"/>
    <x v="2"/>
    <x v="39"/>
    <x v="177"/>
    <x v="2020"/>
    <x v="0"/>
    <s v="PASEO ARRAIJAN"/>
    <x v="4"/>
  </r>
  <r>
    <x v="67"/>
    <x v="13"/>
    <x v="5"/>
    <x v="5"/>
    <x v="0"/>
    <x v="2"/>
    <x v="39"/>
    <x v="120"/>
    <x v="2021"/>
    <x v="0"/>
    <s v="PASEO ARRAIJAN"/>
    <x v="4"/>
  </r>
  <r>
    <x v="67"/>
    <x v="77"/>
    <x v="5"/>
    <x v="5"/>
    <x v="0"/>
    <x v="2"/>
    <x v="39"/>
    <x v="156"/>
    <x v="1303"/>
    <x v="0"/>
    <s v="PASEO ARRAIJAN"/>
    <x v="4"/>
  </r>
  <r>
    <x v="67"/>
    <x v="33"/>
    <x v="1"/>
    <x v="1"/>
    <x v="0"/>
    <x v="2"/>
    <x v="39"/>
    <x v="241"/>
    <x v="2022"/>
    <x v="0"/>
    <s v="PASEO ARRAIJAN"/>
    <x v="4"/>
  </r>
  <r>
    <x v="67"/>
    <x v="128"/>
    <x v="1"/>
    <x v="1"/>
    <x v="0"/>
    <x v="2"/>
    <x v="39"/>
    <x v="164"/>
    <x v="2023"/>
    <x v="0"/>
    <s v="PASEO ARRAIJAN"/>
    <x v="4"/>
  </r>
  <r>
    <x v="67"/>
    <x v="1"/>
    <x v="1"/>
    <x v="1"/>
    <x v="0"/>
    <x v="2"/>
    <x v="1"/>
    <x v="1"/>
    <x v="1"/>
    <x v="575"/>
    <s v="PASEO ARRAIJAN"/>
    <x v="4"/>
  </r>
  <r>
    <x v="68"/>
    <x v="121"/>
    <x v="0"/>
    <x v="0"/>
    <x v="0"/>
    <x v="2"/>
    <x v="40"/>
    <x v="80"/>
    <x v="146"/>
    <x v="0"/>
    <s v="PLAZA NUEVO TOCUMEN"/>
    <x v="4"/>
  </r>
  <r>
    <x v="68"/>
    <x v="160"/>
    <x v="0"/>
    <x v="0"/>
    <x v="0"/>
    <x v="2"/>
    <x v="39"/>
    <x v="179"/>
    <x v="882"/>
    <x v="0"/>
    <s v="PLAZA NUEVO TOCUMEN"/>
    <x v="4"/>
  </r>
  <r>
    <x v="68"/>
    <x v="1"/>
    <x v="1"/>
    <x v="1"/>
    <x v="0"/>
    <x v="2"/>
    <x v="1"/>
    <x v="1"/>
    <x v="1"/>
    <x v="576"/>
    <s v="PLAZA NUEVO TOCUMEN"/>
    <x v="4"/>
  </r>
  <r>
    <x v="69"/>
    <x v="107"/>
    <x v="2"/>
    <x v="2"/>
    <x v="0"/>
    <x v="2"/>
    <x v="39"/>
    <x v="158"/>
    <x v="2024"/>
    <x v="0"/>
    <s v="SANTA MARIA"/>
    <x v="4"/>
  </r>
  <r>
    <x v="69"/>
    <x v="62"/>
    <x v="4"/>
    <x v="4"/>
    <x v="0"/>
    <x v="2"/>
    <x v="39"/>
    <x v="176"/>
    <x v="2025"/>
    <x v="0"/>
    <s v="SANTA MARIA"/>
    <x v="4"/>
  </r>
  <r>
    <x v="69"/>
    <x v="57"/>
    <x v="0"/>
    <x v="0"/>
    <x v="0"/>
    <x v="2"/>
    <x v="39"/>
    <x v="44"/>
    <x v="2026"/>
    <x v="0"/>
    <s v="SANTA MARIA"/>
    <x v="4"/>
  </r>
  <r>
    <x v="69"/>
    <x v="160"/>
    <x v="0"/>
    <x v="0"/>
    <x v="0"/>
    <x v="2"/>
    <x v="39"/>
    <x v="179"/>
    <x v="1543"/>
    <x v="0"/>
    <s v="SANTA MARIA"/>
    <x v="4"/>
  </r>
  <r>
    <x v="69"/>
    <x v="1"/>
    <x v="1"/>
    <x v="1"/>
    <x v="0"/>
    <x v="2"/>
    <x v="1"/>
    <x v="1"/>
    <x v="1"/>
    <x v="577"/>
    <s v="SANTA MARIA"/>
    <x v="4"/>
  </r>
  <r>
    <x v="0"/>
    <x v="171"/>
    <x v="7"/>
    <x v="7"/>
    <x v="1"/>
    <x v="0"/>
    <x v="41"/>
    <x v="257"/>
    <x v="2027"/>
    <x v="0"/>
    <s v="CASA MATRIZ"/>
    <x v="0"/>
  </r>
  <r>
    <x v="0"/>
    <x v="172"/>
    <x v="8"/>
    <x v="8"/>
    <x v="1"/>
    <x v="1"/>
    <x v="42"/>
    <x v="258"/>
    <x v="2028"/>
    <x v="0"/>
    <s v="CASA MATRIZ"/>
    <x v="0"/>
  </r>
  <r>
    <x v="0"/>
    <x v="173"/>
    <x v="8"/>
    <x v="8"/>
    <x v="1"/>
    <x v="1"/>
    <x v="43"/>
    <x v="259"/>
    <x v="2029"/>
    <x v="0"/>
    <s v="CASA MATRIZ"/>
    <x v="0"/>
  </r>
  <r>
    <x v="0"/>
    <x v="174"/>
    <x v="6"/>
    <x v="6"/>
    <x v="1"/>
    <x v="1"/>
    <x v="44"/>
    <x v="260"/>
    <x v="2030"/>
    <x v="0"/>
    <s v="CASA MATRIZ"/>
    <x v="0"/>
  </r>
  <r>
    <x v="1"/>
    <x v="175"/>
    <x v="9"/>
    <x v="9"/>
    <x v="1"/>
    <x v="2"/>
    <x v="45"/>
    <x v="261"/>
    <x v="2031"/>
    <x v="0"/>
    <s v="PAITILLA"/>
    <x v="0"/>
  </r>
  <r>
    <x v="1"/>
    <x v="176"/>
    <x v="10"/>
    <x v="10"/>
    <x v="1"/>
    <x v="2"/>
    <x v="46"/>
    <x v="262"/>
    <x v="2032"/>
    <x v="0"/>
    <s v="PAITILLA"/>
    <x v="0"/>
  </r>
  <r>
    <x v="1"/>
    <x v="177"/>
    <x v="11"/>
    <x v="11"/>
    <x v="1"/>
    <x v="2"/>
    <x v="47"/>
    <x v="263"/>
    <x v="2032"/>
    <x v="0"/>
    <s v="PAITILLA"/>
    <x v="0"/>
  </r>
  <r>
    <x v="1"/>
    <x v="171"/>
    <x v="7"/>
    <x v="7"/>
    <x v="1"/>
    <x v="0"/>
    <x v="41"/>
    <x v="257"/>
    <x v="2033"/>
    <x v="0"/>
    <s v="PAITILLA"/>
    <x v="0"/>
  </r>
  <r>
    <x v="1"/>
    <x v="178"/>
    <x v="9"/>
    <x v="9"/>
    <x v="1"/>
    <x v="0"/>
    <x v="48"/>
    <x v="264"/>
    <x v="2034"/>
    <x v="0"/>
    <s v="PAITILLA"/>
    <x v="0"/>
  </r>
  <r>
    <x v="2"/>
    <x v="179"/>
    <x v="7"/>
    <x v="7"/>
    <x v="1"/>
    <x v="0"/>
    <x v="49"/>
    <x v="265"/>
    <x v="2035"/>
    <x v="0"/>
    <s v="EL DORADO"/>
    <x v="0"/>
  </r>
  <r>
    <x v="2"/>
    <x v="180"/>
    <x v="10"/>
    <x v="10"/>
    <x v="1"/>
    <x v="0"/>
    <x v="50"/>
    <x v="266"/>
    <x v="2036"/>
    <x v="0"/>
    <s v="EL DORADO"/>
    <x v="0"/>
  </r>
  <r>
    <x v="2"/>
    <x v="176"/>
    <x v="10"/>
    <x v="10"/>
    <x v="1"/>
    <x v="0"/>
    <x v="46"/>
    <x v="262"/>
    <x v="2037"/>
    <x v="0"/>
    <s v="EL DORADO"/>
    <x v="0"/>
  </r>
  <r>
    <x v="2"/>
    <x v="174"/>
    <x v="6"/>
    <x v="6"/>
    <x v="1"/>
    <x v="0"/>
    <x v="44"/>
    <x v="260"/>
    <x v="2038"/>
    <x v="0"/>
    <s v="EL DORADO"/>
    <x v="0"/>
  </r>
  <r>
    <x v="2"/>
    <x v="174"/>
    <x v="6"/>
    <x v="6"/>
    <x v="1"/>
    <x v="1"/>
    <x v="44"/>
    <x v="260"/>
    <x v="2039"/>
    <x v="0"/>
    <s v="EL DORADO"/>
    <x v="0"/>
  </r>
  <r>
    <x v="3"/>
    <x v="180"/>
    <x v="10"/>
    <x v="10"/>
    <x v="1"/>
    <x v="2"/>
    <x v="50"/>
    <x v="266"/>
    <x v="2040"/>
    <x v="0"/>
    <s v="VIA ARGENTINA"/>
    <x v="0"/>
  </r>
  <r>
    <x v="3"/>
    <x v="173"/>
    <x v="8"/>
    <x v="8"/>
    <x v="1"/>
    <x v="0"/>
    <x v="43"/>
    <x v="259"/>
    <x v="2041"/>
    <x v="0"/>
    <s v="VIA ARGENTINA"/>
    <x v="0"/>
  </r>
  <r>
    <x v="3"/>
    <x v="176"/>
    <x v="10"/>
    <x v="10"/>
    <x v="1"/>
    <x v="0"/>
    <x v="46"/>
    <x v="262"/>
    <x v="2042"/>
    <x v="0"/>
    <s v="VIA ARGENTINA"/>
    <x v="0"/>
  </r>
  <r>
    <x v="3"/>
    <x v="181"/>
    <x v="11"/>
    <x v="11"/>
    <x v="1"/>
    <x v="0"/>
    <x v="51"/>
    <x v="267"/>
    <x v="2043"/>
    <x v="0"/>
    <s v="VIA ARGENTINA"/>
    <x v="0"/>
  </r>
  <r>
    <x v="4"/>
    <x v="172"/>
    <x v="8"/>
    <x v="8"/>
    <x v="1"/>
    <x v="2"/>
    <x v="42"/>
    <x v="258"/>
    <x v="2044"/>
    <x v="0"/>
    <s v="VIA PORRAS"/>
    <x v="0"/>
  </r>
  <r>
    <x v="4"/>
    <x v="178"/>
    <x v="9"/>
    <x v="9"/>
    <x v="1"/>
    <x v="2"/>
    <x v="48"/>
    <x v="264"/>
    <x v="2045"/>
    <x v="0"/>
    <s v="VIA PORRAS"/>
    <x v="0"/>
  </r>
  <r>
    <x v="4"/>
    <x v="181"/>
    <x v="11"/>
    <x v="11"/>
    <x v="1"/>
    <x v="2"/>
    <x v="51"/>
    <x v="267"/>
    <x v="2046"/>
    <x v="0"/>
    <s v="VIA PORRAS"/>
    <x v="0"/>
  </r>
  <r>
    <x v="4"/>
    <x v="182"/>
    <x v="2"/>
    <x v="2"/>
    <x v="1"/>
    <x v="2"/>
    <x v="52"/>
    <x v="268"/>
    <x v="2047"/>
    <x v="0"/>
    <s v="VIA PORRAS"/>
    <x v="0"/>
  </r>
  <r>
    <x v="4"/>
    <x v="183"/>
    <x v="2"/>
    <x v="2"/>
    <x v="1"/>
    <x v="2"/>
    <x v="53"/>
    <x v="269"/>
    <x v="2048"/>
    <x v="0"/>
    <s v="VIA PORRAS"/>
    <x v="0"/>
  </r>
  <r>
    <x v="4"/>
    <x v="184"/>
    <x v="6"/>
    <x v="6"/>
    <x v="1"/>
    <x v="2"/>
    <x v="54"/>
    <x v="270"/>
    <x v="2049"/>
    <x v="0"/>
    <s v="VIA PORRAS"/>
    <x v="0"/>
  </r>
  <r>
    <x v="4"/>
    <x v="179"/>
    <x v="7"/>
    <x v="7"/>
    <x v="1"/>
    <x v="0"/>
    <x v="49"/>
    <x v="265"/>
    <x v="2050"/>
    <x v="0"/>
    <s v="VIA PORRAS"/>
    <x v="0"/>
  </r>
  <r>
    <x v="4"/>
    <x v="171"/>
    <x v="7"/>
    <x v="7"/>
    <x v="1"/>
    <x v="0"/>
    <x v="41"/>
    <x v="257"/>
    <x v="2051"/>
    <x v="0"/>
    <s v="VIA PORRAS"/>
    <x v="0"/>
  </r>
  <r>
    <x v="4"/>
    <x v="172"/>
    <x v="8"/>
    <x v="8"/>
    <x v="1"/>
    <x v="0"/>
    <x v="42"/>
    <x v="258"/>
    <x v="2052"/>
    <x v="0"/>
    <s v="VIA PORRAS"/>
    <x v="0"/>
  </r>
  <r>
    <x v="4"/>
    <x v="173"/>
    <x v="8"/>
    <x v="8"/>
    <x v="1"/>
    <x v="0"/>
    <x v="43"/>
    <x v="259"/>
    <x v="2053"/>
    <x v="0"/>
    <s v="VIA PORRAS"/>
    <x v="0"/>
  </r>
  <r>
    <x v="4"/>
    <x v="175"/>
    <x v="9"/>
    <x v="9"/>
    <x v="1"/>
    <x v="0"/>
    <x v="45"/>
    <x v="261"/>
    <x v="2054"/>
    <x v="0"/>
    <s v="VIA PORRAS"/>
    <x v="0"/>
  </r>
  <r>
    <x v="4"/>
    <x v="178"/>
    <x v="9"/>
    <x v="9"/>
    <x v="1"/>
    <x v="0"/>
    <x v="48"/>
    <x v="264"/>
    <x v="2055"/>
    <x v="0"/>
    <s v="VIA PORRAS"/>
    <x v="0"/>
  </r>
  <r>
    <x v="4"/>
    <x v="180"/>
    <x v="10"/>
    <x v="10"/>
    <x v="1"/>
    <x v="0"/>
    <x v="50"/>
    <x v="266"/>
    <x v="2056"/>
    <x v="0"/>
    <s v="VIA PORRAS"/>
    <x v="0"/>
  </r>
  <r>
    <x v="4"/>
    <x v="176"/>
    <x v="10"/>
    <x v="10"/>
    <x v="1"/>
    <x v="0"/>
    <x v="46"/>
    <x v="262"/>
    <x v="2057"/>
    <x v="0"/>
    <s v="VIA PORRAS"/>
    <x v="0"/>
  </r>
  <r>
    <x v="4"/>
    <x v="177"/>
    <x v="11"/>
    <x v="11"/>
    <x v="1"/>
    <x v="0"/>
    <x v="47"/>
    <x v="263"/>
    <x v="2058"/>
    <x v="0"/>
    <s v="VIA PORRAS"/>
    <x v="0"/>
  </r>
  <r>
    <x v="4"/>
    <x v="181"/>
    <x v="11"/>
    <x v="11"/>
    <x v="1"/>
    <x v="0"/>
    <x v="51"/>
    <x v="267"/>
    <x v="2059"/>
    <x v="0"/>
    <s v="VIA PORRAS"/>
    <x v="0"/>
  </r>
  <r>
    <x v="4"/>
    <x v="182"/>
    <x v="2"/>
    <x v="2"/>
    <x v="1"/>
    <x v="0"/>
    <x v="52"/>
    <x v="268"/>
    <x v="2060"/>
    <x v="0"/>
    <s v="VIA PORRAS"/>
    <x v="0"/>
  </r>
  <r>
    <x v="4"/>
    <x v="183"/>
    <x v="2"/>
    <x v="2"/>
    <x v="1"/>
    <x v="0"/>
    <x v="53"/>
    <x v="269"/>
    <x v="2061"/>
    <x v="0"/>
    <s v="VIA PORRAS"/>
    <x v="0"/>
  </r>
  <r>
    <x v="4"/>
    <x v="184"/>
    <x v="6"/>
    <x v="6"/>
    <x v="1"/>
    <x v="0"/>
    <x v="54"/>
    <x v="270"/>
    <x v="2062"/>
    <x v="0"/>
    <s v="VIA PORRAS"/>
    <x v="0"/>
  </r>
  <r>
    <x v="4"/>
    <x v="174"/>
    <x v="6"/>
    <x v="6"/>
    <x v="1"/>
    <x v="0"/>
    <x v="44"/>
    <x v="260"/>
    <x v="2063"/>
    <x v="0"/>
    <s v="VIA PORRAS"/>
    <x v="0"/>
  </r>
  <r>
    <x v="4"/>
    <x v="177"/>
    <x v="11"/>
    <x v="11"/>
    <x v="1"/>
    <x v="1"/>
    <x v="47"/>
    <x v="263"/>
    <x v="2064"/>
    <x v="0"/>
    <s v="VIA PORRAS"/>
    <x v="0"/>
  </r>
  <r>
    <x v="4"/>
    <x v="182"/>
    <x v="2"/>
    <x v="2"/>
    <x v="1"/>
    <x v="1"/>
    <x v="52"/>
    <x v="268"/>
    <x v="2065"/>
    <x v="0"/>
    <s v="VIA PORRAS"/>
    <x v="0"/>
  </r>
  <r>
    <x v="4"/>
    <x v="184"/>
    <x v="6"/>
    <x v="6"/>
    <x v="1"/>
    <x v="1"/>
    <x v="54"/>
    <x v="270"/>
    <x v="2066"/>
    <x v="0"/>
    <s v="VIA PORRAS"/>
    <x v="0"/>
  </r>
  <r>
    <x v="4"/>
    <x v="174"/>
    <x v="6"/>
    <x v="6"/>
    <x v="1"/>
    <x v="1"/>
    <x v="44"/>
    <x v="260"/>
    <x v="2067"/>
    <x v="0"/>
    <s v="VIA PORRAS"/>
    <x v="0"/>
  </r>
  <r>
    <x v="5"/>
    <x v="179"/>
    <x v="7"/>
    <x v="7"/>
    <x v="1"/>
    <x v="0"/>
    <x v="49"/>
    <x v="265"/>
    <x v="2068"/>
    <x v="0"/>
    <s v="EL INGENIO"/>
    <x v="0"/>
  </r>
  <r>
    <x v="5"/>
    <x v="171"/>
    <x v="7"/>
    <x v="7"/>
    <x v="1"/>
    <x v="0"/>
    <x v="41"/>
    <x v="257"/>
    <x v="2069"/>
    <x v="0"/>
    <s v="EL INGENIO"/>
    <x v="0"/>
  </r>
  <r>
    <x v="5"/>
    <x v="181"/>
    <x v="11"/>
    <x v="11"/>
    <x v="1"/>
    <x v="1"/>
    <x v="51"/>
    <x v="267"/>
    <x v="170"/>
    <x v="0"/>
    <s v="EL INGENIO"/>
    <x v="0"/>
  </r>
  <r>
    <x v="5"/>
    <x v="184"/>
    <x v="6"/>
    <x v="6"/>
    <x v="1"/>
    <x v="1"/>
    <x v="54"/>
    <x v="270"/>
    <x v="2070"/>
    <x v="0"/>
    <s v="EL INGENIO"/>
    <x v="0"/>
  </r>
  <r>
    <x v="6"/>
    <x v="180"/>
    <x v="10"/>
    <x v="10"/>
    <x v="1"/>
    <x v="0"/>
    <x v="50"/>
    <x v="266"/>
    <x v="2071"/>
    <x v="0"/>
    <s v="CHANIS"/>
    <x v="0"/>
  </r>
  <r>
    <x v="6"/>
    <x v="176"/>
    <x v="10"/>
    <x v="10"/>
    <x v="1"/>
    <x v="0"/>
    <x v="46"/>
    <x v="262"/>
    <x v="2072"/>
    <x v="0"/>
    <s v="CHANIS"/>
    <x v="0"/>
  </r>
  <r>
    <x v="7"/>
    <x v="176"/>
    <x v="10"/>
    <x v="10"/>
    <x v="1"/>
    <x v="1"/>
    <x v="46"/>
    <x v="262"/>
    <x v="2073"/>
    <x v="0"/>
    <s v="PLAZA TOCUMEN"/>
    <x v="0"/>
  </r>
  <r>
    <x v="8"/>
    <x v="175"/>
    <x v="9"/>
    <x v="9"/>
    <x v="1"/>
    <x v="0"/>
    <x v="45"/>
    <x v="261"/>
    <x v="1046"/>
    <x v="0"/>
    <s v="SANTIAGO"/>
    <x v="0"/>
  </r>
  <r>
    <x v="9"/>
    <x v="172"/>
    <x v="8"/>
    <x v="8"/>
    <x v="1"/>
    <x v="2"/>
    <x v="42"/>
    <x v="258"/>
    <x v="2074"/>
    <x v="0"/>
    <s v="OBARRIO"/>
    <x v="0"/>
  </r>
  <r>
    <x v="9"/>
    <x v="179"/>
    <x v="7"/>
    <x v="7"/>
    <x v="1"/>
    <x v="0"/>
    <x v="49"/>
    <x v="265"/>
    <x v="2075"/>
    <x v="0"/>
    <s v="OBARRIO"/>
    <x v="0"/>
  </r>
  <r>
    <x v="9"/>
    <x v="171"/>
    <x v="7"/>
    <x v="7"/>
    <x v="1"/>
    <x v="0"/>
    <x v="41"/>
    <x v="257"/>
    <x v="2076"/>
    <x v="0"/>
    <s v="OBARRIO"/>
    <x v="0"/>
  </r>
  <r>
    <x v="9"/>
    <x v="172"/>
    <x v="8"/>
    <x v="8"/>
    <x v="1"/>
    <x v="0"/>
    <x v="42"/>
    <x v="258"/>
    <x v="2077"/>
    <x v="0"/>
    <s v="OBARRIO"/>
    <x v="0"/>
  </r>
  <r>
    <x v="9"/>
    <x v="173"/>
    <x v="8"/>
    <x v="8"/>
    <x v="1"/>
    <x v="0"/>
    <x v="43"/>
    <x v="259"/>
    <x v="2078"/>
    <x v="0"/>
    <s v="OBARRIO"/>
    <x v="0"/>
  </r>
  <r>
    <x v="9"/>
    <x v="175"/>
    <x v="9"/>
    <x v="9"/>
    <x v="1"/>
    <x v="0"/>
    <x v="45"/>
    <x v="261"/>
    <x v="2079"/>
    <x v="0"/>
    <s v="OBARRIO"/>
    <x v="0"/>
  </r>
  <r>
    <x v="9"/>
    <x v="178"/>
    <x v="9"/>
    <x v="9"/>
    <x v="1"/>
    <x v="0"/>
    <x v="48"/>
    <x v="264"/>
    <x v="2080"/>
    <x v="0"/>
    <s v="OBARRIO"/>
    <x v="0"/>
  </r>
  <r>
    <x v="9"/>
    <x v="180"/>
    <x v="10"/>
    <x v="10"/>
    <x v="1"/>
    <x v="0"/>
    <x v="50"/>
    <x v="266"/>
    <x v="2081"/>
    <x v="0"/>
    <s v="OBARRIO"/>
    <x v="0"/>
  </r>
  <r>
    <x v="9"/>
    <x v="176"/>
    <x v="10"/>
    <x v="10"/>
    <x v="1"/>
    <x v="0"/>
    <x v="46"/>
    <x v="262"/>
    <x v="2082"/>
    <x v="0"/>
    <s v="OBARRIO"/>
    <x v="0"/>
  </r>
  <r>
    <x v="9"/>
    <x v="177"/>
    <x v="11"/>
    <x v="11"/>
    <x v="1"/>
    <x v="0"/>
    <x v="47"/>
    <x v="263"/>
    <x v="2083"/>
    <x v="0"/>
    <s v="OBARRIO"/>
    <x v="0"/>
  </r>
  <r>
    <x v="9"/>
    <x v="181"/>
    <x v="11"/>
    <x v="11"/>
    <x v="1"/>
    <x v="0"/>
    <x v="51"/>
    <x v="267"/>
    <x v="2084"/>
    <x v="0"/>
    <s v="OBARRIO"/>
    <x v="0"/>
  </r>
  <r>
    <x v="9"/>
    <x v="182"/>
    <x v="2"/>
    <x v="2"/>
    <x v="1"/>
    <x v="0"/>
    <x v="52"/>
    <x v="268"/>
    <x v="2085"/>
    <x v="0"/>
    <s v="OBARRIO"/>
    <x v="0"/>
  </r>
  <r>
    <x v="9"/>
    <x v="183"/>
    <x v="2"/>
    <x v="2"/>
    <x v="1"/>
    <x v="0"/>
    <x v="53"/>
    <x v="269"/>
    <x v="2086"/>
    <x v="0"/>
    <s v="OBARRIO"/>
    <x v="0"/>
  </r>
  <r>
    <x v="9"/>
    <x v="174"/>
    <x v="6"/>
    <x v="6"/>
    <x v="1"/>
    <x v="0"/>
    <x v="44"/>
    <x v="260"/>
    <x v="2087"/>
    <x v="0"/>
    <s v="OBARRIO"/>
    <x v="0"/>
  </r>
  <r>
    <x v="9"/>
    <x v="173"/>
    <x v="8"/>
    <x v="8"/>
    <x v="1"/>
    <x v="1"/>
    <x v="43"/>
    <x v="259"/>
    <x v="2088"/>
    <x v="0"/>
    <s v="OBARRIO"/>
    <x v="0"/>
  </r>
  <r>
    <x v="9"/>
    <x v="175"/>
    <x v="9"/>
    <x v="9"/>
    <x v="1"/>
    <x v="1"/>
    <x v="45"/>
    <x v="261"/>
    <x v="2089"/>
    <x v="0"/>
    <s v="OBARRIO"/>
    <x v="0"/>
  </r>
  <r>
    <x v="9"/>
    <x v="181"/>
    <x v="11"/>
    <x v="11"/>
    <x v="1"/>
    <x v="1"/>
    <x v="51"/>
    <x v="267"/>
    <x v="2088"/>
    <x v="0"/>
    <s v="OBARRIO"/>
    <x v="0"/>
  </r>
  <r>
    <x v="9"/>
    <x v="183"/>
    <x v="2"/>
    <x v="2"/>
    <x v="1"/>
    <x v="1"/>
    <x v="53"/>
    <x v="269"/>
    <x v="2090"/>
    <x v="0"/>
    <s v="OBARRIO"/>
    <x v="0"/>
  </r>
  <r>
    <x v="9"/>
    <x v="184"/>
    <x v="6"/>
    <x v="6"/>
    <x v="1"/>
    <x v="1"/>
    <x v="54"/>
    <x v="270"/>
    <x v="2091"/>
    <x v="0"/>
    <s v="OBARRIO"/>
    <x v="0"/>
  </r>
  <r>
    <x v="9"/>
    <x v="174"/>
    <x v="6"/>
    <x v="6"/>
    <x v="1"/>
    <x v="1"/>
    <x v="44"/>
    <x v="260"/>
    <x v="2065"/>
    <x v="0"/>
    <s v="OBARRIO"/>
    <x v="0"/>
  </r>
  <r>
    <x v="10"/>
    <x v="179"/>
    <x v="7"/>
    <x v="7"/>
    <x v="1"/>
    <x v="2"/>
    <x v="49"/>
    <x v="265"/>
    <x v="2092"/>
    <x v="0"/>
    <s v="HATO PINTADO"/>
    <x v="0"/>
  </r>
  <r>
    <x v="10"/>
    <x v="172"/>
    <x v="8"/>
    <x v="8"/>
    <x v="1"/>
    <x v="2"/>
    <x v="42"/>
    <x v="258"/>
    <x v="2093"/>
    <x v="0"/>
    <s v="HATO PINTADO"/>
    <x v="0"/>
  </r>
  <r>
    <x v="10"/>
    <x v="180"/>
    <x v="10"/>
    <x v="10"/>
    <x v="1"/>
    <x v="2"/>
    <x v="50"/>
    <x v="266"/>
    <x v="2094"/>
    <x v="0"/>
    <s v="HATO PINTADO"/>
    <x v="0"/>
  </r>
  <r>
    <x v="10"/>
    <x v="176"/>
    <x v="10"/>
    <x v="10"/>
    <x v="1"/>
    <x v="2"/>
    <x v="46"/>
    <x v="262"/>
    <x v="2095"/>
    <x v="0"/>
    <s v="HATO PINTADO"/>
    <x v="0"/>
  </r>
  <r>
    <x v="10"/>
    <x v="177"/>
    <x v="11"/>
    <x v="11"/>
    <x v="1"/>
    <x v="2"/>
    <x v="47"/>
    <x v="263"/>
    <x v="2096"/>
    <x v="0"/>
    <s v="HATO PINTADO"/>
    <x v="0"/>
  </r>
  <r>
    <x v="10"/>
    <x v="179"/>
    <x v="7"/>
    <x v="7"/>
    <x v="1"/>
    <x v="0"/>
    <x v="49"/>
    <x v="265"/>
    <x v="2097"/>
    <x v="0"/>
    <s v="HATO PINTADO"/>
    <x v="0"/>
  </r>
  <r>
    <x v="10"/>
    <x v="171"/>
    <x v="7"/>
    <x v="7"/>
    <x v="1"/>
    <x v="0"/>
    <x v="41"/>
    <x v="257"/>
    <x v="2098"/>
    <x v="0"/>
    <s v="HATO PINTADO"/>
    <x v="0"/>
  </r>
  <r>
    <x v="10"/>
    <x v="172"/>
    <x v="8"/>
    <x v="8"/>
    <x v="1"/>
    <x v="0"/>
    <x v="42"/>
    <x v="258"/>
    <x v="2099"/>
    <x v="0"/>
    <s v="HATO PINTADO"/>
    <x v="0"/>
  </r>
  <r>
    <x v="10"/>
    <x v="173"/>
    <x v="8"/>
    <x v="8"/>
    <x v="1"/>
    <x v="0"/>
    <x v="43"/>
    <x v="259"/>
    <x v="2100"/>
    <x v="0"/>
    <s v="HATO PINTADO"/>
    <x v="0"/>
  </r>
  <r>
    <x v="10"/>
    <x v="185"/>
    <x v="8"/>
    <x v="8"/>
    <x v="1"/>
    <x v="0"/>
    <x v="55"/>
    <x v="271"/>
    <x v="2101"/>
    <x v="0"/>
    <s v="HATO PINTADO"/>
    <x v="0"/>
  </r>
  <r>
    <x v="10"/>
    <x v="175"/>
    <x v="9"/>
    <x v="9"/>
    <x v="1"/>
    <x v="0"/>
    <x v="45"/>
    <x v="261"/>
    <x v="2102"/>
    <x v="0"/>
    <s v="HATO PINTADO"/>
    <x v="0"/>
  </r>
  <r>
    <x v="10"/>
    <x v="178"/>
    <x v="9"/>
    <x v="9"/>
    <x v="1"/>
    <x v="0"/>
    <x v="48"/>
    <x v="264"/>
    <x v="2103"/>
    <x v="0"/>
    <s v="HATO PINTADO"/>
    <x v="0"/>
  </r>
  <r>
    <x v="10"/>
    <x v="180"/>
    <x v="10"/>
    <x v="10"/>
    <x v="1"/>
    <x v="0"/>
    <x v="50"/>
    <x v="266"/>
    <x v="2104"/>
    <x v="0"/>
    <s v="HATO PINTADO"/>
    <x v="0"/>
  </r>
  <r>
    <x v="10"/>
    <x v="176"/>
    <x v="10"/>
    <x v="10"/>
    <x v="1"/>
    <x v="0"/>
    <x v="46"/>
    <x v="262"/>
    <x v="2105"/>
    <x v="0"/>
    <s v="HATO PINTADO"/>
    <x v="0"/>
  </r>
  <r>
    <x v="10"/>
    <x v="177"/>
    <x v="11"/>
    <x v="11"/>
    <x v="1"/>
    <x v="0"/>
    <x v="47"/>
    <x v="263"/>
    <x v="2106"/>
    <x v="0"/>
    <s v="HATO PINTADO"/>
    <x v="0"/>
  </r>
  <r>
    <x v="10"/>
    <x v="181"/>
    <x v="11"/>
    <x v="11"/>
    <x v="1"/>
    <x v="0"/>
    <x v="51"/>
    <x v="267"/>
    <x v="2107"/>
    <x v="0"/>
    <s v="HATO PINTADO"/>
    <x v="0"/>
  </r>
  <r>
    <x v="10"/>
    <x v="182"/>
    <x v="2"/>
    <x v="2"/>
    <x v="1"/>
    <x v="0"/>
    <x v="52"/>
    <x v="268"/>
    <x v="2108"/>
    <x v="0"/>
    <s v="HATO PINTADO"/>
    <x v="0"/>
  </r>
  <r>
    <x v="10"/>
    <x v="183"/>
    <x v="2"/>
    <x v="2"/>
    <x v="1"/>
    <x v="0"/>
    <x v="53"/>
    <x v="269"/>
    <x v="2109"/>
    <x v="0"/>
    <s v="HATO PINTADO"/>
    <x v="0"/>
  </r>
  <r>
    <x v="10"/>
    <x v="184"/>
    <x v="6"/>
    <x v="6"/>
    <x v="1"/>
    <x v="0"/>
    <x v="54"/>
    <x v="270"/>
    <x v="2110"/>
    <x v="0"/>
    <s v="HATO PINTADO"/>
    <x v="0"/>
  </r>
  <r>
    <x v="10"/>
    <x v="174"/>
    <x v="6"/>
    <x v="6"/>
    <x v="1"/>
    <x v="0"/>
    <x v="44"/>
    <x v="260"/>
    <x v="2111"/>
    <x v="0"/>
    <s v="HATO PINTADO"/>
    <x v="0"/>
  </r>
  <r>
    <x v="10"/>
    <x v="179"/>
    <x v="7"/>
    <x v="7"/>
    <x v="1"/>
    <x v="1"/>
    <x v="49"/>
    <x v="265"/>
    <x v="2112"/>
    <x v="0"/>
    <s v="HATO PINTADO"/>
    <x v="0"/>
  </r>
  <r>
    <x v="10"/>
    <x v="172"/>
    <x v="8"/>
    <x v="8"/>
    <x v="1"/>
    <x v="1"/>
    <x v="42"/>
    <x v="258"/>
    <x v="2113"/>
    <x v="0"/>
    <s v="HATO PINTADO"/>
    <x v="0"/>
  </r>
  <r>
    <x v="10"/>
    <x v="173"/>
    <x v="8"/>
    <x v="8"/>
    <x v="1"/>
    <x v="1"/>
    <x v="43"/>
    <x v="259"/>
    <x v="114"/>
    <x v="0"/>
    <s v="HATO PINTADO"/>
    <x v="0"/>
  </r>
  <r>
    <x v="10"/>
    <x v="175"/>
    <x v="9"/>
    <x v="9"/>
    <x v="1"/>
    <x v="1"/>
    <x v="45"/>
    <x v="261"/>
    <x v="2114"/>
    <x v="0"/>
    <s v="HATO PINTADO"/>
    <x v="0"/>
  </r>
  <r>
    <x v="10"/>
    <x v="180"/>
    <x v="10"/>
    <x v="10"/>
    <x v="1"/>
    <x v="1"/>
    <x v="50"/>
    <x v="266"/>
    <x v="1551"/>
    <x v="0"/>
    <s v="HATO PINTADO"/>
    <x v="0"/>
  </r>
  <r>
    <x v="10"/>
    <x v="176"/>
    <x v="10"/>
    <x v="10"/>
    <x v="1"/>
    <x v="1"/>
    <x v="46"/>
    <x v="262"/>
    <x v="2115"/>
    <x v="0"/>
    <s v="HATO PINTADO"/>
    <x v="0"/>
  </r>
  <r>
    <x v="10"/>
    <x v="177"/>
    <x v="11"/>
    <x v="11"/>
    <x v="1"/>
    <x v="1"/>
    <x v="47"/>
    <x v="263"/>
    <x v="1353"/>
    <x v="0"/>
    <s v="HATO PINTADO"/>
    <x v="0"/>
  </r>
  <r>
    <x v="10"/>
    <x v="183"/>
    <x v="2"/>
    <x v="2"/>
    <x v="1"/>
    <x v="1"/>
    <x v="53"/>
    <x v="269"/>
    <x v="2116"/>
    <x v="0"/>
    <s v="HATO PINTADO"/>
    <x v="0"/>
  </r>
  <r>
    <x v="10"/>
    <x v="184"/>
    <x v="6"/>
    <x v="6"/>
    <x v="1"/>
    <x v="1"/>
    <x v="54"/>
    <x v="270"/>
    <x v="2117"/>
    <x v="0"/>
    <s v="HATO PINTADO"/>
    <x v="0"/>
  </r>
  <r>
    <x v="10"/>
    <x v="174"/>
    <x v="6"/>
    <x v="6"/>
    <x v="1"/>
    <x v="1"/>
    <x v="44"/>
    <x v="260"/>
    <x v="2118"/>
    <x v="0"/>
    <s v="HATO PINTADO"/>
    <x v="0"/>
  </r>
  <r>
    <x v="12"/>
    <x v="171"/>
    <x v="7"/>
    <x v="7"/>
    <x v="1"/>
    <x v="2"/>
    <x v="41"/>
    <x v="257"/>
    <x v="831"/>
    <x v="0"/>
    <s v="LA CHORRERA"/>
    <x v="0"/>
  </r>
  <r>
    <x v="12"/>
    <x v="172"/>
    <x v="8"/>
    <x v="8"/>
    <x v="1"/>
    <x v="2"/>
    <x v="42"/>
    <x v="258"/>
    <x v="831"/>
    <x v="0"/>
    <s v="LA CHORRERA"/>
    <x v="0"/>
  </r>
  <r>
    <x v="12"/>
    <x v="173"/>
    <x v="8"/>
    <x v="8"/>
    <x v="1"/>
    <x v="2"/>
    <x v="43"/>
    <x v="259"/>
    <x v="831"/>
    <x v="0"/>
    <s v="LA CHORRERA"/>
    <x v="0"/>
  </r>
  <r>
    <x v="12"/>
    <x v="179"/>
    <x v="7"/>
    <x v="7"/>
    <x v="1"/>
    <x v="0"/>
    <x v="49"/>
    <x v="265"/>
    <x v="2119"/>
    <x v="0"/>
    <s v="LA CHORRERA"/>
    <x v="0"/>
  </r>
  <r>
    <x v="12"/>
    <x v="171"/>
    <x v="7"/>
    <x v="7"/>
    <x v="1"/>
    <x v="0"/>
    <x v="41"/>
    <x v="257"/>
    <x v="2120"/>
    <x v="0"/>
    <s v="LA CHORRERA"/>
    <x v="0"/>
  </r>
  <r>
    <x v="12"/>
    <x v="182"/>
    <x v="2"/>
    <x v="2"/>
    <x v="1"/>
    <x v="0"/>
    <x v="52"/>
    <x v="268"/>
    <x v="1683"/>
    <x v="0"/>
    <s v="LA CHORRERA"/>
    <x v="0"/>
  </r>
  <r>
    <x v="12"/>
    <x v="184"/>
    <x v="6"/>
    <x v="6"/>
    <x v="1"/>
    <x v="0"/>
    <x v="54"/>
    <x v="270"/>
    <x v="2121"/>
    <x v="0"/>
    <s v="LA CHORRERA"/>
    <x v="0"/>
  </r>
  <r>
    <x v="12"/>
    <x v="176"/>
    <x v="10"/>
    <x v="10"/>
    <x v="1"/>
    <x v="1"/>
    <x v="46"/>
    <x v="262"/>
    <x v="2122"/>
    <x v="0"/>
    <s v="LA CHORRERA"/>
    <x v="0"/>
  </r>
  <r>
    <x v="13"/>
    <x v="171"/>
    <x v="7"/>
    <x v="7"/>
    <x v="1"/>
    <x v="0"/>
    <x v="41"/>
    <x v="257"/>
    <x v="2123"/>
    <x v="0"/>
    <s v="AVENIDA CENTRAL"/>
    <x v="0"/>
  </r>
  <r>
    <x v="14"/>
    <x v="180"/>
    <x v="10"/>
    <x v="10"/>
    <x v="1"/>
    <x v="2"/>
    <x v="50"/>
    <x v="266"/>
    <x v="2124"/>
    <x v="0"/>
    <s v="LOS ANGELES"/>
    <x v="0"/>
  </r>
  <r>
    <x v="14"/>
    <x v="171"/>
    <x v="7"/>
    <x v="7"/>
    <x v="1"/>
    <x v="0"/>
    <x v="41"/>
    <x v="257"/>
    <x v="1694"/>
    <x v="0"/>
    <s v="LOS ANGELES"/>
    <x v="0"/>
  </r>
  <r>
    <x v="14"/>
    <x v="173"/>
    <x v="8"/>
    <x v="8"/>
    <x v="1"/>
    <x v="0"/>
    <x v="43"/>
    <x v="259"/>
    <x v="1781"/>
    <x v="0"/>
    <s v="LOS ANGELES"/>
    <x v="0"/>
  </r>
  <r>
    <x v="14"/>
    <x v="175"/>
    <x v="9"/>
    <x v="9"/>
    <x v="1"/>
    <x v="0"/>
    <x v="45"/>
    <x v="261"/>
    <x v="2125"/>
    <x v="0"/>
    <s v="LOS ANGELES"/>
    <x v="0"/>
  </r>
  <r>
    <x v="15"/>
    <x v="175"/>
    <x v="9"/>
    <x v="9"/>
    <x v="1"/>
    <x v="2"/>
    <x v="45"/>
    <x v="261"/>
    <x v="2126"/>
    <x v="0"/>
    <s v="VILLA LUCRE"/>
    <x v="0"/>
  </r>
  <r>
    <x v="15"/>
    <x v="179"/>
    <x v="7"/>
    <x v="7"/>
    <x v="1"/>
    <x v="0"/>
    <x v="49"/>
    <x v="265"/>
    <x v="2127"/>
    <x v="0"/>
    <s v="VILLA LUCRE"/>
    <x v="0"/>
  </r>
  <r>
    <x v="15"/>
    <x v="171"/>
    <x v="7"/>
    <x v="7"/>
    <x v="1"/>
    <x v="0"/>
    <x v="41"/>
    <x v="257"/>
    <x v="2128"/>
    <x v="0"/>
    <s v="VILLA LUCRE"/>
    <x v="0"/>
  </r>
  <r>
    <x v="15"/>
    <x v="172"/>
    <x v="8"/>
    <x v="8"/>
    <x v="1"/>
    <x v="0"/>
    <x v="42"/>
    <x v="258"/>
    <x v="2129"/>
    <x v="0"/>
    <s v="VILLA LUCRE"/>
    <x v="0"/>
  </r>
  <r>
    <x v="15"/>
    <x v="173"/>
    <x v="8"/>
    <x v="8"/>
    <x v="1"/>
    <x v="0"/>
    <x v="43"/>
    <x v="259"/>
    <x v="2130"/>
    <x v="0"/>
    <s v="VILLA LUCRE"/>
    <x v="0"/>
  </r>
  <r>
    <x v="15"/>
    <x v="175"/>
    <x v="9"/>
    <x v="9"/>
    <x v="1"/>
    <x v="0"/>
    <x v="45"/>
    <x v="261"/>
    <x v="2131"/>
    <x v="0"/>
    <s v="VILLA LUCRE"/>
    <x v="0"/>
  </r>
  <r>
    <x v="15"/>
    <x v="178"/>
    <x v="9"/>
    <x v="9"/>
    <x v="1"/>
    <x v="0"/>
    <x v="48"/>
    <x v="264"/>
    <x v="2132"/>
    <x v="0"/>
    <s v="VILLA LUCRE"/>
    <x v="0"/>
  </r>
  <r>
    <x v="15"/>
    <x v="180"/>
    <x v="10"/>
    <x v="10"/>
    <x v="1"/>
    <x v="0"/>
    <x v="50"/>
    <x v="266"/>
    <x v="2133"/>
    <x v="0"/>
    <s v="VILLA LUCRE"/>
    <x v="0"/>
  </r>
  <r>
    <x v="15"/>
    <x v="176"/>
    <x v="10"/>
    <x v="10"/>
    <x v="1"/>
    <x v="0"/>
    <x v="46"/>
    <x v="262"/>
    <x v="2134"/>
    <x v="0"/>
    <s v="VILLA LUCRE"/>
    <x v="0"/>
  </r>
  <r>
    <x v="15"/>
    <x v="177"/>
    <x v="11"/>
    <x v="11"/>
    <x v="1"/>
    <x v="0"/>
    <x v="47"/>
    <x v="263"/>
    <x v="2135"/>
    <x v="0"/>
    <s v="VILLA LUCRE"/>
    <x v="0"/>
  </r>
  <r>
    <x v="15"/>
    <x v="181"/>
    <x v="11"/>
    <x v="11"/>
    <x v="1"/>
    <x v="0"/>
    <x v="51"/>
    <x v="267"/>
    <x v="2136"/>
    <x v="0"/>
    <s v="VILLA LUCRE"/>
    <x v="0"/>
  </r>
  <r>
    <x v="15"/>
    <x v="182"/>
    <x v="2"/>
    <x v="2"/>
    <x v="1"/>
    <x v="0"/>
    <x v="52"/>
    <x v="268"/>
    <x v="2137"/>
    <x v="0"/>
    <s v="VILLA LUCRE"/>
    <x v="0"/>
  </r>
  <r>
    <x v="15"/>
    <x v="183"/>
    <x v="2"/>
    <x v="2"/>
    <x v="1"/>
    <x v="0"/>
    <x v="53"/>
    <x v="269"/>
    <x v="2138"/>
    <x v="0"/>
    <s v="VILLA LUCRE"/>
    <x v="0"/>
  </r>
  <r>
    <x v="15"/>
    <x v="184"/>
    <x v="6"/>
    <x v="6"/>
    <x v="1"/>
    <x v="0"/>
    <x v="54"/>
    <x v="270"/>
    <x v="2139"/>
    <x v="0"/>
    <s v="VILLA LUCRE"/>
    <x v="0"/>
  </r>
  <r>
    <x v="15"/>
    <x v="174"/>
    <x v="6"/>
    <x v="6"/>
    <x v="1"/>
    <x v="0"/>
    <x v="44"/>
    <x v="260"/>
    <x v="2140"/>
    <x v="0"/>
    <s v="VILLA LUCRE"/>
    <x v="0"/>
  </r>
  <r>
    <x v="15"/>
    <x v="177"/>
    <x v="11"/>
    <x v="11"/>
    <x v="1"/>
    <x v="1"/>
    <x v="47"/>
    <x v="263"/>
    <x v="734"/>
    <x v="0"/>
    <s v="VILLA LUCRE"/>
    <x v="0"/>
  </r>
  <r>
    <x v="15"/>
    <x v="174"/>
    <x v="6"/>
    <x v="6"/>
    <x v="1"/>
    <x v="1"/>
    <x v="44"/>
    <x v="260"/>
    <x v="2141"/>
    <x v="0"/>
    <s v="VILLA LUCRE"/>
    <x v="0"/>
  </r>
  <r>
    <x v="16"/>
    <x v="172"/>
    <x v="8"/>
    <x v="8"/>
    <x v="1"/>
    <x v="2"/>
    <x v="42"/>
    <x v="258"/>
    <x v="2142"/>
    <x v="0"/>
    <s v="LOS ANDES"/>
    <x v="0"/>
  </r>
  <r>
    <x v="16"/>
    <x v="173"/>
    <x v="8"/>
    <x v="8"/>
    <x v="1"/>
    <x v="2"/>
    <x v="43"/>
    <x v="259"/>
    <x v="2143"/>
    <x v="0"/>
    <s v="LOS ANDES"/>
    <x v="0"/>
  </r>
  <r>
    <x v="16"/>
    <x v="174"/>
    <x v="6"/>
    <x v="6"/>
    <x v="1"/>
    <x v="2"/>
    <x v="44"/>
    <x v="260"/>
    <x v="2144"/>
    <x v="0"/>
    <s v="LOS ANDES"/>
    <x v="0"/>
  </r>
  <r>
    <x v="16"/>
    <x v="179"/>
    <x v="7"/>
    <x v="7"/>
    <x v="1"/>
    <x v="0"/>
    <x v="49"/>
    <x v="265"/>
    <x v="2145"/>
    <x v="0"/>
    <s v="LOS ANDES"/>
    <x v="0"/>
  </r>
  <r>
    <x v="16"/>
    <x v="171"/>
    <x v="7"/>
    <x v="7"/>
    <x v="1"/>
    <x v="0"/>
    <x v="41"/>
    <x v="257"/>
    <x v="2146"/>
    <x v="0"/>
    <s v="LOS ANDES"/>
    <x v="0"/>
  </r>
  <r>
    <x v="16"/>
    <x v="172"/>
    <x v="8"/>
    <x v="8"/>
    <x v="1"/>
    <x v="0"/>
    <x v="42"/>
    <x v="258"/>
    <x v="2147"/>
    <x v="0"/>
    <s v="LOS ANDES"/>
    <x v="0"/>
  </r>
  <r>
    <x v="16"/>
    <x v="173"/>
    <x v="8"/>
    <x v="8"/>
    <x v="1"/>
    <x v="0"/>
    <x v="43"/>
    <x v="259"/>
    <x v="2148"/>
    <x v="0"/>
    <s v="LOS ANDES"/>
    <x v="0"/>
  </r>
  <r>
    <x v="16"/>
    <x v="175"/>
    <x v="9"/>
    <x v="9"/>
    <x v="1"/>
    <x v="0"/>
    <x v="45"/>
    <x v="261"/>
    <x v="2149"/>
    <x v="0"/>
    <s v="LOS ANDES"/>
    <x v="0"/>
  </r>
  <r>
    <x v="16"/>
    <x v="178"/>
    <x v="9"/>
    <x v="9"/>
    <x v="1"/>
    <x v="0"/>
    <x v="48"/>
    <x v="264"/>
    <x v="2150"/>
    <x v="0"/>
    <s v="LOS ANDES"/>
    <x v="0"/>
  </r>
  <r>
    <x v="16"/>
    <x v="180"/>
    <x v="10"/>
    <x v="10"/>
    <x v="1"/>
    <x v="0"/>
    <x v="50"/>
    <x v="266"/>
    <x v="2151"/>
    <x v="0"/>
    <s v="LOS ANDES"/>
    <x v="0"/>
  </r>
  <r>
    <x v="16"/>
    <x v="176"/>
    <x v="10"/>
    <x v="10"/>
    <x v="1"/>
    <x v="0"/>
    <x v="46"/>
    <x v="262"/>
    <x v="2152"/>
    <x v="0"/>
    <s v="LOS ANDES"/>
    <x v="0"/>
  </r>
  <r>
    <x v="16"/>
    <x v="177"/>
    <x v="11"/>
    <x v="11"/>
    <x v="1"/>
    <x v="0"/>
    <x v="47"/>
    <x v="263"/>
    <x v="2153"/>
    <x v="0"/>
    <s v="LOS ANDES"/>
    <x v="0"/>
  </r>
  <r>
    <x v="16"/>
    <x v="181"/>
    <x v="11"/>
    <x v="11"/>
    <x v="1"/>
    <x v="0"/>
    <x v="51"/>
    <x v="267"/>
    <x v="2154"/>
    <x v="0"/>
    <s v="LOS ANDES"/>
    <x v="0"/>
  </r>
  <r>
    <x v="16"/>
    <x v="182"/>
    <x v="2"/>
    <x v="2"/>
    <x v="1"/>
    <x v="0"/>
    <x v="52"/>
    <x v="268"/>
    <x v="2155"/>
    <x v="0"/>
    <s v="LOS ANDES"/>
    <x v="0"/>
  </r>
  <r>
    <x v="16"/>
    <x v="183"/>
    <x v="2"/>
    <x v="2"/>
    <x v="1"/>
    <x v="0"/>
    <x v="53"/>
    <x v="269"/>
    <x v="2156"/>
    <x v="0"/>
    <s v="LOS ANDES"/>
    <x v="0"/>
  </r>
  <r>
    <x v="16"/>
    <x v="184"/>
    <x v="6"/>
    <x v="6"/>
    <x v="1"/>
    <x v="0"/>
    <x v="54"/>
    <x v="270"/>
    <x v="2157"/>
    <x v="0"/>
    <s v="LOS ANDES"/>
    <x v="0"/>
  </r>
  <r>
    <x v="16"/>
    <x v="174"/>
    <x v="6"/>
    <x v="6"/>
    <x v="1"/>
    <x v="0"/>
    <x v="44"/>
    <x v="260"/>
    <x v="2158"/>
    <x v="0"/>
    <s v="LOS ANDES"/>
    <x v="0"/>
  </r>
  <r>
    <x v="16"/>
    <x v="179"/>
    <x v="7"/>
    <x v="7"/>
    <x v="1"/>
    <x v="1"/>
    <x v="49"/>
    <x v="265"/>
    <x v="2159"/>
    <x v="0"/>
    <s v="LOS ANDES"/>
    <x v="0"/>
  </r>
  <r>
    <x v="16"/>
    <x v="171"/>
    <x v="7"/>
    <x v="7"/>
    <x v="1"/>
    <x v="1"/>
    <x v="41"/>
    <x v="257"/>
    <x v="2160"/>
    <x v="0"/>
    <s v="LOS ANDES"/>
    <x v="0"/>
  </r>
  <r>
    <x v="16"/>
    <x v="173"/>
    <x v="8"/>
    <x v="8"/>
    <x v="1"/>
    <x v="1"/>
    <x v="43"/>
    <x v="259"/>
    <x v="2161"/>
    <x v="0"/>
    <s v="LOS ANDES"/>
    <x v="0"/>
  </r>
  <r>
    <x v="16"/>
    <x v="175"/>
    <x v="9"/>
    <x v="9"/>
    <x v="1"/>
    <x v="1"/>
    <x v="45"/>
    <x v="261"/>
    <x v="2162"/>
    <x v="0"/>
    <s v="LOS ANDES"/>
    <x v="0"/>
  </r>
  <r>
    <x v="16"/>
    <x v="178"/>
    <x v="9"/>
    <x v="9"/>
    <x v="1"/>
    <x v="1"/>
    <x v="48"/>
    <x v="264"/>
    <x v="2163"/>
    <x v="0"/>
    <s v="LOS ANDES"/>
    <x v="0"/>
  </r>
  <r>
    <x v="16"/>
    <x v="180"/>
    <x v="10"/>
    <x v="10"/>
    <x v="1"/>
    <x v="1"/>
    <x v="50"/>
    <x v="266"/>
    <x v="2164"/>
    <x v="0"/>
    <s v="LOS ANDES"/>
    <x v="0"/>
  </r>
  <r>
    <x v="16"/>
    <x v="177"/>
    <x v="11"/>
    <x v="11"/>
    <x v="1"/>
    <x v="1"/>
    <x v="47"/>
    <x v="263"/>
    <x v="2165"/>
    <x v="0"/>
    <s v="LOS ANDES"/>
    <x v="0"/>
  </r>
  <r>
    <x v="16"/>
    <x v="181"/>
    <x v="11"/>
    <x v="11"/>
    <x v="1"/>
    <x v="1"/>
    <x v="51"/>
    <x v="267"/>
    <x v="2166"/>
    <x v="0"/>
    <s v="LOS ANDES"/>
    <x v="0"/>
  </r>
  <r>
    <x v="16"/>
    <x v="182"/>
    <x v="2"/>
    <x v="2"/>
    <x v="1"/>
    <x v="1"/>
    <x v="52"/>
    <x v="268"/>
    <x v="2167"/>
    <x v="0"/>
    <s v="LOS ANDES"/>
    <x v="0"/>
  </r>
  <r>
    <x v="16"/>
    <x v="184"/>
    <x v="6"/>
    <x v="6"/>
    <x v="1"/>
    <x v="1"/>
    <x v="54"/>
    <x v="270"/>
    <x v="2168"/>
    <x v="0"/>
    <s v="LOS ANDES"/>
    <x v="0"/>
  </r>
  <r>
    <x v="16"/>
    <x v="174"/>
    <x v="6"/>
    <x v="6"/>
    <x v="1"/>
    <x v="1"/>
    <x v="44"/>
    <x v="260"/>
    <x v="2169"/>
    <x v="0"/>
    <s v="LOS ANDES"/>
    <x v="0"/>
  </r>
  <r>
    <x v="17"/>
    <x v="171"/>
    <x v="7"/>
    <x v="7"/>
    <x v="1"/>
    <x v="0"/>
    <x v="41"/>
    <x v="257"/>
    <x v="2170"/>
    <x v="0"/>
    <s v="VIA ESPANA"/>
    <x v="0"/>
  </r>
  <r>
    <x v="17"/>
    <x v="180"/>
    <x v="10"/>
    <x v="10"/>
    <x v="1"/>
    <x v="0"/>
    <x v="50"/>
    <x v="266"/>
    <x v="2171"/>
    <x v="0"/>
    <s v="VIA ESPANA"/>
    <x v="0"/>
  </r>
  <r>
    <x v="17"/>
    <x v="176"/>
    <x v="10"/>
    <x v="10"/>
    <x v="1"/>
    <x v="0"/>
    <x v="46"/>
    <x v="262"/>
    <x v="2172"/>
    <x v="0"/>
    <s v="VIA ESPANA"/>
    <x v="0"/>
  </r>
  <r>
    <x v="17"/>
    <x v="182"/>
    <x v="2"/>
    <x v="2"/>
    <x v="1"/>
    <x v="0"/>
    <x v="52"/>
    <x v="268"/>
    <x v="2173"/>
    <x v="0"/>
    <s v="VIA ESPANA"/>
    <x v="0"/>
  </r>
  <r>
    <x v="18"/>
    <x v="171"/>
    <x v="7"/>
    <x v="7"/>
    <x v="1"/>
    <x v="0"/>
    <x v="41"/>
    <x v="257"/>
    <x v="2174"/>
    <x v="0"/>
    <s v="AVENIDA CUBA"/>
    <x v="0"/>
  </r>
  <r>
    <x v="19"/>
    <x v="177"/>
    <x v="11"/>
    <x v="11"/>
    <x v="1"/>
    <x v="2"/>
    <x v="47"/>
    <x v="263"/>
    <x v="2175"/>
    <x v="0"/>
    <s v="CHITRE"/>
    <x v="0"/>
  </r>
  <r>
    <x v="19"/>
    <x v="179"/>
    <x v="7"/>
    <x v="7"/>
    <x v="1"/>
    <x v="0"/>
    <x v="49"/>
    <x v="265"/>
    <x v="2176"/>
    <x v="0"/>
    <s v="CHITRE"/>
    <x v="0"/>
  </r>
  <r>
    <x v="19"/>
    <x v="171"/>
    <x v="7"/>
    <x v="7"/>
    <x v="1"/>
    <x v="0"/>
    <x v="41"/>
    <x v="257"/>
    <x v="2177"/>
    <x v="0"/>
    <s v="CHITRE"/>
    <x v="0"/>
  </r>
  <r>
    <x v="19"/>
    <x v="172"/>
    <x v="8"/>
    <x v="8"/>
    <x v="1"/>
    <x v="0"/>
    <x v="42"/>
    <x v="258"/>
    <x v="2178"/>
    <x v="0"/>
    <s v="CHITRE"/>
    <x v="0"/>
  </r>
  <r>
    <x v="19"/>
    <x v="173"/>
    <x v="8"/>
    <x v="8"/>
    <x v="1"/>
    <x v="0"/>
    <x v="43"/>
    <x v="259"/>
    <x v="2179"/>
    <x v="0"/>
    <s v="CHITRE"/>
    <x v="0"/>
  </r>
  <r>
    <x v="19"/>
    <x v="175"/>
    <x v="9"/>
    <x v="9"/>
    <x v="1"/>
    <x v="0"/>
    <x v="45"/>
    <x v="261"/>
    <x v="2180"/>
    <x v="0"/>
    <s v="CHITRE"/>
    <x v="0"/>
  </r>
  <r>
    <x v="19"/>
    <x v="178"/>
    <x v="9"/>
    <x v="9"/>
    <x v="1"/>
    <x v="0"/>
    <x v="48"/>
    <x v="264"/>
    <x v="2181"/>
    <x v="0"/>
    <s v="CHITRE"/>
    <x v="0"/>
  </r>
  <r>
    <x v="19"/>
    <x v="180"/>
    <x v="10"/>
    <x v="10"/>
    <x v="1"/>
    <x v="0"/>
    <x v="50"/>
    <x v="266"/>
    <x v="2182"/>
    <x v="0"/>
    <s v="CHITRE"/>
    <x v="0"/>
  </r>
  <r>
    <x v="19"/>
    <x v="176"/>
    <x v="10"/>
    <x v="10"/>
    <x v="1"/>
    <x v="0"/>
    <x v="46"/>
    <x v="262"/>
    <x v="2183"/>
    <x v="0"/>
    <s v="CHITRE"/>
    <x v="0"/>
  </r>
  <r>
    <x v="19"/>
    <x v="177"/>
    <x v="11"/>
    <x v="11"/>
    <x v="1"/>
    <x v="0"/>
    <x v="47"/>
    <x v="263"/>
    <x v="2184"/>
    <x v="0"/>
    <s v="CHITRE"/>
    <x v="0"/>
  </r>
  <r>
    <x v="19"/>
    <x v="181"/>
    <x v="11"/>
    <x v="11"/>
    <x v="1"/>
    <x v="0"/>
    <x v="51"/>
    <x v="267"/>
    <x v="2185"/>
    <x v="0"/>
    <s v="CHITRE"/>
    <x v="0"/>
  </r>
  <r>
    <x v="19"/>
    <x v="182"/>
    <x v="2"/>
    <x v="2"/>
    <x v="1"/>
    <x v="0"/>
    <x v="52"/>
    <x v="268"/>
    <x v="2186"/>
    <x v="0"/>
    <s v="CHITRE"/>
    <x v="0"/>
  </r>
  <r>
    <x v="19"/>
    <x v="183"/>
    <x v="2"/>
    <x v="2"/>
    <x v="1"/>
    <x v="0"/>
    <x v="53"/>
    <x v="269"/>
    <x v="2187"/>
    <x v="0"/>
    <s v="CHITRE"/>
    <x v="0"/>
  </r>
  <r>
    <x v="19"/>
    <x v="184"/>
    <x v="6"/>
    <x v="6"/>
    <x v="1"/>
    <x v="0"/>
    <x v="54"/>
    <x v="270"/>
    <x v="2188"/>
    <x v="0"/>
    <s v="CHITRE"/>
    <x v="0"/>
  </r>
  <r>
    <x v="19"/>
    <x v="174"/>
    <x v="6"/>
    <x v="6"/>
    <x v="1"/>
    <x v="0"/>
    <x v="44"/>
    <x v="260"/>
    <x v="2189"/>
    <x v="0"/>
    <s v="CHITRE"/>
    <x v="0"/>
  </r>
  <r>
    <x v="19"/>
    <x v="171"/>
    <x v="7"/>
    <x v="7"/>
    <x v="1"/>
    <x v="1"/>
    <x v="41"/>
    <x v="257"/>
    <x v="2190"/>
    <x v="0"/>
    <s v="CHITRE"/>
    <x v="0"/>
  </r>
  <r>
    <x v="19"/>
    <x v="180"/>
    <x v="10"/>
    <x v="10"/>
    <x v="1"/>
    <x v="1"/>
    <x v="50"/>
    <x v="266"/>
    <x v="63"/>
    <x v="0"/>
    <s v="CHITRE"/>
    <x v="0"/>
  </r>
  <r>
    <x v="19"/>
    <x v="176"/>
    <x v="10"/>
    <x v="10"/>
    <x v="1"/>
    <x v="1"/>
    <x v="46"/>
    <x v="262"/>
    <x v="2191"/>
    <x v="0"/>
    <s v="CHITRE"/>
    <x v="0"/>
  </r>
  <r>
    <x v="19"/>
    <x v="181"/>
    <x v="11"/>
    <x v="11"/>
    <x v="1"/>
    <x v="1"/>
    <x v="51"/>
    <x v="267"/>
    <x v="2192"/>
    <x v="0"/>
    <s v="CHITRE"/>
    <x v="0"/>
  </r>
  <r>
    <x v="20"/>
    <x v="179"/>
    <x v="7"/>
    <x v="7"/>
    <x v="1"/>
    <x v="2"/>
    <x v="49"/>
    <x v="265"/>
    <x v="2193"/>
    <x v="0"/>
    <s v="LOS PUEBLOS"/>
    <x v="0"/>
  </r>
  <r>
    <x v="20"/>
    <x v="182"/>
    <x v="2"/>
    <x v="2"/>
    <x v="1"/>
    <x v="2"/>
    <x v="52"/>
    <x v="268"/>
    <x v="2194"/>
    <x v="0"/>
    <s v="LOS PUEBLOS"/>
    <x v="0"/>
  </r>
  <r>
    <x v="20"/>
    <x v="183"/>
    <x v="2"/>
    <x v="2"/>
    <x v="1"/>
    <x v="2"/>
    <x v="53"/>
    <x v="269"/>
    <x v="2195"/>
    <x v="0"/>
    <s v="LOS PUEBLOS"/>
    <x v="0"/>
  </r>
  <r>
    <x v="20"/>
    <x v="184"/>
    <x v="6"/>
    <x v="6"/>
    <x v="1"/>
    <x v="2"/>
    <x v="54"/>
    <x v="270"/>
    <x v="2196"/>
    <x v="0"/>
    <s v="LOS PUEBLOS"/>
    <x v="0"/>
  </r>
  <r>
    <x v="20"/>
    <x v="174"/>
    <x v="6"/>
    <x v="6"/>
    <x v="1"/>
    <x v="2"/>
    <x v="44"/>
    <x v="260"/>
    <x v="2197"/>
    <x v="0"/>
    <s v="LOS PUEBLOS"/>
    <x v="0"/>
  </r>
  <r>
    <x v="20"/>
    <x v="179"/>
    <x v="7"/>
    <x v="7"/>
    <x v="1"/>
    <x v="0"/>
    <x v="49"/>
    <x v="265"/>
    <x v="2198"/>
    <x v="0"/>
    <s v="LOS PUEBLOS"/>
    <x v="0"/>
  </r>
  <r>
    <x v="20"/>
    <x v="171"/>
    <x v="7"/>
    <x v="7"/>
    <x v="1"/>
    <x v="0"/>
    <x v="41"/>
    <x v="257"/>
    <x v="2199"/>
    <x v="0"/>
    <s v="LOS PUEBLOS"/>
    <x v="0"/>
  </r>
  <r>
    <x v="20"/>
    <x v="172"/>
    <x v="8"/>
    <x v="8"/>
    <x v="1"/>
    <x v="0"/>
    <x v="42"/>
    <x v="258"/>
    <x v="2200"/>
    <x v="0"/>
    <s v="LOS PUEBLOS"/>
    <x v="0"/>
  </r>
  <r>
    <x v="20"/>
    <x v="173"/>
    <x v="8"/>
    <x v="8"/>
    <x v="1"/>
    <x v="0"/>
    <x v="43"/>
    <x v="259"/>
    <x v="2201"/>
    <x v="0"/>
    <s v="LOS PUEBLOS"/>
    <x v="0"/>
  </r>
  <r>
    <x v="20"/>
    <x v="175"/>
    <x v="9"/>
    <x v="9"/>
    <x v="1"/>
    <x v="0"/>
    <x v="45"/>
    <x v="261"/>
    <x v="2202"/>
    <x v="0"/>
    <s v="LOS PUEBLOS"/>
    <x v="0"/>
  </r>
  <r>
    <x v="20"/>
    <x v="178"/>
    <x v="9"/>
    <x v="9"/>
    <x v="1"/>
    <x v="0"/>
    <x v="48"/>
    <x v="264"/>
    <x v="2203"/>
    <x v="0"/>
    <s v="LOS PUEBLOS"/>
    <x v="0"/>
  </r>
  <r>
    <x v="20"/>
    <x v="180"/>
    <x v="10"/>
    <x v="10"/>
    <x v="1"/>
    <x v="0"/>
    <x v="50"/>
    <x v="266"/>
    <x v="2204"/>
    <x v="0"/>
    <s v="LOS PUEBLOS"/>
    <x v="0"/>
  </r>
  <r>
    <x v="20"/>
    <x v="176"/>
    <x v="10"/>
    <x v="10"/>
    <x v="1"/>
    <x v="0"/>
    <x v="46"/>
    <x v="262"/>
    <x v="2205"/>
    <x v="0"/>
    <s v="LOS PUEBLOS"/>
    <x v="0"/>
  </r>
  <r>
    <x v="20"/>
    <x v="177"/>
    <x v="11"/>
    <x v="11"/>
    <x v="1"/>
    <x v="0"/>
    <x v="47"/>
    <x v="263"/>
    <x v="2206"/>
    <x v="0"/>
    <s v="LOS PUEBLOS"/>
    <x v="0"/>
  </r>
  <r>
    <x v="20"/>
    <x v="181"/>
    <x v="11"/>
    <x v="11"/>
    <x v="1"/>
    <x v="0"/>
    <x v="51"/>
    <x v="267"/>
    <x v="2207"/>
    <x v="0"/>
    <s v="LOS PUEBLOS"/>
    <x v="0"/>
  </r>
  <r>
    <x v="20"/>
    <x v="182"/>
    <x v="2"/>
    <x v="2"/>
    <x v="1"/>
    <x v="0"/>
    <x v="52"/>
    <x v="268"/>
    <x v="2208"/>
    <x v="0"/>
    <s v="LOS PUEBLOS"/>
    <x v="0"/>
  </r>
  <r>
    <x v="20"/>
    <x v="183"/>
    <x v="2"/>
    <x v="2"/>
    <x v="1"/>
    <x v="0"/>
    <x v="53"/>
    <x v="269"/>
    <x v="2209"/>
    <x v="0"/>
    <s v="LOS PUEBLOS"/>
    <x v="0"/>
  </r>
  <r>
    <x v="20"/>
    <x v="184"/>
    <x v="6"/>
    <x v="6"/>
    <x v="1"/>
    <x v="0"/>
    <x v="54"/>
    <x v="270"/>
    <x v="2210"/>
    <x v="0"/>
    <s v="LOS PUEBLOS"/>
    <x v="0"/>
  </r>
  <r>
    <x v="20"/>
    <x v="174"/>
    <x v="6"/>
    <x v="6"/>
    <x v="1"/>
    <x v="0"/>
    <x v="44"/>
    <x v="260"/>
    <x v="2211"/>
    <x v="0"/>
    <s v="LOS PUEBLOS"/>
    <x v="0"/>
  </r>
  <r>
    <x v="20"/>
    <x v="179"/>
    <x v="7"/>
    <x v="7"/>
    <x v="1"/>
    <x v="1"/>
    <x v="49"/>
    <x v="265"/>
    <x v="2212"/>
    <x v="0"/>
    <s v="LOS PUEBLOS"/>
    <x v="0"/>
  </r>
  <r>
    <x v="20"/>
    <x v="176"/>
    <x v="10"/>
    <x v="10"/>
    <x v="1"/>
    <x v="1"/>
    <x v="46"/>
    <x v="262"/>
    <x v="2213"/>
    <x v="0"/>
    <s v="LOS PUEBLOS"/>
    <x v="0"/>
  </r>
  <r>
    <x v="20"/>
    <x v="177"/>
    <x v="11"/>
    <x v="11"/>
    <x v="1"/>
    <x v="1"/>
    <x v="47"/>
    <x v="263"/>
    <x v="2214"/>
    <x v="0"/>
    <s v="LOS PUEBLOS"/>
    <x v="0"/>
  </r>
  <r>
    <x v="20"/>
    <x v="183"/>
    <x v="2"/>
    <x v="2"/>
    <x v="1"/>
    <x v="1"/>
    <x v="53"/>
    <x v="269"/>
    <x v="2215"/>
    <x v="0"/>
    <s v="LOS PUEBLOS"/>
    <x v="0"/>
  </r>
  <r>
    <x v="20"/>
    <x v="174"/>
    <x v="6"/>
    <x v="6"/>
    <x v="1"/>
    <x v="1"/>
    <x v="44"/>
    <x v="260"/>
    <x v="2216"/>
    <x v="0"/>
    <s v="LOS PUEBLOS"/>
    <x v="0"/>
  </r>
  <r>
    <x v="21"/>
    <x v="172"/>
    <x v="8"/>
    <x v="8"/>
    <x v="1"/>
    <x v="2"/>
    <x v="42"/>
    <x v="258"/>
    <x v="546"/>
    <x v="0"/>
    <s v="TRANSISTMICA"/>
    <x v="0"/>
  </r>
  <r>
    <x v="21"/>
    <x v="175"/>
    <x v="9"/>
    <x v="9"/>
    <x v="1"/>
    <x v="2"/>
    <x v="45"/>
    <x v="261"/>
    <x v="2217"/>
    <x v="0"/>
    <s v="TRANSISTMICA"/>
    <x v="0"/>
  </r>
  <r>
    <x v="21"/>
    <x v="177"/>
    <x v="11"/>
    <x v="11"/>
    <x v="1"/>
    <x v="2"/>
    <x v="47"/>
    <x v="263"/>
    <x v="2218"/>
    <x v="0"/>
    <s v="TRANSISTMICA"/>
    <x v="0"/>
  </r>
  <r>
    <x v="21"/>
    <x v="179"/>
    <x v="7"/>
    <x v="7"/>
    <x v="1"/>
    <x v="0"/>
    <x v="49"/>
    <x v="265"/>
    <x v="2219"/>
    <x v="0"/>
    <s v="TRANSISTMICA"/>
    <x v="0"/>
  </r>
  <r>
    <x v="21"/>
    <x v="171"/>
    <x v="7"/>
    <x v="7"/>
    <x v="1"/>
    <x v="0"/>
    <x v="41"/>
    <x v="257"/>
    <x v="2220"/>
    <x v="0"/>
    <s v="TRANSISTMICA"/>
    <x v="0"/>
  </r>
  <r>
    <x v="21"/>
    <x v="172"/>
    <x v="8"/>
    <x v="8"/>
    <x v="1"/>
    <x v="0"/>
    <x v="42"/>
    <x v="258"/>
    <x v="2221"/>
    <x v="0"/>
    <s v="TRANSISTMICA"/>
    <x v="0"/>
  </r>
  <r>
    <x v="21"/>
    <x v="173"/>
    <x v="8"/>
    <x v="8"/>
    <x v="1"/>
    <x v="0"/>
    <x v="43"/>
    <x v="259"/>
    <x v="2222"/>
    <x v="0"/>
    <s v="TRANSISTMICA"/>
    <x v="0"/>
  </r>
  <r>
    <x v="21"/>
    <x v="175"/>
    <x v="9"/>
    <x v="9"/>
    <x v="1"/>
    <x v="0"/>
    <x v="45"/>
    <x v="261"/>
    <x v="2223"/>
    <x v="0"/>
    <s v="TRANSISTMICA"/>
    <x v="0"/>
  </r>
  <r>
    <x v="21"/>
    <x v="178"/>
    <x v="9"/>
    <x v="9"/>
    <x v="1"/>
    <x v="0"/>
    <x v="48"/>
    <x v="264"/>
    <x v="2224"/>
    <x v="0"/>
    <s v="TRANSISTMICA"/>
    <x v="0"/>
  </r>
  <r>
    <x v="21"/>
    <x v="180"/>
    <x v="10"/>
    <x v="10"/>
    <x v="1"/>
    <x v="0"/>
    <x v="50"/>
    <x v="266"/>
    <x v="2225"/>
    <x v="0"/>
    <s v="TRANSISTMICA"/>
    <x v="0"/>
  </r>
  <r>
    <x v="21"/>
    <x v="176"/>
    <x v="10"/>
    <x v="10"/>
    <x v="1"/>
    <x v="0"/>
    <x v="46"/>
    <x v="262"/>
    <x v="2226"/>
    <x v="0"/>
    <s v="TRANSISTMICA"/>
    <x v="0"/>
  </r>
  <r>
    <x v="21"/>
    <x v="177"/>
    <x v="11"/>
    <x v="11"/>
    <x v="1"/>
    <x v="0"/>
    <x v="47"/>
    <x v="263"/>
    <x v="2227"/>
    <x v="0"/>
    <s v="TRANSISTMICA"/>
    <x v="0"/>
  </r>
  <r>
    <x v="21"/>
    <x v="181"/>
    <x v="11"/>
    <x v="11"/>
    <x v="1"/>
    <x v="0"/>
    <x v="51"/>
    <x v="267"/>
    <x v="2228"/>
    <x v="0"/>
    <s v="TRANSISTMICA"/>
    <x v="0"/>
  </r>
  <r>
    <x v="21"/>
    <x v="182"/>
    <x v="2"/>
    <x v="2"/>
    <x v="1"/>
    <x v="0"/>
    <x v="52"/>
    <x v="268"/>
    <x v="2229"/>
    <x v="0"/>
    <s v="TRANSISTMICA"/>
    <x v="0"/>
  </r>
  <r>
    <x v="21"/>
    <x v="183"/>
    <x v="2"/>
    <x v="2"/>
    <x v="1"/>
    <x v="0"/>
    <x v="53"/>
    <x v="269"/>
    <x v="2230"/>
    <x v="0"/>
    <s v="TRANSISTMICA"/>
    <x v="0"/>
  </r>
  <r>
    <x v="21"/>
    <x v="184"/>
    <x v="6"/>
    <x v="6"/>
    <x v="1"/>
    <x v="0"/>
    <x v="54"/>
    <x v="270"/>
    <x v="2231"/>
    <x v="0"/>
    <s v="TRANSISTMICA"/>
    <x v="0"/>
  </r>
  <r>
    <x v="21"/>
    <x v="174"/>
    <x v="6"/>
    <x v="6"/>
    <x v="1"/>
    <x v="0"/>
    <x v="44"/>
    <x v="260"/>
    <x v="2232"/>
    <x v="0"/>
    <s v="TRANSISTMICA"/>
    <x v="0"/>
  </r>
  <r>
    <x v="21"/>
    <x v="175"/>
    <x v="9"/>
    <x v="9"/>
    <x v="1"/>
    <x v="1"/>
    <x v="45"/>
    <x v="261"/>
    <x v="2233"/>
    <x v="0"/>
    <s v="TRANSISTMICA"/>
    <x v="0"/>
  </r>
  <r>
    <x v="21"/>
    <x v="180"/>
    <x v="10"/>
    <x v="10"/>
    <x v="1"/>
    <x v="1"/>
    <x v="50"/>
    <x v="266"/>
    <x v="2234"/>
    <x v="0"/>
    <s v="TRANSISTMICA"/>
    <x v="0"/>
  </r>
  <r>
    <x v="21"/>
    <x v="176"/>
    <x v="10"/>
    <x v="10"/>
    <x v="1"/>
    <x v="1"/>
    <x v="46"/>
    <x v="262"/>
    <x v="12"/>
    <x v="0"/>
    <s v="TRANSISTMICA"/>
    <x v="0"/>
  </r>
  <r>
    <x v="21"/>
    <x v="177"/>
    <x v="11"/>
    <x v="11"/>
    <x v="1"/>
    <x v="1"/>
    <x v="47"/>
    <x v="263"/>
    <x v="2235"/>
    <x v="0"/>
    <s v="TRANSISTMICA"/>
    <x v="0"/>
  </r>
  <r>
    <x v="21"/>
    <x v="182"/>
    <x v="2"/>
    <x v="2"/>
    <x v="1"/>
    <x v="1"/>
    <x v="52"/>
    <x v="268"/>
    <x v="2236"/>
    <x v="0"/>
    <s v="TRANSISTMICA"/>
    <x v="0"/>
  </r>
  <r>
    <x v="21"/>
    <x v="183"/>
    <x v="2"/>
    <x v="2"/>
    <x v="1"/>
    <x v="1"/>
    <x v="53"/>
    <x v="269"/>
    <x v="0"/>
    <x v="0"/>
    <s v="TRANSISTMICA"/>
    <x v="0"/>
  </r>
  <r>
    <x v="21"/>
    <x v="184"/>
    <x v="6"/>
    <x v="6"/>
    <x v="1"/>
    <x v="1"/>
    <x v="54"/>
    <x v="270"/>
    <x v="2237"/>
    <x v="0"/>
    <s v="TRANSISTMICA"/>
    <x v="0"/>
  </r>
  <r>
    <x v="21"/>
    <x v="174"/>
    <x v="6"/>
    <x v="6"/>
    <x v="1"/>
    <x v="1"/>
    <x v="44"/>
    <x v="260"/>
    <x v="2238"/>
    <x v="0"/>
    <s v="TRANSISTMICA"/>
    <x v="0"/>
  </r>
  <r>
    <x v="22"/>
    <x v="173"/>
    <x v="8"/>
    <x v="8"/>
    <x v="1"/>
    <x v="0"/>
    <x v="43"/>
    <x v="259"/>
    <x v="2239"/>
    <x v="0"/>
    <s v="PLAZA GALAPAGO"/>
    <x v="0"/>
  </r>
  <r>
    <x v="22"/>
    <x v="181"/>
    <x v="11"/>
    <x v="11"/>
    <x v="1"/>
    <x v="0"/>
    <x v="51"/>
    <x v="267"/>
    <x v="2240"/>
    <x v="0"/>
    <s v="PLAZA GALAPAGO"/>
    <x v="0"/>
  </r>
  <r>
    <x v="22"/>
    <x v="174"/>
    <x v="6"/>
    <x v="6"/>
    <x v="1"/>
    <x v="0"/>
    <x v="44"/>
    <x v="260"/>
    <x v="2241"/>
    <x v="0"/>
    <s v="PLAZA GALAPAGO"/>
    <x v="0"/>
  </r>
  <r>
    <x v="23"/>
    <x v="179"/>
    <x v="7"/>
    <x v="7"/>
    <x v="1"/>
    <x v="0"/>
    <x v="49"/>
    <x v="265"/>
    <x v="1563"/>
    <x v="0"/>
    <s v="PARQUE LEFEVRE"/>
    <x v="0"/>
  </r>
  <r>
    <x v="23"/>
    <x v="173"/>
    <x v="8"/>
    <x v="8"/>
    <x v="1"/>
    <x v="0"/>
    <x v="43"/>
    <x v="259"/>
    <x v="2242"/>
    <x v="0"/>
    <s v="PARQUE LEFEVRE"/>
    <x v="0"/>
  </r>
  <r>
    <x v="23"/>
    <x v="181"/>
    <x v="11"/>
    <x v="11"/>
    <x v="1"/>
    <x v="0"/>
    <x v="51"/>
    <x v="267"/>
    <x v="2243"/>
    <x v="0"/>
    <s v="PARQUE LEFEVRE"/>
    <x v="0"/>
  </r>
  <r>
    <x v="23"/>
    <x v="182"/>
    <x v="2"/>
    <x v="2"/>
    <x v="1"/>
    <x v="0"/>
    <x v="52"/>
    <x v="268"/>
    <x v="2244"/>
    <x v="0"/>
    <s v="PARQUE LEFEVRE"/>
    <x v="0"/>
  </r>
  <r>
    <x v="23"/>
    <x v="183"/>
    <x v="2"/>
    <x v="2"/>
    <x v="1"/>
    <x v="0"/>
    <x v="53"/>
    <x v="269"/>
    <x v="65"/>
    <x v="0"/>
    <s v="PARQUE LEFEVRE"/>
    <x v="0"/>
  </r>
  <r>
    <x v="23"/>
    <x v="174"/>
    <x v="6"/>
    <x v="6"/>
    <x v="1"/>
    <x v="0"/>
    <x v="44"/>
    <x v="260"/>
    <x v="2245"/>
    <x v="0"/>
    <s v="PARQUE LEFEVRE"/>
    <x v="0"/>
  </r>
  <r>
    <x v="23"/>
    <x v="175"/>
    <x v="9"/>
    <x v="9"/>
    <x v="1"/>
    <x v="1"/>
    <x v="45"/>
    <x v="261"/>
    <x v="2246"/>
    <x v="0"/>
    <s v="PARQUE LEFEVRE"/>
    <x v="0"/>
  </r>
  <r>
    <x v="23"/>
    <x v="181"/>
    <x v="11"/>
    <x v="11"/>
    <x v="1"/>
    <x v="1"/>
    <x v="51"/>
    <x v="267"/>
    <x v="1053"/>
    <x v="0"/>
    <s v="PARQUE LEFEVRE"/>
    <x v="0"/>
  </r>
  <r>
    <x v="23"/>
    <x v="174"/>
    <x v="6"/>
    <x v="6"/>
    <x v="1"/>
    <x v="1"/>
    <x v="44"/>
    <x v="260"/>
    <x v="2247"/>
    <x v="0"/>
    <s v="PARQUE LEFEVRE"/>
    <x v="0"/>
  </r>
  <r>
    <x v="24"/>
    <x v="179"/>
    <x v="7"/>
    <x v="7"/>
    <x v="1"/>
    <x v="2"/>
    <x v="49"/>
    <x v="265"/>
    <x v="2248"/>
    <x v="0"/>
    <s v="DAVID"/>
    <x v="0"/>
  </r>
  <r>
    <x v="24"/>
    <x v="171"/>
    <x v="7"/>
    <x v="7"/>
    <x v="1"/>
    <x v="2"/>
    <x v="41"/>
    <x v="257"/>
    <x v="2249"/>
    <x v="0"/>
    <s v="DAVID"/>
    <x v="0"/>
  </r>
  <r>
    <x v="24"/>
    <x v="172"/>
    <x v="8"/>
    <x v="8"/>
    <x v="1"/>
    <x v="2"/>
    <x v="42"/>
    <x v="258"/>
    <x v="2250"/>
    <x v="0"/>
    <s v="DAVID"/>
    <x v="0"/>
  </r>
  <r>
    <x v="24"/>
    <x v="175"/>
    <x v="9"/>
    <x v="9"/>
    <x v="1"/>
    <x v="2"/>
    <x v="45"/>
    <x v="261"/>
    <x v="2251"/>
    <x v="0"/>
    <s v="DAVID"/>
    <x v="0"/>
  </r>
  <r>
    <x v="24"/>
    <x v="180"/>
    <x v="10"/>
    <x v="10"/>
    <x v="1"/>
    <x v="2"/>
    <x v="50"/>
    <x v="266"/>
    <x v="2252"/>
    <x v="0"/>
    <s v="DAVID"/>
    <x v="0"/>
  </r>
  <r>
    <x v="24"/>
    <x v="176"/>
    <x v="10"/>
    <x v="10"/>
    <x v="1"/>
    <x v="2"/>
    <x v="46"/>
    <x v="262"/>
    <x v="2253"/>
    <x v="0"/>
    <s v="DAVID"/>
    <x v="0"/>
  </r>
  <r>
    <x v="24"/>
    <x v="177"/>
    <x v="11"/>
    <x v="11"/>
    <x v="1"/>
    <x v="2"/>
    <x v="47"/>
    <x v="263"/>
    <x v="2254"/>
    <x v="0"/>
    <s v="DAVID"/>
    <x v="0"/>
  </r>
  <r>
    <x v="24"/>
    <x v="181"/>
    <x v="11"/>
    <x v="11"/>
    <x v="1"/>
    <x v="2"/>
    <x v="51"/>
    <x v="267"/>
    <x v="2255"/>
    <x v="0"/>
    <s v="DAVID"/>
    <x v="0"/>
  </r>
  <r>
    <x v="24"/>
    <x v="182"/>
    <x v="2"/>
    <x v="2"/>
    <x v="1"/>
    <x v="2"/>
    <x v="52"/>
    <x v="268"/>
    <x v="2010"/>
    <x v="0"/>
    <s v="DAVID"/>
    <x v="0"/>
  </r>
  <r>
    <x v="24"/>
    <x v="174"/>
    <x v="6"/>
    <x v="6"/>
    <x v="1"/>
    <x v="2"/>
    <x v="44"/>
    <x v="260"/>
    <x v="2256"/>
    <x v="0"/>
    <s v="DAVID"/>
    <x v="0"/>
  </r>
  <r>
    <x v="24"/>
    <x v="179"/>
    <x v="7"/>
    <x v="7"/>
    <x v="1"/>
    <x v="0"/>
    <x v="49"/>
    <x v="265"/>
    <x v="2257"/>
    <x v="0"/>
    <s v="DAVID"/>
    <x v="0"/>
  </r>
  <r>
    <x v="24"/>
    <x v="171"/>
    <x v="7"/>
    <x v="7"/>
    <x v="1"/>
    <x v="0"/>
    <x v="41"/>
    <x v="257"/>
    <x v="2258"/>
    <x v="0"/>
    <s v="DAVID"/>
    <x v="0"/>
  </r>
  <r>
    <x v="24"/>
    <x v="172"/>
    <x v="8"/>
    <x v="8"/>
    <x v="1"/>
    <x v="0"/>
    <x v="42"/>
    <x v="258"/>
    <x v="2259"/>
    <x v="0"/>
    <s v="DAVID"/>
    <x v="0"/>
  </r>
  <r>
    <x v="24"/>
    <x v="173"/>
    <x v="8"/>
    <x v="8"/>
    <x v="1"/>
    <x v="0"/>
    <x v="43"/>
    <x v="259"/>
    <x v="2260"/>
    <x v="0"/>
    <s v="DAVID"/>
    <x v="0"/>
  </r>
  <r>
    <x v="24"/>
    <x v="175"/>
    <x v="9"/>
    <x v="9"/>
    <x v="1"/>
    <x v="0"/>
    <x v="45"/>
    <x v="261"/>
    <x v="2261"/>
    <x v="0"/>
    <s v="DAVID"/>
    <x v="0"/>
  </r>
  <r>
    <x v="24"/>
    <x v="178"/>
    <x v="9"/>
    <x v="9"/>
    <x v="1"/>
    <x v="0"/>
    <x v="48"/>
    <x v="264"/>
    <x v="2262"/>
    <x v="0"/>
    <s v="DAVID"/>
    <x v="0"/>
  </r>
  <r>
    <x v="24"/>
    <x v="180"/>
    <x v="10"/>
    <x v="10"/>
    <x v="1"/>
    <x v="0"/>
    <x v="50"/>
    <x v="266"/>
    <x v="2263"/>
    <x v="0"/>
    <s v="DAVID"/>
    <x v="0"/>
  </r>
  <r>
    <x v="24"/>
    <x v="186"/>
    <x v="10"/>
    <x v="10"/>
    <x v="1"/>
    <x v="0"/>
    <x v="56"/>
    <x v="272"/>
    <x v="2264"/>
    <x v="0"/>
    <s v="DAVID"/>
    <x v="0"/>
  </r>
  <r>
    <x v="24"/>
    <x v="176"/>
    <x v="10"/>
    <x v="10"/>
    <x v="1"/>
    <x v="0"/>
    <x v="46"/>
    <x v="262"/>
    <x v="2265"/>
    <x v="0"/>
    <s v="DAVID"/>
    <x v="0"/>
  </r>
  <r>
    <x v="24"/>
    <x v="177"/>
    <x v="11"/>
    <x v="11"/>
    <x v="1"/>
    <x v="0"/>
    <x v="47"/>
    <x v="263"/>
    <x v="2266"/>
    <x v="0"/>
    <s v="DAVID"/>
    <x v="0"/>
  </r>
  <r>
    <x v="24"/>
    <x v="181"/>
    <x v="11"/>
    <x v="11"/>
    <x v="1"/>
    <x v="0"/>
    <x v="51"/>
    <x v="267"/>
    <x v="2267"/>
    <x v="0"/>
    <s v="DAVID"/>
    <x v="0"/>
  </r>
  <r>
    <x v="24"/>
    <x v="182"/>
    <x v="2"/>
    <x v="2"/>
    <x v="1"/>
    <x v="0"/>
    <x v="52"/>
    <x v="268"/>
    <x v="2268"/>
    <x v="0"/>
    <s v="DAVID"/>
    <x v="0"/>
  </r>
  <r>
    <x v="24"/>
    <x v="183"/>
    <x v="2"/>
    <x v="2"/>
    <x v="1"/>
    <x v="0"/>
    <x v="53"/>
    <x v="269"/>
    <x v="2269"/>
    <x v="0"/>
    <s v="DAVID"/>
    <x v="0"/>
  </r>
  <r>
    <x v="24"/>
    <x v="184"/>
    <x v="6"/>
    <x v="6"/>
    <x v="1"/>
    <x v="0"/>
    <x v="54"/>
    <x v="270"/>
    <x v="2270"/>
    <x v="0"/>
    <s v="DAVID"/>
    <x v="0"/>
  </r>
  <r>
    <x v="24"/>
    <x v="174"/>
    <x v="6"/>
    <x v="6"/>
    <x v="1"/>
    <x v="0"/>
    <x v="44"/>
    <x v="260"/>
    <x v="2271"/>
    <x v="0"/>
    <s v="DAVID"/>
    <x v="0"/>
  </r>
  <r>
    <x v="24"/>
    <x v="179"/>
    <x v="7"/>
    <x v="7"/>
    <x v="1"/>
    <x v="1"/>
    <x v="49"/>
    <x v="265"/>
    <x v="2272"/>
    <x v="0"/>
    <s v="DAVID"/>
    <x v="0"/>
  </r>
  <r>
    <x v="24"/>
    <x v="173"/>
    <x v="8"/>
    <x v="8"/>
    <x v="1"/>
    <x v="1"/>
    <x v="43"/>
    <x v="259"/>
    <x v="2273"/>
    <x v="0"/>
    <s v="DAVID"/>
    <x v="0"/>
  </r>
  <r>
    <x v="24"/>
    <x v="175"/>
    <x v="9"/>
    <x v="9"/>
    <x v="1"/>
    <x v="1"/>
    <x v="45"/>
    <x v="261"/>
    <x v="2274"/>
    <x v="0"/>
    <s v="DAVID"/>
    <x v="0"/>
  </r>
  <r>
    <x v="24"/>
    <x v="182"/>
    <x v="2"/>
    <x v="2"/>
    <x v="1"/>
    <x v="1"/>
    <x v="52"/>
    <x v="268"/>
    <x v="2275"/>
    <x v="0"/>
    <s v="DAVID"/>
    <x v="0"/>
  </r>
  <r>
    <x v="24"/>
    <x v="183"/>
    <x v="2"/>
    <x v="2"/>
    <x v="1"/>
    <x v="1"/>
    <x v="53"/>
    <x v="269"/>
    <x v="2276"/>
    <x v="0"/>
    <s v="DAVID"/>
    <x v="0"/>
  </r>
  <r>
    <x v="24"/>
    <x v="184"/>
    <x v="6"/>
    <x v="6"/>
    <x v="1"/>
    <x v="1"/>
    <x v="54"/>
    <x v="270"/>
    <x v="825"/>
    <x v="0"/>
    <s v="DAVID"/>
    <x v="0"/>
  </r>
  <r>
    <x v="24"/>
    <x v="174"/>
    <x v="6"/>
    <x v="6"/>
    <x v="1"/>
    <x v="1"/>
    <x v="44"/>
    <x v="260"/>
    <x v="2277"/>
    <x v="0"/>
    <s v="DAVID"/>
    <x v="0"/>
  </r>
  <r>
    <x v="25"/>
    <x v="171"/>
    <x v="7"/>
    <x v="7"/>
    <x v="1"/>
    <x v="0"/>
    <x v="41"/>
    <x v="257"/>
    <x v="1621"/>
    <x v="0"/>
    <s v="PLAZA LAS AMERICAS"/>
    <x v="0"/>
  </r>
  <r>
    <x v="25"/>
    <x v="173"/>
    <x v="8"/>
    <x v="8"/>
    <x v="1"/>
    <x v="1"/>
    <x v="43"/>
    <x v="259"/>
    <x v="2278"/>
    <x v="0"/>
    <s v="PLAZA LAS AMERICAS"/>
    <x v="0"/>
  </r>
  <r>
    <x v="26"/>
    <x v="181"/>
    <x v="11"/>
    <x v="11"/>
    <x v="1"/>
    <x v="0"/>
    <x v="51"/>
    <x v="267"/>
    <x v="1558"/>
    <x v="0"/>
    <s v="CORONADO"/>
    <x v="0"/>
  </r>
  <r>
    <x v="26"/>
    <x v="174"/>
    <x v="6"/>
    <x v="6"/>
    <x v="1"/>
    <x v="0"/>
    <x v="44"/>
    <x v="260"/>
    <x v="2279"/>
    <x v="0"/>
    <s v="CORONADO"/>
    <x v="0"/>
  </r>
  <r>
    <x v="26"/>
    <x v="179"/>
    <x v="7"/>
    <x v="7"/>
    <x v="1"/>
    <x v="1"/>
    <x v="49"/>
    <x v="265"/>
    <x v="679"/>
    <x v="0"/>
    <s v="CORONADO"/>
    <x v="0"/>
  </r>
  <r>
    <x v="27"/>
    <x v="173"/>
    <x v="8"/>
    <x v="8"/>
    <x v="1"/>
    <x v="2"/>
    <x v="43"/>
    <x v="259"/>
    <x v="2280"/>
    <x v="0"/>
    <s v="ALBROOK MALL"/>
    <x v="0"/>
  </r>
  <r>
    <x v="27"/>
    <x v="177"/>
    <x v="11"/>
    <x v="11"/>
    <x v="1"/>
    <x v="2"/>
    <x v="47"/>
    <x v="263"/>
    <x v="2281"/>
    <x v="0"/>
    <s v="ALBROOK MALL"/>
    <x v="0"/>
  </r>
  <r>
    <x v="27"/>
    <x v="181"/>
    <x v="11"/>
    <x v="11"/>
    <x v="1"/>
    <x v="2"/>
    <x v="51"/>
    <x v="267"/>
    <x v="2282"/>
    <x v="0"/>
    <s v="ALBROOK MALL"/>
    <x v="0"/>
  </r>
  <r>
    <x v="27"/>
    <x v="182"/>
    <x v="2"/>
    <x v="2"/>
    <x v="1"/>
    <x v="2"/>
    <x v="52"/>
    <x v="268"/>
    <x v="2283"/>
    <x v="0"/>
    <s v="ALBROOK MALL"/>
    <x v="0"/>
  </r>
  <r>
    <x v="27"/>
    <x v="183"/>
    <x v="2"/>
    <x v="2"/>
    <x v="1"/>
    <x v="2"/>
    <x v="53"/>
    <x v="269"/>
    <x v="2284"/>
    <x v="0"/>
    <s v="ALBROOK MALL"/>
    <x v="0"/>
  </r>
  <r>
    <x v="27"/>
    <x v="179"/>
    <x v="7"/>
    <x v="7"/>
    <x v="1"/>
    <x v="0"/>
    <x v="49"/>
    <x v="265"/>
    <x v="2285"/>
    <x v="0"/>
    <s v="ALBROOK MALL"/>
    <x v="0"/>
  </r>
  <r>
    <x v="27"/>
    <x v="171"/>
    <x v="7"/>
    <x v="7"/>
    <x v="1"/>
    <x v="0"/>
    <x v="41"/>
    <x v="257"/>
    <x v="2286"/>
    <x v="0"/>
    <s v="ALBROOK MALL"/>
    <x v="0"/>
  </r>
  <r>
    <x v="27"/>
    <x v="172"/>
    <x v="8"/>
    <x v="8"/>
    <x v="1"/>
    <x v="0"/>
    <x v="42"/>
    <x v="258"/>
    <x v="2287"/>
    <x v="0"/>
    <s v="ALBROOK MALL"/>
    <x v="0"/>
  </r>
  <r>
    <x v="27"/>
    <x v="173"/>
    <x v="8"/>
    <x v="8"/>
    <x v="1"/>
    <x v="0"/>
    <x v="43"/>
    <x v="259"/>
    <x v="2288"/>
    <x v="0"/>
    <s v="ALBROOK MALL"/>
    <x v="0"/>
  </r>
  <r>
    <x v="27"/>
    <x v="175"/>
    <x v="9"/>
    <x v="9"/>
    <x v="1"/>
    <x v="0"/>
    <x v="45"/>
    <x v="261"/>
    <x v="2289"/>
    <x v="0"/>
    <s v="ALBROOK MALL"/>
    <x v="0"/>
  </r>
  <r>
    <x v="27"/>
    <x v="178"/>
    <x v="9"/>
    <x v="9"/>
    <x v="1"/>
    <x v="0"/>
    <x v="48"/>
    <x v="264"/>
    <x v="2290"/>
    <x v="0"/>
    <s v="ALBROOK MALL"/>
    <x v="0"/>
  </r>
  <r>
    <x v="27"/>
    <x v="180"/>
    <x v="10"/>
    <x v="10"/>
    <x v="1"/>
    <x v="0"/>
    <x v="50"/>
    <x v="266"/>
    <x v="2291"/>
    <x v="0"/>
    <s v="ALBROOK MALL"/>
    <x v="0"/>
  </r>
  <r>
    <x v="27"/>
    <x v="176"/>
    <x v="10"/>
    <x v="10"/>
    <x v="1"/>
    <x v="0"/>
    <x v="46"/>
    <x v="262"/>
    <x v="2292"/>
    <x v="0"/>
    <s v="ALBROOK MALL"/>
    <x v="0"/>
  </r>
  <r>
    <x v="27"/>
    <x v="177"/>
    <x v="11"/>
    <x v="11"/>
    <x v="1"/>
    <x v="0"/>
    <x v="47"/>
    <x v="263"/>
    <x v="2293"/>
    <x v="0"/>
    <s v="ALBROOK MALL"/>
    <x v="0"/>
  </r>
  <r>
    <x v="27"/>
    <x v="181"/>
    <x v="11"/>
    <x v="11"/>
    <x v="1"/>
    <x v="0"/>
    <x v="51"/>
    <x v="267"/>
    <x v="2294"/>
    <x v="0"/>
    <s v="ALBROOK MALL"/>
    <x v="0"/>
  </r>
  <r>
    <x v="27"/>
    <x v="182"/>
    <x v="2"/>
    <x v="2"/>
    <x v="1"/>
    <x v="0"/>
    <x v="52"/>
    <x v="268"/>
    <x v="2295"/>
    <x v="0"/>
    <s v="ALBROOK MALL"/>
    <x v="0"/>
  </r>
  <r>
    <x v="27"/>
    <x v="183"/>
    <x v="2"/>
    <x v="2"/>
    <x v="1"/>
    <x v="0"/>
    <x v="53"/>
    <x v="269"/>
    <x v="2296"/>
    <x v="0"/>
    <s v="ALBROOK MALL"/>
    <x v="0"/>
  </r>
  <r>
    <x v="27"/>
    <x v="184"/>
    <x v="6"/>
    <x v="6"/>
    <x v="1"/>
    <x v="0"/>
    <x v="54"/>
    <x v="270"/>
    <x v="2297"/>
    <x v="0"/>
    <s v="ALBROOK MALL"/>
    <x v="0"/>
  </r>
  <r>
    <x v="27"/>
    <x v="174"/>
    <x v="6"/>
    <x v="6"/>
    <x v="1"/>
    <x v="0"/>
    <x v="44"/>
    <x v="260"/>
    <x v="2298"/>
    <x v="0"/>
    <s v="ALBROOK MALL"/>
    <x v="0"/>
  </r>
  <r>
    <x v="27"/>
    <x v="179"/>
    <x v="7"/>
    <x v="7"/>
    <x v="1"/>
    <x v="1"/>
    <x v="49"/>
    <x v="265"/>
    <x v="1873"/>
    <x v="0"/>
    <s v="ALBROOK MALL"/>
    <x v="0"/>
  </r>
  <r>
    <x v="27"/>
    <x v="180"/>
    <x v="10"/>
    <x v="10"/>
    <x v="1"/>
    <x v="1"/>
    <x v="50"/>
    <x v="266"/>
    <x v="505"/>
    <x v="0"/>
    <s v="ALBROOK MALL"/>
    <x v="0"/>
  </r>
  <r>
    <x v="27"/>
    <x v="176"/>
    <x v="10"/>
    <x v="10"/>
    <x v="1"/>
    <x v="1"/>
    <x v="46"/>
    <x v="262"/>
    <x v="2299"/>
    <x v="0"/>
    <s v="ALBROOK MALL"/>
    <x v="0"/>
  </r>
  <r>
    <x v="27"/>
    <x v="177"/>
    <x v="11"/>
    <x v="11"/>
    <x v="1"/>
    <x v="1"/>
    <x v="47"/>
    <x v="263"/>
    <x v="2300"/>
    <x v="0"/>
    <s v="ALBROOK MALL"/>
    <x v="0"/>
  </r>
  <r>
    <x v="27"/>
    <x v="181"/>
    <x v="11"/>
    <x v="11"/>
    <x v="1"/>
    <x v="1"/>
    <x v="51"/>
    <x v="267"/>
    <x v="2301"/>
    <x v="0"/>
    <s v="ALBROOK MALL"/>
    <x v="0"/>
  </r>
  <r>
    <x v="27"/>
    <x v="182"/>
    <x v="2"/>
    <x v="2"/>
    <x v="1"/>
    <x v="1"/>
    <x v="52"/>
    <x v="268"/>
    <x v="2302"/>
    <x v="0"/>
    <s v="ALBROOK MALL"/>
    <x v="0"/>
  </r>
  <r>
    <x v="27"/>
    <x v="183"/>
    <x v="2"/>
    <x v="2"/>
    <x v="1"/>
    <x v="1"/>
    <x v="53"/>
    <x v="269"/>
    <x v="1317"/>
    <x v="0"/>
    <s v="ALBROOK MALL"/>
    <x v="0"/>
  </r>
  <r>
    <x v="27"/>
    <x v="184"/>
    <x v="6"/>
    <x v="6"/>
    <x v="1"/>
    <x v="1"/>
    <x v="54"/>
    <x v="270"/>
    <x v="2303"/>
    <x v="0"/>
    <s v="ALBROOK MALL"/>
    <x v="0"/>
  </r>
  <r>
    <x v="27"/>
    <x v="174"/>
    <x v="6"/>
    <x v="6"/>
    <x v="1"/>
    <x v="1"/>
    <x v="44"/>
    <x v="260"/>
    <x v="2304"/>
    <x v="0"/>
    <s v="ALBROOK MALL"/>
    <x v="0"/>
  </r>
  <r>
    <x v="28"/>
    <x v="181"/>
    <x v="11"/>
    <x v="11"/>
    <x v="1"/>
    <x v="0"/>
    <x v="51"/>
    <x v="267"/>
    <x v="2305"/>
    <x v="0"/>
    <s v="PANAMA PACIFICO"/>
    <x v="0"/>
  </r>
  <r>
    <x v="28"/>
    <x v="181"/>
    <x v="11"/>
    <x v="11"/>
    <x v="1"/>
    <x v="1"/>
    <x v="51"/>
    <x v="267"/>
    <x v="2306"/>
    <x v="0"/>
    <s v="PANAMA PACIFICO"/>
    <x v="0"/>
  </r>
  <r>
    <x v="29"/>
    <x v="179"/>
    <x v="7"/>
    <x v="7"/>
    <x v="1"/>
    <x v="0"/>
    <x v="49"/>
    <x v="265"/>
    <x v="2307"/>
    <x v="0"/>
    <s v="ALBROOK"/>
    <x v="0"/>
  </r>
  <r>
    <x v="29"/>
    <x v="171"/>
    <x v="7"/>
    <x v="7"/>
    <x v="1"/>
    <x v="0"/>
    <x v="41"/>
    <x v="257"/>
    <x v="2308"/>
    <x v="0"/>
    <s v="ALBROOK"/>
    <x v="0"/>
  </r>
  <r>
    <x v="29"/>
    <x v="172"/>
    <x v="8"/>
    <x v="8"/>
    <x v="1"/>
    <x v="0"/>
    <x v="42"/>
    <x v="258"/>
    <x v="2309"/>
    <x v="0"/>
    <s v="ALBROOK"/>
    <x v="0"/>
  </r>
  <r>
    <x v="29"/>
    <x v="173"/>
    <x v="8"/>
    <x v="8"/>
    <x v="1"/>
    <x v="0"/>
    <x v="43"/>
    <x v="259"/>
    <x v="2310"/>
    <x v="0"/>
    <s v="ALBROOK"/>
    <x v="0"/>
  </r>
  <r>
    <x v="29"/>
    <x v="175"/>
    <x v="9"/>
    <x v="9"/>
    <x v="1"/>
    <x v="0"/>
    <x v="45"/>
    <x v="261"/>
    <x v="2311"/>
    <x v="0"/>
    <s v="ALBROOK"/>
    <x v="0"/>
  </r>
  <r>
    <x v="29"/>
    <x v="178"/>
    <x v="9"/>
    <x v="9"/>
    <x v="1"/>
    <x v="0"/>
    <x v="48"/>
    <x v="264"/>
    <x v="2312"/>
    <x v="0"/>
    <s v="ALBROOK"/>
    <x v="0"/>
  </r>
  <r>
    <x v="29"/>
    <x v="180"/>
    <x v="10"/>
    <x v="10"/>
    <x v="1"/>
    <x v="0"/>
    <x v="50"/>
    <x v="266"/>
    <x v="2313"/>
    <x v="0"/>
    <s v="ALBROOK"/>
    <x v="0"/>
  </r>
  <r>
    <x v="29"/>
    <x v="186"/>
    <x v="10"/>
    <x v="10"/>
    <x v="1"/>
    <x v="0"/>
    <x v="56"/>
    <x v="272"/>
    <x v="2314"/>
    <x v="0"/>
    <s v="ALBROOK"/>
    <x v="0"/>
  </r>
  <r>
    <x v="29"/>
    <x v="176"/>
    <x v="10"/>
    <x v="10"/>
    <x v="1"/>
    <x v="0"/>
    <x v="46"/>
    <x v="262"/>
    <x v="2315"/>
    <x v="0"/>
    <s v="ALBROOK"/>
    <x v="0"/>
  </r>
  <r>
    <x v="29"/>
    <x v="177"/>
    <x v="11"/>
    <x v="11"/>
    <x v="1"/>
    <x v="0"/>
    <x v="47"/>
    <x v="263"/>
    <x v="2316"/>
    <x v="0"/>
    <s v="ALBROOK"/>
    <x v="0"/>
  </r>
  <r>
    <x v="29"/>
    <x v="181"/>
    <x v="11"/>
    <x v="11"/>
    <x v="1"/>
    <x v="0"/>
    <x v="51"/>
    <x v="267"/>
    <x v="2317"/>
    <x v="0"/>
    <s v="ALBROOK"/>
    <x v="0"/>
  </r>
  <r>
    <x v="29"/>
    <x v="182"/>
    <x v="2"/>
    <x v="2"/>
    <x v="1"/>
    <x v="0"/>
    <x v="52"/>
    <x v="268"/>
    <x v="2318"/>
    <x v="0"/>
    <s v="ALBROOK"/>
    <x v="0"/>
  </r>
  <r>
    <x v="29"/>
    <x v="183"/>
    <x v="2"/>
    <x v="2"/>
    <x v="1"/>
    <x v="0"/>
    <x v="53"/>
    <x v="269"/>
    <x v="2319"/>
    <x v="0"/>
    <s v="ALBROOK"/>
    <x v="0"/>
  </r>
  <r>
    <x v="29"/>
    <x v="184"/>
    <x v="6"/>
    <x v="6"/>
    <x v="1"/>
    <x v="0"/>
    <x v="54"/>
    <x v="270"/>
    <x v="2320"/>
    <x v="0"/>
    <s v="ALBROOK"/>
    <x v="0"/>
  </r>
  <r>
    <x v="29"/>
    <x v="174"/>
    <x v="6"/>
    <x v="6"/>
    <x v="1"/>
    <x v="0"/>
    <x v="44"/>
    <x v="260"/>
    <x v="2321"/>
    <x v="0"/>
    <s v="ALBROOK"/>
    <x v="0"/>
  </r>
  <r>
    <x v="29"/>
    <x v="172"/>
    <x v="8"/>
    <x v="8"/>
    <x v="1"/>
    <x v="1"/>
    <x v="42"/>
    <x v="258"/>
    <x v="2322"/>
    <x v="0"/>
    <s v="ALBROOK"/>
    <x v="0"/>
  </r>
  <r>
    <x v="29"/>
    <x v="175"/>
    <x v="9"/>
    <x v="9"/>
    <x v="1"/>
    <x v="1"/>
    <x v="45"/>
    <x v="261"/>
    <x v="2323"/>
    <x v="0"/>
    <s v="ALBROOK"/>
    <x v="0"/>
  </r>
  <r>
    <x v="29"/>
    <x v="177"/>
    <x v="11"/>
    <x v="11"/>
    <x v="1"/>
    <x v="1"/>
    <x v="47"/>
    <x v="263"/>
    <x v="2324"/>
    <x v="0"/>
    <s v="ALBROOK"/>
    <x v="0"/>
  </r>
  <r>
    <x v="29"/>
    <x v="174"/>
    <x v="6"/>
    <x v="6"/>
    <x v="1"/>
    <x v="1"/>
    <x v="44"/>
    <x v="260"/>
    <x v="2042"/>
    <x v="0"/>
    <s v="ALBROOK"/>
    <x v="0"/>
  </r>
  <r>
    <x v="30"/>
    <x v="181"/>
    <x v="11"/>
    <x v="11"/>
    <x v="1"/>
    <x v="2"/>
    <x v="51"/>
    <x v="267"/>
    <x v="1313"/>
    <x v="0"/>
    <s v="SUCURSAL DE VISTA ALEGRE"/>
    <x v="0"/>
  </r>
  <r>
    <x v="30"/>
    <x v="184"/>
    <x v="6"/>
    <x v="6"/>
    <x v="1"/>
    <x v="2"/>
    <x v="54"/>
    <x v="270"/>
    <x v="2325"/>
    <x v="0"/>
    <s v="SUCURSAL DE VISTA ALEGRE"/>
    <x v="0"/>
  </r>
  <r>
    <x v="30"/>
    <x v="179"/>
    <x v="7"/>
    <x v="7"/>
    <x v="1"/>
    <x v="0"/>
    <x v="49"/>
    <x v="265"/>
    <x v="2326"/>
    <x v="0"/>
    <s v="SUCURSAL DE VISTA ALEGRE"/>
    <x v="0"/>
  </r>
  <r>
    <x v="30"/>
    <x v="171"/>
    <x v="7"/>
    <x v="7"/>
    <x v="1"/>
    <x v="0"/>
    <x v="41"/>
    <x v="257"/>
    <x v="2327"/>
    <x v="0"/>
    <s v="SUCURSAL DE VISTA ALEGRE"/>
    <x v="0"/>
  </r>
  <r>
    <x v="30"/>
    <x v="172"/>
    <x v="8"/>
    <x v="8"/>
    <x v="1"/>
    <x v="0"/>
    <x v="42"/>
    <x v="258"/>
    <x v="2328"/>
    <x v="0"/>
    <s v="SUCURSAL DE VISTA ALEGRE"/>
    <x v="0"/>
  </r>
  <r>
    <x v="30"/>
    <x v="173"/>
    <x v="8"/>
    <x v="8"/>
    <x v="1"/>
    <x v="0"/>
    <x v="43"/>
    <x v="259"/>
    <x v="2329"/>
    <x v="0"/>
    <s v="SUCURSAL DE VISTA ALEGRE"/>
    <x v="0"/>
  </r>
  <r>
    <x v="30"/>
    <x v="175"/>
    <x v="9"/>
    <x v="9"/>
    <x v="1"/>
    <x v="0"/>
    <x v="45"/>
    <x v="261"/>
    <x v="2330"/>
    <x v="0"/>
    <s v="SUCURSAL DE VISTA ALEGRE"/>
    <x v="0"/>
  </r>
  <r>
    <x v="30"/>
    <x v="178"/>
    <x v="9"/>
    <x v="9"/>
    <x v="1"/>
    <x v="0"/>
    <x v="48"/>
    <x v="264"/>
    <x v="2331"/>
    <x v="0"/>
    <s v="SUCURSAL DE VISTA ALEGRE"/>
    <x v="0"/>
  </r>
  <r>
    <x v="30"/>
    <x v="180"/>
    <x v="10"/>
    <x v="10"/>
    <x v="1"/>
    <x v="0"/>
    <x v="50"/>
    <x v="266"/>
    <x v="2332"/>
    <x v="0"/>
    <s v="SUCURSAL DE VISTA ALEGRE"/>
    <x v="0"/>
  </r>
  <r>
    <x v="30"/>
    <x v="176"/>
    <x v="10"/>
    <x v="10"/>
    <x v="1"/>
    <x v="0"/>
    <x v="46"/>
    <x v="262"/>
    <x v="2333"/>
    <x v="0"/>
    <s v="SUCURSAL DE VISTA ALEGRE"/>
    <x v="0"/>
  </r>
  <r>
    <x v="30"/>
    <x v="177"/>
    <x v="11"/>
    <x v="11"/>
    <x v="1"/>
    <x v="0"/>
    <x v="47"/>
    <x v="263"/>
    <x v="2334"/>
    <x v="0"/>
    <s v="SUCURSAL DE VISTA ALEGRE"/>
    <x v="0"/>
  </r>
  <r>
    <x v="30"/>
    <x v="181"/>
    <x v="11"/>
    <x v="11"/>
    <x v="1"/>
    <x v="0"/>
    <x v="51"/>
    <x v="267"/>
    <x v="2335"/>
    <x v="0"/>
    <s v="SUCURSAL DE VISTA ALEGRE"/>
    <x v="0"/>
  </r>
  <r>
    <x v="30"/>
    <x v="182"/>
    <x v="2"/>
    <x v="2"/>
    <x v="1"/>
    <x v="0"/>
    <x v="52"/>
    <x v="268"/>
    <x v="2336"/>
    <x v="0"/>
    <s v="SUCURSAL DE VISTA ALEGRE"/>
    <x v="0"/>
  </r>
  <r>
    <x v="30"/>
    <x v="183"/>
    <x v="2"/>
    <x v="2"/>
    <x v="1"/>
    <x v="0"/>
    <x v="53"/>
    <x v="269"/>
    <x v="2337"/>
    <x v="0"/>
    <s v="SUCURSAL DE VISTA ALEGRE"/>
    <x v="0"/>
  </r>
  <r>
    <x v="30"/>
    <x v="184"/>
    <x v="6"/>
    <x v="6"/>
    <x v="1"/>
    <x v="0"/>
    <x v="54"/>
    <x v="270"/>
    <x v="476"/>
    <x v="0"/>
    <s v="SUCURSAL DE VISTA ALEGRE"/>
    <x v="0"/>
  </r>
  <r>
    <x v="30"/>
    <x v="174"/>
    <x v="6"/>
    <x v="6"/>
    <x v="1"/>
    <x v="0"/>
    <x v="44"/>
    <x v="260"/>
    <x v="2338"/>
    <x v="0"/>
    <s v="SUCURSAL DE VISTA ALEGRE"/>
    <x v="0"/>
  </r>
  <r>
    <x v="30"/>
    <x v="179"/>
    <x v="7"/>
    <x v="7"/>
    <x v="1"/>
    <x v="1"/>
    <x v="49"/>
    <x v="265"/>
    <x v="2339"/>
    <x v="0"/>
    <s v="SUCURSAL DE VISTA ALEGRE"/>
    <x v="0"/>
  </r>
  <r>
    <x v="30"/>
    <x v="173"/>
    <x v="8"/>
    <x v="8"/>
    <x v="1"/>
    <x v="1"/>
    <x v="43"/>
    <x v="259"/>
    <x v="2340"/>
    <x v="0"/>
    <s v="SUCURSAL DE VISTA ALEGRE"/>
    <x v="0"/>
  </r>
  <r>
    <x v="30"/>
    <x v="178"/>
    <x v="9"/>
    <x v="9"/>
    <x v="1"/>
    <x v="1"/>
    <x v="48"/>
    <x v="264"/>
    <x v="993"/>
    <x v="0"/>
    <s v="SUCURSAL DE VISTA ALEGRE"/>
    <x v="0"/>
  </r>
  <r>
    <x v="30"/>
    <x v="180"/>
    <x v="10"/>
    <x v="10"/>
    <x v="1"/>
    <x v="1"/>
    <x v="50"/>
    <x v="266"/>
    <x v="2341"/>
    <x v="0"/>
    <s v="SUCURSAL DE VISTA ALEGRE"/>
    <x v="0"/>
  </r>
  <r>
    <x v="30"/>
    <x v="176"/>
    <x v="10"/>
    <x v="10"/>
    <x v="1"/>
    <x v="1"/>
    <x v="46"/>
    <x v="262"/>
    <x v="1982"/>
    <x v="0"/>
    <s v="SUCURSAL DE VISTA ALEGRE"/>
    <x v="0"/>
  </r>
  <r>
    <x v="30"/>
    <x v="177"/>
    <x v="11"/>
    <x v="11"/>
    <x v="1"/>
    <x v="1"/>
    <x v="47"/>
    <x v="263"/>
    <x v="2342"/>
    <x v="0"/>
    <s v="SUCURSAL DE VISTA ALEGRE"/>
    <x v="0"/>
  </r>
  <r>
    <x v="30"/>
    <x v="181"/>
    <x v="11"/>
    <x v="11"/>
    <x v="1"/>
    <x v="1"/>
    <x v="51"/>
    <x v="267"/>
    <x v="400"/>
    <x v="0"/>
    <s v="SUCURSAL DE VISTA ALEGRE"/>
    <x v="0"/>
  </r>
  <r>
    <x v="30"/>
    <x v="183"/>
    <x v="2"/>
    <x v="2"/>
    <x v="1"/>
    <x v="1"/>
    <x v="53"/>
    <x v="269"/>
    <x v="2343"/>
    <x v="0"/>
    <s v="SUCURSAL DE VISTA ALEGRE"/>
    <x v="0"/>
  </r>
  <r>
    <x v="30"/>
    <x v="184"/>
    <x v="6"/>
    <x v="6"/>
    <x v="1"/>
    <x v="1"/>
    <x v="54"/>
    <x v="270"/>
    <x v="2344"/>
    <x v="0"/>
    <s v="SUCURSAL DE VISTA ALEGRE"/>
    <x v="0"/>
  </r>
  <r>
    <x v="30"/>
    <x v="174"/>
    <x v="6"/>
    <x v="6"/>
    <x v="1"/>
    <x v="1"/>
    <x v="44"/>
    <x v="260"/>
    <x v="2345"/>
    <x v="0"/>
    <s v="SUCURSAL DE VISTA ALEGRE"/>
    <x v="0"/>
  </r>
  <r>
    <x v="31"/>
    <x v="171"/>
    <x v="7"/>
    <x v="7"/>
    <x v="1"/>
    <x v="0"/>
    <x v="41"/>
    <x v="257"/>
    <x v="2346"/>
    <x v="0"/>
    <s v="LAS TABLAS"/>
    <x v="0"/>
  </r>
  <r>
    <x v="31"/>
    <x v="176"/>
    <x v="10"/>
    <x v="10"/>
    <x v="1"/>
    <x v="1"/>
    <x v="46"/>
    <x v="262"/>
    <x v="2347"/>
    <x v="0"/>
    <s v="LAS TABLAS"/>
    <x v="0"/>
  </r>
  <r>
    <x v="31"/>
    <x v="177"/>
    <x v="11"/>
    <x v="11"/>
    <x v="1"/>
    <x v="1"/>
    <x v="47"/>
    <x v="263"/>
    <x v="2348"/>
    <x v="0"/>
    <s v="LAS TABLAS"/>
    <x v="0"/>
  </r>
  <r>
    <x v="32"/>
    <x v="171"/>
    <x v="7"/>
    <x v="7"/>
    <x v="1"/>
    <x v="0"/>
    <x v="41"/>
    <x v="257"/>
    <x v="2349"/>
    <x v="0"/>
    <s v="24 DE DICIEMBRE"/>
    <x v="0"/>
  </r>
  <r>
    <x v="33"/>
    <x v="176"/>
    <x v="10"/>
    <x v="10"/>
    <x v="1"/>
    <x v="2"/>
    <x v="46"/>
    <x v="262"/>
    <x v="2350"/>
    <x v="0"/>
    <s v="DAVID - TERRONAL"/>
    <x v="0"/>
  </r>
  <r>
    <x v="33"/>
    <x v="174"/>
    <x v="6"/>
    <x v="6"/>
    <x v="1"/>
    <x v="0"/>
    <x v="44"/>
    <x v="260"/>
    <x v="2351"/>
    <x v="0"/>
    <s v="DAVID - TERRONAL"/>
    <x v="0"/>
  </r>
  <r>
    <x v="34"/>
    <x v="179"/>
    <x v="7"/>
    <x v="7"/>
    <x v="1"/>
    <x v="0"/>
    <x v="49"/>
    <x v="265"/>
    <x v="2352"/>
    <x v="0"/>
    <s v="COSTA DEL ESTE"/>
    <x v="0"/>
  </r>
  <r>
    <x v="34"/>
    <x v="171"/>
    <x v="7"/>
    <x v="7"/>
    <x v="1"/>
    <x v="0"/>
    <x v="41"/>
    <x v="257"/>
    <x v="2353"/>
    <x v="0"/>
    <s v="COSTA DEL ESTE"/>
    <x v="0"/>
  </r>
  <r>
    <x v="34"/>
    <x v="172"/>
    <x v="8"/>
    <x v="8"/>
    <x v="1"/>
    <x v="0"/>
    <x v="42"/>
    <x v="258"/>
    <x v="2354"/>
    <x v="0"/>
    <s v="COSTA DEL ESTE"/>
    <x v="0"/>
  </r>
  <r>
    <x v="34"/>
    <x v="173"/>
    <x v="8"/>
    <x v="8"/>
    <x v="1"/>
    <x v="0"/>
    <x v="43"/>
    <x v="259"/>
    <x v="2355"/>
    <x v="0"/>
    <s v="COSTA DEL ESTE"/>
    <x v="0"/>
  </r>
  <r>
    <x v="34"/>
    <x v="175"/>
    <x v="9"/>
    <x v="9"/>
    <x v="1"/>
    <x v="0"/>
    <x v="45"/>
    <x v="261"/>
    <x v="2356"/>
    <x v="0"/>
    <s v="COSTA DEL ESTE"/>
    <x v="0"/>
  </r>
  <r>
    <x v="34"/>
    <x v="178"/>
    <x v="9"/>
    <x v="9"/>
    <x v="1"/>
    <x v="0"/>
    <x v="48"/>
    <x v="264"/>
    <x v="2357"/>
    <x v="0"/>
    <s v="COSTA DEL ESTE"/>
    <x v="0"/>
  </r>
  <r>
    <x v="34"/>
    <x v="180"/>
    <x v="10"/>
    <x v="10"/>
    <x v="1"/>
    <x v="0"/>
    <x v="50"/>
    <x v="266"/>
    <x v="2358"/>
    <x v="0"/>
    <s v="COSTA DEL ESTE"/>
    <x v="0"/>
  </r>
  <r>
    <x v="34"/>
    <x v="176"/>
    <x v="10"/>
    <x v="10"/>
    <x v="1"/>
    <x v="0"/>
    <x v="46"/>
    <x v="262"/>
    <x v="2359"/>
    <x v="0"/>
    <s v="COSTA DEL ESTE"/>
    <x v="0"/>
  </r>
  <r>
    <x v="34"/>
    <x v="187"/>
    <x v="11"/>
    <x v="11"/>
    <x v="1"/>
    <x v="0"/>
    <x v="57"/>
    <x v="273"/>
    <x v="2360"/>
    <x v="0"/>
    <s v="COSTA DEL ESTE"/>
    <x v="0"/>
  </r>
  <r>
    <x v="34"/>
    <x v="177"/>
    <x v="11"/>
    <x v="11"/>
    <x v="1"/>
    <x v="0"/>
    <x v="47"/>
    <x v="263"/>
    <x v="2361"/>
    <x v="0"/>
    <s v="COSTA DEL ESTE"/>
    <x v="0"/>
  </r>
  <r>
    <x v="34"/>
    <x v="181"/>
    <x v="11"/>
    <x v="11"/>
    <x v="1"/>
    <x v="0"/>
    <x v="51"/>
    <x v="267"/>
    <x v="2362"/>
    <x v="0"/>
    <s v="COSTA DEL ESTE"/>
    <x v="0"/>
  </r>
  <r>
    <x v="34"/>
    <x v="182"/>
    <x v="2"/>
    <x v="2"/>
    <x v="1"/>
    <x v="0"/>
    <x v="52"/>
    <x v="268"/>
    <x v="2363"/>
    <x v="0"/>
    <s v="COSTA DEL ESTE"/>
    <x v="0"/>
  </r>
  <r>
    <x v="34"/>
    <x v="183"/>
    <x v="2"/>
    <x v="2"/>
    <x v="1"/>
    <x v="0"/>
    <x v="53"/>
    <x v="269"/>
    <x v="2364"/>
    <x v="0"/>
    <s v="COSTA DEL ESTE"/>
    <x v="0"/>
  </r>
  <r>
    <x v="34"/>
    <x v="184"/>
    <x v="6"/>
    <x v="6"/>
    <x v="1"/>
    <x v="0"/>
    <x v="54"/>
    <x v="270"/>
    <x v="2321"/>
    <x v="0"/>
    <s v="COSTA DEL ESTE"/>
    <x v="0"/>
  </r>
  <r>
    <x v="34"/>
    <x v="188"/>
    <x v="6"/>
    <x v="6"/>
    <x v="1"/>
    <x v="0"/>
    <x v="58"/>
    <x v="274"/>
    <x v="2365"/>
    <x v="0"/>
    <s v="COSTA DEL ESTE"/>
    <x v="0"/>
  </r>
  <r>
    <x v="34"/>
    <x v="174"/>
    <x v="6"/>
    <x v="6"/>
    <x v="1"/>
    <x v="0"/>
    <x v="44"/>
    <x v="260"/>
    <x v="2366"/>
    <x v="0"/>
    <s v="COSTA DEL ESTE"/>
    <x v="0"/>
  </r>
  <r>
    <x v="34"/>
    <x v="179"/>
    <x v="7"/>
    <x v="7"/>
    <x v="1"/>
    <x v="1"/>
    <x v="49"/>
    <x v="265"/>
    <x v="2367"/>
    <x v="0"/>
    <s v="COSTA DEL ESTE"/>
    <x v="0"/>
  </r>
  <r>
    <x v="34"/>
    <x v="175"/>
    <x v="9"/>
    <x v="9"/>
    <x v="1"/>
    <x v="1"/>
    <x v="45"/>
    <x v="261"/>
    <x v="2244"/>
    <x v="0"/>
    <s v="COSTA DEL ESTE"/>
    <x v="0"/>
  </r>
  <r>
    <x v="34"/>
    <x v="178"/>
    <x v="9"/>
    <x v="9"/>
    <x v="1"/>
    <x v="1"/>
    <x v="48"/>
    <x v="264"/>
    <x v="2368"/>
    <x v="0"/>
    <s v="COSTA DEL ESTE"/>
    <x v="0"/>
  </r>
  <r>
    <x v="34"/>
    <x v="180"/>
    <x v="10"/>
    <x v="10"/>
    <x v="1"/>
    <x v="1"/>
    <x v="50"/>
    <x v="266"/>
    <x v="2369"/>
    <x v="0"/>
    <s v="COSTA DEL ESTE"/>
    <x v="0"/>
  </r>
  <r>
    <x v="34"/>
    <x v="177"/>
    <x v="11"/>
    <x v="11"/>
    <x v="1"/>
    <x v="1"/>
    <x v="47"/>
    <x v="263"/>
    <x v="2370"/>
    <x v="0"/>
    <s v="COSTA DEL ESTE"/>
    <x v="0"/>
  </r>
  <r>
    <x v="34"/>
    <x v="182"/>
    <x v="2"/>
    <x v="2"/>
    <x v="1"/>
    <x v="1"/>
    <x v="52"/>
    <x v="268"/>
    <x v="2371"/>
    <x v="0"/>
    <s v="COSTA DEL ESTE"/>
    <x v="0"/>
  </r>
  <r>
    <x v="34"/>
    <x v="183"/>
    <x v="2"/>
    <x v="2"/>
    <x v="1"/>
    <x v="1"/>
    <x v="53"/>
    <x v="269"/>
    <x v="2372"/>
    <x v="0"/>
    <s v="COSTA DEL ESTE"/>
    <x v="0"/>
  </r>
  <r>
    <x v="34"/>
    <x v="184"/>
    <x v="6"/>
    <x v="6"/>
    <x v="1"/>
    <x v="1"/>
    <x v="54"/>
    <x v="270"/>
    <x v="2373"/>
    <x v="0"/>
    <s v="COSTA DEL ESTE"/>
    <x v="0"/>
  </r>
  <r>
    <x v="34"/>
    <x v="174"/>
    <x v="6"/>
    <x v="6"/>
    <x v="1"/>
    <x v="1"/>
    <x v="44"/>
    <x v="260"/>
    <x v="2374"/>
    <x v="0"/>
    <s v="COSTA DEL ESTE"/>
    <x v="0"/>
  </r>
  <r>
    <x v="35"/>
    <x v="181"/>
    <x v="11"/>
    <x v="11"/>
    <x v="1"/>
    <x v="2"/>
    <x v="51"/>
    <x v="267"/>
    <x v="2375"/>
    <x v="0"/>
    <s v="MULTI PLAZA"/>
    <x v="0"/>
  </r>
  <r>
    <x v="35"/>
    <x v="179"/>
    <x v="7"/>
    <x v="7"/>
    <x v="1"/>
    <x v="0"/>
    <x v="49"/>
    <x v="265"/>
    <x v="2376"/>
    <x v="0"/>
    <s v="MULTI PLAZA"/>
    <x v="0"/>
  </r>
  <r>
    <x v="35"/>
    <x v="171"/>
    <x v="7"/>
    <x v="7"/>
    <x v="1"/>
    <x v="0"/>
    <x v="41"/>
    <x v="257"/>
    <x v="2377"/>
    <x v="0"/>
    <s v="MULTI PLAZA"/>
    <x v="0"/>
  </r>
  <r>
    <x v="35"/>
    <x v="172"/>
    <x v="8"/>
    <x v="8"/>
    <x v="1"/>
    <x v="0"/>
    <x v="42"/>
    <x v="258"/>
    <x v="2378"/>
    <x v="0"/>
    <s v="MULTI PLAZA"/>
    <x v="0"/>
  </r>
  <r>
    <x v="35"/>
    <x v="173"/>
    <x v="8"/>
    <x v="8"/>
    <x v="1"/>
    <x v="0"/>
    <x v="43"/>
    <x v="259"/>
    <x v="2379"/>
    <x v="0"/>
    <s v="MULTI PLAZA"/>
    <x v="0"/>
  </r>
  <r>
    <x v="35"/>
    <x v="175"/>
    <x v="9"/>
    <x v="9"/>
    <x v="1"/>
    <x v="0"/>
    <x v="45"/>
    <x v="261"/>
    <x v="271"/>
    <x v="0"/>
    <s v="MULTI PLAZA"/>
    <x v="0"/>
  </r>
  <r>
    <x v="35"/>
    <x v="178"/>
    <x v="9"/>
    <x v="9"/>
    <x v="1"/>
    <x v="0"/>
    <x v="48"/>
    <x v="264"/>
    <x v="2380"/>
    <x v="0"/>
    <s v="MULTI PLAZA"/>
    <x v="0"/>
  </r>
  <r>
    <x v="35"/>
    <x v="180"/>
    <x v="10"/>
    <x v="10"/>
    <x v="1"/>
    <x v="0"/>
    <x v="50"/>
    <x v="266"/>
    <x v="2381"/>
    <x v="0"/>
    <s v="MULTI PLAZA"/>
    <x v="0"/>
  </r>
  <r>
    <x v="35"/>
    <x v="176"/>
    <x v="10"/>
    <x v="10"/>
    <x v="1"/>
    <x v="0"/>
    <x v="46"/>
    <x v="262"/>
    <x v="2382"/>
    <x v="0"/>
    <s v="MULTI PLAZA"/>
    <x v="0"/>
  </r>
  <r>
    <x v="35"/>
    <x v="177"/>
    <x v="11"/>
    <x v="11"/>
    <x v="1"/>
    <x v="0"/>
    <x v="47"/>
    <x v="263"/>
    <x v="2383"/>
    <x v="0"/>
    <s v="MULTI PLAZA"/>
    <x v="0"/>
  </r>
  <r>
    <x v="35"/>
    <x v="181"/>
    <x v="11"/>
    <x v="11"/>
    <x v="1"/>
    <x v="0"/>
    <x v="51"/>
    <x v="267"/>
    <x v="2384"/>
    <x v="0"/>
    <s v="MULTI PLAZA"/>
    <x v="0"/>
  </r>
  <r>
    <x v="35"/>
    <x v="182"/>
    <x v="2"/>
    <x v="2"/>
    <x v="1"/>
    <x v="0"/>
    <x v="52"/>
    <x v="268"/>
    <x v="2385"/>
    <x v="0"/>
    <s v="MULTI PLAZA"/>
    <x v="0"/>
  </r>
  <r>
    <x v="35"/>
    <x v="183"/>
    <x v="2"/>
    <x v="2"/>
    <x v="1"/>
    <x v="0"/>
    <x v="53"/>
    <x v="269"/>
    <x v="2386"/>
    <x v="0"/>
    <s v="MULTI PLAZA"/>
    <x v="0"/>
  </r>
  <r>
    <x v="35"/>
    <x v="184"/>
    <x v="6"/>
    <x v="6"/>
    <x v="1"/>
    <x v="0"/>
    <x v="54"/>
    <x v="270"/>
    <x v="2387"/>
    <x v="0"/>
    <s v="MULTI PLAZA"/>
    <x v="0"/>
  </r>
  <r>
    <x v="35"/>
    <x v="174"/>
    <x v="6"/>
    <x v="6"/>
    <x v="1"/>
    <x v="0"/>
    <x v="44"/>
    <x v="260"/>
    <x v="2388"/>
    <x v="0"/>
    <s v="MULTI PLAZA"/>
    <x v="0"/>
  </r>
  <r>
    <x v="35"/>
    <x v="172"/>
    <x v="8"/>
    <x v="8"/>
    <x v="1"/>
    <x v="1"/>
    <x v="42"/>
    <x v="258"/>
    <x v="2389"/>
    <x v="0"/>
    <s v="MULTI PLAZA"/>
    <x v="0"/>
  </r>
  <r>
    <x v="35"/>
    <x v="180"/>
    <x v="10"/>
    <x v="10"/>
    <x v="1"/>
    <x v="1"/>
    <x v="50"/>
    <x v="266"/>
    <x v="56"/>
    <x v="0"/>
    <s v="MULTI PLAZA"/>
    <x v="0"/>
  </r>
  <r>
    <x v="35"/>
    <x v="181"/>
    <x v="11"/>
    <x v="11"/>
    <x v="1"/>
    <x v="1"/>
    <x v="51"/>
    <x v="267"/>
    <x v="2390"/>
    <x v="0"/>
    <s v="MULTI PLAZA"/>
    <x v="0"/>
  </r>
  <r>
    <x v="35"/>
    <x v="174"/>
    <x v="6"/>
    <x v="6"/>
    <x v="1"/>
    <x v="1"/>
    <x v="44"/>
    <x v="260"/>
    <x v="2391"/>
    <x v="0"/>
    <s v="MULTI PLAZA"/>
    <x v="0"/>
  </r>
  <r>
    <x v="77"/>
    <x v="171"/>
    <x v="7"/>
    <x v="7"/>
    <x v="1"/>
    <x v="0"/>
    <x v="41"/>
    <x v="257"/>
    <x v="2392"/>
    <x v="0"/>
    <s v="HOSPITAL PUNTA PACIFICA"/>
    <x v="0"/>
  </r>
  <r>
    <x v="77"/>
    <x v="174"/>
    <x v="6"/>
    <x v="6"/>
    <x v="1"/>
    <x v="0"/>
    <x v="44"/>
    <x v="260"/>
    <x v="899"/>
    <x v="0"/>
    <s v="HOSPITAL PUNTA PACIFICA"/>
    <x v="0"/>
  </r>
  <r>
    <x v="36"/>
    <x v="178"/>
    <x v="9"/>
    <x v="9"/>
    <x v="1"/>
    <x v="2"/>
    <x v="48"/>
    <x v="264"/>
    <x v="2393"/>
    <x v="0"/>
    <s v="TERMINAL DE ALBROOK"/>
    <x v="0"/>
  </r>
  <r>
    <x v="36"/>
    <x v="182"/>
    <x v="2"/>
    <x v="2"/>
    <x v="1"/>
    <x v="2"/>
    <x v="52"/>
    <x v="268"/>
    <x v="2394"/>
    <x v="0"/>
    <s v="TERMINAL DE ALBROOK"/>
    <x v="0"/>
  </r>
  <r>
    <x v="36"/>
    <x v="174"/>
    <x v="6"/>
    <x v="6"/>
    <x v="1"/>
    <x v="2"/>
    <x v="44"/>
    <x v="260"/>
    <x v="2395"/>
    <x v="0"/>
    <s v="TERMINAL DE ALBROOK"/>
    <x v="0"/>
  </r>
  <r>
    <x v="36"/>
    <x v="179"/>
    <x v="7"/>
    <x v="7"/>
    <x v="1"/>
    <x v="0"/>
    <x v="49"/>
    <x v="265"/>
    <x v="2396"/>
    <x v="0"/>
    <s v="TERMINAL DE ALBROOK"/>
    <x v="0"/>
  </r>
  <r>
    <x v="36"/>
    <x v="171"/>
    <x v="7"/>
    <x v="7"/>
    <x v="1"/>
    <x v="0"/>
    <x v="41"/>
    <x v="257"/>
    <x v="2397"/>
    <x v="0"/>
    <s v="TERMINAL DE ALBROOK"/>
    <x v="0"/>
  </r>
  <r>
    <x v="36"/>
    <x v="172"/>
    <x v="8"/>
    <x v="8"/>
    <x v="1"/>
    <x v="0"/>
    <x v="42"/>
    <x v="258"/>
    <x v="2398"/>
    <x v="0"/>
    <s v="TERMINAL DE ALBROOK"/>
    <x v="0"/>
  </r>
  <r>
    <x v="36"/>
    <x v="173"/>
    <x v="8"/>
    <x v="8"/>
    <x v="1"/>
    <x v="0"/>
    <x v="43"/>
    <x v="259"/>
    <x v="2399"/>
    <x v="0"/>
    <s v="TERMINAL DE ALBROOK"/>
    <x v="0"/>
  </r>
  <r>
    <x v="36"/>
    <x v="175"/>
    <x v="9"/>
    <x v="9"/>
    <x v="1"/>
    <x v="0"/>
    <x v="45"/>
    <x v="261"/>
    <x v="2400"/>
    <x v="0"/>
    <s v="TERMINAL DE ALBROOK"/>
    <x v="0"/>
  </r>
  <r>
    <x v="36"/>
    <x v="178"/>
    <x v="9"/>
    <x v="9"/>
    <x v="1"/>
    <x v="0"/>
    <x v="48"/>
    <x v="264"/>
    <x v="2401"/>
    <x v="0"/>
    <s v="TERMINAL DE ALBROOK"/>
    <x v="0"/>
  </r>
  <r>
    <x v="36"/>
    <x v="180"/>
    <x v="10"/>
    <x v="10"/>
    <x v="1"/>
    <x v="0"/>
    <x v="50"/>
    <x v="266"/>
    <x v="2402"/>
    <x v="0"/>
    <s v="TERMINAL DE ALBROOK"/>
    <x v="0"/>
  </r>
  <r>
    <x v="36"/>
    <x v="176"/>
    <x v="10"/>
    <x v="10"/>
    <x v="1"/>
    <x v="0"/>
    <x v="46"/>
    <x v="262"/>
    <x v="2403"/>
    <x v="0"/>
    <s v="TERMINAL DE ALBROOK"/>
    <x v="0"/>
  </r>
  <r>
    <x v="36"/>
    <x v="177"/>
    <x v="11"/>
    <x v="11"/>
    <x v="1"/>
    <x v="0"/>
    <x v="47"/>
    <x v="263"/>
    <x v="2404"/>
    <x v="0"/>
    <s v="TERMINAL DE ALBROOK"/>
    <x v="0"/>
  </r>
  <r>
    <x v="36"/>
    <x v="181"/>
    <x v="11"/>
    <x v="11"/>
    <x v="1"/>
    <x v="0"/>
    <x v="51"/>
    <x v="267"/>
    <x v="2405"/>
    <x v="0"/>
    <s v="TERMINAL DE ALBROOK"/>
    <x v="0"/>
  </r>
  <r>
    <x v="36"/>
    <x v="182"/>
    <x v="2"/>
    <x v="2"/>
    <x v="1"/>
    <x v="0"/>
    <x v="52"/>
    <x v="268"/>
    <x v="2406"/>
    <x v="0"/>
    <s v="TERMINAL DE ALBROOK"/>
    <x v="0"/>
  </r>
  <r>
    <x v="36"/>
    <x v="183"/>
    <x v="2"/>
    <x v="2"/>
    <x v="1"/>
    <x v="0"/>
    <x v="53"/>
    <x v="269"/>
    <x v="2407"/>
    <x v="0"/>
    <s v="TERMINAL DE ALBROOK"/>
    <x v="0"/>
  </r>
  <r>
    <x v="36"/>
    <x v="184"/>
    <x v="6"/>
    <x v="6"/>
    <x v="1"/>
    <x v="0"/>
    <x v="54"/>
    <x v="270"/>
    <x v="2408"/>
    <x v="0"/>
    <s v="TERMINAL DE ALBROOK"/>
    <x v="0"/>
  </r>
  <r>
    <x v="36"/>
    <x v="174"/>
    <x v="6"/>
    <x v="6"/>
    <x v="1"/>
    <x v="0"/>
    <x v="44"/>
    <x v="260"/>
    <x v="2409"/>
    <x v="0"/>
    <s v="TERMINAL DE ALBROOK"/>
    <x v="0"/>
  </r>
  <r>
    <x v="36"/>
    <x v="171"/>
    <x v="7"/>
    <x v="7"/>
    <x v="1"/>
    <x v="1"/>
    <x v="41"/>
    <x v="257"/>
    <x v="2410"/>
    <x v="0"/>
    <s v="TERMINAL DE ALBROOK"/>
    <x v="0"/>
  </r>
  <r>
    <x v="36"/>
    <x v="172"/>
    <x v="8"/>
    <x v="8"/>
    <x v="1"/>
    <x v="1"/>
    <x v="42"/>
    <x v="258"/>
    <x v="438"/>
    <x v="0"/>
    <s v="TERMINAL DE ALBROOK"/>
    <x v="0"/>
  </r>
  <r>
    <x v="36"/>
    <x v="175"/>
    <x v="9"/>
    <x v="9"/>
    <x v="1"/>
    <x v="1"/>
    <x v="45"/>
    <x v="261"/>
    <x v="2411"/>
    <x v="0"/>
    <s v="TERMINAL DE ALBROOK"/>
    <x v="0"/>
  </r>
  <r>
    <x v="36"/>
    <x v="178"/>
    <x v="9"/>
    <x v="9"/>
    <x v="1"/>
    <x v="1"/>
    <x v="48"/>
    <x v="264"/>
    <x v="2412"/>
    <x v="0"/>
    <s v="TERMINAL DE ALBROOK"/>
    <x v="0"/>
  </r>
  <r>
    <x v="36"/>
    <x v="180"/>
    <x v="10"/>
    <x v="10"/>
    <x v="1"/>
    <x v="1"/>
    <x v="50"/>
    <x v="266"/>
    <x v="2413"/>
    <x v="0"/>
    <s v="TERMINAL DE ALBROOK"/>
    <x v="0"/>
  </r>
  <r>
    <x v="36"/>
    <x v="177"/>
    <x v="11"/>
    <x v="11"/>
    <x v="1"/>
    <x v="1"/>
    <x v="47"/>
    <x v="263"/>
    <x v="2414"/>
    <x v="0"/>
    <s v="TERMINAL DE ALBROOK"/>
    <x v="0"/>
  </r>
  <r>
    <x v="36"/>
    <x v="181"/>
    <x v="11"/>
    <x v="11"/>
    <x v="1"/>
    <x v="1"/>
    <x v="51"/>
    <x v="267"/>
    <x v="2415"/>
    <x v="0"/>
    <s v="TERMINAL DE ALBROOK"/>
    <x v="0"/>
  </r>
  <r>
    <x v="36"/>
    <x v="183"/>
    <x v="2"/>
    <x v="2"/>
    <x v="1"/>
    <x v="1"/>
    <x v="53"/>
    <x v="269"/>
    <x v="2"/>
    <x v="0"/>
    <s v="TERMINAL DE ALBROOK"/>
    <x v="0"/>
  </r>
  <r>
    <x v="36"/>
    <x v="184"/>
    <x v="6"/>
    <x v="6"/>
    <x v="1"/>
    <x v="1"/>
    <x v="54"/>
    <x v="270"/>
    <x v="2416"/>
    <x v="0"/>
    <s v="TERMINAL DE ALBROOK"/>
    <x v="0"/>
  </r>
  <r>
    <x v="36"/>
    <x v="174"/>
    <x v="6"/>
    <x v="6"/>
    <x v="1"/>
    <x v="1"/>
    <x v="44"/>
    <x v="260"/>
    <x v="2417"/>
    <x v="0"/>
    <s v="TERMINAL DE ALBROOK"/>
    <x v="0"/>
  </r>
  <r>
    <x v="37"/>
    <x v="174"/>
    <x v="6"/>
    <x v="6"/>
    <x v="1"/>
    <x v="2"/>
    <x v="44"/>
    <x v="260"/>
    <x v="2418"/>
    <x v="0"/>
    <s v="CONCEPCION"/>
    <x v="0"/>
  </r>
  <r>
    <x v="37"/>
    <x v="171"/>
    <x v="7"/>
    <x v="7"/>
    <x v="1"/>
    <x v="0"/>
    <x v="41"/>
    <x v="257"/>
    <x v="248"/>
    <x v="0"/>
    <s v="CONCEPCION"/>
    <x v="0"/>
  </r>
  <r>
    <x v="39"/>
    <x v="179"/>
    <x v="7"/>
    <x v="7"/>
    <x v="1"/>
    <x v="2"/>
    <x v="49"/>
    <x v="265"/>
    <x v="2419"/>
    <x v="0"/>
    <s v="BRISAS DEL GOLF"/>
    <x v="0"/>
  </r>
  <r>
    <x v="39"/>
    <x v="179"/>
    <x v="7"/>
    <x v="7"/>
    <x v="1"/>
    <x v="0"/>
    <x v="49"/>
    <x v="265"/>
    <x v="2420"/>
    <x v="0"/>
    <s v="BRISAS DEL GOLF"/>
    <x v="0"/>
  </r>
  <r>
    <x v="39"/>
    <x v="171"/>
    <x v="7"/>
    <x v="7"/>
    <x v="1"/>
    <x v="0"/>
    <x v="41"/>
    <x v="257"/>
    <x v="2421"/>
    <x v="0"/>
    <s v="BRISAS DEL GOLF"/>
    <x v="0"/>
  </r>
  <r>
    <x v="39"/>
    <x v="172"/>
    <x v="8"/>
    <x v="8"/>
    <x v="1"/>
    <x v="0"/>
    <x v="42"/>
    <x v="258"/>
    <x v="2422"/>
    <x v="0"/>
    <s v="BRISAS DEL GOLF"/>
    <x v="0"/>
  </r>
  <r>
    <x v="39"/>
    <x v="175"/>
    <x v="9"/>
    <x v="9"/>
    <x v="1"/>
    <x v="0"/>
    <x v="45"/>
    <x v="261"/>
    <x v="2423"/>
    <x v="0"/>
    <s v="BRISAS DEL GOLF"/>
    <x v="0"/>
  </r>
  <r>
    <x v="39"/>
    <x v="178"/>
    <x v="9"/>
    <x v="9"/>
    <x v="1"/>
    <x v="0"/>
    <x v="48"/>
    <x v="264"/>
    <x v="2424"/>
    <x v="0"/>
    <s v="BRISAS DEL GOLF"/>
    <x v="0"/>
  </r>
  <r>
    <x v="39"/>
    <x v="180"/>
    <x v="10"/>
    <x v="10"/>
    <x v="1"/>
    <x v="0"/>
    <x v="50"/>
    <x v="266"/>
    <x v="2425"/>
    <x v="0"/>
    <s v="BRISAS DEL GOLF"/>
    <x v="0"/>
  </r>
  <r>
    <x v="39"/>
    <x v="176"/>
    <x v="10"/>
    <x v="10"/>
    <x v="1"/>
    <x v="0"/>
    <x v="46"/>
    <x v="262"/>
    <x v="2426"/>
    <x v="0"/>
    <s v="BRISAS DEL GOLF"/>
    <x v="0"/>
  </r>
  <r>
    <x v="39"/>
    <x v="177"/>
    <x v="11"/>
    <x v="11"/>
    <x v="1"/>
    <x v="0"/>
    <x v="47"/>
    <x v="263"/>
    <x v="2427"/>
    <x v="0"/>
    <s v="BRISAS DEL GOLF"/>
    <x v="0"/>
  </r>
  <r>
    <x v="39"/>
    <x v="181"/>
    <x v="11"/>
    <x v="11"/>
    <x v="1"/>
    <x v="0"/>
    <x v="51"/>
    <x v="267"/>
    <x v="2428"/>
    <x v="0"/>
    <s v="BRISAS DEL GOLF"/>
    <x v="0"/>
  </r>
  <r>
    <x v="39"/>
    <x v="182"/>
    <x v="2"/>
    <x v="2"/>
    <x v="1"/>
    <x v="0"/>
    <x v="52"/>
    <x v="268"/>
    <x v="2429"/>
    <x v="0"/>
    <s v="BRISAS DEL GOLF"/>
    <x v="0"/>
  </r>
  <r>
    <x v="39"/>
    <x v="183"/>
    <x v="2"/>
    <x v="2"/>
    <x v="1"/>
    <x v="0"/>
    <x v="53"/>
    <x v="269"/>
    <x v="2430"/>
    <x v="0"/>
    <s v="BRISAS DEL GOLF"/>
    <x v="0"/>
  </r>
  <r>
    <x v="39"/>
    <x v="184"/>
    <x v="6"/>
    <x v="6"/>
    <x v="1"/>
    <x v="0"/>
    <x v="54"/>
    <x v="270"/>
    <x v="2431"/>
    <x v="0"/>
    <s v="BRISAS DEL GOLF"/>
    <x v="0"/>
  </r>
  <r>
    <x v="39"/>
    <x v="174"/>
    <x v="6"/>
    <x v="6"/>
    <x v="1"/>
    <x v="0"/>
    <x v="44"/>
    <x v="260"/>
    <x v="2432"/>
    <x v="0"/>
    <s v="BRISAS DEL GOLF"/>
    <x v="0"/>
  </r>
  <r>
    <x v="39"/>
    <x v="179"/>
    <x v="7"/>
    <x v="7"/>
    <x v="1"/>
    <x v="1"/>
    <x v="49"/>
    <x v="265"/>
    <x v="2433"/>
    <x v="0"/>
    <s v="BRISAS DEL GOLF"/>
    <x v="0"/>
  </r>
  <r>
    <x v="39"/>
    <x v="173"/>
    <x v="8"/>
    <x v="8"/>
    <x v="1"/>
    <x v="1"/>
    <x v="43"/>
    <x v="259"/>
    <x v="1079"/>
    <x v="0"/>
    <s v="BRISAS DEL GOLF"/>
    <x v="0"/>
  </r>
  <r>
    <x v="39"/>
    <x v="181"/>
    <x v="11"/>
    <x v="11"/>
    <x v="1"/>
    <x v="1"/>
    <x v="51"/>
    <x v="267"/>
    <x v="2434"/>
    <x v="0"/>
    <s v="BRISAS DEL GOLF"/>
    <x v="0"/>
  </r>
  <r>
    <x v="39"/>
    <x v="184"/>
    <x v="6"/>
    <x v="6"/>
    <x v="1"/>
    <x v="1"/>
    <x v="54"/>
    <x v="270"/>
    <x v="1757"/>
    <x v="0"/>
    <s v="BRISAS DEL GOLF"/>
    <x v="0"/>
  </r>
  <r>
    <x v="40"/>
    <x v="171"/>
    <x v="7"/>
    <x v="7"/>
    <x v="1"/>
    <x v="2"/>
    <x v="41"/>
    <x v="257"/>
    <x v="2435"/>
    <x v="0"/>
    <s v="PUENTE CENTENARIO"/>
    <x v="0"/>
  </r>
  <r>
    <x v="40"/>
    <x v="175"/>
    <x v="9"/>
    <x v="9"/>
    <x v="1"/>
    <x v="2"/>
    <x v="45"/>
    <x v="261"/>
    <x v="2436"/>
    <x v="0"/>
    <s v="PUENTE CENTENARIO"/>
    <x v="0"/>
  </r>
  <r>
    <x v="40"/>
    <x v="177"/>
    <x v="11"/>
    <x v="11"/>
    <x v="1"/>
    <x v="2"/>
    <x v="47"/>
    <x v="263"/>
    <x v="2437"/>
    <x v="0"/>
    <s v="PUENTE CENTENARIO"/>
    <x v="0"/>
  </r>
  <r>
    <x v="40"/>
    <x v="179"/>
    <x v="7"/>
    <x v="7"/>
    <x v="1"/>
    <x v="0"/>
    <x v="49"/>
    <x v="265"/>
    <x v="2438"/>
    <x v="0"/>
    <s v="PUENTE CENTENARIO"/>
    <x v="0"/>
  </r>
  <r>
    <x v="40"/>
    <x v="171"/>
    <x v="7"/>
    <x v="7"/>
    <x v="1"/>
    <x v="0"/>
    <x v="41"/>
    <x v="257"/>
    <x v="2439"/>
    <x v="0"/>
    <s v="PUENTE CENTENARIO"/>
    <x v="0"/>
  </r>
  <r>
    <x v="40"/>
    <x v="172"/>
    <x v="8"/>
    <x v="8"/>
    <x v="1"/>
    <x v="0"/>
    <x v="42"/>
    <x v="258"/>
    <x v="2440"/>
    <x v="0"/>
    <s v="PUENTE CENTENARIO"/>
    <x v="0"/>
  </r>
  <r>
    <x v="40"/>
    <x v="173"/>
    <x v="8"/>
    <x v="8"/>
    <x v="1"/>
    <x v="0"/>
    <x v="43"/>
    <x v="259"/>
    <x v="2441"/>
    <x v="0"/>
    <s v="PUENTE CENTENARIO"/>
    <x v="0"/>
  </r>
  <r>
    <x v="40"/>
    <x v="175"/>
    <x v="9"/>
    <x v="9"/>
    <x v="1"/>
    <x v="0"/>
    <x v="45"/>
    <x v="261"/>
    <x v="2442"/>
    <x v="0"/>
    <s v="PUENTE CENTENARIO"/>
    <x v="0"/>
  </r>
  <r>
    <x v="40"/>
    <x v="178"/>
    <x v="9"/>
    <x v="9"/>
    <x v="1"/>
    <x v="0"/>
    <x v="48"/>
    <x v="264"/>
    <x v="2443"/>
    <x v="0"/>
    <s v="PUENTE CENTENARIO"/>
    <x v="0"/>
  </r>
  <r>
    <x v="40"/>
    <x v="180"/>
    <x v="10"/>
    <x v="10"/>
    <x v="1"/>
    <x v="0"/>
    <x v="50"/>
    <x v="266"/>
    <x v="2444"/>
    <x v="0"/>
    <s v="PUENTE CENTENARIO"/>
    <x v="0"/>
  </r>
  <r>
    <x v="40"/>
    <x v="176"/>
    <x v="10"/>
    <x v="10"/>
    <x v="1"/>
    <x v="0"/>
    <x v="46"/>
    <x v="262"/>
    <x v="2445"/>
    <x v="0"/>
    <s v="PUENTE CENTENARIO"/>
    <x v="0"/>
  </r>
  <r>
    <x v="40"/>
    <x v="177"/>
    <x v="11"/>
    <x v="11"/>
    <x v="1"/>
    <x v="0"/>
    <x v="47"/>
    <x v="263"/>
    <x v="2446"/>
    <x v="0"/>
    <s v="PUENTE CENTENARIO"/>
    <x v="0"/>
  </r>
  <r>
    <x v="40"/>
    <x v="181"/>
    <x v="11"/>
    <x v="11"/>
    <x v="1"/>
    <x v="0"/>
    <x v="51"/>
    <x v="267"/>
    <x v="2447"/>
    <x v="0"/>
    <s v="PUENTE CENTENARIO"/>
    <x v="0"/>
  </r>
  <r>
    <x v="40"/>
    <x v="182"/>
    <x v="2"/>
    <x v="2"/>
    <x v="1"/>
    <x v="0"/>
    <x v="52"/>
    <x v="268"/>
    <x v="2448"/>
    <x v="0"/>
    <s v="PUENTE CENTENARIO"/>
    <x v="0"/>
  </r>
  <r>
    <x v="40"/>
    <x v="183"/>
    <x v="2"/>
    <x v="2"/>
    <x v="1"/>
    <x v="0"/>
    <x v="53"/>
    <x v="269"/>
    <x v="2449"/>
    <x v="0"/>
    <s v="PUENTE CENTENARIO"/>
    <x v="0"/>
  </r>
  <r>
    <x v="40"/>
    <x v="184"/>
    <x v="6"/>
    <x v="6"/>
    <x v="1"/>
    <x v="0"/>
    <x v="54"/>
    <x v="270"/>
    <x v="2450"/>
    <x v="0"/>
    <s v="PUENTE CENTENARIO"/>
    <x v="0"/>
  </r>
  <r>
    <x v="40"/>
    <x v="174"/>
    <x v="6"/>
    <x v="6"/>
    <x v="1"/>
    <x v="0"/>
    <x v="44"/>
    <x v="260"/>
    <x v="2451"/>
    <x v="0"/>
    <s v="PUENTE CENTENARIO"/>
    <x v="0"/>
  </r>
  <r>
    <x v="40"/>
    <x v="173"/>
    <x v="8"/>
    <x v="8"/>
    <x v="1"/>
    <x v="1"/>
    <x v="43"/>
    <x v="259"/>
    <x v="2452"/>
    <x v="0"/>
    <s v="PUENTE CENTENARIO"/>
    <x v="0"/>
  </r>
  <r>
    <x v="40"/>
    <x v="175"/>
    <x v="9"/>
    <x v="9"/>
    <x v="1"/>
    <x v="1"/>
    <x v="45"/>
    <x v="261"/>
    <x v="2453"/>
    <x v="0"/>
    <s v="PUENTE CENTENARIO"/>
    <x v="0"/>
  </r>
  <r>
    <x v="40"/>
    <x v="178"/>
    <x v="9"/>
    <x v="9"/>
    <x v="1"/>
    <x v="1"/>
    <x v="48"/>
    <x v="264"/>
    <x v="2454"/>
    <x v="0"/>
    <s v="PUENTE CENTENARIO"/>
    <x v="0"/>
  </r>
  <r>
    <x v="40"/>
    <x v="180"/>
    <x v="10"/>
    <x v="10"/>
    <x v="1"/>
    <x v="1"/>
    <x v="50"/>
    <x v="266"/>
    <x v="2455"/>
    <x v="0"/>
    <s v="PUENTE CENTENARIO"/>
    <x v="0"/>
  </r>
  <r>
    <x v="40"/>
    <x v="176"/>
    <x v="10"/>
    <x v="10"/>
    <x v="1"/>
    <x v="1"/>
    <x v="46"/>
    <x v="262"/>
    <x v="2456"/>
    <x v="0"/>
    <s v="PUENTE CENTENARIO"/>
    <x v="0"/>
  </r>
  <r>
    <x v="40"/>
    <x v="177"/>
    <x v="11"/>
    <x v="11"/>
    <x v="1"/>
    <x v="1"/>
    <x v="47"/>
    <x v="263"/>
    <x v="2457"/>
    <x v="0"/>
    <s v="PUENTE CENTENARIO"/>
    <x v="0"/>
  </r>
  <r>
    <x v="40"/>
    <x v="181"/>
    <x v="11"/>
    <x v="11"/>
    <x v="1"/>
    <x v="1"/>
    <x v="51"/>
    <x v="267"/>
    <x v="5"/>
    <x v="0"/>
    <s v="PUENTE CENTENARIO"/>
    <x v="0"/>
  </r>
  <r>
    <x v="40"/>
    <x v="182"/>
    <x v="2"/>
    <x v="2"/>
    <x v="1"/>
    <x v="1"/>
    <x v="52"/>
    <x v="268"/>
    <x v="2458"/>
    <x v="0"/>
    <s v="PUENTE CENTENARIO"/>
    <x v="0"/>
  </r>
  <r>
    <x v="40"/>
    <x v="183"/>
    <x v="2"/>
    <x v="2"/>
    <x v="1"/>
    <x v="1"/>
    <x v="53"/>
    <x v="269"/>
    <x v="2459"/>
    <x v="0"/>
    <s v="PUENTE CENTENARIO"/>
    <x v="0"/>
  </r>
  <r>
    <x v="40"/>
    <x v="184"/>
    <x v="6"/>
    <x v="6"/>
    <x v="1"/>
    <x v="1"/>
    <x v="54"/>
    <x v="270"/>
    <x v="2460"/>
    <x v="0"/>
    <s v="PUENTE CENTENARIO"/>
    <x v="0"/>
  </r>
  <r>
    <x v="40"/>
    <x v="174"/>
    <x v="6"/>
    <x v="6"/>
    <x v="1"/>
    <x v="1"/>
    <x v="44"/>
    <x v="260"/>
    <x v="2461"/>
    <x v="0"/>
    <s v="PUENTE CENTENARIO"/>
    <x v="0"/>
  </r>
  <r>
    <x v="41"/>
    <x v="171"/>
    <x v="7"/>
    <x v="7"/>
    <x v="1"/>
    <x v="0"/>
    <x v="41"/>
    <x v="257"/>
    <x v="2462"/>
    <x v="0"/>
    <s v="METROMALL"/>
    <x v="0"/>
  </r>
  <r>
    <x v="43"/>
    <x v="171"/>
    <x v="7"/>
    <x v="7"/>
    <x v="1"/>
    <x v="0"/>
    <x v="41"/>
    <x v="257"/>
    <x v="879"/>
    <x v="0"/>
    <s v="VERSALLES"/>
    <x v="0"/>
  </r>
  <r>
    <x v="43"/>
    <x v="180"/>
    <x v="10"/>
    <x v="10"/>
    <x v="1"/>
    <x v="0"/>
    <x v="50"/>
    <x v="266"/>
    <x v="2463"/>
    <x v="0"/>
    <s v="VERSALLES"/>
    <x v="0"/>
  </r>
  <r>
    <x v="43"/>
    <x v="176"/>
    <x v="10"/>
    <x v="10"/>
    <x v="1"/>
    <x v="0"/>
    <x v="46"/>
    <x v="262"/>
    <x v="2464"/>
    <x v="0"/>
    <s v="VERSALLES"/>
    <x v="0"/>
  </r>
  <r>
    <x v="43"/>
    <x v="177"/>
    <x v="11"/>
    <x v="11"/>
    <x v="1"/>
    <x v="0"/>
    <x v="47"/>
    <x v="263"/>
    <x v="2465"/>
    <x v="0"/>
    <s v="VERSALLES"/>
    <x v="0"/>
  </r>
  <r>
    <x v="43"/>
    <x v="182"/>
    <x v="2"/>
    <x v="2"/>
    <x v="1"/>
    <x v="0"/>
    <x v="52"/>
    <x v="268"/>
    <x v="2466"/>
    <x v="0"/>
    <s v="VERSALLES"/>
    <x v="0"/>
  </r>
  <r>
    <x v="44"/>
    <x v="184"/>
    <x v="6"/>
    <x v="6"/>
    <x v="1"/>
    <x v="1"/>
    <x v="54"/>
    <x v="270"/>
    <x v="287"/>
    <x v="0"/>
    <s v="BUSINESS PARK"/>
    <x v="0"/>
  </r>
  <r>
    <x v="45"/>
    <x v="171"/>
    <x v="7"/>
    <x v="7"/>
    <x v="1"/>
    <x v="0"/>
    <x v="41"/>
    <x v="257"/>
    <x v="676"/>
    <x v="0"/>
    <s v="SAN FRANCISCO"/>
    <x v="0"/>
  </r>
  <r>
    <x v="45"/>
    <x v="173"/>
    <x v="8"/>
    <x v="8"/>
    <x v="1"/>
    <x v="0"/>
    <x v="43"/>
    <x v="259"/>
    <x v="2467"/>
    <x v="0"/>
    <s v="SAN FRANCISCO"/>
    <x v="0"/>
  </r>
  <r>
    <x v="45"/>
    <x v="178"/>
    <x v="9"/>
    <x v="9"/>
    <x v="1"/>
    <x v="0"/>
    <x v="48"/>
    <x v="264"/>
    <x v="2468"/>
    <x v="0"/>
    <s v="SAN FRANCISCO"/>
    <x v="0"/>
  </r>
  <r>
    <x v="45"/>
    <x v="180"/>
    <x v="10"/>
    <x v="10"/>
    <x v="1"/>
    <x v="0"/>
    <x v="50"/>
    <x v="266"/>
    <x v="2469"/>
    <x v="0"/>
    <s v="SAN FRANCISCO"/>
    <x v="0"/>
  </r>
  <r>
    <x v="45"/>
    <x v="172"/>
    <x v="8"/>
    <x v="8"/>
    <x v="1"/>
    <x v="1"/>
    <x v="42"/>
    <x v="258"/>
    <x v="2470"/>
    <x v="0"/>
    <s v="SAN FRANCISCO"/>
    <x v="0"/>
  </r>
  <r>
    <x v="45"/>
    <x v="175"/>
    <x v="9"/>
    <x v="9"/>
    <x v="1"/>
    <x v="1"/>
    <x v="45"/>
    <x v="261"/>
    <x v="1505"/>
    <x v="0"/>
    <s v="SAN FRANCISCO"/>
    <x v="0"/>
  </r>
  <r>
    <x v="45"/>
    <x v="180"/>
    <x v="10"/>
    <x v="10"/>
    <x v="1"/>
    <x v="1"/>
    <x v="50"/>
    <x v="266"/>
    <x v="2161"/>
    <x v="0"/>
    <s v="SAN FRANCISCO"/>
    <x v="0"/>
  </r>
  <r>
    <x v="45"/>
    <x v="176"/>
    <x v="10"/>
    <x v="10"/>
    <x v="1"/>
    <x v="1"/>
    <x v="46"/>
    <x v="262"/>
    <x v="2471"/>
    <x v="0"/>
    <s v="SAN FRANCISCO"/>
    <x v="0"/>
  </r>
  <r>
    <x v="45"/>
    <x v="183"/>
    <x v="2"/>
    <x v="2"/>
    <x v="1"/>
    <x v="1"/>
    <x v="53"/>
    <x v="269"/>
    <x v="2472"/>
    <x v="0"/>
    <s v="SAN FRANCISCO"/>
    <x v="0"/>
  </r>
  <r>
    <x v="46"/>
    <x v="180"/>
    <x v="10"/>
    <x v="10"/>
    <x v="1"/>
    <x v="0"/>
    <x v="50"/>
    <x v="266"/>
    <x v="2473"/>
    <x v="0"/>
    <s v="PLAZA BANCO GENERAL"/>
    <x v="0"/>
  </r>
  <r>
    <x v="46"/>
    <x v="176"/>
    <x v="10"/>
    <x v="10"/>
    <x v="1"/>
    <x v="0"/>
    <x v="46"/>
    <x v="262"/>
    <x v="1980"/>
    <x v="0"/>
    <s v="PLAZA BANCO GENERAL"/>
    <x v="0"/>
  </r>
  <r>
    <x v="46"/>
    <x v="172"/>
    <x v="8"/>
    <x v="8"/>
    <x v="1"/>
    <x v="1"/>
    <x v="42"/>
    <x v="258"/>
    <x v="2474"/>
    <x v="0"/>
    <s v="PLAZA BANCO GENERAL"/>
    <x v="0"/>
  </r>
  <r>
    <x v="46"/>
    <x v="173"/>
    <x v="8"/>
    <x v="8"/>
    <x v="1"/>
    <x v="1"/>
    <x v="43"/>
    <x v="259"/>
    <x v="384"/>
    <x v="0"/>
    <s v="PLAZA BANCO GENERAL"/>
    <x v="0"/>
  </r>
  <r>
    <x v="47"/>
    <x v="175"/>
    <x v="9"/>
    <x v="9"/>
    <x v="1"/>
    <x v="2"/>
    <x v="45"/>
    <x v="261"/>
    <x v="2475"/>
    <x v="0"/>
    <s v="LA CHORRERA - PARQUE 10 DE NOV."/>
    <x v="0"/>
  </r>
  <r>
    <x v="47"/>
    <x v="178"/>
    <x v="9"/>
    <x v="9"/>
    <x v="1"/>
    <x v="2"/>
    <x v="48"/>
    <x v="264"/>
    <x v="2476"/>
    <x v="0"/>
    <s v="LA CHORRERA - PARQUE 10 DE NOV."/>
    <x v="0"/>
  </r>
  <r>
    <x v="47"/>
    <x v="180"/>
    <x v="10"/>
    <x v="10"/>
    <x v="1"/>
    <x v="2"/>
    <x v="50"/>
    <x v="266"/>
    <x v="2477"/>
    <x v="0"/>
    <s v="LA CHORRERA - PARQUE 10 DE NOV."/>
    <x v="0"/>
  </r>
  <r>
    <x v="47"/>
    <x v="176"/>
    <x v="10"/>
    <x v="10"/>
    <x v="1"/>
    <x v="2"/>
    <x v="46"/>
    <x v="262"/>
    <x v="2478"/>
    <x v="0"/>
    <s v="LA CHORRERA - PARQUE 10 DE NOV."/>
    <x v="0"/>
  </r>
  <r>
    <x v="47"/>
    <x v="177"/>
    <x v="11"/>
    <x v="11"/>
    <x v="1"/>
    <x v="2"/>
    <x v="47"/>
    <x v="263"/>
    <x v="2479"/>
    <x v="0"/>
    <s v="LA CHORRERA - PARQUE 10 DE NOV."/>
    <x v="0"/>
  </r>
  <r>
    <x v="47"/>
    <x v="183"/>
    <x v="2"/>
    <x v="2"/>
    <x v="1"/>
    <x v="2"/>
    <x v="53"/>
    <x v="269"/>
    <x v="2480"/>
    <x v="0"/>
    <s v="LA CHORRERA - PARQUE 10 DE NOV."/>
    <x v="0"/>
  </r>
  <r>
    <x v="47"/>
    <x v="184"/>
    <x v="6"/>
    <x v="6"/>
    <x v="1"/>
    <x v="2"/>
    <x v="54"/>
    <x v="270"/>
    <x v="2481"/>
    <x v="0"/>
    <s v="LA CHORRERA - PARQUE 10 DE NOV."/>
    <x v="0"/>
  </r>
  <r>
    <x v="47"/>
    <x v="174"/>
    <x v="6"/>
    <x v="6"/>
    <x v="1"/>
    <x v="2"/>
    <x v="44"/>
    <x v="260"/>
    <x v="2474"/>
    <x v="0"/>
    <s v="LA CHORRERA - PARQUE 10 DE NOV."/>
    <x v="0"/>
  </r>
  <r>
    <x v="47"/>
    <x v="179"/>
    <x v="7"/>
    <x v="7"/>
    <x v="1"/>
    <x v="0"/>
    <x v="49"/>
    <x v="265"/>
    <x v="2482"/>
    <x v="0"/>
    <s v="LA CHORRERA - PARQUE 10 DE NOV."/>
    <x v="0"/>
  </r>
  <r>
    <x v="47"/>
    <x v="171"/>
    <x v="7"/>
    <x v="7"/>
    <x v="1"/>
    <x v="0"/>
    <x v="41"/>
    <x v="257"/>
    <x v="2483"/>
    <x v="0"/>
    <s v="LA CHORRERA - PARQUE 10 DE NOV."/>
    <x v="0"/>
  </r>
  <r>
    <x v="47"/>
    <x v="172"/>
    <x v="8"/>
    <x v="8"/>
    <x v="1"/>
    <x v="0"/>
    <x v="42"/>
    <x v="258"/>
    <x v="2484"/>
    <x v="0"/>
    <s v="LA CHORRERA - PARQUE 10 DE NOV."/>
    <x v="0"/>
  </r>
  <r>
    <x v="47"/>
    <x v="173"/>
    <x v="8"/>
    <x v="8"/>
    <x v="1"/>
    <x v="0"/>
    <x v="43"/>
    <x v="259"/>
    <x v="2485"/>
    <x v="0"/>
    <s v="LA CHORRERA - PARQUE 10 DE NOV."/>
    <x v="0"/>
  </r>
  <r>
    <x v="47"/>
    <x v="175"/>
    <x v="9"/>
    <x v="9"/>
    <x v="1"/>
    <x v="0"/>
    <x v="45"/>
    <x v="261"/>
    <x v="2486"/>
    <x v="0"/>
    <s v="LA CHORRERA - PARQUE 10 DE NOV."/>
    <x v="0"/>
  </r>
  <r>
    <x v="47"/>
    <x v="178"/>
    <x v="9"/>
    <x v="9"/>
    <x v="1"/>
    <x v="0"/>
    <x v="48"/>
    <x v="264"/>
    <x v="2487"/>
    <x v="0"/>
    <s v="LA CHORRERA - PARQUE 10 DE NOV."/>
    <x v="0"/>
  </r>
  <r>
    <x v="47"/>
    <x v="180"/>
    <x v="10"/>
    <x v="10"/>
    <x v="1"/>
    <x v="0"/>
    <x v="50"/>
    <x v="266"/>
    <x v="2488"/>
    <x v="0"/>
    <s v="LA CHORRERA - PARQUE 10 DE NOV."/>
    <x v="0"/>
  </r>
  <r>
    <x v="47"/>
    <x v="176"/>
    <x v="10"/>
    <x v="10"/>
    <x v="1"/>
    <x v="0"/>
    <x v="46"/>
    <x v="262"/>
    <x v="2489"/>
    <x v="0"/>
    <s v="LA CHORRERA - PARQUE 10 DE NOV."/>
    <x v="0"/>
  </r>
  <r>
    <x v="47"/>
    <x v="177"/>
    <x v="11"/>
    <x v="11"/>
    <x v="1"/>
    <x v="0"/>
    <x v="47"/>
    <x v="263"/>
    <x v="2490"/>
    <x v="0"/>
    <s v="LA CHORRERA - PARQUE 10 DE NOV."/>
    <x v="0"/>
  </r>
  <r>
    <x v="47"/>
    <x v="181"/>
    <x v="11"/>
    <x v="11"/>
    <x v="1"/>
    <x v="0"/>
    <x v="51"/>
    <x v="267"/>
    <x v="2491"/>
    <x v="0"/>
    <s v="LA CHORRERA - PARQUE 10 DE NOV."/>
    <x v="0"/>
  </r>
  <r>
    <x v="47"/>
    <x v="182"/>
    <x v="2"/>
    <x v="2"/>
    <x v="1"/>
    <x v="0"/>
    <x v="52"/>
    <x v="268"/>
    <x v="2492"/>
    <x v="0"/>
    <s v="LA CHORRERA - PARQUE 10 DE NOV."/>
    <x v="0"/>
  </r>
  <r>
    <x v="47"/>
    <x v="183"/>
    <x v="2"/>
    <x v="2"/>
    <x v="1"/>
    <x v="0"/>
    <x v="53"/>
    <x v="269"/>
    <x v="2493"/>
    <x v="0"/>
    <s v="LA CHORRERA - PARQUE 10 DE NOV."/>
    <x v="0"/>
  </r>
  <r>
    <x v="47"/>
    <x v="184"/>
    <x v="6"/>
    <x v="6"/>
    <x v="1"/>
    <x v="0"/>
    <x v="54"/>
    <x v="270"/>
    <x v="2494"/>
    <x v="0"/>
    <s v="LA CHORRERA - PARQUE 10 DE NOV."/>
    <x v="0"/>
  </r>
  <r>
    <x v="47"/>
    <x v="174"/>
    <x v="6"/>
    <x v="6"/>
    <x v="1"/>
    <x v="0"/>
    <x v="44"/>
    <x v="260"/>
    <x v="2495"/>
    <x v="0"/>
    <s v="LA CHORRERA - PARQUE 10 DE NOV."/>
    <x v="0"/>
  </r>
  <r>
    <x v="47"/>
    <x v="171"/>
    <x v="7"/>
    <x v="7"/>
    <x v="1"/>
    <x v="1"/>
    <x v="41"/>
    <x v="257"/>
    <x v="2496"/>
    <x v="0"/>
    <s v="LA CHORRERA - PARQUE 10 DE NOV."/>
    <x v="0"/>
  </r>
  <r>
    <x v="47"/>
    <x v="172"/>
    <x v="8"/>
    <x v="8"/>
    <x v="1"/>
    <x v="1"/>
    <x v="42"/>
    <x v="258"/>
    <x v="2497"/>
    <x v="0"/>
    <s v="LA CHORRERA - PARQUE 10 DE NOV."/>
    <x v="0"/>
  </r>
  <r>
    <x v="47"/>
    <x v="173"/>
    <x v="8"/>
    <x v="8"/>
    <x v="1"/>
    <x v="1"/>
    <x v="43"/>
    <x v="259"/>
    <x v="2498"/>
    <x v="0"/>
    <s v="LA CHORRERA - PARQUE 10 DE NOV."/>
    <x v="0"/>
  </r>
  <r>
    <x v="47"/>
    <x v="175"/>
    <x v="9"/>
    <x v="9"/>
    <x v="1"/>
    <x v="1"/>
    <x v="45"/>
    <x v="261"/>
    <x v="2499"/>
    <x v="0"/>
    <s v="LA CHORRERA - PARQUE 10 DE NOV."/>
    <x v="0"/>
  </r>
  <r>
    <x v="47"/>
    <x v="178"/>
    <x v="9"/>
    <x v="9"/>
    <x v="1"/>
    <x v="1"/>
    <x v="48"/>
    <x v="264"/>
    <x v="2500"/>
    <x v="0"/>
    <s v="LA CHORRERA - PARQUE 10 DE NOV."/>
    <x v="0"/>
  </r>
  <r>
    <x v="47"/>
    <x v="180"/>
    <x v="10"/>
    <x v="10"/>
    <x v="1"/>
    <x v="1"/>
    <x v="50"/>
    <x v="266"/>
    <x v="2501"/>
    <x v="0"/>
    <s v="LA CHORRERA - PARQUE 10 DE NOV."/>
    <x v="0"/>
  </r>
  <r>
    <x v="47"/>
    <x v="176"/>
    <x v="10"/>
    <x v="10"/>
    <x v="1"/>
    <x v="1"/>
    <x v="46"/>
    <x v="262"/>
    <x v="2502"/>
    <x v="0"/>
    <s v="LA CHORRERA - PARQUE 10 DE NOV."/>
    <x v="0"/>
  </r>
  <r>
    <x v="47"/>
    <x v="177"/>
    <x v="11"/>
    <x v="11"/>
    <x v="1"/>
    <x v="1"/>
    <x v="47"/>
    <x v="263"/>
    <x v="2503"/>
    <x v="0"/>
    <s v="LA CHORRERA - PARQUE 10 DE NOV."/>
    <x v="0"/>
  </r>
  <r>
    <x v="47"/>
    <x v="181"/>
    <x v="11"/>
    <x v="11"/>
    <x v="1"/>
    <x v="1"/>
    <x v="51"/>
    <x v="267"/>
    <x v="2504"/>
    <x v="0"/>
    <s v="LA CHORRERA - PARQUE 10 DE NOV."/>
    <x v="0"/>
  </r>
  <r>
    <x v="47"/>
    <x v="182"/>
    <x v="2"/>
    <x v="2"/>
    <x v="1"/>
    <x v="1"/>
    <x v="52"/>
    <x v="268"/>
    <x v="2505"/>
    <x v="0"/>
    <s v="LA CHORRERA - PARQUE 10 DE NOV."/>
    <x v="0"/>
  </r>
  <r>
    <x v="47"/>
    <x v="183"/>
    <x v="2"/>
    <x v="2"/>
    <x v="1"/>
    <x v="1"/>
    <x v="53"/>
    <x v="269"/>
    <x v="2506"/>
    <x v="0"/>
    <s v="LA CHORRERA - PARQUE 10 DE NOV."/>
    <x v="0"/>
  </r>
  <r>
    <x v="47"/>
    <x v="184"/>
    <x v="6"/>
    <x v="6"/>
    <x v="1"/>
    <x v="1"/>
    <x v="54"/>
    <x v="270"/>
    <x v="2507"/>
    <x v="0"/>
    <s v="LA CHORRERA - PARQUE 10 DE NOV."/>
    <x v="0"/>
  </r>
  <r>
    <x v="47"/>
    <x v="174"/>
    <x v="6"/>
    <x v="6"/>
    <x v="1"/>
    <x v="1"/>
    <x v="44"/>
    <x v="260"/>
    <x v="2508"/>
    <x v="0"/>
    <s v="LA CHORRERA - PARQUE 10 DE NOV."/>
    <x v="0"/>
  </r>
  <r>
    <x v="48"/>
    <x v="171"/>
    <x v="7"/>
    <x v="7"/>
    <x v="1"/>
    <x v="0"/>
    <x v="41"/>
    <x v="257"/>
    <x v="2509"/>
    <x v="0"/>
    <s v="COSTA DEL ESTE - CENTENARIO"/>
    <x v="0"/>
  </r>
  <r>
    <x v="48"/>
    <x v="178"/>
    <x v="9"/>
    <x v="9"/>
    <x v="1"/>
    <x v="1"/>
    <x v="48"/>
    <x v="264"/>
    <x v="2510"/>
    <x v="0"/>
    <s v="COSTA DEL ESTE - CENTENARIO"/>
    <x v="0"/>
  </r>
  <r>
    <x v="48"/>
    <x v="181"/>
    <x v="11"/>
    <x v="11"/>
    <x v="1"/>
    <x v="1"/>
    <x v="51"/>
    <x v="267"/>
    <x v="2511"/>
    <x v="0"/>
    <s v="COSTA DEL ESTE - CENTENARIO"/>
    <x v="0"/>
  </r>
  <r>
    <x v="49"/>
    <x v="175"/>
    <x v="9"/>
    <x v="9"/>
    <x v="1"/>
    <x v="0"/>
    <x v="45"/>
    <x v="261"/>
    <x v="2123"/>
    <x v="0"/>
    <s v="CLAYTON"/>
    <x v="0"/>
  </r>
  <r>
    <x v="49"/>
    <x v="180"/>
    <x v="10"/>
    <x v="10"/>
    <x v="1"/>
    <x v="0"/>
    <x v="50"/>
    <x v="266"/>
    <x v="361"/>
    <x v="0"/>
    <s v="CLAYTON"/>
    <x v="0"/>
  </r>
  <r>
    <x v="49"/>
    <x v="176"/>
    <x v="10"/>
    <x v="10"/>
    <x v="1"/>
    <x v="0"/>
    <x v="46"/>
    <x v="262"/>
    <x v="2512"/>
    <x v="0"/>
    <s v="CLAYTON"/>
    <x v="0"/>
  </r>
  <r>
    <x v="49"/>
    <x v="177"/>
    <x v="11"/>
    <x v="11"/>
    <x v="1"/>
    <x v="1"/>
    <x v="47"/>
    <x v="263"/>
    <x v="2513"/>
    <x v="0"/>
    <s v="CLAYTON"/>
    <x v="0"/>
  </r>
  <r>
    <x v="50"/>
    <x v="179"/>
    <x v="7"/>
    <x v="7"/>
    <x v="1"/>
    <x v="0"/>
    <x v="49"/>
    <x v="265"/>
    <x v="2514"/>
    <x v="0"/>
    <s v="MARBELLA"/>
    <x v="0"/>
  </r>
  <r>
    <x v="50"/>
    <x v="171"/>
    <x v="7"/>
    <x v="7"/>
    <x v="1"/>
    <x v="0"/>
    <x v="41"/>
    <x v="257"/>
    <x v="2515"/>
    <x v="0"/>
    <s v="MARBELLA"/>
    <x v="0"/>
  </r>
  <r>
    <x v="50"/>
    <x v="180"/>
    <x v="10"/>
    <x v="10"/>
    <x v="1"/>
    <x v="0"/>
    <x v="50"/>
    <x v="266"/>
    <x v="2516"/>
    <x v="0"/>
    <s v="MARBELLA"/>
    <x v="0"/>
  </r>
  <r>
    <x v="50"/>
    <x v="176"/>
    <x v="10"/>
    <x v="10"/>
    <x v="1"/>
    <x v="0"/>
    <x v="46"/>
    <x v="262"/>
    <x v="2517"/>
    <x v="0"/>
    <s v="MARBELLA"/>
    <x v="0"/>
  </r>
  <r>
    <x v="50"/>
    <x v="177"/>
    <x v="11"/>
    <x v="11"/>
    <x v="1"/>
    <x v="0"/>
    <x v="47"/>
    <x v="263"/>
    <x v="2518"/>
    <x v="0"/>
    <s v="MARBELLA"/>
    <x v="0"/>
  </r>
  <r>
    <x v="51"/>
    <x v="178"/>
    <x v="9"/>
    <x v="9"/>
    <x v="1"/>
    <x v="2"/>
    <x v="48"/>
    <x v="264"/>
    <x v="2519"/>
    <x v="0"/>
    <s v="PLAZA CAROLINA"/>
    <x v="0"/>
  </r>
  <r>
    <x v="51"/>
    <x v="180"/>
    <x v="10"/>
    <x v="10"/>
    <x v="1"/>
    <x v="0"/>
    <x v="50"/>
    <x v="266"/>
    <x v="490"/>
    <x v="0"/>
    <s v="PLAZA CAROLINA"/>
    <x v="0"/>
  </r>
  <r>
    <x v="51"/>
    <x v="176"/>
    <x v="10"/>
    <x v="10"/>
    <x v="1"/>
    <x v="0"/>
    <x v="46"/>
    <x v="262"/>
    <x v="2520"/>
    <x v="0"/>
    <s v="PLAZA CAROLINA"/>
    <x v="0"/>
  </r>
  <r>
    <x v="51"/>
    <x v="184"/>
    <x v="6"/>
    <x v="6"/>
    <x v="1"/>
    <x v="0"/>
    <x v="54"/>
    <x v="270"/>
    <x v="2521"/>
    <x v="0"/>
    <s v="PLAZA CAROLINA"/>
    <x v="0"/>
  </r>
  <r>
    <x v="51"/>
    <x v="184"/>
    <x v="6"/>
    <x v="6"/>
    <x v="1"/>
    <x v="1"/>
    <x v="54"/>
    <x v="270"/>
    <x v="2522"/>
    <x v="0"/>
    <s v="PLAZA CAROLINA"/>
    <x v="0"/>
  </r>
  <r>
    <x v="52"/>
    <x v="171"/>
    <x v="7"/>
    <x v="7"/>
    <x v="1"/>
    <x v="0"/>
    <x v="41"/>
    <x v="257"/>
    <x v="1431"/>
    <x v="0"/>
    <s v="PLAZA CORDOBA"/>
    <x v="0"/>
  </r>
  <r>
    <x v="52"/>
    <x v="181"/>
    <x v="11"/>
    <x v="11"/>
    <x v="1"/>
    <x v="0"/>
    <x v="51"/>
    <x v="267"/>
    <x v="2523"/>
    <x v="0"/>
    <s v="PLAZA CORDOBA"/>
    <x v="0"/>
  </r>
  <r>
    <x v="52"/>
    <x v="174"/>
    <x v="6"/>
    <x v="6"/>
    <x v="1"/>
    <x v="0"/>
    <x v="44"/>
    <x v="260"/>
    <x v="841"/>
    <x v="0"/>
    <s v="PLAZA CORDOBA"/>
    <x v="0"/>
  </r>
  <r>
    <x v="53"/>
    <x v="179"/>
    <x v="7"/>
    <x v="7"/>
    <x v="1"/>
    <x v="0"/>
    <x v="49"/>
    <x v="265"/>
    <x v="2524"/>
    <x v="0"/>
    <s v="VIA SIMON BOLIVAR"/>
    <x v="0"/>
  </r>
  <r>
    <x v="53"/>
    <x v="171"/>
    <x v="7"/>
    <x v="7"/>
    <x v="1"/>
    <x v="0"/>
    <x v="41"/>
    <x v="257"/>
    <x v="2525"/>
    <x v="0"/>
    <s v="VIA SIMON BOLIVAR"/>
    <x v="0"/>
  </r>
  <r>
    <x v="53"/>
    <x v="172"/>
    <x v="8"/>
    <x v="8"/>
    <x v="1"/>
    <x v="0"/>
    <x v="42"/>
    <x v="258"/>
    <x v="2526"/>
    <x v="0"/>
    <s v="VIA SIMON BOLIVAR"/>
    <x v="0"/>
  </r>
  <r>
    <x v="53"/>
    <x v="173"/>
    <x v="8"/>
    <x v="8"/>
    <x v="1"/>
    <x v="0"/>
    <x v="43"/>
    <x v="259"/>
    <x v="2527"/>
    <x v="0"/>
    <s v="VIA SIMON BOLIVAR"/>
    <x v="0"/>
  </r>
  <r>
    <x v="53"/>
    <x v="175"/>
    <x v="9"/>
    <x v="9"/>
    <x v="1"/>
    <x v="0"/>
    <x v="45"/>
    <x v="261"/>
    <x v="2528"/>
    <x v="0"/>
    <s v="VIA SIMON BOLIVAR"/>
    <x v="0"/>
  </r>
  <r>
    <x v="53"/>
    <x v="178"/>
    <x v="9"/>
    <x v="9"/>
    <x v="1"/>
    <x v="0"/>
    <x v="48"/>
    <x v="264"/>
    <x v="2529"/>
    <x v="0"/>
    <s v="VIA SIMON BOLIVAR"/>
    <x v="0"/>
  </r>
  <r>
    <x v="53"/>
    <x v="180"/>
    <x v="10"/>
    <x v="10"/>
    <x v="1"/>
    <x v="0"/>
    <x v="50"/>
    <x v="266"/>
    <x v="2530"/>
    <x v="0"/>
    <s v="VIA SIMON BOLIVAR"/>
    <x v="0"/>
  </r>
  <r>
    <x v="53"/>
    <x v="176"/>
    <x v="10"/>
    <x v="10"/>
    <x v="1"/>
    <x v="0"/>
    <x v="46"/>
    <x v="262"/>
    <x v="1230"/>
    <x v="0"/>
    <s v="VIA SIMON BOLIVAR"/>
    <x v="0"/>
  </r>
  <r>
    <x v="53"/>
    <x v="177"/>
    <x v="11"/>
    <x v="11"/>
    <x v="1"/>
    <x v="0"/>
    <x v="47"/>
    <x v="263"/>
    <x v="2531"/>
    <x v="0"/>
    <s v="VIA SIMON BOLIVAR"/>
    <x v="0"/>
  </r>
  <r>
    <x v="53"/>
    <x v="181"/>
    <x v="11"/>
    <x v="11"/>
    <x v="1"/>
    <x v="0"/>
    <x v="51"/>
    <x v="267"/>
    <x v="2532"/>
    <x v="0"/>
    <s v="VIA SIMON BOLIVAR"/>
    <x v="0"/>
  </r>
  <r>
    <x v="53"/>
    <x v="182"/>
    <x v="2"/>
    <x v="2"/>
    <x v="1"/>
    <x v="0"/>
    <x v="52"/>
    <x v="268"/>
    <x v="2533"/>
    <x v="0"/>
    <s v="VIA SIMON BOLIVAR"/>
    <x v="0"/>
  </r>
  <r>
    <x v="53"/>
    <x v="183"/>
    <x v="2"/>
    <x v="2"/>
    <x v="1"/>
    <x v="0"/>
    <x v="53"/>
    <x v="269"/>
    <x v="2534"/>
    <x v="0"/>
    <s v="VIA SIMON BOLIVAR"/>
    <x v="0"/>
  </r>
  <r>
    <x v="53"/>
    <x v="184"/>
    <x v="6"/>
    <x v="6"/>
    <x v="1"/>
    <x v="0"/>
    <x v="54"/>
    <x v="270"/>
    <x v="2535"/>
    <x v="0"/>
    <s v="VIA SIMON BOLIVAR"/>
    <x v="0"/>
  </r>
  <r>
    <x v="53"/>
    <x v="174"/>
    <x v="6"/>
    <x v="6"/>
    <x v="1"/>
    <x v="0"/>
    <x v="44"/>
    <x v="260"/>
    <x v="2536"/>
    <x v="0"/>
    <s v="VIA SIMON BOLIVAR"/>
    <x v="0"/>
  </r>
  <r>
    <x v="54"/>
    <x v="172"/>
    <x v="8"/>
    <x v="8"/>
    <x v="1"/>
    <x v="2"/>
    <x v="42"/>
    <x v="258"/>
    <x v="2537"/>
    <x v="0"/>
    <s v="JUSTO AROSEMENA"/>
    <x v="0"/>
  </r>
  <r>
    <x v="54"/>
    <x v="171"/>
    <x v="7"/>
    <x v="7"/>
    <x v="1"/>
    <x v="0"/>
    <x v="41"/>
    <x v="257"/>
    <x v="2538"/>
    <x v="0"/>
    <s v="JUSTO AROSEMENA"/>
    <x v="0"/>
  </r>
  <r>
    <x v="55"/>
    <x v="176"/>
    <x v="10"/>
    <x v="10"/>
    <x v="1"/>
    <x v="3"/>
    <x v="46"/>
    <x v="262"/>
    <x v="2539"/>
    <x v="0"/>
    <s v="NEGOCIOS"/>
    <x v="0"/>
  </r>
  <r>
    <x v="55"/>
    <x v="177"/>
    <x v="11"/>
    <x v="11"/>
    <x v="1"/>
    <x v="3"/>
    <x v="47"/>
    <x v="263"/>
    <x v="2540"/>
    <x v="0"/>
    <s v="NEGOCIOS"/>
    <x v="0"/>
  </r>
  <r>
    <x v="55"/>
    <x v="179"/>
    <x v="7"/>
    <x v="7"/>
    <x v="1"/>
    <x v="4"/>
    <x v="49"/>
    <x v="265"/>
    <x v="2541"/>
    <x v="0"/>
    <s v="NEGOCIOS"/>
    <x v="0"/>
  </r>
  <r>
    <x v="55"/>
    <x v="171"/>
    <x v="7"/>
    <x v="7"/>
    <x v="1"/>
    <x v="4"/>
    <x v="41"/>
    <x v="257"/>
    <x v="2542"/>
    <x v="0"/>
    <s v="NEGOCIOS"/>
    <x v="0"/>
  </r>
  <r>
    <x v="55"/>
    <x v="172"/>
    <x v="8"/>
    <x v="8"/>
    <x v="1"/>
    <x v="4"/>
    <x v="42"/>
    <x v="258"/>
    <x v="2543"/>
    <x v="0"/>
    <s v="NEGOCIOS"/>
    <x v="0"/>
  </r>
  <r>
    <x v="55"/>
    <x v="175"/>
    <x v="9"/>
    <x v="9"/>
    <x v="1"/>
    <x v="4"/>
    <x v="45"/>
    <x v="261"/>
    <x v="2544"/>
    <x v="0"/>
    <s v="NEGOCIOS"/>
    <x v="0"/>
  </r>
  <r>
    <x v="55"/>
    <x v="178"/>
    <x v="9"/>
    <x v="9"/>
    <x v="1"/>
    <x v="4"/>
    <x v="48"/>
    <x v="264"/>
    <x v="2545"/>
    <x v="0"/>
    <s v="NEGOCIOS"/>
    <x v="0"/>
  </r>
  <r>
    <x v="55"/>
    <x v="176"/>
    <x v="10"/>
    <x v="10"/>
    <x v="1"/>
    <x v="4"/>
    <x v="46"/>
    <x v="262"/>
    <x v="2546"/>
    <x v="0"/>
    <s v="NEGOCIOS"/>
    <x v="0"/>
  </r>
  <r>
    <x v="55"/>
    <x v="177"/>
    <x v="11"/>
    <x v="11"/>
    <x v="1"/>
    <x v="4"/>
    <x v="47"/>
    <x v="263"/>
    <x v="2547"/>
    <x v="0"/>
    <s v="NEGOCIOS"/>
    <x v="0"/>
  </r>
  <r>
    <x v="55"/>
    <x v="181"/>
    <x v="11"/>
    <x v="11"/>
    <x v="1"/>
    <x v="4"/>
    <x v="51"/>
    <x v="267"/>
    <x v="2548"/>
    <x v="0"/>
    <s v="NEGOCIOS"/>
    <x v="0"/>
  </r>
  <r>
    <x v="55"/>
    <x v="182"/>
    <x v="2"/>
    <x v="2"/>
    <x v="1"/>
    <x v="4"/>
    <x v="52"/>
    <x v="268"/>
    <x v="2549"/>
    <x v="0"/>
    <s v="NEGOCIOS"/>
    <x v="0"/>
  </r>
  <r>
    <x v="55"/>
    <x v="183"/>
    <x v="2"/>
    <x v="2"/>
    <x v="1"/>
    <x v="4"/>
    <x v="53"/>
    <x v="269"/>
    <x v="2550"/>
    <x v="0"/>
    <s v="NEGOCIOS"/>
    <x v="0"/>
  </r>
  <r>
    <x v="55"/>
    <x v="184"/>
    <x v="6"/>
    <x v="6"/>
    <x v="1"/>
    <x v="4"/>
    <x v="54"/>
    <x v="270"/>
    <x v="2551"/>
    <x v="0"/>
    <s v="NEGOCIOS"/>
    <x v="0"/>
  </r>
  <r>
    <x v="55"/>
    <x v="174"/>
    <x v="6"/>
    <x v="6"/>
    <x v="1"/>
    <x v="4"/>
    <x v="44"/>
    <x v="260"/>
    <x v="2552"/>
    <x v="0"/>
    <s v="NEGOCIOS"/>
    <x v="0"/>
  </r>
  <r>
    <x v="55"/>
    <x v="177"/>
    <x v="11"/>
    <x v="11"/>
    <x v="1"/>
    <x v="5"/>
    <x v="47"/>
    <x v="263"/>
    <x v="2553"/>
    <x v="0"/>
    <s v="NEGOCIOS"/>
    <x v="0"/>
  </r>
  <r>
    <x v="55"/>
    <x v="171"/>
    <x v="7"/>
    <x v="7"/>
    <x v="1"/>
    <x v="6"/>
    <x v="41"/>
    <x v="257"/>
    <x v="2554"/>
    <x v="0"/>
    <s v="NEGOCIOS"/>
    <x v="0"/>
  </r>
  <r>
    <x v="55"/>
    <x v="172"/>
    <x v="8"/>
    <x v="8"/>
    <x v="1"/>
    <x v="6"/>
    <x v="42"/>
    <x v="258"/>
    <x v="2555"/>
    <x v="0"/>
    <s v="NEGOCIOS"/>
    <x v="0"/>
  </r>
  <r>
    <x v="55"/>
    <x v="178"/>
    <x v="9"/>
    <x v="9"/>
    <x v="1"/>
    <x v="6"/>
    <x v="48"/>
    <x v="264"/>
    <x v="2556"/>
    <x v="0"/>
    <s v="NEGOCIOS"/>
    <x v="0"/>
  </r>
  <r>
    <x v="55"/>
    <x v="180"/>
    <x v="10"/>
    <x v="10"/>
    <x v="1"/>
    <x v="6"/>
    <x v="50"/>
    <x v="266"/>
    <x v="2557"/>
    <x v="0"/>
    <s v="NEGOCIOS"/>
    <x v="0"/>
  </r>
  <r>
    <x v="55"/>
    <x v="176"/>
    <x v="10"/>
    <x v="10"/>
    <x v="1"/>
    <x v="6"/>
    <x v="46"/>
    <x v="262"/>
    <x v="2558"/>
    <x v="0"/>
    <s v="NEGOCIOS"/>
    <x v="0"/>
  </r>
  <r>
    <x v="55"/>
    <x v="189"/>
    <x v="10"/>
    <x v="10"/>
    <x v="1"/>
    <x v="6"/>
    <x v="56"/>
    <x v="275"/>
    <x v="2559"/>
    <x v="0"/>
    <s v="NEGOCIOS"/>
    <x v="0"/>
  </r>
  <r>
    <x v="55"/>
    <x v="177"/>
    <x v="11"/>
    <x v="11"/>
    <x v="1"/>
    <x v="6"/>
    <x v="47"/>
    <x v="263"/>
    <x v="2560"/>
    <x v="0"/>
    <s v="NEGOCIOS"/>
    <x v="0"/>
  </r>
  <r>
    <x v="55"/>
    <x v="183"/>
    <x v="2"/>
    <x v="2"/>
    <x v="1"/>
    <x v="6"/>
    <x v="53"/>
    <x v="269"/>
    <x v="2561"/>
    <x v="0"/>
    <s v="NEGOCIOS"/>
    <x v="0"/>
  </r>
  <r>
    <x v="55"/>
    <x v="184"/>
    <x v="6"/>
    <x v="6"/>
    <x v="1"/>
    <x v="6"/>
    <x v="54"/>
    <x v="270"/>
    <x v="51"/>
    <x v="0"/>
    <s v="NEGOCIOS"/>
    <x v="0"/>
  </r>
  <r>
    <x v="55"/>
    <x v="174"/>
    <x v="6"/>
    <x v="6"/>
    <x v="1"/>
    <x v="6"/>
    <x v="44"/>
    <x v="260"/>
    <x v="2562"/>
    <x v="0"/>
    <s v="NEGOCIOS"/>
    <x v="0"/>
  </r>
  <r>
    <x v="55"/>
    <x v="179"/>
    <x v="7"/>
    <x v="7"/>
    <x v="1"/>
    <x v="7"/>
    <x v="49"/>
    <x v="265"/>
    <x v="2563"/>
    <x v="0"/>
    <s v="NEGOCIOS"/>
    <x v="0"/>
  </r>
  <r>
    <x v="55"/>
    <x v="171"/>
    <x v="7"/>
    <x v="7"/>
    <x v="1"/>
    <x v="7"/>
    <x v="41"/>
    <x v="257"/>
    <x v="2564"/>
    <x v="0"/>
    <s v="NEGOCIOS"/>
    <x v="0"/>
  </r>
  <r>
    <x v="55"/>
    <x v="172"/>
    <x v="8"/>
    <x v="8"/>
    <x v="1"/>
    <x v="7"/>
    <x v="42"/>
    <x v="258"/>
    <x v="2565"/>
    <x v="0"/>
    <s v="NEGOCIOS"/>
    <x v="0"/>
  </r>
  <r>
    <x v="55"/>
    <x v="173"/>
    <x v="8"/>
    <x v="8"/>
    <x v="1"/>
    <x v="7"/>
    <x v="43"/>
    <x v="259"/>
    <x v="2566"/>
    <x v="0"/>
    <s v="NEGOCIOS"/>
    <x v="0"/>
  </r>
  <r>
    <x v="55"/>
    <x v="180"/>
    <x v="10"/>
    <x v="10"/>
    <x v="1"/>
    <x v="7"/>
    <x v="50"/>
    <x v="266"/>
    <x v="2567"/>
    <x v="0"/>
    <s v="NEGOCIOS"/>
    <x v="0"/>
  </r>
  <r>
    <x v="55"/>
    <x v="176"/>
    <x v="10"/>
    <x v="10"/>
    <x v="1"/>
    <x v="7"/>
    <x v="46"/>
    <x v="262"/>
    <x v="2568"/>
    <x v="0"/>
    <s v="NEGOCIOS"/>
    <x v="0"/>
  </r>
  <r>
    <x v="55"/>
    <x v="177"/>
    <x v="11"/>
    <x v="11"/>
    <x v="1"/>
    <x v="7"/>
    <x v="47"/>
    <x v="263"/>
    <x v="2569"/>
    <x v="0"/>
    <s v="NEGOCIOS"/>
    <x v="0"/>
  </r>
  <r>
    <x v="55"/>
    <x v="182"/>
    <x v="2"/>
    <x v="2"/>
    <x v="1"/>
    <x v="7"/>
    <x v="52"/>
    <x v="268"/>
    <x v="2570"/>
    <x v="0"/>
    <s v="NEGOCIOS"/>
    <x v="0"/>
  </r>
  <r>
    <x v="55"/>
    <x v="180"/>
    <x v="10"/>
    <x v="10"/>
    <x v="1"/>
    <x v="8"/>
    <x v="50"/>
    <x v="266"/>
    <x v="2571"/>
    <x v="0"/>
    <s v="NEGOCIOS"/>
    <x v="0"/>
  </r>
  <r>
    <x v="55"/>
    <x v="182"/>
    <x v="2"/>
    <x v="2"/>
    <x v="1"/>
    <x v="8"/>
    <x v="52"/>
    <x v="268"/>
    <x v="2572"/>
    <x v="0"/>
    <s v="NEGOCIOS"/>
    <x v="0"/>
  </r>
  <r>
    <x v="55"/>
    <x v="184"/>
    <x v="6"/>
    <x v="6"/>
    <x v="1"/>
    <x v="8"/>
    <x v="54"/>
    <x v="270"/>
    <x v="2573"/>
    <x v="0"/>
    <s v="NEGOCIOS"/>
    <x v="0"/>
  </r>
  <r>
    <x v="55"/>
    <x v="174"/>
    <x v="6"/>
    <x v="6"/>
    <x v="1"/>
    <x v="8"/>
    <x v="44"/>
    <x v="260"/>
    <x v="2574"/>
    <x v="0"/>
    <s v="NEGOCIOS"/>
    <x v="0"/>
  </r>
  <r>
    <x v="55"/>
    <x v="190"/>
    <x v="6"/>
    <x v="6"/>
    <x v="1"/>
    <x v="8"/>
    <x v="58"/>
    <x v="276"/>
    <x v="2575"/>
    <x v="0"/>
    <s v="NEGOCIOS"/>
    <x v="0"/>
  </r>
  <r>
    <x v="55"/>
    <x v="191"/>
    <x v="6"/>
    <x v="6"/>
    <x v="1"/>
    <x v="8"/>
    <x v="58"/>
    <x v="277"/>
    <x v="26"/>
    <x v="0"/>
    <s v="NEGOCIOS"/>
    <x v="0"/>
  </r>
  <r>
    <x v="55"/>
    <x v="173"/>
    <x v="8"/>
    <x v="8"/>
    <x v="1"/>
    <x v="9"/>
    <x v="43"/>
    <x v="259"/>
    <x v="2576"/>
    <x v="0"/>
    <s v="NEGOCIOS"/>
    <x v="0"/>
  </r>
  <r>
    <x v="55"/>
    <x v="179"/>
    <x v="7"/>
    <x v="7"/>
    <x v="1"/>
    <x v="10"/>
    <x v="49"/>
    <x v="265"/>
    <x v="2577"/>
    <x v="0"/>
    <s v="NEGOCIOS"/>
    <x v="0"/>
  </r>
  <r>
    <x v="55"/>
    <x v="172"/>
    <x v="8"/>
    <x v="8"/>
    <x v="1"/>
    <x v="10"/>
    <x v="42"/>
    <x v="258"/>
    <x v="2578"/>
    <x v="0"/>
    <s v="NEGOCIOS"/>
    <x v="0"/>
  </r>
  <r>
    <x v="55"/>
    <x v="173"/>
    <x v="8"/>
    <x v="8"/>
    <x v="1"/>
    <x v="10"/>
    <x v="43"/>
    <x v="259"/>
    <x v="2579"/>
    <x v="0"/>
    <s v="NEGOCIOS"/>
    <x v="0"/>
  </r>
  <r>
    <x v="55"/>
    <x v="180"/>
    <x v="10"/>
    <x v="10"/>
    <x v="1"/>
    <x v="10"/>
    <x v="50"/>
    <x v="266"/>
    <x v="2467"/>
    <x v="0"/>
    <s v="NEGOCIOS"/>
    <x v="0"/>
  </r>
  <r>
    <x v="55"/>
    <x v="177"/>
    <x v="11"/>
    <x v="11"/>
    <x v="1"/>
    <x v="10"/>
    <x v="47"/>
    <x v="263"/>
    <x v="2580"/>
    <x v="0"/>
    <s v="NEGOCIOS"/>
    <x v="0"/>
  </r>
  <r>
    <x v="55"/>
    <x v="181"/>
    <x v="11"/>
    <x v="11"/>
    <x v="1"/>
    <x v="10"/>
    <x v="51"/>
    <x v="267"/>
    <x v="2581"/>
    <x v="0"/>
    <s v="NEGOCIOS"/>
    <x v="0"/>
  </r>
  <r>
    <x v="55"/>
    <x v="183"/>
    <x v="2"/>
    <x v="2"/>
    <x v="1"/>
    <x v="10"/>
    <x v="53"/>
    <x v="269"/>
    <x v="2582"/>
    <x v="0"/>
    <s v="NEGOCIOS"/>
    <x v="0"/>
  </r>
  <r>
    <x v="55"/>
    <x v="184"/>
    <x v="6"/>
    <x v="6"/>
    <x v="1"/>
    <x v="10"/>
    <x v="54"/>
    <x v="270"/>
    <x v="2583"/>
    <x v="0"/>
    <s v="NEGOCIOS"/>
    <x v="0"/>
  </r>
  <r>
    <x v="55"/>
    <x v="174"/>
    <x v="6"/>
    <x v="6"/>
    <x v="1"/>
    <x v="10"/>
    <x v="44"/>
    <x v="260"/>
    <x v="2584"/>
    <x v="0"/>
    <s v="NEGOCIOS"/>
    <x v="0"/>
  </r>
  <r>
    <x v="55"/>
    <x v="179"/>
    <x v="7"/>
    <x v="7"/>
    <x v="1"/>
    <x v="11"/>
    <x v="49"/>
    <x v="265"/>
    <x v="2585"/>
    <x v="0"/>
    <s v="NEGOCIOS"/>
    <x v="0"/>
  </r>
  <r>
    <x v="55"/>
    <x v="171"/>
    <x v="7"/>
    <x v="7"/>
    <x v="1"/>
    <x v="11"/>
    <x v="41"/>
    <x v="257"/>
    <x v="2586"/>
    <x v="0"/>
    <s v="NEGOCIOS"/>
    <x v="0"/>
  </r>
  <r>
    <x v="55"/>
    <x v="192"/>
    <x v="8"/>
    <x v="8"/>
    <x v="1"/>
    <x v="11"/>
    <x v="55"/>
    <x v="278"/>
    <x v="2587"/>
    <x v="0"/>
    <s v="NEGOCIOS"/>
    <x v="0"/>
  </r>
  <r>
    <x v="55"/>
    <x v="172"/>
    <x v="8"/>
    <x v="8"/>
    <x v="1"/>
    <x v="11"/>
    <x v="42"/>
    <x v="258"/>
    <x v="2588"/>
    <x v="0"/>
    <s v="NEGOCIOS"/>
    <x v="0"/>
  </r>
  <r>
    <x v="55"/>
    <x v="173"/>
    <x v="8"/>
    <x v="8"/>
    <x v="1"/>
    <x v="11"/>
    <x v="43"/>
    <x v="259"/>
    <x v="2589"/>
    <x v="0"/>
    <s v="NEGOCIOS"/>
    <x v="0"/>
  </r>
  <r>
    <x v="55"/>
    <x v="175"/>
    <x v="9"/>
    <x v="9"/>
    <x v="1"/>
    <x v="11"/>
    <x v="45"/>
    <x v="261"/>
    <x v="2590"/>
    <x v="0"/>
    <s v="NEGOCIOS"/>
    <x v="0"/>
  </r>
  <r>
    <x v="55"/>
    <x v="178"/>
    <x v="9"/>
    <x v="9"/>
    <x v="1"/>
    <x v="11"/>
    <x v="48"/>
    <x v="264"/>
    <x v="2591"/>
    <x v="0"/>
    <s v="NEGOCIOS"/>
    <x v="0"/>
  </r>
  <r>
    <x v="55"/>
    <x v="180"/>
    <x v="10"/>
    <x v="10"/>
    <x v="1"/>
    <x v="11"/>
    <x v="50"/>
    <x v="266"/>
    <x v="2592"/>
    <x v="0"/>
    <s v="NEGOCIOS"/>
    <x v="0"/>
  </r>
  <r>
    <x v="55"/>
    <x v="186"/>
    <x v="10"/>
    <x v="10"/>
    <x v="1"/>
    <x v="11"/>
    <x v="56"/>
    <x v="272"/>
    <x v="2593"/>
    <x v="0"/>
    <s v="NEGOCIOS"/>
    <x v="0"/>
  </r>
  <r>
    <x v="55"/>
    <x v="176"/>
    <x v="10"/>
    <x v="10"/>
    <x v="1"/>
    <x v="11"/>
    <x v="46"/>
    <x v="262"/>
    <x v="2594"/>
    <x v="0"/>
    <s v="NEGOCIOS"/>
    <x v="0"/>
  </r>
  <r>
    <x v="55"/>
    <x v="177"/>
    <x v="11"/>
    <x v="11"/>
    <x v="1"/>
    <x v="11"/>
    <x v="47"/>
    <x v="263"/>
    <x v="2595"/>
    <x v="0"/>
    <s v="NEGOCIOS"/>
    <x v="0"/>
  </r>
  <r>
    <x v="55"/>
    <x v="193"/>
    <x v="11"/>
    <x v="11"/>
    <x v="1"/>
    <x v="11"/>
    <x v="57"/>
    <x v="279"/>
    <x v="2596"/>
    <x v="0"/>
    <s v="NEGOCIOS"/>
    <x v="0"/>
  </r>
  <r>
    <x v="55"/>
    <x v="181"/>
    <x v="11"/>
    <x v="11"/>
    <x v="1"/>
    <x v="11"/>
    <x v="51"/>
    <x v="267"/>
    <x v="2597"/>
    <x v="0"/>
    <s v="NEGOCIOS"/>
    <x v="0"/>
  </r>
  <r>
    <x v="55"/>
    <x v="182"/>
    <x v="2"/>
    <x v="2"/>
    <x v="1"/>
    <x v="11"/>
    <x v="52"/>
    <x v="268"/>
    <x v="2598"/>
    <x v="0"/>
    <s v="NEGOCIOS"/>
    <x v="0"/>
  </r>
  <r>
    <x v="55"/>
    <x v="183"/>
    <x v="2"/>
    <x v="2"/>
    <x v="1"/>
    <x v="11"/>
    <x v="53"/>
    <x v="269"/>
    <x v="2599"/>
    <x v="0"/>
    <s v="NEGOCIOS"/>
    <x v="0"/>
  </r>
  <r>
    <x v="55"/>
    <x v="184"/>
    <x v="6"/>
    <x v="6"/>
    <x v="1"/>
    <x v="11"/>
    <x v="54"/>
    <x v="270"/>
    <x v="2600"/>
    <x v="0"/>
    <s v="NEGOCIOS"/>
    <x v="0"/>
  </r>
  <r>
    <x v="55"/>
    <x v="174"/>
    <x v="6"/>
    <x v="6"/>
    <x v="1"/>
    <x v="11"/>
    <x v="44"/>
    <x v="260"/>
    <x v="2601"/>
    <x v="0"/>
    <s v="NEGOCIOS"/>
    <x v="0"/>
  </r>
  <r>
    <x v="55"/>
    <x v="178"/>
    <x v="9"/>
    <x v="9"/>
    <x v="1"/>
    <x v="13"/>
    <x v="48"/>
    <x v="264"/>
    <x v="2602"/>
    <x v="0"/>
    <s v="NEGOCIOS"/>
    <x v="0"/>
  </r>
  <r>
    <x v="55"/>
    <x v="180"/>
    <x v="10"/>
    <x v="10"/>
    <x v="1"/>
    <x v="13"/>
    <x v="50"/>
    <x v="266"/>
    <x v="2603"/>
    <x v="0"/>
    <s v="NEGOCIOS"/>
    <x v="0"/>
  </r>
  <r>
    <x v="55"/>
    <x v="181"/>
    <x v="11"/>
    <x v="11"/>
    <x v="1"/>
    <x v="13"/>
    <x v="51"/>
    <x v="267"/>
    <x v="2604"/>
    <x v="0"/>
    <s v="NEGOCIOS"/>
    <x v="0"/>
  </r>
  <r>
    <x v="55"/>
    <x v="183"/>
    <x v="2"/>
    <x v="2"/>
    <x v="1"/>
    <x v="13"/>
    <x v="53"/>
    <x v="269"/>
    <x v="2605"/>
    <x v="0"/>
    <s v="NEGOCIOS"/>
    <x v="0"/>
  </r>
  <r>
    <x v="55"/>
    <x v="179"/>
    <x v="7"/>
    <x v="7"/>
    <x v="1"/>
    <x v="14"/>
    <x v="49"/>
    <x v="265"/>
    <x v="2606"/>
    <x v="0"/>
    <s v="NEGOCIOS"/>
    <x v="0"/>
  </r>
  <r>
    <x v="55"/>
    <x v="171"/>
    <x v="7"/>
    <x v="7"/>
    <x v="1"/>
    <x v="14"/>
    <x v="41"/>
    <x v="257"/>
    <x v="2607"/>
    <x v="0"/>
    <s v="NEGOCIOS"/>
    <x v="0"/>
  </r>
  <r>
    <x v="55"/>
    <x v="172"/>
    <x v="8"/>
    <x v="8"/>
    <x v="1"/>
    <x v="14"/>
    <x v="42"/>
    <x v="258"/>
    <x v="2608"/>
    <x v="0"/>
    <s v="NEGOCIOS"/>
    <x v="0"/>
  </r>
  <r>
    <x v="55"/>
    <x v="173"/>
    <x v="8"/>
    <x v="8"/>
    <x v="1"/>
    <x v="14"/>
    <x v="43"/>
    <x v="259"/>
    <x v="2609"/>
    <x v="0"/>
    <s v="NEGOCIOS"/>
    <x v="0"/>
  </r>
  <r>
    <x v="55"/>
    <x v="175"/>
    <x v="9"/>
    <x v="9"/>
    <x v="1"/>
    <x v="14"/>
    <x v="45"/>
    <x v="261"/>
    <x v="2610"/>
    <x v="0"/>
    <s v="NEGOCIOS"/>
    <x v="0"/>
  </r>
  <r>
    <x v="55"/>
    <x v="178"/>
    <x v="9"/>
    <x v="9"/>
    <x v="1"/>
    <x v="14"/>
    <x v="48"/>
    <x v="264"/>
    <x v="2611"/>
    <x v="0"/>
    <s v="NEGOCIOS"/>
    <x v="0"/>
  </r>
  <r>
    <x v="55"/>
    <x v="180"/>
    <x v="10"/>
    <x v="10"/>
    <x v="1"/>
    <x v="14"/>
    <x v="50"/>
    <x v="266"/>
    <x v="2533"/>
    <x v="0"/>
    <s v="NEGOCIOS"/>
    <x v="0"/>
  </r>
  <r>
    <x v="55"/>
    <x v="176"/>
    <x v="10"/>
    <x v="10"/>
    <x v="1"/>
    <x v="14"/>
    <x v="46"/>
    <x v="262"/>
    <x v="2612"/>
    <x v="0"/>
    <s v="NEGOCIOS"/>
    <x v="0"/>
  </r>
  <r>
    <x v="55"/>
    <x v="177"/>
    <x v="11"/>
    <x v="11"/>
    <x v="1"/>
    <x v="14"/>
    <x v="47"/>
    <x v="263"/>
    <x v="2613"/>
    <x v="0"/>
    <s v="NEGOCIOS"/>
    <x v="0"/>
  </r>
  <r>
    <x v="55"/>
    <x v="181"/>
    <x v="11"/>
    <x v="11"/>
    <x v="1"/>
    <x v="14"/>
    <x v="51"/>
    <x v="267"/>
    <x v="2614"/>
    <x v="0"/>
    <s v="NEGOCIOS"/>
    <x v="0"/>
  </r>
  <r>
    <x v="55"/>
    <x v="182"/>
    <x v="2"/>
    <x v="2"/>
    <x v="1"/>
    <x v="14"/>
    <x v="52"/>
    <x v="268"/>
    <x v="2615"/>
    <x v="0"/>
    <s v="NEGOCIOS"/>
    <x v="0"/>
  </r>
  <r>
    <x v="55"/>
    <x v="183"/>
    <x v="2"/>
    <x v="2"/>
    <x v="1"/>
    <x v="14"/>
    <x v="53"/>
    <x v="269"/>
    <x v="2616"/>
    <x v="0"/>
    <s v="NEGOCIOS"/>
    <x v="0"/>
  </r>
  <r>
    <x v="55"/>
    <x v="184"/>
    <x v="6"/>
    <x v="6"/>
    <x v="1"/>
    <x v="14"/>
    <x v="54"/>
    <x v="270"/>
    <x v="2617"/>
    <x v="0"/>
    <s v="NEGOCIOS"/>
    <x v="0"/>
  </r>
  <r>
    <x v="55"/>
    <x v="174"/>
    <x v="6"/>
    <x v="6"/>
    <x v="1"/>
    <x v="14"/>
    <x v="44"/>
    <x v="260"/>
    <x v="2618"/>
    <x v="0"/>
    <s v="NEGOCIOS"/>
    <x v="0"/>
  </r>
  <r>
    <x v="55"/>
    <x v="179"/>
    <x v="7"/>
    <x v="7"/>
    <x v="1"/>
    <x v="15"/>
    <x v="49"/>
    <x v="265"/>
    <x v="2619"/>
    <x v="0"/>
    <s v="NEGOCIOS"/>
    <x v="0"/>
  </r>
  <r>
    <x v="55"/>
    <x v="172"/>
    <x v="8"/>
    <x v="8"/>
    <x v="1"/>
    <x v="15"/>
    <x v="42"/>
    <x v="258"/>
    <x v="2620"/>
    <x v="0"/>
    <s v="NEGOCIOS"/>
    <x v="0"/>
  </r>
  <r>
    <x v="55"/>
    <x v="173"/>
    <x v="8"/>
    <x v="8"/>
    <x v="1"/>
    <x v="15"/>
    <x v="43"/>
    <x v="259"/>
    <x v="2621"/>
    <x v="0"/>
    <s v="NEGOCIOS"/>
    <x v="0"/>
  </r>
  <r>
    <x v="55"/>
    <x v="175"/>
    <x v="9"/>
    <x v="9"/>
    <x v="1"/>
    <x v="15"/>
    <x v="45"/>
    <x v="261"/>
    <x v="2622"/>
    <x v="0"/>
    <s v="NEGOCIOS"/>
    <x v="0"/>
  </r>
  <r>
    <x v="55"/>
    <x v="194"/>
    <x v="9"/>
    <x v="9"/>
    <x v="1"/>
    <x v="15"/>
    <x v="59"/>
    <x v="280"/>
    <x v="2623"/>
    <x v="0"/>
    <s v="NEGOCIOS"/>
    <x v="0"/>
  </r>
  <r>
    <x v="55"/>
    <x v="180"/>
    <x v="10"/>
    <x v="10"/>
    <x v="1"/>
    <x v="15"/>
    <x v="50"/>
    <x v="266"/>
    <x v="2624"/>
    <x v="0"/>
    <s v="NEGOCIOS"/>
    <x v="0"/>
  </r>
  <r>
    <x v="55"/>
    <x v="176"/>
    <x v="10"/>
    <x v="10"/>
    <x v="1"/>
    <x v="15"/>
    <x v="46"/>
    <x v="262"/>
    <x v="2625"/>
    <x v="0"/>
    <s v="NEGOCIOS"/>
    <x v="0"/>
  </r>
  <r>
    <x v="55"/>
    <x v="177"/>
    <x v="11"/>
    <x v="11"/>
    <x v="1"/>
    <x v="15"/>
    <x v="47"/>
    <x v="263"/>
    <x v="2626"/>
    <x v="0"/>
    <s v="NEGOCIOS"/>
    <x v="0"/>
  </r>
  <r>
    <x v="55"/>
    <x v="182"/>
    <x v="2"/>
    <x v="2"/>
    <x v="1"/>
    <x v="15"/>
    <x v="52"/>
    <x v="268"/>
    <x v="2627"/>
    <x v="0"/>
    <s v="NEGOCIOS"/>
    <x v="0"/>
  </r>
  <r>
    <x v="55"/>
    <x v="183"/>
    <x v="2"/>
    <x v="2"/>
    <x v="1"/>
    <x v="15"/>
    <x v="53"/>
    <x v="269"/>
    <x v="2628"/>
    <x v="0"/>
    <s v="NEGOCIOS"/>
    <x v="0"/>
  </r>
  <r>
    <x v="55"/>
    <x v="184"/>
    <x v="6"/>
    <x v="6"/>
    <x v="1"/>
    <x v="15"/>
    <x v="54"/>
    <x v="270"/>
    <x v="2629"/>
    <x v="0"/>
    <s v="NEGOCIOS"/>
    <x v="0"/>
  </r>
  <r>
    <x v="55"/>
    <x v="179"/>
    <x v="7"/>
    <x v="7"/>
    <x v="1"/>
    <x v="18"/>
    <x v="49"/>
    <x v="265"/>
    <x v="2630"/>
    <x v="0"/>
    <s v="NEGOCIOS"/>
    <x v="0"/>
  </r>
  <r>
    <x v="55"/>
    <x v="172"/>
    <x v="8"/>
    <x v="8"/>
    <x v="1"/>
    <x v="18"/>
    <x v="42"/>
    <x v="258"/>
    <x v="2631"/>
    <x v="0"/>
    <s v="NEGOCIOS"/>
    <x v="0"/>
  </r>
  <r>
    <x v="55"/>
    <x v="175"/>
    <x v="9"/>
    <x v="9"/>
    <x v="1"/>
    <x v="18"/>
    <x v="45"/>
    <x v="261"/>
    <x v="1957"/>
    <x v="0"/>
    <s v="NEGOCIOS"/>
    <x v="0"/>
  </r>
  <r>
    <x v="55"/>
    <x v="178"/>
    <x v="9"/>
    <x v="9"/>
    <x v="1"/>
    <x v="18"/>
    <x v="48"/>
    <x v="264"/>
    <x v="2632"/>
    <x v="0"/>
    <s v="NEGOCIOS"/>
    <x v="0"/>
  </r>
  <r>
    <x v="55"/>
    <x v="176"/>
    <x v="10"/>
    <x v="10"/>
    <x v="1"/>
    <x v="18"/>
    <x v="46"/>
    <x v="262"/>
    <x v="2633"/>
    <x v="0"/>
    <s v="NEGOCIOS"/>
    <x v="0"/>
  </r>
  <r>
    <x v="55"/>
    <x v="182"/>
    <x v="2"/>
    <x v="2"/>
    <x v="1"/>
    <x v="18"/>
    <x v="52"/>
    <x v="268"/>
    <x v="2634"/>
    <x v="0"/>
    <s v="NEGOCIOS"/>
    <x v="0"/>
  </r>
  <r>
    <x v="56"/>
    <x v="171"/>
    <x v="7"/>
    <x v="7"/>
    <x v="1"/>
    <x v="2"/>
    <x v="41"/>
    <x v="257"/>
    <x v="2635"/>
    <x v="0"/>
    <s v="BOULEVARD EL DORADO"/>
    <x v="0"/>
  </r>
  <r>
    <x v="56"/>
    <x v="172"/>
    <x v="8"/>
    <x v="8"/>
    <x v="1"/>
    <x v="2"/>
    <x v="42"/>
    <x v="258"/>
    <x v="2636"/>
    <x v="0"/>
    <s v="BOULEVARD EL DORADO"/>
    <x v="0"/>
  </r>
  <r>
    <x v="56"/>
    <x v="180"/>
    <x v="10"/>
    <x v="10"/>
    <x v="1"/>
    <x v="2"/>
    <x v="50"/>
    <x v="266"/>
    <x v="2637"/>
    <x v="0"/>
    <s v="BOULEVARD EL DORADO"/>
    <x v="0"/>
  </r>
  <r>
    <x v="56"/>
    <x v="181"/>
    <x v="11"/>
    <x v="11"/>
    <x v="1"/>
    <x v="2"/>
    <x v="51"/>
    <x v="267"/>
    <x v="2638"/>
    <x v="0"/>
    <s v="BOULEVARD EL DORADO"/>
    <x v="0"/>
  </r>
  <r>
    <x v="56"/>
    <x v="182"/>
    <x v="2"/>
    <x v="2"/>
    <x v="1"/>
    <x v="2"/>
    <x v="52"/>
    <x v="268"/>
    <x v="2639"/>
    <x v="0"/>
    <s v="BOULEVARD EL DORADO"/>
    <x v="0"/>
  </r>
  <r>
    <x v="56"/>
    <x v="179"/>
    <x v="7"/>
    <x v="7"/>
    <x v="1"/>
    <x v="0"/>
    <x v="49"/>
    <x v="265"/>
    <x v="2640"/>
    <x v="0"/>
    <s v="BOULEVARD EL DORADO"/>
    <x v="0"/>
  </r>
  <r>
    <x v="56"/>
    <x v="171"/>
    <x v="7"/>
    <x v="7"/>
    <x v="1"/>
    <x v="0"/>
    <x v="41"/>
    <x v="257"/>
    <x v="2641"/>
    <x v="0"/>
    <s v="BOULEVARD EL DORADO"/>
    <x v="0"/>
  </r>
  <r>
    <x v="56"/>
    <x v="172"/>
    <x v="8"/>
    <x v="8"/>
    <x v="1"/>
    <x v="0"/>
    <x v="42"/>
    <x v="258"/>
    <x v="2642"/>
    <x v="0"/>
    <s v="BOULEVARD EL DORADO"/>
    <x v="0"/>
  </r>
  <r>
    <x v="56"/>
    <x v="173"/>
    <x v="8"/>
    <x v="8"/>
    <x v="1"/>
    <x v="0"/>
    <x v="43"/>
    <x v="259"/>
    <x v="2643"/>
    <x v="0"/>
    <s v="BOULEVARD EL DORADO"/>
    <x v="0"/>
  </r>
  <r>
    <x v="56"/>
    <x v="175"/>
    <x v="9"/>
    <x v="9"/>
    <x v="1"/>
    <x v="0"/>
    <x v="45"/>
    <x v="261"/>
    <x v="2644"/>
    <x v="0"/>
    <s v="BOULEVARD EL DORADO"/>
    <x v="0"/>
  </r>
  <r>
    <x v="56"/>
    <x v="178"/>
    <x v="9"/>
    <x v="9"/>
    <x v="1"/>
    <x v="0"/>
    <x v="48"/>
    <x v="264"/>
    <x v="2645"/>
    <x v="0"/>
    <s v="BOULEVARD EL DORADO"/>
    <x v="0"/>
  </r>
  <r>
    <x v="56"/>
    <x v="180"/>
    <x v="10"/>
    <x v="10"/>
    <x v="1"/>
    <x v="0"/>
    <x v="50"/>
    <x v="266"/>
    <x v="2646"/>
    <x v="0"/>
    <s v="BOULEVARD EL DORADO"/>
    <x v="0"/>
  </r>
  <r>
    <x v="56"/>
    <x v="176"/>
    <x v="10"/>
    <x v="10"/>
    <x v="1"/>
    <x v="0"/>
    <x v="46"/>
    <x v="262"/>
    <x v="2647"/>
    <x v="0"/>
    <s v="BOULEVARD EL DORADO"/>
    <x v="0"/>
  </r>
  <r>
    <x v="56"/>
    <x v="177"/>
    <x v="11"/>
    <x v="11"/>
    <x v="1"/>
    <x v="0"/>
    <x v="47"/>
    <x v="263"/>
    <x v="2648"/>
    <x v="0"/>
    <s v="BOULEVARD EL DORADO"/>
    <x v="0"/>
  </r>
  <r>
    <x v="56"/>
    <x v="181"/>
    <x v="11"/>
    <x v="11"/>
    <x v="1"/>
    <x v="0"/>
    <x v="51"/>
    <x v="267"/>
    <x v="476"/>
    <x v="0"/>
    <s v="BOULEVARD EL DORADO"/>
    <x v="0"/>
  </r>
  <r>
    <x v="56"/>
    <x v="182"/>
    <x v="2"/>
    <x v="2"/>
    <x v="1"/>
    <x v="0"/>
    <x v="52"/>
    <x v="268"/>
    <x v="753"/>
    <x v="0"/>
    <s v="BOULEVARD EL DORADO"/>
    <x v="0"/>
  </r>
  <r>
    <x v="56"/>
    <x v="183"/>
    <x v="2"/>
    <x v="2"/>
    <x v="1"/>
    <x v="0"/>
    <x v="53"/>
    <x v="269"/>
    <x v="2649"/>
    <x v="0"/>
    <s v="BOULEVARD EL DORADO"/>
    <x v="0"/>
  </r>
  <r>
    <x v="56"/>
    <x v="184"/>
    <x v="6"/>
    <x v="6"/>
    <x v="1"/>
    <x v="0"/>
    <x v="54"/>
    <x v="270"/>
    <x v="2650"/>
    <x v="0"/>
    <s v="BOULEVARD EL DORADO"/>
    <x v="0"/>
  </r>
  <r>
    <x v="56"/>
    <x v="174"/>
    <x v="6"/>
    <x v="6"/>
    <x v="1"/>
    <x v="0"/>
    <x v="44"/>
    <x v="260"/>
    <x v="2651"/>
    <x v="0"/>
    <s v="BOULEVARD EL DORADO"/>
    <x v="0"/>
  </r>
  <r>
    <x v="56"/>
    <x v="179"/>
    <x v="7"/>
    <x v="7"/>
    <x v="1"/>
    <x v="1"/>
    <x v="49"/>
    <x v="265"/>
    <x v="2652"/>
    <x v="0"/>
    <s v="BOULEVARD EL DORADO"/>
    <x v="0"/>
  </r>
  <r>
    <x v="56"/>
    <x v="171"/>
    <x v="7"/>
    <x v="7"/>
    <x v="1"/>
    <x v="1"/>
    <x v="41"/>
    <x v="257"/>
    <x v="1436"/>
    <x v="0"/>
    <s v="BOULEVARD EL DORADO"/>
    <x v="0"/>
  </r>
  <r>
    <x v="56"/>
    <x v="172"/>
    <x v="8"/>
    <x v="8"/>
    <x v="1"/>
    <x v="1"/>
    <x v="42"/>
    <x v="258"/>
    <x v="2653"/>
    <x v="0"/>
    <s v="BOULEVARD EL DORADO"/>
    <x v="0"/>
  </r>
  <r>
    <x v="56"/>
    <x v="173"/>
    <x v="8"/>
    <x v="8"/>
    <x v="1"/>
    <x v="1"/>
    <x v="43"/>
    <x v="259"/>
    <x v="2654"/>
    <x v="0"/>
    <s v="BOULEVARD EL DORADO"/>
    <x v="0"/>
  </r>
  <r>
    <x v="56"/>
    <x v="176"/>
    <x v="10"/>
    <x v="10"/>
    <x v="1"/>
    <x v="1"/>
    <x v="46"/>
    <x v="262"/>
    <x v="678"/>
    <x v="0"/>
    <s v="BOULEVARD EL DORADO"/>
    <x v="0"/>
  </r>
  <r>
    <x v="56"/>
    <x v="177"/>
    <x v="11"/>
    <x v="11"/>
    <x v="1"/>
    <x v="1"/>
    <x v="47"/>
    <x v="263"/>
    <x v="2655"/>
    <x v="0"/>
    <s v="BOULEVARD EL DORADO"/>
    <x v="0"/>
  </r>
  <r>
    <x v="56"/>
    <x v="181"/>
    <x v="11"/>
    <x v="11"/>
    <x v="1"/>
    <x v="1"/>
    <x v="51"/>
    <x v="267"/>
    <x v="1445"/>
    <x v="0"/>
    <s v="BOULEVARD EL DORADO"/>
    <x v="0"/>
  </r>
  <r>
    <x v="56"/>
    <x v="183"/>
    <x v="2"/>
    <x v="2"/>
    <x v="1"/>
    <x v="1"/>
    <x v="53"/>
    <x v="269"/>
    <x v="2656"/>
    <x v="0"/>
    <s v="BOULEVARD EL DORADO"/>
    <x v="0"/>
  </r>
  <r>
    <x v="57"/>
    <x v="175"/>
    <x v="9"/>
    <x v="9"/>
    <x v="1"/>
    <x v="2"/>
    <x v="45"/>
    <x v="261"/>
    <x v="2657"/>
    <x v="0"/>
    <s v="SAN SEBASTIAN"/>
    <x v="0"/>
  </r>
  <r>
    <x v="57"/>
    <x v="182"/>
    <x v="2"/>
    <x v="2"/>
    <x v="1"/>
    <x v="2"/>
    <x v="52"/>
    <x v="268"/>
    <x v="2658"/>
    <x v="0"/>
    <s v="SAN SEBASTIAN"/>
    <x v="0"/>
  </r>
  <r>
    <x v="57"/>
    <x v="183"/>
    <x v="2"/>
    <x v="2"/>
    <x v="1"/>
    <x v="2"/>
    <x v="53"/>
    <x v="269"/>
    <x v="2659"/>
    <x v="0"/>
    <s v="SAN SEBASTIAN"/>
    <x v="0"/>
  </r>
  <r>
    <x v="57"/>
    <x v="179"/>
    <x v="7"/>
    <x v="7"/>
    <x v="1"/>
    <x v="0"/>
    <x v="49"/>
    <x v="265"/>
    <x v="2660"/>
    <x v="0"/>
    <s v="SAN SEBASTIAN"/>
    <x v="0"/>
  </r>
  <r>
    <x v="57"/>
    <x v="171"/>
    <x v="7"/>
    <x v="7"/>
    <x v="1"/>
    <x v="0"/>
    <x v="41"/>
    <x v="257"/>
    <x v="2661"/>
    <x v="0"/>
    <s v="SAN SEBASTIAN"/>
    <x v="0"/>
  </r>
  <r>
    <x v="57"/>
    <x v="172"/>
    <x v="8"/>
    <x v="8"/>
    <x v="1"/>
    <x v="0"/>
    <x v="42"/>
    <x v="258"/>
    <x v="2662"/>
    <x v="0"/>
    <s v="SAN SEBASTIAN"/>
    <x v="0"/>
  </r>
  <r>
    <x v="57"/>
    <x v="173"/>
    <x v="8"/>
    <x v="8"/>
    <x v="1"/>
    <x v="0"/>
    <x v="43"/>
    <x v="259"/>
    <x v="2663"/>
    <x v="0"/>
    <s v="SAN SEBASTIAN"/>
    <x v="0"/>
  </r>
  <r>
    <x v="57"/>
    <x v="175"/>
    <x v="9"/>
    <x v="9"/>
    <x v="1"/>
    <x v="0"/>
    <x v="45"/>
    <x v="261"/>
    <x v="2664"/>
    <x v="0"/>
    <s v="SAN SEBASTIAN"/>
    <x v="0"/>
  </r>
  <r>
    <x v="57"/>
    <x v="178"/>
    <x v="9"/>
    <x v="9"/>
    <x v="1"/>
    <x v="0"/>
    <x v="48"/>
    <x v="264"/>
    <x v="2665"/>
    <x v="0"/>
    <s v="SAN SEBASTIAN"/>
    <x v="0"/>
  </r>
  <r>
    <x v="57"/>
    <x v="180"/>
    <x v="10"/>
    <x v="10"/>
    <x v="1"/>
    <x v="0"/>
    <x v="50"/>
    <x v="266"/>
    <x v="2666"/>
    <x v="0"/>
    <s v="SAN SEBASTIAN"/>
    <x v="0"/>
  </r>
  <r>
    <x v="57"/>
    <x v="176"/>
    <x v="10"/>
    <x v="10"/>
    <x v="1"/>
    <x v="0"/>
    <x v="46"/>
    <x v="262"/>
    <x v="2667"/>
    <x v="0"/>
    <s v="SAN SEBASTIAN"/>
    <x v="0"/>
  </r>
  <r>
    <x v="57"/>
    <x v="177"/>
    <x v="11"/>
    <x v="11"/>
    <x v="1"/>
    <x v="0"/>
    <x v="47"/>
    <x v="263"/>
    <x v="2668"/>
    <x v="0"/>
    <s v="SAN SEBASTIAN"/>
    <x v="0"/>
  </r>
  <r>
    <x v="57"/>
    <x v="181"/>
    <x v="11"/>
    <x v="11"/>
    <x v="1"/>
    <x v="0"/>
    <x v="51"/>
    <x v="267"/>
    <x v="2669"/>
    <x v="0"/>
    <s v="SAN SEBASTIAN"/>
    <x v="0"/>
  </r>
  <r>
    <x v="57"/>
    <x v="182"/>
    <x v="2"/>
    <x v="2"/>
    <x v="1"/>
    <x v="0"/>
    <x v="52"/>
    <x v="268"/>
    <x v="2670"/>
    <x v="0"/>
    <s v="SAN SEBASTIAN"/>
    <x v="0"/>
  </r>
  <r>
    <x v="57"/>
    <x v="183"/>
    <x v="2"/>
    <x v="2"/>
    <x v="1"/>
    <x v="0"/>
    <x v="53"/>
    <x v="269"/>
    <x v="2671"/>
    <x v="0"/>
    <s v="SAN SEBASTIAN"/>
    <x v="0"/>
  </r>
  <r>
    <x v="57"/>
    <x v="184"/>
    <x v="6"/>
    <x v="6"/>
    <x v="1"/>
    <x v="0"/>
    <x v="54"/>
    <x v="270"/>
    <x v="2672"/>
    <x v="0"/>
    <s v="SAN SEBASTIAN"/>
    <x v="0"/>
  </r>
  <r>
    <x v="57"/>
    <x v="174"/>
    <x v="6"/>
    <x v="6"/>
    <x v="1"/>
    <x v="0"/>
    <x v="44"/>
    <x v="260"/>
    <x v="2673"/>
    <x v="0"/>
    <s v="SAN SEBASTIAN"/>
    <x v="0"/>
  </r>
  <r>
    <x v="57"/>
    <x v="182"/>
    <x v="2"/>
    <x v="2"/>
    <x v="1"/>
    <x v="1"/>
    <x v="52"/>
    <x v="268"/>
    <x v="527"/>
    <x v="0"/>
    <s v="SAN SEBASTIAN"/>
    <x v="0"/>
  </r>
  <r>
    <x v="58"/>
    <x v="175"/>
    <x v="9"/>
    <x v="9"/>
    <x v="1"/>
    <x v="0"/>
    <x v="45"/>
    <x v="261"/>
    <x v="2674"/>
    <x v="0"/>
    <s v="SANTIAGO INTERAMERICANA"/>
    <x v="0"/>
  </r>
  <r>
    <x v="60"/>
    <x v="179"/>
    <x v="7"/>
    <x v="7"/>
    <x v="1"/>
    <x v="0"/>
    <x v="49"/>
    <x v="265"/>
    <x v="2509"/>
    <x v="0"/>
    <s v="VILLA ZAITA"/>
    <x v="0"/>
  </r>
  <r>
    <x v="60"/>
    <x v="171"/>
    <x v="7"/>
    <x v="7"/>
    <x v="1"/>
    <x v="0"/>
    <x v="41"/>
    <x v="257"/>
    <x v="2675"/>
    <x v="0"/>
    <s v="VILLA ZAITA"/>
    <x v="0"/>
  </r>
  <r>
    <x v="60"/>
    <x v="180"/>
    <x v="10"/>
    <x v="10"/>
    <x v="1"/>
    <x v="0"/>
    <x v="50"/>
    <x v="266"/>
    <x v="2676"/>
    <x v="0"/>
    <s v="VILLA ZAITA"/>
    <x v="0"/>
  </r>
  <r>
    <x v="60"/>
    <x v="176"/>
    <x v="10"/>
    <x v="10"/>
    <x v="1"/>
    <x v="0"/>
    <x v="46"/>
    <x v="262"/>
    <x v="2677"/>
    <x v="0"/>
    <s v="VILLA ZAITA"/>
    <x v="0"/>
  </r>
  <r>
    <x v="61"/>
    <x v="172"/>
    <x v="8"/>
    <x v="8"/>
    <x v="1"/>
    <x v="0"/>
    <x v="42"/>
    <x v="258"/>
    <x v="2678"/>
    <x v="0"/>
    <s v="AZUERO TERMINAL PLAZA"/>
    <x v="0"/>
  </r>
  <r>
    <x v="61"/>
    <x v="176"/>
    <x v="10"/>
    <x v="10"/>
    <x v="1"/>
    <x v="0"/>
    <x v="46"/>
    <x v="262"/>
    <x v="2679"/>
    <x v="0"/>
    <s v="AZUERO TERMINAL PLAZA"/>
    <x v="0"/>
  </r>
  <r>
    <x v="61"/>
    <x v="177"/>
    <x v="11"/>
    <x v="11"/>
    <x v="1"/>
    <x v="0"/>
    <x v="47"/>
    <x v="263"/>
    <x v="2680"/>
    <x v="0"/>
    <s v="AZUERO TERMINAL PLAZA"/>
    <x v="0"/>
  </r>
  <r>
    <x v="61"/>
    <x v="177"/>
    <x v="11"/>
    <x v="11"/>
    <x v="1"/>
    <x v="1"/>
    <x v="47"/>
    <x v="263"/>
    <x v="2681"/>
    <x v="0"/>
    <s v="AZUERO TERMINAL PLAZA"/>
    <x v="0"/>
  </r>
  <r>
    <x v="63"/>
    <x v="171"/>
    <x v="7"/>
    <x v="7"/>
    <x v="1"/>
    <x v="0"/>
    <x v="41"/>
    <x v="257"/>
    <x v="2682"/>
    <x v="0"/>
    <s v="COSTA VERDE"/>
    <x v="0"/>
  </r>
  <r>
    <x v="63"/>
    <x v="172"/>
    <x v="8"/>
    <x v="8"/>
    <x v="1"/>
    <x v="0"/>
    <x v="42"/>
    <x v="258"/>
    <x v="2683"/>
    <x v="0"/>
    <s v="COSTA VERDE"/>
    <x v="0"/>
  </r>
  <r>
    <x v="63"/>
    <x v="180"/>
    <x v="10"/>
    <x v="10"/>
    <x v="1"/>
    <x v="0"/>
    <x v="50"/>
    <x v="266"/>
    <x v="2684"/>
    <x v="0"/>
    <s v="COSTA VERDE"/>
    <x v="0"/>
  </r>
  <r>
    <x v="63"/>
    <x v="176"/>
    <x v="10"/>
    <x v="10"/>
    <x v="1"/>
    <x v="0"/>
    <x v="46"/>
    <x v="262"/>
    <x v="2685"/>
    <x v="0"/>
    <s v="COSTA VERDE"/>
    <x v="0"/>
  </r>
  <r>
    <x v="63"/>
    <x v="182"/>
    <x v="2"/>
    <x v="2"/>
    <x v="1"/>
    <x v="0"/>
    <x v="52"/>
    <x v="268"/>
    <x v="2686"/>
    <x v="0"/>
    <s v="COSTA VERDE"/>
    <x v="0"/>
  </r>
  <r>
    <x v="63"/>
    <x v="183"/>
    <x v="2"/>
    <x v="2"/>
    <x v="1"/>
    <x v="0"/>
    <x v="53"/>
    <x v="269"/>
    <x v="2687"/>
    <x v="0"/>
    <s v="COSTA VERDE"/>
    <x v="0"/>
  </r>
  <r>
    <x v="63"/>
    <x v="184"/>
    <x v="6"/>
    <x v="6"/>
    <x v="1"/>
    <x v="0"/>
    <x v="54"/>
    <x v="270"/>
    <x v="2688"/>
    <x v="0"/>
    <s v="COSTA VERDE"/>
    <x v="0"/>
  </r>
  <r>
    <x v="63"/>
    <x v="174"/>
    <x v="6"/>
    <x v="6"/>
    <x v="1"/>
    <x v="0"/>
    <x v="44"/>
    <x v="260"/>
    <x v="2689"/>
    <x v="0"/>
    <s v="COSTA VERDE"/>
    <x v="0"/>
  </r>
  <r>
    <x v="63"/>
    <x v="172"/>
    <x v="8"/>
    <x v="8"/>
    <x v="1"/>
    <x v="1"/>
    <x v="42"/>
    <x v="258"/>
    <x v="2690"/>
    <x v="0"/>
    <s v="COSTA VERDE"/>
    <x v="0"/>
  </r>
  <r>
    <x v="63"/>
    <x v="178"/>
    <x v="9"/>
    <x v="9"/>
    <x v="1"/>
    <x v="1"/>
    <x v="48"/>
    <x v="264"/>
    <x v="2691"/>
    <x v="0"/>
    <s v="COSTA VERDE"/>
    <x v="0"/>
  </r>
  <r>
    <x v="63"/>
    <x v="184"/>
    <x v="6"/>
    <x v="6"/>
    <x v="1"/>
    <x v="1"/>
    <x v="54"/>
    <x v="270"/>
    <x v="2692"/>
    <x v="0"/>
    <s v="COSTA VERDE"/>
    <x v="0"/>
  </r>
  <r>
    <x v="63"/>
    <x v="174"/>
    <x v="6"/>
    <x v="6"/>
    <x v="1"/>
    <x v="1"/>
    <x v="44"/>
    <x v="260"/>
    <x v="2693"/>
    <x v="0"/>
    <s v="COSTA VERDE"/>
    <x v="0"/>
  </r>
  <r>
    <x v="78"/>
    <x v="183"/>
    <x v="2"/>
    <x v="2"/>
    <x v="1"/>
    <x v="0"/>
    <x v="53"/>
    <x v="269"/>
    <x v="2694"/>
    <x v="0"/>
    <s v="CASCO VIEJO"/>
    <x v="0"/>
  </r>
  <r>
    <x v="67"/>
    <x v="171"/>
    <x v="7"/>
    <x v="7"/>
    <x v="1"/>
    <x v="0"/>
    <x v="41"/>
    <x v="257"/>
    <x v="2695"/>
    <x v="0"/>
    <s v="PASEO ARRAIJAN"/>
    <x v="0"/>
  </r>
  <r>
    <x v="67"/>
    <x v="176"/>
    <x v="10"/>
    <x v="10"/>
    <x v="1"/>
    <x v="0"/>
    <x v="46"/>
    <x v="262"/>
    <x v="2696"/>
    <x v="0"/>
    <s v="PASEO ARRAIJAN"/>
    <x v="0"/>
  </r>
  <r>
    <x v="67"/>
    <x v="174"/>
    <x v="6"/>
    <x v="6"/>
    <x v="1"/>
    <x v="0"/>
    <x v="44"/>
    <x v="260"/>
    <x v="673"/>
    <x v="0"/>
    <s v="PASEO ARRAIJAN"/>
    <x v="0"/>
  </r>
  <r>
    <x v="67"/>
    <x v="180"/>
    <x v="10"/>
    <x v="10"/>
    <x v="1"/>
    <x v="1"/>
    <x v="50"/>
    <x v="266"/>
    <x v="2697"/>
    <x v="0"/>
    <s v="PASEO ARRAIJAN"/>
    <x v="0"/>
  </r>
  <r>
    <x v="68"/>
    <x v="174"/>
    <x v="6"/>
    <x v="6"/>
    <x v="1"/>
    <x v="1"/>
    <x v="44"/>
    <x v="260"/>
    <x v="2698"/>
    <x v="0"/>
    <s v="PLAZA NUEVO TOCUMEN"/>
    <x v="0"/>
  </r>
  <r>
    <x v="69"/>
    <x v="171"/>
    <x v="7"/>
    <x v="7"/>
    <x v="1"/>
    <x v="0"/>
    <x v="41"/>
    <x v="257"/>
    <x v="2699"/>
    <x v="0"/>
    <s v="SANTA MARIA"/>
    <x v="0"/>
  </r>
  <r>
    <x v="69"/>
    <x v="172"/>
    <x v="8"/>
    <x v="8"/>
    <x v="1"/>
    <x v="1"/>
    <x v="42"/>
    <x v="258"/>
    <x v="2700"/>
    <x v="0"/>
    <s v="SANTA MARIA"/>
    <x v="0"/>
  </r>
  <r>
    <x v="0"/>
    <x v="195"/>
    <x v="8"/>
    <x v="8"/>
    <x v="1"/>
    <x v="2"/>
    <x v="20"/>
    <x v="24"/>
    <x v="813"/>
    <x v="0"/>
    <s v="CASA MATRIZ"/>
    <x v="1"/>
  </r>
  <r>
    <x v="0"/>
    <x v="196"/>
    <x v="8"/>
    <x v="8"/>
    <x v="1"/>
    <x v="2"/>
    <x v="20"/>
    <x v="24"/>
    <x v="735"/>
    <x v="0"/>
    <s v="CASA MATRIZ"/>
    <x v="1"/>
  </r>
  <r>
    <x v="0"/>
    <x v="197"/>
    <x v="9"/>
    <x v="9"/>
    <x v="1"/>
    <x v="2"/>
    <x v="20"/>
    <x v="24"/>
    <x v="735"/>
    <x v="0"/>
    <s v="CASA MATRIZ"/>
    <x v="1"/>
  </r>
  <r>
    <x v="0"/>
    <x v="198"/>
    <x v="10"/>
    <x v="10"/>
    <x v="1"/>
    <x v="2"/>
    <x v="20"/>
    <x v="24"/>
    <x v="736"/>
    <x v="0"/>
    <s v="CASA MATRIZ"/>
    <x v="1"/>
  </r>
  <r>
    <x v="0"/>
    <x v="199"/>
    <x v="10"/>
    <x v="10"/>
    <x v="1"/>
    <x v="2"/>
    <x v="20"/>
    <x v="24"/>
    <x v="735"/>
    <x v="0"/>
    <s v="CASA MATRIZ"/>
    <x v="1"/>
  </r>
  <r>
    <x v="0"/>
    <x v="200"/>
    <x v="11"/>
    <x v="11"/>
    <x v="1"/>
    <x v="2"/>
    <x v="20"/>
    <x v="24"/>
    <x v="748"/>
    <x v="0"/>
    <s v="CASA MATRIZ"/>
    <x v="1"/>
  </r>
  <r>
    <x v="0"/>
    <x v="201"/>
    <x v="11"/>
    <x v="11"/>
    <x v="1"/>
    <x v="2"/>
    <x v="20"/>
    <x v="24"/>
    <x v="742"/>
    <x v="0"/>
    <s v="CASA MATRIZ"/>
    <x v="1"/>
  </r>
  <r>
    <x v="0"/>
    <x v="202"/>
    <x v="11"/>
    <x v="11"/>
    <x v="1"/>
    <x v="2"/>
    <x v="20"/>
    <x v="24"/>
    <x v="741"/>
    <x v="0"/>
    <s v="CASA MATRIZ"/>
    <x v="1"/>
  </r>
  <r>
    <x v="0"/>
    <x v="203"/>
    <x v="6"/>
    <x v="6"/>
    <x v="1"/>
    <x v="2"/>
    <x v="20"/>
    <x v="24"/>
    <x v="1894"/>
    <x v="0"/>
    <s v="CASA MATRIZ"/>
    <x v="1"/>
  </r>
  <r>
    <x v="0"/>
    <x v="204"/>
    <x v="6"/>
    <x v="6"/>
    <x v="1"/>
    <x v="2"/>
    <x v="20"/>
    <x v="24"/>
    <x v="735"/>
    <x v="0"/>
    <s v="CASA MATRIZ"/>
    <x v="1"/>
  </r>
  <r>
    <x v="1"/>
    <x v="205"/>
    <x v="7"/>
    <x v="7"/>
    <x v="1"/>
    <x v="2"/>
    <x v="20"/>
    <x v="25"/>
    <x v="742"/>
    <x v="0"/>
    <s v="PAITILLA"/>
    <x v="1"/>
  </r>
  <r>
    <x v="1"/>
    <x v="206"/>
    <x v="7"/>
    <x v="7"/>
    <x v="1"/>
    <x v="2"/>
    <x v="20"/>
    <x v="25"/>
    <x v="742"/>
    <x v="0"/>
    <s v="PAITILLA"/>
    <x v="1"/>
  </r>
  <r>
    <x v="1"/>
    <x v="207"/>
    <x v="8"/>
    <x v="8"/>
    <x v="1"/>
    <x v="2"/>
    <x v="20"/>
    <x v="25"/>
    <x v="908"/>
    <x v="0"/>
    <s v="PAITILLA"/>
    <x v="1"/>
  </r>
  <r>
    <x v="1"/>
    <x v="208"/>
    <x v="8"/>
    <x v="8"/>
    <x v="1"/>
    <x v="2"/>
    <x v="20"/>
    <x v="25"/>
    <x v="763"/>
    <x v="0"/>
    <s v="PAITILLA"/>
    <x v="1"/>
  </r>
  <r>
    <x v="1"/>
    <x v="182"/>
    <x v="2"/>
    <x v="2"/>
    <x v="1"/>
    <x v="2"/>
    <x v="20"/>
    <x v="25"/>
    <x v="742"/>
    <x v="0"/>
    <s v="PAITILLA"/>
    <x v="1"/>
  </r>
  <r>
    <x v="2"/>
    <x v="179"/>
    <x v="7"/>
    <x v="7"/>
    <x v="1"/>
    <x v="2"/>
    <x v="20"/>
    <x v="26"/>
    <x v="776"/>
    <x v="0"/>
    <s v="EL DORADO"/>
    <x v="1"/>
  </r>
  <r>
    <x v="2"/>
    <x v="209"/>
    <x v="7"/>
    <x v="7"/>
    <x v="1"/>
    <x v="2"/>
    <x v="20"/>
    <x v="26"/>
    <x v="771"/>
    <x v="0"/>
    <s v="EL DORADO"/>
    <x v="1"/>
  </r>
  <r>
    <x v="2"/>
    <x v="210"/>
    <x v="7"/>
    <x v="7"/>
    <x v="1"/>
    <x v="2"/>
    <x v="20"/>
    <x v="26"/>
    <x v="745"/>
    <x v="0"/>
    <s v="EL DORADO"/>
    <x v="1"/>
  </r>
  <r>
    <x v="2"/>
    <x v="211"/>
    <x v="9"/>
    <x v="9"/>
    <x v="1"/>
    <x v="2"/>
    <x v="20"/>
    <x v="26"/>
    <x v="776"/>
    <x v="0"/>
    <s v="EL DORADO"/>
    <x v="1"/>
  </r>
  <r>
    <x v="2"/>
    <x v="212"/>
    <x v="10"/>
    <x v="10"/>
    <x v="1"/>
    <x v="2"/>
    <x v="20"/>
    <x v="26"/>
    <x v="777"/>
    <x v="0"/>
    <s v="EL DORADO"/>
    <x v="1"/>
  </r>
  <r>
    <x v="2"/>
    <x v="213"/>
    <x v="11"/>
    <x v="11"/>
    <x v="1"/>
    <x v="2"/>
    <x v="20"/>
    <x v="26"/>
    <x v="742"/>
    <x v="0"/>
    <s v="EL DORADO"/>
    <x v="1"/>
  </r>
  <r>
    <x v="2"/>
    <x v="214"/>
    <x v="11"/>
    <x v="11"/>
    <x v="1"/>
    <x v="2"/>
    <x v="20"/>
    <x v="26"/>
    <x v="750"/>
    <x v="0"/>
    <s v="EL DORADO"/>
    <x v="1"/>
  </r>
  <r>
    <x v="2"/>
    <x v="215"/>
    <x v="2"/>
    <x v="2"/>
    <x v="1"/>
    <x v="2"/>
    <x v="20"/>
    <x v="26"/>
    <x v="737"/>
    <x v="0"/>
    <s v="EL DORADO"/>
    <x v="1"/>
  </r>
  <r>
    <x v="2"/>
    <x v="216"/>
    <x v="2"/>
    <x v="2"/>
    <x v="1"/>
    <x v="2"/>
    <x v="20"/>
    <x v="26"/>
    <x v="2701"/>
    <x v="0"/>
    <s v="EL DORADO"/>
    <x v="1"/>
  </r>
  <r>
    <x v="2"/>
    <x v="217"/>
    <x v="6"/>
    <x v="6"/>
    <x v="1"/>
    <x v="2"/>
    <x v="20"/>
    <x v="26"/>
    <x v="745"/>
    <x v="0"/>
    <s v="EL DORADO"/>
    <x v="1"/>
  </r>
  <r>
    <x v="2"/>
    <x v="218"/>
    <x v="6"/>
    <x v="6"/>
    <x v="1"/>
    <x v="2"/>
    <x v="20"/>
    <x v="26"/>
    <x v="744"/>
    <x v="0"/>
    <s v="EL DORADO"/>
    <x v="1"/>
  </r>
  <r>
    <x v="2"/>
    <x v="190"/>
    <x v="6"/>
    <x v="6"/>
    <x v="1"/>
    <x v="2"/>
    <x v="20"/>
    <x v="26"/>
    <x v="744"/>
    <x v="0"/>
    <s v="EL DORADO"/>
    <x v="1"/>
  </r>
  <r>
    <x v="3"/>
    <x v="219"/>
    <x v="9"/>
    <x v="9"/>
    <x v="1"/>
    <x v="2"/>
    <x v="20"/>
    <x v="27"/>
    <x v="738"/>
    <x v="0"/>
    <s v="VIA ARGENTINA"/>
    <x v="1"/>
  </r>
  <r>
    <x v="3"/>
    <x v="220"/>
    <x v="11"/>
    <x v="11"/>
    <x v="1"/>
    <x v="2"/>
    <x v="20"/>
    <x v="27"/>
    <x v="744"/>
    <x v="0"/>
    <s v="VIA ARGENTINA"/>
    <x v="1"/>
  </r>
  <r>
    <x v="3"/>
    <x v="202"/>
    <x v="11"/>
    <x v="11"/>
    <x v="1"/>
    <x v="2"/>
    <x v="20"/>
    <x v="27"/>
    <x v="763"/>
    <x v="0"/>
    <s v="VIA ARGENTINA"/>
    <x v="1"/>
  </r>
  <r>
    <x v="3"/>
    <x v="221"/>
    <x v="2"/>
    <x v="2"/>
    <x v="1"/>
    <x v="2"/>
    <x v="20"/>
    <x v="27"/>
    <x v="737"/>
    <x v="0"/>
    <s v="VIA ARGENTINA"/>
    <x v="1"/>
  </r>
  <r>
    <x v="3"/>
    <x v="222"/>
    <x v="2"/>
    <x v="2"/>
    <x v="1"/>
    <x v="2"/>
    <x v="20"/>
    <x v="27"/>
    <x v="742"/>
    <x v="0"/>
    <s v="VIA ARGENTINA"/>
    <x v="1"/>
  </r>
  <r>
    <x v="3"/>
    <x v="223"/>
    <x v="2"/>
    <x v="2"/>
    <x v="1"/>
    <x v="2"/>
    <x v="20"/>
    <x v="27"/>
    <x v="737"/>
    <x v="0"/>
    <s v="VIA ARGENTINA"/>
    <x v="1"/>
  </r>
  <r>
    <x v="3"/>
    <x v="224"/>
    <x v="2"/>
    <x v="2"/>
    <x v="1"/>
    <x v="2"/>
    <x v="20"/>
    <x v="27"/>
    <x v="748"/>
    <x v="0"/>
    <s v="VIA ARGENTINA"/>
    <x v="1"/>
  </r>
  <r>
    <x v="3"/>
    <x v="204"/>
    <x v="6"/>
    <x v="6"/>
    <x v="1"/>
    <x v="2"/>
    <x v="20"/>
    <x v="27"/>
    <x v="744"/>
    <x v="0"/>
    <s v="VIA ARGENTINA"/>
    <x v="1"/>
  </r>
  <r>
    <x v="3"/>
    <x v="191"/>
    <x v="6"/>
    <x v="6"/>
    <x v="1"/>
    <x v="2"/>
    <x v="20"/>
    <x v="27"/>
    <x v="763"/>
    <x v="0"/>
    <s v="VIA ARGENTINA"/>
    <x v="1"/>
  </r>
  <r>
    <x v="4"/>
    <x v="179"/>
    <x v="7"/>
    <x v="7"/>
    <x v="1"/>
    <x v="2"/>
    <x v="20"/>
    <x v="28"/>
    <x v="744"/>
    <x v="0"/>
    <s v="VIA PORRAS"/>
    <x v="1"/>
  </r>
  <r>
    <x v="4"/>
    <x v="225"/>
    <x v="7"/>
    <x v="7"/>
    <x v="1"/>
    <x v="2"/>
    <x v="20"/>
    <x v="28"/>
    <x v="744"/>
    <x v="0"/>
    <s v="VIA PORRAS"/>
    <x v="1"/>
  </r>
  <r>
    <x v="4"/>
    <x v="206"/>
    <x v="7"/>
    <x v="7"/>
    <x v="1"/>
    <x v="2"/>
    <x v="20"/>
    <x v="28"/>
    <x v="777"/>
    <x v="0"/>
    <s v="VIA PORRAS"/>
    <x v="1"/>
  </r>
  <r>
    <x v="4"/>
    <x v="196"/>
    <x v="8"/>
    <x v="8"/>
    <x v="1"/>
    <x v="2"/>
    <x v="20"/>
    <x v="28"/>
    <x v="745"/>
    <x v="0"/>
    <s v="VIA PORRAS"/>
    <x v="1"/>
  </r>
  <r>
    <x v="4"/>
    <x v="226"/>
    <x v="8"/>
    <x v="8"/>
    <x v="1"/>
    <x v="2"/>
    <x v="20"/>
    <x v="28"/>
    <x v="2702"/>
    <x v="0"/>
    <s v="VIA PORRAS"/>
    <x v="1"/>
  </r>
  <r>
    <x v="4"/>
    <x v="208"/>
    <x v="8"/>
    <x v="8"/>
    <x v="1"/>
    <x v="2"/>
    <x v="20"/>
    <x v="28"/>
    <x v="745"/>
    <x v="0"/>
    <s v="VIA PORRAS"/>
    <x v="1"/>
  </r>
  <r>
    <x v="4"/>
    <x v="227"/>
    <x v="9"/>
    <x v="9"/>
    <x v="1"/>
    <x v="2"/>
    <x v="20"/>
    <x v="28"/>
    <x v="742"/>
    <x v="0"/>
    <s v="VIA PORRAS"/>
    <x v="1"/>
  </r>
  <r>
    <x v="4"/>
    <x v="194"/>
    <x v="9"/>
    <x v="9"/>
    <x v="1"/>
    <x v="2"/>
    <x v="20"/>
    <x v="28"/>
    <x v="744"/>
    <x v="0"/>
    <s v="VIA PORRAS"/>
    <x v="1"/>
  </r>
  <r>
    <x v="4"/>
    <x v="228"/>
    <x v="9"/>
    <x v="9"/>
    <x v="1"/>
    <x v="2"/>
    <x v="20"/>
    <x v="28"/>
    <x v="737"/>
    <x v="0"/>
    <s v="VIA PORRAS"/>
    <x v="1"/>
  </r>
  <r>
    <x v="4"/>
    <x v="229"/>
    <x v="6"/>
    <x v="6"/>
    <x v="1"/>
    <x v="2"/>
    <x v="25"/>
    <x v="281"/>
    <x v="744"/>
    <x v="0"/>
    <s v="VIA PORRAS"/>
    <x v="1"/>
  </r>
  <r>
    <x v="4"/>
    <x v="174"/>
    <x v="6"/>
    <x v="6"/>
    <x v="1"/>
    <x v="0"/>
    <x v="25"/>
    <x v="282"/>
    <x v="744"/>
    <x v="0"/>
    <s v="VIA PORRAS"/>
    <x v="1"/>
  </r>
  <r>
    <x v="4"/>
    <x v="229"/>
    <x v="6"/>
    <x v="6"/>
    <x v="1"/>
    <x v="0"/>
    <x v="25"/>
    <x v="281"/>
    <x v="739"/>
    <x v="0"/>
    <s v="VIA PORRAS"/>
    <x v="1"/>
  </r>
  <r>
    <x v="4"/>
    <x v="230"/>
    <x v="9"/>
    <x v="9"/>
    <x v="1"/>
    <x v="1"/>
    <x v="25"/>
    <x v="283"/>
    <x v="745"/>
    <x v="0"/>
    <s v="VIA PORRAS"/>
    <x v="1"/>
  </r>
  <r>
    <x v="5"/>
    <x v="226"/>
    <x v="8"/>
    <x v="8"/>
    <x v="1"/>
    <x v="2"/>
    <x v="20"/>
    <x v="29"/>
    <x v="746"/>
    <x v="0"/>
    <s v="EL INGENIO"/>
    <x v="1"/>
  </r>
  <r>
    <x v="5"/>
    <x v="198"/>
    <x v="10"/>
    <x v="10"/>
    <x v="1"/>
    <x v="2"/>
    <x v="20"/>
    <x v="29"/>
    <x v="750"/>
    <x v="0"/>
    <s v="EL INGENIO"/>
    <x v="1"/>
  </r>
  <r>
    <x v="5"/>
    <x v="231"/>
    <x v="10"/>
    <x v="10"/>
    <x v="1"/>
    <x v="2"/>
    <x v="20"/>
    <x v="29"/>
    <x v="1355"/>
    <x v="0"/>
    <s v="EL INGENIO"/>
    <x v="1"/>
  </r>
  <r>
    <x v="5"/>
    <x v="232"/>
    <x v="10"/>
    <x v="10"/>
    <x v="1"/>
    <x v="2"/>
    <x v="20"/>
    <x v="29"/>
    <x v="748"/>
    <x v="0"/>
    <s v="EL INGENIO"/>
    <x v="1"/>
  </r>
  <r>
    <x v="5"/>
    <x v="186"/>
    <x v="10"/>
    <x v="10"/>
    <x v="1"/>
    <x v="2"/>
    <x v="20"/>
    <x v="29"/>
    <x v="748"/>
    <x v="0"/>
    <s v="EL INGENIO"/>
    <x v="1"/>
  </r>
  <r>
    <x v="5"/>
    <x v="233"/>
    <x v="10"/>
    <x v="10"/>
    <x v="1"/>
    <x v="2"/>
    <x v="20"/>
    <x v="29"/>
    <x v="745"/>
    <x v="0"/>
    <s v="EL INGENIO"/>
    <x v="1"/>
  </r>
  <r>
    <x v="5"/>
    <x v="176"/>
    <x v="10"/>
    <x v="10"/>
    <x v="1"/>
    <x v="2"/>
    <x v="20"/>
    <x v="29"/>
    <x v="750"/>
    <x v="0"/>
    <s v="EL INGENIO"/>
    <x v="1"/>
  </r>
  <r>
    <x v="5"/>
    <x v="234"/>
    <x v="11"/>
    <x v="11"/>
    <x v="1"/>
    <x v="2"/>
    <x v="20"/>
    <x v="29"/>
    <x v="775"/>
    <x v="0"/>
    <s v="EL INGENIO"/>
    <x v="1"/>
  </r>
  <r>
    <x v="5"/>
    <x v="223"/>
    <x v="2"/>
    <x v="2"/>
    <x v="1"/>
    <x v="2"/>
    <x v="20"/>
    <x v="29"/>
    <x v="2703"/>
    <x v="0"/>
    <s v="EL INGENIO"/>
    <x v="1"/>
  </r>
  <r>
    <x v="5"/>
    <x v="235"/>
    <x v="2"/>
    <x v="2"/>
    <x v="1"/>
    <x v="2"/>
    <x v="20"/>
    <x v="29"/>
    <x v="777"/>
    <x v="0"/>
    <s v="EL INGENIO"/>
    <x v="1"/>
  </r>
  <r>
    <x v="5"/>
    <x v="236"/>
    <x v="6"/>
    <x v="6"/>
    <x v="1"/>
    <x v="2"/>
    <x v="20"/>
    <x v="29"/>
    <x v="748"/>
    <x v="0"/>
    <s v="EL INGENIO"/>
    <x v="1"/>
  </r>
  <r>
    <x v="5"/>
    <x v="174"/>
    <x v="6"/>
    <x v="6"/>
    <x v="1"/>
    <x v="2"/>
    <x v="20"/>
    <x v="29"/>
    <x v="748"/>
    <x v="0"/>
    <s v="EL INGENIO"/>
    <x v="1"/>
  </r>
  <r>
    <x v="6"/>
    <x v="237"/>
    <x v="7"/>
    <x v="7"/>
    <x v="1"/>
    <x v="2"/>
    <x v="20"/>
    <x v="30"/>
    <x v="752"/>
    <x v="0"/>
    <s v="CHANIS"/>
    <x v="1"/>
  </r>
  <r>
    <x v="6"/>
    <x v="196"/>
    <x v="8"/>
    <x v="8"/>
    <x v="1"/>
    <x v="2"/>
    <x v="20"/>
    <x v="30"/>
    <x v="842"/>
    <x v="0"/>
    <s v="CHANIS"/>
    <x v="1"/>
  </r>
  <r>
    <x v="6"/>
    <x v="238"/>
    <x v="9"/>
    <x v="9"/>
    <x v="1"/>
    <x v="2"/>
    <x v="20"/>
    <x v="30"/>
    <x v="2704"/>
    <x v="0"/>
    <s v="CHANIS"/>
    <x v="1"/>
  </r>
  <r>
    <x v="6"/>
    <x v="197"/>
    <x v="9"/>
    <x v="9"/>
    <x v="1"/>
    <x v="2"/>
    <x v="20"/>
    <x v="30"/>
    <x v="2704"/>
    <x v="0"/>
    <s v="CHANIS"/>
    <x v="1"/>
  </r>
  <r>
    <x v="6"/>
    <x v="239"/>
    <x v="10"/>
    <x v="10"/>
    <x v="1"/>
    <x v="2"/>
    <x v="20"/>
    <x v="30"/>
    <x v="742"/>
    <x v="0"/>
    <s v="CHANIS"/>
    <x v="1"/>
  </r>
  <r>
    <x v="6"/>
    <x v="240"/>
    <x v="2"/>
    <x v="2"/>
    <x v="1"/>
    <x v="2"/>
    <x v="20"/>
    <x v="30"/>
    <x v="191"/>
    <x v="0"/>
    <s v="CHANIS"/>
    <x v="1"/>
  </r>
  <r>
    <x v="6"/>
    <x v="224"/>
    <x v="2"/>
    <x v="2"/>
    <x v="1"/>
    <x v="2"/>
    <x v="20"/>
    <x v="30"/>
    <x v="744"/>
    <x v="0"/>
    <s v="CHANIS"/>
    <x v="1"/>
  </r>
  <r>
    <x v="6"/>
    <x v="241"/>
    <x v="6"/>
    <x v="6"/>
    <x v="1"/>
    <x v="2"/>
    <x v="20"/>
    <x v="30"/>
    <x v="842"/>
    <x v="0"/>
    <s v="CHANIS"/>
    <x v="1"/>
  </r>
  <r>
    <x v="7"/>
    <x v="242"/>
    <x v="9"/>
    <x v="9"/>
    <x v="1"/>
    <x v="2"/>
    <x v="20"/>
    <x v="31"/>
    <x v="842"/>
    <x v="0"/>
    <s v="PLAZA TOCUMEN"/>
    <x v="1"/>
  </r>
  <r>
    <x v="7"/>
    <x v="243"/>
    <x v="10"/>
    <x v="10"/>
    <x v="1"/>
    <x v="2"/>
    <x v="20"/>
    <x v="31"/>
    <x v="755"/>
    <x v="0"/>
    <s v="PLAZA TOCUMEN"/>
    <x v="1"/>
  </r>
  <r>
    <x v="7"/>
    <x v="244"/>
    <x v="10"/>
    <x v="10"/>
    <x v="1"/>
    <x v="2"/>
    <x v="20"/>
    <x v="31"/>
    <x v="756"/>
    <x v="0"/>
    <s v="PLAZA TOCUMEN"/>
    <x v="1"/>
  </r>
  <r>
    <x v="7"/>
    <x v="199"/>
    <x v="10"/>
    <x v="10"/>
    <x v="1"/>
    <x v="2"/>
    <x v="20"/>
    <x v="31"/>
    <x v="745"/>
    <x v="0"/>
    <s v="PLAZA TOCUMEN"/>
    <x v="1"/>
  </r>
  <r>
    <x v="8"/>
    <x v="206"/>
    <x v="7"/>
    <x v="7"/>
    <x v="1"/>
    <x v="2"/>
    <x v="21"/>
    <x v="284"/>
    <x v="761"/>
    <x v="0"/>
    <s v="SANTIAGO"/>
    <x v="1"/>
  </r>
  <r>
    <x v="8"/>
    <x v="245"/>
    <x v="8"/>
    <x v="8"/>
    <x v="1"/>
    <x v="2"/>
    <x v="20"/>
    <x v="33"/>
    <x v="858"/>
    <x v="0"/>
    <s v="SANTIAGO"/>
    <x v="1"/>
  </r>
  <r>
    <x v="8"/>
    <x v="245"/>
    <x v="8"/>
    <x v="8"/>
    <x v="1"/>
    <x v="2"/>
    <x v="21"/>
    <x v="285"/>
    <x v="1295"/>
    <x v="0"/>
    <s v="SANTIAGO"/>
    <x v="1"/>
  </r>
  <r>
    <x v="8"/>
    <x v="211"/>
    <x v="9"/>
    <x v="9"/>
    <x v="1"/>
    <x v="2"/>
    <x v="25"/>
    <x v="286"/>
    <x v="761"/>
    <x v="0"/>
    <s v="SANTIAGO"/>
    <x v="1"/>
  </r>
  <r>
    <x v="8"/>
    <x v="246"/>
    <x v="2"/>
    <x v="2"/>
    <x v="1"/>
    <x v="2"/>
    <x v="25"/>
    <x v="287"/>
    <x v="1596"/>
    <x v="0"/>
    <s v="SANTIAGO"/>
    <x v="1"/>
  </r>
  <r>
    <x v="8"/>
    <x v="203"/>
    <x v="6"/>
    <x v="6"/>
    <x v="1"/>
    <x v="2"/>
    <x v="25"/>
    <x v="288"/>
    <x v="2705"/>
    <x v="0"/>
    <s v="SANTIAGO"/>
    <x v="1"/>
  </r>
  <r>
    <x v="9"/>
    <x v="207"/>
    <x v="8"/>
    <x v="8"/>
    <x v="1"/>
    <x v="2"/>
    <x v="20"/>
    <x v="35"/>
    <x v="763"/>
    <x v="0"/>
    <s v="OBARRIO"/>
    <x v="1"/>
  </r>
  <r>
    <x v="9"/>
    <x v="196"/>
    <x v="8"/>
    <x v="8"/>
    <x v="1"/>
    <x v="2"/>
    <x v="20"/>
    <x v="35"/>
    <x v="763"/>
    <x v="0"/>
    <s v="OBARRIO"/>
    <x v="1"/>
  </r>
  <r>
    <x v="70"/>
    <x v="247"/>
    <x v="8"/>
    <x v="8"/>
    <x v="1"/>
    <x v="2"/>
    <x v="21"/>
    <x v="289"/>
    <x v="2706"/>
    <x v="0"/>
    <s v="COLON"/>
    <x v="1"/>
  </r>
  <r>
    <x v="70"/>
    <x v="232"/>
    <x v="10"/>
    <x v="10"/>
    <x v="1"/>
    <x v="2"/>
    <x v="25"/>
    <x v="290"/>
    <x v="2707"/>
    <x v="0"/>
    <s v="COLON"/>
    <x v="1"/>
  </r>
  <r>
    <x v="10"/>
    <x v="207"/>
    <x v="8"/>
    <x v="8"/>
    <x v="1"/>
    <x v="2"/>
    <x v="20"/>
    <x v="40"/>
    <x v="2708"/>
    <x v="0"/>
    <s v="HATO PINTADO"/>
    <x v="1"/>
  </r>
  <r>
    <x v="10"/>
    <x v="248"/>
    <x v="10"/>
    <x v="10"/>
    <x v="1"/>
    <x v="2"/>
    <x v="20"/>
    <x v="40"/>
    <x v="1301"/>
    <x v="0"/>
    <s v="HATO PINTADO"/>
    <x v="1"/>
  </r>
  <r>
    <x v="10"/>
    <x v="249"/>
    <x v="11"/>
    <x v="11"/>
    <x v="1"/>
    <x v="2"/>
    <x v="20"/>
    <x v="40"/>
    <x v="742"/>
    <x v="0"/>
    <s v="HATO PINTADO"/>
    <x v="1"/>
  </r>
  <r>
    <x v="10"/>
    <x v="250"/>
    <x v="2"/>
    <x v="2"/>
    <x v="1"/>
    <x v="2"/>
    <x v="20"/>
    <x v="40"/>
    <x v="770"/>
    <x v="0"/>
    <s v="HATO PINTADO"/>
    <x v="1"/>
  </r>
  <r>
    <x v="11"/>
    <x v="229"/>
    <x v="6"/>
    <x v="6"/>
    <x v="1"/>
    <x v="2"/>
    <x v="20"/>
    <x v="41"/>
    <x v="774"/>
    <x v="0"/>
    <s v="RIO ABAJO"/>
    <x v="1"/>
  </r>
  <r>
    <x v="11"/>
    <x v="251"/>
    <x v="8"/>
    <x v="8"/>
    <x v="1"/>
    <x v="0"/>
    <x v="21"/>
    <x v="291"/>
    <x v="823"/>
    <x v="0"/>
    <s v="RIO ABAJO"/>
    <x v="1"/>
  </r>
  <r>
    <x v="12"/>
    <x v="252"/>
    <x v="7"/>
    <x v="7"/>
    <x v="1"/>
    <x v="2"/>
    <x v="20"/>
    <x v="42"/>
    <x v="858"/>
    <x v="0"/>
    <s v="LA CHORRERA"/>
    <x v="1"/>
  </r>
  <r>
    <x v="12"/>
    <x v="253"/>
    <x v="7"/>
    <x v="7"/>
    <x v="1"/>
    <x v="2"/>
    <x v="21"/>
    <x v="292"/>
    <x v="769"/>
    <x v="0"/>
    <s v="LA CHORRERA"/>
    <x v="1"/>
  </r>
  <r>
    <x v="12"/>
    <x v="210"/>
    <x v="7"/>
    <x v="7"/>
    <x v="1"/>
    <x v="2"/>
    <x v="20"/>
    <x v="42"/>
    <x v="770"/>
    <x v="0"/>
    <s v="LA CHORRERA"/>
    <x v="1"/>
  </r>
  <r>
    <x v="12"/>
    <x v="254"/>
    <x v="8"/>
    <x v="8"/>
    <x v="1"/>
    <x v="2"/>
    <x v="20"/>
    <x v="42"/>
    <x v="748"/>
    <x v="0"/>
    <s v="LA CHORRERA"/>
    <x v="1"/>
  </r>
  <r>
    <x v="12"/>
    <x v="207"/>
    <x v="8"/>
    <x v="8"/>
    <x v="1"/>
    <x v="2"/>
    <x v="20"/>
    <x v="42"/>
    <x v="816"/>
    <x v="0"/>
    <s v="LA CHORRERA"/>
    <x v="1"/>
  </r>
  <r>
    <x v="12"/>
    <x v="173"/>
    <x v="8"/>
    <x v="8"/>
    <x v="1"/>
    <x v="2"/>
    <x v="20"/>
    <x v="42"/>
    <x v="816"/>
    <x v="0"/>
    <s v="LA CHORRERA"/>
    <x v="1"/>
  </r>
  <r>
    <x v="12"/>
    <x v="178"/>
    <x v="9"/>
    <x v="9"/>
    <x v="1"/>
    <x v="2"/>
    <x v="20"/>
    <x v="42"/>
    <x v="748"/>
    <x v="0"/>
    <s v="LA CHORRERA"/>
    <x v="1"/>
  </r>
  <r>
    <x v="12"/>
    <x v="255"/>
    <x v="9"/>
    <x v="9"/>
    <x v="1"/>
    <x v="2"/>
    <x v="25"/>
    <x v="293"/>
    <x v="769"/>
    <x v="0"/>
    <s v="LA CHORRERA"/>
    <x v="1"/>
  </r>
  <r>
    <x v="12"/>
    <x v="256"/>
    <x v="11"/>
    <x v="11"/>
    <x v="1"/>
    <x v="2"/>
    <x v="25"/>
    <x v="294"/>
    <x v="769"/>
    <x v="0"/>
    <s v="LA CHORRERA"/>
    <x v="1"/>
  </r>
  <r>
    <x v="12"/>
    <x v="257"/>
    <x v="2"/>
    <x v="2"/>
    <x v="1"/>
    <x v="2"/>
    <x v="20"/>
    <x v="42"/>
    <x v="814"/>
    <x v="0"/>
    <s v="LA CHORRERA"/>
    <x v="1"/>
  </r>
  <r>
    <x v="12"/>
    <x v="203"/>
    <x v="6"/>
    <x v="6"/>
    <x v="1"/>
    <x v="2"/>
    <x v="20"/>
    <x v="42"/>
    <x v="873"/>
    <x v="0"/>
    <s v="LA CHORRERA"/>
    <x v="1"/>
  </r>
  <r>
    <x v="13"/>
    <x v="245"/>
    <x v="8"/>
    <x v="8"/>
    <x v="1"/>
    <x v="2"/>
    <x v="20"/>
    <x v="46"/>
    <x v="2709"/>
    <x v="0"/>
    <s v="AVENIDA CENTRAL"/>
    <x v="1"/>
  </r>
  <r>
    <x v="13"/>
    <x v="174"/>
    <x v="6"/>
    <x v="6"/>
    <x v="1"/>
    <x v="2"/>
    <x v="20"/>
    <x v="46"/>
    <x v="2709"/>
    <x v="0"/>
    <s v="AVENIDA CENTRAL"/>
    <x v="1"/>
  </r>
  <r>
    <x v="14"/>
    <x v="258"/>
    <x v="7"/>
    <x v="7"/>
    <x v="1"/>
    <x v="2"/>
    <x v="20"/>
    <x v="47"/>
    <x v="737"/>
    <x v="0"/>
    <s v="LOS ANGELES"/>
    <x v="1"/>
  </r>
  <r>
    <x v="14"/>
    <x v="259"/>
    <x v="7"/>
    <x v="7"/>
    <x v="1"/>
    <x v="2"/>
    <x v="20"/>
    <x v="47"/>
    <x v="742"/>
    <x v="0"/>
    <s v="LOS ANGELES"/>
    <x v="1"/>
  </r>
  <r>
    <x v="14"/>
    <x v="260"/>
    <x v="7"/>
    <x v="7"/>
    <x v="1"/>
    <x v="2"/>
    <x v="20"/>
    <x v="47"/>
    <x v="1111"/>
    <x v="0"/>
    <s v="LOS ANGELES"/>
    <x v="1"/>
  </r>
  <r>
    <x v="14"/>
    <x v="261"/>
    <x v="8"/>
    <x v="8"/>
    <x v="1"/>
    <x v="2"/>
    <x v="20"/>
    <x v="47"/>
    <x v="737"/>
    <x v="0"/>
    <s v="LOS ANGELES"/>
    <x v="1"/>
  </r>
  <r>
    <x v="14"/>
    <x v="196"/>
    <x v="8"/>
    <x v="8"/>
    <x v="1"/>
    <x v="2"/>
    <x v="20"/>
    <x v="47"/>
    <x v="745"/>
    <x v="0"/>
    <s v="LOS ANGELES"/>
    <x v="1"/>
  </r>
  <r>
    <x v="14"/>
    <x v="227"/>
    <x v="9"/>
    <x v="9"/>
    <x v="1"/>
    <x v="2"/>
    <x v="20"/>
    <x v="47"/>
    <x v="754"/>
    <x v="0"/>
    <s v="LOS ANGELES"/>
    <x v="1"/>
  </r>
  <r>
    <x v="14"/>
    <x v="238"/>
    <x v="9"/>
    <x v="9"/>
    <x v="1"/>
    <x v="2"/>
    <x v="20"/>
    <x v="47"/>
    <x v="777"/>
    <x v="0"/>
    <s v="LOS ANGELES"/>
    <x v="1"/>
  </r>
  <r>
    <x v="14"/>
    <x v="197"/>
    <x v="9"/>
    <x v="9"/>
    <x v="1"/>
    <x v="2"/>
    <x v="20"/>
    <x v="47"/>
    <x v="742"/>
    <x v="0"/>
    <s v="LOS ANGELES"/>
    <x v="1"/>
  </r>
  <r>
    <x v="14"/>
    <x v="242"/>
    <x v="9"/>
    <x v="9"/>
    <x v="1"/>
    <x v="2"/>
    <x v="20"/>
    <x v="47"/>
    <x v="742"/>
    <x v="0"/>
    <s v="LOS ANGELES"/>
    <x v="1"/>
  </r>
  <r>
    <x v="14"/>
    <x v="262"/>
    <x v="9"/>
    <x v="9"/>
    <x v="1"/>
    <x v="2"/>
    <x v="20"/>
    <x v="47"/>
    <x v="776"/>
    <x v="0"/>
    <s v="LOS ANGELES"/>
    <x v="1"/>
  </r>
  <r>
    <x v="14"/>
    <x v="255"/>
    <x v="9"/>
    <x v="9"/>
    <x v="1"/>
    <x v="2"/>
    <x v="20"/>
    <x v="47"/>
    <x v="754"/>
    <x v="0"/>
    <s v="LOS ANGELES"/>
    <x v="1"/>
  </r>
  <r>
    <x v="14"/>
    <x v="176"/>
    <x v="10"/>
    <x v="10"/>
    <x v="1"/>
    <x v="2"/>
    <x v="20"/>
    <x v="47"/>
    <x v="737"/>
    <x v="0"/>
    <s v="LOS ANGELES"/>
    <x v="1"/>
  </r>
  <r>
    <x v="14"/>
    <x v="223"/>
    <x v="2"/>
    <x v="2"/>
    <x v="1"/>
    <x v="2"/>
    <x v="20"/>
    <x v="47"/>
    <x v="742"/>
    <x v="0"/>
    <s v="LOS ANGELES"/>
    <x v="1"/>
  </r>
  <r>
    <x v="14"/>
    <x v="174"/>
    <x v="6"/>
    <x v="6"/>
    <x v="1"/>
    <x v="2"/>
    <x v="20"/>
    <x v="47"/>
    <x v="745"/>
    <x v="0"/>
    <s v="LOS ANGELES"/>
    <x v="1"/>
  </r>
  <r>
    <x v="15"/>
    <x v="210"/>
    <x v="7"/>
    <x v="7"/>
    <x v="1"/>
    <x v="2"/>
    <x v="20"/>
    <x v="48"/>
    <x v="735"/>
    <x v="0"/>
    <s v="VILLA LUCRE"/>
    <x v="1"/>
  </r>
  <r>
    <x v="15"/>
    <x v="195"/>
    <x v="8"/>
    <x v="8"/>
    <x v="1"/>
    <x v="2"/>
    <x v="20"/>
    <x v="48"/>
    <x v="2710"/>
    <x v="0"/>
    <s v="VILLA LUCRE"/>
    <x v="1"/>
  </r>
  <r>
    <x v="15"/>
    <x v="226"/>
    <x v="8"/>
    <x v="8"/>
    <x v="1"/>
    <x v="2"/>
    <x v="20"/>
    <x v="48"/>
    <x v="2710"/>
    <x v="0"/>
    <s v="VILLA LUCRE"/>
    <x v="1"/>
  </r>
  <r>
    <x v="15"/>
    <x v="263"/>
    <x v="10"/>
    <x v="10"/>
    <x v="1"/>
    <x v="2"/>
    <x v="20"/>
    <x v="48"/>
    <x v="841"/>
    <x v="0"/>
    <s v="VILLA LUCRE"/>
    <x v="1"/>
  </r>
  <r>
    <x v="15"/>
    <x v="180"/>
    <x v="10"/>
    <x v="10"/>
    <x v="1"/>
    <x v="2"/>
    <x v="20"/>
    <x v="48"/>
    <x v="755"/>
    <x v="0"/>
    <s v="VILLA LUCRE"/>
    <x v="1"/>
  </r>
  <r>
    <x v="15"/>
    <x v="264"/>
    <x v="6"/>
    <x v="6"/>
    <x v="1"/>
    <x v="2"/>
    <x v="20"/>
    <x v="48"/>
    <x v="777"/>
    <x v="0"/>
    <s v="VILLA LUCRE"/>
    <x v="1"/>
  </r>
  <r>
    <x v="15"/>
    <x v="265"/>
    <x v="6"/>
    <x v="6"/>
    <x v="1"/>
    <x v="2"/>
    <x v="20"/>
    <x v="48"/>
    <x v="756"/>
    <x v="0"/>
    <s v="VILLA LUCRE"/>
    <x v="1"/>
  </r>
  <r>
    <x v="15"/>
    <x v="266"/>
    <x v="6"/>
    <x v="6"/>
    <x v="1"/>
    <x v="2"/>
    <x v="20"/>
    <x v="48"/>
    <x v="738"/>
    <x v="0"/>
    <s v="VILLA LUCRE"/>
    <x v="1"/>
  </r>
  <r>
    <x v="15"/>
    <x v="203"/>
    <x v="6"/>
    <x v="6"/>
    <x v="1"/>
    <x v="2"/>
    <x v="20"/>
    <x v="48"/>
    <x v="777"/>
    <x v="0"/>
    <s v="VILLA LUCRE"/>
    <x v="1"/>
  </r>
  <r>
    <x v="15"/>
    <x v="229"/>
    <x v="6"/>
    <x v="6"/>
    <x v="1"/>
    <x v="2"/>
    <x v="20"/>
    <x v="48"/>
    <x v="841"/>
    <x v="0"/>
    <s v="VILLA LUCRE"/>
    <x v="1"/>
  </r>
  <r>
    <x v="16"/>
    <x v="267"/>
    <x v="8"/>
    <x v="8"/>
    <x v="1"/>
    <x v="2"/>
    <x v="20"/>
    <x v="49"/>
    <x v="873"/>
    <x v="0"/>
    <s v="LOS ANDES"/>
    <x v="1"/>
  </r>
  <r>
    <x v="16"/>
    <x v="220"/>
    <x v="11"/>
    <x v="11"/>
    <x v="1"/>
    <x v="2"/>
    <x v="20"/>
    <x v="49"/>
    <x v="738"/>
    <x v="0"/>
    <s v="LOS ANDES"/>
    <x v="1"/>
  </r>
  <r>
    <x v="16"/>
    <x v="218"/>
    <x v="6"/>
    <x v="6"/>
    <x v="1"/>
    <x v="2"/>
    <x v="20"/>
    <x v="49"/>
    <x v="2711"/>
    <x v="0"/>
    <s v="LOS ANDES"/>
    <x v="1"/>
  </r>
  <r>
    <x v="17"/>
    <x v="208"/>
    <x v="8"/>
    <x v="8"/>
    <x v="1"/>
    <x v="2"/>
    <x v="20"/>
    <x v="50"/>
    <x v="709"/>
    <x v="0"/>
    <s v="VIA ESPANA"/>
    <x v="1"/>
  </r>
  <r>
    <x v="17"/>
    <x v="255"/>
    <x v="9"/>
    <x v="9"/>
    <x v="1"/>
    <x v="2"/>
    <x v="20"/>
    <x v="50"/>
    <x v="748"/>
    <x v="0"/>
    <s v="VIA ESPANA"/>
    <x v="1"/>
  </r>
  <r>
    <x v="17"/>
    <x v="231"/>
    <x v="10"/>
    <x v="10"/>
    <x v="1"/>
    <x v="2"/>
    <x v="20"/>
    <x v="50"/>
    <x v="737"/>
    <x v="0"/>
    <s v="VIA ESPANA"/>
    <x v="1"/>
  </r>
  <r>
    <x v="17"/>
    <x v="180"/>
    <x v="10"/>
    <x v="10"/>
    <x v="1"/>
    <x v="2"/>
    <x v="20"/>
    <x v="50"/>
    <x v="737"/>
    <x v="0"/>
    <s v="VIA ESPANA"/>
    <x v="1"/>
  </r>
  <r>
    <x v="17"/>
    <x v="268"/>
    <x v="10"/>
    <x v="10"/>
    <x v="1"/>
    <x v="2"/>
    <x v="20"/>
    <x v="50"/>
    <x v="737"/>
    <x v="0"/>
    <s v="VIA ESPANA"/>
    <x v="1"/>
  </r>
  <r>
    <x v="17"/>
    <x v="269"/>
    <x v="11"/>
    <x v="11"/>
    <x v="1"/>
    <x v="2"/>
    <x v="20"/>
    <x v="50"/>
    <x v="736"/>
    <x v="0"/>
    <s v="VIA ESPANA"/>
    <x v="1"/>
  </r>
  <r>
    <x v="17"/>
    <x v="270"/>
    <x v="2"/>
    <x v="2"/>
    <x v="1"/>
    <x v="2"/>
    <x v="20"/>
    <x v="50"/>
    <x v="763"/>
    <x v="0"/>
    <s v="VIA ESPANA"/>
    <x v="1"/>
  </r>
  <r>
    <x v="17"/>
    <x v="216"/>
    <x v="2"/>
    <x v="2"/>
    <x v="1"/>
    <x v="2"/>
    <x v="20"/>
    <x v="50"/>
    <x v="737"/>
    <x v="0"/>
    <s v="VIA ESPANA"/>
    <x v="1"/>
  </r>
  <r>
    <x v="17"/>
    <x v="246"/>
    <x v="2"/>
    <x v="2"/>
    <x v="1"/>
    <x v="2"/>
    <x v="20"/>
    <x v="50"/>
    <x v="763"/>
    <x v="0"/>
    <s v="VIA ESPANA"/>
    <x v="1"/>
  </r>
  <r>
    <x v="17"/>
    <x v="271"/>
    <x v="6"/>
    <x v="6"/>
    <x v="1"/>
    <x v="2"/>
    <x v="20"/>
    <x v="50"/>
    <x v="747"/>
    <x v="0"/>
    <s v="VIA ESPANA"/>
    <x v="1"/>
  </r>
  <r>
    <x v="18"/>
    <x v="226"/>
    <x v="8"/>
    <x v="8"/>
    <x v="1"/>
    <x v="2"/>
    <x v="20"/>
    <x v="52"/>
    <x v="742"/>
    <x v="0"/>
    <s v="AVENIDA CUBA"/>
    <x v="1"/>
  </r>
  <r>
    <x v="18"/>
    <x v="272"/>
    <x v="11"/>
    <x v="11"/>
    <x v="1"/>
    <x v="2"/>
    <x v="20"/>
    <x v="52"/>
    <x v="747"/>
    <x v="0"/>
    <s v="AVENIDA CUBA"/>
    <x v="1"/>
  </r>
  <r>
    <x v="18"/>
    <x v="273"/>
    <x v="11"/>
    <x v="11"/>
    <x v="1"/>
    <x v="2"/>
    <x v="20"/>
    <x v="52"/>
    <x v="2712"/>
    <x v="0"/>
    <s v="AVENIDA CUBA"/>
    <x v="1"/>
  </r>
  <r>
    <x v="18"/>
    <x v="274"/>
    <x v="11"/>
    <x v="11"/>
    <x v="1"/>
    <x v="2"/>
    <x v="20"/>
    <x v="52"/>
    <x v="771"/>
    <x v="0"/>
    <s v="AVENIDA CUBA"/>
    <x v="1"/>
  </r>
  <r>
    <x v="18"/>
    <x v="275"/>
    <x v="11"/>
    <x v="11"/>
    <x v="1"/>
    <x v="2"/>
    <x v="20"/>
    <x v="52"/>
    <x v="771"/>
    <x v="0"/>
    <s v="AVENIDA CUBA"/>
    <x v="1"/>
  </r>
  <r>
    <x v="18"/>
    <x v="276"/>
    <x v="2"/>
    <x v="2"/>
    <x v="1"/>
    <x v="2"/>
    <x v="20"/>
    <x v="52"/>
    <x v="743"/>
    <x v="0"/>
    <s v="AVENIDA CUBA"/>
    <x v="1"/>
  </r>
  <r>
    <x v="19"/>
    <x v="277"/>
    <x v="7"/>
    <x v="7"/>
    <x v="1"/>
    <x v="2"/>
    <x v="20"/>
    <x v="53"/>
    <x v="785"/>
    <x v="0"/>
    <s v="CHITRE"/>
    <x v="1"/>
  </r>
  <r>
    <x v="19"/>
    <x v="278"/>
    <x v="7"/>
    <x v="7"/>
    <x v="1"/>
    <x v="2"/>
    <x v="20"/>
    <x v="53"/>
    <x v="909"/>
    <x v="0"/>
    <s v="CHITRE"/>
    <x v="1"/>
  </r>
  <r>
    <x v="19"/>
    <x v="279"/>
    <x v="7"/>
    <x v="7"/>
    <x v="1"/>
    <x v="2"/>
    <x v="20"/>
    <x v="53"/>
    <x v="785"/>
    <x v="0"/>
    <s v="CHITRE"/>
    <x v="1"/>
  </r>
  <r>
    <x v="19"/>
    <x v="280"/>
    <x v="2"/>
    <x v="2"/>
    <x v="1"/>
    <x v="2"/>
    <x v="25"/>
    <x v="295"/>
    <x v="2713"/>
    <x v="0"/>
    <s v="CHITRE"/>
    <x v="1"/>
  </r>
  <r>
    <x v="19"/>
    <x v="235"/>
    <x v="2"/>
    <x v="2"/>
    <x v="1"/>
    <x v="2"/>
    <x v="20"/>
    <x v="53"/>
    <x v="785"/>
    <x v="0"/>
    <s v="CHITRE"/>
    <x v="1"/>
  </r>
  <r>
    <x v="19"/>
    <x v="281"/>
    <x v="6"/>
    <x v="6"/>
    <x v="1"/>
    <x v="2"/>
    <x v="20"/>
    <x v="53"/>
    <x v="857"/>
    <x v="0"/>
    <s v="CHITRE"/>
    <x v="1"/>
  </r>
  <r>
    <x v="19"/>
    <x v="255"/>
    <x v="9"/>
    <x v="9"/>
    <x v="1"/>
    <x v="1"/>
    <x v="25"/>
    <x v="293"/>
    <x v="2714"/>
    <x v="0"/>
    <s v="CHITRE"/>
    <x v="1"/>
  </r>
  <r>
    <x v="20"/>
    <x v="206"/>
    <x v="7"/>
    <x v="7"/>
    <x v="1"/>
    <x v="2"/>
    <x v="20"/>
    <x v="54"/>
    <x v="2273"/>
    <x v="0"/>
    <s v="LOS PUEBLOS"/>
    <x v="1"/>
  </r>
  <r>
    <x v="20"/>
    <x v="279"/>
    <x v="7"/>
    <x v="7"/>
    <x v="1"/>
    <x v="2"/>
    <x v="20"/>
    <x v="54"/>
    <x v="751"/>
    <x v="0"/>
    <s v="LOS PUEBLOS"/>
    <x v="1"/>
  </r>
  <r>
    <x v="20"/>
    <x v="192"/>
    <x v="8"/>
    <x v="8"/>
    <x v="1"/>
    <x v="2"/>
    <x v="20"/>
    <x v="54"/>
    <x v="795"/>
    <x v="0"/>
    <s v="LOS PUEBLOS"/>
    <x v="1"/>
  </r>
  <r>
    <x v="20"/>
    <x v="247"/>
    <x v="8"/>
    <x v="8"/>
    <x v="1"/>
    <x v="2"/>
    <x v="20"/>
    <x v="54"/>
    <x v="795"/>
    <x v="0"/>
    <s v="LOS PUEBLOS"/>
    <x v="1"/>
  </r>
  <r>
    <x v="20"/>
    <x v="262"/>
    <x v="9"/>
    <x v="9"/>
    <x v="1"/>
    <x v="2"/>
    <x v="20"/>
    <x v="54"/>
    <x v="751"/>
    <x v="0"/>
    <s v="LOS PUEBLOS"/>
    <x v="1"/>
  </r>
  <r>
    <x v="20"/>
    <x v="263"/>
    <x v="10"/>
    <x v="10"/>
    <x v="1"/>
    <x v="2"/>
    <x v="20"/>
    <x v="54"/>
    <x v="795"/>
    <x v="0"/>
    <s v="LOS PUEBLOS"/>
    <x v="1"/>
  </r>
  <r>
    <x v="20"/>
    <x v="282"/>
    <x v="11"/>
    <x v="11"/>
    <x v="1"/>
    <x v="2"/>
    <x v="20"/>
    <x v="54"/>
    <x v="742"/>
    <x v="0"/>
    <s v="LOS PUEBLOS"/>
    <x v="1"/>
  </r>
  <r>
    <x v="20"/>
    <x v="283"/>
    <x v="11"/>
    <x v="11"/>
    <x v="1"/>
    <x v="2"/>
    <x v="20"/>
    <x v="54"/>
    <x v="795"/>
    <x v="0"/>
    <s v="LOS PUEBLOS"/>
    <x v="1"/>
  </r>
  <r>
    <x v="20"/>
    <x v="284"/>
    <x v="2"/>
    <x v="2"/>
    <x v="1"/>
    <x v="2"/>
    <x v="20"/>
    <x v="54"/>
    <x v="756"/>
    <x v="0"/>
    <s v="LOS PUEBLOS"/>
    <x v="1"/>
  </r>
  <r>
    <x v="20"/>
    <x v="270"/>
    <x v="2"/>
    <x v="2"/>
    <x v="1"/>
    <x v="2"/>
    <x v="20"/>
    <x v="54"/>
    <x v="754"/>
    <x v="0"/>
    <s v="LOS PUEBLOS"/>
    <x v="1"/>
  </r>
  <r>
    <x v="20"/>
    <x v="257"/>
    <x v="2"/>
    <x v="2"/>
    <x v="1"/>
    <x v="2"/>
    <x v="20"/>
    <x v="54"/>
    <x v="754"/>
    <x v="0"/>
    <s v="LOS PUEBLOS"/>
    <x v="1"/>
  </r>
  <r>
    <x v="20"/>
    <x v="285"/>
    <x v="6"/>
    <x v="6"/>
    <x v="1"/>
    <x v="2"/>
    <x v="20"/>
    <x v="54"/>
    <x v="756"/>
    <x v="0"/>
    <s v="LOS PUEBLOS"/>
    <x v="1"/>
  </r>
  <r>
    <x v="21"/>
    <x v="195"/>
    <x v="8"/>
    <x v="8"/>
    <x v="1"/>
    <x v="2"/>
    <x v="20"/>
    <x v="55"/>
    <x v="745"/>
    <x v="0"/>
    <s v="TRANSISTMICA"/>
    <x v="1"/>
  </r>
  <r>
    <x v="21"/>
    <x v="198"/>
    <x v="10"/>
    <x v="10"/>
    <x v="1"/>
    <x v="2"/>
    <x v="20"/>
    <x v="55"/>
    <x v="737"/>
    <x v="0"/>
    <s v="TRANSISTMICA"/>
    <x v="1"/>
  </r>
  <r>
    <x v="21"/>
    <x v="190"/>
    <x v="6"/>
    <x v="6"/>
    <x v="1"/>
    <x v="2"/>
    <x v="20"/>
    <x v="55"/>
    <x v="745"/>
    <x v="0"/>
    <s v="TRANSISTMICA"/>
    <x v="1"/>
  </r>
  <r>
    <x v="72"/>
    <x v="185"/>
    <x v="8"/>
    <x v="8"/>
    <x v="1"/>
    <x v="2"/>
    <x v="21"/>
    <x v="296"/>
    <x v="766"/>
    <x v="0"/>
    <s v="ZONA LIBRE"/>
    <x v="1"/>
  </r>
  <r>
    <x v="72"/>
    <x v="230"/>
    <x v="9"/>
    <x v="9"/>
    <x v="1"/>
    <x v="2"/>
    <x v="25"/>
    <x v="283"/>
    <x v="835"/>
    <x v="0"/>
    <s v="ZONA LIBRE"/>
    <x v="1"/>
  </r>
  <r>
    <x v="72"/>
    <x v="286"/>
    <x v="10"/>
    <x v="10"/>
    <x v="1"/>
    <x v="2"/>
    <x v="25"/>
    <x v="297"/>
    <x v="790"/>
    <x v="0"/>
    <s v="ZONA LIBRE"/>
    <x v="1"/>
  </r>
  <r>
    <x v="72"/>
    <x v="199"/>
    <x v="10"/>
    <x v="10"/>
    <x v="1"/>
    <x v="2"/>
    <x v="25"/>
    <x v="298"/>
    <x v="2715"/>
    <x v="0"/>
    <s v="ZONA LIBRE"/>
    <x v="1"/>
  </r>
  <r>
    <x v="72"/>
    <x v="246"/>
    <x v="2"/>
    <x v="2"/>
    <x v="1"/>
    <x v="2"/>
    <x v="25"/>
    <x v="287"/>
    <x v="765"/>
    <x v="0"/>
    <s v="ZONA LIBRE"/>
    <x v="1"/>
  </r>
  <r>
    <x v="72"/>
    <x v="229"/>
    <x v="6"/>
    <x v="6"/>
    <x v="1"/>
    <x v="2"/>
    <x v="25"/>
    <x v="281"/>
    <x v="1183"/>
    <x v="0"/>
    <s v="ZONA LIBRE"/>
    <x v="1"/>
  </r>
  <r>
    <x v="72"/>
    <x v="246"/>
    <x v="2"/>
    <x v="2"/>
    <x v="1"/>
    <x v="0"/>
    <x v="25"/>
    <x v="287"/>
    <x v="765"/>
    <x v="0"/>
    <s v="ZONA LIBRE"/>
    <x v="1"/>
  </r>
  <r>
    <x v="72"/>
    <x v="246"/>
    <x v="2"/>
    <x v="2"/>
    <x v="1"/>
    <x v="1"/>
    <x v="25"/>
    <x v="287"/>
    <x v="1132"/>
    <x v="0"/>
    <s v="ZONA LIBRE"/>
    <x v="1"/>
  </r>
  <r>
    <x v="22"/>
    <x v="245"/>
    <x v="8"/>
    <x v="8"/>
    <x v="1"/>
    <x v="2"/>
    <x v="20"/>
    <x v="60"/>
    <x v="2710"/>
    <x v="0"/>
    <s v="PLAZA GALAPAGO"/>
    <x v="1"/>
  </r>
  <r>
    <x v="22"/>
    <x v="287"/>
    <x v="10"/>
    <x v="10"/>
    <x v="1"/>
    <x v="2"/>
    <x v="20"/>
    <x v="60"/>
    <x v="777"/>
    <x v="0"/>
    <s v="PLAZA GALAPAGO"/>
    <x v="1"/>
  </r>
  <r>
    <x v="22"/>
    <x v="217"/>
    <x v="6"/>
    <x v="6"/>
    <x v="1"/>
    <x v="2"/>
    <x v="20"/>
    <x v="60"/>
    <x v="2716"/>
    <x v="0"/>
    <s v="PLAZA GALAPAGO"/>
    <x v="1"/>
  </r>
  <r>
    <x v="23"/>
    <x v="288"/>
    <x v="7"/>
    <x v="7"/>
    <x v="1"/>
    <x v="2"/>
    <x v="20"/>
    <x v="61"/>
    <x v="2717"/>
    <x v="0"/>
    <s v="PARQUE LEFEVRE"/>
    <x v="1"/>
  </r>
  <r>
    <x v="23"/>
    <x v="192"/>
    <x v="8"/>
    <x v="8"/>
    <x v="1"/>
    <x v="2"/>
    <x v="20"/>
    <x v="61"/>
    <x v="737"/>
    <x v="0"/>
    <s v="PARQUE LEFEVRE"/>
    <x v="1"/>
  </r>
  <r>
    <x v="23"/>
    <x v="226"/>
    <x v="8"/>
    <x v="8"/>
    <x v="1"/>
    <x v="2"/>
    <x v="20"/>
    <x v="61"/>
    <x v="737"/>
    <x v="0"/>
    <s v="PARQUE LEFEVRE"/>
    <x v="1"/>
  </r>
  <r>
    <x v="23"/>
    <x v="184"/>
    <x v="6"/>
    <x v="6"/>
    <x v="1"/>
    <x v="2"/>
    <x v="20"/>
    <x v="61"/>
    <x v="737"/>
    <x v="0"/>
    <s v="PARQUE LEFEVRE"/>
    <x v="1"/>
  </r>
  <r>
    <x v="24"/>
    <x v="205"/>
    <x v="7"/>
    <x v="7"/>
    <x v="1"/>
    <x v="2"/>
    <x v="21"/>
    <x v="299"/>
    <x v="720"/>
    <x v="0"/>
    <s v="DAVID"/>
    <x v="1"/>
  </r>
  <r>
    <x v="24"/>
    <x v="192"/>
    <x v="8"/>
    <x v="8"/>
    <x v="1"/>
    <x v="2"/>
    <x v="21"/>
    <x v="300"/>
    <x v="2718"/>
    <x v="0"/>
    <s v="DAVID"/>
    <x v="1"/>
  </r>
  <r>
    <x v="24"/>
    <x v="289"/>
    <x v="8"/>
    <x v="8"/>
    <x v="1"/>
    <x v="2"/>
    <x v="21"/>
    <x v="301"/>
    <x v="816"/>
    <x v="0"/>
    <s v="DAVID"/>
    <x v="1"/>
  </r>
  <r>
    <x v="24"/>
    <x v="245"/>
    <x v="8"/>
    <x v="8"/>
    <x v="1"/>
    <x v="2"/>
    <x v="21"/>
    <x v="285"/>
    <x v="1798"/>
    <x v="0"/>
    <s v="DAVID"/>
    <x v="1"/>
  </r>
  <r>
    <x v="24"/>
    <x v="290"/>
    <x v="9"/>
    <x v="9"/>
    <x v="1"/>
    <x v="2"/>
    <x v="25"/>
    <x v="302"/>
    <x v="843"/>
    <x v="0"/>
    <s v="DAVID"/>
    <x v="1"/>
  </r>
  <r>
    <x v="24"/>
    <x v="291"/>
    <x v="9"/>
    <x v="9"/>
    <x v="1"/>
    <x v="2"/>
    <x v="25"/>
    <x v="303"/>
    <x v="2719"/>
    <x v="0"/>
    <s v="DAVID"/>
    <x v="1"/>
  </r>
  <r>
    <x v="24"/>
    <x v="248"/>
    <x v="10"/>
    <x v="10"/>
    <x v="1"/>
    <x v="2"/>
    <x v="25"/>
    <x v="304"/>
    <x v="1441"/>
    <x v="0"/>
    <s v="DAVID"/>
    <x v="1"/>
  </r>
  <r>
    <x v="24"/>
    <x v="202"/>
    <x v="11"/>
    <x v="11"/>
    <x v="1"/>
    <x v="2"/>
    <x v="25"/>
    <x v="305"/>
    <x v="2720"/>
    <x v="0"/>
    <s v="DAVID"/>
    <x v="1"/>
  </r>
  <r>
    <x v="24"/>
    <x v="214"/>
    <x v="11"/>
    <x v="11"/>
    <x v="1"/>
    <x v="2"/>
    <x v="25"/>
    <x v="306"/>
    <x v="2720"/>
    <x v="0"/>
    <s v="DAVID"/>
    <x v="1"/>
  </r>
  <r>
    <x v="24"/>
    <x v="275"/>
    <x v="11"/>
    <x v="11"/>
    <x v="1"/>
    <x v="2"/>
    <x v="26"/>
    <x v="307"/>
    <x v="1"/>
    <x v="578"/>
    <s v="DAVID"/>
    <x v="1"/>
  </r>
  <r>
    <x v="24"/>
    <x v="246"/>
    <x v="2"/>
    <x v="2"/>
    <x v="1"/>
    <x v="0"/>
    <x v="25"/>
    <x v="287"/>
    <x v="911"/>
    <x v="0"/>
    <s v="DAVID"/>
    <x v="1"/>
  </r>
  <r>
    <x v="24"/>
    <x v="290"/>
    <x v="9"/>
    <x v="9"/>
    <x v="1"/>
    <x v="1"/>
    <x v="25"/>
    <x v="302"/>
    <x v="982"/>
    <x v="0"/>
    <s v="DAVID"/>
    <x v="1"/>
  </r>
  <r>
    <x v="25"/>
    <x v="251"/>
    <x v="8"/>
    <x v="8"/>
    <x v="1"/>
    <x v="2"/>
    <x v="20"/>
    <x v="66"/>
    <x v="2721"/>
    <x v="0"/>
    <s v="PLAZA LAS AMERICAS"/>
    <x v="1"/>
  </r>
  <r>
    <x v="25"/>
    <x v="272"/>
    <x v="11"/>
    <x v="11"/>
    <x v="1"/>
    <x v="2"/>
    <x v="20"/>
    <x v="66"/>
    <x v="2722"/>
    <x v="0"/>
    <s v="PLAZA LAS AMERICAS"/>
    <x v="1"/>
  </r>
  <r>
    <x v="25"/>
    <x v="273"/>
    <x v="11"/>
    <x v="11"/>
    <x v="1"/>
    <x v="2"/>
    <x v="20"/>
    <x v="66"/>
    <x v="1301"/>
    <x v="0"/>
    <s v="PLAZA LAS AMERICAS"/>
    <x v="1"/>
  </r>
  <r>
    <x v="26"/>
    <x v="261"/>
    <x v="8"/>
    <x v="8"/>
    <x v="1"/>
    <x v="2"/>
    <x v="20"/>
    <x v="67"/>
    <x v="770"/>
    <x v="0"/>
    <s v="CORONADO"/>
    <x v="1"/>
  </r>
  <r>
    <x v="26"/>
    <x v="245"/>
    <x v="8"/>
    <x v="8"/>
    <x v="1"/>
    <x v="2"/>
    <x v="20"/>
    <x v="67"/>
    <x v="800"/>
    <x v="0"/>
    <s v="CORONADO"/>
    <x v="1"/>
  </r>
  <r>
    <x v="26"/>
    <x v="292"/>
    <x v="9"/>
    <x v="9"/>
    <x v="1"/>
    <x v="2"/>
    <x v="20"/>
    <x v="67"/>
    <x v="800"/>
    <x v="0"/>
    <s v="CORONADO"/>
    <x v="1"/>
  </r>
  <r>
    <x v="26"/>
    <x v="293"/>
    <x v="9"/>
    <x v="9"/>
    <x v="1"/>
    <x v="2"/>
    <x v="20"/>
    <x v="67"/>
    <x v="800"/>
    <x v="0"/>
    <s v="CORONADO"/>
    <x v="1"/>
  </r>
  <r>
    <x v="26"/>
    <x v="262"/>
    <x v="9"/>
    <x v="9"/>
    <x v="1"/>
    <x v="2"/>
    <x v="20"/>
    <x v="67"/>
    <x v="800"/>
    <x v="0"/>
    <s v="CORONADO"/>
    <x v="1"/>
  </r>
  <r>
    <x v="26"/>
    <x v="219"/>
    <x v="9"/>
    <x v="9"/>
    <x v="1"/>
    <x v="2"/>
    <x v="25"/>
    <x v="308"/>
    <x v="804"/>
    <x v="0"/>
    <s v="CORONADO"/>
    <x v="1"/>
  </r>
  <r>
    <x v="26"/>
    <x v="255"/>
    <x v="9"/>
    <x v="9"/>
    <x v="1"/>
    <x v="2"/>
    <x v="20"/>
    <x v="67"/>
    <x v="800"/>
    <x v="0"/>
    <s v="CORONADO"/>
    <x v="1"/>
  </r>
  <r>
    <x v="26"/>
    <x v="248"/>
    <x v="10"/>
    <x v="10"/>
    <x v="1"/>
    <x v="2"/>
    <x v="20"/>
    <x v="67"/>
    <x v="800"/>
    <x v="0"/>
    <s v="CORONADO"/>
    <x v="1"/>
  </r>
  <r>
    <x v="26"/>
    <x v="244"/>
    <x v="10"/>
    <x v="10"/>
    <x v="1"/>
    <x v="2"/>
    <x v="20"/>
    <x v="67"/>
    <x v="800"/>
    <x v="0"/>
    <s v="CORONADO"/>
    <x v="1"/>
  </r>
  <r>
    <x v="26"/>
    <x v="287"/>
    <x v="10"/>
    <x v="10"/>
    <x v="1"/>
    <x v="2"/>
    <x v="20"/>
    <x v="67"/>
    <x v="800"/>
    <x v="0"/>
    <s v="CORONADO"/>
    <x v="1"/>
  </r>
  <r>
    <x v="26"/>
    <x v="220"/>
    <x v="11"/>
    <x v="11"/>
    <x v="1"/>
    <x v="2"/>
    <x v="25"/>
    <x v="309"/>
    <x v="891"/>
    <x v="0"/>
    <s v="CORONADO"/>
    <x v="1"/>
  </r>
  <r>
    <x v="26"/>
    <x v="201"/>
    <x v="11"/>
    <x v="11"/>
    <x v="1"/>
    <x v="2"/>
    <x v="20"/>
    <x v="67"/>
    <x v="800"/>
    <x v="0"/>
    <s v="CORONADO"/>
    <x v="1"/>
  </r>
  <r>
    <x v="26"/>
    <x v="213"/>
    <x v="11"/>
    <x v="11"/>
    <x v="1"/>
    <x v="2"/>
    <x v="20"/>
    <x v="67"/>
    <x v="800"/>
    <x v="0"/>
    <s v="CORONADO"/>
    <x v="1"/>
  </r>
  <r>
    <x v="26"/>
    <x v="275"/>
    <x v="11"/>
    <x v="11"/>
    <x v="1"/>
    <x v="2"/>
    <x v="20"/>
    <x v="67"/>
    <x v="770"/>
    <x v="0"/>
    <s v="CORONADO"/>
    <x v="1"/>
  </r>
  <r>
    <x v="26"/>
    <x v="294"/>
    <x v="11"/>
    <x v="11"/>
    <x v="1"/>
    <x v="2"/>
    <x v="20"/>
    <x v="67"/>
    <x v="770"/>
    <x v="0"/>
    <s v="CORONADO"/>
    <x v="1"/>
  </r>
  <r>
    <x v="26"/>
    <x v="295"/>
    <x v="2"/>
    <x v="2"/>
    <x v="1"/>
    <x v="2"/>
    <x v="25"/>
    <x v="310"/>
    <x v="800"/>
    <x v="0"/>
    <s v="CORONADO"/>
    <x v="1"/>
  </r>
  <r>
    <x v="26"/>
    <x v="276"/>
    <x v="2"/>
    <x v="2"/>
    <x v="1"/>
    <x v="2"/>
    <x v="20"/>
    <x v="67"/>
    <x v="1849"/>
    <x v="0"/>
    <s v="CORONADO"/>
    <x v="1"/>
  </r>
  <r>
    <x v="26"/>
    <x v="264"/>
    <x v="6"/>
    <x v="6"/>
    <x v="1"/>
    <x v="2"/>
    <x v="25"/>
    <x v="311"/>
    <x v="951"/>
    <x v="0"/>
    <s v="CORONADO"/>
    <x v="1"/>
  </r>
  <r>
    <x v="26"/>
    <x v="296"/>
    <x v="6"/>
    <x v="6"/>
    <x v="1"/>
    <x v="2"/>
    <x v="25"/>
    <x v="312"/>
    <x v="800"/>
    <x v="0"/>
    <s v="CORONADO"/>
    <x v="1"/>
  </r>
  <r>
    <x v="26"/>
    <x v="204"/>
    <x v="6"/>
    <x v="6"/>
    <x v="1"/>
    <x v="2"/>
    <x v="20"/>
    <x v="67"/>
    <x v="800"/>
    <x v="0"/>
    <s v="CORONADO"/>
    <x v="1"/>
  </r>
  <r>
    <x v="26"/>
    <x v="297"/>
    <x v="6"/>
    <x v="6"/>
    <x v="1"/>
    <x v="2"/>
    <x v="25"/>
    <x v="313"/>
    <x v="804"/>
    <x v="0"/>
    <s v="CORONADO"/>
    <x v="1"/>
  </r>
  <r>
    <x v="26"/>
    <x v="298"/>
    <x v="10"/>
    <x v="10"/>
    <x v="1"/>
    <x v="0"/>
    <x v="25"/>
    <x v="314"/>
    <x v="2723"/>
    <x v="0"/>
    <s v="CORONADO"/>
    <x v="1"/>
  </r>
  <r>
    <x v="26"/>
    <x v="299"/>
    <x v="11"/>
    <x v="11"/>
    <x v="1"/>
    <x v="0"/>
    <x v="25"/>
    <x v="315"/>
    <x v="2723"/>
    <x v="0"/>
    <s v="CORONADO"/>
    <x v="1"/>
  </r>
  <r>
    <x v="26"/>
    <x v="300"/>
    <x v="2"/>
    <x v="2"/>
    <x v="1"/>
    <x v="0"/>
    <x v="25"/>
    <x v="316"/>
    <x v="803"/>
    <x v="0"/>
    <s v="CORONADO"/>
    <x v="1"/>
  </r>
  <r>
    <x v="26"/>
    <x v="280"/>
    <x v="2"/>
    <x v="2"/>
    <x v="1"/>
    <x v="0"/>
    <x v="25"/>
    <x v="295"/>
    <x v="2724"/>
    <x v="0"/>
    <s v="CORONADO"/>
    <x v="1"/>
  </r>
  <r>
    <x v="26"/>
    <x v="264"/>
    <x v="6"/>
    <x v="6"/>
    <x v="1"/>
    <x v="0"/>
    <x v="25"/>
    <x v="311"/>
    <x v="803"/>
    <x v="0"/>
    <s v="CORONADO"/>
    <x v="1"/>
  </r>
  <r>
    <x v="26"/>
    <x v="204"/>
    <x v="6"/>
    <x v="6"/>
    <x v="1"/>
    <x v="0"/>
    <x v="25"/>
    <x v="317"/>
    <x v="803"/>
    <x v="0"/>
    <s v="CORONADO"/>
    <x v="1"/>
  </r>
  <r>
    <x v="26"/>
    <x v="191"/>
    <x v="6"/>
    <x v="6"/>
    <x v="1"/>
    <x v="0"/>
    <x v="25"/>
    <x v="318"/>
    <x v="2725"/>
    <x v="0"/>
    <s v="CORONADO"/>
    <x v="1"/>
  </r>
  <r>
    <x v="26"/>
    <x v="212"/>
    <x v="10"/>
    <x v="10"/>
    <x v="1"/>
    <x v="1"/>
    <x v="25"/>
    <x v="319"/>
    <x v="832"/>
    <x v="0"/>
    <s v="CORONADO"/>
    <x v="1"/>
  </r>
  <r>
    <x v="27"/>
    <x v="252"/>
    <x v="7"/>
    <x v="7"/>
    <x v="1"/>
    <x v="2"/>
    <x v="20"/>
    <x v="86"/>
    <x v="742"/>
    <x v="0"/>
    <s v="ALBROOK MALL"/>
    <x v="1"/>
  </r>
  <r>
    <x v="27"/>
    <x v="261"/>
    <x v="8"/>
    <x v="8"/>
    <x v="1"/>
    <x v="2"/>
    <x v="21"/>
    <x v="320"/>
    <x v="814"/>
    <x v="0"/>
    <s v="ALBROOK MALL"/>
    <x v="1"/>
  </r>
  <r>
    <x v="27"/>
    <x v="186"/>
    <x v="10"/>
    <x v="10"/>
    <x v="1"/>
    <x v="2"/>
    <x v="25"/>
    <x v="321"/>
    <x v="814"/>
    <x v="0"/>
    <s v="ALBROOK MALL"/>
    <x v="1"/>
  </r>
  <r>
    <x v="28"/>
    <x v="207"/>
    <x v="8"/>
    <x v="8"/>
    <x v="1"/>
    <x v="2"/>
    <x v="20"/>
    <x v="87"/>
    <x v="899"/>
    <x v="0"/>
    <s v="PANAMA PACIFICO"/>
    <x v="1"/>
  </r>
  <r>
    <x v="28"/>
    <x v="176"/>
    <x v="10"/>
    <x v="10"/>
    <x v="1"/>
    <x v="2"/>
    <x v="20"/>
    <x v="87"/>
    <x v="900"/>
    <x v="0"/>
    <s v="PANAMA PACIFICO"/>
    <x v="1"/>
  </r>
  <r>
    <x v="28"/>
    <x v="177"/>
    <x v="11"/>
    <x v="11"/>
    <x v="1"/>
    <x v="2"/>
    <x v="20"/>
    <x v="87"/>
    <x v="815"/>
    <x v="0"/>
    <s v="PANAMA PACIFICO"/>
    <x v="1"/>
  </r>
  <r>
    <x v="28"/>
    <x v="223"/>
    <x v="2"/>
    <x v="2"/>
    <x v="1"/>
    <x v="2"/>
    <x v="20"/>
    <x v="87"/>
    <x v="849"/>
    <x v="0"/>
    <s v="PANAMA PACIFICO"/>
    <x v="1"/>
  </r>
  <r>
    <x v="28"/>
    <x v="264"/>
    <x v="6"/>
    <x v="6"/>
    <x v="1"/>
    <x v="2"/>
    <x v="20"/>
    <x v="87"/>
    <x v="900"/>
    <x v="0"/>
    <s v="PANAMA PACIFICO"/>
    <x v="1"/>
  </r>
  <r>
    <x v="73"/>
    <x v="290"/>
    <x v="9"/>
    <x v="9"/>
    <x v="1"/>
    <x v="2"/>
    <x v="20"/>
    <x v="88"/>
    <x v="748"/>
    <x v="0"/>
    <s v="PENONOME"/>
    <x v="1"/>
  </r>
  <r>
    <x v="73"/>
    <x v="299"/>
    <x v="11"/>
    <x v="11"/>
    <x v="1"/>
    <x v="2"/>
    <x v="25"/>
    <x v="315"/>
    <x v="2726"/>
    <x v="0"/>
    <s v="PENONOME"/>
    <x v="1"/>
  </r>
  <r>
    <x v="73"/>
    <x v="215"/>
    <x v="2"/>
    <x v="2"/>
    <x v="1"/>
    <x v="2"/>
    <x v="26"/>
    <x v="322"/>
    <x v="1"/>
    <x v="579"/>
    <s v="PENONOME"/>
    <x v="1"/>
  </r>
  <r>
    <x v="73"/>
    <x v="270"/>
    <x v="2"/>
    <x v="2"/>
    <x v="1"/>
    <x v="2"/>
    <x v="20"/>
    <x v="88"/>
    <x v="2727"/>
    <x v="0"/>
    <s v="PENONOME"/>
    <x v="1"/>
  </r>
  <r>
    <x v="73"/>
    <x v="217"/>
    <x v="6"/>
    <x v="6"/>
    <x v="1"/>
    <x v="2"/>
    <x v="20"/>
    <x v="88"/>
    <x v="740"/>
    <x v="0"/>
    <s v="PENONOME"/>
    <x v="1"/>
  </r>
  <r>
    <x v="73"/>
    <x v="217"/>
    <x v="6"/>
    <x v="6"/>
    <x v="1"/>
    <x v="2"/>
    <x v="25"/>
    <x v="323"/>
    <x v="2728"/>
    <x v="0"/>
    <s v="PENONOME"/>
    <x v="1"/>
  </r>
  <r>
    <x v="73"/>
    <x v="191"/>
    <x v="6"/>
    <x v="6"/>
    <x v="1"/>
    <x v="2"/>
    <x v="25"/>
    <x v="318"/>
    <x v="2726"/>
    <x v="0"/>
    <s v="PENONOME"/>
    <x v="1"/>
  </r>
  <r>
    <x v="73"/>
    <x v="298"/>
    <x v="10"/>
    <x v="10"/>
    <x v="1"/>
    <x v="0"/>
    <x v="25"/>
    <x v="314"/>
    <x v="2726"/>
    <x v="0"/>
    <s v="PENONOME"/>
    <x v="1"/>
  </r>
  <r>
    <x v="73"/>
    <x v="300"/>
    <x v="2"/>
    <x v="2"/>
    <x v="1"/>
    <x v="0"/>
    <x v="25"/>
    <x v="316"/>
    <x v="819"/>
    <x v="0"/>
    <s v="PENONOME"/>
    <x v="1"/>
  </r>
  <r>
    <x v="73"/>
    <x v="280"/>
    <x v="2"/>
    <x v="2"/>
    <x v="1"/>
    <x v="0"/>
    <x v="25"/>
    <x v="295"/>
    <x v="822"/>
    <x v="0"/>
    <s v="PENONOME"/>
    <x v="1"/>
  </r>
  <r>
    <x v="73"/>
    <x v="217"/>
    <x v="6"/>
    <x v="6"/>
    <x v="1"/>
    <x v="1"/>
    <x v="25"/>
    <x v="323"/>
    <x v="861"/>
    <x v="0"/>
    <s v="PENONOME"/>
    <x v="1"/>
  </r>
  <r>
    <x v="29"/>
    <x v="253"/>
    <x v="7"/>
    <x v="7"/>
    <x v="1"/>
    <x v="2"/>
    <x v="20"/>
    <x v="92"/>
    <x v="826"/>
    <x v="0"/>
    <s v="ALBROOK"/>
    <x v="1"/>
  </r>
  <r>
    <x v="29"/>
    <x v="245"/>
    <x v="8"/>
    <x v="8"/>
    <x v="1"/>
    <x v="2"/>
    <x v="21"/>
    <x v="285"/>
    <x v="814"/>
    <x v="0"/>
    <s v="ALBROOK"/>
    <x v="1"/>
  </r>
  <r>
    <x v="29"/>
    <x v="208"/>
    <x v="8"/>
    <x v="8"/>
    <x v="1"/>
    <x v="2"/>
    <x v="20"/>
    <x v="92"/>
    <x v="2582"/>
    <x v="0"/>
    <s v="ALBROOK"/>
    <x v="1"/>
  </r>
  <r>
    <x v="29"/>
    <x v="301"/>
    <x v="9"/>
    <x v="9"/>
    <x v="1"/>
    <x v="2"/>
    <x v="20"/>
    <x v="92"/>
    <x v="2729"/>
    <x v="0"/>
    <s v="ALBROOK"/>
    <x v="1"/>
  </r>
  <r>
    <x v="29"/>
    <x v="255"/>
    <x v="9"/>
    <x v="9"/>
    <x v="1"/>
    <x v="2"/>
    <x v="20"/>
    <x v="92"/>
    <x v="826"/>
    <x v="0"/>
    <s v="ALBROOK"/>
    <x v="1"/>
  </r>
  <r>
    <x v="29"/>
    <x v="302"/>
    <x v="11"/>
    <x v="11"/>
    <x v="1"/>
    <x v="2"/>
    <x v="25"/>
    <x v="324"/>
    <x v="814"/>
    <x v="0"/>
    <s v="ALBROOK"/>
    <x v="1"/>
  </r>
  <r>
    <x v="29"/>
    <x v="273"/>
    <x v="11"/>
    <x v="11"/>
    <x v="1"/>
    <x v="2"/>
    <x v="20"/>
    <x v="92"/>
    <x v="2730"/>
    <x v="0"/>
    <s v="ALBROOK"/>
    <x v="1"/>
  </r>
  <r>
    <x v="29"/>
    <x v="277"/>
    <x v="7"/>
    <x v="7"/>
    <x v="1"/>
    <x v="0"/>
    <x v="21"/>
    <x v="325"/>
    <x v="2731"/>
    <x v="0"/>
    <s v="ALBROOK"/>
    <x v="1"/>
  </r>
  <r>
    <x v="29"/>
    <x v="251"/>
    <x v="8"/>
    <x v="8"/>
    <x v="1"/>
    <x v="0"/>
    <x v="21"/>
    <x v="291"/>
    <x v="858"/>
    <x v="0"/>
    <s v="ALBROOK"/>
    <x v="1"/>
  </r>
  <r>
    <x v="29"/>
    <x v="254"/>
    <x v="8"/>
    <x v="8"/>
    <x v="1"/>
    <x v="0"/>
    <x v="21"/>
    <x v="326"/>
    <x v="2731"/>
    <x v="0"/>
    <s v="ALBROOK"/>
    <x v="1"/>
  </r>
  <r>
    <x v="29"/>
    <x v="303"/>
    <x v="9"/>
    <x v="9"/>
    <x v="1"/>
    <x v="0"/>
    <x v="21"/>
    <x v="327"/>
    <x v="2731"/>
    <x v="0"/>
    <s v="ALBROOK"/>
    <x v="1"/>
  </r>
  <r>
    <x v="29"/>
    <x v="187"/>
    <x v="11"/>
    <x v="11"/>
    <x v="1"/>
    <x v="0"/>
    <x v="25"/>
    <x v="328"/>
    <x v="828"/>
    <x v="0"/>
    <s v="ALBROOK"/>
    <x v="1"/>
  </r>
  <r>
    <x v="29"/>
    <x v="304"/>
    <x v="2"/>
    <x v="2"/>
    <x v="1"/>
    <x v="0"/>
    <x v="25"/>
    <x v="329"/>
    <x v="830"/>
    <x v="0"/>
    <s v="ALBROOK"/>
    <x v="1"/>
  </r>
  <r>
    <x v="29"/>
    <x v="183"/>
    <x v="2"/>
    <x v="2"/>
    <x v="1"/>
    <x v="0"/>
    <x v="25"/>
    <x v="330"/>
    <x v="2732"/>
    <x v="0"/>
    <s v="ALBROOK"/>
    <x v="1"/>
  </r>
  <r>
    <x v="29"/>
    <x v="305"/>
    <x v="6"/>
    <x v="6"/>
    <x v="1"/>
    <x v="0"/>
    <x v="25"/>
    <x v="331"/>
    <x v="2731"/>
    <x v="0"/>
    <s v="ALBROOK"/>
    <x v="1"/>
  </r>
  <r>
    <x v="29"/>
    <x v="229"/>
    <x v="6"/>
    <x v="6"/>
    <x v="1"/>
    <x v="0"/>
    <x v="25"/>
    <x v="281"/>
    <x v="744"/>
    <x v="0"/>
    <s v="ALBROOK"/>
    <x v="1"/>
  </r>
  <r>
    <x v="30"/>
    <x v="277"/>
    <x v="7"/>
    <x v="7"/>
    <x v="1"/>
    <x v="2"/>
    <x v="20"/>
    <x v="98"/>
    <x v="815"/>
    <x v="0"/>
    <s v="SUCURSAL DE VISTA ALEGRE"/>
    <x v="1"/>
  </r>
  <r>
    <x v="30"/>
    <x v="255"/>
    <x v="9"/>
    <x v="9"/>
    <x v="1"/>
    <x v="2"/>
    <x v="25"/>
    <x v="293"/>
    <x v="2714"/>
    <x v="0"/>
    <s v="SUCURSAL DE VISTA ALEGRE"/>
    <x v="1"/>
  </r>
  <r>
    <x v="30"/>
    <x v="198"/>
    <x v="10"/>
    <x v="10"/>
    <x v="1"/>
    <x v="2"/>
    <x v="20"/>
    <x v="98"/>
    <x v="770"/>
    <x v="0"/>
    <s v="SUCURSAL DE VISTA ALEGRE"/>
    <x v="1"/>
  </r>
  <r>
    <x v="31"/>
    <x v="252"/>
    <x v="7"/>
    <x v="7"/>
    <x v="1"/>
    <x v="2"/>
    <x v="20"/>
    <x v="99"/>
    <x v="785"/>
    <x v="0"/>
    <s v="LAS TABLAS"/>
    <x v="1"/>
  </r>
  <r>
    <x v="31"/>
    <x v="251"/>
    <x v="8"/>
    <x v="8"/>
    <x v="1"/>
    <x v="2"/>
    <x v="20"/>
    <x v="99"/>
    <x v="779"/>
    <x v="0"/>
    <s v="LAS TABLAS"/>
    <x v="1"/>
  </r>
  <r>
    <x v="31"/>
    <x v="185"/>
    <x v="8"/>
    <x v="8"/>
    <x v="1"/>
    <x v="2"/>
    <x v="20"/>
    <x v="99"/>
    <x v="187"/>
    <x v="0"/>
    <s v="LAS TABLAS"/>
    <x v="1"/>
  </r>
  <r>
    <x v="31"/>
    <x v="306"/>
    <x v="9"/>
    <x v="9"/>
    <x v="1"/>
    <x v="2"/>
    <x v="20"/>
    <x v="99"/>
    <x v="785"/>
    <x v="0"/>
    <s v="LAS TABLAS"/>
    <x v="1"/>
  </r>
  <r>
    <x v="31"/>
    <x v="293"/>
    <x v="9"/>
    <x v="9"/>
    <x v="1"/>
    <x v="2"/>
    <x v="20"/>
    <x v="99"/>
    <x v="785"/>
    <x v="0"/>
    <s v="LAS TABLAS"/>
    <x v="1"/>
  </r>
  <r>
    <x v="31"/>
    <x v="231"/>
    <x v="10"/>
    <x v="10"/>
    <x v="1"/>
    <x v="2"/>
    <x v="20"/>
    <x v="99"/>
    <x v="785"/>
    <x v="0"/>
    <s v="LAS TABLAS"/>
    <x v="1"/>
  </r>
  <r>
    <x v="31"/>
    <x v="300"/>
    <x v="2"/>
    <x v="2"/>
    <x v="1"/>
    <x v="2"/>
    <x v="25"/>
    <x v="316"/>
    <x v="1951"/>
    <x v="0"/>
    <s v="LAS TABLAS"/>
    <x v="1"/>
  </r>
  <r>
    <x v="31"/>
    <x v="307"/>
    <x v="2"/>
    <x v="2"/>
    <x v="1"/>
    <x v="2"/>
    <x v="20"/>
    <x v="99"/>
    <x v="785"/>
    <x v="0"/>
    <s v="LAS TABLAS"/>
    <x v="1"/>
  </r>
  <r>
    <x v="31"/>
    <x v="216"/>
    <x v="2"/>
    <x v="2"/>
    <x v="1"/>
    <x v="2"/>
    <x v="25"/>
    <x v="332"/>
    <x v="2733"/>
    <x v="0"/>
    <s v="LAS TABLAS"/>
    <x v="1"/>
  </r>
  <r>
    <x v="31"/>
    <x v="280"/>
    <x v="2"/>
    <x v="2"/>
    <x v="1"/>
    <x v="2"/>
    <x v="25"/>
    <x v="295"/>
    <x v="807"/>
    <x v="0"/>
    <s v="LAS TABLAS"/>
    <x v="1"/>
  </r>
  <r>
    <x v="31"/>
    <x v="246"/>
    <x v="2"/>
    <x v="2"/>
    <x v="1"/>
    <x v="2"/>
    <x v="25"/>
    <x v="287"/>
    <x v="898"/>
    <x v="0"/>
    <s v="LAS TABLAS"/>
    <x v="1"/>
  </r>
  <r>
    <x v="31"/>
    <x v="305"/>
    <x v="6"/>
    <x v="6"/>
    <x v="1"/>
    <x v="2"/>
    <x v="26"/>
    <x v="331"/>
    <x v="1"/>
    <x v="580"/>
    <s v="LAS TABLAS"/>
    <x v="1"/>
  </r>
  <r>
    <x v="31"/>
    <x v="203"/>
    <x v="6"/>
    <x v="6"/>
    <x v="1"/>
    <x v="2"/>
    <x v="20"/>
    <x v="99"/>
    <x v="785"/>
    <x v="0"/>
    <s v="LAS TABLAS"/>
    <x v="1"/>
  </r>
  <r>
    <x v="31"/>
    <x v="190"/>
    <x v="6"/>
    <x v="6"/>
    <x v="1"/>
    <x v="2"/>
    <x v="20"/>
    <x v="99"/>
    <x v="779"/>
    <x v="0"/>
    <s v="LAS TABLAS"/>
    <x v="1"/>
  </r>
  <r>
    <x v="31"/>
    <x v="191"/>
    <x v="6"/>
    <x v="6"/>
    <x v="1"/>
    <x v="2"/>
    <x v="25"/>
    <x v="318"/>
    <x v="839"/>
    <x v="0"/>
    <s v="LAS TABLAS"/>
    <x v="1"/>
  </r>
  <r>
    <x v="31"/>
    <x v="308"/>
    <x v="7"/>
    <x v="7"/>
    <x v="1"/>
    <x v="0"/>
    <x v="21"/>
    <x v="333"/>
    <x v="2734"/>
    <x v="0"/>
    <s v="LAS TABLAS"/>
    <x v="1"/>
  </r>
  <r>
    <x v="31"/>
    <x v="309"/>
    <x v="7"/>
    <x v="7"/>
    <x v="1"/>
    <x v="0"/>
    <x v="21"/>
    <x v="334"/>
    <x v="885"/>
    <x v="0"/>
    <s v="LAS TABLAS"/>
    <x v="1"/>
  </r>
  <r>
    <x v="31"/>
    <x v="310"/>
    <x v="10"/>
    <x v="10"/>
    <x v="1"/>
    <x v="0"/>
    <x v="25"/>
    <x v="335"/>
    <x v="1588"/>
    <x v="0"/>
    <s v="LAS TABLAS"/>
    <x v="1"/>
  </r>
  <r>
    <x v="31"/>
    <x v="298"/>
    <x v="10"/>
    <x v="10"/>
    <x v="1"/>
    <x v="0"/>
    <x v="25"/>
    <x v="314"/>
    <x v="839"/>
    <x v="0"/>
    <s v="LAS TABLAS"/>
    <x v="1"/>
  </r>
  <r>
    <x v="31"/>
    <x v="264"/>
    <x v="6"/>
    <x v="6"/>
    <x v="1"/>
    <x v="0"/>
    <x v="25"/>
    <x v="311"/>
    <x v="839"/>
    <x v="0"/>
    <s v="LAS TABLAS"/>
    <x v="1"/>
  </r>
  <r>
    <x v="31"/>
    <x v="204"/>
    <x v="6"/>
    <x v="6"/>
    <x v="1"/>
    <x v="0"/>
    <x v="25"/>
    <x v="317"/>
    <x v="839"/>
    <x v="0"/>
    <s v="LAS TABLAS"/>
    <x v="1"/>
  </r>
  <r>
    <x v="31"/>
    <x v="306"/>
    <x v="9"/>
    <x v="9"/>
    <x v="1"/>
    <x v="1"/>
    <x v="21"/>
    <x v="336"/>
    <x v="2533"/>
    <x v="0"/>
    <s v="LAS TABLAS"/>
    <x v="1"/>
  </r>
  <r>
    <x v="31"/>
    <x v="293"/>
    <x v="9"/>
    <x v="9"/>
    <x v="1"/>
    <x v="1"/>
    <x v="21"/>
    <x v="337"/>
    <x v="840"/>
    <x v="0"/>
    <s v="LAS TABLAS"/>
    <x v="1"/>
  </r>
  <r>
    <x v="31"/>
    <x v="255"/>
    <x v="9"/>
    <x v="9"/>
    <x v="1"/>
    <x v="1"/>
    <x v="25"/>
    <x v="293"/>
    <x v="819"/>
    <x v="0"/>
    <s v="LAS TABLAS"/>
    <x v="1"/>
  </r>
  <r>
    <x v="31"/>
    <x v="198"/>
    <x v="10"/>
    <x v="10"/>
    <x v="1"/>
    <x v="1"/>
    <x v="25"/>
    <x v="338"/>
    <x v="838"/>
    <x v="0"/>
    <s v="LAS TABLAS"/>
    <x v="1"/>
  </r>
  <r>
    <x v="31"/>
    <x v="268"/>
    <x v="10"/>
    <x v="10"/>
    <x v="1"/>
    <x v="1"/>
    <x v="25"/>
    <x v="339"/>
    <x v="839"/>
    <x v="0"/>
    <s v="LAS TABLAS"/>
    <x v="1"/>
  </r>
  <r>
    <x v="31"/>
    <x v="299"/>
    <x v="11"/>
    <x v="11"/>
    <x v="1"/>
    <x v="1"/>
    <x v="25"/>
    <x v="315"/>
    <x v="839"/>
    <x v="0"/>
    <s v="LAS TABLAS"/>
    <x v="1"/>
  </r>
  <r>
    <x v="31"/>
    <x v="300"/>
    <x v="2"/>
    <x v="2"/>
    <x v="1"/>
    <x v="1"/>
    <x v="25"/>
    <x v="316"/>
    <x v="2735"/>
    <x v="0"/>
    <s v="LAS TABLAS"/>
    <x v="1"/>
  </r>
  <r>
    <x v="32"/>
    <x v="268"/>
    <x v="10"/>
    <x v="10"/>
    <x v="1"/>
    <x v="2"/>
    <x v="20"/>
    <x v="101"/>
    <x v="841"/>
    <x v="0"/>
    <s v="24 DE DICIEMBRE"/>
    <x v="1"/>
  </r>
  <r>
    <x v="32"/>
    <x v="199"/>
    <x v="10"/>
    <x v="10"/>
    <x v="1"/>
    <x v="2"/>
    <x v="20"/>
    <x v="101"/>
    <x v="1301"/>
    <x v="0"/>
    <s v="24 DE DICIEMBRE"/>
    <x v="1"/>
  </r>
  <r>
    <x v="32"/>
    <x v="311"/>
    <x v="11"/>
    <x v="11"/>
    <x v="1"/>
    <x v="2"/>
    <x v="20"/>
    <x v="101"/>
    <x v="1301"/>
    <x v="0"/>
    <s v="24 DE DICIEMBRE"/>
    <x v="1"/>
  </r>
  <r>
    <x v="32"/>
    <x v="174"/>
    <x v="6"/>
    <x v="6"/>
    <x v="1"/>
    <x v="2"/>
    <x v="20"/>
    <x v="101"/>
    <x v="1301"/>
    <x v="0"/>
    <s v="24 DE DICIEMBRE"/>
    <x v="1"/>
  </r>
  <r>
    <x v="33"/>
    <x v="312"/>
    <x v="2"/>
    <x v="2"/>
    <x v="1"/>
    <x v="2"/>
    <x v="20"/>
    <x v="340"/>
    <x v="759"/>
    <x v="0"/>
    <s v="DAVID - TERRONAL"/>
    <x v="1"/>
  </r>
  <r>
    <x v="33"/>
    <x v="313"/>
    <x v="6"/>
    <x v="6"/>
    <x v="1"/>
    <x v="2"/>
    <x v="25"/>
    <x v="341"/>
    <x v="899"/>
    <x v="0"/>
    <s v="DAVID - TERRONAL"/>
    <x v="1"/>
  </r>
  <r>
    <x v="33"/>
    <x v="190"/>
    <x v="6"/>
    <x v="6"/>
    <x v="1"/>
    <x v="2"/>
    <x v="26"/>
    <x v="342"/>
    <x v="1"/>
    <x v="355"/>
    <s v="DAVID - TERRONAL"/>
    <x v="1"/>
  </r>
  <r>
    <x v="34"/>
    <x v="209"/>
    <x v="7"/>
    <x v="7"/>
    <x v="1"/>
    <x v="2"/>
    <x v="20"/>
    <x v="103"/>
    <x v="748"/>
    <x v="0"/>
    <s v="COSTA DEL ESTE"/>
    <x v="1"/>
  </r>
  <r>
    <x v="34"/>
    <x v="195"/>
    <x v="8"/>
    <x v="8"/>
    <x v="1"/>
    <x v="2"/>
    <x v="20"/>
    <x v="103"/>
    <x v="842"/>
    <x v="0"/>
    <s v="COSTA DEL ESTE"/>
    <x v="1"/>
  </r>
  <r>
    <x v="34"/>
    <x v="293"/>
    <x v="9"/>
    <x v="9"/>
    <x v="1"/>
    <x v="2"/>
    <x v="20"/>
    <x v="103"/>
    <x v="842"/>
    <x v="0"/>
    <s v="COSTA DEL ESTE"/>
    <x v="1"/>
  </r>
  <r>
    <x v="34"/>
    <x v="180"/>
    <x v="10"/>
    <x v="10"/>
    <x v="1"/>
    <x v="2"/>
    <x v="20"/>
    <x v="103"/>
    <x v="776"/>
    <x v="0"/>
    <s v="COSTA DEL ESTE"/>
    <x v="1"/>
  </r>
  <r>
    <x v="34"/>
    <x v="200"/>
    <x v="11"/>
    <x v="11"/>
    <x v="1"/>
    <x v="2"/>
    <x v="20"/>
    <x v="103"/>
    <x v="743"/>
    <x v="0"/>
    <s v="COSTA DEL ESTE"/>
    <x v="1"/>
  </r>
  <r>
    <x v="34"/>
    <x v="215"/>
    <x v="2"/>
    <x v="2"/>
    <x v="1"/>
    <x v="2"/>
    <x v="20"/>
    <x v="103"/>
    <x v="842"/>
    <x v="0"/>
    <s v="COSTA DEL ESTE"/>
    <x v="1"/>
  </r>
  <r>
    <x v="34"/>
    <x v="314"/>
    <x v="6"/>
    <x v="6"/>
    <x v="1"/>
    <x v="2"/>
    <x v="20"/>
    <x v="103"/>
    <x v="744"/>
    <x v="0"/>
    <s v="COSTA DEL ESTE"/>
    <x v="1"/>
  </r>
  <r>
    <x v="34"/>
    <x v="229"/>
    <x v="6"/>
    <x v="6"/>
    <x v="1"/>
    <x v="2"/>
    <x v="20"/>
    <x v="103"/>
    <x v="842"/>
    <x v="0"/>
    <s v="COSTA DEL ESTE"/>
    <x v="1"/>
  </r>
  <r>
    <x v="35"/>
    <x v="207"/>
    <x v="8"/>
    <x v="8"/>
    <x v="1"/>
    <x v="2"/>
    <x v="20"/>
    <x v="104"/>
    <x v="745"/>
    <x v="0"/>
    <s v="MULTI PLAZA"/>
    <x v="1"/>
  </r>
  <r>
    <x v="35"/>
    <x v="226"/>
    <x v="8"/>
    <x v="8"/>
    <x v="1"/>
    <x v="2"/>
    <x v="20"/>
    <x v="104"/>
    <x v="745"/>
    <x v="0"/>
    <s v="MULTI PLAZA"/>
    <x v="1"/>
  </r>
  <r>
    <x v="35"/>
    <x v="315"/>
    <x v="2"/>
    <x v="2"/>
    <x v="1"/>
    <x v="2"/>
    <x v="20"/>
    <x v="104"/>
    <x v="748"/>
    <x v="0"/>
    <s v="MULTI PLAZA"/>
    <x v="1"/>
  </r>
  <r>
    <x v="77"/>
    <x v="244"/>
    <x v="10"/>
    <x v="10"/>
    <x v="1"/>
    <x v="2"/>
    <x v="20"/>
    <x v="343"/>
    <x v="737"/>
    <x v="0"/>
    <s v="HOSPITAL PUNTA PACIFICA"/>
    <x v="1"/>
  </r>
  <r>
    <x v="36"/>
    <x v="261"/>
    <x v="8"/>
    <x v="8"/>
    <x v="1"/>
    <x v="2"/>
    <x v="21"/>
    <x v="320"/>
    <x v="814"/>
    <x v="0"/>
    <s v="TERMINAL DE ALBROOK"/>
    <x v="1"/>
  </r>
  <r>
    <x v="36"/>
    <x v="208"/>
    <x v="8"/>
    <x v="8"/>
    <x v="1"/>
    <x v="2"/>
    <x v="20"/>
    <x v="105"/>
    <x v="742"/>
    <x v="0"/>
    <s v="TERMINAL DE ALBROOK"/>
    <x v="1"/>
  </r>
  <r>
    <x v="36"/>
    <x v="233"/>
    <x v="10"/>
    <x v="10"/>
    <x v="1"/>
    <x v="2"/>
    <x v="25"/>
    <x v="344"/>
    <x v="814"/>
    <x v="0"/>
    <s v="TERMINAL DE ALBROOK"/>
    <x v="1"/>
  </r>
  <r>
    <x v="36"/>
    <x v="189"/>
    <x v="10"/>
    <x v="10"/>
    <x v="1"/>
    <x v="2"/>
    <x v="25"/>
    <x v="345"/>
    <x v="814"/>
    <x v="0"/>
    <s v="TERMINAL DE ALBROOK"/>
    <x v="1"/>
  </r>
  <r>
    <x v="36"/>
    <x v="177"/>
    <x v="11"/>
    <x v="11"/>
    <x v="1"/>
    <x v="2"/>
    <x v="25"/>
    <x v="346"/>
    <x v="814"/>
    <x v="0"/>
    <s v="TERMINAL DE ALBROOK"/>
    <x v="1"/>
  </r>
  <r>
    <x v="36"/>
    <x v="221"/>
    <x v="2"/>
    <x v="2"/>
    <x v="1"/>
    <x v="2"/>
    <x v="25"/>
    <x v="347"/>
    <x v="814"/>
    <x v="0"/>
    <s v="TERMINAL DE ALBROOK"/>
    <x v="1"/>
  </r>
  <r>
    <x v="36"/>
    <x v="316"/>
    <x v="2"/>
    <x v="2"/>
    <x v="1"/>
    <x v="2"/>
    <x v="25"/>
    <x v="348"/>
    <x v="814"/>
    <x v="0"/>
    <s v="TERMINAL DE ALBROOK"/>
    <x v="1"/>
  </r>
  <r>
    <x v="36"/>
    <x v="204"/>
    <x v="6"/>
    <x v="6"/>
    <x v="1"/>
    <x v="2"/>
    <x v="25"/>
    <x v="317"/>
    <x v="814"/>
    <x v="0"/>
    <s v="TERMINAL DE ALBROOK"/>
    <x v="1"/>
  </r>
  <r>
    <x v="36"/>
    <x v="229"/>
    <x v="6"/>
    <x v="6"/>
    <x v="1"/>
    <x v="2"/>
    <x v="25"/>
    <x v="281"/>
    <x v="814"/>
    <x v="0"/>
    <s v="TERMINAL DE ALBROOK"/>
    <x v="1"/>
  </r>
  <r>
    <x v="37"/>
    <x v="237"/>
    <x v="7"/>
    <x v="7"/>
    <x v="1"/>
    <x v="2"/>
    <x v="20"/>
    <x v="108"/>
    <x v="849"/>
    <x v="0"/>
    <s v="CONCEPCION"/>
    <x v="1"/>
  </r>
  <r>
    <x v="37"/>
    <x v="293"/>
    <x v="9"/>
    <x v="9"/>
    <x v="1"/>
    <x v="2"/>
    <x v="20"/>
    <x v="108"/>
    <x v="849"/>
    <x v="0"/>
    <s v="CONCEPCION"/>
    <x v="1"/>
  </r>
  <r>
    <x v="37"/>
    <x v="317"/>
    <x v="10"/>
    <x v="10"/>
    <x v="1"/>
    <x v="2"/>
    <x v="20"/>
    <x v="108"/>
    <x v="849"/>
    <x v="0"/>
    <s v="CONCEPCION"/>
    <x v="1"/>
  </r>
  <r>
    <x v="37"/>
    <x v="299"/>
    <x v="11"/>
    <x v="11"/>
    <x v="1"/>
    <x v="2"/>
    <x v="20"/>
    <x v="108"/>
    <x v="849"/>
    <x v="0"/>
    <s v="CONCEPCION"/>
    <x v="1"/>
  </r>
  <r>
    <x v="37"/>
    <x v="193"/>
    <x v="11"/>
    <x v="11"/>
    <x v="1"/>
    <x v="2"/>
    <x v="20"/>
    <x v="108"/>
    <x v="849"/>
    <x v="0"/>
    <s v="CONCEPCION"/>
    <x v="1"/>
  </r>
  <r>
    <x v="37"/>
    <x v="246"/>
    <x v="2"/>
    <x v="2"/>
    <x v="1"/>
    <x v="2"/>
    <x v="25"/>
    <x v="287"/>
    <x v="736"/>
    <x v="0"/>
    <s v="CONCEPCION"/>
    <x v="1"/>
  </r>
  <r>
    <x v="38"/>
    <x v="308"/>
    <x v="7"/>
    <x v="7"/>
    <x v="1"/>
    <x v="2"/>
    <x v="21"/>
    <x v="333"/>
    <x v="2736"/>
    <x v="0"/>
    <s v="BOQUETE"/>
    <x v="1"/>
  </r>
  <r>
    <x v="38"/>
    <x v="258"/>
    <x v="7"/>
    <x v="7"/>
    <x v="1"/>
    <x v="2"/>
    <x v="26"/>
    <x v="349"/>
    <x v="1"/>
    <x v="581"/>
    <s v="BOQUETE"/>
    <x v="1"/>
  </r>
  <r>
    <x v="38"/>
    <x v="192"/>
    <x v="8"/>
    <x v="8"/>
    <x v="1"/>
    <x v="2"/>
    <x v="21"/>
    <x v="300"/>
    <x v="851"/>
    <x v="0"/>
    <s v="BOQUETE"/>
    <x v="1"/>
  </r>
  <r>
    <x v="38"/>
    <x v="192"/>
    <x v="8"/>
    <x v="8"/>
    <x v="1"/>
    <x v="2"/>
    <x v="26"/>
    <x v="300"/>
    <x v="1"/>
    <x v="582"/>
    <s v="BOQUETE"/>
    <x v="1"/>
  </r>
  <r>
    <x v="38"/>
    <x v="247"/>
    <x v="8"/>
    <x v="8"/>
    <x v="1"/>
    <x v="2"/>
    <x v="21"/>
    <x v="289"/>
    <x v="2737"/>
    <x v="0"/>
    <s v="BOQUETE"/>
    <x v="1"/>
  </r>
  <r>
    <x v="38"/>
    <x v="318"/>
    <x v="8"/>
    <x v="8"/>
    <x v="1"/>
    <x v="2"/>
    <x v="20"/>
    <x v="114"/>
    <x v="852"/>
    <x v="0"/>
    <s v="BOQUETE"/>
    <x v="1"/>
  </r>
  <r>
    <x v="38"/>
    <x v="261"/>
    <x v="8"/>
    <x v="8"/>
    <x v="1"/>
    <x v="2"/>
    <x v="20"/>
    <x v="114"/>
    <x v="852"/>
    <x v="0"/>
    <s v="BOQUETE"/>
    <x v="1"/>
  </r>
  <r>
    <x v="38"/>
    <x v="319"/>
    <x v="8"/>
    <x v="8"/>
    <x v="1"/>
    <x v="2"/>
    <x v="21"/>
    <x v="350"/>
    <x v="851"/>
    <x v="0"/>
    <s v="BOQUETE"/>
    <x v="1"/>
  </r>
  <r>
    <x v="38"/>
    <x v="292"/>
    <x v="9"/>
    <x v="9"/>
    <x v="1"/>
    <x v="2"/>
    <x v="20"/>
    <x v="114"/>
    <x v="743"/>
    <x v="0"/>
    <s v="BOQUETE"/>
    <x v="1"/>
  </r>
  <r>
    <x v="38"/>
    <x v="290"/>
    <x v="9"/>
    <x v="9"/>
    <x v="1"/>
    <x v="2"/>
    <x v="20"/>
    <x v="114"/>
    <x v="779"/>
    <x v="0"/>
    <s v="BOQUETE"/>
    <x v="1"/>
  </r>
  <r>
    <x v="38"/>
    <x v="211"/>
    <x v="9"/>
    <x v="9"/>
    <x v="1"/>
    <x v="2"/>
    <x v="25"/>
    <x v="286"/>
    <x v="2738"/>
    <x v="0"/>
    <s v="BOQUETE"/>
    <x v="1"/>
  </r>
  <r>
    <x v="38"/>
    <x v="180"/>
    <x v="10"/>
    <x v="10"/>
    <x v="1"/>
    <x v="2"/>
    <x v="20"/>
    <x v="114"/>
    <x v="2015"/>
    <x v="0"/>
    <s v="BOQUETE"/>
    <x v="1"/>
  </r>
  <r>
    <x v="38"/>
    <x v="282"/>
    <x v="11"/>
    <x v="11"/>
    <x v="1"/>
    <x v="2"/>
    <x v="20"/>
    <x v="114"/>
    <x v="852"/>
    <x v="0"/>
    <s v="BOQUETE"/>
    <x v="1"/>
  </r>
  <r>
    <x v="38"/>
    <x v="187"/>
    <x v="11"/>
    <x v="11"/>
    <x v="1"/>
    <x v="2"/>
    <x v="20"/>
    <x v="114"/>
    <x v="852"/>
    <x v="0"/>
    <s v="BOQUETE"/>
    <x v="1"/>
  </r>
  <r>
    <x v="38"/>
    <x v="202"/>
    <x v="11"/>
    <x v="11"/>
    <x v="1"/>
    <x v="2"/>
    <x v="20"/>
    <x v="114"/>
    <x v="852"/>
    <x v="0"/>
    <s v="BOQUETE"/>
    <x v="1"/>
  </r>
  <r>
    <x v="38"/>
    <x v="246"/>
    <x v="2"/>
    <x v="2"/>
    <x v="1"/>
    <x v="2"/>
    <x v="20"/>
    <x v="114"/>
    <x v="852"/>
    <x v="0"/>
    <s v="BOQUETE"/>
    <x v="1"/>
  </r>
  <r>
    <x v="38"/>
    <x v="271"/>
    <x v="6"/>
    <x v="6"/>
    <x v="1"/>
    <x v="2"/>
    <x v="20"/>
    <x v="114"/>
    <x v="2015"/>
    <x v="0"/>
    <s v="BOQUETE"/>
    <x v="1"/>
  </r>
  <r>
    <x v="38"/>
    <x v="308"/>
    <x v="7"/>
    <x v="7"/>
    <x v="1"/>
    <x v="0"/>
    <x v="21"/>
    <x v="333"/>
    <x v="2736"/>
    <x v="0"/>
    <s v="BOQUETE"/>
    <x v="1"/>
  </r>
  <r>
    <x v="38"/>
    <x v="309"/>
    <x v="7"/>
    <x v="7"/>
    <x v="1"/>
    <x v="0"/>
    <x v="21"/>
    <x v="334"/>
    <x v="848"/>
    <x v="0"/>
    <s v="BOQUETE"/>
    <x v="1"/>
  </r>
  <r>
    <x v="38"/>
    <x v="306"/>
    <x v="9"/>
    <x v="9"/>
    <x v="1"/>
    <x v="1"/>
    <x v="21"/>
    <x v="336"/>
    <x v="2739"/>
    <x v="0"/>
    <s v="BOQUETE"/>
    <x v="1"/>
  </r>
  <r>
    <x v="38"/>
    <x v="293"/>
    <x v="9"/>
    <x v="9"/>
    <x v="1"/>
    <x v="1"/>
    <x v="21"/>
    <x v="337"/>
    <x v="2740"/>
    <x v="0"/>
    <s v="BOQUETE"/>
    <x v="1"/>
  </r>
  <r>
    <x v="39"/>
    <x v="253"/>
    <x v="7"/>
    <x v="7"/>
    <x v="1"/>
    <x v="2"/>
    <x v="21"/>
    <x v="292"/>
    <x v="856"/>
    <x v="0"/>
    <s v="BRISAS DEL GOLF"/>
    <x v="1"/>
  </r>
  <r>
    <x v="39"/>
    <x v="200"/>
    <x v="11"/>
    <x v="11"/>
    <x v="1"/>
    <x v="2"/>
    <x v="25"/>
    <x v="351"/>
    <x v="2741"/>
    <x v="0"/>
    <s v="BRISAS DEL GOLF"/>
    <x v="1"/>
  </r>
  <r>
    <x v="39"/>
    <x v="296"/>
    <x v="6"/>
    <x v="6"/>
    <x v="1"/>
    <x v="2"/>
    <x v="25"/>
    <x v="312"/>
    <x v="2741"/>
    <x v="0"/>
    <s v="BRISAS DEL GOLF"/>
    <x v="1"/>
  </r>
  <r>
    <x v="39"/>
    <x v="303"/>
    <x v="9"/>
    <x v="9"/>
    <x v="1"/>
    <x v="1"/>
    <x v="21"/>
    <x v="327"/>
    <x v="856"/>
    <x v="0"/>
    <s v="BRISAS DEL GOLF"/>
    <x v="1"/>
  </r>
  <r>
    <x v="40"/>
    <x v="290"/>
    <x v="9"/>
    <x v="9"/>
    <x v="1"/>
    <x v="2"/>
    <x v="20"/>
    <x v="121"/>
    <x v="754"/>
    <x v="0"/>
    <s v="PUENTE CENTENARIO"/>
    <x v="1"/>
  </r>
  <r>
    <x v="40"/>
    <x v="282"/>
    <x v="11"/>
    <x v="11"/>
    <x v="1"/>
    <x v="2"/>
    <x v="20"/>
    <x v="121"/>
    <x v="754"/>
    <x v="0"/>
    <s v="PUENTE CENTENARIO"/>
    <x v="1"/>
  </r>
  <r>
    <x v="40"/>
    <x v="220"/>
    <x v="11"/>
    <x v="11"/>
    <x v="1"/>
    <x v="2"/>
    <x v="25"/>
    <x v="309"/>
    <x v="749"/>
    <x v="0"/>
    <s v="PUENTE CENTENARIO"/>
    <x v="1"/>
  </r>
  <r>
    <x v="40"/>
    <x v="246"/>
    <x v="2"/>
    <x v="2"/>
    <x v="1"/>
    <x v="2"/>
    <x v="20"/>
    <x v="121"/>
    <x v="795"/>
    <x v="0"/>
    <s v="PUENTE CENTENARIO"/>
    <x v="1"/>
  </r>
  <r>
    <x v="74"/>
    <x v="171"/>
    <x v="7"/>
    <x v="7"/>
    <x v="1"/>
    <x v="2"/>
    <x v="20"/>
    <x v="122"/>
    <x v="1303"/>
    <x v="0"/>
    <s v="AGUADULCE"/>
    <x v="1"/>
  </r>
  <r>
    <x v="74"/>
    <x v="237"/>
    <x v="7"/>
    <x v="7"/>
    <x v="1"/>
    <x v="2"/>
    <x v="20"/>
    <x v="122"/>
    <x v="781"/>
    <x v="0"/>
    <s v="AGUADULCE"/>
    <x v="1"/>
  </r>
  <r>
    <x v="74"/>
    <x v="251"/>
    <x v="8"/>
    <x v="8"/>
    <x v="1"/>
    <x v="2"/>
    <x v="21"/>
    <x v="291"/>
    <x v="2726"/>
    <x v="0"/>
    <s v="AGUADULCE"/>
    <x v="1"/>
  </r>
  <r>
    <x v="74"/>
    <x v="247"/>
    <x v="8"/>
    <x v="8"/>
    <x v="1"/>
    <x v="2"/>
    <x v="20"/>
    <x v="122"/>
    <x v="858"/>
    <x v="0"/>
    <s v="AGUADULCE"/>
    <x v="1"/>
  </r>
  <r>
    <x v="74"/>
    <x v="320"/>
    <x v="8"/>
    <x v="8"/>
    <x v="1"/>
    <x v="2"/>
    <x v="20"/>
    <x v="122"/>
    <x v="858"/>
    <x v="0"/>
    <s v="AGUADULCE"/>
    <x v="1"/>
  </r>
  <r>
    <x v="74"/>
    <x v="173"/>
    <x v="8"/>
    <x v="8"/>
    <x v="1"/>
    <x v="2"/>
    <x v="20"/>
    <x v="122"/>
    <x v="2742"/>
    <x v="0"/>
    <s v="AGUADULCE"/>
    <x v="1"/>
  </r>
  <r>
    <x v="74"/>
    <x v="306"/>
    <x v="9"/>
    <x v="9"/>
    <x v="1"/>
    <x v="2"/>
    <x v="20"/>
    <x v="122"/>
    <x v="858"/>
    <x v="0"/>
    <s v="AGUADULCE"/>
    <x v="1"/>
  </r>
  <r>
    <x v="74"/>
    <x v="175"/>
    <x v="9"/>
    <x v="9"/>
    <x v="1"/>
    <x v="2"/>
    <x v="20"/>
    <x v="122"/>
    <x v="858"/>
    <x v="0"/>
    <s v="AGUADULCE"/>
    <x v="1"/>
  </r>
  <r>
    <x v="74"/>
    <x v="303"/>
    <x v="9"/>
    <x v="9"/>
    <x v="1"/>
    <x v="2"/>
    <x v="20"/>
    <x v="122"/>
    <x v="858"/>
    <x v="0"/>
    <s v="AGUADULCE"/>
    <x v="1"/>
  </r>
  <r>
    <x v="74"/>
    <x v="178"/>
    <x v="9"/>
    <x v="9"/>
    <x v="1"/>
    <x v="2"/>
    <x v="20"/>
    <x v="122"/>
    <x v="782"/>
    <x v="0"/>
    <s v="AGUADULCE"/>
    <x v="1"/>
  </r>
  <r>
    <x v="74"/>
    <x v="255"/>
    <x v="9"/>
    <x v="9"/>
    <x v="1"/>
    <x v="2"/>
    <x v="25"/>
    <x v="293"/>
    <x v="1584"/>
    <x v="0"/>
    <s v="AGUADULCE"/>
    <x v="1"/>
  </r>
  <r>
    <x v="74"/>
    <x v="230"/>
    <x v="9"/>
    <x v="9"/>
    <x v="1"/>
    <x v="2"/>
    <x v="20"/>
    <x v="122"/>
    <x v="874"/>
    <x v="0"/>
    <s v="AGUADULCE"/>
    <x v="1"/>
  </r>
  <r>
    <x v="74"/>
    <x v="263"/>
    <x v="10"/>
    <x v="10"/>
    <x v="1"/>
    <x v="2"/>
    <x v="20"/>
    <x v="122"/>
    <x v="770"/>
    <x v="0"/>
    <s v="AGUADULCE"/>
    <x v="1"/>
  </r>
  <r>
    <x v="74"/>
    <x v="176"/>
    <x v="10"/>
    <x v="10"/>
    <x v="1"/>
    <x v="2"/>
    <x v="20"/>
    <x v="122"/>
    <x v="874"/>
    <x v="0"/>
    <s v="AGUADULCE"/>
    <x v="1"/>
  </r>
  <r>
    <x v="74"/>
    <x v="274"/>
    <x v="11"/>
    <x v="11"/>
    <x v="1"/>
    <x v="2"/>
    <x v="20"/>
    <x v="122"/>
    <x v="146"/>
    <x v="0"/>
    <s v="AGUADULCE"/>
    <x v="1"/>
  </r>
  <r>
    <x v="74"/>
    <x v="240"/>
    <x v="2"/>
    <x v="2"/>
    <x v="1"/>
    <x v="2"/>
    <x v="20"/>
    <x v="122"/>
    <x v="858"/>
    <x v="0"/>
    <s v="AGUADULCE"/>
    <x v="1"/>
  </r>
  <r>
    <x v="74"/>
    <x v="223"/>
    <x v="2"/>
    <x v="2"/>
    <x v="1"/>
    <x v="2"/>
    <x v="20"/>
    <x v="122"/>
    <x v="146"/>
    <x v="0"/>
    <s v="AGUADULCE"/>
    <x v="1"/>
  </r>
  <r>
    <x v="74"/>
    <x v="246"/>
    <x v="2"/>
    <x v="2"/>
    <x v="1"/>
    <x v="2"/>
    <x v="25"/>
    <x v="287"/>
    <x v="936"/>
    <x v="0"/>
    <s v="AGUADULCE"/>
    <x v="1"/>
  </r>
  <r>
    <x v="74"/>
    <x v="312"/>
    <x v="2"/>
    <x v="2"/>
    <x v="1"/>
    <x v="2"/>
    <x v="20"/>
    <x v="122"/>
    <x v="858"/>
    <x v="0"/>
    <s v="AGUADULCE"/>
    <x v="1"/>
  </r>
  <r>
    <x v="74"/>
    <x v="314"/>
    <x v="6"/>
    <x v="6"/>
    <x v="1"/>
    <x v="2"/>
    <x v="20"/>
    <x v="122"/>
    <x v="735"/>
    <x v="0"/>
    <s v="AGUADULCE"/>
    <x v="1"/>
  </r>
  <r>
    <x v="74"/>
    <x v="255"/>
    <x v="9"/>
    <x v="9"/>
    <x v="1"/>
    <x v="0"/>
    <x v="25"/>
    <x v="293"/>
    <x v="819"/>
    <x v="0"/>
    <s v="AGUADULCE"/>
    <x v="1"/>
  </r>
  <r>
    <x v="74"/>
    <x v="268"/>
    <x v="10"/>
    <x v="10"/>
    <x v="1"/>
    <x v="0"/>
    <x v="25"/>
    <x v="339"/>
    <x v="819"/>
    <x v="0"/>
    <s v="AGUADULCE"/>
    <x v="1"/>
  </r>
  <r>
    <x v="74"/>
    <x v="204"/>
    <x v="6"/>
    <x v="6"/>
    <x v="1"/>
    <x v="0"/>
    <x v="25"/>
    <x v="317"/>
    <x v="861"/>
    <x v="0"/>
    <s v="AGUADULCE"/>
    <x v="1"/>
  </r>
  <r>
    <x v="74"/>
    <x v="308"/>
    <x v="7"/>
    <x v="7"/>
    <x v="1"/>
    <x v="1"/>
    <x v="21"/>
    <x v="333"/>
    <x v="2743"/>
    <x v="0"/>
    <s v="AGUADULCE"/>
    <x v="1"/>
  </r>
  <r>
    <x v="75"/>
    <x v="309"/>
    <x v="7"/>
    <x v="7"/>
    <x v="1"/>
    <x v="2"/>
    <x v="21"/>
    <x v="334"/>
    <x v="1849"/>
    <x v="0"/>
    <s v="SABANITAS"/>
    <x v="1"/>
  </r>
  <r>
    <x v="75"/>
    <x v="319"/>
    <x v="8"/>
    <x v="8"/>
    <x v="1"/>
    <x v="2"/>
    <x v="21"/>
    <x v="350"/>
    <x v="764"/>
    <x v="0"/>
    <s v="SABANITAS"/>
    <x v="1"/>
  </r>
  <r>
    <x v="75"/>
    <x v="292"/>
    <x v="9"/>
    <x v="9"/>
    <x v="1"/>
    <x v="2"/>
    <x v="21"/>
    <x v="352"/>
    <x v="835"/>
    <x v="0"/>
    <s v="SABANITAS"/>
    <x v="1"/>
  </r>
  <r>
    <x v="75"/>
    <x v="178"/>
    <x v="9"/>
    <x v="9"/>
    <x v="1"/>
    <x v="2"/>
    <x v="25"/>
    <x v="353"/>
    <x v="764"/>
    <x v="0"/>
    <s v="SABANITAS"/>
    <x v="1"/>
  </r>
  <r>
    <x v="75"/>
    <x v="189"/>
    <x v="10"/>
    <x v="10"/>
    <x v="1"/>
    <x v="2"/>
    <x v="25"/>
    <x v="345"/>
    <x v="765"/>
    <x v="0"/>
    <s v="SABANITAS"/>
    <x v="1"/>
  </r>
  <r>
    <x v="75"/>
    <x v="273"/>
    <x v="11"/>
    <x v="11"/>
    <x v="1"/>
    <x v="2"/>
    <x v="25"/>
    <x v="354"/>
    <x v="764"/>
    <x v="0"/>
    <s v="SABANITAS"/>
    <x v="1"/>
  </r>
  <r>
    <x v="75"/>
    <x v="259"/>
    <x v="7"/>
    <x v="7"/>
    <x v="1"/>
    <x v="0"/>
    <x v="21"/>
    <x v="355"/>
    <x v="2744"/>
    <x v="0"/>
    <s v="SABANITAS"/>
    <x v="1"/>
  </r>
  <r>
    <x v="41"/>
    <x v="192"/>
    <x v="8"/>
    <x v="8"/>
    <x v="1"/>
    <x v="2"/>
    <x v="20"/>
    <x v="356"/>
    <x v="795"/>
    <x v="0"/>
    <s v="METROMALL"/>
    <x v="1"/>
  </r>
  <r>
    <x v="41"/>
    <x v="196"/>
    <x v="8"/>
    <x v="8"/>
    <x v="1"/>
    <x v="2"/>
    <x v="20"/>
    <x v="356"/>
    <x v="786"/>
    <x v="0"/>
    <s v="METROMALL"/>
    <x v="1"/>
  </r>
  <r>
    <x v="41"/>
    <x v="244"/>
    <x v="10"/>
    <x v="10"/>
    <x v="1"/>
    <x v="2"/>
    <x v="20"/>
    <x v="356"/>
    <x v="756"/>
    <x v="0"/>
    <s v="METROMALL"/>
    <x v="1"/>
  </r>
  <r>
    <x v="41"/>
    <x v="273"/>
    <x v="11"/>
    <x v="11"/>
    <x v="1"/>
    <x v="2"/>
    <x v="20"/>
    <x v="356"/>
    <x v="2745"/>
    <x v="0"/>
    <s v="METROMALL"/>
    <x v="1"/>
  </r>
  <r>
    <x v="42"/>
    <x v="239"/>
    <x v="10"/>
    <x v="10"/>
    <x v="1"/>
    <x v="2"/>
    <x v="20"/>
    <x v="357"/>
    <x v="777"/>
    <x v="0"/>
    <s v="ALTOS DE PANAMA"/>
    <x v="1"/>
  </r>
  <r>
    <x v="42"/>
    <x v="287"/>
    <x v="10"/>
    <x v="10"/>
    <x v="1"/>
    <x v="2"/>
    <x v="20"/>
    <x v="357"/>
    <x v="857"/>
    <x v="0"/>
    <s v="ALTOS DE PANAMA"/>
    <x v="1"/>
  </r>
  <r>
    <x v="43"/>
    <x v="194"/>
    <x v="9"/>
    <x v="9"/>
    <x v="1"/>
    <x v="2"/>
    <x v="20"/>
    <x v="127"/>
    <x v="755"/>
    <x v="0"/>
    <s v="VERSALLES"/>
    <x v="1"/>
  </r>
  <r>
    <x v="43"/>
    <x v="176"/>
    <x v="10"/>
    <x v="10"/>
    <x v="1"/>
    <x v="2"/>
    <x v="20"/>
    <x v="127"/>
    <x v="774"/>
    <x v="0"/>
    <s v="VERSALLES"/>
    <x v="1"/>
  </r>
  <r>
    <x v="43"/>
    <x v="199"/>
    <x v="10"/>
    <x v="10"/>
    <x v="1"/>
    <x v="2"/>
    <x v="20"/>
    <x v="127"/>
    <x v="745"/>
    <x v="0"/>
    <s v="VERSALLES"/>
    <x v="1"/>
  </r>
  <r>
    <x v="43"/>
    <x v="273"/>
    <x v="11"/>
    <x v="11"/>
    <x v="1"/>
    <x v="2"/>
    <x v="20"/>
    <x v="127"/>
    <x v="745"/>
    <x v="0"/>
    <s v="VERSALLES"/>
    <x v="1"/>
  </r>
  <r>
    <x v="43"/>
    <x v="285"/>
    <x v="6"/>
    <x v="6"/>
    <x v="1"/>
    <x v="2"/>
    <x v="20"/>
    <x v="127"/>
    <x v="756"/>
    <x v="0"/>
    <s v="VERSALLES"/>
    <x v="1"/>
  </r>
  <r>
    <x v="43"/>
    <x v="174"/>
    <x v="6"/>
    <x v="6"/>
    <x v="1"/>
    <x v="2"/>
    <x v="20"/>
    <x v="127"/>
    <x v="745"/>
    <x v="0"/>
    <s v="VERSALLES"/>
    <x v="1"/>
  </r>
  <r>
    <x v="43"/>
    <x v="191"/>
    <x v="6"/>
    <x v="6"/>
    <x v="1"/>
    <x v="2"/>
    <x v="20"/>
    <x v="127"/>
    <x v="745"/>
    <x v="0"/>
    <s v="VERSALLES"/>
    <x v="1"/>
  </r>
  <r>
    <x v="44"/>
    <x v="321"/>
    <x v="8"/>
    <x v="8"/>
    <x v="1"/>
    <x v="2"/>
    <x v="20"/>
    <x v="128"/>
    <x v="748"/>
    <x v="0"/>
    <s v="BUSINESS PARK"/>
    <x v="1"/>
  </r>
  <r>
    <x v="44"/>
    <x v="208"/>
    <x v="8"/>
    <x v="8"/>
    <x v="1"/>
    <x v="2"/>
    <x v="20"/>
    <x v="128"/>
    <x v="747"/>
    <x v="0"/>
    <s v="BUSINESS PARK"/>
    <x v="1"/>
  </r>
  <r>
    <x v="44"/>
    <x v="186"/>
    <x v="10"/>
    <x v="10"/>
    <x v="1"/>
    <x v="2"/>
    <x v="20"/>
    <x v="128"/>
    <x v="778"/>
    <x v="0"/>
    <s v="BUSINESS PARK"/>
    <x v="1"/>
  </r>
  <r>
    <x v="44"/>
    <x v="284"/>
    <x v="2"/>
    <x v="2"/>
    <x v="1"/>
    <x v="2"/>
    <x v="20"/>
    <x v="128"/>
    <x v="744"/>
    <x v="0"/>
    <s v="BUSINESS PARK"/>
    <x v="1"/>
  </r>
  <r>
    <x v="44"/>
    <x v="305"/>
    <x v="6"/>
    <x v="6"/>
    <x v="1"/>
    <x v="2"/>
    <x v="20"/>
    <x v="128"/>
    <x v="737"/>
    <x v="0"/>
    <s v="BUSINESS PARK"/>
    <x v="1"/>
  </r>
  <r>
    <x v="44"/>
    <x v="314"/>
    <x v="6"/>
    <x v="6"/>
    <x v="1"/>
    <x v="2"/>
    <x v="20"/>
    <x v="128"/>
    <x v="737"/>
    <x v="0"/>
    <s v="BUSINESS PARK"/>
    <x v="1"/>
  </r>
  <r>
    <x v="44"/>
    <x v="236"/>
    <x v="6"/>
    <x v="6"/>
    <x v="1"/>
    <x v="2"/>
    <x v="20"/>
    <x v="128"/>
    <x v="744"/>
    <x v="0"/>
    <s v="BUSINESS PARK"/>
    <x v="1"/>
  </r>
  <r>
    <x v="44"/>
    <x v="190"/>
    <x v="6"/>
    <x v="6"/>
    <x v="1"/>
    <x v="2"/>
    <x v="20"/>
    <x v="128"/>
    <x v="842"/>
    <x v="0"/>
    <s v="BUSINESS PARK"/>
    <x v="1"/>
  </r>
  <r>
    <x v="44"/>
    <x v="191"/>
    <x v="6"/>
    <x v="6"/>
    <x v="1"/>
    <x v="2"/>
    <x v="20"/>
    <x v="128"/>
    <x v="799"/>
    <x v="0"/>
    <s v="BUSINESS PARK"/>
    <x v="1"/>
  </r>
  <r>
    <x v="45"/>
    <x v="179"/>
    <x v="7"/>
    <x v="7"/>
    <x v="1"/>
    <x v="2"/>
    <x v="20"/>
    <x v="129"/>
    <x v="742"/>
    <x v="0"/>
    <s v="SAN FRANCISCO"/>
    <x v="1"/>
  </r>
  <r>
    <x v="45"/>
    <x v="254"/>
    <x v="8"/>
    <x v="8"/>
    <x v="1"/>
    <x v="2"/>
    <x v="20"/>
    <x v="129"/>
    <x v="737"/>
    <x v="0"/>
    <s v="SAN FRANCISCO"/>
    <x v="1"/>
  </r>
  <r>
    <x v="45"/>
    <x v="227"/>
    <x v="9"/>
    <x v="9"/>
    <x v="1"/>
    <x v="2"/>
    <x v="20"/>
    <x v="129"/>
    <x v="744"/>
    <x v="0"/>
    <s v="SAN FRANCISCO"/>
    <x v="1"/>
  </r>
  <r>
    <x v="45"/>
    <x v="175"/>
    <x v="9"/>
    <x v="9"/>
    <x v="1"/>
    <x v="2"/>
    <x v="20"/>
    <x v="129"/>
    <x v="737"/>
    <x v="0"/>
    <s v="SAN FRANCISCO"/>
    <x v="1"/>
  </r>
  <r>
    <x v="45"/>
    <x v="303"/>
    <x v="9"/>
    <x v="9"/>
    <x v="1"/>
    <x v="2"/>
    <x v="20"/>
    <x v="129"/>
    <x v="744"/>
    <x v="0"/>
    <s v="SAN FRANCISCO"/>
    <x v="1"/>
  </r>
  <r>
    <x v="45"/>
    <x v="197"/>
    <x v="9"/>
    <x v="9"/>
    <x v="1"/>
    <x v="2"/>
    <x v="20"/>
    <x v="129"/>
    <x v="744"/>
    <x v="0"/>
    <s v="SAN FRANCISCO"/>
    <x v="1"/>
  </r>
  <r>
    <x v="45"/>
    <x v="228"/>
    <x v="9"/>
    <x v="9"/>
    <x v="1"/>
    <x v="2"/>
    <x v="20"/>
    <x v="129"/>
    <x v="744"/>
    <x v="0"/>
    <s v="SAN FRANCISCO"/>
    <x v="1"/>
  </r>
  <r>
    <x v="45"/>
    <x v="214"/>
    <x v="11"/>
    <x v="11"/>
    <x v="1"/>
    <x v="2"/>
    <x v="20"/>
    <x v="129"/>
    <x v="737"/>
    <x v="0"/>
    <s v="SAN FRANCISCO"/>
    <x v="1"/>
  </r>
  <r>
    <x v="45"/>
    <x v="218"/>
    <x v="6"/>
    <x v="6"/>
    <x v="1"/>
    <x v="2"/>
    <x v="20"/>
    <x v="129"/>
    <x v="744"/>
    <x v="0"/>
    <s v="SAN FRANCISCO"/>
    <x v="1"/>
  </r>
  <r>
    <x v="45"/>
    <x v="271"/>
    <x v="6"/>
    <x v="6"/>
    <x v="1"/>
    <x v="2"/>
    <x v="20"/>
    <x v="129"/>
    <x v="744"/>
    <x v="0"/>
    <s v="SAN FRANCISCO"/>
    <x v="1"/>
  </r>
  <r>
    <x v="46"/>
    <x v="288"/>
    <x v="7"/>
    <x v="7"/>
    <x v="1"/>
    <x v="2"/>
    <x v="20"/>
    <x v="130"/>
    <x v="744"/>
    <x v="0"/>
    <s v="PLAZA BANCO GENERAL"/>
    <x v="1"/>
  </r>
  <r>
    <x v="46"/>
    <x v="258"/>
    <x v="7"/>
    <x v="7"/>
    <x v="1"/>
    <x v="2"/>
    <x v="20"/>
    <x v="130"/>
    <x v="744"/>
    <x v="0"/>
    <s v="PLAZA BANCO GENERAL"/>
    <x v="1"/>
  </r>
  <r>
    <x v="46"/>
    <x v="252"/>
    <x v="7"/>
    <x v="7"/>
    <x v="1"/>
    <x v="2"/>
    <x v="20"/>
    <x v="130"/>
    <x v="744"/>
    <x v="0"/>
    <s v="PLAZA BANCO GENERAL"/>
    <x v="1"/>
  </r>
  <r>
    <x v="46"/>
    <x v="271"/>
    <x v="6"/>
    <x v="6"/>
    <x v="1"/>
    <x v="2"/>
    <x v="20"/>
    <x v="130"/>
    <x v="2746"/>
    <x v="0"/>
    <s v="PLAZA BANCO GENERAL"/>
    <x v="1"/>
  </r>
  <r>
    <x v="47"/>
    <x v="206"/>
    <x v="7"/>
    <x v="7"/>
    <x v="1"/>
    <x v="2"/>
    <x v="20"/>
    <x v="131"/>
    <x v="814"/>
    <x v="0"/>
    <s v="LA CHORRERA - PARQUE 10 DE NOV."/>
    <x v="1"/>
  </r>
  <r>
    <x v="47"/>
    <x v="322"/>
    <x v="7"/>
    <x v="7"/>
    <x v="1"/>
    <x v="2"/>
    <x v="20"/>
    <x v="131"/>
    <x v="771"/>
    <x v="0"/>
    <s v="LA CHORRERA - PARQUE 10 DE NOV."/>
    <x v="1"/>
  </r>
  <r>
    <x v="47"/>
    <x v="289"/>
    <x v="8"/>
    <x v="8"/>
    <x v="1"/>
    <x v="2"/>
    <x v="20"/>
    <x v="131"/>
    <x v="748"/>
    <x v="0"/>
    <s v="LA CHORRERA - PARQUE 10 DE NOV."/>
    <x v="1"/>
  </r>
  <r>
    <x v="47"/>
    <x v="320"/>
    <x v="8"/>
    <x v="8"/>
    <x v="1"/>
    <x v="2"/>
    <x v="20"/>
    <x v="131"/>
    <x v="771"/>
    <x v="0"/>
    <s v="LA CHORRERA - PARQUE 10 DE NOV."/>
    <x v="1"/>
  </r>
  <r>
    <x v="47"/>
    <x v="303"/>
    <x v="9"/>
    <x v="9"/>
    <x v="1"/>
    <x v="2"/>
    <x v="20"/>
    <x v="131"/>
    <x v="748"/>
    <x v="0"/>
    <s v="LA CHORRERA - PARQUE 10 DE NOV."/>
    <x v="1"/>
  </r>
  <r>
    <x v="47"/>
    <x v="290"/>
    <x v="9"/>
    <x v="9"/>
    <x v="1"/>
    <x v="2"/>
    <x v="20"/>
    <x v="131"/>
    <x v="814"/>
    <x v="0"/>
    <s v="LA CHORRERA - PARQUE 10 DE NOV."/>
    <x v="1"/>
  </r>
  <r>
    <x v="47"/>
    <x v="238"/>
    <x v="9"/>
    <x v="9"/>
    <x v="1"/>
    <x v="2"/>
    <x v="20"/>
    <x v="131"/>
    <x v="873"/>
    <x v="0"/>
    <s v="LA CHORRERA - PARQUE 10 DE NOV."/>
    <x v="1"/>
  </r>
  <r>
    <x v="47"/>
    <x v="299"/>
    <x v="11"/>
    <x v="11"/>
    <x v="1"/>
    <x v="2"/>
    <x v="20"/>
    <x v="131"/>
    <x v="735"/>
    <x v="0"/>
    <s v="LA CHORRERA - PARQUE 10 DE NOV."/>
    <x v="1"/>
  </r>
  <r>
    <x v="47"/>
    <x v="214"/>
    <x v="11"/>
    <x v="11"/>
    <x v="1"/>
    <x v="2"/>
    <x v="20"/>
    <x v="131"/>
    <x v="814"/>
    <x v="0"/>
    <s v="LA CHORRERA - PARQUE 10 DE NOV."/>
    <x v="1"/>
  </r>
  <r>
    <x v="47"/>
    <x v="275"/>
    <x v="11"/>
    <x v="11"/>
    <x v="1"/>
    <x v="2"/>
    <x v="26"/>
    <x v="307"/>
    <x v="1"/>
    <x v="583"/>
    <s v="LA CHORRERA - PARQUE 10 DE NOV."/>
    <x v="1"/>
  </r>
  <r>
    <x v="47"/>
    <x v="282"/>
    <x v="11"/>
    <x v="11"/>
    <x v="1"/>
    <x v="0"/>
    <x v="25"/>
    <x v="358"/>
    <x v="2747"/>
    <x v="0"/>
    <s v="LA CHORRERA - PARQUE 10 DE NOV."/>
    <x v="1"/>
  </r>
  <r>
    <x v="47"/>
    <x v="249"/>
    <x v="11"/>
    <x v="11"/>
    <x v="1"/>
    <x v="0"/>
    <x v="25"/>
    <x v="359"/>
    <x v="1283"/>
    <x v="0"/>
    <s v="LA CHORRERA - PARQUE 10 DE NOV."/>
    <x v="1"/>
  </r>
  <r>
    <x v="47"/>
    <x v="255"/>
    <x v="9"/>
    <x v="9"/>
    <x v="1"/>
    <x v="1"/>
    <x v="25"/>
    <x v="293"/>
    <x v="2748"/>
    <x v="0"/>
    <s v="LA CHORRERA - PARQUE 10 DE NOV."/>
    <x v="1"/>
  </r>
  <r>
    <x v="47"/>
    <x v="268"/>
    <x v="10"/>
    <x v="10"/>
    <x v="1"/>
    <x v="1"/>
    <x v="25"/>
    <x v="339"/>
    <x v="803"/>
    <x v="0"/>
    <s v="LA CHORRERA - PARQUE 10 DE NOV."/>
    <x v="1"/>
  </r>
  <r>
    <x v="48"/>
    <x v="323"/>
    <x v="8"/>
    <x v="8"/>
    <x v="1"/>
    <x v="2"/>
    <x v="20"/>
    <x v="133"/>
    <x v="842"/>
    <x v="0"/>
    <s v="COSTA DEL ESTE - CENTENARIO"/>
    <x v="1"/>
  </r>
  <r>
    <x v="48"/>
    <x v="196"/>
    <x v="8"/>
    <x v="8"/>
    <x v="1"/>
    <x v="2"/>
    <x v="20"/>
    <x v="133"/>
    <x v="842"/>
    <x v="0"/>
    <s v="COSTA DEL ESTE - CENTENARIO"/>
    <x v="1"/>
  </r>
  <r>
    <x v="48"/>
    <x v="208"/>
    <x v="8"/>
    <x v="8"/>
    <x v="1"/>
    <x v="2"/>
    <x v="20"/>
    <x v="133"/>
    <x v="778"/>
    <x v="0"/>
    <s v="COSTA DEL ESTE - CENTENARIO"/>
    <x v="1"/>
  </r>
  <r>
    <x v="48"/>
    <x v="173"/>
    <x v="8"/>
    <x v="8"/>
    <x v="1"/>
    <x v="2"/>
    <x v="20"/>
    <x v="133"/>
    <x v="2749"/>
    <x v="0"/>
    <s v="COSTA DEL ESTE - CENTENARIO"/>
    <x v="1"/>
  </r>
  <r>
    <x v="48"/>
    <x v="244"/>
    <x v="10"/>
    <x v="10"/>
    <x v="1"/>
    <x v="2"/>
    <x v="20"/>
    <x v="133"/>
    <x v="744"/>
    <x v="0"/>
    <s v="COSTA DEL ESTE - CENTENARIO"/>
    <x v="1"/>
  </r>
  <r>
    <x v="48"/>
    <x v="324"/>
    <x v="6"/>
    <x v="6"/>
    <x v="1"/>
    <x v="2"/>
    <x v="20"/>
    <x v="133"/>
    <x v="1277"/>
    <x v="0"/>
    <s v="COSTA DEL ESTE - CENTENARIO"/>
    <x v="1"/>
  </r>
  <r>
    <x v="49"/>
    <x v="195"/>
    <x v="8"/>
    <x v="8"/>
    <x v="1"/>
    <x v="2"/>
    <x v="20"/>
    <x v="134"/>
    <x v="795"/>
    <x v="0"/>
    <s v="CLAYTON"/>
    <x v="1"/>
  </r>
  <r>
    <x v="49"/>
    <x v="323"/>
    <x v="8"/>
    <x v="8"/>
    <x v="1"/>
    <x v="2"/>
    <x v="20"/>
    <x v="134"/>
    <x v="784"/>
    <x v="0"/>
    <s v="CLAYTON"/>
    <x v="1"/>
  </r>
  <r>
    <x v="49"/>
    <x v="194"/>
    <x v="9"/>
    <x v="9"/>
    <x v="1"/>
    <x v="2"/>
    <x v="20"/>
    <x v="134"/>
    <x v="754"/>
    <x v="0"/>
    <s v="CLAYTON"/>
    <x v="1"/>
  </r>
  <r>
    <x v="49"/>
    <x v="232"/>
    <x v="10"/>
    <x v="10"/>
    <x v="1"/>
    <x v="2"/>
    <x v="20"/>
    <x v="134"/>
    <x v="776"/>
    <x v="0"/>
    <s v="CLAYTON"/>
    <x v="1"/>
  </r>
  <r>
    <x v="49"/>
    <x v="325"/>
    <x v="11"/>
    <x v="11"/>
    <x v="1"/>
    <x v="2"/>
    <x v="20"/>
    <x v="134"/>
    <x v="762"/>
    <x v="0"/>
    <s v="CLAYTON"/>
    <x v="1"/>
  </r>
  <r>
    <x v="49"/>
    <x v="272"/>
    <x v="11"/>
    <x v="11"/>
    <x v="1"/>
    <x v="2"/>
    <x v="25"/>
    <x v="360"/>
    <x v="814"/>
    <x v="0"/>
    <s v="CLAYTON"/>
    <x v="1"/>
  </r>
  <r>
    <x v="49"/>
    <x v="213"/>
    <x v="11"/>
    <x v="11"/>
    <x v="1"/>
    <x v="2"/>
    <x v="25"/>
    <x v="361"/>
    <x v="814"/>
    <x v="0"/>
    <s v="CLAYTON"/>
    <x v="1"/>
  </r>
  <r>
    <x v="49"/>
    <x v="249"/>
    <x v="11"/>
    <x v="11"/>
    <x v="1"/>
    <x v="2"/>
    <x v="20"/>
    <x v="134"/>
    <x v="784"/>
    <x v="0"/>
    <s v="CLAYTON"/>
    <x v="1"/>
  </r>
  <r>
    <x v="49"/>
    <x v="181"/>
    <x v="11"/>
    <x v="11"/>
    <x v="1"/>
    <x v="2"/>
    <x v="20"/>
    <x v="134"/>
    <x v="2746"/>
    <x v="0"/>
    <s v="CLAYTON"/>
    <x v="1"/>
  </r>
  <r>
    <x v="49"/>
    <x v="181"/>
    <x v="11"/>
    <x v="11"/>
    <x v="1"/>
    <x v="2"/>
    <x v="25"/>
    <x v="362"/>
    <x v="814"/>
    <x v="0"/>
    <s v="CLAYTON"/>
    <x v="1"/>
  </r>
  <r>
    <x v="49"/>
    <x v="270"/>
    <x v="2"/>
    <x v="2"/>
    <x v="1"/>
    <x v="2"/>
    <x v="25"/>
    <x v="363"/>
    <x v="814"/>
    <x v="0"/>
    <s v="CLAYTON"/>
    <x v="1"/>
  </r>
  <r>
    <x v="49"/>
    <x v="250"/>
    <x v="2"/>
    <x v="2"/>
    <x v="1"/>
    <x v="2"/>
    <x v="20"/>
    <x v="134"/>
    <x v="784"/>
    <x v="0"/>
    <s v="CLAYTON"/>
    <x v="1"/>
  </r>
  <r>
    <x v="49"/>
    <x v="297"/>
    <x v="6"/>
    <x v="6"/>
    <x v="1"/>
    <x v="2"/>
    <x v="25"/>
    <x v="313"/>
    <x v="814"/>
    <x v="0"/>
    <s v="CLAYTON"/>
    <x v="1"/>
  </r>
  <r>
    <x v="49"/>
    <x v="324"/>
    <x v="6"/>
    <x v="6"/>
    <x v="1"/>
    <x v="2"/>
    <x v="20"/>
    <x v="134"/>
    <x v="2701"/>
    <x v="0"/>
    <s v="CLAYTON"/>
    <x v="1"/>
  </r>
  <r>
    <x v="50"/>
    <x v="243"/>
    <x v="10"/>
    <x v="10"/>
    <x v="1"/>
    <x v="2"/>
    <x v="20"/>
    <x v="135"/>
    <x v="744"/>
    <x v="0"/>
    <s v="MARBELLA"/>
    <x v="1"/>
  </r>
  <r>
    <x v="50"/>
    <x v="316"/>
    <x v="2"/>
    <x v="2"/>
    <x v="1"/>
    <x v="2"/>
    <x v="20"/>
    <x v="135"/>
    <x v="744"/>
    <x v="0"/>
    <s v="MARBELLA"/>
    <x v="1"/>
  </r>
  <r>
    <x v="50"/>
    <x v="246"/>
    <x v="2"/>
    <x v="2"/>
    <x v="1"/>
    <x v="2"/>
    <x v="20"/>
    <x v="135"/>
    <x v="744"/>
    <x v="0"/>
    <s v="MARBELLA"/>
    <x v="1"/>
  </r>
  <r>
    <x v="51"/>
    <x v="254"/>
    <x v="8"/>
    <x v="8"/>
    <x v="1"/>
    <x v="2"/>
    <x v="20"/>
    <x v="136"/>
    <x v="1140"/>
    <x v="0"/>
    <s v="PLAZA CAROLINA"/>
    <x v="1"/>
  </r>
  <r>
    <x v="51"/>
    <x v="261"/>
    <x v="8"/>
    <x v="8"/>
    <x v="1"/>
    <x v="2"/>
    <x v="20"/>
    <x v="136"/>
    <x v="748"/>
    <x v="0"/>
    <s v="PLAZA CAROLINA"/>
    <x v="1"/>
  </r>
  <r>
    <x v="51"/>
    <x v="323"/>
    <x v="8"/>
    <x v="8"/>
    <x v="1"/>
    <x v="2"/>
    <x v="20"/>
    <x v="136"/>
    <x v="842"/>
    <x v="0"/>
    <s v="PLAZA CAROLINA"/>
    <x v="1"/>
  </r>
  <r>
    <x v="51"/>
    <x v="207"/>
    <x v="8"/>
    <x v="8"/>
    <x v="1"/>
    <x v="2"/>
    <x v="20"/>
    <x v="136"/>
    <x v="842"/>
    <x v="0"/>
    <s v="PLAZA CAROLINA"/>
    <x v="1"/>
  </r>
  <r>
    <x v="51"/>
    <x v="221"/>
    <x v="2"/>
    <x v="2"/>
    <x v="1"/>
    <x v="2"/>
    <x v="20"/>
    <x v="136"/>
    <x v="751"/>
    <x v="0"/>
    <s v="PLAZA CAROLINA"/>
    <x v="1"/>
  </r>
  <r>
    <x v="51"/>
    <x v="270"/>
    <x v="2"/>
    <x v="2"/>
    <x v="1"/>
    <x v="2"/>
    <x v="20"/>
    <x v="136"/>
    <x v="739"/>
    <x v="0"/>
    <s v="PLAZA CAROLINA"/>
    <x v="1"/>
  </r>
  <r>
    <x v="51"/>
    <x v="188"/>
    <x v="6"/>
    <x v="6"/>
    <x v="1"/>
    <x v="2"/>
    <x v="20"/>
    <x v="136"/>
    <x v="842"/>
    <x v="0"/>
    <s v="PLAZA CAROLINA"/>
    <x v="1"/>
  </r>
  <r>
    <x v="52"/>
    <x v="206"/>
    <x v="7"/>
    <x v="7"/>
    <x v="1"/>
    <x v="2"/>
    <x v="20"/>
    <x v="137"/>
    <x v="2750"/>
    <x v="0"/>
    <s v="PLAZA CORDOBA"/>
    <x v="1"/>
  </r>
  <r>
    <x v="52"/>
    <x v="237"/>
    <x v="7"/>
    <x v="7"/>
    <x v="1"/>
    <x v="2"/>
    <x v="20"/>
    <x v="137"/>
    <x v="742"/>
    <x v="0"/>
    <s v="PLAZA CORDOBA"/>
    <x v="1"/>
  </r>
  <r>
    <x v="52"/>
    <x v="326"/>
    <x v="8"/>
    <x v="8"/>
    <x v="1"/>
    <x v="2"/>
    <x v="20"/>
    <x v="137"/>
    <x v="737"/>
    <x v="0"/>
    <s v="PLAZA CORDOBA"/>
    <x v="1"/>
  </r>
  <r>
    <x v="52"/>
    <x v="244"/>
    <x v="10"/>
    <x v="10"/>
    <x v="1"/>
    <x v="2"/>
    <x v="20"/>
    <x v="137"/>
    <x v="742"/>
    <x v="0"/>
    <s v="PLAZA CORDOBA"/>
    <x v="1"/>
  </r>
  <r>
    <x v="52"/>
    <x v="234"/>
    <x v="11"/>
    <x v="11"/>
    <x v="1"/>
    <x v="2"/>
    <x v="20"/>
    <x v="137"/>
    <x v="748"/>
    <x v="0"/>
    <s v="PLAZA CORDOBA"/>
    <x v="1"/>
  </r>
  <r>
    <x v="53"/>
    <x v="261"/>
    <x v="8"/>
    <x v="8"/>
    <x v="1"/>
    <x v="2"/>
    <x v="20"/>
    <x v="364"/>
    <x v="745"/>
    <x v="0"/>
    <s v="VIA SIMON BOLIVAR"/>
    <x v="1"/>
  </r>
  <r>
    <x v="53"/>
    <x v="216"/>
    <x v="2"/>
    <x v="2"/>
    <x v="1"/>
    <x v="2"/>
    <x v="25"/>
    <x v="332"/>
    <x v="814"/>
    <x v="0"/>
    <s v="VIA SIMON BOLIVAR"/>
    <x v="1"/>
  </r>
  <r>
    <x v="53"/>
    <x v="296"/>
    <x v="6"/>
    <x v="6"/>
    <x v="1"/>
    <x v="2"/>
    <x v="25"/>
    <x v="312"/>
    <x v="814"/>
    <x v="0"/>
    <s v="VIA SIMON BOLIVAR"/>
    <x v="1"/>
  </r>
  <r>
    <x v="53"/>
    <x v="310"/>
    <x v="10"/>
    <x v="10"/>
    <x v="1"/>
    <x v="0"/>
    <x v="25"/>
    <x v="335"/>
    <x v="828"/>
    <x v="0"/>
    <s v="VIA SIMON BOLIVAR"/>
    <x v="1"/>
  </r>
  <r>
    <x v="54"/>
    <x v="327"/>
    <x v="7"/>
    <x v="7"/>
    <x v="1"/>
    <x v="2"/>
    <x v="20"/>
    <x v="138"/>
    <x v="1293"/>
    <x v="0"/>
    <s v="JUSTO AROSEMENA"/>
    <x v="1"/>
  </r>
  <r>
    <x v="54"/>
    <x v="288"/>
    <x v="7"/>
    <x v="7"/>
    <x v="1"/>
    <x v="2"/>
    <x v="20"/>
    <x v="138"/>
    <x v="737"/>
    <x v="0"/>
    <s v="JUSTO AROSEMENA"/>
    <x v="1"/>
  </r>
  <r>
    <x v="54"/>
    <x v="260"/>
    <x v="7"/>
    <x v="7"/>
    <x v="1"/>
    <x v="2"/>
    <x v="20"/>
    <x v="138"/>
    <x v="742"/>
    <x v="0"/>
    <s v="JUSTO AROSEMENA"/>
    <x v="1"/>
  </r>
  <r>
    <x v="54"/>
    <x v="207"/>
    <x v="8"/>
    <x v="8"/>
    <x v="1"/>
    <x v="2"/>
    <x v="20"/>
    <x v="138"/>
    <x v="813"/>
    <x v="0"/>
    <s v="JUSTO AROSEMENA"/>
    <x v="1"/>
  </r>
  <r>
    <x v="54"/>
    <x v="194"/>
    <x v="9"/>
    <x v="9"/>
    <x v="1"/>
    <x v="2"/>
    <x v="20"/>
    <x v="138"/>
    <x v="742"/>
    <x v="0"/>
    <s v="JUSTO AROSEMENA"/>
    <x v="1"/>
  </r>
  <r>
    <x v="54"/>
    <x v="290"/>
    <x v="9"/>
    <x v="9"/>
    <x v="1"/>
    <x v="2"/>
    <x v="20"/>
    <x v="138"/>
    <x v="742"/>
    <x v="0"/>
    <s v="JUSTO AROSEMENA"/>
    <x v="1"/>
  </r>
  <r>
    <x v="54"/>
    <x v="262"/>
    <x v="9"/>
    <x v="9"/>
    <x v="1"/>
    <x v="2"/>
    <x v="60"/>
    <x v="365"/>
    <x v="813"/>
    <x v="0"/>
    <s v="JUSTO AROSEMENA"/>
    <x v="1"/>
  </r>
  <r>
    <x v="54"/>
    <x v="232"/>
    <x v="10"/>
    <x v="10"/>
    <x v="1"/>
    <x v="2"/>
    <x v="25"/>
    <x v="290"/>
    <x v="735"/>
    <x v="0"/>
    <s v="JUSTO AROSEMENA"/>
    <x v="1"/>
  </r>
  <r>
    <x v="54"/>
    <x v="174"/>
    <x v="6"/>
    <x v="6"/>
    <x v="1"/>
    <x v="2"/>
    <x v="20"/>
    <x v="138"/>
    <x v="813"/>
    <x v="0"/>
    <s v="JUSTO AROSEMENA"/>
    <x v="1"/>
  </r>
  <r>
    <x v="55"/>
    <x v="328"/>
    <x v="7"/>
    <x v="7"/>
    <x v="1"/>
    <x v="20"/>
    <x v="26"/>
    <x v="366"/>
    <x v="2751"/>
    <x v="0"/>
    <s v="NEGOCIOS"/>
    <x v="1"/>
  </r>
  <r>
    <x v="55"/>
    <x v="323"/>
    <x v="8"/>
    <x v="8"/>
    <x v="1"/>
    <x v="20"/>
    <x v="26"/>
    <x v="367"/>
    <x v="881"/>
    <x v="0"/>
    <s v="NEGOCIOS"/>
    <x v="1"/>
  </r>
  <r>
    <x v="55"/>
    <x v="262"/>
    <x v="9"/>
    <x v="9"/>
    <x v="1"/>
    <x v="20"/>
    <x v="26"/>
    <x v="368"/>
    <x v="2752"/>
    <x v="0"/>
    <s v="NEGOCIOS"/>
    <x v="1"/>
  </r>
  <r>
    <x v="55"/>
    <x v="219"/>
    <x v="9"/>
    <x v="9"/>
    <x v="1"/>
    <x v="20"/>
    <x v="25"/>
    <x v="308"/>
    <x v="2753"/>
    <x v="0"/>
    <s v="NEGOCIOS"/>
    <x v="1"/>
  </r>
  <r>
    <x v="55"/>
    <x v="255"/>
    <x v="9"/>
    <x v="9"/>
    <x v="1"/>
    <x v="20"/>
    <x v="25"/>
    <x v="293"/>
    <x v="2754"/>
    <x v="0"/>
    <s v="NEGOCIOS"/>
    <x v="1"/>
  </r>
  <r>
    <x v="55"/>
    <x v="248"/>
    <x v="10"/>
    <x v="10"/>
    <x v="1"/>
    <x v="20"/>
    <x v="25"/>
    <x v="304"/>
    <x v="2755"/>
    <x v="0"/>
    <s v="NEGOCIOS"/>
    <x v="1"/>
  </r>
  <r>
    <x v="55"/>
    <x v="200"/>
    <x v="11"/>
    <x v="11"/>
    <x v="1"/>
    <x v="20"/>
    <x v="26"/>
    <x v="351"/>
    <x v="789"/>
    <x v="0"/>
    <s v="NEGOCIOS"/>
    <x v="1"/>
  </r>
  <r>
    <x v="55"/>
    <x v="299"/>
    <x v="11"/>
    <x v="11"/>
    <x v="1"/>
    <x v="20"/>
    <x v="26"/>
    <x v="315"/>
    <x v="1"/>
    <x v="236"/>
    <s v="NEGOCIOS"/>
    <x v="1"/>
  </r>
  <r>
    <x v="55"/>
    <x v="193"/>
    <x v="11"/>
    <x v="11"/>
    <x v="1"/>
    <x v="20"/>
    <x v="26"/>
    <x v="369"/>
    <x v="1183"/>
    <x v="0"/>
    <s v="NEGOCIOS"/>
    <x v="1"/>
  </r>
  <r>
    <x v="55"/>
    <x v="316"/>
    <x v="2"/>
    <x v="2"/>
    <x v="1"/>
    <x v="20"/>
    <x v="26"/>
    <x v="348"/>
    <x v="2756"/>
    <x v="0"/>
    <s v="NEGOCIOS"/>
    <x v="1"/>
  </r>
  <r>
    <x v="55"/>
    <x v="266"/>
    <x v="6"/>
    <x v="6"/>
    <x v="1"/>
    <x v="20"/>
    <x v="26"/>
    <x v="370"/>
    <x v="2757"/>
    <x v="0"/>
    <s v="NEGOCIOS"/>
    <x v="1"/>
  </r>
  <r>
    <x v="55"/>
    <x v="236"/>
    <x v="6"/>
    <x v="6"/>
    <x v="1"/>
    <x v="20"/>
    <x v="26"/>
    <x v="371"/>
    <x v="879"/>
    <x v="0"/>
    <s v="NEGOCIOS"/>
    <x v="1"/>
  </r>
  <r>
    <x v="55"/>
    <x v="314"/>
    <x v="6"/>
    <x v="6"/>
    <x v="1"/>
    <x v="21"/>
    <x v="26"/>
    <x v="372"/>
    <x v="1225"/>
    <x v="0"/>
    <s v="NEGOCIOS"/>
    <x v="1"/>
  </r>
  <r>
    <x v="55"/>
    <x v="215"/>
    <x v="2"/>
    <x v="2"/>
    <x v="1"/>
    <x v="22"/>
    <x v="25"/>
    <x v="322"/>
    <x v="824"/>
    <x v="0"/>
    <s v="NEGOCIOS"/>
    <x v="1"/>
  </r>
  <r>
    <x v="55"/>
    <x v="316"/>
    <x v="2"/>
    <x v="2"/>
    <x v="1"/>
    <x v="22"/>
    <x v="26"/>
    <x v="348"/>
    <x v="2758"/>
    <x v="0"/>
    <s v="NEGOCIOS"/>
    <x v="1"/>
  </r>
  <r>
    <x v="55"/>
    <x v="328"/>
    <x v="7"/>
    <x v="7"/>
    <x v="1"/>
    <x v="23"/>
    <x v="26"/>
    <x v="366"/>
    <x v="2759"/>
    <x v="0"/>
    <s v="NEGOCIOS"/>
    <x v="1"/>
  </r>
  <r>
    <x v="55"/>
    <x v="323"/>
    <x v="8"/>
    <x v="8"/>
    <x v="1"/>
    <x v="23"/>
    <x v="26"/>
    <x v="367"/>
    <x v="2760"/>
    <x v="0"/>
    <s v="NEGOCIOS"/>
    <x v="1"/>
  </r>
  <r>
    <x v="55"/>
    <x v="293"/>
    <x v="9"/>
    <x v="9"/>
    <x v="1"/>
    <x v="23"/>
    <x v="21"/>
    <x v="337"/>
    <x v="2756"/>
    <x v="0"/>
    <s v="NEGOCIOS"/>
    <x v="1"/>
  </r>
  <r>
    <x v="55"/>
    <x v="262"/>
    <x v="9"/>
    <x v="9"/>
    <x v="1"/>
    <x v="23"/>
    <x v="26"/>
    <x v="368"/>
    <x v="2761"/>
    <x v="0"/>
    <s v="NEGOCIOS"/>
    <x v="1"/>
  </r>
  <r>
    <x v="55"/>
    <x v="199"/>
    <x v="10"/>
    <x v="10"/>
    <x v="1"/>
    <x v="23"/>
    <x v="26"/>
    <x v="298"/>
    <x v="2762"/>
    <x v="0"/>
    <s v="NEGOCIOS"/>
    <x v="1"/>
  </r>
  <r>
    <x v="55"/>
    <x v="299"/>
    <x v="11"/>
    <x v="11"/>
    <x v="1"/>
    <x v="23"/>
    <x v="26"/>
    <x v="315"/>
    <x v="1"/>
    <x v="584"/>
    <s v="NEGOCIOS"/>
    <x v="1"/>
  </r>
  <r>
    <x v="55"/>
    <x v="193"/>
    <x v="11"/>
    <x v="11"/>
    <x v="1"/>
    <x v="23"/>
    <x v="26"/>
    <x v="369"/>
    <x v="2763"/>
    <x v="0"/>
    <s v="NEGOCIOS"/>
    <x v="1"/>
  </r>
  <r>
    <x v="55"/>
    <x v="316"/>
    <x v="2"/>
    <x v="2"/>
    <x v="1"/>
    <x v="23"/>
    <x v="26"/>
    <x v="348"/>
    <x v="2764"/>
    <x v="0"/>
    <s v="NEGOCIOS"/>
    <x v="1"/>
  </r>
  <r>
    <x v="55"/>
    <x v="246"/>
    <x v="2"/>
    <x v="2"/>
    <x v="1"/>
    <x v="23"/>
    <x v="25"/>
    <x v="287"/>
    <x v="765"/>
    <x v="0"/>
    <s v="NEGOCIOS"/>
    <x v="1"/>
  </r>
  <r>
    <x v="55"/>
    <x v="266"/>
    <x v="6"/>
    <x v="6"/>
    <x v="1"/>
    <x v="23"/>
    <x v="26"/>
    <x v="370"/>
    <x v="2765"/>
    <x v="0"/>
    <s v="NEGOCIOS"/>
    <x v="1"/>
  </r>
  <r>
    <x v="55"/>
    <x v="259"/>
    <x v="7"/>
    <x v="7"/>
    <x v="1"/>
    <x v="3"/>
    <x v="25"/>
    <x v="355"/>
    <x v="816"/>
    <x v="0"/>
    <s v="NEGOCIOS"/>
    <x v="1"/>
  </r>
  <r>
    <x v="55"/>
    <x v="309"/>
    <x v="7"/>
    <x v="7"/>
    <x v="1"/>
    <x v="3"/>
    <x v="21"/>
    <x v="334"/>
    <x v="146"/>
    <x v="0"/>
    <s v="NEGOCIOS"/>
    <x v="1"/>
  </r>
  <r>
    <x v="55"/>
    <x v="206"/>
    <x v="7"/>
    <x v="7"/>
    <x v="1"/>
    <x v="3"/>
    <x v="21"/>
    <x v="284"/>
    <x v="911"/>
    <x v="0"/>
    <s v="NEGOCIOS"/>
    <x v="1"/>
  </r>
  <r>
    <x v="55"/>
    <x v="254"/>
    <x v="8"/>
    <x v="8"/>
    <x v="1"/>
    <x v="3"/>
    <x v="21"/>
    <x v="326"/>
    <x v="736"/>
    <x v="0"/>
    <s v="NEGOCIOS"/>
    <x v="1"/>
  </r>
  <r>
    <x v="55"/>
    <x v="195"/>
    <x v="8"/>
    <x v="8"/>
    <x v="1"/>
    <x v="3"/>
    <x v="21"/>
    <x v="373"/>
    <x v="736"/>
    <x v="0"/>
    <s v="NEGOCIOS"/>
    <x v="1"/>
  </r>
  <r>
    <x v="55"/>
    <x v="323"/>
    <x v="8"/>
    <x v="8"/>
    <x v="1"/>
    <x v="3"/>
    <x v="21"/>
    <x v="367"/>
    <x v="2766"/>
    <x v="0"/>
    <s v="NEGOCIOS"/>
    <x v="1"/>
  </r>
  <r>
    <x v="55"/>
    <x v="207"/>
    <x v="8"/>
    <x v="8"/>
    <x v="1"/>
    <x v="3"/>
    <x v="25"/>
    <x v="374"/>
    <x v="2767"/>
    <x v="0"/>
    <s v="NEGOCIOS"/>
    <x v="1"/>
  </r>
  <r>
    <x v="55"/>
    <x v="207"/>
    <x v="8"/>
    <x v="8"/>
    <x v="1"/>
    <x v="3"/>
    <x v="21"/>
    <x v="374"/>
    <x v="1132"/>
    <x v="0"/>
    <s v="NEGOCIOS"/>
    <x v="1"/>
  </r>
  <r>
    <x v="55"/>
    <x v="196"/>
    <x v="8"/>
    <x v="8"/>
    <x v="1"/>
    <x v="3"/>
    <x v="25"/>
    <x v="375"/>
    <x v="2768"/>
    <x v="0"/>
    <s v="NEGOCIOS"/>
    <x v="1"/>
  </r>
  <r>
    <x v="55"/>
    <x v="196"/>
    <x v="8"/>
    <x v="8"/>
    <x v="1"/>
    <x v="3"/>
    <x v="21"/>
    <x v="375"/>
    <x v="874"/>
    <x v="0"/>
    <s v="NEGOCIOS"/>
    <x v="1"/>
  </r>
  <r>
    <x v="55"/>
    <x v="226"/>
    <x v="8"/>
    <x v="8"/>
    <x v="1"/>
    <x v="3"/>
    <x v="26"/>
    <x v="376"/>
    <x v="1"/>
    <x v="585"/>
    <s v="NEGOCIOS"/>
    <x v="1"/>
  </r>
  <r>
    <x v="55"/>
    <x v="208"/>
    <x v="8"/>
    <x v="8"/>
    <x v="1"/>
    <x v="3"/>
    <x v="21"/>
    <x v="377"/>
    <x v="1999"/>
    <x v="0"/>
    <s v="NEGOCIOS"/>
    <x v="1"/>
  </r>
  <r>
    <x v="55"/>
    <x v="173"/>
    <x v="8"/>
    <x v="8"/>
    <x v="1"/>
    <x v="3"/>
    <x v="21"/>
    <x v="378"/>
    <x v="2769"/>
    <x v="0"/>
    <s v="NEGOCIOS"/>
    <x v="1"/>
  </r>
  <r>
    <x v="55"/>
    <x v="292"/>
    <x v="9"/>
    <x v="9"/>
    <x v="1"/>
    <x v="3"/>
    <x v="21"/>
    <x v="352"/>
    <x v="146"/>
    <x v="0"/>
    <s v="NEGOCIOS"/>
    <x v="1"/>
  </r>
  <r>
    <x v="55"/>
    <x v="293"/>
    <x v="9"/>
    <x v="9"/>
    <x v="1"/>
    <x v="3"/>
    <x v="25"/>
    <x v="337"/>
    <x v="905"/>
    <x v="0"/>
    <s v="NEGOCIOS"/>
    <x v="1"/>
  </r>
  <r>
    <x v="55"/>
    <x v="238"/>
    <x v="9"/>
    <x v="9"/>
    <x v="1"/>
    <x v="3"/>
    <x v="21"/>
    <x v="379"/>
    <x v="800"/>
    <x v="0"/>
    <s v="NEGOCIOS"/>
    <x v="1"/>
  </r>
  <r>
    <x v="55"/>
    <x v="262"/>
    <x v="9"/>
    <x v="9"/>
    <x v="1"/>
    <x v="3"/>
    <x v="21"/>
    <x v="368"/>
    <x v="782"/>
    <x v="0"/>
    <s v="NEGOCIOS"/>
    <x v="1"/>
  </r>
  <r>
    <x v="55"/>
    <x v="310"/>
    <x v="10"/>
    <x v="10"/>
    <x v="1"/>
    <x v="3"/>
    <x v="25"/>
    <x v="335"/>
    <x v="816"/>
    <x v="0"/>
    <s v="NEGOCIOS"/>
    <x v="1"/>
  </r>
  <r>
    <x v="55"/>
    <x v="329"/>
    <x v="10"/>
    <x v="10"/>
    <x v="1"/>
    <x v="3"/>
    <x v="25"/>
    <x v="380"/>
    <x v="2770"/>
    <x v="0"/>
    <s v="NEGOCIOS"/>
    <x v="1"/>
  </r>
  <r>
    <x v="55"/>
    <x v="233"/>
    <x v="10"/>
    <x v="10"/>
    <x v="1"/>
    <x v="3"/>
    <x v="25"/>
    <x v="344"/>
    <x v="934"/>
    <x v="0"/>
    <s v="NEGOCIOS"/>
    <x v="1"/>
  </r>
  <r>
    <x v="55"/>
    <x v="213"/>
    <x v="11"/>
    <x v="11"/>
    <x v="1"/>
    <x v="3"/>
    <x v="25"/>
    <x v="361"/>
    <x v="816"/>
    <x v="0"/>
    <s v="NEGOCIOS"/>
    <x v="1"/>
  </r>
  <r>
    <x v="55"/>
    <x v="193"/>
    <x v="11"/>
    <x v="11"/>
    <x v="1"/>
    <x v="3"/>
    <x v="25"/>
    <x v="369"/>
    <x v="2771"/>
    <x v="0"/>
    <s v="NEGOCIOS"/>
    <x v="1"/>
  </r>
  <r>
    <x v="55"/>
    <x v="256"/>
    <x v="11"/>
    <x v="11"/>
    <x v="1"/>
    <x v="3"/>
    <x v="26"/>
    <x v="294"/>
    <x v="1"/>
    <x v="178"/>
    <s v="NEGOCIOS"/>
    <x v="1"/>
  </r>
  <r>
    <x v="55"/>
    <x v="330"/>
    <x v="11"/>
    <x v="11"/>
    <x v="1"/>
    <x v="3"/>
    <x v="25"/>
    <x v="381"/>
    <x v="736"/>
    <x v="0"/>
    <s v="NEGOCIOS"/>
    <x v="1"/>
  </r>
  <r>
    <x v="55"/>
    <x v="181"/>
    <x v="11"/>
    <x v="11"/>
    <x v="1"/>
    <x v="3"/>
    <x v="25"/>
    <x v="362"/>
    <x v="736"/>
    <x v="0"/>
    <s v="NEGOCIOS"/>
    <x v="1"/>
  </r>
  <r>
    <x v="55"/>
    <x v="214"/>
    <x v="11"/>
    <x v="11"/>
    <x v="1"/>
    <x v="3"/>
    <x v="25"/>
    <x v="306"/>
    <x v="146"/>
    <x v="0"/>
    <s v="NEGOCIOS"/>
    <x v="1"/>
  </r>
  <r>
    <x v="55"/>
    <x v="294"/>
    <x v="11"/>
    <x v="11"/>
    <x v="1"/>
    <x v="3"/>
    <x v="21"/>
    <x v="382"/>
    <x v="911"/>
    <x v="0"/>
    <s v="NEGOCIOS"/>
    <x v="1"/>
  </r>
  <r>
    <x v="55"/>
    <x v="284"/>
    <x v="2"/>
    <x v="2"/>
    <x v="1"/>
    <x v="3"/>
    <x v="25"/>
    <x v="383"/>
    <x v="146"/>
    <x v="0"/>
    <s v="NEGOCIOS"/>
    <x v="1"/>
  </r>
  <r>
    <x v="55"/>
    <x v="222"/>
    <x v="2"/>
    <x v="2"/>
    <x v="1"/>
    <x v="3"/>
    <x v="25"/>
    <x v="384"/>
    <x v="911"/>
    <x v="0"/>
    <s v="NEGOCIOS"/>
    <x v="1"/>
  </r>
  <r>
    <x v="55"/>
    <x v="270"/>
    <x v="2"/>
    <x v="2"/>
    <x v="1"/>
    <x v="3"/>
    <x v="25"/>
    <x v="363"/>
    <x v="2772"/>
    <x v="0"/>
    <s v="NEGOCIOS"/>
    <x v="1"/>
  </r>
  <r>
    <x v="55"/>
    <x v="276"/>
    <x v="2"/>
    <x v="2"/>
    <x v="1"/>
    <x v="3"/>
    <x v="25"/>
    <x v="385"/>
    <x v="816"/>
    <x v="0"/>
    <s v="NEGOCIOS"/>
    <x v="1"/>
  </r>
  <r>
    <x v="55"/>
    <x v="183"/>
    <x v="2"/>
    <x v="2"/>
    <x v="1"/>
    <x v="3"/>
    <x v="25"/>
    <x v="330"/>
    <x v="1007"/>
    <x v="0"/>
    <s v="NEGOCIOS"/>
    <x v="1"/>
  </r>
  <r>
    <x v="55"/>
    <x v="246"/>
    <x v="2"/>
    <x v="2"/>
    <x v="1"/>
    <x v="3"/>
    <x v="25"/>
    <x v="287"/>
    <x v="816"/>
    <x v="0"/>
    <s v="NEGOCIOS"/>
    <x v="1"/>
  </r>
  <r>
    <x v="55"/>
    <x v="217"/>
    <x v="6"/>
    <x v="6"/>
    <x v="1"/>
    <x v="3"/>
    <x v="25"/>
    <x v="323"/>
    <x v="736"/>
    <x v="0"/>
    <s v="NEGOCIOS"/>
    <x v="1"/>
  </r>
  <r>
    <x v="55"/>
    <x v="265"/>
    <x v="6"/>
    <x v="6"/>
    <x v="1"/>
    <x v="3"/>
    <x v="25"/>
    <x v="386"/>
    <x v="911"/>
    <x v="0"/>
    <s v="NEGOCIOS"/>
    <x v="1"/>
  </r>
  <r>
    <x v="55"/>
    <x v="266"/>
    <x v="6"/>
    <x v="6"/>
    <x v="1"/>
    <x v="3"/>
    <x v="25"/>
    <x v="370"/>
    <x v="816"/>
    <x v="0"/>
    <s v="NEGOCIOS"/>
    <x v="1"/>
  </r>
  <r>
    <x v="55"/>
    <x v="191"/>
    <x v="6"/>
    <x v="6"/>
    <x v="1"/>
    <x v="3"/>
    <x v="25"/>
    <x v="318"/>
    <x v="900"/>
    <x v="0"/>
    <s v="NEGOCIOS"/>
    <x v="1"/>
  </r>
  <r>
    <x v="55"/>
    <x v="251"/>
    <x v="8"/>
    <x v="8"/>
    <x v="1"/>
    <x v="24"/>
    <x v="21"/>
    <x v="291"/>
    <x v="735"/>
    <x v="0"/>
    <s v="NEGOCIOS"/>
    <x v="1"/>
  </r>
  <r>
    <x v="55"/>
    <x v="327"/>
    <x v="7"/>
    <x v="7"/>
    <x v="1"/>
    <x v="4"/>
    <x v="21"/>
    <x v="387"/>
    <x v="146"/>
    <x v="0"/>
    <s v="NEGOCIOS"/>
    <x v="1"/>
  </r>
  <r>
    <x v="55"/>
    <x v="206"/>
    <x v="7"/>
    <x v="7"/>
    <x v="1"/>
    <x v="4"/>
    <x v="21"/>
    <x v="284"/>
    <x v="814"/>
    <x v="0"/>
    <s v="NEGOCIOS"/>
    <x v="1"/>
  </r>
  <r>
    <x v="55"/>
    <x v="254"/>
    <x v="8"/>
    <x v="8"/>
    <x v="1"/>
    <x v="4"/>
    <x v="21"/>
    <x v="326"/>
    <x v="874"/>
    <x v="0"/>
    <s v="NEGOCIOS"/>
    <x v="1"/>
  </r>
  <r>
    <x v="55"/>
    <x v="318"/>
    <x v="8"/>
    <x v="8"/>
    <x v="1"/>
    <x v="4"/>
    <x v="21"/>
    <x v="388"/>
    <x v="146"/>
    <x v="0"/>
    <s v="NEGOCIOS"/>
    <x v="1"/>
  </r>
  <r>
    <x v="55"/>
    <x v="196"/>
    <x v="8"/>
    <x v="8"/>
    <x v="1"/>
    <x v="4"/>
    <x v="21"/>
    <x v="375"/>
    <x v="1355"/>
    <x v="0"/>
    <s v="NEGOCIOS"/>
    <x v="1"/>
  </r>
  <r>
    <x v="55"/>
    <x v="291"/>
    <x v="9"/>
    <x v="9"/>
    <x v="1"/>
    <x v="4"/>
    <x v="25"/>
    <x v="303"/>
    <x v="1580"/>
    <x v="0"/>
    <s v="NEGOCIOS"/>
    <x v="1"/>
  </r>
  <r>
    <x v="55"/>
    <x v="268"/>
    <x v="10"/>
    <x v="10"/>
    <x v="1"/>
    <x v="4"/>
    <x v="25"/>
    <x v="339"/>
    <x v="2773"/>
    <x v="0"/>
    <s v="NEGOCIOS"/>
    <x v="1"/>
  </r>
  <r>
    <x v="55"/>
    <x v="220"/>
    <x v="11"/>
    <x v="11"/>
    <x v="1"/>
    <x v="4"/>
    <x v="26"/>
    <x v="309"/>
    <x v="2774"/>
    <x v="0"/>
    <s v="NEGOCIOS"/>
    <x v="1"/>
  </r>
  <r>
    <x v="55"/>
    <x v="193"/>
    <x v="11"/>
    <x v="11"/>
    <x v="1"/>
    <x v="4"/>
    <x v="25"/>
    <x v="369"/>
    <x v="146"/>
    <x v="0"/>
    <s v="NEGOCIOS"/>
    <x v="1"/>
  </r>
  <r>
    <x v="55"/>
    <x v="330"/>
    <x v="11"/>
    <x v="11"/>
    <x v="1"/>
    <x v="4"/>
    <x v="25"/>
    <x v="381"/>
    <x v="2775"/>
    <x v="0"/>
    <s v="NEGOCIOS"/>
    <x v="1"/>
  </r>
  <r>
    <x v="55"/>
    <x v="284"/>
    <x v="2"/>
    <x v="2"/>
    <x v="1"/>
    <x v="4"/>
    <x v="25"/>
    <x v="383"/>
    <x v="1010"/>
    <x v="0"/>
    <s v="NEGOCIOS"/>
    <x v="1"/>
  </r>
  <r>
    <x v="55"/>
    <x v="276"/>
    <x v="2"/>
    <x v="2"/>
    <x v="1"/>
    <x v="4"/>
    <x v="25"/>
    <x v="385"/>
    <x v="2776"/>
    <x v="0"/>
    <s v="NEGOCIOS"/>
    <x v="1"/>
  </r>
  <r>
    <x v="55"/>
    <x v="314"/>
    <x v="6"/>
    <x v="6"/>
    <x v="1"/>
    <x v="4"/>
    <x v="26"/>
    <x v="372"/>
    <x v="736"/>
    <x v="0"/>
    <s v="NEGOCIOS"/>
    <x v="1"/>
  </r>
  <r>
    <x v="55"/>
    <x v="266"/>
    <x v="6"/>
    <x v="6"/>
    <x v="1"/>
    <x v="4"/>
    <x v="26"/>
    <x v="370"/>
    <x v="2777"/>
    <x v="0"/>
    <s v="NEGOCIOS"/>
    <x v="1"/>
  </r>
  <r>
    <x v="55"/>
    <x v="308"/>
    <x v="7"/>
    <x v="7"/>
    <x v="1"/>
    <x v="5"/>
    <x v="21"/>
    <x v="333"/>
    <x v="2778"/>
    <x v="0"/>
    <s v="NEGOCIOS"/>
    <x v="1"/>
  </r>
  <r>
    <x v="55"/>
    <x v="258"/>
    <x v="7"/>
    <x v="7"/>
    <x v="1"/>
    <x v="5"/>
    <x v="21"/>
    <x v="349"/>
    <x v="2779"/>
    <x v="0"/>
    <s v="NEGOCIOS"/>
    <x v="1"/>
  </r>
  <r>
    <x v="55"/>
    <x v="192"/>
    <x v="8"/>
    <x v="8"/>
    <x v="1"/>
    <x v="5"/>
    <x v="25"/>
    <x v="300"/>
    <x v="2780"/>
    <x v="0"/>
    <s v="NEGOCIOS"/>
    <x v="1"/>
  </r>
  <r>
    <x v="55"/>
    <x v="175"/>
    <x v="9"/>
    <x v="9"/>
    <x v="1"/>
    <x v="5"/>
    <x v="26"/>
    <x v="389"/>
    <x v="2781"/>
    <x v="0"/>
    <s v="NEGOCIOS"/>
    <x v="1"/>
  </r>
  <r>
    <x v="55"/>
    <x v="194"/>
    <x v="9"/>
    <x v="9"/>
    <x v="1"/>
    <x v="5"/>
    <x v="21"/>
    <x v="390"/>
    <x v="2782"/>
    <x v="0"/>
    <s v="NEGOCIOS"/>
    <x v="1"/>
  </r>
  <r>
    <x v="55"/>
    <x v="211"/>
    <x v="9"/>
    <x v="9"/>
    <x v="1"/>
    <x v="5"/>
    <x v="25"/>
    <x v="286"/>
    <x v="2783"/>
    <x v="0"/>
    <s v="NEGOCIOS"/>
    <x v="1"/>
  </r>
  <r>
    <x v="55"/>
    <x v="331"/>
    <x v="9"/>
    <x v="9"/>
    <x v="1"/>
    <x v="5"/>
    <x v="25"/>
    <x v="391"/>
    <x v="2784"/>
    <x v="0"/>
    <s v="NEGOCIOS"/>
    <x v="1"/>
  </r>
  <r>
    <x v="55"/>
    <x v="255"/>
    <x v="9"/>
    <x v="9"/>
    <x v="1"/>
    <x v="5"/>
    <x v="21"/>
    <x v="293"/>
    <x v="2785"/>
    <x v="0"/>
    <s v="NEGOCIOS"/>
    <x v="1"/>
  </r>
  <r>
    <x v="55"/>
    <x v="248"/>
    <x v="10"/>
    <x v="10"/>
    <x v="1"/>
    <x v="5"/>
    <x v="25"/>
    <x v="304"/>
    <x v="2786"/>
    <x v="0"/>
    <s v="NEGOCIOS"/>
    <x v="1"/>
  </r>
  <r>
    <x v="55"/>
    <x v="233"/>
    <x v="10"/>
    <x v="10"/>
    <x v="1"/>
    <x v="5"/>
    <x v="21"/>
    <x v="344"/>
    <x v="2787"/>
    <x v="0"/>
    <s v="NEGOCIOS"/>
    <x v="1"/>
  </r>
  <r>
    <x v="55"/>
    <x v="182"/>
    <x v="2"/>
    <x v="2"/>
    <x v="1"/>
    <x v="5"/>
    <x v="26"/>
    <x v="392"/>
    <x v="2788"/>
    <x v="0"/>
    <s v="NEGOCIOS"/>
    <x v="1"/>
  </r>
  <r>
    <x v="55"/>
    <x v="295"/>
    <x v="2"/>
    <x v="2"/>
    <x v="1"/>
    <x v="5"/>
    <x v="25"/>
    <x v="310"/>
    <x v="2782"/>
    <x v="0"/>
    <s v="NEGOCIOS"/>
    <x v="1"/>
  </r>
  <r>
    <x v="55"/>
    <x v="235"/>
    <x v="2"/>
    <x v="2"/>
    <x v="1"/>
    <x v="5"/>
    <x v="25"/>
    <x v="393"/>
    <x v="2789"/>
    <x v="0"/>
    <s v="NEGOCIOS"/>
    <x v="1"/>
  </r>
  <r>
    <x v="55"/>
    <x v="246"/>
    <x v="2"/>
    <x v="2"/>
    <x v="1"/>
    <x v="5"/>
    <x v="25"/>
    <x v="287"/>
    <x v="2790"/>
    <x v="0"/>
    <s v="NEGOCIOS"/>
    <x v="1"/>
  </r>
  <r>
    <x v="55"/>
    <x v="312"/>
    <x v="2"/>
    <x v="2"/>
    <x v="1"/>
    <x v="5"/>
    <x v="26"/>
    <x v="394"/>
    <x v="1"/>
    <x v="586"/>
    <s v="NEGOCIOS"/>
    <x v="1"/>
  </r>
  <r>
    <x v="55"/>
    <x v="281"/>
    <x v="6"/>
    <x v="6"/>
    <x v="1"/>
    <x v="5"/>
    <x v="26"/>
    <x v="395"/>
    <x v="2791"/>
    <x v="0"/>
    <s v="NEGOCIOS"/>
    <x v="1"/>
  </r>
  <r>
    <x v="55"/>
    <x v="277"/>
    <x v="7"/>
    <x v="7"/>
    <x v="1"/>
    <x v="6"/>
    <x v="25"/>
    <x v="325"/>
    <x v="925"/>
    <x v="0"/>
    <s v="NEGOCIOS"/>
    <x v="1"/>
  </r>
  <r>
    <x v="55"/>
    <x v="259"/>
    <x v="7"/>
    <x v="7"/>
    <x v="1"/>
    <x v="6"/>
    <x v="21"/>
    <x v="355"/>
    <x v="966"/>
    <x v="0"/>
    <s v="NEGOCIOS"/>
    <x v="1"/>
  </r>
  <r>
    <x v="55"/>
    <x v="252"/>
    <x v="7"/>
    <x v="7"/>
    <x v="1"/>
    <x v="6"/>
    <x v="21"/>
    <x v="396"/>
    <x v="759"/>
    <x v="0"/>
    <s v="NEGOCIOS"/>
    <x v="1"/>
  </r>
  <r>
    <x v="55"/>
    <x v="332"/>
    <x v="7"/>
    <x v="7"/>
    <x v="1"/>
    <x v="6"/>
    <x v="21"/>
    <x v="397"/>
    <x v="907"/>
    <x v="0"/>
    <s v="NEGOCIOS"/>
    <x v="1"/>
  </r>
  <r>
    <x v="55"/>
    <x v="192"/>
    <x v="8"/>
    <x v="8"/>
    <x v="1"/>
    <x v="6"/>
    <x v="25"/>
    <x v="300"/>
    <x v="925"/>
    <x v="0"/>
    <s v="NEGOCIOS"/>
    <x v="1"/>
  </r>
  <r>
    <x v="55"/>
    <x v="320"/>
    <x v="8"/>
    <x v="8"/>
    <x v="1"/>
    <x v="6"/>
    <x v="25"/>
    <x v="398"/>
    <x v="2792"/>
    <x v="0"/>
    <s v="NEGOCIOS"/>
    <x v="1"/>
  </r>
  <r>
    <x v="55"/>
    <x v="207"/>
    <x v="8"/>
    <x v="8"/>
    <x v="1"/>
    <x v="6"/>
    <x v="26"/>
    <x v="374"/>
    <x v="2793"/>
    <x v="0"/>
    <s v="NEGOCIOS"/>
    <x v="1"/>
  </r>
  <r>
    <x v="55"/>
    <x v="196"/>
    <x v="8"/>
    <x v="8"/>
    <x v="1"/>
    <x v="6"/>
    <x v="21"/>
    <x v="375"/>
    <x v="1165"/>
    <x v="0"/>
    <s v="NEGOCIOS"/>
    <x v="1"/>
  </r>
  <r>
    <x v="55"/>
    <x v="208"/>
    <x v="8"/>
    <x v="8"/>
    <x v="1"/>
    <x v="6"/>
    <x v="25"/>
    <x v="377"/>
    <x v="953"/>
    <x v="0"/>
    <s v="NEGOCIOS"/>
    <x v="1"/>
  </r>
  <r>
    <x v="55"/>
    <x v="319"/>
    <x v="8"/>
    <x v="8"/>
    <x v="1"/>
    <x v="6"/>
    <x v="21"/>
    <x v="350"/>
    <x v="2794"/>
    <x v="0"/>
    <s v="NEGOCIOS"/>
    <x v="1"/>
  </r>
  <r>
    <x v="55"/>
    <x v="319"/>
    <x v="8"/>
    <x v="8"/>
    <x v="1"/>
    <x v="6"/>
    <x v="26"/>
    <x v="350"/>
    <x v="2795"/>
    <x v="0"/>
    <s v="NEGOCIOS"/>
    <x v="1"/>
  </r>
  <r>
    <x v="55"/>
    <x v="306"/>
    <x v="9"/>
    <x v="9"/>
    <x v="1"/>
    <x v="6"/>
    <x v="25"/>
    <x v="336"/>
    <x v="925"/>
    <x v="0"/>
    <s v="NEGOCIOS"/>
    <x v="1"/>
  </r>
  <r>
    <x v="55"/>
    <x v="227"/>
    <x v="9"/>
    <x v="9"/>
    <x v="1"/>
    <x v="6"/>
    <x v="21"/>
    <x v="399"/>
    <x v="2796"/>
    <x v="0"/>
    <s v="NEGOCIOS"/>
    <x v="1"/>
  </r>
  <r>
    <x v="55"/>
    <x v="238"/>
    <x v="9"/>
    <x v="9"/>
    <x v="1"/>
    <x v="6"/>
    <x v="21"/>
    <x v="379"/>
    <x v="843"/>
    <x v="0"/>
    <s v="NEGOCIOS"/>
    <x v="1"/>
  </r>
  <r>
    <x v="55"/>
    <x v="333"/>
    <x v="9"/>
    <x v="9"/>
    <x v="1"/>
    <x v="6"/>
    <x v="21"/>
    <x v="400"/>
    <x v="1931"/>
    <x v="0"/>
    <s v="NEGOCIOS"/>
    <x v="1"/>
  </r>
  <r>
    <x v="55"/>
    <x v="211"/>
    <x v="9"/>
    <x v="9"/>
    <x v="1"/>
    <x v="6"/>
    <x v="25"/>
    <x v="286"/>
    <x v="2797"/>
    <x v="0"/>
    <s v="NEGOCIOS"/>
    <x v="1"/>
  </r>
  <r>
    <x v="55"/>
    <x v="331"/>
    <x v="9"/>
    <x v="9"/>
    <x v="1"/>
    <x v="6"/>
    <x v="25"/>
    <x v="391"/>
    <x v="2798"/>
    <x v="0"/>
    <s v="NEGOCIOS"/>
    <x v="1"/>
  </r>
  <r>
    <x v="55"/>
    <x v="331"/>
    <x v="9"/>
    <x v="9"/>
    <x v="1"/>
    <x v="6"/>
    <x v="26"/>
    <x v="391"/>
    <x v="2799"/>
    <x v="0"/>
    <s v="NEGOCIOS"/>
    <x v="1"/>
  </r>
  <r>
    <x v="55"/>
    <x v="255"/>
    <x v="9"/>
    <x v="9"/>
    <x v="1"/>
    <x v="6"/>
    <x v="25"/>
    <x v="293"/>
    <x v="2800"/>
    <x v="0"/>
    <s v="NEGOCIOS"/>
    <x v="1"/>
  </r>
  <r>
    <x v="55"/>
    <x v="255"/>
    <x v="9"/>
    <x v="9"/>
    <x v="1"/>
    <x v="6"/>
    <x v="21"/>
    <x v="293"/>
    <x v="1024"/>
    <x v="0"/>
    <s v="NEGOCIOS"/>
    <x v="1"/>
  </r>
  <r>
    <x v="55"/>
    <x v="230"/>
    <x v="9"/>
    <x v="9"/>
    <x v="1"/>
    <x v="6"/>
    <x v="25"/>
    <x v="283"/>
    <x v="1220"/>
    <x v="0"/>
    <s v="NEGOCIOS"/>
    <x v="1"/>
  </r>
  <r>
    <x v="55"/>
    <x v="286"/>
    <x v="10"/>
    <x v="10"/>
    <x v="1"/>
    <x v="6"/>
    <x v="25"/>
    <x v="297"/>
    <x v="925"/>
    <x v="0"/>
    <s v="NEGOCIOS"/>
    <x v="1"/>
  </r>
  <r>
    <x v="55"/>
    <x v="310"/>
    <x v="10"/>
    <x v="10"/>
    <x v="1"/>
    <x v="6"/>
    <x v="26"/>
    <x v="335"/>
    <x v="852"/>
    <x v="0"/>
    <s v="NEGOCIOS"/>
    <x v="1"/>
  </r>
  <r>
    <x v="55"/>
    <x v="317"/>
    <x v="10"/>
    <x v="10"/>
    <x v="1"/>
    <x v="6"/>
    <x v="25"/>
    <x v="401"/>
    <x v="2801"/>
    <x v="0"/>
    <s v="NEGOCIOS"/>
    <x v="1"/>
  </r>
  <r>
    <x v="55"/>
    <x v="231"/>
    <x v="10"/>
    <x v="10"/>
    <x v="1"/>
    <x v="6"/>
    <x v="21"/>
    <x v="402"/>
    <x v="2802"/>
    <x v="0"/>
    <s v="NEGOCIOS"/>
    <x v="1"/>
  </r>
  <r>
    <x v="55"/>
    <x v="248"/>
    <x v="10"/>
    <x v="10"/>
    <x v="1"/>
    <x v="6"/>
    <x v="25"/>
    <x v="304"/>
    <x v="2803"/>
    <x v="0"/>
    <s v="NEGOCIOS"/>
    <x v="1"/>
  </r>
  <r>
    <x v="55"/>
    <x v="199"/>
    <x v="10"/>
    <x v="10"/>
    <x v="1"/>
    <x v="6"/>
    <x v="25"/>
    <x v="298"/>
    <x v="848"/>
    <x v="0"/>
    <s v="NEGOCIOS"/>
    <x v="1"/>
  </r>
  <r>
    <x v="55"/>
    <x v="269"/>
    <x v="11"/>
    <x v="11"/>
    <x v="1"/>
    <x v="6"/>
    <x v="25"/>
    <x v="403"/>
    <x v="413"/>
    <x v="0"/>
    <s v="NEGOCIOS"/>
    <x v="1"/>
  </r>
  <r>
    <x v="55"/>
    <x v="200"/>
    <x v="11"/>
    <x v="11"/>
    <x v="1"/>
    <x v="6"/>
    <x v="25"/>
    <x v="351"/>
    <x v="2804"/>
    <x v="0"/>
    <s v="NEGOCIOS"/>
    <x v="1"/>
  </r>
  <r>
    <x v="55"/>
    <x v="193"/>
    <x v="11"/>
    <x v="11"/>
    <x v="1"/>
    <x v="6"/>
    <x v="25"/>
    <x v="369"/>
    <x v="146"/>
    <x v="0"/>
    <s v="NEGOCIOS"/>
    <x v="1"/>
  </r>
  <r>
    <x v="55"/>
    <x v="330"/>
    <x v="11"/>
    <x v="11"/>
    <x v="1"/>
    <x v="6"/>
    <x v="25"/>
    <x v="381"/>
    <x v="2805"/>
    <x v="0"/>
    <s v="NEGOCIOS"/>
    <x v="1"/>
  </r>
  <r>
    <x v="55"/>
    <x v="214"/>
    <x v="11"/>
    <x v="11"/>
    <x v="1"/>
    <x v="6"/>
    <x v="25"/>
    <x v="306"/>
    <x v="2806"/>
    <x v="0"/>
    <s v="NEGOCIOS"/>
    <x v="1"/>
  </r>
  <r>
    <x v="55"/>
    <x v="274"/>
    <x v="11"/>
    <x v="11"/>
    <x v="1"/>
    <x v="6"/>
    <x v="25"/>
    <x v="404"/>
    <x v="761"/>
    <x v="0"/>
    <s v="NEGOCIOS"/>
    <x v="1"/>
  </r>
  <r>
    <x v="55"/>
    <x v="315"/>
    <x v="2"/>
    <x v="2"/>
    <x v="1"/>
    <x v="6"/>
    <x v="25"/>
    <x v="405"/>
    <x v="810"/>
    <x v="0"/>
    <s v="NEGOCIOS"/>
    <x v="1"/>
  </r>
  <r>
    <x v="55"/>
    <x v="334"/>
    <x v="2"/>
    <x v="2"/>
    <x v="1"/>
    <x v="6"/>
    <x v="26"/>
    <x v="406"/>
    <x v="2807"/>
    <x v="0"/>
    <s v="NEGOCIOS"/>
    <x v="1"/>
  </r>
  <r>
    <x v="55"/>
    <x v="222"/>
    <x v="2"/>
    <x v="2"/>
    <x v="1"/>
    <x v="6"/>
    <x v="25"/>
    <x v="384"/>
    <x v="891"/>
    <x v="0"/>
    <s v="NEGOCIOS"/>
    <x v="1"/>
  </r>
  <r>
    <x v="55"/>
    <x v="182"/>
    <x v="2"/>
    <x v="2"/>
    <x v="1"/>
    <x v="6"/>
    <x v="25"/>
    <x v="392"/>
    <x v="2808"/>
    <x v="0"/>
    <s v="NEGOCIOS"/>
    <x v="1"/>
  </r>
  <r>
    <x v="55"/>
    <x v="270"/>
    <x v="2"/>
    <x v="2"/>
    <x v="1"/>
    <x v="6"/>
    <x v="25"/>
    <x v="363"/>
    <x v="772"/>
    <x v="0"/>
    <s v="NEGOCIOS"/>
    <x v="1"/>
  </r>
  <r>
    <x v="55"/>
    <x v="276"/>
    <x v="2"/>
    <x v="2"/>
    <x v="1"/>
    <x v="6"/>
    <x v="25"/>
    <x v="385"/>
    <x v="899"/>
    <x v="0"/>
    <s v="NEGOCIOS"/>
    <x v="1"/>
  </r>
  <r>
    <x v="55"/>
    <x v="276"/>
    <x v="2"/>
    <x v="2"/>
    <x v="1"/>
    <x v="6"/>
    <x v="21"/>
    <x v="385"/>
    <x v="1024"/>
    <x v="0"/>
    <s v="NEGOCIOS"/>
    <x v="1"/>
  </r>
  <r>
    <x v="55"/>
    <x v="304"/>
    <x v="2"/>
    <x v="2"/>
    <x v="1"/>
    <x v="6"/>
    <x v="25"/>
    <x v="329"/>
    <x v="782"/>
    <x v="0"/>
    <s v="NEGOCIOS"/>
    <x v="1"/>
  </r>
  <r>
    <x v="55"/>
    <x v="183"/>
    <x v="2"/>
    <x v="2"/>
    <x v="1"/>
    <x v="6"/>
    <x v="25"/>
    <x v="330"/>
    <x v="2809"/>
    <x v="0"/>
    <s v="NEGOCIOS"/>
    <x v="1"/>
  </r>
  <r>
    <x v="55"/>
    <x v="246"/>
    <x v="2"/>
    <x v="2"/>
    <x v="1"/>
    <x v="6"/>
    <x v="25"/>
    <x v="287"/>
    <x v="840"/>
    <x v="0"/>
    <s v="NEGOCIOS"/>
    <x v="1"/>
  </r>
  <r>
    <x v="55"/>
    <x v="264"/>
    <x v="6"/>
    <x v="6"/>
    <x v="1"/>
    <x v="6"/>
    <x v="25"/>
    <x v="311"/>
    <x v="1849"/>
    <x v="0"/>
    <s v="NEGOCIOS"/>
    <x v="1"/>
  </r>
  <r>
    <x v="55"/>
    <x v="265"/>
    <x v="6"/>
    <x v="6"/>
    <x v="1"/>
    <x v="6"/>
    <x v="25"/>
    <x v="386"/>
    <x v="824"/>
    <x v="0"/>
    <s v="NEGOCIOS"/>
    <x v="1"/>
  </r>
  <r>
    <x v="55"/>
    <x v="305"/>
    <x v="6"/>
    <x v="6"/>
    <x v="1"/>
    <x v="6"/>
    <x v="21"/>
    <x v="331"/>
    <x v="2810"/>
    <x v="0"/>
    <s v="NEGOCIOS"/>
    <x v="1"/>
  </r>
  <r>
    <x v="55"/>
    <x v="305"/>
    <x v="6"/>
    <x v="6"/>
    <x v="1"/>
    <x v="6"/>
    <x v="25"/>
    <x v="331"/>
    <x v="801"/>
    <x v="0"/>
    <s v="NEGOCIOS"/>
    <x v="1"/>
  </r>
  <r>
    <x v="55"/>
    <x v="236"/>
    <x v="6"/>
    <x v="6"/>
    <x v="1"/>
    <x v="6"/>
    <x v="26"/>
    <x v="371"/>
    <x v="2811"/>
    <x v="0"/>
    <s v="NEGOCIOS"/>
    <x v="1"/>
  </r>
  <r>
    <x v="55"/>
    <x v="236"/>
    <x v="6"/>
    <x v="6"/>
    <x v="1"/>
    <x v="6"/>
    <x v="25"/>
    <x v="371"/>
    <x v="899"/>
    <x v="0"/>
    <s v="NEGOCIOS"/>
    <x v="1"/>
  </r>
  <r>
    <x v="55"/>
    <x v="188"/>
    <x v="6"/>
    <x v="6"/>
    <x v="1"/>
    <x v="6"/>
    <x v="26"/>
    <x v="407"/>
    <x v="2812"/>
    <x v="0"/>
    <s v="NEGOCIOS"/>
    <x v="1"/>
  </r>
  <r>
    <x v="55"/>
    <x v="313"/>
    <x v="6"/>
    <x v="6"/>
    <x v="1"/>
    <x v="6"/>
    <x v="25"/>
    <x v="341"/>
    <x v="759"/>
    <x v="0"/>
    <s v="NEGOCIOS"/>
    <x v="1"/>
  </r>
  <r>
    <x v="55"/>
    <x v="335"/>
    <x v="6"/>
    <x v="6"/>
    <x v="1"/>
    <x v="6"/>
    <x v="25"/>
    <x v="408"/>
    <x v="1132"/>
    <x v="0"/>
    <s v="NEGOCIOS"/>
    <x v="1"/>
  </r>
  <r>
    <x v="55"/>
    <x v="174"/>
    <x v="6"/>
    <x v="6"/>
    <x v="1"/>
    <x v="6"/>
    <x v="25"/>
    <x v="282"/>
    <x v="2813"/>
    <x v="0"/>
    <s v="NEGOCIOS"/>
    <x v="1"/>
  </r>
  <r>
    <x v="55"/>
    <x v="229"/>
    <x v="6"/>
    <x v="6"/>
    <x v="1"/>
    <x v="6"/>
    <x v="25"/>
    <x v="281"/>
    <x v="1021"/>
    <x v="0"/>
    <s v="NEGOCIOS"/>
    <x v="1"/>
  </r>
  <r>
    <x v="55"/>
    <x v="190"/>
    <x v="6"/>
    <x v="6"/>
    <x v="1"/>
    <x v="6"/>
    <x v="26"/>
    <x v="342"/>
    <x v="1"/>
    <x v="355"/>
    <s v="NEGOCIOS"/>
    <x v="1"/>
  </r>
  <r>
    <x v="55"/>
    <x v="191"/>
    <x v="6"/>
    <x v="6"/>
    <x v="1"/>
    <x v="6"/>
    <x v="25"/>
    <x v="318"/>
    <x v="765"/>
    <x v="0"/>
    <s v="NEGOCIOS"/>
    <x v="1"/>
  </r>
  <r>
    <x v="55"/>
    <x v="200"/>
    <x v="11"/>
    <x v="11"/>
    <x v="1"/>
    <x v="2"/>
    <x v="21"/>
    <x v="351"/>
    <x v="846"/>
    <x v="0"/>
    <s v="NEGOCIOS"/>
    <x v="1"/>
  </r>
  <r>
    <x v="55"/>
    <x v="216"/>
    <x v="2"/>
    <x v="2"/>
    <x v="1"/>
    <x v="2"/>
    <x v="25"/>
    <x v="332"/>
    <x v="187"/>
    <x v="0"/>
    <s v="NEGOCIOS"/>
    <x v="1"/>
  </r>
  <r>
    <x v="55"/>
    <x v="175"/>
    <x v="9"/>
    <x v="9"/>
    <x v="1"/>
    <x v="38"/>
    <x v="21"/>
    <x v="389"/>
    <x v="925"/>
    <x v="0"/>
    <s v="NEGOCIOS"/>
    <x v="1"/>
  </r>
  <r>
    <x v="55"/>
    <x v="193"/>
    <x v="11"/>
    <x v="11"/>
    <x v="1"/>
    <x v="7"/>
    <x v="25"/>
    <x v="369"/>
    <x v="2814"/>
    <x v="0"/>
    <s v="NEGOCIOS"/>
    <x v="1"/>
  </r>
  <r>
    <x v="55"/>
    <x v="276"/>
    <x v="2"/>
    <x v="2"/>
    <x v="1"/>
    <x v="7"/>
    <x v="25"/>
    <x v="385"/>
    <x v="2815"/>
    <x v="0"/>
    <s v="NEGOCIOS"/>
    <x v="1"/>
  </r>
  <r>
    <x v="55"/>
    <x v="217"/>
    <x v="6"/>
    <x v="6"/>
    <x v="1"/>
    <x v="7"/>
    <x v="26"/>
    <x v="323"/>
    <x v="2816"/>
    <x v="0"/>
    <s v="NEGOCIOS"/>
    <x v="1"/>
  </r>
  <r>
    <x v="55"/>
    <x v="314"/>
    <x v="6"/>
    <x v="6"/>
    <x v="1"/>
    <x v="7"/>
    <x v="25"/>
    <x v="372"/>
    <x v="782"/>
    <x v="0"/>
    <s v="NEGOCIOS"/>
    <x v="1"/>
  </r>
  <r>
    <x v="55"/>
    <x v="266"/>
    <x v="6"/>
    <x v="6"/>
    <x v="1"/>
    <x v="7"/>
    <x v="26"/>
    <x v="370"/>
    <x v="2817"/>
    <x v="0"/>
    <s v="NEGOCIOS"/>
    <x v="1"/>
  </r>
  <r>
    <x v="55"/>
    <x v="296"/>
    <x v="6"/>
    <x v="6"/>
    <x v="1"/>
    <x v="7"/>
    <x v="25"/>
    <x v="312"/>
    <x v="1455"/>
    <x v="0"/>
    <s v="NEGOCIOS"/>
    <x v="1"/>
  </r>
  <r>
    <x v="55"/>
    <x v="297"/>
    <x v="6"/>
    <x v="6"/>
    <x v="1"/>
    <x v="7"/>
    <x v="25"/>
    <x v="313"/>
    <x v="2818"/>
    <x v="0"/>
    <s v="NEGOCIOS"/>
    <x v="1"/>
  </r>
  <r>
    <x v="55"/>
    <x v="285"/>
    <x v="6"/>
    <x v="6"/>
    <x v="1"/>
    <x v="39"/>
    <x v="21"/>
    <x v="409"/>
    <x v="2819"/>
    <x v="0"/>
    <s v="NEGOCIOS"/>
    <x v="1"/>
  </r>
  <r>
    <x v="55"/>
    <x v="257"/>
    <x v="2"/>
    <x v="2"/>
    <x v="1"/>
    <x v="35"/>
    <x v="26"/>
    <x v="410"/>
    <x v="2820"/>
    <x v="0"/>
    <s v="NEGOCIOS"/>
    <x v="1"/>
  </r>
  <r>
    <x v="55"/>
    <x v="285"/>
    <x v="6"/>
    <x v="6"/>
    <x v="1"/>
    <x v="35"/>
    <x v="26"/>
    <x v="409"/>
    <x v="1"/>
    <x v="587"/>
    <s v="NEGOCIOS"/>
    <x v="1"/>
  </r>
  <r>
    <x v="55"/>
    <x v="292"/>
    <x v="9"/>
    <x v="9"/>
    <x v="1"/>
    <x v="8"/>
    <x v="21"/>
    <x v="352"/>
    <x v="146"/>
    <x v="0"/>
    <s v="NEGOCIOS"/>
    <x v="1"/>
  </r>
  <r>
    <x v="55"/>
    <x v="238"/>
    <x v="9"/>
    <x v="9"/>
    <x v="1"/>
    <x v="8"/>
    <x v="21"/>
    <x v="379"/>
    <x v="2821"/>
    <x v="0"/>
    <s v="NEGOCIOS"/>
    <x v="1"/>
  </r>
  <r>
    <x v="55"/>
    <x v="211"/>
    <x v="9"/>
    <x v="9"/>
    <x v="1"/>
    <x v="8"/>
    <x v="25"/>
    <x v="286"/>
    <x v="1245"/>
    <x v="0"/>
    <s v="NEGOCIOS"/>
    <x v="1"/>
  </r>
  <r>
    <x v="55"/>
    <x v="198"/>
    <x v="10"/>
    <x v="10"/>
    <x v="1"/>
    <x v="8"/>
    <x v="25"/>
    <x v="338"/>
    <x v="2822"/>
    <x v="0"/>
    <s v="NEGOCIOS"/>
    <x v="1"/>
  </r>
  <r>
    <x v="55"/>
    <x v="243"/>
    <x v="10"/>
    <x v="10"/>
    <x v="1"/>
    <x v="8"/>
    <x v="25"/>
    <x v="411"/>
    <x v="2823"/>
    <x v="0"/>
    <s v="NEGOCIOS"/>
    <x v="1"/>
  </r>
  <r>
    <x v="55"/>
    <x v="248"/>
    <x v="10"/>
    <x v="10"/>
    <x v="1"/>
    <x v="8"/>
    <x v="25"/>
    <x v="304"/>
    <x v="2824"/>
    <x v="0"/>
    <s v="NEGOCIOS"/>
    <x v="1"/>
  </r>
  <r>
    <x v="55"/>
    <x v="248"/>
    <x v="10"/>
    <x v="10"/>
    <x v="1"/>
    <x v="8"/>
    <x v="21"/>
    <x v="304"/>
    <x v="2825"/>
    <x v="0"/>
    <s v="NEGOCIOS"/>
    <x v="1"/>
  </r>
  <r>
    <x v="55"/>
    <x v="176"/>
    <x v="10"/>
    <x v="10"/>
    <x v="1"/>
    <x v="8"/>
    <x v="25"/>
    <x v="412"/>
    <x v="2826"/>
    <x v="0"/>
    <s v="NEGOCIOS"/>
    <x v="1"/>
  </r>
  <r>
    <x v="55"/>
    <x v="200"/>
    <x v="11"/>
    <x v="11"/>
    <x v="1"/>
    <x v="8"/>
    <x v="25"/>
    <x v="351"/>
    <x v="1925"/>
    <x v="0"/>
    <s v="NEGOCIOS"/>
    <x v="1"/>
  </r>
  <r>
    <x v="55"/>
    <x v="200"/>
    <x v="11"/>
    <x v="11"/>
    <x v="1"/>
    <x v="8"/>
    <x v="26"/>
    <x v="351"/>
    <x v="2827"/>
    <x v="0"/>
    <s v="NEGOCIOS"/>
    <x v="1"/>
  </r>
  <r>
    <x v="55"/>
    <x v="187"/>
    <x v="11"/>
    <x v="11"/>
    <x v="1"/>
    <x v="8"/>
    <x v="25"/>
    <x v="328"/>
    <x v="2826"/>
    <x v="0"/>
    <s v="NEGOCIOS"/>
    <x v="1"/>
  </r>
  <r>
    <x v="55"/>
    <x v="330"/>
    <x v="11"/>
    <x v="11"/>
    <x v="1"/>
    <x v="8"/>
    <x v="25"/>
    <x v="381"/>
    <x v="736"/>
    <x v="0"/>
    <s v="NEGOCIOS"/>
    <x v="1"/>
  </r>
  <r>
    <x v="55"/>
    <x v="274"/>
    <x v="11"/>
    <x v="11"/>
    <x v="1"/>
    <x v="8"/>
    <x v="25"/>
    <x v="404"/>
    <x v="1013"/>
    <x v="0"/>
    <s v="NEGOCIOS"/>
    <x v="1"/>
  </r>
  <r>
    <x v="55"/>
    <x v="284"/>
    <x v="2"/>
    <x v="2"/>
    <x v="1"/>
    <x v="8"/>
    <x v="25"/>
    <x v="383"/>
    <x v="2828"/>
    <x v="0"/>
    <s v="NEGOCIOS"/>
    <x v="1"/>
  </r>
  <r>
    <x v="55"/>
    <x v="183"/>
    <x v="2"/>
    <x v="2"/>
    <x v="1"/>
    <x v="8"/>
    <x v="25"/>
    <x v="330"/>
    <x v="783"/>
    <x v="0"/>
    <s v="NEGOCIOS"/>
    <x v="1"/>
  </r>
  <r>
    <x v="55"/>
    <x v="312"/>
    <x v="2"/>
    <x v="2"/>
    <x v="1"/>
    <x v="8"/>
    <x v="21"/>
    <x v="394"/>
    <x v="1819"/>
    <x v="0"/>
    <s v="NEGOCIOS"/>
    <x v="1"/>
  </r>
  <r>
    <x v="55"/>
    <x v="184"/>
    <x v="6"/>
    <x v="6"/>
    <x v="1"/>
    <x v="8"/>
    <x v="25"/>
    <x v="413"/>
    <x v="2829"/>
    <x v="0"/>
    <s v="NEGOCIOS"/>
    <x v="1"/>
  </r>
  <r>
    <x v="55"/>
    <x v="314"/>
    <x v="6"/>
    <x v="6"/>
    <x v="1"/>
    <x v="8"/>
    <x v="26"/>
    <x v="372"/>
    <x v="736"/>
    <x v="0"/>
    <s v="NEGOCIOS"/>
    <x v="1"/>
  </r>
  <r>
    <x v="55"/>
    <x v="335"/>
    <x v="6"/>
    <x v="6"/>
    <x v="1"/>
    <x v="8"/>
    <x v="25"/>
    <x v="408"/>
    <x v="2830"/>
    <x v="0"/>
    <s v="NEGOCIOS"/>
    <x v="1"/>
  </r>
  <r>
    <x v="55"/>
    <x v="229"/>
    <x v="6"/>
    <x v="6"/>
    <x v="1"/>
    <x v="8"/>
    <x v="25"/>
    <x v="281"/>
    <x v="1693"/>
    <x v="0"/>
    <s v="NEGOCIOS"/>
    <x v="1"/>
  </r>
  <r>
    <x v="55"/>
    <x v="328"/>
    <x v="7"/>
    <x v="7"/>
    <x v="1"/>
    <x v="9"/>
    <x v="26"/>
    <x v="366"/>
    <x v="2831"/>
    <x v="0"/>
    <s v="NEGOCIOS"/>
    <x v="1"/>
  </r>
  <r>
    <x v="55"/>
    <x v="323"/>
    <x v="8"/>
    <x v="8"/>
    <x v="1"/>
    <x v="9"/>
    <x v="26"/>
    <x v="367"/>
    <x v="2832"/>
    <x v="0"/>
    <s v="NEGOCIOS"/>
    <x v="1"/>
  </r>
  <r>
    <x v="55"/>
    <x v="211"/>
    <x v="9"/>
    <x v="9"/>
    <x v="1"/>
    <x v="9"/>
    <x v="25"/>
    <x v="286"/>
    <x v="746"/>
    <x v="0"/>
    <s v="NEGOCIOS"/>
    <x v="1"/>
  </r>
  <r>
    <x v="55"/>
    <x v="262"/>
    <x v="9"/>
    <x v="9"/>
    <x v="1"/>
    <x v="9"/>
    <x v="26"/>
    <x v="368"/>
    <x v="2833"/>
    <x v="0"/>
    <s v="NEGOCIOS"/>
    <x v="1"/>
  </r>
  <r>
    <x v="55"/>
    <x v="255"/>
    <x v="9"/>
    <x v="9"/>
    <x v="1"/>
    <x v="9"/>
    <x v="25"/>
    <x v="293"/>
    <x v="2834"/>
    <x v="0"/>
    <s v="NEGOCIOS"/>
    <x v="1"/>
  </r>
  <r>
    <x v="55"/>
    <x v="310"/>
    <x v="10"/>
    <x v="10"/>
    <x v="1"/>
    <x v="9"/>
    <x v="25"/>
    <x v="335"/>
    <x v="2835"/>
    <x v="0"/>
    <s v="NEGOCIOS"/>
    <x v="1"/>
  </r>
  <r>
    <x v="55"/>
    <x v="232"/>
    <x v="10"/>
    <x v="10"/>
    <x v="1"/>
    <x v="9"/>
    <x v="25"/>
    <x v="290"/>
    <x v="2836"/>
    <x v="0"/>
    <s v="NEGOCIOS"/>
    <x v="1"/>
  </r>
  <r>
    <x v="55"/>
    <x v="199"/>
    <x v="10"/>
    <x v="10"/>
    <x v="1"/>
    <x v="9"/>
    <x v="26"/>
    <x v="298"/>
    <x v="2837"/>
    <x v="0"/>
    <s v="NEGOCIOS"/>
    <x v="1"/>
  </r>
  <r>
    <x v="55"/>
    <x v="249"/>
    <x v="11"/>
    <x v="11"/>
    <x v="1"/>
    <x v="9"/>
    <x v="25"/>
    <x v="359"/>
    <x v="768"/>
    <x v="0"/>
    <s v="NEGOCIOS"/>
    <x v="1"/>
  </r>
  <r>
    <x v="55"/>
    <x v="299"/>
    <x v="11"/>
    <x v="11"/>
    <x v="1"/>
    <x v="9"/>
    <x v="26"/>
    <x v="315"/>
    <x v="1"/>
    <x v="588"/>
    <s v="NEGOCIOS"/>
    <x v="1"/>
  </r>
  <r>
    <x v="55"/>
    <x v="193"/>
    <x v="11"/>
    <x v="11"/>
    <x v="1"/>
    <x v="9"/>
    <x v="26"/>
    <x v="369"/>
    <x v="2838"/>
    <x v="0"/>
    <s v="NEGOCIOS"/>
    <x v="1"/>
  </r>
  <r>
    <x v="55"/>
    <x v="221"/>
    <x v="2"/>
    <x v="2"/>
    <x v="1"/>
    <x v="9"/>
    <x v="25"/>
    <x v="347"/>
    <x v="773"/>
    <x v="0"/>
    <s v="NEGOCIOS"/>
    <x v="1"/>
  </r>
  <r>
    <x v="55"/>
    <x v="216"/>
    <x v="2"/>
    <x v="2"/>
    <x v="1"/>
    <x v="9"/>
    <x v="25"/>
    <x v="332"/>
    <x v="2839"/>
    <x v="0"/>
    <s v="NEGOCIOS"/>
    <x v="1"/>
  </r>
  <r>
    <x v="55"/>
    <x v="316"/>
    <x v="2"/>
    <x v="2"/>
    <x v="1"/>
    <x v="9"/>
    <x v="26"/>
    <x v="348"/>
    <x v="2840"/>
    <x v="0"/>
    <s v="NEGOCIOS"/>
    <x v="1"/>
  </r>
  <r>
    <x v="55"/>
    <x v="304"/>
    <x v="2"/>
    <x v="2"/>
    <x v="1"/>
    <x v="9"/>
    <x v="25"/>
    <x v="329"/>
    <x v="2841"/>
    <x v="0"/>
    <s v="NEGOCIOS"/>
    <x v="1"/>
  </r>
  <r>
    <x v="55"/>
    <x v="224"/>
    <x v="2"/>
    <x v="2"/>
    <x v="1"/>
    <x v="9"/>
    <x v="25"/>
    <x v="414"/>
    <x v="768"/>
    <x v="0"/>
    <s v="NEGOCIOS"/>
    <x v="1"/>
  </r>
  <r>
    <x v="55"/>
    <x v="281"/>
    <x v="6"/>
    <x v="6"/>
    <x v="1"/>
    <x v="9"/>
    <x v="25"/>
    <x v="395"/>
    <x v="2839"/>
    <x v="0"/>
    <s v="NEGOCIOS"/>
    <x v="1"/>
  </r>
  <r>
    <x v="55"/>
    <x v="266"/>
    <x v="6"/>
    <x v="6"/>
    <x v="1"/>
    <x v="9"/>
    <x v="26"/>
    <x v="370"/>
    <x v="2842"/>
    <x v="0"/>
    <s v="NEGOCIOS"/>
    <x v="1"/>
  </r>
  <r>
    <x v="55"/>
    <x v="296"/>
    <x v="6"/>
    <x v="6"/>
    <x v="1"/>
    <x v="9"/>
    <x v="25"/>
    <x v="312"/>
    <x v="2839"/>
    <x v="0"/>
    <s v="NEGOCIOS"/>
    <x v="1"/>
  </r>
  <r>
    <x v="55"/>
    <x v="204"/>
    <x v="6"/>
    <x v="6"/>
    <x v="1"/>
    <x v="9"/>
    <x v="25"/>
    <x v="317"/>
    <x v="2839"/>
    <x v="0"/>
    <s v="NEGOCIOS"/>
    <x v="1"/>
  </r>
  <r>
    <x v="55"/>
    <x v="277"/>
    <x v="7"/>
    <x v="7"/>
    <x v="1"/>
    <x v="10"/>
    <x v="21"/>
    <x v="325"/>
    <x v="736"/>
    <x v="0"/>
    <s v="NEGOCIOS"/>
    <x v="1"/>
  </r>
  <r>
    <x v="55"/>
    <x v="327"/>
    <x v="7"/>
    <x v="7"/>
    <x v="1"/>
    <x v="10"/>
    <x v="25"/>
    <x v="387"/>
    <x v="2756"/>
    <x v="0"/>
    <s v="NEGOCIOS"/>
    <x v="1"/>
  </r>
  <r>
    <x v="55"/>
    <x v="179"/>
    <x v="7"/>
    <x v="7"/>
    <x v="1"/>
    <x v="10"/>
    <x v="21"/>
    <x v="415"/>
    <x v="1157"/>
    <x v="0"/>
    <s v="NEGOCIOS"/>
    <x v="1"/>
  </r>
  <r>
    <x v="55"/>
    <x v="225"/>
    <x v="7"/>
    <x v="7"/>
    <x v="1"/>
    <x v="10"/>
    <x v="25"/>
    <x v="416"/>
    <x v="911"/>
    <x v="0"/>
    <s v="NEGOCIOS"/>
    <x v="1"/>
  </r>
  <r>
    <x v="55"/>
    <x v="206"/>
    <x v="7"/>
    <x v="7"/>
    <x v="1"/>
    <x v="10"/>
    <x v="21"/>
    <x v="284"/>
    <x v="2843"/>
    <x v="0"/>
    <s v="NEGOCIOS"/>
    <x v="1"/>
  </r>
  <r>
    <x v="55"/>
    <x v="328"/>
    <x v="7"/>
    <x v="7"/>
    <x v="1"/>
    <x v="10"/>
    <x v="26"/>
    <x v="366"/>
    <x v="2844"/>
    <x v="0"/>
    <s v="NEGOCIOS"/>
    <x v="1"/>
  </r>
  <r>
    <x v="55"/>
    <x v="332"/>
    <x v="7"/>
    <x v="7"/>
    <x v="1"/>
    <x v="10"/>
    <x v="21"/>
    <x v="397"/>
    <x v="736"/>
    <x v="0"/>
    <s v="NEGOCIOS"/>
    <x v="1"/>
  </r>
  <r>
    <x v="55"/>
    <x v="253"/>
    <x v="7"/>
    <x v="7"/>
    <x v="1"/>
    <x v="10"/>
    <x v="21"/>
    <x v="292"/>
    <x v="1132"/>
    <x v="0"/>
    <s v="NEGOCIOS"/>
    <x v="1"/>
  </r>
  <r>
    <x v="55"/>
    <x v="237"/>
    <x v="7"/>
    <x v="7"/>
    <x v="1"/>
    <x v="10"/>
    <x v="21"/>
    <x v="417"/>
    <x v="2845"/>
    <x v="0"/>
    <s v="NEGOCIOS"/>
    <x v="1"/>
  </r>
  <r>
    <x v="55"/>
    <x v="210"/>
    <x v="7"/>
    <x v="7"/>
    <x v="1"/>
    <x v="10"/>
    <x v="21"/>
    <x v="418"/>
    <x v="1170"/>
    <x v="0"/>
    <s v="NEGOCIOS"/>
    <x v="1"/>
  </r>
  <r>
    <x v="55"/>
    <x v="254"/>
    <x v="8"/>
    <x v="8"/>
    <x v="1"/>
    <x v="10"/>
    <x v="21"/>
    <x v="326"/>
    <x v="1795"/>
    <x v="0"/>
    <s v="NEGOCIOS"/>
    <x v="1"/>
  </r>
  <r>
    <x v="55"/>
    <x v="261"/>
    <x v="8"/>
    <x v="8"/>
    <x v="1"/>
    <x v="10"/>
    <x v="21"/>
    <x v="320"/>
    <x v="911"/>
    <x v="0"/>
    <s v="NEGOCIOS"/>
    <x v="1"/>
  </r>
  <r>
    <x v="55"/>
    <x v="323"/>
    <x v="8"/>
    <x v="8"/>
    <x v="1"/>
    <x v="10"/>
    <x v="26"/>
    <x v="367"/>
    <x v="2846"/>
    <x v="0"/>
    <s v="NEGOCIOS"/>
    <x v="1"/>
  </r>
  <r>
    <x v="55"/>
    <x v="292"/>
    <x v="9"/>
    <x v="9"/>
    <x v="1"/>
    <x v="10"/>
    <x v="21"/>
    <x v="352"/>
    <x v="745"/>
    <x v="0"/>
    <s v="NEGOCIOS"/>
    <x v="1"/>
  </r>
  <r>
    <x v="55"/>
    <x v="303"/>
    <x v="9"/>
    <x v="9"/>
    <x v="1"/>
    <x v="10"/>
    <x v="21"/>
    <x v="327"/>
    <x v="2847"/>
    <x v="0"/>
    <s v="NEGOCIOS"/>
    <x v="1"/>
  </r>
  <r>
    <x v="55"/>
    <x v="238"/>
    <x v="9"/>
    <x v="9"/>
    <x v="1"/>
    <x v="10"/>
    <x v="21"/>
    <x v="379"/>
    <x v="815"/>
    <x v="0"/>
    <s v="NEGOCIOS"/>
    <x v="1"/>
  </r>
  <r>
    <x v="55"/>
    <x v="262"/>
    <x v="9"/>
    <x v="9"/>
    <x v="1"/>
    <x v="10"/>
    <x v="26"/>
    <x v="368"/>
    <x v="2848"/>
    <x v="0"/>
    <s v="NEGOCIOS"/>
    <x v="1"/>
  </r>
  <r>
    <x v="55"/>
    <x v="331"/>
    <x v="9"/>
    <x v="9"/>
    <x v="1"/>
    <x v="10"/>
    <x v="25"/>
    <x v="391"/>
    <x v="736"/>
    <x v="0"/>
    <s v="NEGOCIOS"/>
    <x v="1"/>
  </r>
  <r>
    <x v="55"/>
    <x v="255"/>
    <x v="9"/>
    <x v="9"/>
    <x v="1"/>
    <x v="10"/>
    <x v="25"/>
    <x v="293"/>
    <x v="1032"/>
    <x v="0"/>
    <s v="NEGOCIOS"/>
    <x v="1"/>
  </r>
  <r>
    <x v="55"/>
    <x v="317"/>
    <x v="10"/>
    <x v="10"/>
    <x v="1"/>
    <x v="10"/>
    <x v="25"/>
    <x v="401"/>
    <x v="736"/>
    <x v="0"/>
    <s v="NEGOCIOS"/>
    <x v="1"/>
  </r>
  <r>
    <x v="55"/>
    <x v="239"/>
    <x v="10"/>
    <x v="10"/>
    <x v="1"/>
    <x v="10"/>
    <x v="25"/>
    <x v="419"/>
    <x v="816"/>
    <x v="0"/>
    <s v="NEGOCIOS"/>
    <x v="1"/>
  </r>
  <r>
    <x v="55"/>
    <x v="268"/>
    <x v="10"/>
    <x v="10"/>
    <x v="1"/>
    <x v="10"/>
    <x v="25"/>
    <x v="339"/>
    <x v="816"/>
    <x v="0"/>
    <s v="NEGOCIOS"/>
    <x v="1"/>
  </r>
  <r>
    <x v="55"/>
    <x v="336"/>
    <x v="10"/>
    <x v="10"/>
    <x v="1"/>
    <x v="10"/>
    <x v="26"/>
    <x v="420"/>
    <x v="1"/>
    <x v="221"/>
    <s v="NEGOCIOS"/>
    <x v="1"/>
  </r>
  <r>
    <x v="55"/>
    <x v="186"/>
    <x v="10"/>
    <x v="10"/>
    <x v="1"/>
    <x v="10"/>
    <x v="25"/>
    <x v="321"/>
    <x v="2756"/>
    <x v="0"/>
    <s v="NEGOCIOS"/>
    <x v="1"/>
  </r>
  <r>
    <x v="55"/>
    <x v="248"/>
    <x v="10"/>
    <x v="10"/>
    <x v="1"/>
    <x v="10"/>
    <x v="25"/>
    <x v="304"/>
    <x v="2847"/>
    <x v="0"/>
    <s v="NEGOCIOS"/>
    <x v="1"/>
  </r>
  <r>
    <x v="55"/>
    <x v="199"/>
    <x v="10"/>
    <x v="10"/>
    <x v="1"/>
    <x v="10"/>
    <x v="26"/>
    <x v="298"/>
    <x v="2714"/>
    <x v="0"/>
    <s v="NEGOCIOS"/>
    <x v="1"/>
  </r>
  <r>
    <x v="55"/>
    <x v="189"/>
    <x v="10"/>
    <x v="10"/>
    <x v="1"/>
    <x v="10"/>
    <x v="25"/>
    <x v="345"/>
    <x v="1537"/>
    <x v="0"/>
    <s v="NEGOCIOS"/>
    <x v="1"/>
  </r>
  <r>
    <x v="55"/>
    <x v="269"/>
    <x v="11"/>
    <x v="11"/>
    <x v="1"/>
    <x v="10"/>
    <x v="25"/>
    <x v="403"/>
    <x v="1537"/>
    <x v="0"/>
    <s v="NEGOCIOS"/>
    <x v="1"/>
  </r>
  <r>
    <x v="55"/>
    <x v="200"/>
    <x v="11"/>
    <x v="11"/>
    <x v="1"/>
    <x v="10"/>
    <x v="21"/>
    <x v="351"/>
    <x v="1024"/>
    <x v="0"/>
    <s v="NEGOCIOS"/>
    <x v="1"/>
  </r>
  <r>
    <x v="55"/>
    <x v="325"/>
    <x v="11"/>
    <x v="11"/>
    <x v="1"/>
    <x v="10"/>
    <x v="25"/>
    <x v="421"/>
    <x v="2756"/>
    <x v="0"/>
    <s v="NEGOCIOS"/>
    <x v="1"/>
  </r>
  <r>
    <x v="55"/>
    <x v="282"/>
    <x v="11"/>
    <x v="11"/>
    <x v="1"/>
    <x v="10"/>
    <x v="25"/>
    <x v="358"/>
    <x v="2849"/>
    <x v="0"/>
    <s v="NEGOCIOS"/>
    <x v="1"/>
  </r>
  <r>
    <x v="55"/>
    <x v="272"/>
    <x v="11"/>
    <x v="11"/>
    <x v="1"/>
    <x v="10"/>
    <x v="25"/>
    <x v="360"/>
    <x v="146"/>
    <x v="0"/>
    <s v="NEGOCIOS"/>
    <x v="1"/>
  </r>
  <r>
    <x v="55"/>
    <x v="177"/>
    <x v="11"/>
    <x v="11"/>
    <x v="1"/>
    <x v="10"/>
    <x v="25"/>
    <x v="346"/>
    <x v="2850"/>
    <x v="0"/>
    <s v="NEGOCIOS"/>
    <x v="1"/>
  </r>
  <r>
    <x v="55"/>
    <x v="201"/>
    <x v="11"/>
    <x v="11"/>
    <x v="1"/>
    <x v="10"/>
    <x v="25"/>
    <x v="422"/>
    <x v="1580"/>
    <x v="0"/>
    <s v="NEGOCIOS"/>
    <x v="1"/>
  </r>
  <r>
    <x v="55"/>
    <x v="213"/>
    <x v="11"/>
    <x v="11"/>
    <x v="1"/>
    <x v="10"/>
    <x v="25"/>
    <x v="361"/>
    <x v="2851"/>
    <x v="0"/>
    <s v="NEGOCIOS"/>
    <x v="1"/>
  </r>
  <r>
    <x v="55"/>
    <x v="299"/>
    <x v="11"/>
    <x v="11"/>
    <x v="1"/>
    <x v="10"/>
    <x v="26"/>
    <x v="315"/>
    <x v="1"/>
    <x v="589"/>
    <s v="NEGOCIOS"/>
    <x v="1"/>
  </r>
  <r>
    <x v="55"/>
    <x v="193"/>
    <x v="11"/>
    <x v="11"/>
    <x v="1"/>
    <x v="10"/>
    <x v="25"/>
    <x v="369"/>
    <x v="2852"/>
    <x v="0"/>
    <s v="NEGOCIOS"/>
    <x v="1"/>
  </r>
  <r>
    <x v="55"/>
    <x v="193"/>
    <x v="11"/>
    <x v="11"/>
    <x v="1"/>
    <x v="10"/>
    <x v="26"/>
    <x v="369"/>
    <x v="2853"/>
    <x v="0"/>
    <s v="NEGOCIOS"/>
    <x v="1"/>
  </r>
  <r>
    <x v="55"/>
    <x v="202"/>
    <x v="11"/>
    <x v="11"/>
    <x v="1"/>
    <x v="10"/>
    <x v="25"/>
    <x v="305"/>
    <x v="2854"/>
    <x v="0"/>
    <s v="NEGOCIOS"/>
    <x v="1"/>
  </r>
  <r>
    <x v="55"/>
    <x v="273"/>
    <x v="11"/>
    <x v="11"/>
    <x v="1"/>
    <x v="10"/>
    <x v="25"/>
    <x v="354"/>
    <x v="736"/>
    <x v="0"/>
    <s v="NEGOCIOS"/>
    <x v="1"/>
  </r>
  <r>
    <x v="55"/>
    <x v="181"/>
    <x v="11"/>
    <x v="11"/>
    <x v="1"/>
    <x v="10"/>
    <x v="25"/>
    <x v="362"/>
    <x v="2855"/>
    <x v="0"/>
    <s v="NEGOCIOS"/>
    <x v="1"/>
  </r>
  <r>
    <x v="55"/>
    <x v="275"/>
    <x v="11"/>
    <x v="11"/>
    <x v="1"/>
    <x v="10"/>
    <x v="25"/>
    <x v="307"/>
    <x v="735"/>
    <x v="0"/>
    <s v="NEGOCIOS"/>
    <x v="1"/>
  </r>
  <r>
    <x v="55"/>
    <x v="300"/>
    <x v="2"/>
    <x v="2"/>
    <x v="1"/>
    <x v="10"/>
    <x v="25"/>
    <x v="316"/>
    <x v="736"/>
    <x v="0"/>
    <s v="NEGOCIOS"/>
    <x v="1"/>
  </r>
  <r>
    <x v="55"/>
    <x v="280"/>
    <x v="2"/>
    <x v="2"/>
    <x v="1"/>
    <x v="10"/>
    <x v="25"/>
    <x v="295"/>
    <x v="2856"/>
    <x v="0"/>
    <s v="NEGOCIOS"/>
    <x v="1"/>
  </r>
  <r>
    <x v="55"/>
    <x v="316"/>
    <x v="2"/>
    <x v="2"/>
    <x v="1"/>
    <x v="10"/>
    <x v="26"/>
    <x v="348"/>
    <x v="2857"/>
    <x v="0"/>
    <s v="NEGOCIOS"/>
    <x v="1"/>
  </r>
  <r>
    <x v="55"/>
    <x v="276"/>
    <x v="2"/>
    <x v="2"/>
    <x v="1"/>
    <x v="10"/>
    <x v="25"/>
    <x v="385"/>
    <x v="896"/>
    <x v="0"/>
    <s v="NEGOCIOS"/>
    <x v="1"/>
  </r>
  <r>
    <x v="55"/>
    <x v="264"/>
    <x v="6"/>
    <x v="6"/>
    <x v="1"/>
    <x v="10"/>
    <x v="25"/>
    <x v="311"/>
    <x v="2858"/>
    <x v="0"/>
    <s v="NEGOCIOS"/>
    <x v="1"/>
  </r>
  <r>
    <x v="55"/>
    <x v="265"/>
    <x v="6"/>
    <x v="6"/>
    <x v="1"/>
    <x v="10"/>
    <x v="25"/>
    <x v="386"/>
    <x v="736"/>
    <x v="0"/>
    <s v="NEGOCIOS"/>
    <x v="1"/>
  </r>
  <r>
    <x v="55"/>
    <x v="184"/>
    <x v="6"/>
    <x v="6"/>
    <x v="1"/>
    <x v="10"/>
    <x v="25"/>
    <x v="413"/>
    <x v="814"/>
    <x v="0"/>
    <s v="NEGOCIOS"/>
    <x v="1"/>
  </r>
  <r>
    <x v="55"/>
    <x v="314"/>
    <x v="6"/>
    <x v="6"/>
    <x v="1"/>
    <x v="10"/>
    <x v="26"/>
    <x v="372"/>
    <x v="782"/>
    <x v="0"/>
    <s v="NEGOCIOS"/>
    <x v="1"/>
  </r>
  <r>
    <x v="55"/>
    <x v="266"/>
    <x v="6"/>
    <x v="6"/>
    <x v="1"/>
    <x v="10"/>
    <x v="26"/>
    <x v="370"/>
    <x v="2859"/>
    <x v="0"/>
    <s v="NEGOCIOS"/>
    <x v="1"/>
  </r>
  <r>
    <x v="55"/>
    <x v="297"/>
    <x v="6"/>
    <x v="6"/>
    <x v="1"/>
    <x v="10"/>
    <x v="25"/>
    <x v="313"/>
    <x v="2860"/>
    <x v="0"/>
    <s v="NEGOCIOS"/>
    <x v="1"/>
  </r>
  <r>
    <x v="55"/>
    <x v="335"/>
    <x v="6"/>
    <x v="6"/>
    <x v="1"/>
    <x v="10"/>
    <x v="25"/>
    <x v="408"/>
    <x v="736"/>
    <x v="0"/>
    <s v="NEGOCIOS"/>
    <x v="1"/>
  </r>
  <r>
    <x v="55"/>
    <x v="335"/>
    <x v="6"/>
    <x v="6"/>
    <x v="1"/>
    <x v="10"/>
    <x v="21"/>
    <x v="408"/>
    <x v="982"/>
    <x v="0"/>
    <s v="NEGOCIOS"/>
    <x v="1"/>
  </r>
  <r>
    <x v="55"/>
    <x v="174"/>
    <x v="6"/>
    <x v="6"/>
    <x v="1"/>
    <x v="10"/>
    <x v="25"/>
    <x v="282"/>
    <x v="879"/>
    <x v="0"/>
    <s v="NEGOCIOS"/>
    <x v="1"/>
  </r>
  <r>
    <x v="55"/>
    <x v="191"/>
    <x v="6"/>
    <x v="6"/>
    <x v="1"/>
    <x v="10"/>
    <x v="25"/>
    <x v="318"/>
    <x v="2861"/>
    <x v="0"/>
    <s v="NEGOCIOS"/>
    <x v="1"/>
  </r>
  <r>
    <x v="55"/>
    <x v="328"/>
    <x v="7"/>
    <x v="7"/>
    <x v="1"/>
    <x v="11"/>
    <x v="26"/>
    <x v="366"/>
    <x v="2862"/>
    <x v="0"/>
    <s v="NEGOCIOS"/>
    <x v="1"/>
  </r>
  <r>
    <x v="55"/>
    <x v="323"/>
    <x v="8"/>
    <x v="8"/>
    <x v="1"/>
    <x v="11"/>
    <x v="26"/>
    <x v="367"/>
    <x v="2863"/>
    <x v="0"/>
    <s v="NEGOCIOS"/>
    <x v="1"/>
  </r>
  <r>
    <x v="55"/>
    <x v="262"/>
    <x v="9"/>
    <x v="9"/>
    <x v="1"/>
    <x v="11"/>
    <x v="26"/>
    <x v="368"/>
    <x v="2864"/>
    <x v="0"/>
    <s v="NEGOCIOS"/>
    <x v="1"/>
  </r>
  <r>
    <x v="55"/>
    <x v="199"/>
    <x v="10"/>
    <x v="10"/>
    <x v="1"/>
    <x v="11"/>
    <x v="26"/>
    <x v="298"/>
    <x v="2865"/>
    <x v="0"/>
    <s v="NEGOCIOS"/>
    <x v="1"/>
  </r>
  <r>
    <x v="55"/>
    <x v="299"/>
    <x v="11"/>
    <x v="11"/>
    <x v="1"/>
    <x v="11"/>
    <x v="26"/>
    <x v="315"/>
    <x v="1"/>
    <x v="590"/>
    <s v="NEGOCIOS"/>
    <x v="1"/>
  </r>
  <r>
    <x v="55"/>
    <x v="193"/>
    <x v="11"/>
    <x v="11"/>
    <x v="1"/>
    <x v="11"/>
    <x v="26"/>
    <x v="369"/>
    <x v="2866"/>
    <x v="0"/>
    <s v="NEGOCIOS"/>
    <x v="1"/>
  </r>
  <r>
    <x v="55"/>
    <x v="300"/>
    <x v="2"/>
    <x v="2"/>
    <x v="1"/>
    <x v="11"/>
    <x v="26"/>
    <x v="316"/>
    <x v="2867"/>
    <x v="0"/>
    <s v="NEGOCIOS"/>
    <x v="1"/>
  </r>
  <r>
    <x v="55"/>
    <x v="316"/>
    <x v="2"/>
    <x v="2"/>
    <x v="1"/>
    <x v="11"/>
    <x v="26"/>
    <x v="348"/>
    <x v="2868"/>
    <x v="0"/>
    <s v="NEGOCIOS"/>
    <x v="1"/>
  </r>
  <r>
    <x v="55"/>
    <x v="266"/>
    <x v="6"/>
    <x v="6"/>
    <x v="1"/>
    <x v="11"/>
    <x v="26"/>
    <x v="370"/>
    <x v="2869"/>
    <x v="0"/>
    <s v="NEGOCIOS"/>
    <x v="1"/>
  </r>
  <r>
    <x v="55"/>
    <x v="258"/>
    <x v="7"/>
    <x v="7"/>
    <x v="1"/>
    <x v="12"/>
    <x v="21"/>
    <x v="349"/>
    <x v="2870"/>
    <x v="0"/>
    <s v="NEGOCIOS"/>
    <x v="1"/>
  </r>
  <r>
    <x v="55"/>
    <x v="259"/>
    <x v="7"/>
    <x v="7"/>
    <x v="1"/>
    <x v="12"/>
    <x v="21"/>
    <x v="355"/>
    <x v="781"/>
    <x v="0"/>
    <s v="NEGOCIOS"/>
    <x v="1"/>
  </r>
  <r>
    <x v="55"/>
    <x v="247"/>
    <x v="8"/>
    <x v="8"/>
    <x v="1"/>
    <x v="12"/>
    <x v="21"/>
    <x v="289"/>
    <x v="835"/>
    <x v="0"/>
    <s v="NEGOCIOS"/>
    <x v="1"/>
  </r>
  <r>
    <x v="55"/>
    <x v="326"/>
    <x v="8"/>
    <x v="8"/>
    <x v="1"/>
    <x v="12"/>
    <x v="26"/>
    <x v="423"/>
    <x v="2871"/>
    <x v="0"/>
    <s v="NEGOCIOS"/>
    <x v="1"/>
  </r>
  <r>
    <x v="55"/>
    <x v="320"/>
    <x v="8"/>
    <x v="8"/>
    <x v="1"/>
    <x v="12"/>
    <x v="21"/>
    <x v="398"/>
    <x v="2872"/>
    <x v="0"/>
    <s v="NEGOCIOS"/>
    <x v="1"/>
  </r>
  <r>
    <x v="55"/>
    <x v="261"/>
    <x v="8"/>
    <x v="8"/>
    <x v="1"/>
    <x v="12"/>
    <x v="21"/>
    <x v="320"/>
    <x v="933"/>
    <x v="0"/>
    <s v="NEGOCIOS"/>
    <x v="1"/>
  </r>
  <r>
    <x v="55"/>
    <x v="245"/>
    <x v="8"/>
    <x v="8"/>
    <x v="1"/>
    <x v="12"/>
    <x v="25"/>
    <x v="285"/>
    <x v="1182"/>
    <x v="0"/>
    <s v="NEGOCIOS"/>
    <x v="1"/>
  </r>
  <r>
    <x v="55"/>
    <x v="173"/>
    <x v="8"/>
    <x v="8"/>
    <x v="1"/>
    <x v="12"/>
    <x v="21"/>
    <x v="378"/>
    <x v="2873"/>
    <x v="0"/>
    <s v="NEGOCIOS"/>
    <x v="1"/>
  </r>
  <r>
    <x v="55"/>
    <x v="319"/>
    <x v="8"/>
    <x v="8"/>
    <x v="1"/>
    <x v="12"/>
    <x v="21"/>
    <x v="350"/>
    <x v="763"/>
    <x v="0"/>
    <s v="NEGOCIOS"/>
    <x v="1"/>
  </r>
  <r>
    <x v="55"/>
    <x v="306"/>
    <x v="9"/>
    <x v="9"/>
    <x v="1"/>
    <x v="12"/>
    <x v="21"/>
    <x v="336"/>
    <x v="2774"/>
    <x v="0"/>
    <s v="NEGOCIOS"/>
    <x v="1"/>
  </r>
  <r>
    <x v="55"/>
    <x v="337"/>
    <x v="9"/>
    <x v="9"/>
    <x v="1"/>
    <x v="12"/>
    <x v="21"/>
    <x v="424"/>
    <x v="2874"/>
    <x v="0"/>
    <s v="NEGOCIOS"/>
    <x v="1"/>
  </r>
  <r>
    <x v="55"/>
    <x v="194"/>
    <x v="9"/>
    <x v="9"/>
    <x v="1"/>
    <x v="12"/>
    <x v="21"/>
    <x v="390"/>
    <x v="2875"/>
    <x v="0"/>
    <s v="NEGOCIOS"/>
    <x v="1"/>
  </r>
  <r>
    <x v="55"/>
    <x v="338"/>
    <x v="9"/>
    <x v="9"/>
    <x v="1"/>
    <x v="12"/>
    <x v="25"/>
    <x v="425"/>
    <x v="346"/>
    <x v="0"/>
    <s v="NEGOCIOS"/>
    <x v="1"/>
  </r>
  <r>
    <x v="55"/>
    <x v="255"/>
    <x v="9"/>
    <x v="9"/>
    <x v="1"/>
    <x v="12"/>
    <x v="26"/>
    <x v="293"/>
    <x v="2876"/>
    <x v="0"/>
    <s v="NEGOCIOS"/>
    <x v="1"/>
  </r>
  <r>
    <x v="55"/>
    <x v="231"/>
    <x v="10"/>
    <x v="10"/>
    <x v="1"/>
    <x v="12"/>
    <x v="25"/>
    <x v="402"/>
    <x v="1347"/>
    <x v="0"/>
    <s v="NEGOCIOS"/>
    <x v="1"/>
  </r>
  <r>
    <x v="55"/>
    <x v="248"/>
    <x v="10"/>
    <x v="10"/>
    <x v="1"/>
    <x v="12"/>
    <x v="21"/>
    <x v="304"/>
    <x v="2877"/>
    <x v="0"/>
    <s v="NEGOCIOS"/>
    <x v="1"/>
  </r>
  <r>
    <x v="55"/>
    <x v="248"/>
    <x v="10"/>
    <x v="10"/>
    <x v="1"/>
    <x v="12"/>
    <x v="25"/>
    <x v="304"/>
    <x v="2878"/>
    <x v="0"/>
    <s v="NEGOCIOS"/>
    <x v="1"/>
  </r>
  <r>
    <x v="55"/>
    <x v="200"/>
    <x v="11"/>
    <x v="11"/>
    <x v="1"/>
    <x v="12"/>
    <x v="25"/>
    <x v="351"/>
    <x v="2879"/>
    <x v="0"/>
    <s v="NEGOCIOS"/>
    <x v="1"/>
  </r>
  <r>
    <x v="55"/>
    <x v="187"/>
    <x v="11"/>
    <x v="11"/>
    <x v="1"/>
    <x v="12"/>
    <x v="25"/>
    <x v="328"/>
    <x v="2582"/>
    <x v="0"/>
    <s v="NEGOCIOS"/>
    <x v="1"/>
  </r>
  <r>
    <x v="55"/>
    <x v="193"/>
    <x v="11"/>
    <x v="11"/>
    <x v="1"/>
    <x v="12"/>
    <x v="21"/>
    <x v="369"/>
    <x v="990"/>
    <x v="0"/>
    <s v="NEGOCIOS"/>
    <x v="1"/>
  </r>
  <r>
    <x v="55"/>
    <x v="315"/>
    <x v="2"/>
    <x v="2"/>
    <x v="1"/>
    <x v="12"/>
    <x v="26"/>
    <x v="405"/>
    <x v="1"/>
    <x v="591"/>
    <s v="NEGOCIOS"/>
    <x v="1"/>
  </r>
  <r>
    <x v="55"/>
    <x v="184"/>
    <x v="6"/>
    <x v="6"/>
    <x v="1"/>
    <x v="12"/>
    <x v="25"/>
    <x v="413"/>
    <x v="2880"/>
    <x v="0"/>
    <s v="NEGOCIOS"/>
    <x v="1"/>
  </r>
  <r>
    <x v="55"/>
    <x v="314"/>
    <x v="6"/>
    <x v="6"/>
    <x v="1"/>
    <x v="12"/>
    <x v="25"/>
    <x v="372"/>
    <x v="2872"/>
    <x v="0"/>
    <s v="NEGOCIOS"/>
    <x v="1"/>
  </r>
  <r>
    <x v="55"/>
    <x v="271"/>
    <x v="6"/>
    <x v="6"/>
    <x v="1"/>
    <x v="12"/>
    <x v="21"/>
    <x v="426"/>
    <x v="2881"/>
    <x v="0"/>
    <s v="NEGOCIOS"/>
    <x v="1"/>
  </r>
  <r>
    <x v="55"/>
    <x v="328"/>
    <x v="7"/>
    <x v="7"/>
    <x v="1"/>
    <x v="13"/>
    <x v="26"/>
    <x v="366"/>
    <x v="2882"/>
    <x v="0"/>
    <s v="NEGOCIOS"/>
    <x v="1"/>
  </r>
  <r>
    <x v="55"/>
    <x v="323"/>
    <x v="8"/>
    <x v="8"/>
    <x v="1"/>
    <x v="13"/>
    <x v="26"/>
    <x v="367"/>
    <x v="2883"/>
    <x v="0"/>
    <s v="NEGOCIOS"/>
    <x v="1"/>
  </r>
  <r>
    <x v="55"/>
    <x v="208"/>
    <x v="8"/>
    <x v="8"/>
    <x v="1"/>
    <x v="13"/>
    <x v="26"/>
    <x v="377"/>
    <x v="2884"/>
    <x v="0"/>
    <s v="NEGOCIOS"/>
    <x v="1"/>
  </r>
  <r>
    <x v="55"/>
    <x v="262"/>
    <x v="9"/>
    <x v="9"/>
    <x v="1"/>
    <x v="13"/>
    <x v="26"/>
    <x v="368"/>
    <x v="2885"/>
    <x v="0"/>
    <s v="NEGOCIOS"/>
    <x v="1"/>
  </r>
  <r>
    <x v="55"/>
    <x v="329"/>
    <x v="10"/>
    <x v="10"/>
    <x v="1"/>
    <x v="13"/>
    <x v="25"/>
    <x v="380"/>
    <x v="2886"/>
    <x v="0"/>
    <s v="NEGOCIOS"/>
    <x v="1"/>
  </r>
  <r>
    <x v="55"/>
    <x v="339"/>
    <x v="10"/>
    <x v="10"/>
    <x v="1"/>
    <x v="13"/>
    <x v="26"/>
    <x v="427"/>
    <x v="2887"/>
    <x v="0"/>
    <s v="NEGOCIOS"/>
    <x v="1"/>
  </r>
  <r>
    <x v="55"/>
    <x v="177"/>
    <x v="11"/>
    <x v="11"/>
    <x v="1"/>
    <x v="13"/>
    <x v="25"/>
    <x v="346"/>
    <x v="763"/>
    <x v="0"/>
    <s v="NEGOCIOS"/>
    <x v="1"/>
  </r>
  <r>
    <x v="55"/>
    <x v="294"/>
    <x v="11"/>
    <x v="11"/>
    <x v="1"/>
    <x v="13"/>
    <x v="25"/>
    <x v="382"/>
    <x v="2888"/>
    <x v="0"/>
    <s v="NEGOCIOS"/>
    <x v="1"/>
  </r>
  <r>
    <x v="55"/>
    <x v="334"/>
    <x v="2"/>
    <x v="2"/>
    <x v="1"/>
    <x v="13"/>
    <x v="26"/>
    <x v="406"/>
    <x v="1067"/>
    <x v="0"/>
    <s v="NEGOCIOS"/>
    <x v="1"/>
  </r>
  <r>
    <x v="55"/>
    <x v="184"/>
    <x v="6"/>
    <x v="6"/>
    <x v="1"/>
    <x v="13"/>
    <x v="25"/>
    <x v="413"/>
    <x v="2889"/>
    <x v="0"/>
    <s v="NEGOCIOS"/>
    <x v="1"/>
  </r>
  <r>
    <x v="55"/>
    <x v="314"/>
    <x v="6"/>
    <x v="6"/>
    <x v="1"/>
    <x v="13"/>
    <x v="26"/>
    <x v="372"/>
    <x v="2247"/>
    <x v="0"/>
    <s v="NEGOCIOS"/>
    <x v="1"/>
  </r>
  <r>
    <x v="55"/>
    <x v="188"/>
    <x v="6"/>
    <x v="6"/>
    <x v="1"/>
    <x v="13"/>
    <x v="25"/>
    <x v="407"/>
    <x v="2890"/>
    <x v="0"/>
    <s v="NEGOCIOS"/>
    <x v="1"/>
  </r>
  <r>
    <x v="55"/>
    <x v="277"/>
    <x v="7"/>
    <x v="7"/>
    <x v="1"/>
    <x v="14"/>
    <x v="25"/>
    <x v="325"/>
    <x v="1104"/>
    <x v="0"/>
    <s v="NEGOCIOS"/>
    <x v="1"/>
  </r>
  <r>
    <x v="55"/>
    <x v="225"/>
    <x v="7"/>
    <x v="7"/>
    <x v="1"/>
    <x v="14"/>
    <x v="21"/>
    <x v="416"/>
    <x v="2891"/>
    <x v="0"/>
    <s v="NEGOCIOS"/>
    <x v="1"/>
  </r>
  <r>
    <x v="55"/>
    <x v="309"/>
    <x v="7"/>
    <x v="7"/>
    <x v="1"/>
    <x v="14"/>
    <x v="21"/>
    <x v="334"/>
    <x v="2574"/>
    <x v="0"/>
    <s v="NEGOCIOS"/>
    <x v="1"/>
  </r>
  <r>
    <x v="55"/>
    <x v="252"/>
    <x v="7"/>
    <x v="7"/>
    <x v="1"/>
    <x v="14"/>
    <x v="21"/>
    <x v="396"/>
    <x v="1095"/>
    <x v="0"/>
    <s v="NEGOCIOS"/>
    <x v="1"/>
  </r>
  <r>
    <x v="55"/>
    <x v="209"/>
    <x v="7"/>
    <x v="7"/>
    <x v="1"/>
    <x v="14"/>
    <x v="21"/>
    <x v="428"/>
    <x v="2892"/>
    <x v="0"/>
    <s v="NEGOCIOS"/>
    <x v="1"/>
  </r>
  <r>
    <x v="55"/>
    <x v="253"/>
    <x v="7"/>
    <x v="7"/>
    <x v="1"/>
    <x v="14"/>
    <x v="21"/>
    <x v="292"/>
    <x v="2893"/>
    <x v="0"/>
    <s v="NEGOCIOS"/>
    <x v="1"/>
  </r>
  <r>
    <x v="55"/>
    <x v="171"/>
    <x v="7"/>
    <x v="7"/>
    <x v="1"/>
    <x v="14"/>
    <x v="21"/>
    <x v="429"/>
    <x v="2894"/>
    <x v="0"/>
    <s v="NEGOCIOS"/>
    <x v="1"/>
  </r>
  <r>
    <x v="55"/>
    <x v="321"/>
    <x v="8"/>
    <x v="8"/>
    <x v="1"/>
    <x v="14"/>
    <x v="21"/>
    <x v="430"/>
    <x v="2895"/>
    <x v="0"/>
    <s v="NEGOCIOS"/>
    <x v="1"/>
  </r>
  <r>
    <x v="55"/>
    <x v="192"/>
    <x v="8"/>
    <x v="8"/>
    <x v="1"/>
    <x v="14"/>
    <x v="25"/>
    <x v="300"/>
    <x v="1112"/>
    <x v="0"/>
    <s v="NEGOCIOS"/>
    <x v="1"/>
  </r>
  <r>
    <x v="55"/>
    <x v="289"/>
    <x v="8"/>
    <x v="8"/>
    <x v="1"/>
    <x v="14"/>
    <x v="21"/>
    <x v="301"/>
    <x v="2896"/>
    <x v="0"/>
    <s v="NEGOCIOS"/>
    <x v="1"/>
  </r>
  <r>
    <x v="55"/>
    <x v="254"/>
    <x v="8"/>
    <x v="8"/>
    <x v="1"/>
    <x v="14"/>
    <x v="21"/>
    <x v="326"/>
    <x v="2897"/>
    <x v="0"/>
    <s v="NEGOCIOS"/>
    <x v="1"/>
  </r>
  <r>
    <x v="55"/>
    <x v="172"/>
    <x v="8"/>
    <x v="8"/>
    <x v="1"/>
    <x v="14"/>
    <x v="21"/>
    <x v="431"/>
    <x v="2898"/>
    <x v="0"/>
    <s v="NEGOCIOS"/>
    <x v="1"/>
  </r>
  <r>
    <x v="55"/>
    <x v="323"/>
    <x v="8"/>
    <x v="8"/>
    <x v="1"/>
    <x v="14"/>
    <x v="21"/>
    <x v="367"/>
    <x v="2899"/>
    <x v="0"/>
    <s v="NEGOCIOS"/>
    <x v="1"/>
  </r>
  <r>
    <x v="55"/>
    <x v="245"/>
    <x v="8"/>
    <x v="8"/>
    <x v="1"/>
    <x v="14"/>
    <x v="21"/>
    <x v="285"/>
    <x v="2900"/>
    <x v="0"/>
    <s v="NEGOCIOS"/>
    <x v="1"/>
  </r>
  <r>
    <x v="55"/>
    <x v="173"/>
    <x v="8"/>
    <x v="8"/>
    <x v="1"/>
    <x v="14"/>
    <x v="21"/>
    <x v="378"/>
    <x v="2901"/>
    <x v="0"/>
    <s v="NEGOCIOS"/>
    <x v="1"/>
  </r>
  <r>
    <x v="55"/>
    <x v="306"/>
    <x v="9"/>
    <x v="9"/>
    <x v="1"/>
    <x v="14"/>
    <x v="25"/>
    <x v="336"/>
    <x v="2902"/>
    <x v="0"/>
    <s v="NEGOCIOS"/>
    <x v="1"/>
  </r>
  <r>
    <x v="55"/>
    <x v="337"/>
    <x v="9"/>
    <x v="9"/>
    <x v="1"/>
    <x v="14"/>
    <x v="21"/>
    <x v="424"/>
    <x v="2903"/>
    <x v="0"/>
    <s v="NEGOCIOS"/>
    <x v="1"/>
  </r>
  <r>
    <x v="55"/>
    <x v="303"/>
    <x v="9"/>
    <x v="9"/>
    <x v="1"/>
    <x v="14"/>
    <x v="21"/>
    <x v="327"/>
    <x v="2904"/>
    <x v="0"/>
    <s v="NEGOCIOS"/>
    <x v="1"/>
  </r>
  <r>
    <x v="55"/>
    <x v="238"/>
    <x v="9"/>
    <x v="9"/>
    <x v="1"/>
    <x v="14"/>
    <x v="21"/>
    <x v="379"/>
    <x v="2905"/>
    <x v="0"/>
    <s v="NEGOCIOS"/>
    <x v="1"/>
  </r>
  <r>
    <x v="55"/>
    <x v="197"/>
    <x v="9"/>
    <x v="9"/>
    <x v="1"/>
    <x v="14"/>
    <x v="21"/>
    <x v="432"/>
    <x v="2906"/>
    <x v="0"/>
    <s v="NEGOCIOS"/>
    <x v="1"/>
  </r>
  <r>
    <x v="55"/>
    <x v="211"/>
    <x v="9"/>
    <x v="9"/>
    <x v="1"/>
    <x v="14"/>
    <x v="25"/>
    <x v="286"/>
    <x v="2907"/>
    <x v="0"/>
    <s v="NEGOCIOS"/>
    <x v="1"/>
  </r>
  <r>
    <x v="55"/>
    <x v="286"/>
    <x v="10"/>
    <x v="10"/>
    <x v="1"/>
    <x v="14"/>
    <x v="25"/>
    <x v="297"/>
    <x v="1104"/>
    <x v="0"/>
    <s v="NEGOCIOS"/>
    <x v="1"/>
  </r>
  <r>
    <x v="55"/>
    <x v="212"/>
    <x v="10"/>
    <x v="10"/>
    <x v="1"/>
    <x v="14"/>
    <x v="25"/>
    <x v="319"/>
    <x v="146"/>
    <x v="0"/>
    <s v="NEGOCIOS"/>
    <x v="1"/>
  </r>
  <r>
    <x v="55"/>
    <x v="310"/>
    <x v="10"/>
    <x v="10"/>
    <x v="1"/>
    <x v="14"/>
    <x v="25"/>
    <x v="335"/>
    <x v="2908"/>
    <x v="0"/>
    <s v="NEGOCIOS"/>
    <x v="1"/>
  </r>
  <r>
    <x v="55"/>
    <x v="317"/>
    <x v="10"/>
    <x v="10"/>
    <x v="1"/>
    <x v="14"/>
    <x v="25"/>
    <x v="401"/>
    <x v="2909"/>
    <x v="0"/>
    <s v="NEGOCIOS"/>
    <x v="1"/>
  </r>
  <r>
    <x v="55"/>
    <x v="243"/>
    <x v="10"/>
    <x v="10"/>
    <x v="1"/>
    <x v="14"/>
    <x v="25"/>
    <x v="411"/>
    <x v="611"/>
    <x v="0"/>
    <s v="NEGOCIOS"/>
    <x v="1"/>
  </r>
  <r>
    <x v="55"/>
    <x v="232"/>
    <x v="10"/>
    <x v="10"/>
    <x v="1"/>
    <x v="14"/>
    <x v="25"/>
    <x v="290"/>
    <x v="2513"/>
    <x v="0"/>
    <s v="NEGOCIOS"/>
    <x v="1"/>
  </r>
  <r>
    <x v="55"/>
    <x v="244"/>
    <x v="10"/>
    <x v="10"/>
    <x v="1"/>
    <x v="14"/>
    <x v="25"/>
    <x v="433"/>
    <x v="2910"/>
    <x v="0"/>
    <s v="NEGOCIOS"/>
    <x v="1"/>
  </r>
  <r>
    <x v="55"/>
    <x v="199"/>
    <x v="10"/>
    <x v="10"/>
    <x v="1"/>
    <x v="14"/>
    <x v="25"/>
    <x v="298"/>
    <x v="2911"/>
    <x v="0"/>
    <s v="NEGOCIOS"/>
    <x v="1"/>
  </r>
  <r>
    <x v="55"/>
    <x v="189"/>
    <x v="10"/>
    <x v="10"/>
    <x v="1"/>
    <x v="14"/>
    <x v="25"/>
    <x v="345"/>
    <x v="874"/>
    <x v="0"/>
    <s v="NEGOCIOS"/>
    <x v="1"/>
  </r>
  <r>
    <x v="55"/>
    <x v="269"/>
    <x v="11"/>
    <x v="11"/>
    <x v="1"/>
    <x v="14"/>
    <x v="25"/>
    <x v="403"/>
    <x v="736"/>
    <x v="0"/>
    <s v="NEGOCIOS"/>
    <x v="1"/>
  </r>
  <r>
    <x v="55"/>
    <x v="200"/>
    <x v="11"/>
    <x v="11"/>
    <x v="1"/>
    <x v="14"/>
    <x v="25"/>
    <x v="351"/>
    <x v="1104"/>
    <x v="0"/>
    <s v="NEGOCIOS"/>
    <x v="1"/>
  </r>
  <r>
    <x v="55"/>
    <x v="325"/>
    <x v="11"/>
    <x v="11"/>
    <x v="1"/>
    <x v="14"/>
    <x v="25"/>
    <x v="421"/>
    <x v="2850"/>
    <x v="0"/>
    <s v="NEGOCIOS"/>
    <x v="1"/>
  </r>
  <r>
    <x v="55"/>
    <x v="177"/>
    <x v="11"/>
    <x v="11"/>
    <x v="1"/>
    <x v="14"/>
    <x v="25"/>
    <x v="346"/>
    <x v="2912"/>
    <x v="0"/>
    <s v="NEGOCIOS"/>
    <x v="1"/>
  </r>
  <r>
    <x v="55"/>
    <x v="299"/>
    <x v="11"/>
    <x v="11"/>
    <x v="1"/>
    <x v="14"/>
    <x v="25"/>
    <x v="315"/>
    <x v="2913"/>
    <x v="0"/>
    <s v="NEGOCIOS"/>
    <x v="1"/>
  </r>
  <r>
    <x v="55"/>
    <x v="202"/>
    <x v="11"/>
    <x v="11"/>
    <x v="1"/>
    <x v="14"/>
    <x v="25"/>
    <x v="305"/>
    <x v="1203"/>
    <x v="0"/>
    <s v="NEGOCIOS"/>
    <x v="1"/>
  </r>
  <r>
    <x v="55"/>
    <x v="273"/>
    <x v="11"/>
    <x v="11"/>
    <x v="1"/>
    <x v="14"/>
    <x v="25"/>
    <x v="354"/>
    <x v="2914"/>
    <x v="0"/>
    <s v="NEGOCIOS"/>
    <x v="1"/>
  </r>
  <r>
    <x v="55"/>
    <x v="215"/>
    <x v="2"/>
    <x v="2"/>
    <x v="1"/>
    <x v="14"/>
    <x v="25"/>
    <x v="322"/>
    <x v="2915"/>
    <x v="0"/>
    <s v="NEGOCIOS"/>
    <x v="1"/>
  </r>
  <r>
    <x v="55"/>
    <x v="221"/>
    <x v="2"/>
    <x v="2"/>
    <x v="1"/>
    <x v="14"/>
    <x v="25"/>
    <x v="347"/>
    <x v="2916"/>
    <x v="0"/>
    <s v="NEGOCIOS"/>
    <x v="1"/>
  </r>
  <r>
    <x v="55"/>
    <x v="284"/>
    <x v="2"/>
    <x v="2"/>
    <x v="1"/>
    <x v="14"/>
    <x v="25"/>
    <x v="383"/>
    <x v="2917"/>
    <x v="0"/>
    <s v="NEGOCIOS"/>
    <x v="1"/>
  </r>
  <r>
    <x v="55"/>
    <x v="270"/>
    <x v="2"/>
    <x v="2"/>
    <x v="1"/>
    <x v="14"/>
    <x v="25"/>
    <x v="363"/>
    <x v="2918"/>
    <x v="0"/>
    <s v="NEGOCIOS"/>
    <x v="1"/>
  </r>
  <r>
    <x v="55"/>
    <x v="216"/>
    <x v="2"/>
    <x v="2"/>
    <x v="1"/>
    <x v="14"/>
    <x v="25"/>
    <x v="332"/>
    <x v="816"/>
    <x v="0"/>
    <s v="NEGOCIOS"/>
    <x v="1"/>
  </r>
  <r>
    <x v="55"/>
    <x v="257"/>
    <x v="2"/>
    <x v="2"/>
    <x v="1"/>
    <x v="14"/>
    <x v="25"/>
    <x v="410"/>
    <x v="2919"/>
    <x v="0"/>
    <s v="NEGOCIOS"/>
    <x v="1"/>
  </r>
  <r>
    <x v="55"/>
    <x v="316"/>
    <x v="2"/>
    <x v="2"/>
    <x v="1"/>
    <x v="14"/>
    <x v="25"/>
    <x v="348"/>
    <x v="2920"/>
    <x v="0"/>
    <s v="NEGOCIOS"/>
    <x v="1"/>
  </r>
  <r>
    <x v="55"/>
    <x v="304"/>
    <x v="2"/>
    <x v="2"/>
    <x v="1"/>
    <x v="14"/>
    <x v="25"/>
    <x v="329"/>
    <x v="1176"/>
    <x v="0"/>
    <s v="NEGOCIOS"/>
    <x v="1"/>
  </r>
  <r>
    <x v="55"/>
    <x v="246"/>
    <x v="2"/>
    <x v="2"/>
    <x v="1"/>
    <x v="14"/>
    <x v="25"/>
    <x v="287"/>
    <x v="2921"/>
    <x v="0"/>
    <s v="NEGOCIOS"/>
    <x v="1"/>
  </r>
  <r>
    <x v="55"/>
    <x v="217"/>
    <x v="6"/>
    <x v="6"/>
    <x v="1"/>
    <x v="14"/>
    <x v="25"/>
    <x v="323"/>
    <x v="2922"/>
    <x v="0"/>
    <s v="NEGOCIOS"/>
    <x v="1"/>
  </r>
  <r>
    <x v="55"/>
    <x v="265"/>
    <x v="6"/>
    <x v="6"/>
    <x v="1"/>
    <x v="14"/>
    <x v="25"/>
    <x v="386"/>
    <x v="2923"/>
    <x v="0"/>
    <s v="NEGOCIOS"/>
    <x v="1"/>
  </r>
  <r>
    <x v="55"/>
    <x v="184"/>
    <x v="6"/>
    <x v="6"/>
    <x v="1"/>
    <x v="14"/>
    <x v="25"/>
    <x v="413"/>
    <x v="2924"/>
    <x v="0"/>
    <s v="NEGOCIOS"/>
    <x v="1"/>
  </r>
  <r>
    <x v="55"/>
    <x v="314"/>
    <x v="6"/>
    <x v="6"/>
    <x v="1"/>
    <x v="14"/>
    <x v="25"/>
    <x v="372"/>
    <x v="911"/>
    <x v="0"/>
    <s v="NEGOCIOS"/>
    <x v="1"/>
  </r>
  <r>
    <x v="55"/>
    <x v="296"/>
    <x v="6"/>
    <x v="6"/>
    <x v="1"/>
    <x v="14"/>
    <x v="25"/>
    <x v="312"/>
    <x v="2925"/>
    <x v="0"/>
    <s v="NEGOCIOS"/>
    <x v="1"/>
  </r>
  <r>
    <x v="55"/>
    <x v="313"/>
    <x v="6"/>
    <x v="6"/>
    <x v="1"/>
    <x v="14"/>
    <x v="25"/>
    <x v="341"/>
    <x v="2926"/>
    <x v="0"/>
    <s v="NEGOCIOS"/>
    <x v="1"/>
  </r>
  <r>
    <x v="55"/>
    <x v="174"/>
    <x v="6"/>
    <x v="6"/>
    <x v="1"/>
    <x v="14"/>
    <x v="25"/>
    <x v="282"/>
    <x v="2927"/>
    <x v="0"/>
    <s v="NEGOCIOS"/>
    <x v="1"/>
  </r>
  <r>
    <x v="55"/>
    <x v="277"/>
    <x v="7"/>
    <x v="7"/>
    <x v="1"/>
    <x v="15"/>
    <x v="25"/>
    <x v="325"/>
    <x v="925"/>
    <x v="0"/>
    <s v="NEGOCIOS"/>
    <x v="1"/>
  </r>
  <r>
    <x v="55"/>
    <x v="277"/>
    <x v="7"/>
    <x v="7"/>
    <x v="1"/>
    <x v="15"/>
    <x v="21"/>
    <x v="325"/>
    <x v="146"/>
    <x v="0"/>
    <s v="NEGOCIOS"/>
    <x v="1"/>
  </r>
  <r>
    <x v="55"/>
    <x v="327"/>
    <x v="7"/>
    <x v="7"/>
    <x v="1"/>
    <x v="15"/>
    <x v="21"/>
    <x v="387"/>
    <x v="146"/>
    <x v="0"/>
    <s v="NEGOCIOS"/>
    <x v="1"/>
  </r>
  <r>
    <x v="55"/>
    <x v="179"/>
    <x v="7"/>
    <x v="7"/>
    <x v="1"/>
    <x v="15"/>
    <x v="21"/>
    <x v="415"/>
    <x v="2928"/>
    <x v="0"/>
    <s v="NEGOCIOS"/>
    <x v="1"/>
  </r>
  <r>
    <x v="55"/>
    <x v="259"/>
    <x v="7"/>
    <x v="7"/>
    <x v="1"/>
    <x v="15"/>
    <x v="21"/>
    <x v="355"/>
    <x v="146"/>
    <x v="0"/>
    <s v="NEGOCIOS"/>
    <x v="1"/>
  </r>
  <r>
    <x v="55"/>
    <x v="192"/>
    <x v="8"/>
    <x v="8"/>
    <x v="1"/>
    <x v="15"/>
    <x v="25"/>
    <x v="300"/>
    <x v="925"/>
    <x v="0"/>
    <s v="NEGOCIOS"/>
    <x v="1"/>
  </r>
  <r>
    <x v="55"/>
    <x v="326"/>
    <x v="8"/>
    <x v="8"/>
    <x v="1"/>
    <x v="15"/>
    <x v="21"/>
    <x v="423"/>
    <x v="2734"/>
    <x v="0"/>
    <s v="NEGOCIOS"/>
    <x v="1"/>
  </r>
  <r>
    <x v="55"/>
    <x v="254"/>
    <x v="8"/>
    <x v="8"/>
    <x v="1"/>
    <x v="15"/>
    <x v="21"/>
    <x v="326"/>
    <x v="146"/>
    <x v="0"/>
    <s v="NEGOCIOS"/>
    <x v="1"/>
  </r>
  <r>
    <x v="55"/>
    <x v="323"/>
    <x v="8"/>
    <x v="8"/>
    <x v="1"/>
    <x v="15"/>
    <x v="21"/>
    <x v="367"/>
    <x v="2929"/>
    <x v="0"/>
    <s v="NEGOCIOS"/>
    <x v="1"/>
  </r>
  <r>
    <x v="55"/>
    <x v="306"/>
    <x v="9"/>
    <x v="9"/>
    <x v="1"/>
    <x v="15"/>
    <x v="25"/>
    <x v="336"/>
    <x v="925"/>
    <x v="0"/>
    <s v="NEGOCIOS"/>
    <x v="1"/>
  </r>
  <r>
    <x v="55"/>
    <x v="227"/>
    <x v="9"/>
    <x v="9"/>
    <x v="1"/>
    <x v="15"/>
    <x v="21"/>
    <x v="399"/>
    <x v="2930"/>
    <x v="0"/>
    <s v="NEGOCIOS"/>
    <x v="1"/>
  </r>
  <r>
    <x v="55"/>
    <x v="303"/>
    <x v="9"/>
    <x v="9"/>
    <x v="1"/>
    <x v="15"/>
    <x v="21"/>
    <x v="327"/>
    <x v="874"/>
    <x v="0"/>
    <s v="NEGOCIOS"/>
    <x v="1"/>
  </r>
  <r>
    <x v="55"/>
    <x v="197"/>
    <x v="9"/>
    <x v="9"/>
    <x v="1"/>
    <x v="15"/>
    <x v="21"/>
    <x v="432"/>
    <x v="1182"/>
    <x v="0"/>
    <s v="NEGOCIOS"/>
    <x v="1"/>
  </r>
  <r>
    <x v="55"/>
    <x v="286"/>
    <x v="10"/>
    <x v="10"/>
    <x v="1"/>
    <x v="15"/>
    <x v="25"/>
    <x v="297"/>
    <x v="925"/>
    <x v="0"/>
    <s v="NEGOCIOS"/>
    <x v="1"/>
  </r>
  <r>
    <x v="55"/>
    <x v="212"/>
    <x v="10"/>
    <x v="10"/>
    <x v="1"/>
    <x v="15"/>
    <x v="25"/>
    <x v="319"/>
    <x v="2931"/>
    <x v="0"/>
    <s v="NEGOCIOS"/>
    <x v="1"/>
  </r>
  <r>
    <x v="55"/>
    <x v="248"/>
    <x v="10"/>
    <x v="10"/>
    <x v="1"/>
    <x v="15"/>
    <x v="26"/>
    <x v="304"/>
    <x v="1"/>
    <x v="261"/>
    <s v="NEGOCIOS"/>
    <x v="1"/>
  </r>
  <r>
    <x v="55"/>
    <x v="200"/>
    <x v="11"/>
    <x v="11"/>
    <x v="1"/>
    <x v="15"/>
    <x v="25"/>
    <x v="351"/>
    <x v="925"/>
    <x v="0"/>
    <s v="NEGOCIOS"/>
    <x v="1"/>
  </r>
  <r>
    <x v="55"/>
    <x v="220"/>
    <x v="11"/>
    <x v="11"/>
    <x v="1"/>
    <x v="15"/>
    <x v="25"/>
    <x v="309"/>
    <x v="874"/>
    <x v="0"/>
    <s v="NEGOCIOS"/>
    <x v="1"/>
  </r>
  <r>
    <x v="55"/>
    <x v="193"/>
    <x v="11"/>
    <x v="11"/>
    <x v="1"/>
    <x v="15"/>
    <x v="25"/>
    <x v="369"/>
    <x v="2932"/>
    <x v="0"/>
    <s v="NEGOCIOS"/>
    <x v="1"/>
  </r>
  <r>
    <x v="55"/>
    <x v="302"/>
    <x v="11"/>
    <x v="11"/>
    <x v="1"/>
    <x v="15"/>
    <x v="25"/>
    <x v="324"/>
    <x v="2933"/>
    <x v="0"/>
    <s v="NEGOCIOS"/>
    <x v="1"/>
  </r>
  <r>
    <x v="55"/>
    <x v="330"/>
    <x v="11"/>
    <x v="11"/>
    <x v="1"/>
    <x v="15"/>
    <x v="25"/>
    <x v="381"/>
    <x v="2934"/>
    <x v="0"/>
    <s v="NEGOCIOS"/>
    <x v="1"/>
  </r>
  <r>
    <x v="55"/>
    <x v="221"/>
    <x v="2"/>
    <x v="2"/>
    <x v="1"/>
    <x v="15"/>
    <x v="25"/>
    <x v="347"/>
    <x v="925"/>
    <x v="0"/>
    <s v="NEGOCIOS"/>
    <x v="1"/>
  </r>
  <r>
    <x v="55"/>
    <x v="284"/>
    <x v="2"/>
    <x v="2"/>
    <x v="1"/>
    <x v="15"/>
    <x v="25"/>
    <x v="383"/>
    <x v="2930"/>
    <x v="0"/>
    <s v="NEGOCIOS"/>
    <x v="1"/>
  </r>
  <r>
    <x v="55"/>
    <x v="265"/>
    <x v="6"/>
    <x v="6"/>
    <x v="1"/>
    <x v="15"/>
    <x v="25"/>
    <x v="386"/>
    <x v="925"/>
    <x v="0"/>
    <s v="NEGOCIOS"/>
    <x v="1"/>
  </r>
  <r>
    <x v="55"/>
    <x v="290"/>
    <x v="9"/>
    <x v="9"/>
    <x v="1"/>
    <x v="27"/>
    <x v="25"/>
    <x v="302"/>
    <x v="2935"/>
    <x v="0"/>
    <s v="NEGOCIOS"/>
    <x v="1"/>
  </r>
  <r>
    <x v="55"/>
    <x v="316"/>
    <x v="2"/>
    <x v="2"/>
    <x v="1"/>
    <x v="27"/>
    <x v="25"/>
    <x v="348"/>
    <x v="2815"/>
    <x v="0"/>
    <s v="NEGOCIOS"/>
    <x v="1"/>
  </r>
  <r>
    <x v="55"/>
    <x v="248"/>
    <x v="10"/>
    <x v="10"/>
    <x v="1"/>
    <x v="28"/>
    <x v="25"/>
    <x v="304"/>
    <x v="2707"/>
    <x v="0"/>
    <s v="NEGOCIOS"/>
    <x v="1"/>
  </r>
  <r>
    <x v="55"/>
    <x v="269"/>
    <x v="11"/>
    <x v="11"/>
    <x v="1"/>
    <x v="28"/>
    <x v="25"/>
    <x v="403"/>
    <x v="849"/>
    <x v="0"/>
    <s v="NEGOCIOS"/>
    <x v="1"/>
  </r>
  <r>
    <x v="55"/>
    <x v="182"/>
    <x v="2"/>
    <x v="2"/>
    <x v="1"/>
    <x v="28"/>
    <x v="25"/>
    <x v="392"/>
    <x v="2936"/>
    <x v="0"/>
    <s v="NEGOCIOS"/>
    <x v="1"/>
  </r>
  <r>
    <x v="55"/>
    <x v="270"/>
    <x v="2"/>
    <x v="2"/>
    <x v="1"/>
    <x v="28"/>
    <x v="25"/>
    <x v="363"/>
    <x v="2937"/>
    <x v="0"/>
    <s v="NEGOCIOS"/>
    <x v="1"/>
  </r>
  <r>
    <x v="55"/>
    <x v="280"/>
    <x v="2"/>
    <x v="2"/>
    <x v="1"/>
    <x v="28"/>
    <x v="25"/>
    <x v="295"/>
    <x v="2938"/>
    <x v="0"/>
    <s v="NEGOCIOS"/>
    <x v="1"/>
  </r>
  <r>
    <x v="55"/>
    <x v="223"/>
    <x v="2"/>
    <x v="2"/>
    <x v="1"/>
    <x v="28"/>
    <x v="25"/>
    <x v="434"/>
    <x v="2939"/>
    <x v="0"/>
    <s v="NEGOCIOS"/>
    <x v="1"/>
  </r>
  <r>
    <x v="55"/>
    <x v="276"/>
    <x v="2"/>
    <x v="2"/>
    <x v="1"/>
    <x v="28"/>
    <x v="25"/>
    <x v="385"/>
    <x v="2940"/>
    <x v="0"/>
    <s v="NEGOCIOS"/>
    <x v="1"/>
  </r>
  <r>
    <x v="55"/>
    <x v="281"/>
    <x v="6"/>
    <x v="6"/>
    <x v="1"/>
    <x v="28"/>
    <x v="25"/>
    <x v="395"/>
    <x v="110"/>
    <x v="0"/>
    <s v="NEGOCIOS"/>
    <x v="1"/>
  </r>
  <r>
    <x v="55"/>
    <x v="265"/>
    <x v="6"/>
    <x v="6"/>
    <x v="1"/>
    <x v="28"/>
    <x v="25"/>
    <x v="386"/>
    <x v="2941"/>
    <x v="0"/>
    <s v="NEGOCIOS"/>
    <x v="1"/>
  </r>
  <r>
    <x v="55"/>
    <x v="296"/>
    <x v="6"/>
    <x v="6"/>
    <x v="1"/>
    <x v="28"/>
    <x v="21"/>
    <x v="312"/>
    <x v="1024"/>
    <x v="0"/>
    <s v="NEGOCIOS"/>
    <x v="1"/>
  </r>
  <r>
    <x v="55"/>
    <x v="296"/>
    <x v="6"/>
    <x v="6"/>
    <x v="1"/>
    <x v="28"/>
    <x v="25"/>
    <x v="312"/>
    <x v="2213"/>
    <x v="0"/>
    <s v="NEGOCIOS"/>
    <x v="1"/>
  </r>
  <r>
    <x v="55"/>
    <x v="203"/>
    <x v="6"/>
    <x v="6"/>
    <x v="1"/>
    <x v="28"/>
    <x v="25"/>
    <x v="288"/>
    <x v="1941"/>
    <x v="0"/>
    <s v="NEGOCIOS"/>
    <x v="1"/>
  </r>
  <r>
    <x v="55"/>
    <x v="188"/>
    <x v="6"/>
    <x v="6"/>
    <x v="1"/>
    <x v="28"/>
    <x v="25"/>
    <x v="407"/>
    <x v="774"/>
    <x v="0"/>
    <s v="NEGOCIOS"/>
    <x v="1"/>
  </r>
  <r>
    <x v="55"/>
    <x v="271"/>
    <x v="6"/>
    <x v="6"/>
    <x v="1"/>
    <x v="28"/>
    <x v="25"/>
    <x v="426"/>
    <x v="763"/>
    <x v="0"/>
    <s v="NEGOCIOS"/>
    <x v="1"/>
  </r>
  <r>
    <x v="55"/>
    <x v="174"/>
    <x v="6"/>
    <x v="6"/>
    <x v="1"/>
    <x v="28"/>
    <x v="25"/>
    <x v="282"/>
    <x v="2942"/>
    <x v="0"/>
    <s v="NEGOCIOS"/>
    <x v="1"/>
  </r>
  <r>
    <x v="55"/>
    <x v="190"/>
    <x v="6"/>
    <x v="6"/>
    <x v="1"/>
    <x v="28"/>
    <x v="21"/>
    <x v="342"/>
    <x v="2829"/>
    <x v="0"/>
    <s v="NEGOCIOS"/>
    <x v="1"/>
  </r>
  <r>
    <x v="55"/>
    <x v="308"/>
    <x v="7"/>
    <x v="7"/>
    <x v="1"/>
    <x v="29"/>
    <x v="21"/>
    <x v="333"/>
    <x v="2943"/>
    <x v="0"/>
    <s v="NEGOCIOS"/>
    <x v="1"/>
  </r>
  <r>
    <x v="55"/>
    <x v="328"/>
    <x v="7"/>
    <x v="7"/>
    <x v="1"/>
    <x v="29"/>
    <x v="26"/>
    <x v="366"/>
    <x v="2944"/>
    <x v="0"/>
    <s v="NEGOCIOS"/>
    <x v="1"/>
  </r>
  <r>
    <x v="55"/>
    <x v="323"/>
    <x v="8"/>
    <x v="8"/>
    <x v="1"/>
    <x v="29"/>
    <x v="26"/>
    <x v="367"/>
    <x v="1412"/>
    <x v="0"/>
    <s v="NEGOCIOS"/>
    <x v="1"/>
  </r>
  <r>
    <x v="55"/>
    <x v="262"/>
    <x v="9"/>
    <x v="9"/>
    <x v="1"/>
    <x v="29"/>
    <x v="26"/>
    <x v="368"/>
    <x v="1805"/>
    <x v="0"/>
    <s v="NEGOCIOS"/>
    <x v="1"/>
  </r>
  <r>
    <x v="55"/>
    <x v="199"/>
    <x v="10"/>
    <x v="10"/>
    <x v="1"/>
    <x v="29"/>
    <x v="26"/>
    <x v="298"/>
    <x v="1838"/>
    <x v="0"/>
    <s v="NEGOCIOS"/>
    <x v="1"/>
  </r>
  <r>
    <x v="55"/>
    <x v="299"/>
    <x v="11"/>
    <x v="11"/>
    <x v="1"/>
    <x v="29"/>
    <x v="26"/>
    <x v="315"/>
    <x v="1"/>
    <x v="592"/>
    <s v="NEGOCIOS"/>
    <x v="1"/>
  </r>
  <r>
    <x v="55"/>
    <x v="193"/>
    <x v="11"/>
    <x v="11"/>
    <x v="1"/>
    <x v="29"/>
    <x v="26"/>
    <x v="369"/>
    <x v="2945"/>
    <x v="0"/>
    <s v="NEGOCIOS"/>
    <x v="1"/>
  </r>
  <r>
    <x v="55"/>
    <x v="225"/>
    <x v="7"/>
    <x v="7"/>
    <x v="1"/>
    <x v="30"/>
    <x v="21"/>
    <x v="416"/>
    <x v="1288"/>
    <x v="0"/>
    <s v="NEGOCIOS"/>
    <x v="1"/>
  </r>
  <r>
    <x v="55"/>
    <x v="225"/>
    <x v="7"/>
    <x v="7"/>
    <x v="1"/>
    <x v="30"/>
    <x v="25"/>
    <x v="416"/>
    <x v="2946"/>
    <x v="0"/>
    <s v="NEGOCIOS"/>
    <x v="1"/>
  </r>
  <r>
    <x v="55"/>
    <x v="252"/>
    <x v="7"/>
    <x v="7"/>
    <x v="1"/>
    <x v="30"/>
    <x v="21"/>
    <x v="396"/>
    <x v="2947"/>
    <x v="0"/>
    <s v="NEGOCIOS"/>
    <x v="1"/>
  </r>
  <r>
    <x v="55"/>
    <x v="206"/>
    <x v="7"/>
    <x v="7"/>
    <x v="1"/>
    <x v="30"/>
    <x v="21"/>
    <x v="284"/>
    <x v="2948"/>
    <x v="0"/>
    <s v="NEGOCIOS"/>
    <x v="1"/>
  </r>
  <r>
    <x v="55"/>
    <x v="332"/>
    <x v="7"/>
    <x v="7"/>
    <x v="1"/>
    <x v="30"/>
    <x v="21"/>
    <x v="397"/>
    <x v="1067"/>
    <x v="0"/>
    <s v="NEGOCIOS"/>
    <x v="1"/>
  </r>
  <r>
    <x v="55"/>
    <x v="247"/>
    <x v="8"/>
    <x v="8"/>
    <x v="1"/>
    <x v="30"/>
    <x v="21"/>
    <x v="289"/>
    <x v="2949"/>
    <x v="0"/>
    <s v="NEGOCIOS"/>
    <x v="1"/>
  </r>
  <r>
    <x v="55"/>
    <x v="254"/>
    <x v="8"/>
    <x v="8"/>
    <x v="1"/>
    <x v="30"/>
    <x v="21"/>
    <x v="326"/>
    <x v="764"/>
    <x v="0"/>
    <s v="NEGOCIOS"/>
    <x v="1"/>
  </r>
  <r>
    <x v="55"/>
    <x v="318"/>
    <x v="8"/>
    <x v="8"/>
    <x v="1"/>
    <x v="30"/>
    <x v="21"/>
    <x v="388"/>
    <x v="2950"/>
    <x v="0"/>
    <s v="NEGOCIOS"/>
    <x v="1"/>
  </r>
  <r>
    <x v="55"/>
    <x v="245"/>
    <x v="8"/>
    <x v="8"/>
    <x v="1"/>
    <x v="30"/>
    <x v="21"/>
    <x v="285"/>
    <x v="2064"/>
    <x v="0"/>
    <s v="NEGOCIOS"/>
    <x v="1"/>
  </r>
  <r>
    <x v="55"/>
    <x v="245"/>
    <x v="8"/>
    <x v="8"/>
    <x v="1"/>
    <x v="30"/>
    <x v="25"/>
    <x v="285"/>
    <x v="2951"/>
    <x v="0"/>
    <s v="NEGOCIOS"/>
    <x v="1"/>
  </r>
  <r>
    <x v="55"/>
    <x v="208"/>
    <x v="8"/>
    <x v="8"/>
    <x v="1"/>
    <x v="30"/>
    <x v="21"/>
    <x v="377"/>
    <x v="2952"/>
    <x v="0"/>
    <s v="NEGOCIOS"/>
    <x v="1"/>
  </r>
  <r>
    <x v="55"/>
    <x v="319"/>
    <x v="8"/>
    <x v="8"/>
    <x v="1"/>
    <x v="30"/>
    <x v="21"/>
    <x v="350"/>
    <x v="2953"/>
    <x v="0"/>
    <s v="NEGOCIOS"/>
    <x v="1"/>
  </r>
  <r>
    <x v="55"/>
    <x v="242"/>
    <x v="9"/>
    <x v="9"/>
    <x v="1"/>
    <x v="30"/>
    <x v="21"/>
    <x v="435"/>
    <x v="804"/>
    <x v="0"/>
    <s v="NEGOCIOS"/>
    <x v="1"/>
  </r>
  <r>
    <x v="55"/>
    <x v="211"/>
    <x v="9"/>
    <x v="9"/>
    <x v="1"/>
    <x v="30"/>
    <x v="25"/>
    <x v="286"/>
    <x v="2954"/>
    <x v="0"/>
    <s v="NEGOCIOS"/>
    <x v="1"/>
  </r>
  <r>
    <x v="55"/>
    <x v="331"/>
    <x v="9"/>
    <x v="9"/>
    <x v="1"/>
    <x v="30"/>
    <x v="25"/>
    <x v="391"/>
    <x v="2955"/>
    <x v="0"/>
    <s v="NEGOCIOS"/>
    <x v="1"/>
  </r>
  <r>
    <x v="55"/>
    <x v="263"/>
    <x v="10"/>
    <x v="10"/>
    <x v="1"/>
    <x v="30"/>
    <x v="25"/>
    <x v="436"/>
    <x v="759"/>
    <x v="0"/>
    <s v="NEGOCIOS"/>
    <x v="1"/>
  </r>
  <r>
    <x v="55"/>
    <x v="310"/>
    <x v="10"/>
    <x v="10"/>
    <x v="1"/>
    <x v="30"/>
    <x v="25"/>
    <x v="335"/>
    <x v="2956"/>
    <x v="0"/>
    <s v="NEGOCIOS"/>
    <x v="1"/>
  </r>
  <r>
    <x v="55"/>
    <x v="239"/>
    <x v="10"/>
    <x v="10"/>
    <x v="1"/>
    <x v="30"/>
    <x v="25"/>
    <x v="419"/>
    <x v="1242"/>
    <x v="0"/>
    <s v="NEGOCIOS"/>
    <x v="1"/>
  </r>
  <r>
    <x v="55"/>
    <x v="248"/>
    <x v="10"/>
    <x v="10"/>
    <x v="1"/>
    <x v="30"/>
    <x v="25"/>
    <x v="304"/>
    <x v="2957"/>
    <x v="0"/>
    <s v="NEGOCIOS"/>
    <x v="1"/>
  </r>
  <r>
    <x v="55"/>
    <x v="248"/>
    <x v="10"/>
    <x v="10"/>
    <x v="1"/>
    <x v="30"/>
    <x v="21"/>
    <x v="304"/>
    <x v="2958"/>
    <x v="0"/>
    <s v="NEGOCIOS"/>
    <x v="1"/>
  </r>
  <r>
    <x v="55"/>
    <x v="233"/>
    <x v="10"/>
    <x v="10"/>
    <x v="1"/>
    <x v="30"/>
    <x v="21"/>
    <x v="344"/>
    <x v="2959"/>
    <x v="0"/>
    <s v="NEGOCIOS"/>
    <x v="1"/>
  </r>
  <r>
    <x v="55"/>
    <x v="200"/>
    <x v="11"/>
    <x v="11"/>
    <x v="1"/>
    <x v="30"/>
    <x v="25"/>
    <x v="351"/>
    <x v="2960"/>
    <x v="0"/>
    <s v="NEGOCIOS"/>
    <x v="1"/>
  </r>
  <r>
    <x v="55"/>
    <x v="200"/>
    <x v="11"/>
    <x v="11"/>
    <x v="1"/>
    <x v="30"/>
    <x v="21"/>
    <x v="351"/>
    <x v="1024"/>
    <x v="0"/>
    <s v="NEGOCIOS"/>
    <x v="1"/>
  </r>
  <r>
    <x v="55"/>
    <x v="202"/>
    <x v="11"/>
    <x v="11"/>
    <x v="1"/>
    <x v="30"/>
    <x v="26"/>
    <x v="305"/>
    <x v="2961"/>
    <x v="0"/>
    <s v="NEGOCIOS"/>
    <x v="1"/>
  </r>
  <r>
    <x v="55"/>
    <x v="330"/>
    <x v="11"/>
    <x v="11"/>
    <x v="1"/>
    <x v="30"/>
    <x v="25"/>
    <x v="381"/>
    <x v="2962"/>
    <x v="0"/>
    <s v="NEGOCIOS"/>
    <x v="1"/>
  </r>
  <r>
    <x v="55"/>
    <x v="274"/>
    <x v="11"/>
    <x v="11"/>
    <x v="1"/>
    <x v="30"/>
    <x v="25"/>
    <x v="404"/>
    <x v="2963"/>
    <x v="0"/>
    <s v="NEGOCIOS"/>
    <x v="1"/>
  </r>
  <r>
    <x v="55"/>
    <x v="300"/>
    <x v="2"/>
    <x v="2"/>
    <x v="1"/>
    <x v="30"/>
    <x v="25"/>
    <x v="316"/>
    <x v="911"/>
    <x v="0"/>
    <s v="NEGOCIOS"/>
    <x v="1"/>
  </r>
  <r>
    <x v="55"/>
    <x v="315"/>
    <x v="2"/>
    <x v="2"/>
    <x v="1"/>
    <x v="30"/>
    <x v="25"/>
    <x v="405"/>
    <x v="2964"/>
    <x v="0"/>
    <s v="NEGOCIOS"/>
    <x v="1"/>
  </r>
  <r>
    <x v="55"/>
    <x v="334"/>
    <x v="2"/>
    <x v="2"/>
    <x v="1"/>
    <x v="30"/>
    <x v="21"/>
    <x v="406"/>
    <x v="2965"/>
    <x v="0"/>
    <s v="NEGOCIOS"/>
    <x v="1"/>
  </r>
  <r>
    <x v="55"/>
    <x v="284"/>
    <x v="2"/>
    <x v="2"/>
    <x v="1"/>
    <x v="30"/>
    <x v="26"/>
    <x v="383"/>
    <x v="2966"/>
    <x v="0"/>
    <s v="NEGOCIOS"/>
    <x v="1"/>
  </r>
  <r>
    <x v="55"/>
    <x v="270"/>
    <x v="2"/>
    <x v="2"/>
    <x v="1"/>
    <x v="30"/>
    <x v="26"/>
    <x v="363"/>
    <x v="2967"/>
    <x v="0"/>
    <s v="NEGOCIOS"/>
    <x v="1"/>
  </r>
  <r>
    <x v="55"/>
    <x v="216"/>
    <x v="2"/>
    <x v="2"/>
    <x v="1"/>
    <x v="30"/>
    <x v="25"/>
    <x v="332"/>
    <x v="2968"/>
    <x v="0"/>
    <s v="NEGOCIOS"/>
    <x v="1"/>
  </r>
  <r>
    <x v="55"/>
    <x v="223"/>
    <x v="2"/>
    <x v="2"/>
    <x v="1"/>
    <x v="30"/>
    <x v="21"/>
    <x v="434"/>
    <x v="2969"/>
    <x v="0"/>
    <s v="NEGOCIOS"/>
    <x v="1"/>
  </r>
  <r>
    <x v="55"/>
    <x v="276"/>
    <x v="2"/>
    <x v="2"/>
    <x v="1"/>
    <x v="30"/>
    <x v="25"/>
    <x v="385"/>
    <x v="2970"/>
    <x v="0"/>
    <s v="NEGOCIOS"/>
    <x v="1"/>
  </r>
  <r>
    <x v="55"/>
    <x v="276"/>
    <x v="2"/>
    <x v="2"/>
    <x v="1"/>
    <x v="30"/>
    <x v="21"/>
    <x v="385"/>
    <x v="2971"/>
    <x v="0"/>
    <s v="NEGOCIOS"/>
    <x v="1"/>
  </r>
  <r>
    <x v="55"/>
    <x v="183"/>
    <x v="2"/>
    <x v="2"/>
    <x v="1"/>
    <x v="30"/>
    <x v="25"/>
    <x v="330"/>
    <x v="2972"/>
    <x v="0"/>
    <s v="NEGOCIOS"/>
    <x v="1"/>
  </r>
  <r>
    <x v="55"/>
    <x v="285"/>
    <x v="6"/>
    <x v="6"/>
    <x v="1"/>
    <x v="30"/>
    <x v="21"/>
    <x v="409"/>
    <x v="2973"/>
    <x v="0"/>
    <s v="NEGOCIOS"/>
    <x v="1"/>
  </r>
  <r>
    <x v="55"/>
    <x v="217"/>
    <x v="6"/>
    <x v="6"/>
    <x v="1"/>
    <x v="30"/>
    <x v="25"/>
    <x v="323"/>
    <x v="2974"/>
    <x v="0"/>
    <s v="NEGOCIOS"/>
    <x v="1"/>
  </r>
  <r>
    <x v="55"/>
    <x v="265"/>
    <x v="6"/>
    <x v="6"/>
    <x v="1"/>
    <x v="30"/>
    <x v="25"/>
    <x v="386"/>
    <x v="816"/>
    <x v="0"/>
    <s v="NEGOCIOS"/>
    <x v="1"/>
  </r>
  <r>
    <x v="55"/>
    <x v="265"/>
    <x v="6"/>
    <x v="6"/>
    <x v="1"/>
    <x v="30"/>
    <x v="26"/>
    <x v="386"/>
    <x v="2975"/>
    <x v="0"/>
    <s v="NEGOCIOS"/>
    <x v="1"/>
  </r>
  <r>
    <x v="55"/>
    <x v="184"/>
    <x v="6"/>
    <x v="6"/>
    <x v="1"/>
    <x v="30"/>
    <x v="25"/>
    <x v="413"/>
    <x v="2976"/>
    <x v="0"/>
    <s v="NEGOCIOS"/>
    <x v="1"/>
  </r>
  <r>
    <x v="55"/>
    <x v="236"/>
    <x v="6"/>
    <x v="6"/>
    <x v="1"/>
    <x v="30"/>
    <x v="26"/>
    <x v="371"/>
    <x v="2977"/>
    <x v="0"/>
    <s v="NEGOCIOS"/>
    <x v="1"/>
  </r>
  <r>
    <x v="55"/>
    <x v="335"/>
    <x v="6"/>
    <x v="6"/>
    <x v="1"/>
    <x v="30"/>
    <x v="21"/>
    <x v="408"/>
    <x v="982"/>
    <x v="0"/>
    <s v="NEGOCIOS"/>
    <x v="1"/>
  </r>
  <r>
    <x v="55"/>
    <x v="190"/>
    <x v="6"/>
    <x v="6"/>
    <x v="1"/>
    <x v="30"/>
    <x v="25"/>
    <x v="342"/>
    <x v="899"/>
    <x v="0"/>
    <s v="NEGOCIOS"/>
    <x v="1"/>
  </r>
  <r>
    <x v="55"/>
    <x v="190"/>
    <x v="6"/>
    <x v="6"/>
    <x v="1"/>
    <x v="30"/>
    <x v="21"/>
    <x v="342"/>
    <x v="2978"/>
    <x v="0"/>
    <s v="NEGOCIOS"/>
    <x v="1"/>
  </r>
  <r>
    <x v="55"/>
    <x v="332"/>
    <x v="7"/>
    <x v="7"/>
    <x v="1"/>
    <x v="17"/>
    <x v="26"/>
    <x v="397"/>
    <x v="2979"/>
    <x v="0"/>
    <s v="NEGOCIOS"/>
    <x v="1"/>
  </r>
  <r>
    <x v="55"/>
    <x v="254"/>
    <x v="8"/>
    <x v="8"/>
    <x v="1"/>
    <x v="17"/>
    <x v="21"/>
    <x v="326"/>
    <x v="852"/>
    <x v="0"/>
    <s v="NEGOCIOS"/>
    <x v="1"/>
  </r>
  <r>
    <x v="55"/>
    <x v="261"/>
    <x v="8"/>
    <x v="8"/>
    <x v="1"/>
    <x v="17"/>
    <x v="26"/>
    <x v="320"/>
    <x v="2839"/>
    <x v="0"/>
    <s v="NEGOCIOS"/>
    <x v="1"/>
  </r>
  <r>
    <x v="55"/>
    <x v="323"/>
    <x v="8"/>
    <x v="8"/>
    <x v="1"/>
    <x v="17"/>
    <x v="26"/>
    <x v="367"/>
    <x v="2980"/>
    <x v="0"/>
    <s v="NEGOCIOS"/>
    <x v="1"/>
  </r>
  <r>
    <x v="55"/>
    <x v="227"/>
    <x v="9"/>
    <x v="9"/>
    <x v="1"/>
    <x v="17"/>
    <x v="26"/>
    <x v="399"/>
    <x v="899"/>
    <x v="0"/>
    <s v="NEGOCIOS"/>
    <x v="1"/>
  </r>
  <r>
    <x v="55"/>
    <x v="194"/>
    <x v="9"/>
    <x v="9"/>
    <x v="1"/>
    <x v="17"/>
    <x v="26"/>
    <x v="390"/>
    <x v="2981"/>
    <x v="0"/>
    <s v="NEGOCIOS"/>
    <x v="1"/>
  </r>
  <r>
    <x v="55"/>
    <x v="338"/>
    <x v="9"/>
    <x v="9"/>
    <x v="1"/>
    <x v="17"/>
    <x v="25"/>
    <x v="425"/>
    <x v="2982"/>
    <x v="0"/>
    <s v="NEGOCIOS"/>
    <x v="1"/>
  </r>
  <r>
    <x v="55"/>
    <x v="286"/>
    <x v="10"/>
    <x v="10"/>
    <x v="1"/>
    <x v="17"/>
    <x v="25"/>
    <x v="297"/>
    <x v="2983"/>
    <x v="0"/>
    <s v="NEGOCIOS"/>
    <x v="1"/>
  </r>
  <r>
    <x v="55"/>
    <x v="263"/>
    <x v="10"/>
    <x v="10"/>
    <x v="1"/>
    <x v="17"/>
    <x v="26"/>
    <x v="436"/>
    <x v="2984"/>
    <x v="0"/>
    <s v="NEGOCIOS"/>
    <x v="1"/>
  </r>
  <r>
    <x v="55"/>
    <x v="317"/>
    <x v="10"/>
    <x v="10"/>
    <x v="1"/>
    <x v="17"/>
    <x v="21"/>
    <x v="401"/>
    <x v="2985"/>
    <x v="0"/>
    <s v="NEGOCIOS"/>
    <x v="1"/>
  </r>
  <r>
    <x v="55"/>
    <x v="248"/>
    <x v="10"/>
    <x v="10"/>
    <x v="1"/>
    <x v="17"/>
    <x v="25"/>
    <x v="304"/>
    <x v="2986"/>
    <x v="0"/>
    <s v="NEGOCIOS"/>
    <x v="1"/>
  </r>
  <r>
    <x v="55"/>
    <x v="176"/>
    <x v="10"/>
    <x v="10"/>
    <x v="1"/>
    <x v="17"/>
    <x v="26"/>
    <x v="412"/>
    <x v="2987"/>
    <x v="0"/>
    <s v="NEGOCIOS"/>
    <x v="1"/>
  </r>
  <r>
    <x v="55"/>
    <x v="249"/>
    <x v="11"/>
    <x v="11"/>
    <x v="1"/>
    <x v="17"/>
    <x v="25"/>
    <x v="359"/>
    <x v="2988"/>
    <x v="0"/>
    <s v="NEGOCIOS"/>
    <x v="1"/>
  </r>
  <r>
    <x v="55"/>
    <x v="214"/>
    <x v="11"/>
    <x v="11"/>
    <x v="1"/>
    <x v="17"/>
    <x v="26"/>
    <x v="306"/>
    <x v="2989"/>
    <x v="0"/>
    <s v="NEGOCIOS"/>
    <x v="1"/>
  </r>
  <r>
    <x v="55"/>
    <x v="275"/>
    <x v="11"/>
    <x v="11"/>
    <x v="1"/>
    <x v="17"/>
    <x v="25"/>
    <x v="307"/>
    <x v="835"/>
    <x v="0"/>
    <s v="NEGOCIOS"/>
    <x v="1"/>
  </r>
  <r>
    <x v="55"/>
    <x v="300"/>
    <x v="2"/>
    <x v="2"/>
    <x v="1"/>
    <x v="17"/>
    <x v="25"/>
    <x v="316"/>
    <x v="905"/>
    <x v="0"/>
    <s v="NEGOCIOS"/>
    <x v="1"/>
  </r>
  <r>
    <x v="55"/>
    <x v="182"/>
    <x v="2"/>
    <x v="2"/>
    <x v="1"/>
    <x v="17"/>
    <x v="25"/>
    <x v="392"/>
    <x v="2990"/>
    <x v="0"/>
    <s v="NEGOCIOS"/>
    <x v="1"/>
  </r>
  <r>
    <x v="55"/>
    <x v="182"/>
    <x v="2"/>
    <x v="2"/>
    <x v="1"/>
    <x v="17"/>
    <x v="26"/>
    <x v="392"/>
    <x v="2991"/>
    <x v="0"/>
    <s v="NEGOCIOS"/>
    <x v="1"/>
  </r>
  <r>
    <x v="55"/>
    <x v="246"/>
    <x v="2"/>
    <x v="2"/>
    <x v="1"/>
    <x v="17"/>
    <x v="25"/>
    <x v="287"/>
    <x v="2992"/>
    <x v="0"/>
    <s v="NEGOCIOS"/>
    <x v="1"/>
  </r>
  <r>
    <x v="55"/>
    <x v="314"/>
    <x v="6"/>
    <x v="6"/>
    <x v="1"/>
    <x v="17"/>
    <x v="25"/>
    <x v="372"/>
    <x v="1746"/>
    <x v="0"/>
    <s v="NEGOCIOS"/>
    <x v="1"/>
  </r>
  <r>
    <x v="55"/>
    <x v="314"/>
    <x v="6"/>
    <x v="6"/>
    <x v="1"/>
    <x v="17"/>
    <x v="26"/>
    <x v="372"/>
    <x v="2993"/>
    <x v="0"/>
    <s v="NEGOCIOS"/>
    <x v="1"/>
  </r>
  <r>
    <x v="55"/>
    <x v="297"/>
    <x v="6"/>
    <x v="6"/>
    <x v="1"/>
    <x v="17"/>
    <x v="25"/>
    <x v="313"/>
    <x v="2994"/>
    <x v="0"/>
    <s v="NEGOCIOS"/>
    <x v="1"/>
  </r>
  <r>
    <x v="55"/>
    <x v="335"/>
    <x v="6"/>
    <x v="6"/>
    <x v="1"/>
    <x v="17"/>
    <x v="25"/>
    <x v="408"/>
    <x v="2823"/>
    <x v="0"/>
    <s v="NEGOCIOS"/>
    <x v="1"/>
  </r>
  <r>
    <x v="55"/>
    <x v="259"/>
    <x v="7"/>
    <x v="7"/>
    <x v="1"/>
    <x v="31"/>
    <x v="21"/>
    <x v="355"/>
    <x v="1231"/>
    <x v="0"/>
    <s v="NEGOCIOS"/>
    <x v="1"/>
  </r>
  <r>
    <x v="55"/>
    <x v="260"/>
    <x v="7"/>
    <x v="7"/>
    <x v="1"/>
    <x v="31"/>
    <x v="21"/>
    <x v="437"/>
    <x v="2995"/>
    <x v="0"/>
    <s v="NEGOCIOS"/>
    <x v="1"/>
  </r>
  <r>
    <x v="55"/>
    <x v="251"/>
    <x v="8"/>
    <x v="8"/>
    <x v="1"/>
    <x v="31"/>
    <x v="21"/>
    <x v="291"/>
    <x v="782"/>
    <x v="0"/>
    <s v="NEGOCIOS"/>
    <x v="1"/>
  </r>
  <r>
    <x v="55"/>
    <x v="321"/>
    <x v="8"/>
    <x v="8"/>
    <x v="1"/>
    <x v="31"/>
    <x v="21"/>
    <x v="430"/>
    <x v="899"/>
    <x v="0"/>
    <s v="NEGOCIOS"/>
    <x v="1"/>
  </r>
  <r>
    <x v="55"/>
    <x v="267"/>
    <x v="8"/>
    <x v="8"/>
    <x v="1"/>
    <x v="31"/>
    <x v="21"/>
    <x v="438"/>
    <x v="1212"/>
    <x v="0"/>
    <s v="NEGOCIOS"/>
    <x v="1"/>
  </r>
  <r>
    <x v="55"/>
    <x v="245"/>
    <x v="8"/>
    <x v="8"/>
    <x v="1"/>
    <x v="31"/>
    <x v="21"/>
    <x v="285"/>
    <x v="2996"/>
    <x v="0"/>
    <s v="NEGOCIOS"/>
    <x v="1"/>
  </r>
  <r>
    <x v="55"/>
    <x v="173"/>
    <x v="8"/>
    <x v="8"/>
    <x v="1"/>
    <x v="31"/>
    <x v="21"/>
    <x v="378"/>
    <x v="905"/>
    <x v="0"/>
    <s v="NEGOCIOS"/>
    <x v="1"/>
  </r>
  <r>
    <x v="55"/>
    <x v="337"/>
    <x v="9"/>
    <x v="9"/>
    <x v="1"/>
    <x v="31"/>
    <x v="21"/>
    <x v="424"/>
    <x v="2997"/>
    <x v="0"/>
    <s v="NEGOCIOS"/>
    <x v="1"/>
  </r>
  <r>
    <x v="55"/>
    <x v="303"/>
    <x v="9"/>
    <x v="9"/>
    <x v="1"/>
    <x v="31"/>
    <x v="21"/>
    <x v="327"/>
    <x v="2998"/>
    <x v="0"/>
    <s v="NEGOCIOS"/>
    <x v="1"/>
  </r>
  <r>
    <x v="55"/>
    <x v="194"/>
    <x v="9"/>
    <x v="9"/>
    <x v="1"/>
    <x v="31"/>
    <x v="21"/>
    <x v="390"/>
    <x v="765"/>
    <x v="0"/>
    <s v="NEGOCIOS"/>
    <x v="1"/>
  </r>
  <r>
    <x v="55"/>
    <x v="290"/>
    <x v="9"/>
    <x v="9"/>
    <x v="1"/>
    <x v="31"/>
    <x v="21"/>
    <x v="302"/>
    <x v="2999"/>
    <x v="0"/>
    <s v="NEGOCIOS"/>
    <x v="1"/>
  </r>
  <r>
    <x v="55"/>
    <x v="333"/>
    <x v="9"/>
    <x v="9"/>
    <x v="1"/>
    <x v="31"/>
    <x v="21"/>
    <x v="400"/>
    <x v="1219"/>
    <x v="0"/>
    <s v="NEGOCIOS"/>
    <x v="1"/>
  </r>
  <r>
    <x v="55"/>
    <x v="211"/>
    <x v="9"/>
    <x v="9"/>
    <x v="1"/>
    <x v="31"/>
    <x v="21"/>
    <x v="286"/>
    <x v="3000"/>
    <x v="0"/>
    <s v="NEGOCIOS"/>
    <x v="1"/>
  </r>
  <r>
    <x v="55"/>
    <x v="331"/>
    <x v="9"/>
    <x v="9"/>
    <x v="1"/>
    <x v="31"/>
    <x v="25"/>
    <x v="391"/>
    <x v="3001"/>
    <x v="0"/>
    <s v="NEGOCIOS"/>
    <x v="1"/>
  </r>
  <r>
    <x v="55"/>
    <x v="230"/>
    <x v="9"/>
    <x v="9"/>
    <x v="1"/>
    <x v="31"/>
    <x v="25"/>
    <x v="283"/>
    <x v="804"/>
    <x v="0"/>
    <s v="NEGOCIOS"/>
    <x v="1"/>
  </r>
  <r>
    <x v="55"/>
    <x v="286"/>
    <x v="10"/>
    <x v="10"/>
    <x v="1"/>
    <x v="31"/>
    <x v="25"/>
    <x v="297"/>
    <x v="859"/>
    <x v="0"/>
    <s v="NEGOCIOS"/>
    <x v="1"/>
  </r>
  <r>
    <x v="55"/>
    <x v="186"/>
    <x v="10"/>
    <x v="10"/>
    <x v="1"/>
    <x v="31"/>
    <x v="25"/>
    <x v="321"/>
    <x v="3002"/>
    <x v="0"/>
    <s v="NEGOCIOS"/>
    <x v="1"/>
  </r>
  <r>
    <x v="55"/>
    <x v="248"/>
    <x v="10"/>
    <x v="10"/>
    <x v="1"/>
    <x v="31"/>
    <x v="25"/>
    <x v="304"/>
    <x v="3003"/>
    <x v="0"/>
    <s v="NEGOCIOS"/>
    <x v="1"/>
  </r>
  <r>
    <x v="55"/>
    <x v="176"/>
    <x v="10"/>
    <x v="10"/>
    <x v="1"/>
    <x v="31"/>
    <x v="25"/>
    <x v="412"/>
    <x v="3004"/>
    <x v="0"/>
    <s v="NEGOCIOS"/>
    <x v="1"/>
  </r>
  <r>
    <x v="55"/>
    <x v="200"/>
    <x v="11"/>
    <x v="11"/>
    <x v="1"/>
    <x v="31"/>
    <x v="25"/>
    <x v="351"/>
    <x v="3005"/>
    <x v="0"/>
    <s v="NEGOCIOS"/>
    <x v="1"/>
  </r>
  <r>
    <x v="55"/>
    <x v="282"/>
    <x v="11"/>
    <x v="11"/>
    <x v="1"/>
    <x v="31"/>
    <x v="25"/>
    <x v="358"/>
    <x v="3006"/>
    <x v="0"/>
    <s v="NEGOCIOS"/>
    <x v="1"/>
  </r>
  <r>
    <x v="55"/>
    <x v="272"/>
    <x v="11"/>
    <x v="11"/>
    <x v="1"/>
    <x v="31"/>
    <x v="25"/>
    <x v="360"/>
    <x v="772"/>
    <x v="0"/>
    <s v="NEGOCIOS"/>
    <x v="1"/>
  </r>
  <r>
    <x v="55"/>
    <x v="299"/>
    <x v="11"/>
    <x v="11"/>
    <x v="1"/>
    <x v="31"/>
    <x v="25"/>
    <x v="315"/>
    <x v="900"/>
    <x v="0"/>
    <s v="NEGOCIOS"/>
    <x v="1"/>
  </r>
  <r>
    <x v="55"/>
    <x v="330"/>
    <x v="11"/>
    <x v="11"/>
    <x v="1"/>
    <x v="31"/>
    <x v="21"/>
    <x v="381"/>
    <x v="2015"/>
    <x v="0"/>
    <s v="NEGOCIOS"/>
    <x v="1"/>
  </r>
  <r>
    <x v="55"/>
    <x v="334"/>
    <x v="2"/>
    <x v="2"/>
    <x v="1"/>
    <x v="31"/>
    <x v="25"/>
    <x v="406"/>
    <x v="1134"/>
    <x v="0"/>
    <s v="NEGOCIOS"/>
    <x v="1"/>
  </r>
  <r>
    <x v="55"/>
    <x v="221"/>
    <x v="2"/>
    <x v="2"/>
    <x v="1"/>
    <x v="31"/>
    <x v="25"/>
    <x v="347"/>
    <x v="896"/>
    <x v="0"/>
    <s v="NEGOCIOS"/>
    <x v="1"/>
  </r>
  <r>
    <x v="55"/>
    <x v="280"/>
    <x v="2"/>
    <x v="2"/>
    <x v="1"/>
    <x v="31"/>
    <x v="25"/>
    <x v="295"/>
    <x v="3007"/>
    <x v="0"/>
    <s v="NEGOCIOS"/>
    <x v="1"/>
  </r>
  <r>
    <x v="55"/>
    <x v="257"/>
    <x v="2"/>
    <x v="2"/>
    <x v="1"/>
    <x v="31"/>
    <x v="25"/>
    <x v="410"/>
    <x v="764"/>
    <x v="0"/>
    <s v="NEGOCIOS"/>
    <x v="1"/>
  </r>
  <r>
    <x v="55"/>
    <x v="223"/>
    <x v="2"/>
    <x v="2"/>
    <x v="1"/>
    <x v="31"/>
    <x v="25"/>
    <x v="434"/>
    <x v="1242"/>
    <x v="0"/>
    <s v="NEGOCIOS"/>
    <x v="1"/>
  </r>
  <r>
    <x v="55"/>
    <x v="276"/>
    <x v="2"/>
    <x v="2"/>
    <x v="1"/>
    <x v="31"/>
    <x v="25"/>
    <x v="385"/>
    <x v="2734"/>
    <x v="0"/>
    <s v="NEGOCIOS"/>
    <x v="1"/>
  </r>
  <r>
    <x v="55"/>
    <x v="281"/>
    <x v="6"/>
    <x v="6"/>
    <x v="1"/>
    <x v="31"/>
    <x v="25"/>
    <x v="395"/>
    <x v="3008"/>
    <x v="0"/>
    <s v="NEGOCIOS"/>
    <x v="1"/>
  </r>
  <r>
    <x v="55"/>
    <x v="265"/>
    <x v="6"/>
    <x v="6"/>
    <x v="1"/>
    <x v="31"/>
    <x v="25"/>
    <x v="386"/>
    <x v="3009"/>
    <x v="0"/>
    <s v="NEGOCIOS"/>
    <x v="1"/>
  </r>
  <r>
    <x v="55"/>
    <x v="203"/>
    <x v="6"/>
    <x v="6"/>
    <x v="1"/>
    <x v="31"/>
    <x v="25"/>
    <x v="288"/>
    <x v="3010"/>
    <x v="0"/>
    <s v="NEGOCIOS"/>
    <x v="1"/>
  </r>
  <r>
    <x v="55"/>
    <x v="204"/>
    <x v="6"/>
    <x v="6"/>
    <x v="1"/>
    <x v="31"/>
    <x v="25"/>
    <x v="317"/>
    <x v="772"/>
    <x v="0"/>
    <s v="NEGOCIOS"/>
    <x v="1"/>
  </r>
  <r>
    <x v="55"/>
    <x v="271"/>
    <x v="6"/>
    <x v="6"/>
    <x v="1"/>
    <x v="31"/>
    <x v="25"/>
    <x v="426"/>
    <x v="3011"/>
    <x v="0"/>
    <s v="NEGOCIOS"/>
    <x v="1"/>
  </r>
  <r>
    <x v="55"/>
    <x v="229"/>
    <x v="6"/>
    <x v="6"/>
    <x v="1"/>
    <x v="31"/>
    <x v="25"/>
    <x v="281"/>
    <x v="3012"/>
    <x v="0"/>
    <s v="NEGOCIOS"/>
    <x v="1"/>
  </r>
  <r>
    <x v="55"/>
    <x v="190"/>
    <x v="6"/>
    <x v="6"/>
    <x v="1"/>
    <x v="31"/>
    <x v="25"/>
    <x v="342"/>
    <x v="1303"/>
    <x v="0"/>
    <s v="NEGOCIOS"/>
    <x v="1"/>
  </r>
  <r>
    <x v="55"/>
    <x v="327"/>
    <x v="7"/>
    <x v="7"/>
    <x v="1"/>
    <x v="32"/>
    <x v="21"/>
    <x v="387"/>
    <x v="887"/>
    <x v="0"/>
    <s v="NEGOCIOS"/>
    <x v="1"/>
  </r>
  <r>
    <x v="55"/>
    <x v="288"/>
    <x v="7"/>
    <x v="7"/>
    <x v="1"/>
    <x v="32"/>
    <x v="21"/>
    <x v="439"/>
    <x v="2985"/>
    <x v="0"/>
    <s v="NEGOCIOS"/>
    <x v="1"/>
  </r>
  <r>
    <x v="55"/>
    <x v="309"/>
    <x v="7"/>
    <x v="7"/>
    <x v="1"/>
    <x v="32"/>
    <x v="21"/>
    <x v="334"/>
    <x v="3013"/>
    <x v="0"/>
    <s v="NEGOCIOS"/>
    <x v="1"/>
  </r>
  <r>
    <x v="55"/>
    <x v="206"/>
    <x v="7"/>
    <x v="7"/>
    <x v="1"/>
    <x v="32"/>
    <x v="21"/>
    <x v="284"/>
    <x v="1268"/>
    <x v="0"/>
    <s v="NEGOCIOS"/>
    <x v="1"/>
  </r>
  <r>
    <x v="55"/>
    <x v="171"/>
    <x v="7"/>
    <x v="7"/>
    <x v="1"/>
    <x v="32"/>
    <x v="21"/>
    <x v="429"/>
    <x v="3014"/>
    <x v="0"/>
    <s v="NEGOCIOS"/>
    <x v="1"/>
  </r>
  <r>
    <x v="55"/>
    <x v="192"/>
    <x v="8"/>
    <x v="8"/>
    <x v="1"/>
    <x v="32"/>
    <x v="21"/>
    <x v="300"/>
    <x v="3015"/>
    <x v="0"/>
    <s v="NEGOCIOS"/>
    <x v="1"/>
  </r>
  <r>
    <x v="55"/>
    <x v="289"/>
    <x v="8"/>
    <x v="8"/>
    <x v="1"/>
    <x v="32"/>
    <x v="21"/>
    <x v="301"/>
    <x v="3016"/>
    <x v="0"/>
    <s v="NEGOCIOS"/>
    <x v="1"/>
  </r>
  <r>
    <x v="55"/>
    <x v="254"/>
    <x v="8"/>
    <x v="8"/>
    <x v="1"/>
    <x v="32"/>
    <x v="21"/>
    <x v="326"/>
    <x v="3017"/>
    <x v="0"/>
    <s v="NEGOCIOS"/>
    <x v="1"/>
  </r>
  <r>
    <x v="55"/>
    <x v="207"/>
    <x v="8"/>
    <x v="8"/>
    <x v="1"/>
    <x v="32"/>
    <x v="21"/>
    <x v="374"/>
    <x v="3018"/>
    <x v="0"/>
    <s v="NEGOCIOS"/>
    <x v="1"/>
  </r>
  <r>
    <x v="55"/>
    <x v="208"/>
    <x v="8"/>
    <x v="8"/>
    <x v="1"/>
    <x v="32"/>
    <x v="21"/>
    <x v="377"/>
    <x v="3019"/>
    <x v="0"/>
    <s v="NEGOCIOS"/>
    <x v="1"/>
  </r>
  <r>
    <x v="55"/>
    <x v="337"/>
    <x v="9"/>
    <x v="9"/>
    <x v="1"/>
    <x v="32"/>
    <x v="21"/>
    <x v="424"/>
    <x v="3020"/>
    <x v="0"/>
    <s v="NEGOCIOS"/>
    <x v="1"/>
  </r>
  <r>
    <x v="55"/>
    <x v="292"/>
    <x v="9"/>
    <x v="9"/>
    <x v="1"/>
    <x v="32"/>
    <x v="21"/>
    <x v="352"/>
    <x v="3021"/>
    <x v="0"/>
    <s v="NEGOCIOS"/>
    <x v="1"/>
  </r>
  <r>
    <x v="55"/>
    <x v="290"/>
    <x v="9"/>
    <x v="9"/>
    <x v="1"/>
    <x v="32"/>
    <x v="21"/>
    <x v="302"/>
    <x v="3022"/>
    <x v="0"/>
    <s v="NEGOCIOS"/>
    <x v="1"/>
  </r>
  <r>
    <x v="55"/>
    <x v="211"/>
    <x v="9"/>
    <x v="9"/>
    <x v="1"/>
    <x v="32"/>
    <x v="21"/>
    <x v="286"/>
    <x v="3023"/>
    <x v="0"/>
    <s v="NEGOCIOS"/>
    <x v="1"/>
  </r>
  <r>
    <x v="55"/>
    <x v="219"/>
    <x v="9"/>
    <x v="9"/>
    <x v="1"/>
    <x v="32"/>
    <x v="25"/>
    <x v="308"/>
    <x v="1132"/>
    <x v="0"/>
    <s v="NEGOCIOS"/>
    <x v="1"/>
  </r>
  <r>
    <x v="55"/>
    <x v="331"/>
    <x v="9"/>
    <x v="9"/>
    <x v="1"/>
    <x v="32"/>
    <x v="25"/>
    <x v="391"/>
    <x v="3024"/>
    <x v="0"/>
    <s v="NEGOCIOS"/>
    <x v="1"/>
  </r>
  <r>
    <x v="55"/>
    <x v="331"/>
    <x v="9"/>
    <x v="9"/>
    <x v="1"/>
    <x v="32"/>
    <x v="26"/>
    <x v="391"/>
    <x v="3025"/>
    <x v="0"/>
    <s v="NEGOCIOS"/>
    <x v="1"/>
  </r>
  <r>
    <x v="55"/>
    <x v="286"/>
    <x v="10"/>
    <x v="10"/>
    <x v="1"/>
    <x v="32"/>
    <x v="25"/>
    <x v="297"/>
    <x v="3026"/>
    <x v="0"/>
    <s v="NEGOCIOS"/>
    <x v="1"/>
  </r>
  <r>
    <x v="55"/>
    <x v="263"/>
    <x v="10"/>
    <x v="10"/>
    <x v="1"/>
    <x v="32"/>
    <x v="25"/>
    <x v="436"/>
    <x v="3027"/>
    <x v="0"/>
    <s v="NEGOCIOS"/>
    <x v="1"/>
  </r>
  <r>
    <x v="55"/>
    <x v="263"/>
    <x v="10"/>
    <x v="10"/>
    <x v="1"/>
    <x v="32"/>
    <x v="26"/>
    <x v="436"/>
    <x v="531"/>
    <x v="0"/>
    <s v="NEGOCIOS"/>
    <x v="1"/>
  </r>
  <r>
    <x v="55"/>
    <x v="310"/>
    <x v="10"/>
    <x v="10"/>
    <x v="1"/>
    <x v="32"/>
    <x v="25"/>
    <x v="335"/>
    <x v="1212"/>
    <x v="0"/>
    <s v="NEGOCIOS"/>
    <x v="1"/>
  </r>
  <r>
    <x v="55"/>
    <x v="231"/>
    <x v="10"/>
    <x v="10"/>
    <x v="1"/>
    <x v="32"/>
    <x v="25"/>
    <x v="402"/>
    <x v="3028"/>
    <x v="0"/>
    <s v="NEGOCIOS"/>
    <x v="1"/>
  </r>
  <r>
    <x v="55"/>
    <x v="339"/>
    <x v="10"/>
    <x v="10"/>
    <x v="1"/>
    <x v="32"/>
    <x v="26"/>
    <x v="427"/>
    <x v="3029"/>
    <x v="0"/>
    <s v="NEGOCIOS"/>
    <x v="1"/>
  </r>
  <r>
    <x v="55"/>
    <x v="189"/>
    <x v="10"/>
    <x v="10"/>
    <x v="1"/>
    <x v="32"/>
    <x v="26"/>
    <x v="345"/>
    <x v="3030"/>
    <x v="0"/>
    <s v="NEGOCIOS"/>
    <x v="1"/>
  </r>
  <r>
    <x v="55"/>
    <x v="200"/>
    <x v="11"/>
    <x v="11"/>
    <x v="1"/>
    <x v="32"/>
    <x v="25"/>
    <x v="351"/>
    <x v="3031"/>
    <x v="0"/>
    <s v="NEGOCIOS"/>
    <x v="1"/>
  </r>
  <r>
    <x v="55"/>
    <x v="282"/>
    <x v="11"/>
    <x v="11"/>
    <x v="1"/>
    <x v="32"/>
    <x v="25"/>
    <x v="358"/>
    <x v="3032"/>
    <x v="0"/>
    <s v="NEGOCIOS"/>
    <x v="1"/>
  </r>
  <r>
    <x v="55"/>
    <x v="187"/>
    <x v="11"/>
    <x v="11"/>
    <x v="1"/>
    <x v="32"/>
    <x v="25"/>
    <x v="328"/>
    <x v="3033"/>
    <x v="0"/>
    <s v="NEGOCIOS"/>
    <x v="1"/>
  </r>
  <r>
    <x v="55"/>
    <x v="202"/>
    <x v="11"/>
    <x v="11"/>
    <x v="1"/>
    <x v="32"/>
    <x v="26"/>
    <x v="305"/>
    <x v="905"/>
    <x v="0"/>
    <s v="NEGOCIOS"/>
    <x v="1"/>
  </r>
  <r>
    <x v="55"/>
    <x v="311"/>
    <x v="11"/>
    <x v="11"/>
    <x v="1"/>
    <x v="32"/>
    <x v="25"/>
    <x v="440"/>
    <x v="3034"/>
    <x v="0"/>
    <s v="NEGOCIOS"/>
    <x v="1"/>
  </r>
  <r>
    <x v="55"/>
    <x v="274"/>
    <x v="11"/>
    <x v="11"/>
    <x v="1"/>
    <x v="32"/>
    <x v="25"/>
    <x v="404"/>
    <x v="3035"/>
    <x v="0"/>
    <s v="NEGOCIOS"/>
    <x v="1"/>
  </r>
  <r>
    <x v="55"/>
    <x v="300"/>
    <x v="2"/>
    <x v="2"/>
    <x v="1"/>
    <x v="32"/>
    <x v="25"/>
    <x v="316"/>
    <x v="2444"/>
    <x v="0"/>
    <s v="NEGOCIOS"/>
    <x v="1"/>
  </r>
  <r>
    <x v="55"/>
    <x v="215"/>
    <x v="2"/>
    <x v="2"/>
    <x v="1"/>
    <x v="32"/>
    <x v="25"/>
    <x v="322"/>
    <x v="3036"/>
    <x v="0"/>
    <s v="NEGOCIOS"/>
    <x v="1"/>
  </r>
  <r>
    <x v="55"/>
    <x v="182"/>
    <x v="2"/>
    <x v="2"/>
    <x v="1"/>
    <x v="32"/>
    <x v="26"/>
    <x v="392"/>
    <x v="3037"/>
    <x v="0"/>
    <s v="NEGOCIOS"/>
    <x v="1"/>
  </r>
  <r>
    <x v="55"/>
    <x v="295"/>
    <x v="2"/>
    <x v="2"/>
    <x v="1"/>
    <x v="32"/>
    <x v="25"/>
    <x v="310"/>
    <x v="3038"/>
    <x v="0"/>
    <s v="NEGOCIOS"/>
    <x v="1"/>
  </r>
  <r>
    <x v="55"/>
    <x v="307"/>
    <x v="2"/>
    <x v="2"/>
    <x v="1"/>
    <x v="32"/>
    <x v="25"/>
    <x v="441"/>
    <x v="552"/>
    <x v="0"/>
    <s v="NEGOCIOS"/>
    <x v="1"/>
  </r>
  <r>
    <x v="55"/>
    <x v="240"/>
    <x v="2"/>
    <x v="2"/>
    <x v="1"/>
    <x v="32"/>
    <x v="26"/>
    <x v="442"/>
    <x v="3039"/>
    <x v="0"/>
    <s v="NEGOCIOS"/>
    <x v="1"/>
  </r>
  <r>
    <x v="55"/>
    <x v="316"/>
    <x v="2"/>
    <x v="2"/>
    <x v="1"/>
    <x v="32"/>
    <x v="26"/>
    <x v="348"/>
    <x v="3040"/>
    <x v="0"/>
    <s v="NEGOCIOS"/>
    <x v="1"/>
  </r>
  <r>
    <x v="55"/>
    <x v="276"/>
    <x v="2"/>
    <x v="2"/>
    <x v="1"/>
    <x v="32"/>
    <x v="25"/>
    <x v="385"/>
    <x v="3041"/>
    <x v="0"/>
    <s v="NEGOCIOS"/>
    <x v="1"/>
  </r>
  <r>
    <x v="55"/>
    <x v="246"/>
    <x v="2"/>
    <x v="2"/>
    <x v="1"/>
    <x v="32"/>
    <x v="26"/>
    <x v="287"/>
    <x v="1"/>
    <x v="593"/>
    <s v="NEGOCIOS"/>
    <x v="1"/>
  </r>
  <r>
    <x v="55"/>
    <x v="264"/>
    <x v="6"/>
    <x v="6"/>
    <x v="1"/>
    <x v="32"/>
    <x v="25"/>
    <x v="311"/>
    <x v="3042"/>
    <x v="0"/>
    <s v="NEGOCIOS"/>
    <x v="1"/>
  </r>
  <r>
    <x v="55"/>
    <x v="281"/>
    <x v="6"/>
    <x v="6"/>
    <x v="1"/>
    <x v="32"/>
    <x v="25"/>
    <x v="395"/>
    <x v="3043"/>
    <x v="0"/>
    <s v="NEGOCIOS"/>
    <x v="1"/>
  </r>
  <r>
    <x v="55"/>
    <x v="217"/>
    <x v="6"/>
    <x v="6"/>
    <x v="1"/>
    <x v="32"/>
    <x v="25"/>
    <x v="323"/>
    <x v="3044"/>
    <x v="0"/>
    <s v="NEGOCIOS"/>
    <x v="1"/>
  </r>
  <r>
    <x v="55"/>
    <x v="305"/>
    <x v="6"/>
    <x v="6"/>
    <x v="1"/>
    <x v="32"/>
    <x v="25"/>
    <x v="331"/>
    <x v="391"/>
    <x v="0"/>
    <s v="NEGOCIOS"/>
    <x v="1"/>
  </r>
  <r>
    <x v="55"/>
    <x v="262"/>
    <x v="9"/>
    <x v="9"/>
    <x v="1"/>
    <x v="33"/>
    <x v="26"/>
    <x v="368"/>
    <x v="3045"/>
    <x v="0"/>
    <s v="NEGOCIOS"/>
    <x v="1"/>
  </r>
  <r>
    <x v="55"/>
    <x v="255"/>
    <x v="9"/>
    <x v="9"/>
    <x v="1"/>
    <x v="33"/>
    <x v="25"/>
    <x v="293"/>
    <x v="146"/>
    <x v="0"/>
    <s v="NEGOCIOS"/>
    <x v="1"/>
  </r>
  <r>
    <x v="55"/>
    <x v="255"/>
    <x v="9"/>
    <x v="9"/>
    <x v="1"/>
    <x v="33"/>
    <x v="26"/>
    <x v="293"/>
    <x v="3046"/>
    <x v="0"/>
    <s v="NEGOCIOS"/>
    <x v="1"/>
  </r>
  <r>
    <x v="55"/>
    <x v="263"/>
    <x v="10"/>
    <x v="10"/>
    <x v="1"/>
    <x v="33"/>
    <x v="26"/>
    <x v="436"/>
    <x v="3047"/>
    <x v="0"/>
    <s v="NEGOCIOS"/>
    <x v="1"/>
  </r>
  <r>
    <x v="55"/>
    <x v="176"/>
    <x v="10"/>
    <x v="10"/>
    <x v="1"/>
    <x v="33"/>
    <x v="26"/>
    <x v="412"/>
    <x v="3048"/>
    <x v="0"/>
    <s v="NEGOCIOS"/>
    <x v="1"/>
  </r>
  <r>
    <x v="55"/>
    <x v="269"/>
    <x v="11"/>
    <x v="11"/>
    <x v="1"/>
    <x v="33"/>
    <x v="25"/>
    <x v="403"/>
    <x v="785"/>
    <x v="0"/>
    <s v="NEGOCIOS"/>
    <x v="1"/>
  </r>
  <r>
    <x v="55"/>
    <x v="200"/>
    <x v="11"/>
    <x v="11"/>
    <x v="1"/>
    <x v="33"/>
    <x v="25"/>
    <x v="351"/>
    <x v="1067"/>
    <x v="0"/>
    <s v="NEGOCIOS"/>
    <x v="1"/>
  </r>
  <r>
    <x v="55"/>
    <x v="311"/>
    <x v="11"/>
    <x v="11"/>
    <x v="1"/>
    <x v="33"/>
    <x v="26"/>
    <x v="440"/>
    <x v="1"/>
    <x v="594"/>
    <s v="NEGOCIOS"/>
    <x v="1"/>
  </r>
  <r>
    <x v="55"/>
    <x v="330"/>
    <x v="11"/>
    <x v="11"/>
    <x v="1"/>
    <x v="33"/>
    <x v="25"/>
    <x v="381"/>
    <x v="3049"/>
    <x v="0"/>
    <s v="NEGOCIOS"/>
    <x v="1"/>
  </r>
  <r>
    <x v="55"/>
    <x v="181"/>
    <x v="11"/>
    <x v="11"/>
    <x v="1"/>
    <x v="33"/>
    <x v="21"/>
    <x v="362"/>
    <x v="3050"/>
    <x v="0"/>
    <s v="NEGOCIOS"/>
    <x v="1"/>
  </r>
  <r>
    <x v="55"/>
    <x v="334"/>
    <x v="2"/>
    <x v="2"/>
    <x v="1"/>
    <x v="33"/>
    <x v="26"/>
    <x v="406"/>
    <x v="3051"/>
    <x v="0"/>
    <s v="NEGOCIOS"/>
    <x v="1"/>
  </r>
  <r>
    <x v="55"/>
    <x v="284"/>
    <x v="2"/>
    <x v="2"/>
    <x v="1"/>
    <x v="33"/>
    <x v="26"/>
    <x v="383"/>
    <x v="3052"/>
    <x v="0"/>
    <s v="NEGOCIOS"/>
    <x v="1"/>
  </r>
  <r>
    <x v="55"/>
    <x v="222"/>
    <x v="2"/>
    <x v="2"/>
    <x v="1"/>
    <x v="33"/>
    <x v="25"/>
    <x v="384"/>
    <x v="951"/>
    <x v="0"/>
    <s v="NEGOCIOS"/>
    <x v="1"/>
  </r>
  <r>
    <x v="55"/>
    <x v="270"/>
    <x v="2"/>
    <x v="2"/>
    <x v="1"/>
    <x v="33"/>
    <x v="26"/>
    <x v="363"/>
    <x v="3053"/>
    <x v="0"/>
    <s v="NEGOCIOS"/>
    <x v="1"/>
  </r>
  <r>
    <x v="55"/>
    <x v="240"/>
    <x v="2"/>
    <x v="2"/>
    <x v="1"/>
    <x v="33"/>
    <x v="26"/>
    <x v="442"/>
    <x v="3054"/>
    <x v="0"/>
    <s v="NEGOCIOS"/>
    <x v="1"/>
  </r>
  <r>
    <x v="55"/>
    <x v="257"/>
    <x v="2"/>
    <x v="2"/>
    <x v="1"/>
    <x v="33"/>
    <x v="26"/>
    <x v="410"/>
    <x v="3055"/>
    <x v="0"/>
    <s v="NEGOCIOS"/>
    <x v="1"/>
  </r>
  <r>
    <x v="55"/>
    <x v="183"/>
    <x v="2"/>
    <x v="2"/>
    <x v="1"/>
    <x v="33"/>
    <x v="25"/>
    <x v="330"/>
    <x v="3056"/>
    <x v="0"/>
    <s v="NEGOCIOS"/>
    <x v="1"/>
  </r>
  <r>
    <x v="55"/>
    <x v="335"/>
    <x v="6"/>
    <x v="6"/>
    <x v="1"/>
    <x v="33"/>
    <x v="21"/>
    <x v="408"/>
    <x v="3050"/>
    <x v="0"/>
    <s v="NEGOCIOS"/>
    <x v="1"/>
  </r>
  <r>
    <x v="55"/>
    <x v="249"/>
    <x v="11"/>
    <x v="11"/>
    <x v="1"/>
    <x v="37"/>
    <x v="25"/>
    <x v="359"/>
    <x v="3057"/>
    <x v="0"/>
    <s v="NEGOCIOS"/>
    <x v="1"/>
  </r>
  <r>
    <x v="55"/>
    <x v="286"/>
    <x v="10"/>
    <x v="10"/>
    <x v="1"/>
    <x v="34"/>
    <x v="25"/>
    <x v="297"/>
    <x v="3058"/>
    <x v="0"/>
    <s v="NEGOCIOS"/>
    <x v="1"/>
  </r>
  <r>
    <x v="55"/>
    <x v="232"/>
    <x v="10"/>
    <x v="10"/>
    <x v="1"/>
    <x v="34"/>
    <x v="25"/>
    <x v="290"/>
    <x v="530"/>
    <x v="0"/>
    <s v="NEGOCIOS"/>
    <x v="1"/>
  </r>
  <r>
    <x v="55"/>
    <x v="282"/>
    <x v="11"/>
    <x v="11"/>
    <x v="1"/>
    <x v="34"/>
    <x v="25"/>
    <x v="358"/>
    <x v="3059"/>
    <x v="0"/>
    <s v="NEGOCIOS"/>
    <x v="1"/>
  </r>
  <r>
    <x v="55"/>
    <x v="307"/>
    <x v="2"/>
    <x v="2"/>
    <x v="1"/>
    <x v="34"/>
    <x v="25"/>
    <x v="441"/>
    <x v="53"/>
    <x v="0"/>
    <s v="NEGOCIOS"/>
    <x v="1"/>
  </r>
  <r>
    <x v="55"/>
    <x v="246"/>
    <x v="2"/>
    <x v="2"/>
    <x v="1"/>
    <x v="34"/>
    <x v="25"/>
    <x v="287"/>
    <x v="735"/>
    <x v="0"/>
    <s v="NEGOCIOS"/>
    <x v="1"/>
  </r>
  <r>
    <x v="55"/>
    <x v="281"/>
    <x v="6"/>
    <x v="6"/>
    <x v="1"/>
    <x v="34"/>
    <x v="25"/>
    <x v="395"/>
    <x v="3060"/>
    <x v="0"/>
    <s v="NEGOCIOS"/>
    <x v="1"/>
  </r>
  <r>
    <x v="55"/>
    <x v="288"/>
    <x v="7"/>
    <x v="7"/>
    <x v="1"/>
    <x v="18"/>
    <x v="21"/>
    <x v="439"/>
    <x v="3061"/>
    <x v="0"/>
    <s v="NEGOCIOS"/>
    <x v="1"/>
  </r>
  <r>
    <x v="55"/>
    <x v="206"/>
    <x v="7"/>
    <x v="7"/>
    <x v="1"/>
    <x v="18"/>
    <x v="21"/>
    <x v="284"/>
    <x v="3062"/>
    <x v="0"/>
    <s v="NEGOCIOS"/>
    <x v="1"/>
  </r>
  <r>
    <x v="55"/>
    <x v="195"/>
    <x v="8"/>
    <x v="8"/>
    <x v="1"/>
    <x v="18"/>
    <x v="21"/>
    <x v="373"/>
    <x v="735"/>
    <x v="0"/>
    <s v="NEGOCIOS"/>
    <x v="1"/>
  </r>
  <r>
    <x v="55"/>
    <x v="323"/>
    <x v="8"/>
    <x v="8"/>
    <x v="1"/>
    <x v="18"/>
    <x v="21"/>
    <x v="367"/>
    <x v="735"/>
    <x v="0"/>
    <s v="NEGOCIOS"/>
    <x v="1"/>
  </r>
  <r>
    <x v="55"/>
    <x v="245"/>
    <x v="8"/>
    <x v="8"/>
    <x v="1"/>
    <x v="18"/>
    <x v="21"/>
    <x v="285"/>
    <x v="3063"/>
    <x v="0"/>
    <s v="NEGOCIOS"/>
    <x v="1"/>
  </r>
  <r>
    <x v="55"/>
    <x v="208"/>
    <x v="8"/>
    <x v="8"/>
    <x v="1"/>
    <x v="18"/>
    <x v="21"/>
    <x v="377"/>
    <x v="736"/>
    <x v="0"/>
    <s v="NEGOCIOS"/>
    <x v="1"/>
  </r>
  <r>
    <x v="55"/>
    <x v="319"/>
    <x v="8"/>
    <x v="8"/>
    <x v="1"/>
    <x v="18"/>
    <x v="21"/>
    <x v="350"/>
    <x v="3064"/>
    <x v="0"/>
    <s v="NEGOCIOS"/>
    <x v="1"/>
  </r>
  <r>
    <x v="55"/>
    <x v="227"/>
    <x v="9"/>
    <x v="9"/>
    <x v="1"/>
    <x v="18"/>
    <x v="21"/>
    <x v="399"/>
    <x v="797"/>
    <x v="0"/>
    <s v="NEGOCIOS"/>
    <x v="1"/>
  </r>
  <r>
    <x v="55"/>
    <x v="290"/>
    <x v="9"/>
    <x v="9"/>
    <x v="1"/>
    <x v="18"/>
    <x v="21"/>
    <x v="302"/>
    <x v="1736"/>
    <x v="0"/>
    <s v="NEGOCIOS"/>
    <x v="1"/>
  </r>
  <r>
    <x v="55"/>
    <x v="293"/>
    <x v="9"/>
    <x v="9"/>
    <x v="1"/>
    <x v="18"/>
    <x v="21"/>
    <x v="337"/>
    <x v="3065"/>
    <x v="0"/>
    <s v="NEGOCIOS"/>
    <x v="1"/>
  </r>
  <r>
    <x v="55"/>
    <x v="230"/>
    <x v="9"/>
    <x v="9"/>
    <x v="1"/>
    <x v="18"/>
    <x v="26"/>
    <x v="283"/>
    <x v="2783"/>
    <x v="0"/>
    <s v="NEGOCIOS"/>
    <x v="1"/>
  </r>
  <r>
    <x v="55"/>
    <x v="263"/>
    <x v="10"/>
    <x v="10"/>
    <x v="1"/>
    <x v="18"/>
    <x v="25"/>
    <x v="436"/>
    <x v="3066"/>
    <x v="0"/>
    <s v="NEGOCIOS"/>
    <x v="1"/>
  </r>
  <r>
    <x v="55"/>
    <x v="244"/>
    <x v="10"/>
    <x v="10"/>
    <x v="1"/>
    <x v="18"/>
    <x v="25"/>
    <x v="433"/>
    <x v="835"/>
    <x v="0"/>
    <s v="NEGOCIOS"/>
    <x v="1"/>
  </r>
  <r>
    <x v="55"/>
    <x v="311"/>
    <x v="11"/>
    <x v="11"/>
    <x v="1"/>
    <x v="18"/>
    <x v="26"/>
    <x v="440"/>
    <x v="785"/>
    <x v="0"/>
    <s v="NEGOCIOS"/>
    <x v="1"/>
  </r>
  <r>
    <x v="55"/>
    <x v="330"/>
    <x v="11"/>
    <x v="11"/>
    <x v="1"/>
    <x v="18"/>
    <x v="25"/>
    <x v="381"/>
    <x v="735"/>
    <x v="0"/>
    <s v="NEGOCIOS"/>
    <x v="1"/>
  </r>
  <r>
    <x v="55"/>
    <x v="275"/>
    <x v="11"/>
    <x v="11"/>
    <x v="1"/>
    <x v="18"/>
    <x v="26"/>
    <x v="307"/>
    <x v="187"/>
    <x v="0"/>
    <s v="NEGOCIOS"/>
    <x v="1"/>
  </r>
  <r>
    <x v="55"/>
    <x v="300"/>
    <x v="2"/>
    <x v="2"/>
    <x v="1"/>
    <x v="18"/>
    <x v="25"/>
    <x v="316"/>
    <x v="736"/>
    <x v="0"/>
    <s v="NEGOCIOS"/>
    <x v="1"/>
  </r>
  <r>
    <x v="55"/>
    <x v="307"/>
    <x v="2"/>
    <x v="2"/>
    <x v="1"/>
    <x v="18"/>
    <x v="25"/>
    <x v="441"/>
    <x v="835"/>
    <x v="0"/>
    <s v="NEGOCIOS"/>
    <x v="1"/>
  </r>
  <r>
    <x v="55"/>
    <x v="235"/>
    <x v="2"/>
    <x v="2"/>
    <x v="1"/>
    <x v="18"/>
    <x v="25"/>
    <x v="393"/>
    <x v="3067"/>
    <x v="0"/>
    <s v="NEGOCIOS"/>
    <x v="1"/>
  </r>
  <r>
    <x v="55"/>
    <x v="264"/>
    <x v="6"/>
    <x v="6"/>
    <x v="1"/>
    <x v="18"/>
    <x v="25"/>
    <x v="311"/>
    <x v="735"/>
    <x v="0"/>
    <s v="NEGOCIOS"/>
    <x v="1"/>
  </r>
  <r>
    <x v="56"/>
    <x v="327"/>
    <x v="7"/>
    <x v="7"/>
    <x v="1"/>
    <x v="2"/>
    <x v="20"/>
    <x v="227"/>
    <x v="737"/>
    <x v="0"/>
    <s v="BOULEVARD EL DORADO"/>
    <x v="1"/>
  </r>
  <r>
    <x v="56"/>
    <x v="252"/>
    <x v="7"/>
    <x v="7"/>
    <x v="1"/>
    <x v="2"/>
    <x v="20"/>
    <x v="227"/>
    <x v="750"/>
    <x v="0"/>
    <s v="BOULEVARD EL DORADO"/>
    <x v="1"/>
  </r>
  <r>
    <x v="56"/>
    <x v="206"/>
    <x v="7"/>
    <x v="7"/>
    <x v="1"/>
    <x v="2"/>
    <x v="20"/>
    <x v="227"/>
    <x v="743"/>
    <x v="0"/>
    <s v="BOULEVARD EL DORADO"/>
    <x v="1"/>
  </r>
  <r>
    <x v="56"/>
    <x v="279"/>
    <x v="7"/>
    <x v="7"/>
    <x v="1"/>
    <x v="2"/>
    <x v="20"/>
    <x v="227"/>
    <x v="742"/>
    <x v="0"/>
    <s v="BOULEVARD EL DORADO"/>
    <x v="1"/>
  </r>
  <r>
    <x v="56"/>
    <x v="251"/>
    <x v="8"/>
    <x v="8"/>
    <x v="1"/>
    <x v="2"/>
    <x v="20"/>
    <x v="227"/>
    <x v="742"/>
    <x v="0"/>
    <s v="BOULEVARD EL DORADO"/>
    <x v="1"/>
  </r>
  <r>
    <x v="56"/>
    <x v="318"/>
    <x v="8"/>
    <x v="8"/>
    <x v="1"/>
    <x v="2"/>
    <x v="20"/>
    <x v="227"/>
    <x v="742"/>
    <x v="0"/>
    <s v="BOULEVARD EL DORADO"/>
    <x v="1"/>
  </r>
  <r>
    <x v="56"/>
    <x v="267"/>
    <x v="8"/>
    <x v="8"/>
    <x v="1"/>
    <x v="2"/>
    <x v="20"/>
    <x v="227"/>
    <x v="748"/>
    <x v="0"/>
    <s v="BOULEVARD EL DORADO"/>
    <x v="1"/>
  </r>
  <r>
    <x v="56"/>
    <x v="245"/>
    <x v="8"/>
    <x v="8"/>
    <x v="1"/>
    <x v="2"/>
    <x v="20"/>
    <x v="227"/>
    <x v="745"/>
    <x v="0"/>
    <s v="BOULEVARD EL DORADO"/>
    <x v="1"/>
  </r>
  <r>
    <x v="56"/>
    <x v="263"/>
    <x v="10"/>
    <x v="10"/>
    <x v="1"/>
    <x v="2"/>
    <x v="20"/>
    <x v="227"/>
    <x v="737"/>
    <x v="0"/>
    <s v="BOULEVARD EL DORADO"/>
    <x v="1"/>
  </r>
  <r>
    <x v="57"/>
    <x v="288"/>
    <x v="7"/>
    <x v="7"/>
    <x v="1"/>
    <x v="2"/>
    <x v="20"/>
    <x v="228"/>
    <x v="857"/>
    <x v="0"/>
    <s v="SAN SEBASTIAN"/>
    <x v="1"/>
  </r>
  <r>
    <x v="57"/>
    <x v="207"/>
    <x v="8"/>
    <x v="8"/>
    <x v="1"/>
    <x v="2"/>
    <x v="20"/>
    <x v="228"/>
    <x v="763"/>
    <x v="0"/>
    <s v="SAN SEBASTIAN"/>
    <x v="1"/>
  </r>
  <r>
    <x v="57"/>
    <x v="194"/>
    <x v="9"/>
    <x v="9"/>
    <x v="1"/>
    <x v="2"/>
    <x v="20"/>
    <x v="228"/>
    <x v="742"/>
    <x v="0"/>
    <s v="SAN SEBASTIAN"/>
    <x v="1"/>
  </r>
  <r>
    <x v="57"/>
    <x v="197"/>
    <x v="9"/>
    <x v="9"/>
    <x v="1"/>
    <x v="2"/>
    <x v="20"/>
    <x v="228"/>
    <x v="742"/>
    <x v="0"/>
    <s v="SAN SEBASTIAN"/>
    <x v="1"/>
  </r>
  <r>
    <x v="57"/>
    <x v="244"/>
    <x v="10"/>
    <x v="10"/>
    <x v="1"/>
    <x v="2"/>
    <x v="20"/>
    <x v="228"/>
    <x v="737"/>
    <x v="0"/>
    <s v="SAN SEBASTIAN"/>
    <x v="1"/>
  </r>
  <r>
    <x v="57"/>
    <x v="272"/>
    <x v="11"/>
    <x v="11"/>
    <x v="1"/>
    <x v="2"/>
    <x v="20"/>
    <x v="228"/>
    <x v="1355"/>
    <x v="0"/>
    <s v="SAN SEBASTIAN"/>
    <x v="1"/>
  </r>
  <r>
    <x v="57"/>
    <x v="276"/>
    <x v="2"/>
    <x v="2"/>
    <x v="1"/>
    <x v="2"/>
    <x v="20"/>
    <x v="228"/>
    <x v="3068"/>
    <x v="0"/>
    <s v="SAN SEBASTIAN"/>
    <x v="1"/>
  </r>
  <r>
    <x v="57"/>
    <x v="266"/>
    <x v="6"/>
    <x v="6"/>
    <x v="1"/>
    <x v="2"/>
    <x v="20"/>
    <x v="228"/>
    <x v="1355"/>
    <x v="0"/>
    <s v="SAN SEBASTIAN"/>
    <x v="1"/>
  </r>
  <r>
    <x v="57"/>
    <x v="296"/>
    <x v="6"/>
    <x v="6"/>
    <x v="1"/>
    <x v="2"/>
    <x v="20"/>
    <x v="228"/>
    <x v="737"/>
    <x v="0"/>
    <s v="SAN SEBASTIAN"/>
    <x v="1"/>
  </r>
  <r>
    <x v="57"/>
    <x v="174"/>
    <x v="6"/>
    <x v="6"/>
    <x v="1"/>
    <x v="2"/>
    <x v="20"/>
    <x v="228"/>
    <x v="737"/>
    <x v="0"/>
    <s v="SAN SEBASTIAN"/>
    <x v="1"/>
  </r>
  <r>
    <x v="57"/>
    <x v="181"/>
    <x v="11"/>
    <x v="11"/>
    <x v="1"/>
    <x v="0"/>
    <x v="25"/>
    <x v="362"/>
    <x v="146"/>
    <x v="0"/>
    <s v="SAN SEBASTIAN"/>
    <x v="1"/>
  </r>
  <r>
    <x v="58"/>
    <x v="326"/>
    <x v="8"/>
    <x v="8"/>
    <x v="1"/>
    <x v="2"/>
    <x v="26"/>
    <x v="423"/>
    <x v="187"/>
    <x v="0"/>
    <s v="SANTIAGO INTERAMERICANA"/>
    <x v="1"/>
  </r>
  <r>
    <x v="58"/>
    <x v="331"/>
    <x v="9"/>
    <x v="9"/>
    <x v="1"/>
    <x v="2"/>
    <x v="25"/>
    <x v="391"/>
    <x v="782"/>
    <x v="0"/>
    <s v="SANTIAGO INTERAMERICANA"/>
    <x v="1"/>
  </r>
  <r>
    <x v="58"/>
    <x v="268"/>
    <x v="10"/>
    <x v="10"/>
    <x v="1"/>
    <x v="2"/>
    <x v="26"/>
    <x v="339"/>
    <x v="905"/>
    <x v="0"/>
    <s v="SANTIAGO INTERAMERICANA"/>
    <x v="1"/>
  </r>
  <r>
    <x v="58"/>
    <x v="248"/>
    <x v="10"/>
    <x v="10"/>
    <x v="1"/>
    <x v="2"/>
    <x v="21"/>
    <x v="304"/>
    <x v="3069"/>
    <x v="0"/>
    <s v="SANTIAGO INTERAMERICANA"/>
    <x v="1"/>
  </r>
  <r>
    <x v="58"/>
    <x v="202"/>
    <x v="11"/>
    <x v="11"/>
    <x v="1"/>
    <x v="2"/>
    <x v="26"/>
    <x v="305"/>
    <x v="187"/>
    <x v="0"/>
    <s v="SANTIAGO INTERAMERICANA"/>
    <x v="1"/>
  </r>
  <r>
    <x v="58"/>
    <x v="273"/>
    <x v="11"/>
    <x v="11"/>
    <x v="1"/>
    <x v="2"/>
    <x v="25"/>
    <x v="354"/>
    <x v="782"/>
    <x v="0"/>
    <s v="SANTIAGO INTERAMERICANA"/>
    <x v="1"/>
  </r>
  <r>
    <x v="58"/>
    <x v="234"/>
    <x v="11"/>
    <x v="11"/>
    <x v="1"/>
    <x v="2"/>
    <x v="20"/>
    <x v="443"/>
    <x v="762"/>
    <x v="0"/>
    <s v="SANTIAGO INTERAMERICANA"/>
    <x v="1"/>
  </r>
  <r>
    <x v="58"/>
    <x v="229"/>
    <x v="6"/>
    <x v="6"/>
    <x v="1"/>
    <x v="2"/>
    <x v="25"/>
    <x v="281"/>
    <x v="3070"/>
    <x v="0"/>
    <s v="SANTIAGO INTERAMERICANA"/>
    <x v="1"/>
  </r>
  <r>
    <x v="59"/>
    <x v="208"/>
    <x v="8"/>
    <x v="8"/>
    <x v="1"/>
    <x v="2"/>
    <x v="20"/>
    <x v="229"/>
    <x v="3071"/>
    <x v="0"/>
    <s v="CIUDAD DEL SABER"/>
    <x v="1"/>
  </r>
  <r>
    <x v="59"/>
    <x v="329"/>
    <x v="10"/>
    <x v="10"/>
    <x v="1"/>
    <x v="2"/>
    <x v="25"/>
    <x v="380"/>
    <x v="814"/>
    <x v="0"/>
    <s v="CIUDAD DEL SABER"/>
    <x v="1"/>
  </r>
  <r>
    <x v="59"/>
    <x v="280"/>
    <x v="2"/>
    <x v="2"/>
    <x v="1"/>
    <x v="2"/>
    <x v="25"/>
    <x v="295"/>
    <x v="814"/>
    <x v="0"/>
    <s v="CIUDAD DEL SABER"/>
    <x v="1"/>
  </r>
  <r>
    <x v="59"/>
    <x v="257"/>
    <x v="2"/>
    <x v="2"/>
    <x v="1"/>
    <x v="2"/>
    <x v="25"/>
    <x v="410"/>
    <x v="814"/>
    <x v="0"/>
    <s v="CIUDAD DEL SABER"/>
    <x v="1"/>
  </r>
  <r>
    <x v="60"/>
    <x v="225"/>
    <x v="7"/>
    <x v="7"/>
    <x v="1"/>
    <x v="2"/>
    <x v="20"/>
    <x v="230"/>
    <x v="3072"/>
    <x v="0"/>
    <s v="VILLA ZAITA"/>
    <x v="1"/>
  </r>
  <r>
    <x v="60"/>
    <x v="285"/>
    <x v="6"/>
    <x v="6"/>
    <x v="1"/>
    <x v="2"/>
    <x v="20"/>
    <x v="230"/>
    <x v="2710"/>
    <x v="0"/>
    <s v="VILLA ZAITA"/>
    <x v="1"/>
  </r>
  <r>
    <x v="61"/>
    <x v="255"/>
    <x v="9"/>
    <x v="9"/>
    <x v="1"/>
    <x v="2"/>
    <x v="25"/>
    <x v="293"/>
    <x v="838"/>
    <x v="0"/>
    <s v="AZUERO TERMINAL PLAZA"/>
    <x v="1"/>
  </r>
  <r>
    <x v="61"/>
    <x v="274"/>
    <x v="11"/>
    <x v="11"/>
    <x v="1"/>
    <x v="2"/>
    <x v="26"/>
    <x v="404"/>
    <x v="804"/>
    <x v="0"/>
    <s v="AZUERO TERMINAL PLAZA"/>
    <x v="1"/>
  </r>
  <r>
    <x v="62"/>
    <x v="261"/>
    <x v="8"/>
    <x v="8"/>
    <x v="1"/>
    <x v="2"/>
    <x v="20"/>
    <x v="232"/>
    <x v="842"/>
    <x v="0"/>
    <s v="TOWN CENTER COSTA DEL ESTE"/>
    <x v="1"/>
  </r>
  <r>
    <x v="62"/>
    <x v="186"/>
    <x v="10"/>
    <x v="10"/>
    <x v="1"/>
    <x v="2"/>
    <x v="20"/>
    <x v="232"/>
    <x v="842"/>
    <x v="0"/>
    <s v="TOWN CENTER COSTA DEL ESTE"/>
    <x v="1"/>
  </r>
  <r>
    <x v="63"/>
    <x v="321"/>
    <x v="8"/>
    <x v="8"/>
    <x v="1"/>
    <x v="2"/>
    <x v="20"/>
    <x v="233"/>
    <x v="1300"/>
    <x v="0"/>
    <s v="COSTA VERDE"/>
    <x v="1"/>
  </r>
  <r>
    <x v="63"/>
    <x v="319"/>
    <x v="8"/>
    <x v="8"/>
    <x v="1"/>
    <x v="2"/>
    <x v="20"/>
    <x v="233"/>
    <x v="1300"/>
    <x v="0"/>
    <s v="COSTA VERDE"/>
    <x v="1"/>
  </r>
  <r>
    <x v="63"/>
    <x v="333"/>
    <x v="9"/>
    <x v="9"/>
    <x v="1"/>
    <x v="2"/>
    <x v="20"/>
    <x v="233"/>
    <x v="771"/>
    <x v="0"/>
    <s v="COSTA VERDE"/>
    <x v="1"/>
  </r>
  <r>
    <x v="63"/>
    <x v="176"/>
    <x v="10"/>
    <x v="10"/>
    <x v="1"/>
    <x v="2"/>
    <x v="20"/>
    <x v="233"/>
    <x v="771"/>
    <x v="0"/>
    <s v="COSTA VERDE"/>
    <x v="1"/>
  </r>
  <r>
    <x v="63"/>
    <x v="193"/>
    <x v="11"/>
    <x v="11"/>
    <x v="1"/>
    <x v="2"/>
    <x v="20"/>
    <x v="233"/>
    <x v="770"/>
    <x v="0"/>
    <s v="COSTA VERDE"/>
    <x v="1"/>
  </r>
  <r>
    <x v="63"/>
    <x v="217"/>
    <x v="6"/>
    <x v="6"/>
    <x v="1"/>
    <x v="2"/>
    <x v="20"/>
    <x v="233"/>
    <x v="1344"/>
    <x v="0"/>
    <s v="COSTA VERDE"/>
    <x v="1"/>
  </r>
  <r>
    <x v="63"/>
    <x v="241"/>
    <x v="6"/>
    <x v="6"/>
    <x v="1"/>
    <x v="2"/>
    <x v="20"/>
    <x v="233"/>
    <x v="770"/>
    <x v="0"/>
    <s v="COSTA VERDE"/>
    <x v="1"/>
  </r>
  <r>
    <x v="63"/>
    <x v="190"/>
    <x v="6"/>
    <x v="6"/>
    <x v="1"/>
    <x v="2"/>
    <x v="20"/>
    <x v="233"/>
    <x v="770"/>
    <x v="0"/>
    <s v="COSTA VERDE"/>
    <x v="1"/>
  </r>
  <r>
    <x v="63"/>
    <x v="324"/>
    <x v="6"/>
    <x v="6"/>
    <x v="1"/>
    <x v="2"/>
    <x v="20"/>
    <x v="233"/>
    <x v="771"/>
    <x v="0"/>
    <s v="COSTA VERDE"/>
    <x v="1"/>
  </r>
  <r>
    <x v="64"/>
    <x v="279"/>
    <x v="7"/>
    <x v="7"/>
    <x v="1"/>
    <x v="2"/>
    <x v="20"/>
    <x v="234"/>
    <x v="745"/>
    <x v="0"/>
    <s v="PLAZA LOS ANGELES"/>
    <x v="1"/>
  </r>
  <r>
    <x v="64"/>
    <x v="196"/>
    <x v="8"/>
    <x v="8"/>
    <x v="1"/>
    <x v="2"/>
    <x v="20"/>
    <x v="234"/>
    <x v="745"/>
    <x v="0"/>
    <s v="PLAZA LOS ANGELES"/>
    <x v="1"/>
  </r>
  <r>
    <x v="64"/>
    <x v="219"/>
    <x v="9"/>
    <x v="9"/>
    <x v="1"/>
    <x v="2"/>
    <x v="20"/>
    <x v="234"/>
    <x v="1355"/>
    <x v="0"/>
    <s v="PLAZA LOS ANGELES"/>
    <x v="1"/>
  </r>
  <r>
    <x v="64"/>
    <x v="176"/>
    <x v="10"/>
    <x v="10"/>
    <x v="1"/>
    <x v="2"/>
    <x v="20"/>
    <x v="234"/>
    <x v="750"/>
    <x v="0"/>
    <s v="PLAZA LOS ANGELES"/>
    <x v="1"/>
  </r>
  <r>
    <x v="78"/>
    <x v="246"/>
    <x v="2"/>
    <x v="2"/>
    <x v="1"/>
    <x v="2"/>
    <x v="20"/>
    <x v="444"/>
    <x v="814"/>
    <x v="0"/>
    <s v="CASCO VIEJO"/>
    <x v="1"/>
  </r>
  <r>
    <x v="78"/>
    <x v="229"/>
    <x v="6"/>
    <x v="6"/>
    <x v="1"/>
    <x v="2"/>
    <x v="20"/>
    <x v="444"/>
    <x v="814"/>
    <x v="0"/>
    <s v="CASCO VIEJO"/>
    <x v="1"/>
  </r>
  <r>
    <x v="65"/>
    <x v="290"/>
    <x v="9"/>
    <x v="9"/>
    <x v="1"/>
    <x v="2"/>
    <x v="25"/>
    <x v="302"/>
    <x v="951"/>
    <x v="0"/>
    <s v="SAN MATEO"/>
    <x v="1"/>
  </r>
  <r>
    <x v="65"/>
    <x v="242"/>
    <x v="9"/>
    <x v="9"/>
    <x v="1"/>
    <x v="2"/>
    <x v="25"/>
    <x v="435"/>
    <x v="952"/>
    <x v="0"/>
    <s v="SAN MATEO"/>
    <x v="1"/>
  </r>
  <r>
    <x v="65"/>
    <x v="302"/>
    <x v="11"/>
    <x v="11"/>
    <x v="1"/>
    <x v="2"/>
    <x v="25"/>
    <x v="324"/>
    <x v="899"/>
    <x v="0"/>
    <s v="SAN MATEO"/>
    <x v="1"/>
  </r>
  <r>
    <x v="65"/>
    <x v="218"/>
    <x v="6"/>
    <x v="6"/>
    <x v="1"/>
    <x v="2"/>
    <x v="20"/>
    <x v="445"/>
    <x v="815"/>
    <x v="0"/>
    <s v="SAN MATEO"/>
    <x v="1"/>
  </r>
  <r>
    <x v="65"/>
    <x v="191"/>
    <x v="6"/>
    <x v="6"/>
    <x v="1"/>
    <x v="2"/>
    <x v="20"/>
    <x v="445"/>
    <x v="735"/>
    <x v="0"/>
    <s v="SAN MATEO"/>
    <x v="1"/>
  </r>
  <r>
    <x v="65"/>
    <x v="290"/>
    <x v="9"/>
    <x v="9"/>
    <x v="1"/>
    <x v="1"/>
    <x v="25"/>
    <x v="302"/>
    <x v="3073"/>
    <x v="0"/>
    <s v="SAN MATEO"/>
    <x v="1"/>
  </r>
  <r>
    <x v="66"/>
    <x v="171"/>
    <x v="7"/>
    <x v="7"/>
    <x v="1"/>
    <x v="2"/>
    <x v="21"/>
    <x v="429"/>
    <x v="769"/>
    <x v="0"/>
    <s v="BRISAS DEL GOLF ARRAIJAN"/>
    <x v="1"/>
  </r>
  <r>
    <x v="66"/>
    <x v="331"/>
    <x v="9"/>
    <x v="9"/>
    <x v="1"/>
    <x v="2"/>
    <x v="25"/>
    <x v="391"/>
    <x v="769"/>
    <x v="0"/>
    <s v="BRISAS DEL GOLF ARRAIJAN"/>
    <x v="1"/>
  </r>
  <r>
    <x v="66"/>
    <x v="275"/>
    <x v="11"/>
    <x v="11"/>
    <x v="1"/>
    <x v="2"/>
    <x v="25"/>
    <x v="307"/>
    <x v="769"/>
    <x v="0"/>
    <s v="BRISAS DEL GOLF ARRAIJAN"/>
    <x v="1"/>
  </r>
  <r>
    <x v="66"/>
    <x v="307"/>
    <x v="2"/>
    <x v="2"/>
    <x v="1"/>
    <x v="2"/>
    <x v="20"/>
    <x v="237"/>
    <x v="742"/>
    <x v="0"/>
    <s v="BRISAS DEL GOLF ARRAIJAN"/>
    <x v="1"/>
  </r>
  <r>
    <x v="66"/>
    <x v="174"/>
    <x v="6"/>
    <x v="6"/>
    <x v="1"/>
    <x v="2"/>
    <x v="25"/>
    <x v="282"/>
    <x v="769"/>
    <x v="0"/>
    <s v="BRISAS DEL GOLF ARRAIJAN"/>
    <x v="1"/>
  </r>
  <r>
    <x v="67"/>
    <x v="179"/>
    <x v="7"/>
    <x v="7"/>
    <x v="1"/>
    <x v="2"/>
    <x v="20"/>
    <x v="238"/>
    <x v="1304"/>
    <x v="0"/>
    <s v="PASEO ARRAIJAN"/>
    <x v="1"/>
  </r>
  <r>
    <x v="67"/>
    <x v="259"/>
    <x v="7"/>
    <x v="7"/>
    <x v="1"/>
    <x v="2"/>
    <x v="20"/>
    <x v="238"/>
    <x v="1304"/>
    <x v="0"/>
    <s v="PASEO ARRAIJAN"/>
    <x v="1"/>
  </r>
  <r>
    <x v="67"/>
    <x v="253"/>
    <x v="7"/>
    <x v="7"/>
    <x v="1"/>
    <x v="2"/>
    <x v="21"/>
    <x v="292"/>
    <x v="769"/>
    <x v="0"/>
    <s v="PASEO ARRAIJAN"/>
    <x v="1"/>
  </r>
  <r>
    <x v="67"/>
    <x v="239"/>
    <x v="10"/>
    <x v="10"/>
    <x v="1"/>
    <x v="2"/>
    <x v="20"/>
    <x v="238"/>
    <x v="771"/>
    <x v="0"/>
    <s v="PASEO ARRAIJAN"/>
    <x v="1"/>
  </r>
  <r>
    <x v="67"/>
    <x v="177"/>
    <x v="11"/>
    <x v="11"/>
    <x v="1"/>
    <x v="2"/>
    <x v="20"/>
    <x v="238"/>
    <x v="814"/>
    <x v="0"/>
    <s v="PASEO ARRAIJAN"/>
    <x v="1"/>
  </r>
  <r>
    <x v="67"/>
    <x v="294"/>
    <x v="11"/>
    <x v="11"/>
    <x v="1"/>
    <x v="2"/>
    <x v="25"/>
    <x v="382"/>
    <x v="769"/>
    <x v="0"/>
    <s v="PASEO ARRAIJAN"/>
    <x v="1"/>
  </r>
  <r>
    <x v="67"/>
    <x v="257"/>
    <x v="2"/>
    <x v="2"/>
    <x v="1"/>
    <x v="2"/>
    <x v="20"/>
    <x v="238"/>
    <x v="2700"/>
    <x v="0"/>
    <s v="PASEO ARRAIJAN"/>
    <x v="1"/>
  </r>
  <r>
    <x v="67"/>
    <x v="265"/>
    <x v="6"/>
    <x v="6"/>
    <x v="1"/>
    <x v="2"/>
    <x v="20"/>
    <x v="238"/>
    <x v="770"/>
    <x v="0"/>
    <s v="PASEO ARRAIJAN"/>
    <x v="1"/>
  </r>
  <r>
    <x v="67"/>
    <x v="190"/>
    <x v="6"/>
    <x v="6"/>
    <x v="1"/>
    <x v="2"/>
    <x v="20"/>
    <x v="238"/>
    <x v="814"/>
    <x v="0"/>
    <s v="PASEO ARRAIJAN"/>
    <x v="1"/>
  </r>
  <r>
    <x v="67"/>
    <x v="191"/>
    <x v="6"/>
    <x v="6"/>
    <x v="1"/>
    <x v="2"/>
    <x v="25"/>
    <x v="318"/>
    <x v="769"/>
    <x v="0"/>
    <s v="PASEO ARRAIJAN"/>
    <x v="1"/>
  </r>
  <r>
    <x v="68"/>
    <x v="245"/>
    <x v="8"/>
    <x v="8"/>
    <x v="1"/>
    <x v="2"/>
    <x v="20"/>
    <x v="239"/>
    <x v="753"/>
    <x v="0"/>
    <s v="PLAZA NUEVO TOCUMEN"/>
    <x v="1"/>
  </r>
  <r>
    <x v="68"/>
    <x v="226"/>
    <x v="8"/>
    <x v="8"/>
    <x v="1"/>
    <x v="2"/>
    <x v="20"/>
    <x v="239"/>
    <x v="3074"/>
    <x v="0"/>
    <s v="PLAZA NUEVO TOCUMEN"/>
    <x v="1"/>
  </r>
  <r>
    <x v="68"/>
    <x v="303"/>
    <x v="9"/>
    <x v="9"/>
    <x v="1"/>
    <x v="2"/>
    <x v="20"/>
    <x v="239"/>
    <x v="191"/>
    <x v="0"/>
    <s v="PLAZA NUEVO TOCUMEN"/>
    <x v="1"/>
  </r>
  <r>
    <x v="68"/>
    <x v="268"/>
    <x v="10"/>
    <x v="10"/>
    <x v="1"/>
    <x v="2"/>
    <x v="20"/>
    <x v="239"/>
    <x v="841"/>
    <x v="0"/>
    <s v="PLAZA NUEVO TOCUMEN"/>
    <x v="1"/>
  </r>
  <r>
    <x v="68"/>
    <x v="176"/>
    <x v="10"/>
    <x v="10"/>
    <x v="1"/>
    <x v="2"/>
    <x v="20"/>
    <x v="239"/>
    <x v="1301"/>
    <x v="0"/>
    <s v="PLAZA NUEVO TOCUMEN"/>
    <x v="1"/>
  </r>
  <r>
    <x v="68"/>
    <x v="177"/>
    <x v="11"/>
    <x v="11"/>
    <x v="1"/>
    <x v="2"/>
    <x v="20"/>
    <x v="239"/>
    <x v="753"/>
    <x v="0"/>
    <s v="PLAZA NUEVO TOCUMEN"/>
    <x v="1"/>
  </r>
  <r>
    <x v="68"/>
    <x v="201"/>
    <x v="11"/>
    <x v="11"/>
    <x v="1"/>
    <x v="2"/>
    <x v="20"/>
    <x v="239"/>
    <x v="191"/>
    <x v="0"/>
    <s v="PLAZA NUEVO TOCUMEN"/>
    <x v="1"/>
  </r>
  <r>
    <x v="68"/>
    <x v="273"/>
    <x v="11"/>
    <x v="11"/>
    <x v="1"/>
    <x v="2"/>
    <x v="20"/>
    <x v="239"/>
    <x v="1301"/>
    <x v="0"/>
    <s v="PLAZA NUEVO TOCUMEN"/>
    <x v="1"/>
  </r>
  <r>
    <x v="68"/>
    <x v="257"/>
    <x v="2"/>
    <x v="2"/>
    <x v="1"/>
    <x v="2"/>
    <x v="20"/>
    <x v="239"/>
    <x v="753"/>
    <x v="0"/>
    <s v="PLAZA NUEVO TOCUMEN"/>
    <x v="1"/>
  </r>
  <r>
    <x v="68"/>
    <x v="266"/>
    <x v="6"/>
    <x v="6"/>
    <x v="1"/>
    <x v="2"/>
    <x v="20"/>
    <x v="239"/>
    <x v="753"/>
    <x v="0"/>
    <s v="PLAZA NUEVO TOCUMEN"/>
    <x v="1"/>
  </r>
  <r>
    <x v="69"/>
    <x v="308"/>
    <x v="7"/>
    <x v="7"/>
    <x v="1"/>
    <x v="2"/>
    <x v="20"/>
    <x v="240"/>
    <x v="747"/>
    <x v="0"/>
    <s v="SANTA MARIA"/>
    <x v="1"/>
  </r>
  <r>
    <x v="69"/>
    <x v="323"/>
    <x v="8"/>
    <x v="8"/>
    <x v="1"/>
    <x v="2"/>
    <x v="20"/>
    <x v="240"/>
    <x v="842"/>
    <x v="0"/>
    <s v="SANTA MARIA"/>
    <x v="1"/>
  </r>
  <r>
    <x v="69"/>
    <x v="207"/>
    <x v="8"/>
    <x v="8"/>
    <x v="1"/>
    <x v="2"/>
    <x v="20"/>
    <x v="240"/>
    <x v="737"/>
    <x v="0"/>
    <s v="SANTA MARIA"/>
    <x v="1"/>
  </r>
  <r>
    <x v="69"/>
    <x v="340"/>
    <x v="8"/>
    <x v="8"/>
    <x v="1"/>
    <x v="2"/>
    <x v="20"/>
    <x v="240"/>
    <x v="842"/>
    <x v="0"/>
    <s v="SANTA MARIA"/>
    <x v="1"/>
  </r>
  <r>
    <x v="69"/>
    <x v="292"/>
    <x v="9"/>
    <x v="9"/>
    <x v="1"/>
    <x v="2"/>
    <x v="20"/>
    <x v="240"/>
    <x v="752"/>
    <x v="0"/>
    <s v="SANTA MARIA"/>
    <x v="1"/>
  </r>
  <r>
    <x v="69"/>
    <x v="242"/>
    <x v="9"/>
    <x v="9"/>
    <x v="1"/>
    <x v="2"/>
    <x v="20"/>
    <x v="240"/>
    <x v="737"/>
    <x v="0"/>
    <s v="SANTA MARIA"/>
    <x v="1"/>
  </r>
  <r>
    <x v="69"/>
    <x v="338"/>
    <x v="9"/>
    <x v="9"/>
    <x v="1"/>
    <x v="2"/>
    <x v="20"/>
    <x v="240"/>
    <x v="842"/>
    <x v="0"/>
    <s v="SANTA MARIA"/>
    <x v="1"/>
  </r>
  <r>
    <x v="69"/>
    <x v="231"/>
    <x v="10"/>
    <x v="10"/>
    <x v="1"/>
    <x v="2"/>
    <x v="20"/>
    <x v="240"/>
    <x v="744"/>
    <x v="0"/>
    <s v="SANTA MARIA"/>
    <x v="1"/>
  </r>
  <r>
    <x v="69"/>
    <x v="329"/>
    <x v="10"/>
    <x v="10"/>
    <x v="1"/>
    <x v="2"/>
    <x v="20"/>
    <x v="240"/>
    <x v="3075"/>
    <x v="0"/>
    <s v="SANTA MARIA"/>
    <x v="1"/>
  </r>
  <r>
    <x v="69"/>
    <x v="233"/>
    <x v="10"/>
    <x v="10"/>
    <x v="1"/>
    <x v="2"/>
    <x v="20"/>
    <x v="240"/>
    <x v="842"/>
    <x v="0"/>
    <s v="SANTA MARIA"/>
    <x v="1"/>
  </r>
  <r>
    <x v="69"/>
    <x v="199"/>
    <x v="10"/>
    <x v="10"/>
    <x v="1"/>
    <x v="2"/>
    <x v="20"/>
    <x v="240"/>
    <x v="748"/>
    <x v="0"/>
    <s v="SANTA MARIA"/>
    <x v="1"/>
  </r>
  <r>
    <x v="69"/>
    <x v="299"/>
    <x v="11"/>
    <x v="11"/>
    <x v="1"/>
    <x v="2"/>
    <x v="20"/>
    <x v="240"/>
    <x v="742"/>
    <x v="0"/>
    <s v="SANTA MARIA"/>
    <x v="1"/>
  </r>
  <r>
    <x v="69"/>
    <x v="182"/>
    <x v="2"/>
    <x v="2"/>
    <x v="1"/>
    <x v="2"/>
    <x v="20"/>
    <x v="240"/>
    <x v="737"/>
    <x v="0"/>
    <s v="SANTA MARIA"/>
    <x v="1"/>
  </r>
  <r>
    <x v="69"/>
    <x v="276"/>
    <x v="2"/>
    <x v="2"/>
    <x v="1"/>
    <x v="2"/>
    <x v="20"/>
    <x v="240"/>
    <x v="752"/>
    <x v="0"/>
    <s v="SANTA MARIA"/>
    <x v="1"/>
  </r>
  <r>
    <x v="69"/>
    <x v="174"/>
    <x v="6"/>
    <x v="6"/>
    <x v="1"/>
    <x v="2"/>
    <x v="20"/>
    <x v="240"/>
    <x v="3076"/>
    <x v="0"/>
    <s v="SANTA MARIA"/>
    <x v="1"/>
  </r>
  <r>
    <x v="0"/>
    <x v="319"/>
    <x v="8"/>
    <x v="8"/>
    <x v="1"/>
    <x v="2"/>
    <x v="32"/>
    <x v="350"/>
    <x v="3077"/>
    <x v="0"/>
    <s v="CASA MATRIZ"/>
    <x v="2"/>
  </r>
  <r>
    <x v="0"/>
    <x v="200"/>
    <x v="11"/>
    <x v="11"/>
    <x v="1"/>
    <x v="2"/>
    <x v="32"/>
    <x v="351"/>
    <x v="1331"/>
    <x v="0"/>
    <s v="CASA MATRIZ"/>
    <x v="2"/>
  </r>
  <r>
    <x v="0"/>
    <x v="182"/>
    <x v="2"/>
    <x v="2"/>
    <x v="1"/>
    <x v="2"/>
    <x v="32"/>
    <x v="392"/>
    <x v="3078"/>
    <x v="0"/>
    <s v="CASA MATRIZ"/>
    <x v="2"/>
  </r>
  <r>
    <x v="0"/>
    <x v="335"/>
    <x v="6"/>
    <x v="6"/>
    <x v="1"/>
    <x v="2"/>
    <x v="32"/>
    <x v="408"/>
    <x v="1603"/>
    <x v="0"/>
    <s v="CASA MATRIZ"/>
    <x v="2"/>
  </r>
  <r>
    <x v="0"/>
    <x v="277"/>
    <x v="7"/>
    <x v="7"/>
    <x v="1"/>
    <x v="0"/>
    <x v="33"/>
    <x v="325"/>
    <x v="934"/>
    <x v="0"/>
    <s v="CASA MATRIZ"/>
    <x v="2"/>
  </r>
  <r>
    <x v="0"/>
    <x v="206"/>
    <x v="7"/>
    <x v="7"/>
    <x v="1"/>
    <x v="0"/>
    <x v="33"/>
    <x v="284"/>
    <x v="874"/>
    <x v="0"/>
    <s v="CASA MATRIZ"/>
    <x v="2"/>
  </r>
  <r>
    <x v="0"/>
    <x v="338"/>
    <x v="9"/>
    <x v="9"/>
    <x v="1"/>
    <x v="0"/>
    <x v="33"/>
    <x v="425"/>
    <x v="874"/>
    <x v="0"/>
    <s v="CASA MATRIZ"/>
    <x v="2"/>
  </r>
  <r>
    <x v="0"/>
    <x v="186"/>
    <x v="10"/>
    <x v="10"/>
    <x v="1"/>
    <x v="0"/>
    <x v="33"/>
    <x v="321"/>
    <x v="759"/>
    <x v="0"/>
    <s v="CASA MATRIZ"/>
    <x v="2"/>
  </r>
  <r>
    <x v="0"/>
    <x v="325"/>
    <x v="11"/>
    <x v="11"/>
    <x v="1"/>
    <x v="0"/>
    <x v="33"/>
    <x v="421"/>
    <x v="759"/>
    <x v="0"/>
    <s v="CASA MATRIZ"/>
    <x v="2"/>
  </r>
  <r>
    <x v="0"/>
    <x v="282"/>
    <x v="11"/>
    <x v="11"/>
    <x v="1"/>
    <x v="0"/>
    <x v="33"/>
    <x v="358"/>
    <x v="874"/>
    <x v="0"/>
    <s v="CASA MATRIZ"/>
    <x v="2"/>
  </r>
  <r>
    <x v="0"/>
    <x v="285"/>
    <x v="6"/>
    <x v="6"/>
    <x v="1"/>
    <x v="0"/>
    <x v="33"/>
    <x v="409"/>
    <x v="759"/>
    <x v="0"/>
    <s v="CASA MATRIZ"/>
    <x v="2"/>
  </r>
  <r>
    <x v="0"/>
    <x v="184"/>
    <x v="6"/>
    <x v="6"/>
    <x v="1"/>
    <x v="0"/>
    <x v="33"/>
    <x v="413"/>
    <x v="874"/>
    <x v="0"/>
    <s v="CASA MATRIZ"/>
    <x v="2"/>
  </r>
  <r>
    <x v="0"/>
    <x v="236"/>
    <x v="6"/>
    <x v="6"/>
    <x v="1"/>
    <x v="0"/>
    <x v="33"/>
    <x v="371"/>
    <x v="765"/>
    <x v="0"/>
    <s v="CASA MATRIZ"/>
    <x v="2"/>
  </r>
  <r>
    <x v="0"/>
    <x v="188"/>
    <x v="6"/>
    <x v="6"/>
    <x v="1"/>
    <x v="0"/>
    <x v="33"/>
    <x v="407"/>
    <x v="874"/>
    <x v="0"/>
    <s v="CASA MATRIZ"/>
    <x v="2"/>
  </r>
  <r>
    <x v="0"/>
    <x v="188"/>
    <x v="6"/>
    <x v="6"/>
    <x v="1"/>
    <x v="0"/>
    <x v="32"/>
    <x v="407"/>
    <x v="1"/>
    <x v="216"/>
    <s v="CASA MATRIZ"/>
    <x v="2"/>
  </r>
  <r>
    <x v="4"/>
    <x v="323"/>
    <x v="8"/>
    <x v="8"/>
    <x v="1"/>
    <x v="2"/>
    <x v="33"/>
    <x v="367"/>
    <x v="146"/>
    <x v="0"/>
    <s v="VIA PORRAS"/>
    <x v="2"/>
  </r>
  <r>
    <x v="4"/>
    <x v="319"/>
    <x v="8"/>
    <x v="8"/>
    <x v="1"/>
    <x v="2"/>
    <x v="32"/>
    <x v="350"/>
    <x v="3079"/>
    <x v="0"/>
    <s v="VIA PORRAS"/>
    <x v="2"/>
  </r>
  <r>
    <x v="4"/>
    <x v="200"/>
    <x v="11"/>
    <x v="11"/>
    <x v="1"/>
    <x v="2"/>
    <x v="32"/>
    <x v="351"/>
    <x v="3080"/>
    <x v="0"/>
    <s v="VIA PORRAS"/>
    <x v="2"/>
  </r>
  <r>
    <x v="4"/>
    <x v="177"/>
    <x v="11"/>
    <x v="11"/>
    <x v="1"/>
    <x v="2"/>
    <x v="33"/>
    <x v="346"/>
    <x v="765"/>
    <x v="0"/>
    <s v="VIA PORRAS"/>
    <x v="2"/>
  </r>
  <r>
    <x v="4"/>
    <x v="274"/>
    <x v="11"/>
    <x v="11"/>
    <x v="1"/>
    <x v="2"/>
    <x v="33"/>
    <x v="404"/>
    <x v="874"/>
    <x v="0"/>
    <s v="VIA PORRAS"/>
    <x v="2"/>
  </r>
  <r>
    <x v="4"/>
    <x v="275"/>
    <x v="11"/>
    <x v="11"/>
    <x v="1"/>
    <x v="2"/>
    <x v="33"/>
    <x v="307"/>
    <x v="874"/>
    <x v="0"/>
    <s v="VIA PORRAS"/>
    <x v="2"/>
  </r>
  <r>
    <x v="4"/>
    <x v="240"/>
    <x v="2"/>
    <x v="2"/>
    <x v="1"/>
    <x v="2"/>
    <x v="32"/>
    <x v="442"/>
    <x v="3081"/>
    <x v="0"/>
    <s v="VIA PORRAS"/>
    <x v="2"/>
  </r>
  <r>
    <x v="4"/>
    <x v="257"/>
    <x v="2"/>
    <x v="2"/>
    <x v="1"/>
    <x v="2"/>
    <x v="33"/>
    <x v="410"/>
    <x v="874"/>
    <x v="0"/>
    <s v="VIA PORRAS"/>
    <x v="2"/>
  </r>
  <r>
    <x v="4"/>
    <x v="327"/>
    <x v="7"/>
    <x v="7"/>
    <x v="1"/>
    <x v="0"/>
    <x v="33"/>
    <x v="387"/>
    <x v="765"/>
    <x v="0"/>
    <s v="VIA PORRAS"/>
    <x v="2"/>
  </r>
  <r>
    <x v="4"/>
    <x v="179"/>
    <x v="7"/>
    <x v="7"/>
    <x v="1"/>
    <x v="0"/>
    <x v="33"/>
    <x v="415"/>
    <x v="874"/>
    <x v="0"/>
    <s v="VIA PORRAS"/>
    <x v="2"/>
  </r>
  <r>
    <x v="4"/>
    <x v="225"/>
    <x v="7"/>
    <x v="7"/>
    <x v="1"/>
    <x v="0"/>
    <x v="33"/>
    <x v="416"/>
    <x v="874"/>
    <x v="0"/>
    <s v="VIA PORRAS"/>
    <x v="2"/>
  </r>
  <r>
    <x v="4"/>
    <x v="209"/>
    <x v="7"/>
    <x v="7"/>
    <x v="1"/>
    <x v="0"/>
    <x v="33"/>
    <x v="428"/>
    <x v="874"/>
    <x v="0"/>
    <s v="VIA PORRAS"/>
    <x v="2"/>
  </r>
  <r>
    <x v="4"/>
    <x v="332"/>
    <x v="7"/>
    <x v="7"/>
    <x v="1"/>
    <x v="0"/>
    <x v="33"/>
    <x v="397"/>
    <x v="874"/>
    <x v="0"/>
    <s v="VIA PORRAS"/>
    <x v="2"/>
  </r>
  <r>
    <x v="4"/>
    <x v="192"/>
    <x v="8"/>
    <x v="8"/>
    <x v="1"/>
    <x v="0"/>
    <x v="33"/>
    <x v="300"/>
    <x v="146"/>
    <x v="0"/>
    <s v="VIA PORRAS"/>
    <x v="2"/>
  </r>
  <r>
    <x v="4"/>
    <x v="254"/>
    <x v="8"/>
    <x v="8"/>
    <x v="1"/>
    <x v="0"/>
    <x v="33"/>
    <x v="326"/>
    <x v="874"/>
    <x v="0"/>
    <s v="VIA PORRAS"/>
    <x v="2"/>
  </r>
  <r>
    <x v="4"/>
    <x v="261"/>
    <x v="8"/>
    <x v="8"/>
    <x v="1"/>
    <x v="0"/>
    <x v="33"/>
    <x v="320"/>
    <x v="1182"/>
    <x v="0"/>
    <s v="VIA PORRAS"/>
    <x v="2"/>
  </r>
  <r>
    <x v="4"/>
    <x v="196"/>
    <x v="8"/>
    <x v="8"/>
    <x v="1"/>
    <x v="0"/>
    <x v="33"/>
    <x v="375"/>
    <x v="874"/>
    <x v="0"/>
    <s v="VIA PORRAS"/>
    <x v="2"/>
  </r>
  <r>
    <x v="4"/>
    <x v="227"/>
    <x v="9"/>
    <x v="9"/>
    <x v="1"/>
    <x v="0"/>
    <x v="33"/>
    <x v="399"/>
    <x v="765"/>
    <x v="0"/>
    <s v="VIA PORRAS"/>
    <x v="2"/>
  </r>
  <r>
    <x v="4"/>
    <x v="211"/>
    <x v="9"/>
    <x v="9"/>
    <x v="1"/>
    <x v="0"/>
    <x v="33"/>
    <x v="286"/>
    <x v="874"/>
    <x v="0"/>
    <s v="VIA PORRAS"/>
    <x v="2"/>
  </r>
  <r>
    <x v="4"/>
    <x v="331"/>
    <x v="9"/>
    <x v="9"/>
    <x v="1"/>
    <x v="0"/>
    <x v="33"/>
    <x v="391"/>
    <x v="874"/>
    <x v="0"/>
    <s v="VIA PORRAS"/>
    <x v="2"/>
  </r>
  <r>
    <x v="4"/>
    <x v="339"/>
    <x v="10"/>
    <x v="10"/>
    <x v="1"/>
    <x v="0"/>
    <x v="33"/>
    <x v="427"/>
    <x v="765"/>
    <x v="0"/>
    <s v="VIA PORRAS"/>
    <x v="2"/>
  </r>
  <r>
    <x v="4"/>
    <x v="176"/>
    <x v="10"/>
    <x v="10"/>
    <x v="1"/>
    <x v="0"/>
    <x v="33"/>
    <x v="412"/>
    <x v="874"/>
    <x v="0"/>
    <s v="VIA PORRAS"/>
    <x v="2"/>
  </r>
  <r>
    <x v="4"/>
    <x v="200"/>
    <x v="11"/>
    <x v="11"/>
    <x v="1"/>
    <x v="0"/>
    <x v="33"/>
    <x v="351"/>
    <x v="874"/>
    <x v="0"/>
    <s v="VIA PORRAS"/>
    <x v="2"/>
  </r>
  <r>
    <x v="4"/>
    <x v="282"/>
    <x v="11"/>
    <x v="11"/>
    <x v="1"/>
    <x v="0"/>
    <x v="33"/>
    <x v="358"/>
    <x v="146"/>
    <x v="0"/>
    <s v="VIA PORRAS"/>
    <x v="2"/>
  </r>
  <r>
    <x v="4"/>
    <x v="221"/>
    <x v="2"/>
    <x v="2"/>
    <x v="1"/>
    <x v="0"/>
    <x v="61"/>
    <x v="446"/>
    <x v="874"/>
    <x v="0"/>
    <s v="VIA PORRAS"/>
    <x v="2"/>
  </r>
  <r>
    <x v="4"/>
    <x v="221"/>
    <x v="2"/>
    <x v="2"/>
    <x v="1"/>
    <x v="0"/>
    <x v="33"/>
    <x v="347"/>
    <x v="874"/>
    <x v="0"/>
    <s v="VIA PORRAS"/>
    <x v="2"/>
  </r>
  <r>
    <x v="4"/>
    <x v="222"/>
    <x v="2"/>
    <x v="2"/>
    <x v="1"/>
    <x v="0"/>
    <x v="32"/>
    <x v="384"/>
    <x v="874"/>
    <x v="0"/>
    <s v="VIA PORRAS"/>
    <x v="2"/>
  </r>
  <r>
    <x v="4"/>
    <x v="222"/>
    <x v="2"/>
    <x v="2"/>
    <x v="1"/>
    <x v="0"/>
    <x v="33"/>
    <x v="384"/>
    <x v="874"/>
    <x v="0"/>
    <s v="VIA PORRAS"/>
    <x v="2"/>
  </r>
  <r>
    <x v="4"/>
    <x v="182"/>
    <x v="2"/>
    <x v="2"/>
    <x v="1"/>
    <x v="0"/>
    <x v="62"/>
    <x v="59"/>
    <x v="1"/>
    <x v="216"/>
    <s v="VIA PORRAS"/>
    <x v="2"/>
  </r>
  <r>
    <x v="4"/>
    <x v="307"/>
    <x v="2"/>
    <x v="2"/>
    <x v="1"/>
    <x v="0"/>
    <x v="33"/>
    <x v="441"/>
    <x v="874"/>
    <x v="0"/>
    <s v="VIA PORRAS"/>
    <x v="2"/>
  </r>
  <r>
    <x v="4"/>
    <x v="257"/>
    <x v="2"/>
    <x v="2"/>
    <x v="1"/>
    <x v="0"/>
    <x v="33"/>
    <x v="410"/>
    <x v="874"/>
    <x v="0"/>
    <s v="VIA PORRAS"/>
    <x v="2"/>
  </r>
  <r>
    <x v="4"/>
    <x v="235"/>
    <x v="2"/>
    <x v="2"/>
    <x v="1"/>
    <x v="0"/>
    <x v="33"/>
    <x v="393"/>
    <x v="874"/>
    <x v="0"/>
    <s v="VIA PORRAS"/>
    <x v="2"/>
  </r>
  <r>
    <x v="4"/>
    <x v="217"/>
    <x v="6"/>
    <x v="6"/>
    <x v="1"/>
    <x v="0"/>
    <x v="33"/>
    <x v="323"/>
    <x v="146"/>
    <x v="0"/>
    <s v="VIA PORRAS"/>
    <x v="2"/>
  </r>
  <r>
    <x v="4"/>
    <x v="184"/>
    <x v="6"/>
    <x v="6"/>
    <x v="1"/>
    <x v="0"/>
    <x v="33"/>
    <x v="413"/>
    <x v="874"/>
    <x v="0"/>
    <s v="VIA PORRAS"/>
    <x v="2"/>
  </r>
  <r>
    <x v="4"/>
    <x v="296"/>
    <x v="6"/>
    <x v="6"/>
    <x v="1"/>
    <x v="0"/>
    <x v="33"/>
    <x v="312"/>
    <x v="874"/>
    <x v="0"/>
    <s v="VIA PORRAS"/>
    <x v="2"/>
  </r>
  <r>
    <x v="4"/>
    <x v="236"/>
    <x v="6"/>
    <x v="6"/>
    <x v="1"/>
    <x v="0"/>
    <x v="33"/>
    <x v="371"/>
    <x v="759"/>
    <x v="0"/>
    <s v="VIA PORRAS"/>
    <x v="2"/>
  </r>
  <r>
    <x v="4"/>
    <x v="174"/>
    <x v="6"/>
    <x v="6"/>
    <x v="1"/>
    <x v="0"/>
    <x v="33"/>
    <x v="282"/>
    <x v="874"/>
    <x v="0"/>
    <s v="VIA PORRAS"/>
    <x v="2"/>
  </r>
  <r>
    <x v="4"/>
    <x v="229"/>
    <x v="6"/>
    <x v="6"/>
    <x v="1"/>
    <x v="0"/>
    <x v="33"/>
    <x v="281"/>
    <x v="759"/>
    <x v="0"/>
    <s v="VIA PORRAS"/>
    <x v="2"/>
  </r>
  <r>
    <x v="4"/>
    <x v="241"/>
    <x v="6"/>
    <x v="6"/>
    <x v="1"/>
    <x v="0"/>
    <x v="33"/>
    <x v="447"/>
    <x v="146"/>
    <x v="0"/>
    <s v="VIA PORRAS"/>
    <x v="2"/>
  </r>
  <r>
    <x v="4"/>
    <x v="191"/>
    <x v="6"/>
    <x v="6"/>
    <x v="1"/>
    <x v="0"/>
    <x v="33"/>
    <x v="318"/>
    <x v="874"/>
    <x v="0"/>
    <s v="VIA PORRAS"/>
    <x v="2"/>
  </r>
  <r>
    <x v="4"/>
    <x v="239"/>
    <x v="10"/>
    <x v="10"/>
    <x v="1"/>
    <x v="1"/>
    <x v="33"/>
    <x v="419"/>
    <x v="874"/>
    <x v="0"/>
    <s v="VIA PORRAS"/>
    <x v="2"/>
  </r>
  <r>
    <x v="4"/>
    <x v="187"/>
    <x v="11"/>
    <x v="11"/>
    <x v="1"/>
    <x v="1"/>
    <x v="33"/>
    <x v="328"/>
    <x v="874"/>
    <x v="0"/>
    <s v="VIA PORRAS"/>
    <x v="2"/>
  </r>
  <r>
    <x v="4"/>
    <x v="177"/>
    <x v="11"/>
    <x v="11"/>
    <x v="1"/>
    <x v="1"/>
    <x v="33"/>
    <x v="346"/>
    <x v="874"/>
    <x v="0"/>
    <s v="VIA PORRAS"/>
    <x v="2"/>
  </r>
  <r>
    <x v="4"/>
    <x v="285"/>
    <x v="6"/>
    <x v="6"/>
    <x v="1"/>
    <x v="1"/>
    <x v="33"/>
    <x v="409"/>
    <x v="874"/>
    <x v="0"/>
    <s v="VIA PORRAS"/>
    <x v="2"/>
  </r>
  <r>
    <x v="6"/>
    <x v="323"/>
    <x v="8"/>
    <x v="8"/>
    <x v="1"/>
    <x v="2"/>
    <x v="32"/>
    <x v="367"/>
    <x v="3082"/>
    <x v="0"/>
    <s v="CHANIS"/>
    <x v="2"/>
  </r>
  <r>
    <x v="6"/>
    <x v="339"/>
    <x v="10"/>
    <x v="10"/>
    <x v="1"/>
    <x v="2"/>
    <x v="32"/>
    <x v="427"/>
    <x v="1624"/>
    <x v="0"/>
    <s v="CHANIS"/>
    <x v="2"/>
  </r>
  <r>
    <x v="6"/>
    <x v="214"/>
    <x v="11"/>
    <x v="11"/>
    <x v="1"/>
    <x v="2"/>
    <x v="32"/>
    <x v="306"/>
    <x v="3083"/>
    <x v="0"/>
    <s v="CHANIS"/>
    <x v="2"/>
  </r>
  <r>
    <x v="6"/>
    <x v="335"/>
    <x v="6"/>
    <x v="6"/>
    <x v="1"/>
    <x v="2"/>
    <x v="32"/>
    <x v="408"/>
    <x v="3084"/>
    <x v="0"/>
    <s v="CHANIS"/>
    <x v="2"/>
  </r>
  <r>
    <x v="7"/>
    <x v="277"/>
    <x v="7"/>
    <x v="7"/>
    <x v="1"/>
    <x v="2"/>
    <x v="32"/>
    <x v="325"/>
    <x v="3085"/>
    <x v="0"/>
    <s v="PLAZA TOCUMEN"/>
    <x v="2"/>
  </r>
  <r>
    <x v="7"/>
    <x v="303"/>
    <x v="9"/>
    <x v="9"/>
    <x v="1"/>
    <x v="2"/>
    <x v="32"/>
    <x v="327"/>
    <x v="1"/>
    <x v="508"/>
    <s v="PLAZA TOCUMEN"/>
    <x v="2"/>
  </r>
  <r>
    <x v="7"/>
    <x v="194"/>
    <x v="9"/>
    <x v="9"/>
    <x v="1"/>
    <x v="2"/>
    <x v="32"/>
    <x v="390"/>
    <x v="3086"/>
    <x v="0"/>
    <s v="PLAZA TOCUMEN"/>
    <x v="2"/>
  </r>
  <r>
    <x v="7"/>
    <x v="248"/>
    <x v="10"/>
    <x v="10"/>
    <x v="1"/>
    <x v="2"/>
    <x v="33"/>
    <x v="304"/>
    <x v="3087"/>
    <x v="0"/>
    <s v="PLAZA TOCUMEN"/>
    <x v="2"/>
  </r>
  <r>
    <x v="7"/>
    <x v="299"/>
    <x v="11"/>
    <x v="11"/>
    <x v="1"/>
    <x v="2"/>
    <x v="32"/>
    <x v="315"/>
    <x v="1215"/>
    <x v="0"/>
    <s v="PLAZA TOCUMEN"/>
    <x v="2"/>
  </r>
  <r>
    <x v="7"/>
    <x v="214"/>
    <x v="11"/>
    <x v="11"/>
    <x v="1"/>
    <x v="2"/>
    <x v="32"/>
    <x v="306"/>
    <x v="3088"/>
    <x v="0"/>
    <s v="PLAZA TOCUMEN"/>
    <x v="2"/>
  </r>
  <r>
    <x v="7"/>
    <x v="281"/>
    <x v="6"/>
    <x v="6"/>
    <x v="1"/>
    <x v="2"/>
    <x v="32"/>
    <x v="395"/>
    <x v="848"/>
    <x v="0"/>
    <s v="PLAZA TOCUMEN"/>
    <x v="2"/>
  </r>
  <r>
    <x v="7"/>
    <x v="190"/>
    <x v="6"/>
    <x v="6"/>
    <x v="1"/>
    <x v="2"/>
    <x v="32"/>
    <x v="342"/>
    <x v="933"/>
    <x v="0"/>
    <s v="PLAZA TOCUMEN"/>
    <x v="2"/>
  </r>
  <r>
    <x v="8"/>
    <x v="249"/>
    <x v="11"/>
    <x v="11"/>
    <x v="1"/>
    <x v="2"/>
    <x v="33"/>
    <x v="359"/>
    <x v="761"/>
    <x v="0"/>
    <s v="SANTIAGO"/>
    <x v="2"/>
  </r>
  <r>
    <x v="9"/>
    <x v="259"/>
    <x v="7"/>
    <x v="7"/>
    <x v="1"/>
    <x v="2"/>
    <x v="33"/>
    <x v="355"/>
    <x v="874"/>
    <x v="0"/>
    <s v="OBARRIO"/>
    <x v="2"/>
  </r>
  <r>
    <x v="9"/>
    <x v="262"/>
    <x v="9"/>
    <x v="9"/>
    <x v="1"/>
    <x v="2"/>
    <x v="32"/>
    <x v="368"/>
    <x v="1795"/>
    <x v="0"/>
    <s v="OBARRIO"/>
    <x v="2"/>
  </r>
  <r>
    <x v="9"/>
    <x v="258"/>
    <x v="7"/>
    <x v="7"/>
    <x v="1"/>
    <x v="0"/>
    <x v="33"/>
    <x v="349"/>
    <x v="759"/>
    <x v="0"/>
    <s v="OBARRIO"/>
    <x v="2"/>
  </r>
  <r>
    <x v="9"/>
    <x v="309"/>
    <x v="7"/>
    <x v="7"/>
    <x v="1"/>
    <x v="0"/>
    <x v="33"/>
    <x v="334"/>
    <x v="874"/>
    <x v="0"/>
    <s v="OBARRIO"/>
    <x v="2"/>
  </r>
  <r>
    <x v="9"/>
    <x v="337"/>
    <x v="9"/>
    <x v="9"/>
    <x v="1"/>
    <x v="0"/>
    <x v="33"/>
    <x v="424"/>
    <x v="759"/>
    <x v="0"/>
    <s v="OBARRIO"/>
    <x v="2"/>
  </r>
  <r>
    <x v="9"/>
    <x v="303"/>
    <x v="9"/>
    <x v="9"/>
    <x v="1"/>
    <x v="0"/>
    <x v="33"/>
    <x v="327"/>
    <x v="874"/>
    <x v="0"/>
    <s v="OBARRIO"/>
    <x v="2"/>
  </r>
  <r>
    <x v="9"/>
    <x v="338"/>
    <x v="9"/>
    <x v="9"/>
    <x v="1"/>
    <x v="0"/>
    <x v="33"/>
    <x v="425"/>
    <x v="874"/>
    <x v="0"/>
    <s v="OBARRIO"/>
    <x v="2"/>
  </r>
  <r>
    <x v="9"/>
    <x v="233"/>
    <x v="10"/>
    <x v="10"/>
    <x v="1"/>
    <x v="0"/>
    <x v="33"/>
    <x v="344"/>
    <x v="765"/>
    <x v="0"/>
    <s v="OBARRIO"/>
    <x v="2"/>
  </r>
  <r>
    <x v="9"/>
    <x v="272"/>
    <x v="11"/>
    <x v="11"/>
    <x v="1"/>
    <x v="0"/>
    <x v="33"/>
    <x v="360"/>
    <x v="146"/>
    <x v="0"/>
    <s v="OBARRIO"/>
    <x v="2"/>
  </r>
  <r>
    <x v="9"/>
    <x v="314"/>
    <x v="6"/>
    <x v="6"/>
    <x v="1"/>
    <x v="0"/>
    <x v="33"/>
    <x v="372"/>
    <x v="759"/>
    <x v="0"/>
    <s v="OBARRIO"/>
    <x v="2"/>
  </r>
  <r>
    <x v="9"/>
    <x v="254"/>
    <x v="8"/>
    <x v="8"/>
    <x v="1"/>
    <x v="1"/>
    <x v="33"/>
    <x v="326"/>
    <x v="874"/>
    <x v="0"/>
    <s v="OBARRIO"/>
    <x v="2"/>
  </r>
  <r>
    <x v="9"/>
    <x v="246"/>
    <x v="2"/>
    <x v="2"/>
    <x v="1"/>
    <x v="1"/>
    <x v="33"/>
    <x v="287"/>
    <x v="759"/>
    <x v="0"/>
    <s v="OBARRIO"/>
    <x v="2"/>
  </r>
  <r>
    <x v="10"/>
    <x v="194"/>
    <x v="9"/>
    <x v="9"/>
    <x v="1"/>
    <x v="2"/>
    <x v="33"/>
    <x v="390"/>
    <x v="874"/>
    <x v="0"/>
    <s v="HATO PINTADO"/>
    <x v="2"/>
  </r>
  <r>
    <x v="10"/>
    <x v="230"/>
    <x v="9"/>
    <x v="9"/>
    <x v="1"/>
    <x v="2"/>
    <x v="33"/>
    <x v="283"/>
    <x v="874"/>
    <x v="0"/>
    <s v="HATO PINTADO"/>
    <x v="2"/>
  </r>
  <r>
    <x v="10"/>
    <x v="317"/>
    <x v="10"/>
    <x v="10"/>
    <x v="1"/>
    <x v="2"/>
    <x v="33"/>
    <x v="401"/>
    <x v="759"/>
    <x v="0"/>
    <s v="HATO PINTADO"/>
    <x v="2"/>
  </r>
  <r>
    <x v="10"/>
    <x v="191"/>
    <x v="6"/>
    <x v="6"/>
    <x v="1"/>
    <x v="2"/>
    <x v="33"/>
    <x v="318"/>
    <x v="874"/>
    <x v="0"/>
    <s v="HATO PINTADO"/>
    <x v="2"/>
  </r>
  <r>
    <x v="10"/>
    <x v="288"/>
    <x v="7"/>
    <x v="7"/>
    <x v="1"/>
    <x v="0"/>
    <x v="33"/>
    <x v="439"/>
    <x v="759"/>
    <x v="0"/>
    <s v="HATO PINTADO"/>
    <x v="2"/>
  </r>
  <r>
    <x v="10"/>
    <x v="259"/>
    <x v="7"/>
    <x v="7"/>
    <x v="1"/>
    <x v="0"/>
    <x v="33"/>
    <x v="355"/>
    <x v="759"/>
    <x v="0"/>
    <s v="HATO PINTADO"/>
    <x v="2"/>
  </r>
  <r>
    <x v="10"/>
    <x v="205"/>
    <x v="7"/>
    <x v="7"/>
    <x v="1"/>
    <x v="0"/>
    <x v="33"/>
    <x v="299"/>
    <x v="934"/>
    <x v="0"/>
    <s v="HATO PINTADO"/>
    <x v="2"/>
  </r>
  <r>
    <x v="10"/>
    <x v="209"/>
    <x v="7"/>
    <x v="7"/>
    <x v="1"/>
    <x v="0"/>
    <x v="33"/>
    <x v="428"/>
    <x v="848"/>
    <x v="0"/>
    <s v="HATO PINTADO"/>
    <x v="2"/>
  </r>
  <r>
    <x v="10"/>
    <x v="322"/>
    <x v="7"/>
    <x v="7"/>
    <x v="1"/>
    <x v="0"/>
    <x v="33"/>
    <x v="448"/>
    <x v="1182"/>
    <x v="0"/>
    <s v="HATO PINTADO"/>
    <x v="2"/>
  </r>
  <r>
    <x v="10"/>
    <x v="279"/>
    <x v="7"/>
    <x v="7"/>
    <x v="1"/>
    <x v="0"/>
    <x v="33"/>
    <x v="449"/>
    <x v="759"/>
    <x v="0"/>
    <s v="HATO PINTADO"/>
    <x v="2"/>
  </r>
  <r>
    <x v="10"/>
    <x v="192"/>
    <x v="8"/>
    <x v="8"/>
    <x v="1"/>
    <x v="0"/>
    <x v="33"/>
    <x v="300"/>
    <x v="952"/>
    <x v="0"/>
    <s v="HATO PINTADO"/>
    <x v="2"/>
  </r>
  <r>
    <x v="10"/>
    <x v="254"/>
    <x v="8"/>
    <x v="8"/>
    <x v="1"/>
    <x v="0"/>
    <x v="33"/>
    <x v="326"/>
    <x v="859"/>
    <x v="0"/>
    <s v="HATO PINTADO"/>
    <x v="2"/>
  </r>
  <r>
    <x v="10"/>
    <x v="261"/>
    <x v="8"/>
    <x v="8"/>
    <x v="1"/>
    <x v="0"/>
    <x v="33"/>
    <x v="320"/>
    <x v="899"/>
    <x v="0"/>
    <s v="HATO PINTADO"/>
    <x v="2"/>
  </r>
  <r>
    <x v="10"/>
    <x v="323"/>
    <x v="8"/>
    <x v="8"/>
    <x v="1"/>
    <x v="0"/>
    <x v="33"/>
    <x v="367"/>
    <x v="759"/>
    <x v="0"/>
    <s v="HATO PINTADO"/>
    <x v="2"/>
  </r>
  <r>
    <x v="10"/>
    <x v="245"/>
    <x v="8"/>
    <x v="8"/>
    <x v="1"/>
    <x v="0"/>
    <x v="33"/>
    <x v="285"/>
    <x v="899"/>
    <x v="0"/>
    <s v="HATO PINTADO"/>
    <x v="2"/>
  </r>
  <r>
    <x v="10"/>
    <x v="196"/>
    <x v="8"/>
    <x v="8"/>
    <x v="1"/>
    <x v="0"/>
    <x v="33"/>
    <x v="375"/>
    <x v="899"/>
    <x v="0"/>
    <s v="HATO PINTADO"/>
    <x v="2"/>
  </r>
  <r>
    <x v="10"/>
    <x v="173"/>
    <x v="8"/>
    <x v="8"/>
    <x v="1"/>
    <x v="0"/>
    <x v="33"/>
    <x v="378"/>
    <x v="759"/>
    <x v="0"/>
    <s v="HATO PINTADO"/>
    <x v="2"/>
  </r>
  <r>
    <x v="10"/>
    <x v="337"/>
    <x v="9"/>
    <x v="9"/>
    <x v="1"/>
    <x v="0"/>
    <x v="33"/>
    <x v="424"/>
    <x v="899"/>
    <x v="0"/>
    <s v="HATO PINTADO"/>
    <x v="2"/>
  </r>
  <r>
    <x v="10"/>
    <x v="227"/>
    <x v="9"/>
    <x v="9"/>
    <x v="1"/>
    <x v="0"/>
    <x v="33"/>
    <x v="399"/>
    <x v="952"/>
    <x v="0"/>
    <s v="HATO PINTADO"/>
    <x v="2"/>
  </r>
  <r>
    <x v="10"/>
    <x v="194"/>
    <x v="9"/>
    <x v="9"/>
    <x v="1"/>
    <x v="0"/>
    <x v="33"/>
    <x v="390"/>
    <x v="934"/>
    <x v="0"/>
    <s v="HATO PINTADO"/>
    <x v="2"/>
  </r>
  <r>
    <x v="10"/>
    <x v="242"/>
    <x v="9"/>
    <x v="9"/>
    <x v="1"/>
    <x v="0"/>
    <x v="33"/>
    <x v="435"/>
    <x v="982"/>
    <x v="0"/>
    <s v="HATO PINTADO"/>
    <x v="2"/>
  </r>
  <r>
    <x v="10"/>
    <x v="219"/>
    <x v="9"/>
    <x v="9"/>
    <x v="1"/>
    <x v="0"/>
    <x v="33"/>
    <x v="308"/>
    <x v="146"/>
    <x v="0"/>
    <s v="HATO PINTADO"/>
    <x v="2"/>
  </r>
  <r>
    <x v="10"/>
    <x v="178"/>
    <x v="9"/>
    <x v="9"/>
    <x v="1"/>
    <x v="0"/>
    <x v="33"/>
    <x v="353"/>
    <x v="899"/>
    <x v="0"/>
    <s v="HATO PINTADO"/>
    <x v="2"/>
  </r>
  <r>
    <x v="10"/>
    <x v="255"/>
    <x v="9"/>
    <x v="9"/>
    <x v="1"/>
    <x v="0"/>
    <x v="33"/>
    <x v="293"/>
    <x v="759"/>
    <x v="0"/>
    <s v="HATO PINTADO"/>
    <x v="2"/>
  </r>
  <r>
    <x v="10"/>
    <x v="291"/>
    <x v="9"/>
    <x v="9"/>
    <x v="1"/>
    <x v="0"/>
    <x v="33"/>
    <x v="303"/>
    <x v="759"/>
    <x v="0"/>
    <s v="HATO PINTADO"/>
    <x v="2"/>
  </r>
  <r>
    <x v="10"/>
    <x v="263"/>
    <x v="10"/>
    <x v="10"/>
    <x v="1"/>
    <x v="0"/>
    <x v="33"/>
    <x v="436"/>
    <x v="899"/>
    <x v="0"/>
    <s v="HATO PINTADO"/>
    <x v="2"/>
  </r>
  <r>
    <x v="10"/>
    <x v="212"/>
    <x v="10"/>
    <x v="10"/>
    <x v="1"/>
    <x v="0"/>
    <x v="33"/>
    <x v="319"/>
    <x v="874"/>
    <x v="0"/>
    <s v="HATO PINTADO"/>
    <x v="2"/>
  </r>
  <r>
    <x v="10"/>
    <x v="317"/>
    <x v="10"/>
    <x v="10"/>
    <x v="1"/>
    <x v="0"/>
    <x v="33"/>
    <x v="401"/>
    <x v="874"/>
    <x v="0"/>
    <s v="HATO PINTADO"/>
    <x v="2"/>
  </r>
  <r>
    <x v="10"/>
    <x v="186"/>
    <x v="10"/>
    <x v="10"/>
    <x v="1"/>
    <x v="0"/>
    <x v="33"/>
    <x v="321"/>
    <x v="759"/>
    <x v="0"/>
    <s v="HATO PINTADO"/>
    <x v="2"/>
  </r>
  <r>
    <x v="10"/>
    <x v="329"/>
    <x v="10"/>
    <x v="10"/>
    <x v="1"/>
    <x v="0"/>
    <x v="33"/>
    <x v="380"/>
    <x v="1182"/>
    <x v="0"/>
    <s v="HATO PINTADO"/>
    <x v="2"/>
  </r>
  <r>
    <x v="10"/>
    <x v="248"/>
    <x v="10"/>
    <x v="10"/>
    <x v="1"/>
    <x v="0"/>
    <x v="33"/>
    <x v="304"/>
    <x v="759"/>
    <x v="0"/>
    <s v="HATO PINTADO"/>
    <x v="2"/>
  </r>
  <r>
    <x v="10"/>
    <x v="233"/>
    <x v="10"/>
    <x v="10"/>
    <x v="1"/>
    <x v="0"/>
    <x v="33"/>
    <x v="344"/>
    <x v="759"/>
    <x v="0"/>
    <s v="HATO PINTADO"/>
    <x v="2"/>
  </r>
  <r>
    <x v="10"/>
    <x v="176"/>
    <x v="10"/>
    <x v="10"/>
    <x v="1"/>
    <x v="0"/>
    <x v="33"/>
    <x v="412"/>
    <x v="1182"/>
    <x v="0"/>
    <s v="HATO PINTADO"/>
    <x v="2"/>
  </r>
  <r>
    <x v="10"/>
    <x v="325"/>
    <x v="11"/>
    <x v="11"/>
    <x v="1"/>
    <x v="0"/>
    <x v="33"/>
    <x v="421"/>
    <x v="899"/>
    <x v="0"/>
    <s v="HATO PINTADO"/>
    <x v="2"/>
  </r>
  <r>
    <x v="10"/>
    <x v="282"/>
    <x v="11"/>
    <x v="11"/>
    <x v="1"/>
    <x v="0"/>
    <x v="33"/>
    <x v="358"/>
    <x v="848"/>
    <x v="0"/>
    <s v="HATO PINTADO"/>
    <x v="2"/>
  </r>
  <r>
    <x v="10"/>
    <x v="187"/>
    <x v="11"/>
    <x v="11"/>
    <x v="1"/>
    <x v="0"/>
    <x v="33"/>
    <x v="328"/>
    <x v="759"/>
    <x v="0"/>
    <s v="HATO PINTADO"/>
    <x v="2"/>
  </r>
  <r>
    <x v="10"/>
    <x v="201"/>
    <x v="11"/>
    <x v="11"/>
    <x v="1"/>
    <x v="0"/>
    <x v="33"/>
    <x v="422"/>
    <x v="1182"/>
    <x v="0"/>
    <s v="HATO PINTADO"/>
    <x v="2"/>
  </r>
  <r>
    <x v="10"/>
    <x v="249"/>
    <x v="11"/>
    <x v="11"/>
    <x v="1"/>
    <x v="0"/>
    <x v="33"/>
    <x v="359"/>
    <x v="899"/>
    <x v="0"/>
    <s v="HATO PINTADO"/>
    <x v="2"/>
  </r>
  <r>
    <x v="10"/>
    <x v="299"/>
    <x v="11"/>
    <x v="11"/>
    <x v="1"/>
    <x v="0"/>
    <x v="33"/>
    <x v="315"/>
    <x v="146"/>
    <x v="0"/>
    <s v="HATO PINTADO"/>
    <x v="2"/>
  </r>
  <r>
    <x v="10"/>
    <x v="302"/>
    <x v="11"/>
    <x v="11"/>
    <x v="1"/>
    <x v="0"/>
    <x v="33"/>
    <x v="324"/>
    <x v="759"/>
    <x v="0"/>
    <s v="HATO PINTADO"/>
    <x v="2"/>
  </r>
  <r>
    <x v="10"/>
    <x v="256"/>
    <x v="11"/>
    <x v="11"/>
    <x v="1"/>
    <x v="0"/>
    <x v="33"/>
    <x v="294"/>
    <x v="934"/>
    <x v="0"/>
    <s v="HATO PINTADO"/>
    <x v="2"/>
  </r>
  <r>
    <x v="10"/>
    <x v="202"/>
    <x v="11"/>
    <x v="11"/>
    <x v="1"/>
    <x v="0"/>
    <x v="33"/>
    <x v="305"/>
    <x v="934"/>
    <x v="0"/>
    <s v="HATO PINTADO"/>
    <x v="2"/>
  </r>
  <r>
    <x v="10"/>
    <x v="273"/>
    <x v="11"/>
    <x v="11"/>
    <x v="1"/>
    <x v="0"/>
    <x v="33"/>
    <x v="354"/>
    <x v="874"/>
    <x v="0"/>
    <s v="HATO PINTADO"/>
    <x v="2"/>
  </r>
  <r>
    <x v="10"/>
    <x v="214"/>
    <x v="11"/>
    <x v="11"/>
    <x v="1"/>
    <x v="0"/>
    <x v="33"/>
    <x v="306"/>
    <x v="759"/>
    <x v="0"/>
    <s v="HATO PINTADO"/>
    <x v="2"/>
  </r>
  <r>
    <x v="10"/>
    <x v="274"/>
    <x v="11"/>
    <x v="11"/>
    <x v="1"/>
    <x v="0"/>
    <x v="33"/>
    <x v="404"/>
    <x v="759"/>
    <x v="0"/>
    <s v="HATO PINTADO"/>
    <x v="2"/>
  </r>
  <r>
    <x v="10"/>
    <x v="294"/>
    <x v="11"/>
    <x v="11"/>
    <x v="1"/>
    <x v="0"/>
    <x v="33"/>
    <x v="382"/>
    <x v="759"/>
    <x v="0"/>
    <s v="HATO PINTADO"/>
    <x v="2"/>
  </r>
  <r>
    <x v="10"/>
    <x v="300"/>
    <x v="2"/>
    <x v="2"/>
    <x v="1"/>
    <x v="0"/>
    <x v="33"/>
    <x v="316"/>
    <x v="759"/>
    <x v="0"/>
    <s v="HATO PINTADO"/>
    <x v="2"/>
  </r>
  <r>
    <x v="10"/>
    <x v="315"/>
    <x v="2"/>
    <x v="2"/>
    <x v="1"/>
    <x v="0"/>
    <x v="33"/>
    <x v="405"/>
    <x v="1182"/>
    <x v="0"/>
    <s v="HATO PINTADO"/>
    <x v="2"/>
  </r>
  <r>
    <x v="10"/>
    <x v="334"/>
    <x v="2"/>
    <x v="2"/>
    <x v="1"/>
    <x v="0"/>
    <x v="33"/>
    <x v="406"/>
    <x v="146"/>
    <x v="0"/>
    <s v="HATO PINTADO"/>
    <x v="2"/>
  </r>
  <r>
    <x v="10"/>
    <x v="221"/>
    <x v="2"/>
    <x v="2"/>
    <x v="1"/>
    <x v="0"/>
    <x v="63"/>
    <x v="446"/>
    <x v="146"/>
    <x v="0"/>
    <s v="HATO PINTADO"/>
    <x v="2"/>
  </r>
  <r>
    <x v="10"/>
    <x v="221"/>
    <x v="2"/>
    <x v="2"/>
    <x v="1"/>
    <x v="0"/>
    <x v="33"/>
    <x v="347"/>
    <x v="874"/>
    <x v="0"/>
    <s v="HATO PINTADO"/>
    <x v="2"/>
  </r>
  <r>
    <x v="10"/>
    <x v="284"/>
    <x v="2"/>
    <x v="2"/>
    <x v="1"/>
    <x v="0"/>
    <x v="33"/>
    <x v="383"/>
    <x v="874"/>
    <x v="0"/>
    <s v="HATO PINTADO"/>
    <x v="2"/>
  </r>
  <r>
    <x v="10"/>
    <x v="222"/>
    <x v="2"/>
    <x v="2"/>
    <x v="1"/>
    <x v="0"/>
    <x v="32"/>
    <x v="384"/>
    <x v="146"/>
    <x v="0"/>
    <s v="HATO PINTADO"/>
    <x v="2"/>
  </r>
  <r>
    <x v="10"/>
    <x v="182"/>
    <x v="2"/>
    <x v="2"/>
    <x v="1"/>
    <x v="0"/>
    <x v="62"/>
    <x v="59"/>
    <x v="1"/>
    <x v="261"/>
    <s v="HATO PINTADO"/>
    <x v="2"/>
  </r>
  <r>
    <x v="10"/>
    <x v="270"/>
    <x v="2"/>
    <x v="2"/>
    <x v="1"/>
    <x v="0"/>
    <x v="33"/>
    <x v="363"/>
    <x v="759"/>
    <x v="0"/>
    <s v="HATO PINTADO"/>
    <x v="2"/>
  </r>
  <r>
    <x v="10"/>
    <x v="257"/>
    <x v="2"/>
    <x v="2"/>
    <x v="1"/>
    <x v="0"/>
    <x v="33"/>
    <x v="410"/>
    <x v="759"/>
    <x v="0"/>
    <s v="HATO PINTADO"/>
    <x v="2"/>
  </r>
  <r>
    <x v="10"/>
    <x v="276"/>
    <x v="2"/>
    <x v="2"/>
    <x v="1"/>
    <x v="0"/>
    <x v="33"/>
    <x v="385"/>
    <x v="1132"/>
    <x v="0"/>
    <s v="HATO PINTADO"/>
    <x v="2"/>
  </r>
  <r>
    <x v="10"/>
    <x v="246"/>
    <x v="2"/>
    <x v="2"/>
    <x v="1"/>
    <x v="0"/>
    <x v="33"/>
    <x v="287"/>
    <x v="874"/>
    <x v="0"/>
    <s v="HATO PINTADO"/>
    <x v="2"/>
  </r>
  <r>
    <x v="10"/>
    <x v="281"/>
    <x v="6"/>
    <x v="6"/>
    <x v="1"/>
    <x v="0"/>
    <x v="33"/>
    <x v="395"/>
    <x v="934"/>
    <x v="0"/>
    <s v="HATO PINTADO"/>
    <x v="2"/>
  </r>
  <r>
    <x v="10"/>
    <x v="265"/>
    <x v="6"/>
    <x v="6"/>
    <x v="1"/>
    <x v="0"/>
    <x v="33"/>
    <x v="386"/>
    <x v="899"/>
    <x v="0"/>
    <s v="HATO PINTADO"/>
    <x v="2"/>
  </r>
  <r>
    <x v="10"/>
    <x v="184"/>
    <x v="6"/>
    <x v="6"/>
    <x v="1"/>
    <x v="0"/>
    <x v="33"/>
    <x v="413"/>
    <x v="759"/>
    <x v="0"/>
    <s v="HATO PINTADO"/>
    <x v="2"/>
  </r>
  <r>
    <x v="10"/>
    <x v="314"/>
    <x v="6"/>
    <x v="6"/>
    <x v="1"/>
    <x v="0"/>
    <x v="33"/>
    <x v="372"/>
    <x v="759"/>
    <x v="0"/>
    <s v="HATO PINTADO"/>
    <x v="2"/>
  </r>
  <r>
    <x v="10"/>
    <x v="203"/>
    <x v="6"/>
    <x v="6"/>
    <x v="1"/>
    <x v="0"/>
    <x v="33"/>
    <x v="288"/>
    <x v="146"/>
    <x v="0"/>
    <s v="HATO PINTADO"/>
    <x v="2"/>
  </r>
  <r>
    <x v="10"/>
    <x v="236"/>
    <x v="6"/>
    <x v="6"/>
    <x v="1"/>
    <x v="0"/>
    <x v="33"/>
    <x v="371"/>
    <x v="934"/>
    <x v="0"/>
    <s v="HATO PINTADO"/>
    <x v="2"/>
  </r>
  <r>
    <x v="10"/>
    <x v="188"/>
    <x v="6"/>
    <x v="6"/>
    <x v="1"/>
    <x v="0"/>
    <x v="33"/>
    <x v="407"/>
    <x v="765"/>
    <x v="0"/>
    <s v="HATO PINTADO"/>
    <x v="2"/>
  </r>
  <r>
    <x v="10"/>
    <x v="335"/>
    <x v="6"/>
    <x v="6"/>
    <x v="1"/>
    <x v="0"/>
    <x v="33"/>
    <x v="408"/>
    <x v="146"/>
    <x v="0"/>
    <s v="HATO PINTADO"/>
    <x v="2"/>
  </r>
  <r>
    <x v="10"/>
    <x v="190"/>
    <x v="6"/>
    <x v="6"/>
    <x v="1"/>
    <x v="0"/>
    <x v="33"/>
    <x v="342"/>
    <x v="874"/>
    <x v="0"/>
    <s v="HATO PINTADO"/>
    <x v="2"/>
  </r>
  <r>
    <x v="10"/>
    <x v="191"/>
    <x v="6"/>
    <x v="6"/>
    <x v="1"/>
    <x v="0"/>
    <x v="33"/>
    <x v="318"/>
    <x v="765"/>
    <x v="0"/>
    <s v="HATO PINTADO"/>
    <x v="2"/>
  </r>
  <r>
    <x v="10"/>
    <x v="277"/>
    <x v="7"/>
    <x v="7"/>
    <x v="1"/>
    <x v="1"/>
    <x v="33"/>
    <x v="325"/>
    <x v="874"/>
    <x v="0"/>
    <s v="HATO PINTADO"/>
    <x v="2"/>
  </r>
  <r>
    <x v="10"/>
    <x v="327"/>
    <x v="7"/>
    <x v="7"/>
    <x v="1"/>
    <x v="1"/>
    <x v="33"/>
    <x v="387"/>
    <x v="874"/>
    <x v="0"/>
    <s v="HATO PINTADO"/>
    <x v="2"/>
  </r>
  <r>
    <x v="10"/>
    <x v="209"/>
    <x v="7"/>
    <x v="7"/>
    <x v="1"/>
    <x v="1"/>
    <x v="33"/>
    <x v="428"/>
    <x v="874"/>
    <x v="0"/>
    <s v="HATO PINTADO"/>
    <x v="2"/>
  </r>
  <r>
    <x v="10"/>
    <x v="279"/>
    <x v="7"/>
    <x v="7"/>
    <x v="1"/>
    <x v="1"/>
    <x v="33"/>
    <x v="449"/>
    <x v="874"/>
    <x v="0"/>
    <s v="HATO PINTADO"/>
    <x v="2"/>
  </r>
  <r>
    <x v="10"/>
    <x v="245"/>
    <x v="8"/>
    <x v="8"/>
    <x v="1"/>
    <x v="1"/>
    <x v="33"/>
    <x v="285"/>
    <x v="874"/>
    <x v="0"/>
    <s v="HATO PINTADO"/>
    <x v="2"/>
  </r>
  <r>
    <x v="10"/>
    <x v="207"/>
    <x v="8"/>
    <x v="8"/>
    <x v="1"/>
    <x v="1"/>
    <x v="33"/>
    <x v="374"/>
    <x v="874"/>
    <x v="0"/>
    <s v="HATO PINTADO"/>
    <x v="2"/>
  </r>
  <r>
    <x v="10"/>
    <x v="242"/>
    <x v="9"/>
    <x v="9"/>
    <x v="1"/>
    <x v="1"/>
    <x v="33"/>
    <x v="435"/>
    <x v="874"/>
    <x v="0"/>
    <s v="HATO PINTADO"/>
    <x v="2"/>
  </r>
  <r>
    <x v="10"/>
    <x v="230"/>
    <x v="9"/>
    <x v="9"/>
    <x v="1"/>
    <x v="1"/>
    <x v="33"/>
    <x v="283"/>
    <x v="874"/>
    <x v="0"/>
    <s v="HATO PINTADO"/>
    <x v="2"/>
  </r>
  <r>
    <x v="10"/>
    <x v="329"/>
    <x v="10"/>
    <x v="10"/>
    <x v="1"/>
    <x v="1"/>
    <x v="33"/>
    <x v="380"/>
    <x v="874"/>
    <x v="0"/>
    <s v="HATO PINTADO"/>
    <x v="2"/>
  </r>
  <r>
    <x v="10"/>
    <x v="315"/>
    <x v="2"/>
    <x v="2"/>
    <x v="1"/>
    <x v="1"/>
    <x v="33"/>
    <x v="405"/>
    <x v="874"/>
    <x v="0"/>
    <s v="HATO PINTADO"/>
    <x v="2"/>
  </r>
  <r>
    <x v="10"/>
    <x v="246"/>
    <x v="2"/>
    <x v="2"/>
    <x v="1"/>
    <x v="1"/>
    <x v="33"/>
    <x v="287"/>
    <x v="874"/>
    <x v="0"/>
    <s v="HATO PINTADO"/>
    <x v="2"/>
  </r>
  <r>
    <x v="10"/>
    <x v="265"/>
    <x v="6"/>
    <x v="6"/>
    <x v="1"/>
    <x v="1"/>
    <x v="33"/>
    <x v="386"/>
    <x v="874"/>
    <x v="0"/>
    <s v="HATO PINTADO"/>
    <x v="2"/>
  </r>
  <r>
    <x v="12"/>
    <x v="263"/>
    <x v="10"/>
    <x v="10"/>
    <x v="1"/>
    <x v="2"/>
    <x v="32"/>
    <x v="436"/>
    <x v="3089"/>
    <x v="0"/>
    <s v="LA CHORRERA"/>
    <x v="2"/>
  </r>
  <r>
    <x v="12"/>
    <x v="189"/>
    <x v="10"/>
    <x v="10"/>
    <x v="1"/>
    <x v="2"/>
    <x v="32"/>
    <x v="345"/>
    <x v="3090"/>
    <x v="0"/>
    <s v="LA CHORRERA"/>
    <x v="2"/>
  </r>
  <r>
    <x v="12"/>
    <x v="330"/>
    <x v="11"/>
    <x v="11"/>
    <x v="1"/>
    <x v="2"/>
    <x v="32"/>
    <x v="381"/>
    <x v="1331"/>
    <x v="0"/>
    <s v="LA CHORRERA"/>
    <x v="2"/>
  </r>
  <r>
    <x v="12"/>
    <x v="315"/>
    <x v="2"/>
    <x v="2"/>
    <x v="1"/>
    <x v="2"/>
    <x v="32"/>
    <x v="405"/>
    <x v="1331"/>
    <x v="0"/>
    <s v="LA CHORRERA"/>
    <x v="2"/>
  </r>
  <r>
    <x v="13"/>
    <x v="205"/>
    <x v="7"/>
    <x v="7"/>
    <x v="1"/>
    <x v="0"/>
    <x v="33"/>
    <x v="299"/>
    <x v="874"/>
    <x v="0"/>
    <s v="AVENIDA CENTRAL"/>
    <x v="2"/>
  </r>
  <r>
    <x v="15"/>
    <x v="263"/>
    <x v="10"/>
    <x v="10"/>
    <x v="1"/>
    <x v="2"/>
    <x v="32"/>
    <x v="436"/>
    <x v="3091"/>
    <x v="0"/>
    <s v="VILLA LUCRE"/>
    <x v="2"/>
  </r>
  <r>
    <x v="15"/>
    <x v="330"/>
    <x v="11"/>
    <x v="11"/>
    <x v="1"/>
    <x v="2"/>
    <x v="32"/>
    <x v="381"/>
    <x v="1145"/>
    <x v="0"/>
    <s v="VILLA LUCRE"/>
    <x v="2"/>
  </r>
  <r>
    <x v="15"/>
    <x v="305"/>
    <x v="6"/>
    <x v="6"/>
    <x v="1"/>
    <x v="2"/>
    <x v="32"/>
    <x v="331"/>
    <x v="1"/>
    <x v="595"/>
    <s v="VILLA LUCRE"/>
    <x v="2"/>
  </r>
  <r>
    <x v="15"/>
    <x v="229"/>
    <x v="6"/>
    <x v="6"/>
    <x v="1"/>
    <x v="2"/>
    <x v="32"/>
    <x v="281"/>
    <x v="3092"/>
    <x v="0"/>
    <s v="VILLA LUCRE"/>
    <x v="2"/>
  </r>
  <r>
    <x v="15"/>
    <x v="308"/>
    <x v="7"/>
    <x v="7"/>
    <x v="1"/>
    <x v="0"/>
    <x v="33"/>
    <x v="333"/>
    <x v="765"/>
    <x v="0"/>
    <s v="VILLA LUCRE"/>
    <x v="2"/>
  </r>
  <r>
    <x v="15"/>
    <x v="209"/>
    <x v="7"/>
    <x v="7"/>
    <x v="1"/>
    <x v="0"/>
    <x v="33"/>
    <x v="428"/>
    <x v="765"/>
    <x v="0"/>
    <s v="VILLA LUCRE"/>
    <x v="2"/>
  </r>
  <r>
    <x v="15"/>
    <x v="192"/>
    <x v="8"/>
    <x v="8"/>
    <x v="1"/>
    <x v="0"/>
    <x v="33"/>
    <x v="300"/>
    <x v="765"/>
    <x v="0"/>
    <s v="VILLA LUCRE"/>
    <x v="2"/>
  </r>
  <r>
    <x v="15"/>
    <x v="320"/>
    <x v="8"/>
    <x v="8"/>
    <x v="1"/>
    <x v="0"/>
    <x v="33"/>
    <x v="398"/>
    <x v="874"/>
    <x v="0"/>
    <s v="VILLA LUCRE"/>
    <x v="2"/>
  </r>
  <r>
    <x v="15"/>
    <x v="207"/>
    <x v="8"/>
    <x v="8"/>
    <x v="1"/>
    <x v="0"/>
    <x v="33"/>
    <x v="374"/>
    <x v="765"/>
    <x v="0"/>
    <s v="VILLA LUCRE"/>
    <x v="2"/>
  </r>
  <r>
    <x v="15"/>
    <x v="226"/>
    <x v="8"/>
    <x v="8"/>
    <x v="1"/>
    <x v="0"/>
    <x v="33"/>
    <x v="376"/>
    <x v="874"/>
    <x v="0"/>
    <s v="VILLA LUCRE"/>
    <x v="2"/>
  </r>
  <r>
    <x v="15"/>
    <x v="337"/>
    <x v="9"/>
    <x v="9"/>
    <x v="1"/>
    <x v="0"/>
    <x v="33"/>
    <x v="424"/>
    <x v="1182"/>
    <x v="0"/>
    <s v="VILLA LUCRE"/>
    <x v="2"/>
  </r>
  <r>
    <x v="15"/>
    <x v="242"/>
    <x v="9"/>
    <x v="9"/>
    <x v="1"/>
    <x v="0"/>
    <x v="33"/>
    <x v="435"/>
    <x v="765"/>
    <x v="0"/>
    <s v="VILLA LUCRE"/>
    <x v="2"/>
  </r>
  <r>
    <x v="15"/>
    <x v="331"/>
    <x v="9"/>
    <x v="9"/>
    <x v="1"/>
    <x v="0"/>
    <x v="33"/>
    <x v="391"/>
    <x v="874"/>
    <x v="0"/>
    <s v="VILLA LUCRE"/>
    <x v="2"/>
  </r>
  <r>
    <x v="15"/>
    <x v="286"/>
    <x v="10"/>
    <x v="10"/>
    <x v="1"/>
    <x v="0"/>
    <x v="33"/>
    <x v="297"/>
    <x v="146"/>
    <x v="0"/>
    <s v="VILLA LUCRE"/>
    <x v="2"/>
  </r>
  <r>
    <x v="15"/>
    <x v="186"/>
    <x v="10"/>
    <x v="10"/>
    <x v="1"/>
    <x v="0"/>
    <x v="33"/>
    <x v="321"/>
    <x v="934"/>
    <x v="0"/>
    <s v="VILLA LUCRE"/>
    <x v="2"/>
  </r>
  <r>
    <x v="15"/>
    <x v="325"/>
    <x v="11"/>
    <x v="11"/>
    <x v="1"/>
    <x v="0"/>
    <x v="33"/>
    <x v="421"/>
    <x v="952"/>
    <x v="0"/>
    <s v="VILLA LUCRE"/>
    <x v="2"/>
  </r>
  <r>
    <x v="15"/>
    <x v="187"/>
    <x v="11"/>
    <x v="11"/>
    <x v="1"/>
    <x v="0"/>
    <x v="33"/>
    <x v="328"/>
    <x v="874"/>
    <x v="0"/>
    <s v="VILLA LUCRE"/>
    <x v="2"/>
  </r>
  <r>
    <x v="15"/>
    <x v="272"/>
    <x v="11"/>
    <x v="11"/>
    <x v="1"/>
    <x v="0"/>
    <x v="33"/>
    <x v="360"/>
    <x v="874"/>
    <x v="0"/>
    <s v="VILLA LUCRE"/>
    <x v="2"/>
  </r>
  <r>
    <x v="15"/>
    <x v="302"/>
    <x v="11"/>
    <x v="11"/>
    <x v="1"/>
    <x v="0"/>
    <x v="33"/>
    <x v="324"/>
    <x v="1132"/>
    <x v="0"/>
    <s v="VILLA LUCRE"/>
    <x v="2"/>
  </r>
  <r>
    <x v="15"/>
    <x v="274"/>
    <x v="11"/>
    <x v="11"/>
    <x v="1"/>
    <x v="0"/>
    <x v="33"/>
    <x v="404"/>
    <x v="874"/>
    <x v="0"/>
    <s v="VILLA LUCRE"/>
    <x v="2"/>
  </r>
  <r>
    <x v="15"/>
    <x v="215"/>
    <x v="2"/>
    <x v="2"/>
    <x v="1"/>
    <x v="0"/>
    <x v="33"/>
    <x v="322"/>
    <x v="859"/>
    <x v="0"/>
    <s v="VILLA LUCRE"/>
    <x v="2"/>
  </r>
  <r>
    <x v="15"/>
    <x v="222"/>
    <x v="2"/>
    <x v="2"/>
    <x v="1"/>
    <x v="0"/>
    <x v="33"/>
    <x v="384"/>
    <x v="874"/>
    <x v="0"/>
    <s v="VILLA LUCRE"/>
    <x v="2"/>
  </r>
  <r>
    <x v="15"/>
    <x v="257"/>
    <x v="2"/>
    <x v="2"/>
    <x v="1"/>
    <x v="0"/>
    <x v="33"/>
    <x v="410"/>
    <x v="765"/>
    <x v="0"/>
    <s v="VILLA LUCRE"/>
    <x v="2"/>
  </r>
  <r>
    <x v="15"/>
    <x v="246"/>
    <x v="2"/>
    <x v="2"/>
    <x v="1"/>
    <x v="0"/>
    <x v="33"/>
    <x v="287"/>
    <x v="874"/>
    <x v="0"/>
    <s v="VILLA LUCRE"/>
    <x v="2"/>
  </r>
  <r>
    <x v="15"/>
    <x v="264"/>
    <x v="6"/>
    <x v="6"/>
    <x v="1"/>
    <x v="0"/>
    <x v="33"/>
    <x v="311"/>
    <x v="765"/>
    <x v="0"/>
    <s v="VILLA LUCRE"/>
    <x v="2"/>
  </r>
  <r>
    <x v="15"/>
    <x v="285"/>
    <x v="6"/>
    <x v="6"/>
    <x v="1"/>
    <x v="0"/>
    <x v="33"/>
    <x v="409"/>
    <x v="874"/>
    <x v="0"/>
    <s v="VILLA LUCRE"/>
    <x v="2"/>
  </r>
  <r>
    <x v="15"/>
    <x v="236"/>
    <x v="6"/>
    <x v="6"/>
    <x v="1"/>
    <x v="0"/>
    <x v="33"/>
    <x v="371"/>
    <x v="1182"/>
    <x v="0"/>
    <s v="VILLA LUCRE"/>
    <x v="2"/>
  </r>
  <r>
    <x v="15"/>
    <x v="335"/>
    <x v="6"/>
    <x v="6"/>
    <x v="1"/>
    <x v="0"/>
    <x v="33"/>
    <x v="408"/>
    <x v="759"/>
    <x v="0"/>
    <s v="VILLA LUCRE"/>
    <x v="2"/>
  </r>
  <r>
    <x v="16"/>
    <x v="277"/>
    <x v="7"/>
    <x v="7"/>
    <x v="1"/>
    <x v="2"/>
    <x v="33"/>
    <x v="325"/>
    <x v="874"/>
    <x v="0"/>
    <s v="LOS ANDES"/>
    <x v="2"/>
  </r>
  <r>
    <x v="16"/>
    <x v="209"/>
    <x v="7"/>
    <x v="7"/>
    <x v="1"/>
    <x v="2"/>
    <x v="33"/>
    <x v="428"/>
    <x v="874"/>
    <x v="0"/>
    <s v="LOS ANDES"/>
    <x v="2"/>
  </r>
  <r>
    <x v="16"/>
    <x v="277"/>
    <x v="7"/>
    <x v="7"/>
    <x v="1"/>
    <x v="0"/>
    <x v="33"/>
    <x v="325"/>
    <x v="146"/>
    <x v="0"/>
    <s v="LOS ANDES"/>
    <x v="2"/>
  </r>
  <r>
    <x v="16"/>
    <x v="327"/>
    <x v="7"/>
    <x v="7"/>
    <x v="1"/>
    <x v="0"/>
    <x v="33"/>
    <x v="387"/>
    <x v="146"/>
    <x v="0"/>
    <s v="LOS ANDES"/>
    <x v="2"/>
  </r>
  <r>
    <x v="16"/>
    <x v="278"/>
    <x v="7"/>
    <x v="7"/>
    <x v="1"/>
    <x v="0"/>
    <x v="33"/>
    <x v="450"/>
    <x v="859"/>
    <x v="0"/>
    <s v="LOS ANDES"/>
    <x v="2"/>
  </r>
  <r>
    <x v="16"/>
    <x v="259"/>
    <x v="7"/>
    <x v="7"/>
    <x v="1"/>
    <x v="0"/>
    <x v="33"/>
    <x v="355"/>
    <x v="874"/>
    <x v="0"/>
    <s v="LOS ANDES"/>
    <x v="2"/>
  </r>
  <r>
    <x v="16"/>
    <x v="225"/>
    <x v="7"/>
    <x v="7"/>
    <x v="1"/>
    <x v="0"/>
    <x v="33"/>
    <x v="416"/>
    <x v="146"/>
    <x v="0"/>
    <s v="LOS ANDES"/>
    <x v="2"/>
  </r>
  <r>
    <x v="16"/>
    <x v="309"/>
    <x v="7"/>
    <x v="7"/>
    <x v="1"/>
    <x v="0"/>
    <x v="33"/>
    <x v="334"/>
    <x v="874"/>
    <x v="0"/>
    <s v="LOS ANDES"/>
    <x v="2"/>
  </r>
  <r>
    <x v="16"/>
    <x v="205"/>
    <x v="7"/>
    <x v="7"/>
    <x v="1"/>
    <x v="0"/>
    <x v="33"/>
    <x v="299"/>
    <x v="1132"/>
    <x v="0"/>
    <s v="LOS ANDES"/>
    <x v="2"/>
  </r>
  <r>
    <x v="16"/>
    <x v="252"/>
    <x v="7"/>
    <x v="7"/>
    <x v="1"/>
    <x v="0"/>
    <x v="33"/>
    <x v="396"/>
    <x v="146"/>
    <x v="0"/>
    <s v="LOS ANDES"/>
    <x v="2"/>
  </r>
  <r>
    <x v="16"/>
    <x v="206"/>
    <x v="7"/>
    <x v="7"/>
    <x v="1"/>
    <x v="0"/>
    <x v="33"/>
    <x v="284"/>
    <x v="874"/>
    <x v="0"/>
    <s v="LOS ANDES"/>
    <x v="2"/>
  </r>
  <r>
    <x v="16"/>
    <x v="209"/>
    <x v="7"/>
    <x v="7"/>
    <x v="1"/>
    <x v="0"/>
    <x v="33"/>
    <x v="428"/>
    <x v="759"/>
    <x v="0"/>
    <s v="LOS ANDES"/>
    <x v="2"/>
  </r>
  <r>
    <x v="16"/>
    <x v="210"/>
    <x v="7"/>
    <x v="7"/>
    <x v="1"/>
    <x v="0"/>
    <x v="33"/>
    <x v="418"/>
    <x v="874"/>
    <x v="0"/>
    <s v="LOS ANDES"/>
    <x v="2"/>
  </r>
  <r>
    <x v="16"/>
    <x v="251"/>
    <x v="8"/>
    <x v="8"/>
    <x v="1"/>
    <x v="0"/>
    <x v="33"/>
    <x v="291"/>
    <x v="859"/>
    <x v="0"/>
    <s v="LOS ANDES"/>
    <x v="2"/>
  </r>
  <r>
    <x v="16"/>
    <x v="192"/>
    <x v="8"/>
    <x v="8"/>
    <x v="1"/>
    <x v="0"/>
    <x v="33"/>
    <x v="300"/>
    <x v="874"/>
    <x v="0"/>
    <s v="LOS ANDES"/>
    <x v="2"/>
  </r>
  <r>
    <x v="16"/>
    <x v="247"/>
    <x v="8"/>
    <x v="8"/>
    <x v="1"/>
    <x v="0"/>
    <x v="33"/>
    <x v="289"/>
    <x v="765"/>
    <x v="0"/>
    <s v="LOS ANDES"/>
    <x v="2"/>
  </r>
  <r>
    <x v="16"/>
    <x v="254"/>
    <x v="8"/>
    <x v="8"/>
    <x v="1"/>
    <x v="0"/>
    <x v="33"/>
    <x v="326"/>
    <x v="146"/>
    <x v="0"/>
    <s v="LOS ANDES"/>
    <x v="2"/>
  </r>
  <r>
    <x v="16"/>
    <x v="320"/>
    <x v="8"/>
    <x v="8"/>
    <x v="1"/>
    <x v="0"/>
    <x v="33"/>
    <x v="398"/>
    <x v="765"/>
    <x v="0"/>
    <s v="LOS ANDES"/>
    <x v="2"/>
  </r>
  <r>
    <x v="16"/>
    <x v="261"/>
    <x v="8"/>
    <x v="8"/>
    <x v="1"/>
    <x v="0"/>
    <x v="33"/>
    <x v="320"/>
    <x v="146"/>
    <x v="0"/>
    <s v="LOS ANDES"/>
    <x v="2"/>
  </r>
  <r>
    <x v="16"/>
    <x v="323"/>
    <x v="8"/>
    <x v="8"/>
    <x v="1"/>
    <x v="0"/>
    <x v="33"/>
    <x v="367"/>
    <x v="759"/>
    <x v="0"/>
    <s v="LOS ANDES"/>
    <x v="2"/>
  </r>
  <r>
    <x v="16"/>
    <x v="245"/>
    <x v="8"/>
    <x v="8"/>
    <x v="1"/>
    <x v="0"/>
    <x v="33"/>
    <x v="285"/>
    <x v="1182"/>
    <x v="0"/>
    <s v="LOS ANDES"/>
    <x v="2"/>
  </r>
  <r>
    <x v="16"/>
    <x v="185"/>
    <x v="8"/>
    <x v="8"/>
    <x v="1"/>
    <x v="0"/>
    <x v="33"/>
    <x v="296"/>
    <x v="765"/>
    <x v="0"/>
    <s v="LOS ANDES"/>
    <x v="2"/>
  </r>
  <r>
    <x v="16"/>
    <x v="292"/>
    <x v="9"/>
    <x v="9"/>
    <x v="1"/>
    <x v="0"/>
    <x v="33"/>
    <x v="352"/>
    <x v="982"/>
    <x v="0"/>
    <s v="LOS ANDES"/>
    <x v="2"/>
  </r>
  <r>
    <x v="16"/>
    <x v="194"/>
    <x v="9"/>
    <x v="9"/>
    <x v="1"/>
    <x v="0"/>
    <x v="33"/>
    <x v="390"/>
    <x v="765"/>
    <x v="0"/>
    <s v="LOS ANDES"/>
    <x v="2"/>
  </r>
  <r>
    <x v="16"/>
    <x v="197"/>
    <x v="9"/>
    <x v="9"/>
    <x v="1"/>
    <x v="0"/>
    <x v="33"/>
    <x v="432"/>
    <x v="859"/>
    <x v="0"/>
    <s v="LOS ANDES"/>
    <x v="2"/>
  </r>
  <r>
    <x v="16"/>
    <x v="211"/>
    <x v="9"/>
    <x v="9"/>
    <x v="1"/>
    <x v="0"/>
    <x v="33"/>
    <x v="286"/>
    <x v="874"/>
    <x v="0"/>
    <s v="LOS ANDES"/>
    <x v="2"/>
  </r>
  <r>
    <x v="16"/>
    <x v="230"/>
    <x v="9"/>
    <x v="9"/>
    <x v="1"/>
    <x v="0"/>
    <x v="33"/>
    <x v="283"/>
    <x v="874"/>
    <x v="0"/>
    <s v="LOS ANDES"/>
    <x v="2"/>
  </r>
  <r>
    <x v="16"/>
    <x v="198"/>
    <x v="10"/>
    <x v="10"/>
    <x v="1"/>
    <x v="0"/>
    <x v="33"/>
    <x v="338"/>
    <x v="765"/>
    <x v="0"/>
    <s v="LOS ANDES"/>
    <x v="2"/>
  </r>
  <r>
    <x v="16"/>
    <x v="263"/>
    <x v="10"/>
    <x v="10"/>
    <x v="1"/>
    <x v="0"/>
    <x v="33"/>
    <x v="436"/>
    <x v="1182"/>
    <x v="0"/>
    <s v="LOS ANDES"/>
    <x v="2"/>
  </r>
  <r>
    <x v="16"/>
    <x v="212"/>
    <x v="10"/>
    <x v="10"/>
    <x v="1"/>
    <x v="0"/>
    <x v="33"/>
    <x v="319"/>
    <x v="759"/>
    <x v="0"/>
    <s v="LOS ANDES"/>
    <x v="2"/>
  </r>
  <r>
    <x v="16"/>
    <x v="317"/>
    <x v="10"/>
    <x v="10"/>
    <x v="1"/>
    <x v="0"/>
    <x v="33"/>
    <x v="401"/>
    <x v="899"/>
    <x v="0"/>
    <s v="LOS ANDES"/>
    <x v="2"/>
  </r>
  <r>
    <x v="16"/>
    <x v="239"/>
    <x v="10"/>
    <x v="10"/>
    <x v="1"/>
    <x v="0"/>
    <x v="33"/>
    <x v="419"/>
    <x v="874"/>
    <x v="0"/>
    <s v="LOS ANDES"/>
    <x v="2"/>
  </r>
  <r>
    <x v="16"/>
    <x v="243"/>
    <x v="10"/>
    <x v="10"/>
    <x v="1"/>
    <x v="0"/>
    <x v="33"/>
    <x v="411"/>
    <x v="874"/>
    <x v="0"/>
    <s v="LOS ANDES"/>
    <x v="2"/>
  </r>
  <r>
    <x v="16"/>
    <x v="232"/>
    <x v="10"/>
    <x v="10"/>
    <x v="1"/>
    <x v="0"/>
    <x v="33"/>
    <x v="290"/>
    <x v="899"/>
    <x v="0"/>
    <s v="LOS ANDES"/>
    <x v="2"/>
  </r>
  <r>
    <x v="16"/>
    <x v="186"/>
    <x v="10"/>
    <x v="10"/>
    <x v="1"/>
    <x v="0"/>
    <x v="33"/>
    <x v="321"/>
    <x v="899"/>
    <x v="0"/>
    <s v="LOS ANDES"/>
    <x v="2"/>
  </r>
  <r>
    <x v="16"/>
    <x v="329"/>
    <x v="10"/>
    <x v="10"/>
    <x v="1"/>
    <x v="0"/>
    <x v="33"/>
    <x v="380"/>
    <x v="1182"/>
    <x v="0"/>
    <s v="LOS ANDES"/>
    <x v="2"/>
  </r>
  <r>
    <x v="16"/>
    <x v="339"/>
    <x v="10"/>
    <x v="10"/>
    <x v="1"/>
    <x v="0"/>
    <x v="33"/>
    <x v="427"/>
    <x v="1182"/>
    <x v="0"/>
    <s v="LOS ANDES"/>
    <x v="2"/>
  </r>
  <r>
    <x v="16"/>
    <x v="244"/>
    <x v="10"/>
    <x v="10"/>
    <x v="1"/>
    <x v="0"/>
    <x v="33"/>
    <x v="433"/>
    <x v="765"/>
    <x v="0"/>
    <s v="LOS ANDES"/>
    <x v="2"/>
  </r>
  <r>
    <x v="16"/>
    <x v="233"/>
    <x v="10"/>
    <x v="10"/>
    <x v="1"/>
    <x v="0"/>
    <x v="33"/>
    <x v="344"/>
    <x v="759"/>
    <x v="0"/>
    <s v="LOS ANDES"/>
    <x v="2"/>
  </r>
  <r>
    <x v="16"/>
    <x v="199"/>
    <x v="10"/>
    <x v="10"/>
    <x v="1"/>
    <x v="0"/>
    <x v="33"/>
    <x v="298"/>
    <x v="759"/>
    <x v="0"/>
    <s v="LOS ANDES"/>
    <x v="2"/>
  </r>
  <r>
    <x v="16"/>
    <x v="269"/>
    <x v="11"/>
    <x v="11"/>
    <x v="1"/>
    <x v="0"/>
    <x v="33"/>
    <x v="403"/>
    <x v="848"/>
    <x v="0"/>
    <s v="LOS ANDES"/>
    <x v="2"/>
  </r>
  <r>
    <x v="16"/>
    <x v="325"/>
    <x v="11"/>
    <x v="11"/>
    <x v="1"/>
    <x v="0"/>
    <x v="33"/>
    <x v="421"/>
    <x v="1182"/>
    <x v="0"/>
    <s v="LOS ANDES"/>
    <x v="2"/>
  </r>
  <r>
    <x v="16"/>
    <x v="282"/>
    <x v="11"/>
    <x v="11"/>
    <x v="1"/>
    <x v="0"/>
    <x v="33"/>
    <x v="358"/>
    <x v="934"/>
    <x v="0"/>
    <s v="LOS ANDES"/>
    <x v="2"/>
  </r>
  <r>
    <x v="16"/>
    <x v="272"/>
    <x v="11"/>
    <x v="11"/>
    <x v="1"/>
    <x v="0"/>
    <x v="33"/>
    <x v="360"/>
    <x v="759"/>
    <x v="0"/>
    <s v="LOS ANDES"/>
    <x v="2"/>
  </r>
  <r>
    <x v="16"/>
    <x v="220"/>
    <x v="11"/>
    <x v="11"/>
    <x v="1"/>
    <x v="0"/>
    <x v="33"/>
    <x v="309"/>
    <x v="934"/>
    <x v="0"/>
    <s v="LOS ANDES"/>
    <x v="2"/>
  </r>
  <r>
    <x v="16"/>
    <x v="201"/>
    <x v="11"/>
    <x v="11"/>
    <x v="1"/>
    <x v="0"/>
    <x v="33"/>
    <x v="422"/>
    <x v="899"/>
    <x v="0"/>
    <s v="LOS ANDES"/>
    <x v="2"/>
  </r>
  <r>
    <x v="16"/>
    <x v="249"/>
    <x v="11"/>
    <x v="11"/>
    <x v="1"/>
    <x v="0"/>
    <x v="33"/>
    <x v="359"/>
    <x v="1132"/>
    <x v="0"/>
    <s v="LOS ANDES"/>
    <x v="2"/>
  </r>
  <r>
    <x v="16"/>
    <x v="299"/>
    <x v="11"/>
    <x v="11"/>
    <x v="1"/>
    <x v="0"/>
    <x v="33"/>
    <x v="315"/>
    <x v="1182"/>
    <x v="0"/>
    <s v="LOS ANDES"/>
    <x v="2"/>
  </r>
  <r>
    <x v="16"/>
    <x v="302"/>
    <x v="11"/>
    <x v="11"/>
    <x v="1"/>
    <x v="0"/>
    <x v="33"/>
    <x v="324"/>
    <x v="1132"/>
    <x v="0"/>
    <s v="LOS ANDES"/>
    <x v="2"/>
  </r>
  <r>
    <x v="16"/>
    <x v="181"/>
    <x v="11"/>
    <x v="11"/>
    <x v="1"/>
    <x v="0"/>
    <x v="33"/>
    <x v="362"/>
    <x v="899"/>
    <x v="0"/>
    <s v="LOS ANDES"/>
    <x v="2"/>
  </r>
  <r>
    <x v="16"/>
    <x v="275"/>
    <x v="11"/>
    <x v="11"/>
    <x v="1"/>
    <x v="0"/>
    <x v="33"/>
    <x v="307"/>
    <x v="759"/>
    <x v="0"/>
    <s v="LOS ANDES"/>
    <x v="2"/>
  </r>
  <r>
    <x v="16"/>
    <x v="294"/>
    <x v="11"/>
    <x v="11"/>
    <x v="1"/>
    <x v="0"/>
    <x v="33"/>
    <x v="382"/>
    <x v="765"/>
    <x v="0"/>
    <s v="LOS ANDES"/>
    <x v="2"/>
  </r>
  <r>
    <x v="16"/>
    <x v="300"/>
    <x v="2"/>
    <x v="2"/>
    <x v="1"/>
    <x v="0"/>
    <x v="33"/>
    <x v="316"/>
    <x v="848"/>
    <x v="0"/>
    <s v="LOS ANDES"/>
    <x v="2"/>
  </r>
  <r>
    <x v="16"/>
    <x v="215"/>
    <x v="2"/>
    <x v="2"/>
    <x v="1"/>
    <x v="0"/>
    <x v="33"/>
    <x v="322"/>
    <x v="1182"/>
    <x v="0"/>
    <s v="LOS ANDES"/>
    <x v="2"/>
  </r>
  <r>
    <x v="16"/>
    <x v="221"/>
    <x v="2"/>
    <x v="2"/>
    <x v="1"/>
    <x v="0"/>
    <x v="33"/>
    <x v="347"/>
    <x v="765"/>
    <x v="0"/>
    <s v="LOS ANDES"/>
    <x v="2"/>
  </r>
  <r>
    <x v="16"/>
    <x v="284"/>
    <x v="2"/>
    <x v="2"/>
    <x v="1"/>
    <x v="0"/>
    <x v="33"/>
    <x v="383"/>
    <x v="765"/>
    <x v="0"/>
    <s v="LOS ANDES"/>
    <x v="2"/>
  </r>
  <r>
    <x v="16"/>
    <x v="222"/>
    <x v="2"/>
    <x v="2"/>
    <x v="1"/>
    <x v="0"/>
    <x v="33"/>
    <x v="384"/>
    <x v="899"/>
    <x v="0"/>
    <s v="LOS ANDES"/>
    <x v="2"/>
  </r>
  <r>
    <x v="16"/>
    <x v="295"/>
    <x v="2"/>
    <x v="2"/>
    <x v="1"/>
    <x v="0"/>
    <x v="33"/>
    <x v="310"/>
    <x v="759"/>
    <x v="0"/>
    <s v="LOS ANDES"/>
    <x v="2"/>
  </r>
  <r>
    <x v="16"/>
    <x v="270"/>
    <x v="2"/>
    <x v="2"/>
    <x v="1"/>
    <x v="0"/>
    <x v="33"/>
    <x v="363"/>
    <x v="759"/>
    <x v="0"/>
    <s v="LOS ANDES"/>
    <x v="2"/>
  </r>
  <r>
    <x v="16"/>
    <x v="216"/>
    <x v="2"/>
    <x v="2"/>
    <x v="1"/>
    <x v="0"/>
    <x v="33"/>
    <x v="332"/>
    <x v="1182"/>
    <x v="0"/>
    <s v="LOS ANDES"/>
    <x v="2"/>
  </r>
  <r>
    <x v="16"/>
    <x v="280"/>
    <x v="2"/>
    <x v="2"/>
    <x v="1"/>
    <x v="0"/>
    <x v="33"/>
    <x v="295"/>
    <x v="1182"/>
    <x v="0"/>
    <s v="LOS ANDES"/>
    <x v="2"/>
  </r>
  <r>
    <x v="16"/>
    <x v="257"/>
    <x v="2"/>
    <x v="2"/>
    <x v="1"/>
    <x v="0"/>
    <x v="33"/>
    <x v="410"/>
    <x v="899"/>
    <x v="0"/>
    <s v="LOS ANDES"/>
    <x v="2"/>
  </r>
  <r>
    <x v="16"/>
    <x v="223"/>
    <x v="2"/>
    <x v="2"/>
    <x v="1"/>
    <x v="0"/>
    <x v="33"/>
    <x v="434"/>
    <x v="874"/>
    <x v="0"/>
    <s v="LOS ANDES"/>
    <x v="2"/>
  </r>
  <r>
    <x v="16"/>
    <x v="276"/>
    <x v="2"/>
    <x v="2"/>
    <x v="1"/>
    <x v="0"/>
    <x v="33"/>
    <x v="385"/>
    <x v="874"/>
    <x v="0"/>
    <s v="LOS ANDES"/>
    <x v="2"/>
  </r>
  <r>
    <x v="16"/>
    <x v="183"/>
    <x v="2"/>
    <x v="2"/>
    <x v="1"/>
    <x v="0"/>
    <x v="33"/>
    <x v="330"/>
    <x v="1182"/>
    <x v="0"/>
    <s v="LOS ANDES"/>
    <x v="2"/>
  </r>
  <r>
    <x v="16"/>
    <x v="246"/>
    <x v="2"/>
    <x v="2"/>
    <x v="1"/>
    <x v="0"/>
    <x v="33"/>
    <x v="287"/>
    <x v="146"/>
    <x v="0"/>
    <s v="LOS ANDES"/>
    <x v="2"/>
  </r>
  <r>
    <x v="16"/>
    <x v="264"/>
    <x v="6"/>
    <x v="6"/>
    <x v="1"/>
    <x v="0"/>
    <x v="33"/>
    <x v="311"/>
    <x v="934"/>
    <x v="0"/>
    <s v="LOS ANDES"/>
    <x v="2"/>
  </r>
  <r>
    <x v="16"/>
    <x v="281"/>
    <x v="6"/>
    <x v="6"/>
    <x v="1"/>
    <x v="0"/>
    <x v="33"/>
    <x v="395"/>
    <x v="899"/>
    <x v="0"/>
    <s v="LOS ANDES"/>
    <x v="2"/>
  </r>
  <r>
    <x v="16"/>
    <x v="285"/>
    <x v="6"/>
    <x v="6"/>
    <x v="1"/>
    <x v="0"/>
    <x v="33"/>
    <x v="409"/>
    <x v="759"/>
    <x v="0"/>
    <s v="LOS ANDES"/>
    <x v="2"/>
  </r>
  <r>
    <x v="16"/>
    <x v="265"/>
    <x v="6"/>
    <x v="6"/>
    <x v="1"/>
    <x v="0"/>
    <x v="33"/>
    <x v="386"/>
    <x v="899"/>
    <x v="0"/>
    <s v="LOS ANDES"/>
    <x v="2"/>
  </r>
  <r>
    <x v="16"/>
    <x v="314"/>
    <x v="6"/>
    <x v="6"/>
    <x v="1"/>
    <x v="0"/>
    <x v="33"/>
    <x v="372"/>
    <x v="874"/>
    <x v="0"/>
    <s v="LOS ANDES"/>
    <x v="2"/>
  </r>
  <r>
    <x v="16"/>
    <x v="296"/>
    <x v="6"/>
    <x v="6"/>
    <x v="1"/>
    <x v="0"/>
    <x v="33"/>
    <x v="312"/>
    <x v="146"/>
    <x v="0"/>
    <s v="LOS ANDES"/>
    <x v="2"/>
  </r>
  <r>
    <x v="16"/>
    <x v="204"/>
    <x v="6"/>
    <x v="6"/>
    <x v="1"/>
    <x v="0"/>
    <x v="33"/>
    <x v="317"/>
    <x v="899"/>
    <x v="0"/>
    <s v="LOS ANDES"/>
    <x v="2"/>
  </r>
  <r>
    <x v="16"/>
    <x v="236"/>
    <x v="6"/>
    <x v="6"/>
    <x v="1"/>
    <x v="0"/>
    <x v="33"/>
    <x v="371"/>
    <x v="1182"/>
    <x v="0"/>
    <s v="LOS ANDES"/>
    <x v="2"/>
  </r>
  <r>
    <x v="16"/>
    <x v="188"/>
    <x v="6"/>
    <x v="6"/>
    <x v="1"/>
    <x v="0"/>
    <x v="33"/>
    <x v="407"/>
    <x v="759"/>
    <x v="0"/>
    <s v="LOS ANDES"/>
    <x v="2"/>
  </r>
  <r>
    <x v="16"/>
    <x v="313"/>
    <x v="6"/>
    <x v="6"/>
    <x v="1"/>
    <x v="0"/>
    <x v="33"/>
    <x v="341"/>
    <x v="765"/>
    <x v="0"/>
    <s v="LOS ANDES"/>
    <x v="2"/>
  </r>
  <r>
    <x v="16"/>
    <x v="335"/>
    <x v="6"/>
    <x v="6"/>
    <x v="1"/>
    <x v="0"/>
    <x v="33"/>
    <x v="408"/>
    <x v="874"/>
    <x v="0"/>
    <s v="LOS ANDES"/>
    <x v="2"/>
  </r>
  <r>
    <x v="16"/>
    <x v="174"/>
    <x v="6"/>
    <x v="6"/>
    <x v="1"/>
    <x v="0"/>
    <x v="33"/>
    <x v="282"/>
    <x v="874"/>
    <x v="0"/>
    <s v="LOS ANDES"/>
    <x v="2"/>
  </r>
  <r>
    <x v="16"/>
    <x v="229"/>
    <x v="6"/>
    <x v="6"/>
    <x v="1"/>
    <x v="0"/>
    <x v="33"/>
    <x v="281"/>
    <x v="874"/>
    <x v="0"/>
    <s v="LOS ANDES"/>
    <x v="2"/>
  </r>
  <r>
    <x v="16"/>
    <x v="241"/>
    <x v="6"/>
    <x v="6"/>
    <x v="1"/>
    <x v="0"/>
    <x v="33"/>
    <x v="447"/>
    <x v="759"/>
    <x v="0"/>
    <s v="LOS ANDES"/>
    <x v="2"/>
  </r>
  <r>
    <x v="16"/>
    <x v="191"/>
    <x v="6"/>
    <x v="6"/>
    <x v="1"/>
    <x v="0"/>
    <x v="33"/>
    <x v="318"/>
    <x v="899"/>
    <x v="0"/>
    <s v="LOS ANDES"/>
    <x v="2"/>
  </r>
  <r>
    <x v="16"/>
    <x v="209"/>
    <x v="7"/>
    <x v="7"/>
    <x v="1"/>
    <x v="1"/>
    <x v="33"/>
    <x v="428"/>
    <x v="874"/>
    <x v="0"/>
    <s v="LOS ANDES"/>
    <x v="2"/>
  </r>
  <r>
    <x v="16"/>
    <x v="323"/>
    <x v="8"/>
    <x v="8"/>
    <x v="1"/>
    <x v="1"/>
    <x v="33"/>
    <x v="367"/>
    <x v="874"/>
    <x v="0"/>
    <s v="LOS ANDES"/>
    <x v="2"/>
  </r>
  <r>
    <x v="16"/>
    <x v="185"/>
    <x v="8"/>
    <x v="8"/>
    <x v="1"/>
    <x v="1"/>
    <x v="33"/>
    <x v="296"/>
    <x v="759"/>
    <x v="0"/>
    <s v="LOS ANDES"/>
    <x v="2"/>
  </r>
  <r>
    <x v="16"/>
    <x v="292"/>
    <x v="9"/>
    <x v="9"/>
    <x v="1"/>
    <x v="1"/>
    <x v="33"/>
    <x v="352"/>
    <x v="759"/>
    <x v="0"/>
    <s v="LOS ANDES"/>
    <x v="2"/>
  </r>
  <r>
    <x v="16"/>
    <x v="317"/>
    <x v="10"/>
    <x v="10"/>
    <x v="1"/>
    <x v="1"/>
    <x v="33"/>
    <x v="401"/>
    <x v="874"/>
    <x v="0"/>
    <s v="LOS ANDES"/>
    <x v="2"/>
  </r>
  <r>
    <x v="16"/>
    <x v="200"/>
    <x v="11"/>
    <x v="11"/>
    <x v="1"/>
    <x v="1"/>
    <x v="33"/>
    <x v="351"/>
    <x v="874"/>
    <x v="0"/>
    <s v="LOS ANDES"/>
    <x v="2"/>
  </r>
  <r>
    <x v="16"/>
    <x v="220"/>
    <x v="11"/>
    <x v="11"/>
    <x v="1"/>
    <x v="1"/>
    <x v="33"/>
    <x v="309"/>
    <x v="874"/>
    <x v="0"/>
    <s v="LOS ANDES"/>
    <x v="2"/>
  </r>
  <r>
    <x v="16"/>
    <x v="270"/>
    <x v="2"/>
    <x v="2"/>
    <x v="1"/>
    <x v="1"/>
    <x v="33"/>
    <x v="363"/>
    <x v="146"/>
    <x v="0"/>
    <s v="LOS ANDES"/>
    <x v="2"/>
  </r>
  <r>
    <x v="16"/>
    <x v="246"/>
    <x v="2"/>
    <x v="2"/>
    <x v="1"/>
    <x v="1"/>
    <x v="33"/>
    <x v="287"/>
    <x v="874"/>
    <x v="0"/>
    <s v="LOS ANDES"/>
    <x v="2"/>
  </r>
  <r>
    <x v="16"/>
    <x v="264"/>
    <x v="6"/>
    <x v="6"/>
    <x v="1"/>
    <x v="1"/>
    <x v="33"/>
    <x v="311"/>
    <x v="874"/>
    <x v="0"/>
    <s v="LOS ANDES"/>
    <x v="2"/>
  </r>
  <r>
    <x v="16"/>
    <x v="296"/>
    <x v="6"/>
    <x v="6"/>
    <x v="1"/>
    <x v="1"/>
    <x v="33"/>
    <x v="312"/>
    <x v="759"/>
    <x v="0"/>
    <s v="LOS ANDES"/>
    <x v="2"/>
  </r>
  <r>
    <x v="16"/>
    <x v="241"/>
    <x v="6"/>
    <x v="6"/>
    <x v="1"/>
    <x v="1"/>
    <x v="33"/>
    <x v="447"/>
    <x v="874"/>
    <x v="0"/>
    <s v="LOS ANDES"/>
    <x v="2"/>
  </r>
  <r>
    <x v="17"/>
    <x v="214"/>
    <x v="11"/>
    <x v="11"/>
    <x v="1"/>
    <x v="2"/>
    <x v="32"/>
    <x v="306"/>
    <x v="3093"/>
    <x v="0"/>
    <s v="VIA ESPANA"/>
    <x v="2"/>
  </r>
  <r>
    <x v="17"/>
    <x v="242"/>
    <x v="9"/>
    <x v="9"/>
    <x v="1"/>
    <x v="0"/>
    <x v="33"/>
    <x v="435"/>
    <x v="874"/>
    <x v="0"/>
    <s v="VIA ESPANA"/>
    <x v="2"/>
  </r>
  <r>
    <x v="18"/>
    <x v="227"/>
    <x v="9"/>
    <x v="9"/>
    <x v="1"/>
    <x v="2"/>
    <x v="32"/>
    <x v="399"/>
    <x v="891"/>
    <x v="0"/>
    <s v="AVENIDA CUBA"/>
    <x v="2"/>
  </r>
  <r>
    <x v="18"/>
    <x v="240"/>
    <x v="2"/>
    <x v="2"/>
    <x v="1"/>
    <x v="2"/>
    <x v="32"/>
    <x v="442"/>
    <x v="1755"/>
    <x v="0"/>
    <s v="AVENIDA CUBA"/>
    <x v="2"/>
  </r>
  <r>
    <x v="19"/>
    <x v="308"/>
    <x v="7"/>
    <x v="7"/>
    <x v="1"/>
    <x v="2"/>
    <x v="33"/>
    <x v="333"/>
    <x v="759"/>
    <x v="0"/>
    <s v="CHITRE"/>
    <x v="2"/>
  </r>
  <r>
    <x v="19"/>
    <x v="290"/>
    <x v="9"/>
    <x v="9"/>
    <x v="1"/>
    <x v="2"/>
    <x v="32"/>
    <x v="302"/>
    <x v="3094"/>
    <x v="0"/>
    <s v="CHITRE"/>
    <x v="2"/>
  </r>
  <r>
    <x v="19"/>
    <x v="178"/>
    <x v="9"/>
    <x v="9"/>
    <x v="1"/>
    <x v="2"/>
    <x v="33"/>
    <x v="353"/>
    <x v="874"/>
    <x v="0"/>
    <s v="CHITRE"/>
    <x v="2"/>
  </r>
  <r>
    <x v="19"/>
    <x v="255"/>
    <x v="9"/>
    <x v="9"/>
    <x v="1"/>
    <x v="2"/>
    <x v="33"/>
    <x v="293"/>
    <x v="874"/>
    <x v="0"/>
    <s v="CHITRE"/>
    <x v="2"/>
  </r>
  <r>
    <x v="19"/>
    <x v="308"/>
    <x v="7"/>
    <x v="7"/>
    <x v="1"/>
    <x v="0"/>
    <x v="33"/>
    <x v="333"/>
    <x v="765"/>
    <x v="0"/>
    <s v="CHITRE"/>
    <x v="2"/>
  </r>
  <r>
    <x v="19"/>
    <x v="308"/>
    <x v="7"/>
    <x v="7"/>
    <x v="1"/>
    <x v="1"/>
    <x v="33"/>
    <x v="333"/>
    <x v="874"/>
    <x v="0"/>
    <s v="CHITRE"/>
    <x v="2"/>
  </r>
  <r>
    <x v="20"/>
    <x v="300"/>
    <x v="2"/>
    <x v="2"/>
    <x v="1"/>
    <x v="2"/>
    <x v="33"/>
    <x v="316"/>
    <x v="874"/>
    <x v="0"/>
    <s v="LOS PUEBLOS"/>
    <x v="2"/>
  </r>
  <r>
    <x v="20"/>
    <x v="308"/>
    <x v="7"/>
    <x v="7"/>
    <x v="1"/>
    <x v="0"/>
    <x v="33"/>
    <x v="333"/>
    <x v="759"/>
    <x v="0"/>
    <s v="LOS PUEBLOS"/>
    <x v="2"/>
  </r>
  <r>
    <x v="20"/>
    <x v="277"/>
    <x v="7"/>
    <x v="7"/>
    <x v="1"/>
    <x v="0"/>
    <x v="33"/>
    <x v="325"/>
    <x v="874"/>
    <x v="0"/>
    <s v="LOS PUEBLOS"/>
    <x v="2"/>
  </r>
  <r>
    <x v="20"/>
    <x v="326"/>
    <x v="8"/>
    <x v="8"/>
    <x v="1"/>
    <x v="0"/>
    <x v="33"/>
    <x v="423"/>
    <x v="759"/>
    <x v="0"/>
    <s v="LOS PUEBLOS"/>
    <x v="2"/>
  </r>
  <r>
    <x v="20"/>
    <x v="245"/>
    <x v="8"/>
    <x v="8"/>
    <x v="1"/>
    <x v="0"/>
    <x v="33"/>
    <x v="285"/>
    <x v="759"/>
    <x v="0"/>
    <s v="LOS PUEBLOS"/>
    <x v="2"/>
  </r>
  <r>
    <x v="20"/>
    <x v="337"/>
    <x v="9"/>
    <x v="9"/>
    <x v="1"/>
    <x v="0"/>
    <x v="33"/>
    <x v="424"/>
    <x v="759"/>
    <x v="0"/>
    <s v="LOS PUEBLOS"/>
    <x v="2"/>
  </r>
  <r>
    <x v="20"/>
    <x v="303"/>
    <x v="9"/>
    <x v="9"/>
    <x v="1"/>
    <x v="0"/>
    <x v="33"/>
    <x v="327"/>
    <x v="146"/>
    <x v="0"/>
    <s v="LOS PUEBLOS"/>
    <x v="2"/>
  </r>
  <r>
    <x v="20"/>
    <x v="197"/>
    <x v="9"/>
    <x v="9"/>
    <x v="1"/>
    <x v="0"/>
    <x v="33"/>
    <x v="432"/>
    <x v="146"/>
    <x v="0"/>
    <s v="LOS PUEBLOS"/>
    <x v="2"/>
  </r>
  <r>
    <x v="20"/>
    <x v="242"/>
    <x v="9"/>
    <x v="9"/>
    <x v="1"/>
    <x v="0"/>
    <x v="33"/>
    <x v="435"/>
    <x v="759"/>
    <x v="0"/>
    <s v="LOS PUEBLOS"/>
    <x v="2"/>
  </r>
  <r>
    <x v="20"/>
    <x v="286"/>
    <x v="10"/>
    <x v="10"/>
    <x v="1"/>
    <x v="0"/>
    <x v="33"/>
    <x v="297"/>
    <x v="759"/>
    <x v="0"/>
    <s v="LOS PUEBLOS"/>
    <x v="2"/>
  </r>
  <r>
    <x v="20"/>
    <x v="244"/>
    <x v="10"/>
    <x v="10"/>
    <x v="1"/>
    <x v="0"/>
    <x v="33"/>
    <x v="433"/>
    <x v="1182"/>
    <x v="0"/>
    <s v="LOS PUEBLOS"/>
    <x v="2"/>
  </r>
  <r>
    <x v="20"/>
    <x v="187"/>
    <x v="11"/>
    <x v="11"/>
    <x v="1"/>
    <x v="0"/>
    <x v="33"/>
    <x v="328"/>
    <x v="952"/>
    <x v="0"/>
    <s v="LOS PUEBLOS"/>
    <x v="2"/>
  </r>
  <r>
    <x v="20"/>
    <x v="299"/>
    <x v="11"/>
    <x v="11"/>
    <x v="1"/>
    <x v="0"/>
    <x v="33"/>
    <x v="315"/>
    <x v="874"/>
    <x v="0"/>
    <s v="LOS PUEBLOS"/>
    <x v="2"/>
  </r>
  <r>
    <x v="20"/>
    <x v="202"/>
    <x v="11"/>
    <x v="11"/>
    <x v="1"/>
    <x v="0"/>
    <x v="33"/>
    <x v="305"/>
    <x v="146"/>
    <x v="0"/>
    <s v="LOS PUEBLOS"/>
    <x v="2"/>
  </r>
  <r>
    <x v="20"/>
    <x v="300"/>
    <x v="2"/>
    <x v="2"/>
    <x v="1"/>
    <x v="0"/>
    <x v="33"/>
    <x v="316"/>
    <x v="765"/>
    <x v="0"/>
    <s v="LOS PUEBLOS"/>
    <x v="2"/>
  </r>
  <r>
    <x v="20"/>
    <x v="222"/>
    <x v="2"/>
    <x v="2"/>
    <x v="1"/>
    <x v="0"/>
    <x v="33"/>
    <x v="384"/>
    <x v="759"/>
    <x v="0"/>
    <s v="LOS PUEBLOS"/>
    <x v="2"/>
  </r>
  <r>
    <x v="20"/>
    <x v="216"/>
    <x v="2"/>
    <x v="2"/>
    <x v="1"/>
    <x v="0"/>
    <x v="33"/>
    <x v="332"/>
    <x v="874"/>
    <x v="0"/>
    <s v="LOS PUEBLOS"/>
    <x v="2"/>
  </r>
  <r>
    <x v="20"/>
    <x v="257"/>
    <x v="2"/>
    <x v="2"/>
    <x v="1"/>
    <x v="0"/>
    <x v="33"/>
    <x v="410"/>
    <x v="146"/>
    <x v="0"/>
    <s v="LOS PUEBLOS"/>
    <x v="2"/>
  </r>
  <r>
    <x v="20"/>
    <x v="276"/>
    <x v="2"/>
    <x v="2"/>
    <x v="1"/>
    <x v="0"/>
    <x v="33"/>
    <x v="385"/>
    <x v="759"/>
    <x v="0"/>
    <s v="LOS PUEBLOS"/>
    <x v="2"/>
  </r>
  <r>
    <x v="20"/>
    <x v="304"/>
    <x v="2"/>
    <x v="2"/>
    <x v="1"/>
    <x v="0"/>
    <x v="33"/>
    <x v="329"/>
    <x v="759"/>
    <x v="0"/>
    <s v="LOS PUEBLOS"/>
    <x v="2"/>
  </r>
  <r>
    <x v="20"/>
    <x v="265"/>
    <x v="6"/>
    <x v="6"/>
    <x v="1"/>
    <x v="0"/>
    <x v="33"/>
    <x v="386"/>
    <x v="874"/>
    <x v="0"/>
    <s v="LOS PUEBLOS"/>
    <x v="2"/>
  </r>
  <r>
    <x v="20"/>
    <x v="184"/>
    <x v="6"/>
    <x v="6"/>
    <x v="1"/>
    <x v="0"/>
    <x v="33"/>
    <x v="413"/>
    <x v="874"/>
    <x v="0"/>
    <s v="LOS PUEBLOS"/>
    <x v="2"/>
  </r>
  <r>
    <x v="20"/>
    <x v="314"/>
    <x v="6"/>
    <x v="6"/>
    <x v="1"/>
    <x v="0"/>
    <x v="33"/>
    <x v="372"/>
    <x v="759"/>
    <x v="0"/>
    <s v="LOS PUEBLOS"/>
    <x v="2"/>
  </r>
  <r>
    <x v="20"/>
    <x v="297"/>
    <x v="6"/>
    <x v="6"/>
    <x v="1"/>
    <x v="0"/>
    <x v="33"/>
    <x v="313"/>
    <x v="146"/>
    <x v="0"/>
    <s v="LOS PUEBLOS"/>
    <x v="2"/>
  </r>
  <r>
    <x v="20"/>
    <x v="271"/>
    <x v="6"/>
    <x v="6"/>
    <x v="1"/>
    <x v="0"/>
    <x v="33"/>
    <x v="426"/>
    <x v="146"/>
    <x v="0"/>
    <s v="LOS PUEBLOS"/>
    <x v="2"/>
  </r>
  <r>
    <x v="20"/>
    <x v="286"/>
    <x v="10"/>
    <x v="10"/>
    <x v="1"/>
    <x v="1"/>
    <x v="33"/>
    <x v="297"/>
    <x v="874"/>
    <x v="0"/>
    <s v="LOS PUEBLOS"/>
    <x v="2"/>
  </r>
  <r>
    <x v="20"/>
    <x v="268"/>
    <x v="10"/>
    <x v="10"/>
    <x v="1"/>
    <x v="1"/>
    <x v="33"/>
    <x v="339"/>
    <x v="874"/>
    <x v="0"/>
    <s v="LOS PUEBLOS"/>
    <x v="2"/>
  </r>
  <r>
    <x v="20"/>
    <x v="181"/>
    <x v="11"/>
    <x v="11"/>
    <x v="1"/>
    <x v="1"/>
    <x v="33"/>
    <x v="362"/>
    <x v="874"/>
    <x v="0"/>
    <s v="LOS PUEBLOS"/>
    <x v="2"/>
  </r>
  <r>
    <x v="20"/>
    <x v="300"/>
    <x v="2"/>
    <x v="2"/>
    <x v="1"/>
    <x v="1"/>
    <x v="33"/>
    <x v="316"/>
    <x v="874"/>
    <x v="0"/>
    <s v="LOS PUEBLOS"/>
    <x v="2"/>
  </r>
  <r>
    <x v="20"/>
    <x v="222"/>
    <x v="2"/>
    <x v="2"/>
    <x v="1"/>
    <x v="1"/>
    <x v="33"/>
    <x v="384"/>
    <x v="874"/>
    <x v="0"/>
    <s v="LOS PUEBLOS"/>
    <x v="2"/>
  </r>
  <r>
    <x v="20"/>
    <x v="304"/>
    <x v="2"/>
    <x v="2"/>
    <x v="1"/>
    <x v="1"/>
    <x v="33"/>
    <x v="329"/>
    <x v="874"/>
    <x v="0"/>
    <s v="LOS PUEBLOS"/>
    <x v="2"/>
  </r>
  <r>
    <x v="21"/>
    <x v="248"/>
    <x v="10"/>
    <x v="10"/>
    <x v="1"/>
    <x v="2"/>
    <x v="33"/>
    <x v="304"/>
    <x v="874"/>
    <x v="0"/>
    <s v="TRANSISTMICA"/>
    <x v="2"/>
  </r>
  <r>
    <x v="21"/>
    <x v="269"/>
    <x v="11"/>
    <x v="11"/>
    <x v="1"/>
    <x v="2"/>
    <x v="33"/>
    <x v="403"/>
    <x v="874"/>
    <x v="0"/>
    <s v="TRANSISTMICA"/>
    <x v="2"/>
  </r>
  <r>
    <x v="21"/>
    <x v="288"/>
    <x v="7"/>
    <x v="7"/>
    <x v="1"/>
    <x v="0"/>
    <x v="33"/>
    <x v="439"/>
    <x v="899"/>
    <x v="0"/>
    <s v="TRANSISTMICA"/>
    <x v="2"/>
  </r>
  <r>
    <x v="21"/>
    <x v="332"/>
    <x v="7"/>
    <x v="7"/>
    <x v="1"/>
    <x v="0"/>
    <x v="33"/>
    <x v="397"/>
    <x v="952"/>
    <x v="0"/>
    <s v="TRANSISTMICA"/>
    <x v="2"/>
  </r>
  <r>
    <x v="21"/>
    <x v="192"/>
    <x v="8"/>
    <x v="8"/>
    <x v="1"/>
    <x v="0"/>
    <x v="33"/>
    <x v="300"/>
    <x v="982"/>
    <x v="0"/>
    <s v="TRANSISTMICA"/>
    <x v="2"/>
  </r>
  <r>
    <x v="21"/>
    <x v="196"/>
    <x v="8"/>
    <x v="8"/>
    <x v="1"/>
    <x v="0"/>
    <x v="33"/>
    <x v="375"/>
    <x v="1182"/>
    <x v="0"/>
    <s v="TRANSISTMICA"/>
    <x v="2"/>
  </r>
  <r>
    <x v="21"/>
    <x v="303"/>
    <x v="9"/>
    <x v="9"/>
    <x v="1"/>
    <x v="0"/>
    <x v="33"/>
    <x v="327"/>
    <x v="952"/>
    <x v="0"/>
    <s v="TRANSISTMICA"/>
    <x v="2"/>
  </r>
  <r>
    <x v="21"/>
    <x v="293"/>
    <x v="9"/>
    <x v="9"/>
    <x v="1"/>
    <x v="0"/>
    <x v="33"/>
    <x v="337"/>
    <x v="759"/>
    <x v="0"/>
    <s v="TRANSISTMICA"/>
    <x v="2"/>
  </r>
  <r>
    <x v="21"/>
    <x v="197"/>
    <x v="9"/>
    <x v="9"/>
    <x v="1"/>
    <x v="0"/>
    <x v="33"/>
    <x v="432"/>
    <x v="934"/>
    <x v="0"/>
    <s v="TRANSISTMICA"/>
    <x v="2"/>
  </r>
  <r>
    <x v="21"/>
    <x v="263"/>
    <x v="10"/>
    <x v="10"/>
    <x v="1"/>
    <x v="0"/>
    <x v="33"/>
    <x v="436"/>
    <x v="1132"/>
    <x v="0"/>
    <s v="TRANSISTMICA"/>
    <x v="2"/>
  </r>
  <r>
    <x v="21"/>
    <x v="233"/>
    <x v="10"/>
    <x v="10"/>
    <x v="1"/>
    <x v="0"/>
    <x v="33"/>
    <x v="344"/>
    <x v="801"/>
    <x v="0"/>
    <s v="TRANSISTMICA"/>
    <x v="2"/>
  </r>
  <r>
    <x v="21"/>
    <x v="325"/>
    <x v="11"/>
    <x v="11"/>
    <x v="1"/>
    <x v="0"/>
    <x v="33"/>
    <x v="421"/>
    <x v="952"/>
    <x v="0"/>
    <s v="TRANSISTMICA"/>
    <x v="2"/>
  </r>
  <r>
    <x v="21"/>
    <x v="299"/>
    <x v="11"/>
    <x v="11"/>
    <x v="1"/>
    <x v="0"/>
    <x v="33"/>
    <x v="315"/>
    <x v="146"/>
    <x v="0"/>
    <s v="TRANSISTMICA"/>
    <x v="2"/>
  </r>
  <r>
    <x v="21"/>
    <x v="202"/>
    <x v="11"/>
    <x v="11"/>
    <x v="1"/>
    <x v="0"/>
    <x v="33"/>
    <x v="305"/>
    <x v="859"/>
    <x v="0"/>
    <s v="TRANSISTMICA"/>
    <x v="2"/>
  </r>
  <r>
    <x v="21"/>
    <x v="275"/>
    <x v="11"/>
    <x v="11"/>
    <x v="1"/>
    <x v="0"/>
    <x v="33"/>
    <x v="307"/>
    <x v="874"/>
    <x v="0"/>
    <s v="TRANSISTMICA"/>
    <x v="2"/>
  </r>
  <r>
    <x v="21"/>
    <x v="215"/>
    <x v="2"/>
    <x v="2"/>
    <x v="1"/>
    <x v="0"/>
    <x v="33"/>
    <x v="322"/>
    <x v="801"/>
    <x v="0"/>
    <s v="TRANSISTMICA"/>
    <x v="2"/>
  </r>
  <r>
    <x v="21"/>
    <x v="183"/>
    <x v="2"/>
    <x v="2"/>
    <x v="1"/>
    <x v="0"/>
    <x v="33"/>
    <x v="330"/>
    <x v="952"/>
    <x v="0"/>
    <s v="TRANSISTMICA"/>
    <x v="2"/>
  </r>
  <r>
    <x v="21"/>
    <x v="281"/>
    <x v="6"/>
    <x v="6"/>
    <x v="1"/>
    <x v="0"/>
    <x v="33"/>
    <x v="395"/>
    <x v="146"/>
    <x v="0"/>
    <s v="TRANSISTMICA"/>
    <x v="2"/>
  </r>
  <r>
    <x v="21"/>
    <x v="265"/>
    <x v="6"/>
    <x v="6"/>
    <x v="1"/>
    <x v="0"/>
    <x v="33"/>
    <x v="386"/>
    <x v="146"/>
    <x v="0"/>
    <s v="TRANSISTMICA"/>
    <x v="2"/>
  </r>
  <r>
    <x v="21"/>
    <x v="314"/>
    <x v="6"/>
    <x v="6"/>
    <x v="1"/>
    <x v="0"/>
    <x v="33"/>
    <x v="372"/>
    <x v="874"/>
    <x v="0"/>
    <s v="TRANSISTMICA"/>
    <x v="2"/>
  </r>
  <r>
    <x v="21"/>
    <x v="188"/>
    <x v="6"/>
    <x v="6"/>
    <x v="1"/>
    <x v="0"/>
    <x v="33"/>
    <x v="407"/>
    <x v="934"/>
    <x v="0"/>
    <s v="TRANSISTMICA"/>
    <x v="2"/>
  </r>
  <r>
    <x v="21"/>
    <x v="218"/>
    <x v="6"/>
    <x v="6"/>
    <x v="1"/>
    <x v="0"/>
    <x v="33"/>
    <x v="451"/>
    <x v="874"/>
    <x v="0"/>
    <s v="TRANSISTMICA"/>
    <x v="2"/>
  </r>
  <r>
    <x v="21"/>
    <x v="259"/>
    <x v="7"/>
    <x v="7"/>
    <x v="1"/>
    <x v="1"/>
    <x v="33"/>
    <x v="355"/>
    <x v="759"/>
    <x v="0"/>
    <s v="TRANSISTMICA"/>
    <x v="2"/>
  </r>
  <r>
    <x v="21"/>
    <x v="197"/>
    <x v="9"/>
    <x v="9"/>
    <x v="1"/>
    <x v="1"/>
    <x v="33"/>
    <x v="432"/>
    <x v="874"/>
    <x v="0"/>
    <s v="TRANSISTMICA"/>
    <x v="2"/>
  </r>
  <r>
    <x v="21"/>
    <x v="269"/>
    <x v="11"/>
    <x v="11"/>
    <x v="1"/>
    <x v="1"/>
    <x v="33"/>
    <x v="403"/>
    <x v="759"/>
    <x v="0"/>
    <s v="TRANSISTMICA"/>
    <x v="2"/>
  </r>
  <r>
    <x v="21"/>
    <x v="273"/>
    <x v="11"/>
    <x v="11"/>
    <x v="1"/>
    <x v="1"/>
    <x v="33"/>
    <x v="354"/>
    <x v="874"/>
    <x v="0"/>
    <s v="TRANSISTMICA"/>
    <x v="2"/>
  </r>
  <r>
    <x v="21"/>
    <x v="314"/>
    <x v="6"/>
    <x v="6"/>
    <x v="1"/>
    <x v="1"/>
    <x v="33"/>
    <x v="372"/>
    <x v="765"/>
    <x v="0"/>
    <s v="TRANSISTMICA"/>
    <x v="2"/>
  </r>
  <r>
    <x v="24"/>
    <x v="230"/>
    <x v="9"/>
    <x v="9"/>
    <x v="1"/>
    <x v="2"/>
    <x v="33"/>
    <x v="283"/>
    <x v="909"/>
    <x v="0"/>
    <s v="DAVID"/>
    <x v="2"/>
  </r>
  <r>
    <x v="24"/>
    <x v="264"/>
    <x v="6"/>
    <x v="6"/>
    <x v="1"/>
    <x v="2"/>
    <x v="33"/>
    <x v="311"/>
    <x v="874"/>
    <x v="0"/>
    <s v="DAVID"/>
    <x v="2"/>
  </r>
  <r>
    <x v="24"/>
    <x v="217"/>
    <x v="6"/>
    <x v="6"/>
    <x v="1"/>
    <x v="2"/>
    <x v="33"/>
    <x v="323"/>
    <x v="874"/>
    <x v="0"/>
    <s v="DAVID"/>
    <x v="2"/>
  </r>
  <r>
    <x v="24"/>
    <x v="258"/>
    <x v="7"/>
    <x v="7"/>
    <x v="1"/>
    <x v="0"/>
    <x v="33"/>
    <x v="349"/>
    <x v="934"/>
    <x v="0"/>
    <s v="DAVID"/>
    <x v="2"/>
  </r>
  <r>
    <x v="24"/>
    <x v="179"/>
    <x v="7"/>
    <x v="7"/>
    <x v="1"/>
    <x v="0"/>
    <x v="33"/>
    <x v="415"/>
    <x v="146"/>
    <x v="0"/>
    <s v="DAVID"/>
    <x v="2"/>
  </r>
  <r>
    <x v="24"/>
    <x v="259"/>
    <x v="7"/>
    <x v="7"/>
    <x v="1"/>
    <x v="0"/>
    <x v="33"/>
    <x v="355"/>
    <x v="874"/>
    <x v="0"/>
    <s v="DAVID"/>
    <x v="2"/>
  </r>
  <r>
    <x v="24"/>
    <x v="225"/>
    <x v="7"/>
    <x v="7"/>
    <x v="1"/>
    <x v="0"/>
    <x v="33"/>
    <x v="416"/>
    <x v="146"/>
    <x v="0"/>
    <s v="DAVID"/>
    <x v="2"/>
  </r>
  <r>
    <x v="24"/>
    <x v="205"/>
    <x v="7"/>
    <x v="7"/>
    <x v="1"/>
    <x v="0"/>
    <x v="33"/>
    <x v="299"/>
    <x v="874"/>
    <x v="0"/>
    <s v="DAVID"/>
    <x v="2"/>
  </r>
  <r>
    <x v="24"/>
    <x v="206"/>
    <x v="7"/>
    <x v="7"/>
    <x v="1"/>
    <x v="0"/>
    <x v="33"/>
    <x v="284"/>
    <x v="765"/>
    <x v="0"/>
    <s v="DAVID"/>
    <x v="2"/>
  </r>
  <r>
    <x v="24"/>
    <x v="332"/>
    <x v="7"/>
    <x v="7"/>
    <x v="1"/>
    <x v="0"/>
    <x v="33"/>
    <x v="397"/>
    <x v="146"/>
    <x v="0"/>
    <s v="DAVID"/>
    <x v="2"/>
  </r>
  <r>
    <x v="24"/>
    <x v="251"/>
    <x v="8"/>
    <x v="8"/>
    <x v="1"/>
    <x v="0"/>
    <x v="33"/>
    <x v="291"/>
    <x v="146"/>
    <x v="0"/>
    <s v="DAVID"/>
    <x v="2"/>
  </r>
  <r>
    <x v="24"/>
    <x v="247"/>
    <x v="8"/>
    <x v="8"/>
    <x v="1"/>
    <x v="0"/>
    <x v="64"/>
    <x v="289"/>
    <x v="874"/>
    <x v="0"/>
    <s v="DAVID"/>
    <x v="2"/>
  </r>
  <r>
    <x v="24"/>
    <x v="247"/>
    <x v="8"/>
    <x v="8"/>
    <x v="1"/>
    <x v="0"/>
    <x v="33"/>
    <x v="289"/>
    <x v="146"/>
    <x v="0"/>
    <s v="DAVID"/>
    <x v="2"/>
  </r>
  <r>
    <x v="24"/>
    <x v="254"/>
    <x v="8"/>
    <x v="8"/>
    <x v="1"/>
    <x v="0"/>
    <x v="33"/>
    <x v="326"/>
    <x v="759"/>
    <x v="0"/>
    <s v="DAVID"/>
    <x v="2"/>
  </r>
  <r>
    <x v="24"/>
    <x v="320"/>
    <x v="8"/>
    <x v="8"/>
    <x v="1"/>
    <x v="0"/>
    <x v="33"/>
    <x v="398"/>
    <x v="874"/>
    <x v="0"/>
    <s v="DAVID"/>
    <x v="2"/>
  </r>
  <r>
    <x v="24"/>
    <x v="323"/>
    <x v="8"/>
    <x v="8"/>
    <x v="1"/>
    <x v="0"/>
    <x v="33"/>
    <x v="367"/>
    <x v="759"/>
    <x v="0"/>
    <s v="DAVID"/>
    <x v="2"/>
  </r>
  <r>
    <x v="24"/>
    <x v="245"/>
    <x v="8"/>
    <x v="8"/>
    <x v="1"/>
    <x v="0"/>
    <x v="33"/>
    <x v="285"/>
    <x v="759"/>
    <x v="0"/>
    <s v="DAVID"/>
    <x v="2"/>
  </r>
  <r>
    <x v="24"/>
    <x v="226"/>
    <x v="8"/>
    <x v="8"/>
    <x v="1"/>
    <x v="0"/>
    <x v="33"/>
    <x v="376"/>
    <x v="759"/>
    <x v="0"/>
    <s v="DAVID"/>
    <x v="2"/>
  </r>
  <r>
    <x v="24"/>
    <x v="208"/>
    <x v="8"/>
    <x v="8"/>
    <x v="1"/>
    <x v="0"/>
    <x v="33"/>
    <x v="377"/>
    <x v="759"/>
    <x v="0"/>
    <s v="DAVID"/>
    <x v="2"/>
  </r>
  <r>
    <x v="24"/>
    <x v="337"/>
    <x v="9"/>
    <x v="9"/>
    <x v="1"/>
    <x v="0"/>
    <x v="33"/>
    <x v="424"/>
    <x v="146"/>
    <x v="0"/>
    <s v="DAVID"/>
    <x v="2"/>
  </r>
  <r>
    <x v="24"/>
    <x v="303"/>
    <x v="9"/>
    <x v="9"/>
    <x v="1"/>
    <x v="0"/>
    <x v="33"/>
    <x v="327"/>
    <x v="146"/>
    <x v="0"/>
    <s v="DAVID"/>
    <x v="2"/>
  </r>
  <r>
    <x v="24"/>
    <x v="194"/>
    <x v="9"/>
    <x v="9"/>
    <x v="1"/>
    <x v="0"/>
    <x v="33"/>
    <x v="390"/>
    <x v="874"/>
    <x v="0"/>
    <s v="DAVID"/>
    <x v="2"/>
  </r>
  <r>
    <x v="24"/>
    <x v="197"/>
    <x v="9"/>
    <x v="9"/>
    <x v="1"/>
    <x v="0"/>
    <x v="33"/>
    <x v="432"/>
    <x v="874"/>
    <x v="0"/>
    <s v="DAVID"/>
    <x v="2"/>
  </r>
  <r>
    <x v="24"/>
    <x v="211"/>
    <x v="9"/>
    <x v="9"/>
    <x v="1"/>
    <x v="0"/>
    <x v="33"/>
    <x v="286"/>
    <x v="874"/>
    <x v="0"/>
    <s v="DAVID"/>
    <x v="2"/>
  </r>
  <r>
    <x v="24"/>
    <x v="262"/>
    <x v="9"/>
    <x v="9"/>
    <x v="1"/>
    <x v="0"/>
    <x v="33"/>
    <x v="368"/>
    <x v="759"/>
    <x v="0"/>
    <s v="DAVID"/>
    <x v="2"/>
  </r>
  <r>
    <x v="24"/>
    <x v="219"/>
    <x v="9"/>
    <x v="9"/>
    <x v="1"/>
    <x v="0"/>
    <x v="33"/>
    <x v="308"/>
    <x v="874"/>
    <x v="0"/>
    <s v="DAVID"/>
    <x v="2"/>
  </r>
  <r>
    <x v="24"/>
    <x v="263"/>
    <x v="10"/>
    <x v="10"/>
    <x v="1"/>
    <x v="0"/>
    <x v="33"/>
    <x v="436"/>
    <x v="899"/>
    <x v="0"/>
    <s v="DAVID"/>
    <x v="2"/>
  </r>
  <r>
    <x v="24"/>
    <x v="310"/>
    <x v="10"/>
    <x v="10"/>
    <x v="1"/>
    <x v="0"/>
    <x v="33"/>
    <x v="335"/>
    <x v="146"/>
    <x v="0"/>
    <s v="DAVID"/>
    <x v="2"/>
  </r>
  <r>
    <x v="24"/>
    <x v="231"/>
    <x v="10"/>
    <x v="10"/>
    <x v="1"/>
    <x v="0"/>
    <x v="33"/>
    <x v="402"/>
    <x v="874"/>
    <x v="0"/>
    <s v="DAVID"/>
    <x v="2"/>
  </r>
  <r>
    <x v="24"/>
    <x v="232"/>
    <x v="10"/>
    <x v="10"/>
    <x v="1"/>
    <x v="0"/>
    <x v="33"/>
    <x v="290"/>
    <x v="874"/>
    <x v="0"/>
    <s v="DAVID"/>
    <x v="2"/>
  </r>
  <r>
    <x v="24"/>
    <x v="186"/>
    <x v="10"/>
    <x v="10"/>
    <x v="1"/>
    <x v="0"/>
    <x v="33"/>
    <x v="321"/>
    <x v="759"/>
    <x v="0"/>
    <s v="DAVID"/>
    <x v="2"/>
  </r>
  <r>
    <x v="24"/>
    <x v="329"/>
    <x v="10"/>
    <x v="10"/>
    <x v="1"/>
    <x v="0"/>
    <x v="33"/>
    <x v="380"/>
    <x v="146"/>
    <x v="0"/>
    <s v="DAVID"/>
    <x v="2"/>
  </r>
  <r>
    <x v="24"/>
    <x v="199"/>
    <x v="10"/>
    <x v="10"/>
    <x v="1"/>
    <x v="0"/>
    <x v="33"/>
    <x v="298"/>
    <x v="146"/>
    <x v="0"/>
    <s v="DAVID"/>
    <x v="2"/>
  </r>
  <r>
    <x v="24"/>
    <x v="189"/>
    <x v="10"/>
    <x v="10"/>
    <x v="1"/>
    <x v="0"/>
    <x v="33"/>
    <x v="345"/>
    <x v="874"/>
    <x v="0"/>
    <s v="DAVID"/>
    <x v="2"/>
  </r>
  <r>
    <x v="24"/>
    <x v="200"/>
    <x v="11"/>
    <x v="11"/>
    <x v="1"/>
    <x v="0"/>
    <x v="33"/>
    <x v="351"/>
    <x v="759"/>
    <x v="0"/>
    <s v="DAVID"/>
    <x v="2"/>
  </r>
  <r>
    <x v="24"/>
    <x v="325"/>
    <x v="11"/>
    <x v="11"/>
    <x v="1"/>
    <x v="0"/>
    <x v="33"/>
    <x v="421"/>
    <x v="874"/>
    <x v="0"/>
    <s v="DAVID"/>
    <x v="2"/>
  </r>
  <r>
    <x v="24"/>
    <x v="282"/>
    <x v="11"/>
    <x v="11"/>
    <x v="1"/>
    <x v="0"/>
    <x v="33"/>
    <x v="358"/>
    <x v="899"/>
    <x v="0"/>
    <s v="DAVID"/>
    <x v="2"/>
  </r>
  <r>
    <x v="24"/>
    <x v="187"/>
    <x v="11"/>
    <x v="11"/>
    <x v="1"/>
    <x v="0"/>
    <x v="33"/>
    <x v="328"/>
    <x v="874"/>
    <x v="0"/>
    <s v="DAVID"/>
    <x v="2"/>
  </r>
  <r>
    <x v="24"/>
    <x v="201"/>
    <x v="11"/>
    <x v="11"/>
    <x v="1"/>
    <x v="0"/>
    <x v="33"/>
    <x v="422"/>
    <x v="874"/>
    <x v="0"/>
    <s v="DAVID"/>
    <x v="2"/>
  </r>
  <r>
    <x v="24"/>
    <x v="299"/>
    <x v="11"/>
    <x v="11"/>
    <x v="1"/>
    <x v="0"/>
    <x v="33"/>
    <x v="315"/>
    <x v="874"/>
    <x v="0"/>
    <s v="DAVID"/>
    <x v="2"/>
  </r>
  <r>
    <x v="24"/>
    <x v="302"/>
    <x v="11"/>
    <x v="11"/>
    <x v="1"/>
    <x v="0"/>
    <x v="33"/>
    <x v="324"/>
    <x v="146"/>
    <x v="0"/>
    <s v="DAVID"/>
    <x v="2"/>
  </r>
  <r>
    <x v="24"/>
    <x v="202"/>
    <x v="11"/>
    <x v="11"/>
    <x v="1"/>
    <x v="0"/>
    <x v="33"/>
    <x v="305"/>
    <x v="874"/>
    <x v="0"/>
    <s v="DAVID"/>
    <x v="2"/>
  </r>
  <r>
    <x v="24"/>
    <x v="311"/>
    <x v="11"/>
    <x v="11"/>
    <x v="1"/>
    <x v="0"/>
    <x v="33"/>
    <x v="440"/>
    <x v="759"/>
    <x v="0"/>
    <s v="DAVID"/>
    <x v="2"/>
  </r>
  <r>
    <x v="24"/>
    <x v="330"/>
    <x v="11"/>
    <x v="11"/>
    <x v="1"/>
    <x v="0"/>
    <x v="33"/>
    <x v="381"/>
    <x v="874"/>
    <x v="0"/>
    <s v="DAVID"/>
    <x v="2"/>
  </r>
  <r>
    <x v="24"/>
    <x v="275"/>
    <x v="11"/>
    <x v="11"/>
    <x v="1"/>
    <x v="0"/>
    <x v="33"/>
    <x v="307"/>
    <x v="874"/>
    <x v="0"/>
    <s v="DAVID"/>
    <x v="2"/>
  </r>
  <r>
    <x v="24"/>
    <x v="223"/>
    <x v="2"/>
    <x v="2"/>
    <x v="1"/>
    <x v="0"/>
    <x v="33"/>
    <x v="434"/>
    <x v="952"/>
    <x v="0"/>
    <s v="DAVID"/>
    <x v="2"/>
  </r>
  <r>
    <x v="24"/>
    <x v="276"/>
    <x v="2"/>
    <x v="2"/>
    <x v="1"/>
    <x v="0"/>
    <x v="33"/>
    <x v="385"/>
    <x v="759"/>
    <x v="0"/>
    <s v="DAVID"/>
    <x v="2"/>
  </r>
  <r>
    <x v="24"/>
    <x v="183"/>
    <x v="2"/>
    <x v="2"/>
    <x v="1"/>
    <x v="0"/>
    <x v="33"/>
    <x v="330"/>
    <x v="759"/>
    <x v="0"/>
    <s v="DAVID"/>
    <x v="2"/>
  </r>
  <r>
    <x v="24"/>
    <x v="235"/>
    <x v="2"/>
    <x v="2"/>
    <x v="1"/>
    <x v="0"/>
    <x v="33"/>
    <x v="393"/>
    <x v="874"/>
    <x v="0"/>
    <s v="DAVID"/>
    <x v="2"/>
  </r>
  <r>
    <x v="24"/>
    <x v="281"/>
    <x v="6"/>
    <x v="6"/>
    <x v="1"/>
    <x v="0"/>
    <x v="33"/>
    <x v="395"/>
    <x v="146"/>
    <x v="0"/>
    <s v="DAVID"/>
    <x v="2"/>
  </r>
  <r>
    <x v="24"/>
    <x v="285"/>
    <x v="6"/>
    <x v="6"/>
    <x v="1"/>
    <x v="0"/>
    <x v="33"/>
    <x v="409"/>
    <x v="146"/>
    <x v="0"/>
    <s v="DAVID"/>
    <x v="2"/>
  </r>
  <r>
    <x v="24"/>
    <x v="217"/>
    <x v="6"/>
    <x v="6"/>
    <x v="1"/>
    <x v="0"/>
    <x v="33"/>
    <x v="323"/>
    <x v="874"/>
    <x v="0"/>
    <s v="DAVID"/>
    <x v="2"/>
  </r>
  <r>
    <x v="24"/>
    <x v="305"/>
    <x v="6"/>
    <x v="6"/>
    <x v="1"/>
    <x v="0"/>
    <x v="33"/>
    <x v="331"/>
    <x v="759"/>
    <x v="0"/>
    <s v="DAVID"/>
    <x v="2"/>
  </r>
  <r>
    <x v="24"/>
    <x v="314"/>
    <x v="6"/>
    <x v="6"/>
    <x v="1"/>
    <x v="0"/>
    <x v="33"/>
    <x v="372"/>
    <x v="759"/>
    <x v="0"/>
    <s v="DAVID"/>
    <x v="2"/>
  </r>
  <r>
    <x v="24"/>
    <x v="296"/>
    <x v="6"/>
    <x v="6"/>
    <x v="1"/>
    <x v="0"/>
    <x v="33"/>
    <x v="312"/>
    <x v="874"/>
    <x v="0"/>
    <s v="DAVID"/>
    <x v="2"/>
  </r>
  <r>
    <x v="24"/>
    <x v="204"/>
    <x v="6"/>
    <x v="6"/>
    <x v="1"/>
    <x v="0"/>
    <x v="33"/>
    <x v="317"/>
    <x v="765"/>
    <x v="0"/>
    <s v="DAVID"/>
    <x v="2"/>
  </r>
  <r>
    <x v="24"/>
    <x v="297"/>
    <x v="6"/>
    <x v="6"/>
    <x v="1"/>
    <x v="0"/>
    <x v="33"/>
    <x v="313"/>
    <x v="759"/>
    <x v="0"/>
    <s v="DAVID"/>
    <x v="2"/>
  </r>
  <r>
    <x v="24"/>
    <x v="218"/>
    <x v="6"/>
    <x v="6"/>
    <x v="1"/>
    <x v="0"/>
    <x v="33"/>
    <x v="451"/>
    <x v="759"/>
    <x v="0"/>
    <s v="DAVID"/>
    <x v="2"/>
  </r>
  <r>
    <x v="24"/>
    <x v="271"/>
    <x v="6"/>
    <x v="6"/>
    <x v="1"/>
    <x v="0"/>
    <x v="33"/>
    <x v="426"/>
    <x v="874"/>
    <x v="0"/>
    <s v="DAVID"/>
    <x v="2"/>
  </r>
  <r>
    <x v="24"/>
    <x v="174"/>
    <x v="6"/>
    <x v="6"/>
    <x v="1"/>
    <x v="0"/>
    <x v="33"/>
    <x v="282"/>
    <x v="874"/>
    <x v="0"/>
    <s v="DAVID"/>
    <x v="2"/>
  </r>
  <r>
    <x v="24"/>
    <x v="229"/>
    <x v="6"/>
    <x v="6"/>
    <x v="1"/>
    <x v="0"/>
    <x v="33"/>
    <x v="281"/>
    <x v="874"/>
    <x v="0"/>
    <s v="DAVID"/>
    <x v="2"/>
  </r>
  <r>
    <x v="24"/>
    <x v="245"/>
    <x v="8"/>
    <x v="8"/>
    <x v="1"/>
    <x v="1"/>
    <x v="33"/>
    <x v="285"/>
    <x v="874"/>
    <x v="0"/>
    <s v="DAVID"/>
    <x v="2"/>
  </r>
  <r>
    <x v="25"/>
    <x v="310"/>
    <x v="10"/>
    <x v="10"/>
    <x v="1"/>
    <x v="2"/>
    <x v="32"/>
    <x v="335"/>
    <x v="3095"/>
    <x v="0"/>
    <s v="PLAZA LAS AMERICAS"/>
    <x v="2"/>
  </r>
  <r>
    <x v="25"/>
    <x v="315"/>
    <x v="2"/>
    <x v="2"/>
    <x v="1"/>
    <x v="2"/>
    <x v="32"/>
    <x v="405"/>
    <x v="3096"/>
    <x v="0"/>
    <s v="PLAZA LAS AMERICAS"/>
    <x v="2"/>
  </r>
  <r>
    <x v="26"/>
    <x v="175"/>
    <x v="9"/>
    <x v="9"/>
    <x v="1"/>
    <x v="2"/>
    <x v="32"/>
    <x v="389"/>
    <x v="3097"/>
    <x v="0"/>
    <s v="CORONADO"/>
    <x v="2"/>
  </r>
  <r>
    <x v="26"/>
    <x v="243"/>
    <x v="10"/>
    <x v="10"/>
    <x v="1"/>
    <x v="2"/>
    <x v="32"/>
    <x v="411"/>
    <x v="1331"/>
    <x v="0"/>
    <s v="CORONADO"/>
    <x v="2"/>
  </r>
  <r>
    <x v="26"/>
    <x v="189"/>
    <x v="10"/>
    <x v="10"/>
    <x v="1"/>
    <x v="0"/>
    <x v="33"/>
    <x v="345"/>
    <x v="874"/>
    <x v="0"/>
    <s v="CORONADO"/>
    <x v="2"/>
  </r>
  <r>
    <x v="27"/>
    <x v="205"/>
    <x v="7"/>
    <x v="7"/>
    <x v="1"/>
    <x v="0"/>
    <x v="33"/>
    <x v="299"/>
    <x v="874"/>
    <x v="0"/>
    <s v="ALBROOK MALL"/>
    <x v="2"/>
  </r>
  <r>
    <x v="27"/>
    <x v="251"/>
    <x v="8"/>
    <x v="8"/>
    <x v="1"/>
    <x v="0"/>
    <x v="33"/>
    <x v="291"/>
    <x v="874"/>
    <x v="0"/>
    <s v="ALBROOK MALL"/>
    <x v="2"/>
  </r>
  <r>
    <x v="27"/>
    <x v="245"/>
    <x v="8"/>
    <x v="8"/>
    <x v="1"/>
    <x v="0"/>
    <x v="33"/>
    <x v="285"/>
    <x v="874"/>
    <x v="0"/>
    <s v="ALBROOK MALL"/>
    <x v="2"/>
  </r>
  <r>
    <x v="27"/>
    <x v="338"/>
    <x v="9"/>
    <x v="9"/>
    <x v="1"/>
    <x v="0"/>
    <x v="33"/>
    <x v="425"/>
    <x v="874"/>
    <x v="0"/>
    <s v="ALBROOK MALL"/>
    <x v="2"/>
  </r>
  <r>
    <x v="27"/>
    <x v="233"/>
    <x v="10"/>
    <x v="10"/>
    <x v="1"/>
    <x v="0"/>
    <x v="33"/>
    <x v="344"/>
    <x v="874"/>
    <x v="0"/>
    <s v="ALBROOK MALL"/>
    <x v="2"/>
  </r>
  <r>
    <x v="28"/>
    <x v="306"/>
    <x v="9"/>
    <x v="9"/>
    <x v="1"/>
    <x v="2"/>
    <x v="32"/>
    <x v="336"/>
    <x v="2872"/>
    <x v="0"/>
    <s v="PANAMA PACIFICO"/>
    <x v="2"/>
  </r>
  <r>
    <x v="28"/>
    <x v="274"/>
    <x v="11"/>
    <x v="11"/>
    <x v="1"/>
    <x v="2"/>
    <x v="32"/>
    <x v="404"/>
    <x v="3098"/>
    <x v="0"/>
    <s v="PANAMA PACIFICO"/>
    <x v="2"/>
  </r>
  <r>
    <x v="73"/>
    <x v="238"/>
    <x v="9"/>
    <x v="9"/>
    <x v="1"/>
    <x v="2"/>
    <x v="32"/>
    <x v="379"/>
    <x v="1046"/>
    <x v="0"/>
    <s v="PENONOME"/>
    <x v="2"/>
  </r>
  <r>
    <x v="73"/>
    <x v="177"/>
    <x v="11"/>
    <x v="11"/>
    <x v="1"/>
    <x v="2"/>
    <x v="32"/>
    <x v="346"/>
    <x v="1046"/>
    <x v="0"/>
    <s v="PENONOME"/>
    <x v="2"/>
  </r>
  <r>
    <x v="73"/>
    <x v="183"/>
    <x v="2"/>
    <x v="2"/>
    <x v="1"/>
    <x v="2"/>
    <x v="32"/>
    <x v="330"/>
    <x v="858"/>
    <x v="0"/>
    <s v="PENONOME"/>
    <x v="2"/>
  </r>
  <r>
    <x v="29"/>
    <x v="238"/>
    <x v="9"/>
    <x v="9"/>
    <x v="1"/>
    <x v="2"/>
    <x v="32"/>
    <x v="379"/>
    <x v="3099"/>
    <x v="0"/>
    <s v="ALBROOK"/>
    <x v="2"/>
  </r>
  <r>
    <x v="29"/>
    <x v="327"/>
    <x v="7"/>
    <x v="7"/>
    <x v="1"/>
    <x v="0"/>
    <x v="33"/>
    <x v="387"/>
    <x v="874"/>
    <x v="0"/>
    <s v="ALBROOK"/>
    <x v="2"/>
  </r>
  <r>
    <x v="29"/>
    <x v="309"/>
    <x v="7"/>
    <x v="7"/>
    <x v="1"/>
    <x v="0"/>
    <x v="33"/>
    <x v="334"/>
    <x v="765"/>
    <x v="0"/>
    <s v="ALBROOK"/>
    <x v="2"/>
  </r>
  <r>
    <x v="29"/>
    <x v="254"/>
    <x v="8"/>
    <x v="8"/>
    <x v="1"/>
    <x v="0"/>
    <x v="33"/>
    <x v="326"/>
    <x v="759"/>
    <x v="0"/>
    <s v="ALBROOK"/>
    <x v="2"/>
  </r>
  <r>
    <x v="29"/>
    <x v="195"/>
    <x v="8"/>
    <x v="8"/>
    <x v="1"/>
    <x v="0"/>
    <x v="33"/>
    <x v="373"/>
    <x v="874"/>
    <x v="0"/>
    <s v="ALBROOK"/>
    <x v="2"/>
  </r>
  <r>
    <x v="29"/>
    <x v="219"/>
    <x v="9"/>
    <x v="9"/>
    <x v="1"/>
    <x v="0"/>
    <x v="33"/>
    <x v="308"/>
    <x v="874"/>
    <x v="0"/>
    <s v="ALBROOK"/>
    <x v="2"/>
  </r>
  <r>
    <x v="29"/>
    <x v="268"/>
    <x v="10"/>
    <x v="10"/>
    <x v="1"/>
    <x v="0"/>
    <x v="33"/>
    <x v="339"/>
    <x v="874"/>
    <x v="0"/>
    <s v="ALBROOK"/>
    <x v="2"/>
  </r>
  <r>
    <x v="29"/>
    <x v="248"/>
    <x v="10"/>
    <x v="10"/>
    <x v="1"/>
    <x v="0"/>
    <x v="33"/>
    <x v="304"/>
    <x v="874"/>
    <x v="0"/>
    <s v="ALBROOK"/>
    <x v="2"/>
  </r>
  <r>
    <x v="29"/>
    <x v="187"/>
    <x v="11"/>
    <x v="11"/>
    <x v="1"/>
    <x v="0"/>
    <x v="33"/>
    <x v="328"/>
    <x v="759"/>
    <x v="0"/>
    <s v="ALBROOK"/>
    <x v="2"/>
  </r>
  <r>
    <x v="29"/>
    <x v="249"/>
    <x v="11"/>
    <x v="11"/>
    <x v="1"/>
    <x v="0"/>
    <x v="33"/>
    <x v="359"/>
    <x v="874"/>
    <x v="0"/>
    <s v="ALBROOK"/>
    <x v="2"/>
  </r>
  <r>
    <x v="29"/>
    <x v="315"/>
    <x v="2"/>
    <x v="2"/>
    <x v="1"/>
    <x v="0"/>
    <x v="33"/>
    <x v="405"/>
    <x v="874"/>
    <x v="0"/>
    <s v="ALBROOK"/>
    <x v="2"/>
  </r>
  <r>
    <x v="29"/>
    <x v="223"/>
    <x v="2"/>
    <x v="2"/>
    <x v="1"/>
    <x v="0"/>
    <x v="33"/>
    <x v="434"/>
    <x v="874"/>
    <x v="0"/>
    <s v="ALBROOK"/>
    <x v="2"/>
  </r>
  <r>
    <x v="29"/>
    <x v="276"/>
    <x v="2"/>
    <x v="2"/>
    <x v="1"/>
    <x v="0"/>
    <x v="33"/>
    <x v="385"/>
    <x v="874"/>
    <x v="0"/>
    <s v="ALBROOK"/>
    <x v="2"/>
  </r>
  <r>
    <x v="29"/>
    <x v="281"/>
    <x v="6"/>
    <x v="6"/>
    <x v="1"/>
    <x v="0"/>
    <x v="33"/>
    <x v="395"/>
    <x v="874"/>
    <x v="0"/>
    <s v="ALBROOK"/>
    <x v="2"/>
  </r>
  <r>
    <x v="29"/>
    <x v="183"/>
    <x v="2"/>
    <x v="2"/>
    <x v="1"/>
    <x v="1"/>
    <x v="33"/>
    <x v="330"/>
    <x v="874"/>
    <x v="0"/>
    <s v="ALBROOK"/>
    <x v="2"/>
  </r>
  <r>
    <x v="30"/>
    <x v="277"/>
    <x v="7"/>
    <x v="7"/>
    <x v="1"/>
    <x v="2"/>
    <x v="32"/>
    <x v="325"/>
    <x v="3100"/>
    <x v="0"/>
    <s v="SUCURSAL DE VISTA ALEGRE"/>
    <x v="2"/>
  </r>
  <r>
    <x v="30"/>
    <x v="261"/>
    <x v="8"/>
    <x v="8"/>
    <x v="1"/>
    <x v="2"/>
    <x v="33"/>
    <x v="320"/>
    <x v="759"/>
    <x v="0"/>
    <s v="SUCURSAL DE VISTA ALEGRE"/>
    <x v="2"/>
  </r>
  <r>
    <x v="30"/>
    <x v="194"/>
    <x v="9"/>
    <x v="9"/>
    <x v="1"/>
    <x v="2"/>
    <x v="32"/>
    <x v="390"/>
    <x v="3018"/>
    <x v="0"/>
    <s v="SUCURSAL DE VISTA ALEGRE"/>
    <x v="2"/>
  </r>
  <r>
    <x v="30"/>
    <x v="310"/>
    <x v="10"/>
    <x v="10"/>
    <x v="1"/>
    <x v="2"/>
    <x v="32"/>
    <x v="335"/>
    <x v="3101"/>
    <x v="0"/>
    <s v="SUCURSAL DE VISTA ALEGRE"/>
    <x v="2"/>
  </r>
  <r>
    <x v="30"/>
    <x v="199"/>
    <x v="10"/>
    <x v="10"/>
    <x v="1"/>
    <x v="2"/>
    <x v="33"/>
    <x v="298"/>
    <x v="874"/>
    <x v="0"/>
    <s v="SUCURSAL DE VISTA ALEGRE"/>
    <x v="2"/>
  </r>
  <r>
    <x v="30"/>
    <x v="200"/>
    <x v="11"/>
    <x v="11"/>
    <x v="1"/>
    <x v="2"/>
    <x v="32"/>
    <x v="351"/>
    <x v="3102"/>
    <x v="0"/>
    <s v="SUCURSAL DE VISTA ALEGRE"/>
    <x v="2"/>
  </r>
  <r>
    <x v="30"/>
    <x v="182"/>
    <x v="2"/>
    <x v="2"/>
    <x v="1"/>
    <x v="2"/>
    <x v="33"/>
    <x v="392"/>
    <x v="874"/>
    <x v="0"/>
    <s v="SUCURSAL DE VISTA ALEGRE"/>
    <x v="2"/>
  </r>
  <r>
    <x v="30"/>
    <x v="217"/>
    <x v="6"/>
    <x v="6"/>
    <x v="1"/>
    <x v="2"/>
    <x v="32"/>
    <x v="323"/>
    <x v="3101"/>
    <x v="0"/>
    <s v="SUCURSAL DE VISTA ALEGRE"/>
    <x v="2"/>
  </r>
  <r>
    <x v="30"/>
    <x v="265"/>
    <x v="6"/>
    <x v="6"/>
    <x v="1"/>
    <x v="2"/>
    <x v="33"/>
    <x v="386"/>
    <x v="874"/>
    <x v="0"/>
    <s v="SUCURSAL DE VISTA ALEGRE"/>
    <x v="2"/>
  </r>
  <r>
    <x v="30"/>
    <x v="308"/>
    <x v="7"/>
    <x v="7"/>
    <x v="1"/>
    <x v="0"/>
    <x v="33"/>
    <x v="333"/>
    <x v="874"/>
    <x v="0"/>
    <s v="SUCURSAL DE VISTA ALEGRE"/>
    <x v="2"/>
  </r>
  <r>
    <x v="30"/>
    <x v="327"/>
    <x v="7"/>
    <x v="7"/>
    <x v="1"/>
    <x v="0"/>
    <x v="33"/>
    <x v="387"/>
    <x v="765"/>
    <x v="0"/>
    <s v="SUCURSAL DE VISTA ALEGRE"/>
    <x v="2"/>
  </r>
  <r>
    <x v="30"/>
    <x v="209"/>
    <x v="7"/>
    <x v="7"/>
    <x v="1"/>
    <x v="0"/>
    <x v="33"/>
    <x v="428"/>
    <x v="759"/>
    <x v="0"/>
    <s v="SUCURSAL DE VISTA ALEGRE"/>
    <x v="2"/>
  </r>
  <r>
    <x v="30"/>
    <x v="251"/>
    <x v="8"/>
    <x v="8"/>
    <x v="1"/>
    <x v="0"/>
    <x v="33"/>
    <x v="291"/>
    <x v="899"/>
    <x v="0"/>
    <s v="SUCURSAL DE VISTA ALEGRE"/>
    <x v="2"/>
  </r>
  <r>
    <x v="30"/>
    <x v="192"/>
    <x v="8"/>
    <x v="8"/>
    <x v="1"/>
    <x v="0"/>
    <x v="33"/>
    <x v="300"/>
    <x v="759"/>
    <x v="0"/>
    <s v="SUCURSAL DE VISTA ALEGRE"/>
    <x v="2"/>
  </r>
  <r>
    <x v="30"/>
    <x v="254"/>
    <x v="8"/>
    <x v="8"/>
    <x v="1"/>
    <x v="0"/>
    <x v="33"/>
    <x v="326"/>
    <x v="874"/>
    <x v="0"/>
    <s v="SUCURSAL DE VISTA ALEGRE"/>
    <x v="2"/>
  </r>
  <r>
    <x v="30"/>
    <x v="245"/>
    <x v="8"/>
    <x v="8"/>
    <x v="1"/>
    <x v="0"/>
    <x v="33"/>
    <x v="285"/>
    <x v="765"/>
    <x v="0"/>
    <s v="SUCURSAL DE VISTA ALEGRE"/>
    <x v="2"/>
  </r>
  <r>
    <x v="30"/>
    <x v="226"/>
    <x v="8"/>
    <x v="8"/>
    <x v="1"/>
    <x v="0"/>
    <x v="33"/>
    <x v="376"/>
    <x v="874"/>
    <x v="0"/>
    <s v="SUCURSAL DE VISTA ALEGRE"/>
    <x v="2"/>
  </r>
  <r>
    <x v="30"/>
    <x v="337"/>
    <x v="9"/>
    <x v="9"/>
    <x v="1"/>
    <x v="0"/>
    <x v="33"/>
    <x v="424"/>
    <x v="759"/>
    <x v="0"/>
    <s v="SUCURSAL DE VISTA ALEGRE"/>
    <x v="2"/>
  </r>
  <r>
    <x v="30"/>
    <x v="303"/>
    <x v="9"/>
    <x v="9"/>
    <x v="1"/>
    <x v="0"/>
    <x v="33"/>
    <x v="327"/>
    <x v="759"/>
    <x v="0"/>
    <s v="SUCURSAL DE VISTA ALEGRE"/>
    <x v="2"/>
  </r>
  <r>
    <x v="30"/>
    <x v="197"/>
    <x v="9"/>
    <x v="9"/>
    <x v="1"/>
    <x v="0"/>
    <x v="33"/>
    <x v="432"/>
    <x v="146"/>
    <x v="0"/>
    <s v="SUCURSAL DE VISTA ALEGRE"/>
    <x v="2"/>
  </r>
  <r>
    <x v="30"/>
    <x v="331"/>
    <x v="9"/>
    <x v="9"/>
    <x v="1"/>
    <x v="0"/>
    <x v="33"/>
    <x v="391"/>
    <x v="874"/>
    <x v="0"/>
    <s v="SUCURSAL DE VISTA ALEGRE"/>
    <x v="2"/>
  </r>
  <r>
    <x v="30"/>
    <x v="230"/>
    <x v="9"/>
    <x v="9"/>
    <x v="1"/>
    <x v="0"/>
    <x v="33"/>
    <x v="283"/>
    <x v="874"/>
    <x v="0"/>
    <s v="SUCURSAL DE VISTA ALEGRE"/>
    <x v="2"/>
  </r>
  <r>
    <x v="30"/>
    <x v="198"/>
    <x v="10"/>
    <x v="10"/>
    <x v="1"/>
    <x v="0"/>
    <x v="33"/>
    <x v="338"/>
    <x v="874"/>
    <x v="0"/>
    <s v="SUCURSAL DE VISTA ALEGRE"/>
    <x v="2"/>
  </r>
  <r>
    <x v="30"/>
    <x v="317"/>
    <x v="10"/>
    <x v="10"/>
    <x v="1"/>
    <x v="0"/>
    <x v="33"/>
    <x v="401"/>
    <x v="759"/>
    <x v="0"/>
    <s v="SUCURSAL DE VISTA ALEGRE"/>
    <x v="2"/>
  </r>
  <r>
    <x v="30"/>
    <x v="243"/>
    <x v="10"/>
    <x v="10"/>
    <x v="1"/>
    <x v="0"/>
    <x v="33"/>
    <x v="411"/>
    <x v="874"/>
    <x v="0"/>
    <s v="SUCURSAL DE VISTA ALEGRE"/>
    <x v="2"/>
  </r>
  <r>
    <x v="30"/>
    <x v="186"/>
    <x v="10"/>
    <x v="10"/>
    <x v="1"/>
    <x v="0"/>
    <x v="33"/>
    <x v="321"/>
    <x v="874"/>
    <x v="0"/>
    <s v="SUCURSAL DE VISTA ALEGRE"/>
    <x v="2"/>
  </r>
  <r>
    <x v="30"/>
    <x v="339"/>
    <x v="10"/>
    <x v="10"/>
    <x v="1"/>
    <x v="0"/>
    <x v="33"/>
    <x v="427"/>
    <x v="874"/>
    <x v="0"/>
    <s v="SUCURSAL DE VISTA ALEGRE"/>
    <x v="2"/>
  </r>
  <r>
    <x v="30"/>
    <x v="248"/>
    <x v="10"/>
    <x v="10"/>
    <x v="1"/>
    <x v="0"/>
    <x v="33"/>
    <x v="304"/>
    <x v="874"/>
    <x v="0"/>
    <s v="SUCURSAL DE VISTA ALEGRE"/>
    <x v="2"/>
  </r>
  <r>
    <x v="30"/>
    <x v="189"/>
    <x v="10"/>
    <x v="10"/>
    <x v="1"/>
    <x v="0"/>
    <x v="33"/>
    <x v="345"/>
    <x v="146"/>
    <x v="0"/>
    <s v="SUCURSAL DE VISTA ALEGRE"/>
    <x v="2"/>
  </r>
  <r>
    <x v="30"/>
    <x v="269"/>
    <x v="11"/>
    <x v="11"/>
    <x v="1"/>
    <x v="0"/>
    <x v="33"/>
    <x v="403"/>
    <x v="874"/>
    <x v="0"/>
    <s v="SUCURSAL DE VISTA ALEGRE"/>
    <x v="2"/>
  </r>
  <r>
    <x v="30"/>
    <x v="325"/>
    <x v="11"/>
    <x v="11"/>
    <x v="1"/>
    <x v="0"/>
    <x v="33"/>
    <x v="421"/>
    <x v="759"/>
    <x v="0"/>
    <s v="SUCURSAL DE VISTA ALEGRE"/>
    <x v="2"/>
  </r>
  <r>
    <x v="30"/>
    <x v="282"/>
    <x v="11"/>
    <x v="11"/>
    <x v="1"/>
    <x v="0"/>
    <x v="33"/>
    <x v="358"/>
    <x v="759"/>
    <x v="0"/>
    <s v="SUCURSAL DE VISTA ALEGRE"/>
    <x v="2"/>
  </r>
  <r>
    <x v="30"/>
    <x v="220"/>
    <x v="11"/>
    <x v="11"/>
    <x v="1"/>
    <x v="0"/>
    <x v="33"/>
    <x v="309"/>
    <x v="874"/>
    <x v="0"/>
    <s v="SUCURSAL DE VISTA ALEGRE"/>
    <x v="2"/>
  </r>
  <r>
    <x v="30"/>
    <x v="177"/>
    <x v="11"/>
    <x v="11"/>
    <x v="1"/>
    <x v="0"/>
    <x v="33"/>
    <x v="346"/>
    <x v="759"/>
    <x v="0"/>
    <s v="SUCURSAL DE VISTA ALEGRE"/>
    <x v="2"/>
  </r>
  <r>
    <x v="30"/>
    <x v="201"/>
    <x v="11"/>
    <x v="11"/>
    <x v="1"/>
    <x v="0"/>
    <x v="33"/>
    <x v="422"/>
    <x v="874"/>
    <x v="0"/>
    <s v="SUCURSAL DE VISTA ALEGRE"/>
    <x v="2"/>
  </r>
  <r>
    <x v="30"/>
    <x v="249"/>
    <x v="11"/>
    <x v="11"/>
    <x v="1"/>
    <x v="0"/>
    <x v="33"/>
    <x v="359"/>
    <x v="759"/>
    <x v="0"/>
    <s v="SUCURSAL DE VISTA ALEGRE"/>
    <x v="2"/>
  </r>
  <r>
    <x v="30"/>
    <x v="302"/>
    <x v="11"/>
    <x v="11"/>
    <x v="1"/>
    <x v="0"/>
    <x v="33"/>
    <x v="324"/>
    <x v="934"/>
    <x v="0"/>
    <s v="SUCURSAL DE VISTA ALEGRE"/>
    <x v="2"/>
  </r>
  <r>
    <x v="30"/>
    <x v="311"/>
    <x v="11"/>
    <x v="11"/>
    <x v="1"/>
    <x v="0"/>
    <x v="33"/>
    <x v="440"/>
    <x v="874"/>
    <x v="0"/>
    <s v="SUCURSAL DE VISTA ALEGRE"/>
    <x v="2"/>
  </r>
  <r>
    <x v="30"/>
    <x v="330"/>
    <x v="11"/>
    <x v="11"/>
    <x v="1"/>
    <x v="0"/>
    <x v="33"/>
    <x v="381"/>
    <x v="874"/>
    <x v="0"/>
    <s v="SUCURSAL DE VISTA ALEGRE"/>
    <x v="2"/>
  </r>
  <r>
    <x v="30"/>
    <x v="214"/>
    <x v="11"/>
    <x v="11"/>
    <x v="1"/>
    <x v="0"/>
    <x v="33"/>
    <x v="306"/>
    <x v="759"/>
    <x v="0"/>
    <s v="SUCURSAL DE VISTA ALEGRE"/>
    <x v="2"/>
  </r>
  <r>
    <x v="30"/>
    <x v="300"/>
    <x v="2"/>
    <x v="2"/>
    <x v="1"/>
    <x v="0"/>
    <x v="33"/>
    <x v="316"/>
    <x v="759"/>
    <x v="0"/>
    <s v="SUCURSAL DE VISTA ALEGRE"/>
    <x v="2"/>
  </r>
  <r>
    <x v="30"/>
    <x v="315"/>
    <x v="2"/>
    <x v="2"/>
    <x v="1"/>
    <x v="0"/>
    <x v="33"/>
    <x v="405"/>
    <x v="146"/>
    <x v="0"/>
    <s v="SUCURSAL DE VISTA ALEGRE"/>
    <x v="2"/>
  </r>
  <r>
    <x v="30"/>
    <x v="215"/>
    <x v="2"/>
    <x v="2"/>
    <x v="1"/>
    <x v="0"/>
    <x v="33"/>
    <x v="322"/>
    <x v="759"/>
    <x v="0"/>
    <s v="SUCURSAL DE VISTA ALEGRE"/>
    <x v="2"/>
  </r>
  <r>
    <x v="30"/>
    <x v="334"/>
    <x v="2"/>
    <x v="2"/>
    <x v="1"/>
    <x v="0"/>
    <x v="33"/>
    <x v="406"/>
    <x v="874"/>
    <x v="0"/>
    <s v="SUCURSAL DE VISTA ALEGRE"/>
    <x v="2"/>
  </r>
  <r>
    <x v="30"/>
    <x v="284"/>
    <x v="2"/>
    <x v="2"/>
    <x v="1"/>
    <x v="0"/>
    <x v="33"/>
    <x v="383"/>
    <x v="874"/>
    <x v="0"/>
    <s v="SUCURSAL DE VISTA ALEGRE"/>
    <x v="2"/>
  </r>
  <r>
    <x v="30"/>
    <x v="216"/>
    <x v="2"/>
    <x v="2"/>
    <x v="1"/>
    <x v="0"/>
    <x v="33"/>
    <x v="332"/>
    <x v="759"/>
    <x v="0"/>
    <s v="SUCURSAL DE VISTA ALEGRE"/>
    <x v="2"/>
  </r>
  <r>
    <x v="30"/>
    <x v="257"/>
    <x v="2"/>
    <x v="2"/>
    <x v="1"/>
    <x v="0"/>
    <x v="33"/>
    <x v="410"/>
    <x v="874"/>
    <x v="0"/>
    <s v="SUCURSAL DE VISTA ALEGRE"/>
    <x v="2"/>
  </r>
  <r>
    <x v="30"/>
    <x v="223"/>
    <x v="2"/>
    <x v="2"/>
    <x v="1"/>
    <x v="0"/>
    <x v="33"/>
    <x v="434"/>
    <x v="759"/>
    <x v="0"/>
    <s v="SUCURSAL DE VISTA ALEGRE"/>
    <x v="2"/>
  </r>
  <r>
    <x v="30"/>
    <x v="316"/>
    <x v="2"/>
    <x v="2"/>
    <x v="1"/>
    <x v="0"/>
    <x v="33"/>
    <x v="348"/>
    <x v="874"/>
    <x v="0"/>
    <s v="SUCURSAL DE VISTA ALEGRE"/>
    <x v="2"/>
  </r>
  <r>
    <x v="30"/>
    <x v="276"/>
    <x v="2"/>
    <x v="2"/>
    <x v="1"/>
    <x v="0"/>
    <x v="33"/>
    <x v="385"/>
    <x v="759"/>
    <x v="0"/>
    <s v="SUCURSAL DE VISTA ALEGRE"/>
    <x v="2"/>
  </r>
  <r>
    <x v="30"/>
    <x v="304"/>
    <x v="2"/>
    <x v="2"/>
    <x v="1"/>
    <x v="0"/>
    <x v="33"/>
    <x v="329"/>
    <x v="759"/>
    <x v="0"/>
    <s v="SUCURSAL DE VISTA ALEGRE"/>
    <x v="2"/>
  </r>
  <r>
    <x v="30"/>
    <x v="183"/>
    <x v="2"/>
    <x v="2"/>
    <x v="1"/>
    <x v="0"/>
    <x v="33"/>
    <x v="330"/>
    <x v="759"/>
    <x v="0"/>
    <s v="SUCURSAL DE VISTA ALEGRE"/>
    <x v="2"/>
  </r>
  <r>
    <x v="30"/>
    <x v="217"/>
    <x v="6"/>
    <x v="6"/>
    <x v="1"/>
    <x v="0"/>
    <x v="33"/>
    <x v="323"/>
    <x v="765"/>
    <x v="0"/>
    <s v="SUCURSAL DE VISTA ALEGRE"/>
    <x v="2"/>
  </r>
  <r>
    <x v="30"/>
    <x v="305"/>
    <x v="6"/>
    <x v="6"/>
    <x v="1"/>
    <x v="0"/>
    <x v="33"/>
    <x v="331"/>
    <x v="874"/>
    <x v="0"/>
    <s v="SUCURSAL DE VISTA ALEGRE"/>
    <x v="2"/>
  </r>
  <r>
    <x v="30"/>
    <x v="203"/>
    <x v="6"/>
    <x v="6"/>
    <x v="1"/>
    <x v="0"/>
    <x v="33"/>
    <x v="288"/>
    <x v="759"/>
    <x v="0"/>
    <s v="SUCURSAL DE VISTA ALEGRE"/>
    <x v="2"/>
  </r>
  <r>
    <x v="30"/>
    <x v="297"/>
    <x v="6"/>
    <x v="6"/>
    <x v="1"/>
    <x v="0"/>
    <x v="33"/>
    <x v="313"/>
    <x v="874"/>
    <x v="0"/>
    <s v="SUCURSAL DE VISTA ALEGRE"/>
    <x v="2"/>
  </r>
  <r>
    <x v="30"/>
    <x v="236"/>
    <x v="6"/>
    <x v="6"/>
    <x v="1"/>
    <x v="0"/>
    <x v="33"/>
    <x v="371"/>
    <x v="146"/>
    <x v="0"/>
    <s v="SUCURSAL DE VISTA ALEGRE"/>
    <x v="2"/>
  </r>
  <r>
    <x v="30"/>
    <x v="188"/>
    <x v="6"/>
    <x v="6"/>
    <x v="1"/>
    <x v="0"/>
    <x v="33"/>
    <x v="407"/>
    <x v="874"/>
    <x v="0"/>
    <s v="SUCURSAL DE VISTA ALEGRE"/>
    <x v="2"/>
  </r>
  <r>
    <x v="30"/>
    <x v="313"/>
    <x v="6"/>
    <x v="6"/>
    <x v="1"/>
    <x v="0"/>
    <x v="33"/>
    <x v="341"/>
    <x v="874"/>
    <x v="0"/>
    <s v="SUCURSAL DE VISTA ALEGRE"/>
    <x v="2"/>
  </r>
  <r>
    <x v="30"/>
    <x v="218"/>
    <x v="6"/>
    <x v="6"/>
    <x v="1"/>
    <x v="0"/>
    <x v="33"/>
    <x v="451"/>
    <x v="874"/>
    <x v="0"/>
    <s v="SUCURSAL DE VISTA ALEGRE"/>
    <x v="2"/>
  </r>
  <r>
    <x v="30"/>
    <x v="271"/>
    <x v="6"/>
    <x v="6"/>
    <x v="1"/>
    <x v="0"/>
    <x v="33"/>
    <x v="426"/>
    <x v="874"/>
    <x v="0"/>
    <s v="SUCURSAL DE VISTA ALEGRE"/>
    <x v="2"/>
  </r>
  <r>
    <x v="30"/>
    <x v="229"/>
    <x v="6"/>
    <x v="6"/>
    <x v="1"/>
    <x v="0"/>
    <x v="33"/>
    <x v="281"/>
    <x v="759"/>
    <x v="0"/>
    <s v="SUCURSAL DE VISTA ALEGRE"/>
    <x v="2"/>
  </r>
  <r>
    <x v="30"/>
    <x v="191"/>
    <x v="6"/>
    <x v="6"/>
    <x v="1"/>
    <x v="0"/>
    <x v="33"/>
    <x v="318"/>
    <x v="874"/>
    <x v="0"/>
    <s v="SUCURSAL DE VISTA ALEGRE"/>
    <x v="2"/>
  </r>
  <r>
    <x v="30"/>
    <x v="209"/>
    <x v="7"/>
    <x v="7"/>
    <x v="1"/>
    <x v="1"/>
    <x v="33"/>
    <x v="428"/>
    <x v="874"/>
    <x v="0"/>
    <s v="SUCURSAL DE VISTA ALEGRE"/>
    <x v="2"/>
  </r>
  <r>
    <x v="30"/>
    <x v="251"/>
    <x v="8"/>
    <x v="8"/>
    <x v="1"/>
    <x v="1"/>
    <x v="33"/>
    <x v="291"/>
    <x v="874"/>
    <x v="0"/>
    <s v="SUCURSAL DE VISTA ALEGRE"/>
    <x v="2"/>
  </r>
  <r>
    <x v="30"/>
    <x v="194"/>
    <x v="9"/>
    <x v="9"/>
    <x v="1"/>
    <x v="1"/>
    <x v="33"/>
    <x v="390"/>
    <x v="874"/>
    <x v="0"/>
    <s v="SUCURSAL DE VISTA ALEGRE"/>
    <x v="2"/>
  </r>
  <r>
    <x v="30"/>
    <x v="230"/>
    <x v="9"/>
    <x v="9"/>
    <x v="1"/>
    <x v="1"/>
    <x v="33"/>
    <x v="283"/>
    <x v="874"/>
    <x v="0"/>
    <s v="SUCURSAL DE VISTA ALEGRE"/>
    <x v="2"/>
  </r>
  <r>
    <x v="30"/>
    <x v="263"/>
    <x v="10"/>
    <x v="10"/>
    <x v="1"/>
    <x v="1"/>
    <x v="33"/>
    <x v="436"/>
    <x v="874"/>
    <x v="0"/>
    <s v="SUCURSAL DE VISTA ALEGRE"/>
    <x v="2"/>
  </r>
  <r>
    <x v="30"/>
    <x v="189"/>
    <x v="10"/>
    <x v="10"/>
    <x v="1"/>
    <x v="1"/>
    <x v="33"/>
    <x v="345"/>
    <x v="146"/>
    <x v="0"/>
    <s v="SUCURSAL DE VISTA ALEGRE"/>
    <x v="2"/>
  </r>
  <r>
    <x v="30"/>
    <x v="181"/>
    <x v="11"/>
    <x v="11"/>
    <x v="1"/>
    <x v="1"/>
    <x v="33"/>
    <x v="362"/>
    <x v="874"/>
    <x v="0"/>
    <s v="SUCURSAL DE VISTA ALEGRE"/>
    <x v="2"/>
  </r>
  <r>
    <x v="30"/>
    <x v="265"/>
    <x v="6"/>
    <x v="6"/>
    <x v="1"/>
    <x v="1"/>
    <x v="33"/>
    <x v="386"/>
    <x v="765"/>
    <x v="0"/>
    <s v="SUCURSAL DE VISTA ALEGRE"/>
    <x v="2"/>
  </r>
  <r>
    <x v="30"/>
    <x v="184"/>
    <x v="6"/>
    <x v="6"/>
    <x v="1"/>
    <x v="1"/>
    <x v="33"/>
    <x v="413"/>
    <x v="146"/>
    <x v="0"/>
    <s v="SUCURSAL DE VISTA ALEGRE"/>
    <x v="2"/>
  </r>
  <r>
    <x v="30"/>
    <x v="296"/>
    <x v="6"/>
    <x v="6"/>
    <x v="1"/>
    <x v="1"/>
    <x v="33"/>
    <x v="312"/>
    <x v="146"/>
    <x v="0"/>
    <s v="SUCURSAL DE VISTA ALEGRE"/>
    <x v="2"/>
  </r>
  <r>
    <x v="30"/>
    <x v="203"/>
    <x v="6"/>
    <x v="6"/>
    <x v="1"/>
    <x v="1"/>
    <x v="33"/>
    <x v="288"/>
    <x v="874"/>
    <x v="0"/>
    <s v="SUCURSAL DE VISTA ALEGRE"/>
    <x v="2"/>
  </r>
  <r>
    <x v="30"/>
    <x v="204"/>
    <x v="6"/>
    <x v="6"/>
    <x v="1"/>
    <x v="1"/>
    <x v="33"/>
    <x v="317"/>
    <x v="874"/>
    <x v="0"/>
    <s v="SUCURSAL DE VISTA ALEGRE"/>
    <x v="2"/>
  </r>
  <r>
    <x v="30"/>
    <x v="229"/>
    <x v="6"/>
    <x v="6"/>
    <x v="1"/>
    <x v="1"/>
    <x v="33"/>
    <x v="281"/>
    <x v="759"/>
    <x v="0"/>
    <s v="SUCURSAL DE VISTA ALEGRE"/>
    <x v="2"/>
  </r>
  <r>
    <x v="31"/>
    <x v="242"/>
    <x v="9"/>
    <x v="9"/>
    <x v="1"/>
    <x v="2"/>
    <x v="32"/>
    <x v="435"/>
    <x v="3103"/>
    <x v="0"/>
    <s v="LAS TABLAS"/>
    <x v="2"/>
  </r>
  <r>
    <x v="32"/>
    <x v="175"/>
    <x v="9"/>
    <x v="9"/>
    <x v="1"/>
    <x v="2"/>
    <x v="32"/>
    <x v="389"/>
    <x v="1331"/>
    <x v="0"/>
    <s v="24 DE DICIEMBRE"/>
    <x v="2"/>
  </r>
  <r>
    <x v="33"/>
    <x v="179"/>
    <x v="7"/>
    <x v="7"/>
    <x v="1"/>
    <x v="2"/>
    <x v="32"/>
    <x v="415"/>
    <x v="3083"/>
    <x v="0"/>
    <s v="DAVID - TERRONAL"/>
    <x v="2"/>
  </r>
  <r>
    <x v="33"/>
    <x v="306"/>
    <x v="9"/>
    <x v="9"/>
    <x v="1"/>
    <x v="2"/>
    <x v="32"/>
    <x v="336"/>
    <x v="1755"/>
    <x v="0"/>
    <s v="DAVID - TERRONAL"/>
    <x v="2"/>
  </r>
  <r>
    <x v="34"/>
    <x v="327"/>
    <x v="7"/>
    <x v="7"/>
    <x v="1"/>
    <x v="0"/>
    <x v="33"/>
    <x v="387"/>
    <x v="874"/>
    <x v="0"/>
    <s v="COSTA DEL ESTE"/>
    <x v="2"/>
  </r>
  <r>
    <x v="34"/>
    <x v="278"/>
    <x v="7"/>
    <x v="7"/>
    <x v="1"/>
    <x v="0"/>
    <x v="33"/>
    <x v="450"/>
    <x v="874"/>
    <x v="0"/>
    <s v="COSTA DEL ESTE"/>
    <x v="2"/>
  </r>
  <r>
    <x v="34"/>
    <x v="258"/>
    <x v="7"/>
    <x v="7"/>
    <x v="1"/>
    <x v="0"/>
    <x v="33"/>
    <x v="349"/>
    <x v="874"/>
    <x v="0"/>
    <s v="COSTA DEL ESTE"/>
    <x v="2"/>
  </r>
  <r>
    <x v="34"/>
    <x v="206"/>
    <x v="7"/>
    <x v="7"/>
    <x v="1"/>
    <x v="0"/>
    <x v="33"/>
    <x v="284"/>
    <x v="759"/>
    <x v="0"/>
    <s v="COSTA DEL ESTE"/>
    <x v="2"/>
  </r>
  <r>
    <x v="34"/>
    <x v="192"/>
    <x v="8"/>
    <x v="8"/>
    <x v="1"/>
    <x v="0"/>
    <x v="33"/>
    <x v="300"/>
    <x v="874"/>
    <x v="0"/>
    <s v="COSTA DEL ESTE"/>
    <x v="2"/>
  </r>
  <r>
    <x v="34"/>
    <x v="292"/>
    <x v="9"/>
    <x v="9"/>
    <x v="1"/>
    <x v="0"/>
    <x v="33"/>
    <x v="352"/>
    <x v="146"/>
    <x v="0"/>
    <s v="COSTA DEL ESTE"/>
    <x v="2"/>
  </r>
  <r>
    <x v="34"/>
    <x v="197"/>
    <x v="9"/>
    <x v="9"/>
    <x v="1"/>
    <x v="0"/>
    <x v="33"/>
    <x v="432"/>
    <x v="759"/>
    <x v="0"/>
    <s v="COSTA DEL ESTE"/>
    <x v="2"/>
  </r>
  <r>
    <x v="34"/>
    <x v="338"/>
    <x v="9"/>
    <x v="9"/>
    <x v="1"/>
    <x v="0"/>
    <x v="33"/>
    <x v="425"/>
    <x v="759"/>
    <x v="0"/>
    <s v="COSTA DEL ESTE"/>
    <x v="2"/>
  </r>
  <r>
    <x v="34"/>
    <x v="219"/>
    <x v="9"/>
    <x v="9"/>
    <x v="1"/>
    <x v="0"/>
    <x v="33"/>
    <x v="308"/>
    <x v="874"/>
    <x v="0"/>
    <s v="COSTA DEL ESTE"/>
    <x v="2"/>
  </r>
  <r>
    <x v="34"/>
    <x v="331"/>
    <x v="9"/>
    <x v="9"/>
    <x v="1"/>
    <x v="0"/>
    <x v="33"/>
    <x v="391"/>
    <x v="759"/>
    <x v="0"/>
    <s v="COSTA DEL ESTE"/>
    <x v="2"/>
  </r>
  <r>
    <x v="34"/>
    <x v="268"/>
    <x v="10"/>
    <x v="10"/>
    <x v="1"/>
    <x v="0"/>
    <x v="33"/>
    <x v="339"/>
    <x v="874"/>
    <x v="0"/>
    <s v="COSTA DEL ESTE"/>
    <x v="2"/>
  </r>
  <r>
    <x v="34"/>
    <x v="248"/>
    <x v="10"/>
    <x v="10"/>
    <x v="1"/>
    <x v="0"/>
    <x v="33"/>
    <x v="304"/>
    <x v="759"/>
    <x v="0"/>
    <s v="COSTA DEL ESTE"/>
    <x v="2"/>
  </r>
  <r>
    <x v="34"/>
    <x v="282"/>
    <x v="11"/>
    <x v="11"/>
    <x v="1"/>
    <x v="0"/>
    <x v="33"/>
    <x v="358"/>
    <x v="765"/>
    <x v="0"/>
    <s v="COSTA DEL ESTE"/>
    <x v="2"/>
  </r>
  <r>
    <x v="34"/>
    <x v="272"/>
    <x v="11"/>
    <x v="11"/>
    <x v="1"/>
    <x v="0"/>
    <x v="33"/>
    <x v="360"/>
    <x v="874"/>
    <x v="0"/>
    <s v="COSTA DEL ESTE"/>
    <x v="2"/>
  </r>
  <r>
    <x v="34"/>
    <x v="302"/>
    <x v="11"/>
    <x v="11"/>
    <x v="1"/>
    <x v="0"/>
    <x v="33"/>
    <x v="324"/>
    <x v="874"/>
    <x v="0"/>
    <s v="COSTA DEL ESTE"/>
    <x v="2"/>
  </r>
  <r>
    <x v="34"/>
    <x v="181"/>
    <x v="11"/>
    <x v="11"/>
    <x v="1"/>
    <x v="0"/>
    <x v="33"/>
    <x v="362"/>
    <x v="874"/>
    <x v="0"/>
    <s v="COSTA DEL ESTE"/>
    <x v="2"/>
  </r>
  <r>
    <x v="34"/>
    <x v="316"/>
    <x v="2"/>
    <x v="2"/>
    <x v="1"/>
    <x v="0"/>
    <x v="33"/>
    <x v="348"/>
    <x v="874"/>
    <x v="0"/>
    <s v="COSTA DEL ESTE"/>
    <x v="2"/>
  </r>
  <r>
    <x v="34"/>
    <x v="281"/>
    <x v="6"/>
    <x v="6"/>
    <x v="1"/>
    <x v="0"/>
    <x v="33"/>
    <x v="395"/>
    <x v="874"/>
    <x v="0"/>
    <s v="COSTA DEL ESTE"/>
    <x v="2"/>
  </r>
  <r>
    <x v="34"/>
    <x v="203"/>
    <x v="6"/>
    <x v="6"/>
    <x v="1"/>
    <x v="0"/>
    <x v="33"/>
    <x v="288"/>
    <x v="874"/>
    <x v="0"/>
    <s v="COSTA DEL ESTE"/>
    <x v="2"/>
  </r>
  <r>
    <x v="34"/>
    <x v="204"/>
    <x v="6"/>
    <x v="6"/>
    <x v="1"/>
    <x v="0"/>
    <x v="33"/>
    <x v="317"/>
    <x v="759"/>
    <x v="0"/>
    <s v="COSTA DEL ESTE"/>
    <x v="2"/>
  </r>
  <r>
    <x v="34"/>
    <x v="190"/>
    <x v="6"/>
    <x v="6"/>
    <x v="1"/>
    <x v="0"/>
    <x v="33"/>
    <x v="342"/>
    <x v="874"/>
    <x v="0"/>
    <s v="COSTA DEL ESTE"/>
    <x v="2"/>
  </r>
  <r>
    <x v="34"/>
    <x v="173"/>
    <x v="8"/>
    <x v="8"/>
    <x v="1"/>
    <x v="1"/>
    <x v="33"/>
    <x v="378"/>
    <x v="874"/>
    <x v="0"/>
    <s v="COSTA DEL ESTE"/>
    <x v="2"/>
  </r>
  <r>
    <x v="34"/>
    <x v="185"/>
    <x v="8"/>
    <x v="8"/>
    <x v="1"/>
    <x v="1"/>
    <x v="33"/>
    <x v="296"/>
    <x v="874"/>
    <x v="0"/>
    <s v="COSTA DEL ESTE"/>
    <x v="2"/>
  </r>
  <r>
    <x v="34"/>
    <x v="290"/>
    <x v="9"/>
    <x v="9"/>
    <x v="1"/>
    <x v="1"/>
    <x v="33"/>
    <x v="302"/>
    <x v="874"/>
    <x v="0"/>
    <s v="COSTA DEL ESTE"/>
    <x v="2"/>
  </r>
  <r>
    <x v="34"/>
    <x v="268"/>
    <x v="10"/>
    <x v="10"/>
    <x v="1"/>
    <x v="1"/>
    <x v="33"/>
    <x v="339"/>
    <x v="874"/>
    <x v="0"/>
    <s v="COSTA DEL ESTE"/>
    <x v="2"/>
  </r>
  <r>
    <x v="34"/>
    <x v="232"/>
    <x v="10"/>
    <x v="10"/>
    <x v="1"/>
    <x v="1"/>
    <x v="33"/>
    <x v="290"/>
    <x v="874"/>
    <x v="0"/>
    <s v="COSTA DEL ESTE"/>
    <x v="2"/>
  </r>
  <r>
    <x v="34"/>
    <x v="330"/>
    <x v="11"/>
    <x v="11"/>
    <x v="1"/>
    <x v="1"/>
    <x v="33"/>
    <x v="381"/>
    <x v="874"/>
    <x v="0"/>
    <s v="COSTA DEL ESTE"/>
    <x v="2"/>
  </r>
  <r>
    <x v="34"/>
    <x v="275"/>
    <x v="11"/>
    <x v="11"/>
    <x v="1"/>
    <x v="1"/>
    <x v="33"/>
    <x v="307"/>
    <x v="874"/>
    <x v="0"/>
    <s v="COSTA DEL ESTE"/>
    <x v="2"/>
  </r>
  <r>
    <x v="34"/>
    <x v="300"/>
    <x v="2"/>
    <x v="2"/>
    <x v="1"/>
    <x v="1"/>
    <x v="33"/>
    <x v="316"/>
    <x v="874"/>
    <x v="0"/>
    <s v="COSTA DEL ESTE"/>
    <x v="2"/>
  </r>
  <r>
    <x v="34"/>
    <x v="315"/>
    <x v="2"/>
    <x v="2"/>
    <x v="1"/>
    <x v="1"/>
    <x v="33"/>
    <x v="405"/>
    <x v="874"/>
    <x v="0"/>
    <s v="COSTA DEL ESTE"/>
    <x v="2"/>
  </r>
  <r>
    <x v="34"/>
    <x v="334"/>
    <x v="2"/>
    <x v="2"/>
    <x v="1"/>
    <x v="1"/>
    <x v="33"/>
    <x v="406"/>
    <x v="874"/>
    <x v="0"/>
    <s v="COSTA DEL ESTE"/>
    <x v="2"/>
  </r>
  <r>
    <x v="34"/>
    <x v="221"/>
    <x v="2"/>
    <x v="2"/>
    <x v="1"/>
    <x v="1"/>
    <x v="33"/>
    <x v="347"/>
    <x v="874"/>
    <x v="0"/>
    <s v="COSTA DEL ESTE"/>
    <x v="2"/>
  </r>
  <r>
    <x v="34"/>
    <x v="316"/>
    <x v="2"/>
    <x v="2"/>
    <x v="1"/>
    <x v="1"/>
    <x v="33"/>
    <x v="348"/>
    <x v="874"/>
    <x v="0"/>
    <s v="COSTA DEL ESTE"/>
    <x v="2"/>
  </r>
  <r>
    <x v="35"/>
    <x v="329"/>
    <x v="10"/>
    <x v="10"/>
    <x v="1"/>
    <x v="2"/>
    <x v="32"/>
    <x v="380"/>
    <x v="1525"/>
    <x v="0"/>
    <s v="MULTI PLAZA"/>
    <x v="2"/>
  </r>
  <r>
    <x v="35"/>
    <x v="282"/>
    <x v="11"/>
    <x v="11"/>
    <x v="1"/>
    <x v="2"/>
    <x v="33"/>
    <x v="358"/>
    <x v="759"/>
    <x v="0"/>
    <s v="MULTI PLAZA"/>
    <x v="2"/>
  </r>
  <r>
    <x v="35"/>
    <x v="305"/>
    <x v="6"/>
    <x v="6"/>
    <x v="1"/>
    <x v="2"/>
    <x v="32"/>
    <x v="331"/>
    <x v="1"/>
    <x v="596"/>
    <s v="MULTI PLAZA"/>
    <x v="2"/>
  </r>
  <r>
    <x v="35"/>
    <x v="308"/>
    <x v="7"/>
    <x v="7"/>
    <x v="1"/>
    <x v="0"/>
    <x v="33"/>
    <x v="333"/>
    <x v="765"/>
    <x v="0"/>
    <s v="MULTI PLAZA"/>
    <x v="2"/>
  </r>
  <r>
    <x v="35"/>
    <x v="277"/>
    <x v="7"/>
    <x v="7"/>
    <x v="1"/>
    <x v="0"/>
    <x v="33"/>
    <x v="325"/>
    <x v="146"/>
    <x v="0"/>
    <s v="MULTI PLAZA"/>
    <x v="2"/>
  </r>
  <r>
    <x v="35"/>
    <x v="259"/>
    <x v="7"/>
    <x v="7"/>
    <x v="1"/>
    <x v="0"/>
    <x v="33"/>
    <x v="355"/>
    <x v="874"/>
    <x v="0"/>
    <s v="MULTI PLAZA"/>
    <x v="2"/>
  </r>
  <r>
    <x v="35"/>
    <x v="252"/>
    <x v="7"/>
    <x v="7"/>
    <x v="1"/>
    <x v="0"/>
    <x v="33"/>
    <x v="396"/>
    <x v="146"/>
    <x v="0"/>
    <s v="MULTI PLAZA"/>
    <x v="2"/>
  </r>
  <r>
    <x v="35"/>
    <x v="332"/>
    <x v="7"/>
    <x v="7"/>
    <x v="1"/>
    <x v="0"/>
    <x v="33"/>
    <x v="397"/>
    <x v="759"/>
    <x v="0"/>
    <s v="MULTI PLAZA"/>
    <x v="2"/>
  </r>
  <r>
    <x v="35"/>
    <x v="253"/>
    <x v="7"/>
    <x v="7"/>
    <x v="1"/>
    <x v="0"/>
    <x v="33"/>
    <x v="292"/>
    <x v="759"/>
    <x v="0"/>
    <s v="MULTI PLAZA"/>
    <x v="2"/>
  </r>
  <r>
    <x v="35"/>
    <x v="251"/>
    <x v="8"/>
    <x v="8"/>
    <x v="1"/>
    <x v="0"/>
    <x v="33"/>
    <x v="291"/>
    <x v="874"/>
    <x v="0"/>
    <s v="MULTI PLAZA"/>
    <x v="2"/>
  </r>
  <r>
    <x v="35"/>
    <x v="192"/>
    <x v="8"/>
    <x v="8"/>
    <x v="1"/>
    <x v="0"/>
    <x v="33"/>
    <x v="300"/>
    <x v="874"/>
    <x v="0"/>
    <s v="MULTI PLAZA"/>
    <x v="2"/>
  </r>
  <r>
    <x v="35"/>
    <x v="326"/>
    <x v="8"/>
    <x v="8"/>
    <x v="1"/>
    <x v="0"/>
    <x v="33"/>
    <x v="423"/>
    <x v="874"/>
    <x v="0"/>
    <s v="MULTI PLAZA"/>
    <x v="2"/>
  </r>
  <r>
    <x v="35"/>
    <x v="254"/>
    <x v="8"/>
    <x v="8"/>
    <x v="1"/>
    <x v="0"/>
    <x v="33"/>
    <x v="326"/>
    <x v="759"/>
    <x v="0"/>
    <s v="MULTI PLAZA"/>
    <x v="2"/>
  </r>
  <r>
    <x v="35"/>
    <x v="320"/>
    <x v="8"/>
    <x v="8"/>
    <x v="1"/>
    <x v="0"/>
    <x v="33"/>
    <x v="398"/>
    <x v="874"/>
    <x v="0"/>
    <s v="MULTI PLAZA"/>
    <x v="2"/>
  </r>
  <r>
    <x v="35"/>
    <x v="261"/>
    <x v="8"/>
    <x v="8"/>
    <x v="1"/>
    <x v="0"/>
    <x v="33"/>
    <x v="320"/>
    <x v="146"/>
    <x v="0"/>
    <s v="MULTI PLAZA"/>
    <x v="2"/>
  </r>
  <r>
    <x v="35"/>
    <x v="245"/>
    <x v="8"/>
    <x v="8"/>
    <x v="1"/>
    <x v="0"/>
    <x v="33"/>
    <x v="285"/>
    <x v="759"/>
    <x v="0"/>
    <s v="MULTI PLAZA"/>
    <x v="2"/>
  </r>
  <r>
    <x v="35"/>
    <x v="207"/>
    <x v="8"/>
    <x v="8"/>
    <x v="1"/>
    <x v="0"/>
    <x v="33"/>
    <x v="374"/>
    <x v="759"/>
    <x v="0"/>
    <s v="MULTI PLAZA"/>
    <x v="2"/>
  </r>
  <r>
    <x v="35"/>
    <x v="173"/>
    <x v="8"/>
    <x v="8"/>
    <x v="1"/>
    <x v="0"/>
    <x v="33"/>
    <x v="378"/>
    <x v="874"/>
    <x v="0"/>
    <s v="MULTI PLAZA"/>
    <x v="2"/>
  </r>
  <r>
    <x v="35"/>
    <x v="194"/>
    <x v="9"/>
    <x v="9"/>
    <x v="1"/>
    <x v="0"/>
    <x v="33"/>
    <x v="390"/>
    <x v="759"/>
    <x v="0"/>
    <s v="MULTI PLAZA"/>
    <x v="2"/>
  </r>
  <r>
    <x v="35"/>
    <x v="242"/>
    <x v="9"/>
    <x v="9"/>
    <x v="1"/>
    <x v="0"/>
    <x v="33"/>
    <x v="435"/>
    <x v="1182"/>
    <x v="0"/>
    <s v="MULTI PLAZA"/>
    <x v="2"/>
  </r>
  <r>
    <x v="35"/>
    <x v="219"/>
    <x v="9"/>
    <x v="9"/>
    <x v="1"/>
    <x v="0"/>
    <x v="33"/>
    <x v="308"/>
    <x v="874"/>
    <x v="0"/>
    <s v="MULTI PLAZA"/>
    <x v="2"/>
  </r>
  <r>
    <x v="35"/>
    <x v="255"/>
    <x v="9"/>
    <x v="9"/>
    <x v="1"/>
    <x v="0"/>
    <x v="33"/>
    <x v="293"/>
    <x v="874"/>
    <x v="0"/>
    <s v="MULTI PLAZA"/>
    <x v="2"/>
  </r>
  <r>
    <x v="35"/>
    <x v="317"/>
    <x v="10"/>
    <x v="10"/>
    <x v="1"/>
    <x v="0"/>
    <x v="33"/>
    <x v="401"/>
    <x v="874"/>
    <x v="0"/>
    <s v="MULTI PLAZA"/>
    <x v="2"/>
  </r>
  <r>
    <x v="35"/>
    <x v="180"/>
    <x v="10"/>
    <x v="10"/>
    <x v="1"/>
    <x v="0"/>
    <x v="33"/>
    <x v="452"/>
    <x v="759"/>
    <x v="0"/>
    <s v="MULTI PLAZA"/>
    <x v="2"/>
  </r>
  <r>
    <x v="35"/>
    <x v="186"/>
    <x v="10"/>
    <x v="10"/>
    <x v="1"/>
    <x v="0"/>
    <x v="33"/>
    <x v="321"/>
    <x v="759"/>
    <x v="0"/>
    <s v="MULTI PLAZA"/>
    <x v="2"/>
  </r>
  <r>
    <x v="35"/>
    <x v="339"/>
    <x v="10"/>
    <x v="10"/>
    <x v="1"/>
    <x v="0"/>
    <x v="33"/>
    <x v="427"/>
    <x v="759"/>
    <x v="0"/>
    <s v="MULTI PLAZA"/>
    <x v="2"/>
  </r>
  <r>
    <x v="35"/>
    <x v="248"/>
    <x v="10"/>
    <x v="10"/>
    <x v="1"/>
    <x v="0"/>
    <x v="33"/>
    <x v="304"/>
    <x v="874"/>
    <x v="0"/>
    <s v="MULTI PLAZA"/>
    <x v="2"/>
  </r>
  <r>
    <x v="35"/>
    <x v="176"/>
    <x v="10"/>
    <x v="10"/>
    <x v="1"/>
    <x v="0"/>
    <x v="33"/>
    <x v="412"/>
    <x v="759"/>
    <x v="0"/>
    <s v="MULTI PLAZA"/>
    <x v="2"/>
  </r>
  <r>
    <x v="35"/>
    <x v="282"/>
    <x v="11"/>
    <x v="11"/>
    <x v="1"/>
    <x v="0"/>
    <x v="33"/>
    <x v="358"/>
    <x v="934"/>
    <x v="0"/>
    <s v="MULTI PLAZA"/>
    <x v="2"/>
  </r>
  <r>
    <x v="35"/>
    <x v="187"/>
    <x v="11"/>
    <x v="11"/>
    <x v="1"/>
    <x v="0"/>
    <x v="33"/>
    <x v="328"/>
    <x v="759"/>
    <x v="0"/>
    <s v="MULTI PLAZA"/>
    <x v="2"/>
  </r>
  <r>
    <x v="35"/>
    <x v="177"/>
    <x v="11"/>
    <x v="11"/>
    <x v="1"/>
    <x v="0"/>
    <x v="33"/>
    <x v="346"/>
    <x v="759"/>
    <x v="0"/>
    <s v="MULTI PLAZA"/>
    <x v="2"/>
  </r>
  <r>
    <x v="35"/>
    <x v="249"/>
    <x v="11"/>
    <x v="11"/>
    <x v="1"/>
    <x v="0"/>
    <x v="33"/>
    <x v="359"/>
    <x v="759"/>
    <x v="0"/>
    <s v="MULTI PLAZA"/>
    <x v="2"/>
  </r>
  <r>
    <x v="35"/>
    <x v="299"/>
    <x v="11"/>
    <x v="11"/>
    <x v="1"/>
    <x v="0"/>
    <x v="33"/>
    <x v="315"/>
    <x v="759"/>
    <x v="0"/>
    <s v="MULTI PLAZA"/>
    <x v="2"/>
  </r>
  <r>
    <x v="35"/>
    <x v="302"/>
    <x v="11"/>
    <x v="11"/>
    <x v="1"/>
    <x v="0"/>
    <x v="33"/>
    <x v="324"/>
    <x v="146"/>
    <x v="0"/>
    <s v="MULTI PLAZA"/>
    <x v="2"/>
  </r>
  <r>
    <x v="35"/>
    <x v="311"/>
    <x v="11"/>
    <x v="11"/>
    <x v="1"/>
    <x v="0"/>
    <x v="33"/>
    <x v="440"/>
    <x v="759"/>
    <x v="0"/>
    <s v="MULTI PLAZA"/>
    <x v="2"/>
  </r>
  <r>
    <x v="35"/>
    <x v="330"/>
    <x v="11"/>
    <x v="11"/>
    <x v="1"/>
    <x v="0"/>
    <x v="33"/>
    <x v="381"/>
    <x v="874"/>
    <x v="0"/>
    <s v="MULTI PLAZA"/>
    <x v="2"/>
  </r>
  <r>
    <x v="35"/>
    <x v="294"/>
    <x v="11"/>
    <x v="11"/>
    <x v="1"/>
    <x v="0"/>
    <x v="33"/>
    <x v="382"/>
    <x v="146"/>
    <x v="0"/>
    <s v="MULTI PLAZA"/>
    <x v="2"/>
  </r>
  <r>
    <x v="35"/>
    <x v="315"/>
    <x v="2"/>
    <x v="2"/>
    <x v="1"/>
    <x v="0"/>
    <x v="33"/>
    <x v="405"/>
    <x v="146"/>
    <x v="0"/>
    <s v="MULTI PLAZA"/>
    <x v="2"/>
  </r>
  <r>
    <x v="35"/>
    <x v="221"/>
    <x v="2"/>
    <x v="2"/>
    <x v="1"/>
    <x v="0"/>
    <x v="33"/>
    <x v="347"/>
    <x v="759"/>
    <x v="0"/>
    <s v="MULTI PLAZA"/>
    <x v="2"/>
  </r>
  <r>
    <x v="35"/>
    <x v="307"/>
    <x v="2"/>
    <x v="2"/>
    <x v="1"/>
    <x v="0"/>
    <x v="33"/>
    <x v="441"/>
    <x v="874"/>
    <x v="0"/>
    <s v="MULTI PLAZA"/>
    <x v="2"/>
  </r>
  <r>
    <x v="35"/>
    <x v="216"/>
    <x v="2"/>
    <x v="2"/>
    <x v="1"/>
    <x v="0"/>
    <x v="33"/>
    <x v="332"/>
    <x v="146"/>
    <x v="0"/>
    <s v="MULTI PLAZA"/>
    <x v="2"/>
  </r>
  <r>
    <x v="35"/>
    <x v="223"/>
    <x v="2"/>
    <x v="2"/>
    <x v="1"/>
    <x v="0"/>
    <x v="33"/>
    <x v="434"/>
    <x v="759"/>
    <x v="0"/>
    <s v="MULTI PLAZA"/>
    <x v="2"/>
  </r>
  <r>
    <x v="35"/>
    <x v="316"/>
    <x v="2"/>
    <x v="2"/>
    <x v="1"/>
    <x v="0"/>
    <x v="33"/>
    <x v="348"/>
    <x v="759"/>
    <x v="0"/>
    <s v="MULTI PLAZA"/>
    <x v="2"/>
  </r>
  <r>
    <x v="35"/>
    <x v="235"/>
    <x v="2"/>
    <x v="2"/>
    <x v="1"/>
    <x v="0"/>
    <x v="33"/>
    <x v="393"/>
    <x v="146"/>
    <x v="0"/>
    <s v="MULTI PLAZA"/>
    <x v="2"/>
  </r>
  <r>
    <x v="35"/>
    <x v="246"/>
    <x v="2"/>
    <x v="2"/>
    <x v="1"/>
    <x v="0"/>
    <x v="33"/>
    <x v="287"/>
    <x v="759"/>
    <x v="0"/>
    <s v="MULTI PLAZA"/>
    <x v="2"/>
  </r>
  <r>
    <x v="35"/>
    <x v="281"/>
    <x v="6"/>
    <x v="6"/>
    <x v="1"/>
    <x v="0"/>
    <x v="33"/>
    <x v="395"/>
    <x v="146"/>
    <x v="0"/>
    <s v="MULTI PLAZA"/>
    <x v="2"/>
  </r>
  <r>
    <x v="35"/>
    <x v="217"/>
    <x v="6"/>
    <x v="6"/>
    <x v="1"/>
    <x v="0"/>
    <x v="33"/>
    <x v="323"/>
    <x v="759"/>
    <x v="0"/>
    <s v="MULTI PLAZA"/>
    <x v="2"/>
  </r>
  <r>
    <x v="35"/>
    <x v="305"/>
    <x v="6"/>
    <x v="6"/>
    <x v="1"/>
    <x v="0"/>
    <x v="33"/>
    <x v="331"/>
    <x v="759"/>
    <x v="0"/>
    <s v="MULTI PLAZA"/>
    <x v="2"/>
  </r>
  <r>
    <x v="35"/>
    <x v="314"/>
    <x v="6"/>
    <x v="6"/>
    <x v="1"/>
    <x v="0"/>
    <x v="33"/>
    <x v="372"/>
    <x v="874"/>
    <x v="0"/>
    <s v="MULTI PLAZA"/>
    <x v="2"/>
  </r>
  <r>
    <x v="35"/>
    <x v="204"/>
    <x v="6"/>
    <x v="6"/>
    <x v="1"/>
    <x v="0"/>
    <x v="33"/>
    <x v="317"/>
    <x v="759"/>
    <x v="0"/>
    <s v="MULTI PLAZA"/>
    <x v="2"/>
  </r>
  <r>
    <x v="35"/>
    <x v="297"/>
    <x v="6"/>
    <x v="6"/>
    <x v="1"/>
    <x v="0"/>
    <x v="33"/>
    <x v="313"/>
    <x v="874"/>
    <x v="0"/>
    <s v="MULTI PLAZA"/>
    <x v="2"/>
  </r>
  <r>
    <x v="35"/>
    <x v="218"/>
    <x v="6"/>
    <x v="6"/>
    <x v="1"/>
    <x v="0"/>
    <x v="33"/>
    <x v="451"/>
    <x v="874"/>
    <x v="0"/>
    <s v="MULTI PLAZA"/>
    <x v="2"/>
  </r>
  <r>
    <x v="35"/>
    <x v="271"/>
    <x v="6"/>
    <x v="6"/>
    <x v="1"/>
    <x v="0"/>
    <x v="33"/>
    <x v="426"/>
    <x v="146"/>
    <x v="0"/>
    <s v="MULTI PLAZA"/>
    <x v="2"/>
  </r>
  <r>
    <x v="35"/>
    <x v="179"/>
    <x v="7"/>
    <x v="7"/>
    <x v="1"/>
    <x v="1"/>
    <x v="33"/>
    <x v="415"/>
    <x v="874"/>
    <x v="0"/>
    <s v="MULTI PLAZA"/>
    <x v="2"/>
  </r>
  <r>
    <x v="35"/>
    <x v="269"/>
    <x v="11"/>
    <x v="11"/>
    <x v="1"/>
    <x v="1"/>
    <x v="33"/>
    <x v="403"/>
    <x v="874"/>
    <x v="0"/>
    <s v="MULTI PLAZA"/>
    <x v="2"/>
  </r>
  <r>
    <x v="36"/>
    <x v="173"/>
    <x v="8"/>
    <x v="8"/>
    <x v="1"/>
    <x v="2"/>
    <x v="33"/>
    <x v="378"/>
    <x v="874"/>
    <x v="0"/>
    <s v="TERMINAL DE ALBROOK"/>
    <x v="2"/>
  </r>
  <r>
    <x v="36"/>
    <x v="242"/>
    <x v="9"/>
    <x v="9"/>
    <x v="1"/>
    <x v="2"/>
    <x v="33"/>
    <x v="435"/>
    <x v="874"/>
    <x v="0"/>
    <s v="TERMINAL DE ALBROOK"/>
    <x v="2"/>
  </r>
  <r>
    <x v="36"/>
    <x v="213"/>
    <x v="11"/>
    <x v="11"/>
    <x v="1"/>
    <x v="2"/>
    <x v="33"/>
    <x v="361"/>
    <x v="874"/>
    <x v="0"/>
    <s v="TERMINAL DE ALBROOK"/>
    <x v="2"/>
  </r>
  <r>
    <x v="36"/>
    <x v="229"/>
    <x v="6"/>
    <x v="6"/>
    <x v="1"/>
    <x v="2"/>
    <x v="32"/>
    <x v="281"/>
    <x v="3088"/>
    <x v="0"/>
    <s v="TERMINAL DE ALBROOK"/>
    <x v="2"/>
  </r>
  <r>
    <x v="36"/>
    <x v="229"/>
    <x v="6"/>
    <x v="6"/>
    <x v="1"/>
    <x v="2"/>
    <x v="33"/>
    <x v="281"/>
    <x v="759"/>
    <x v="0"/>
    <s v="TERMINAL DE ALBROOK"/>
    <x v="2"/>
  </r>
  <r>
    <x v="36"/>
    <x v="327"/>
    <x v="7"/>
    <x v="7"/>
    <x v="1"/>
    <x v="0"/>
    <x v="33"/>
    <x v="387"/>
    <x v="1132"/>
    <x v="0"/>
    <s v="TERMINAL DE ALBROOK"/>
    <x v="2"/>
  </r>
  <r>
    <x v="36"/>
    <x v="259"/>
    <x v="7"/>
    <x v="7"/>
    <x v="1"/>
    <x v="0"/>
    <x v="33"/>
    <x v="355"/>
    <x v="874"/>
    <x v="0"/>
    <s v="TERMINAL DE ALBROOK"/>
    <x v="2"/>
  </r>
  <r>
    <x v="36"/>
    <x v="309"/>
    <x v="7"/>
    <x v="7"/>
    <x v="1"/>
    <x v="0"/>
    <x v="33"/>
    <x v="334"/>
    <x v="146"/>
    <x v="0"/>
    <s v="TERMINAL DE ALBROOK"/>
    <x v="2"/>
  </r>
  <r>
    <x v="36"/>
    <x v="205"/>
    <x v="7"/>
    <x v="7"/>
    <x v="1"/>
    <x v="0"/>
    <x v="33"/>
    <x v="299"/>
    <x v="759"/>
    <x v="0"/>
    <s v="TERMINAL DE ALBROOK"/>
    <x v="2"/>
  </r>
  <r>
    <x v="36"/>
    <x v="206"/>
    <x v="7"/>
    <x v="7"/>
    <x v="1"/>
    <x v="0"/>
    <x v="33"/>
    <x v="284"/>
    <x v="874"/>
    <x v="0"/>
    <s v="TERMINAL DE ALBROOK"/>
    <x v="2"/>
  </r>
  <r>
    <x v="36"/>
    <x v="209"/>
    <x v="7"/>
    <x v="7"/>
    <x v="1"/>
    <x v="0"/>
    <x v="33"/>
    <x v="428"/>
    <x v="874"/>
    <x v="0"/>
    <s v="TERMINAL DE ALBROOK"/>
    <x v="2"/>
  </r>
  <r>
    <x v="36"/>
    <x v="210"/>
    <x v="7"/>
    <x v="7"/>
    <x v="1"/>
    <x v="0"/>
    <x v="33"/>
    <x v="418"/>
    <x v="874"/>
    <x v="0"/>
    <s v="TERMINAL DE ALBROOK"/>
    <x v="2"/>
  </r>
  <r>
    <x v="36"/>
    <x v="251"/>
    <x v="8"/>
    <x v="8"/>
    <x v="1"/>
    <x v="0"/>
    <x v="33"/>
    <x v="291"/>
    <x v="759"/>
    <x v="0"/>
    <s v="TERMINAL DE ALBROOK"/>
    <x v="2"/>
  </r>
  <r>
    <x v="36"/>
    <x v="192"/>
    <x v="8"/>
    <x v="8"/>
    <x v="1"/>
    <x v="0"/>
    <x v="33"/>
    <x v="300"/>
    <x v="146"/>
    <x v="0"/>
    <s v="TERMINAL DE ALBROOK"/>
    <x v="2"/>
  </r>
  <r>
    <x v="36"/>
    <x v="289"/>
    <x v="8"/>
    <x v="8"/>
    <x v="1"/>
    <x v="0"/>
    <x v="33"/>
    <x v="301"/>
    <x v="759"/>
    <x v="0"/>
    <s v="TERMINAL DE ALBROOK"/>
    <x v="2"/>
  </r>
  <r>
    <x v="36"/>
    <x v="245"/>
    <x v="8"/>
    <x v="8"/>
    <x v="1"/>
    <x v="0"/>
    <x v="33"/>
    <x v="285"/>
    <x v="765"/>
    <x v="0"/>
    <s v="TERMINAL DE ALBROOK"/>
    <x v="2"/>
  </r>
  <r>
    <x v="36"/>
    <x v="173"/>
    <x v="8"/>
    <x v="8"/>
    <x v="1"/>
    <x v="0"/>
    <x v="33"/>
    <x v="378"/>
    <x v="146"/>
    <x v="0"/>
    <s v="TERMINAL DE ALBROOK"/>
    <x v="2"/>
  </r>
  <r>
    <x v="36"/>
    <x v="337"/>
    <x v="9"/>
    <x v="9"/>
    <x v="1"/>
    <x v="0"/>
    <x v="33"/>
    <x v="424"/>
    <x v="146"/>
    <x v="0"/>
    <s v="TERMINAL DE ALBROOK"/>
    <x v="2"/>
  </r>
  <r>
    <x v="36"/>
    <x v="227"/>
    <x v="9"/>
    <x v="9"/>
    <x v="1"/>
    <x v="0"/>
    <x v="33"/>
    <x v="399"/>
    <x v="1132"/>
    <x v="0"/>
    <s v="TERMINAL DE ALBROOK"/>
    <x v="2"/>
  </r>
  <r>
    <x v="36"/>
    <x v="333"/>
    <x v="9"/>
    <x v="9"/>
    <x v="1"/>
    <x v="0"/>
    <x v="33"/>
    <x v="400"/>
    <x v="146"/>
    <x v="0"/>
    <s v="TERMINAL DE ALBROOK"/>
    <x v="2"/>
  </r>
  <r>
    <x v="36"/>
    <x v="197"/>
    <x v="9"/>
    <x v="9"/>
    <x v="1"/>
    <x v="0"/>
    <x v="33"/>
    <x v="432"/>
    <x v="146"/>
    <x v="0"/>
    <s v="TERMINAL DE ALBROOK"/>
    <x v="2"/>
  </r>
  <r>
    <x v="36"/>
    <x v="338"/>
    <x v="9"/>
    <x v="9"/>
    <x v="1"/>
    <x v="0"/>
    <x v="33"/>
    <x v="425"/>
    <x v="759"/>
    <x v="0"/>
    <s v="TERMINAL DE ALBROOK"/>
    <x v="2"/>
  </r>
  <r>
    <x v="36"/>
    <x v="255"/>
    <x v="9"/>
    <x v="9"/>
    <x v="1"/>
    <x v="0"/>
    <x v="33"/>
    <x v="293"/>
    <x v="874"/>
    <x v="0"/>
    <s v="TERMINAL DE ALBROOK"/>
    <x v="2"/>
  </r>
  <r>
    <x v="36"/>
    <x v="291"/>
    <x v="9"/>
    <x v="9"/>
    <x v="1"/>
    <x v="0"/>
    <x v="33"/>
    <x v="303"/>
    <x v="874"/>
    <x v="0"/>
    <s v="TERMINAL DE ALBROOK"/>
    <x v="2"/>
  </r>
  <r>
    <x v="36"/>
    <x v="230"/>
    <x v="9"/>
    <x v="9"/>
    <x v="1"/>
    <x v="0"/>
    <x v="33"/>
    <x v="283"/>
    <x v="874"/>
    <x v="0"/>
    <s v="TERMINAL DE ALBROOK"/>
    <x v="2"/>
  </r>
  <r>
    <x v="36"/>
    <x v="198"/>
    <x v="10"/>
    <x v="10"/>
    <x v="1"/>
    <x v="0"/>
    <x v="33"/>
    <x v="338"/>
    <x v="874"/>
    <x v="0"/>
    <s v="TERMINAL DE ALBROOK"/>
    <x v="2"/>
  </r>
  <r>
    <x v="36"/>
    <x v="286"/>
    <x v="10"/>
    <x v="10"/>
    <x v="1"/>
    <x v="0"/>
    <x v="33"/>
    <x v="297"/>
    <x v="759"/>
    <x v="0"/>
    <s v="TERMINAL DE ALBROOK"/>
    <x v="2"/>
  </r>
  <r>
    <x v="36"/>
    <x v="263"/>
    <x v="10"/>
    <x v="10"/>
    <x v="1"/>
    <x v="0"/>
    <x v="33"/>
    <x v="436"/>
    <x v="874"/>
    <x v="0"/>
    <s v="TERMINAL DE ALBROOK"/>
    <x v="2"/>
  </r>
  <r>
    <x v="36"/>
    <x v="232"/>
    <x v="10"/>
    <x v="10"/>
    <x v="1"/>
    <x v="0"/>
    <x v="33"/>
    <x v="290"/>
    <x v="146"/>
    <x v="0"/>
    <s v="TERMINAL DE ALBROOK"/>
    <x v="2"/>
  </r>
  <r>
    <x v="36"/>
    <x v="186"/>
    <x v="10"/>
    <x v="10"/>
    <x v="1"/>
    <x v="0"/>
    <x v="33"/>
    <x v="321"/>
    <x v="765"/>
    <x v="0"/>
    <s v="TERMINAL DE ALBROOK"/>
    <x v="2"/>
  </r>
  <r>
    <x v="36"/>
    <x v="329"/>
    <x v="10"/>
    <x v="10"/>
    <x v="1"/>
    <x v="0"/>
    <x v="33"/>
    <x v="380"/>
    <x v="759"/>
    <x v="0"/>
    <s v="TERMINAL DE ALBROOK"/>
    <x v="2"/>
  </r>
  <r>
    <x v="36"/>
    <x v="248"/>
    <x v="10"/>
    <x v="10"/>
    <x v="1"/>
    <x v="0"/>
    <x v="33"/>
    <x v="304"/>
    <x v="874"/>
    <x v="0"/>
    <s v="TERMINAL DE ALBROOK"/>
    <x v="2"/>
  </r>
  <r>
    <x v="36"/>
    <x v="176"/>
    <x v="10"/>
    <x v="10"/>
    <x v="1"/>
    <x v="0"/>
    <x v="33"/>
    <x v="412"/>
    <x v="874"/>
    <x v="0"/>
    <s v="TERMINAL DE ALBROOK"/>
    <x v="2"/>
  </r>
  <r>
    <x v="36"/>
    <x v="189"/>
    <x v="10"/>
    <x v="10"/>
    <x v="1"/>
    <x v="0"/>
    <x v="33"/>
    <x v="345"/>
    <x v="146"/>
    <x v="0"/>
    <s v="TERMINAL DE ALBROOK"/>
    <x v="2"/>
  </r>
  <r>
    <x v="36"/>
    <x v="200"/>
    <x v="11"/>
    <x v="11"/>
    <x v="1"/>
    <x v="0"/>
    <x v="33"/>
    <x v="351"/>
    <x v="765"/>
    <x v="0"/>
    <s v="TERMINAL DE ALBROOK"/>
    <x v="2"/>
  </r>
  <r>
    <x v="36"/>
    <x v="325"/>
    <x v="11"/>
    <x v="11"/>
    <x v="1"/>
    <x v="0"/>
    <x v="33"/>
    <x v="421"/>
    <x v="765"/>
    <x v="0"/>
    <s v="TERMINAL DE ALBROOK"/>
    <x v="2"/>
  </r>
  <r>
    <x v="36"/>
    <x v="282"/>
    <x v="11"/>
    <x v="11"/>
    <x v="1"/>
    <x v="0"/>
    <x v="33"/>
    <x v="358"/>
    <x v="759"/>
    <x v="0"/>
    <s v="TERMINAL DE ALBROOK"/>
    <x v="2"/>
  </r>
  <r>
    <x v="36"/>
    <x v="299"/>
    <x v="11"/>
    <x v="11"/>
    <x v="1"/>
    <x v="0"/>
    <x v="33"/>
    <x v="315"/>
    <x v="1182"/>
    <x v="0"/>
    <s v="TERMINAL DE ALBROOK"/>
    <x v="2"/>
  </r>
  <r>
    <x v="36"/>
    <x v="302"/>
    <x v="11"/>
    <x v="11"/>
    <x v="1"/>
    <x v="0"/>
    <x v="33"/>
    <x v="324"/>
    <x v="765"/>
    <x v="0"/>
    <s v="TERMINAL DE ALBROOK"/>
    <x v="2"/>
  </r>
  <r>
    <x v="36"/>
    <x v="300"/>
    <x v="2"/>
    <x v="2"/>
    <x v="1"/>
    <x v="0"/>
    <x v="33"/>
    <x v="316"/>
    <x v="934"/>
    <x v="0"/>
    <s v="TERMINAL DE ALBROOK"/>
    <x v="2"/>
  </r>
  <r>
    <x v="36"/>
    <x v="315"/>
    <x v="2"/>
    <x v="2"/>
    <x v="1"/>
    <x v="0"/>
    <x v="33"/>
    <x v="405"/>
    <x v="146"/>
    <x v="0"/>
    <s v="TERMINAL DE ALBROOK"/>
    <x v="2"/>
  </r>
  <r>
    <x v="36"/>
    <x v="270"/>
    <x v="2"/>
    <x v="2"/>
    <x v="1"/>
    <x v="0"/>
    <x v="33"/>
    <x v="363"/>
    <x v="874"/>
    <x v="0"/>
    <s v="TERMINAL DE ALBROOK"/>
    <x v="2"/>
  </r>
  <r>
    <x v="36"/>
    <x v="240"/>
    <x v="2"/>
    <x v="2"/>
    <x v="1"/>
    <x v="0"/>
    <x v="33"/>
    <x v="442"/>
    <x v="146"/>
    <x v="0"/>
    <s v="TERMINAL DE ALBROOK"/>
    <x v="2"/>
  </r>
  <r>
    <x v="36"/>
    <x v="223"/>
    <x v="2"/>
    <x v="2"/>
    <x v="1"/>
    <x v="0"/>
    <x v="33"/>
    <x v="434"/>
    <x v="874"/>
    <x v="0"/>
    <s v="TERMINAL DE ALBROOK"/>
    <x v="2"/>
  </r>
  <r>
    <x v="36"/>
    <x v="316"/>
    <x v="2"/>
    <x v="2"/>
    <x v="1"/>
    <x v="0"/>
    <x v="33"/>
    <x v="348"/>
    <x v="874"/>
    <x v="0"/>
    <s v="TERMINAL DE ALBROOK"/>
    <x v="2"/>
  </r>
  <r>
    <x v="36"/>
    <x v="276"/>
    <x v="2"/>
    <x v="2"/>
    <x v="1"/>
    <x v="0"/>
    <x v="33"/>
    <x v="385"/>
    <x v="874"/>
    <x v="0"/>
    <s v="TERMINAL DE ALBROOK"/>
    <x v="2"/>
  </r>
  <r>
    <x v="36"/>
    <x v="304"/>
    <x v="2"/>
    <x v="2"/>
    <x v="1"/>
    <x v="0"/>
    <x v="33"/>
    <x v="329"/>
    <x v="874"/>
    <x v="0"/>
    <s v="TERMINAL DE ALBROOK"/>
    <x v="2"/>
  </r>
  <r>
    <x v="36"/>
    <x v="264"/>
    <x v="6"/>
    <x v="6"/>
    <x v="1"/>
    <x v="0"/>
    <x v="33"/>
    <x v="311"/>
    <x v="765"/>
    <x v="0"/>
    <s v="TERMINAL DE ALBROOK"/>
    <x v="2"/>
  </r>
  <r>
    <x v="36"/>
    <x v="265"/>
    <x v="6"/>
    <x v="6"/>
    <x v="1"/>
    <x v="0"/>
    <x v="33"/>
    <x v="386"/>
    <x v="765"/>
    <x v="0"/>
    <s v="TERMINAL DE ALBROOK"/>
    <x v="2"/>
  </r>
  <r>
    <x v="36"/>
    <x v="296"/>
    <x v="6"/>
    <x v="6"/>
    <x v="1"/>
    <x v="0"/>
    <x v="33"/>
    <x v="312"/>
    <x v="874"/>
    <x v="0"/>
    <s v="TERMINAL DE ALBROOK"/>
    <x v="2"/>
  </r>
  <r>
    <x v="36"/>
    <x v="203"/>
    <x v="6"/>
    <x v="6"/>
    <x v="1"/>
    <x v="0"/>
    <x v="33"/>
    <x v="288"/>
    <x v="146"/>
    <x v="0"/>
    <s v="TERMINAL DE ALBROOK"/>
    <x v="2"/>
  </r>
  <r>
    <x v="36"/>
    <x v="204"/>
    <x v="6"/>
    <x v="6"/>
    <x v="1"/>
    <x v="0"/>
    <x v="33"/>
    <x v="317"/>
    <x v="765"/>
    <x v="0"/>
    <s v="TERMINAL DE ALBROOK"/>
    <x v="2"/>
  </r>
  <r>
    <x v="36"/>
    <x v="297"/>
    <x v="6"/>
    <x v="6"/>
    <x v="1"/>
    <x v="0"/>
    <x v="33"/>
    <x v="313"/>
    <x v="759"/>
    <x v="0"/>
    <s v="TERMINAL DE ALBROOK"/>
    <x v="2"/>
  </r>
  <r>
    <x v="36"/>
    <x v="191"/>
    <x v="6"/>
    <x v="6"/>
    <x v="1"/>
    <x v="0"/>
    <x v="33"/>
    <x v="318"/>
    <x v="146"/>
    <x v="0"/>
    <s v="TERMINAL DE ALBROOK"/>
    <x v="2"/>
  </r>
  <r>
    <x v="36"/>
    <x v="259"/>
    <x v="7"/>
    <x v="7"/>
    <x v="1"/>
    <x v="1"/>
    <x v="33"/>
    <x v="355"/>
    <x v="874"/>
    <x v="0"/>
    <s v="TERMINAL DE ALBROOK"/>
    <x v="2"/>
  </r>
  <r>
    <x v="36"/>
    <x v="303"/>
    <x v="9"/>
    <x v="9"/>
    <x v="1"/>
    <x v="1"/>
    <x v="33"/>
    <x v="327"/>
    <x v="874"/>
    <x v="0"/>
    <s v="TERMINAL DE ALBROOK"/>
    <x v="2"/>
  </r>
  <r>
    <x v="36"/>
    <x v="197"/>
    <x v="9"/>
    <x v="9"/>
    <x v="1"/>
    <x v="1"/>
    <x v="33"/>
    <x v="432"/>
    <x v="874"/>
    <x v="0"/>
    <s v="TERMINAL DE ALBROOK"/>
    <x v="2"/>
  </r>
  <r>
    <x v="36"/>
    <x v="186"/>
    <x v="10"/>
    <x v="10"/>
    <x v="1"/>
    <x v="1"/>
    <x v="33"/>
    <x v="321"/>
    <x v="874"/>
    <x v="0"/>
    <s v="TERMINAL DE ALBROOK"/>
    <x v="2"/>
  </r>
  <r>
    <x v="36"/>
    <x v="176"/>
    <x v="10"/>
    <x v="10"/>
    <x v="1"/>
    <x v="1"/>
    <x v="33"/>
    <x v="412"/>
    <x v="874"/>
    <x v="0"/>
    <s v="TERMINAL DE ALBROOK"/>
    <x v="2"/>
  </r>
  <r>
    <x v="36"/>
    <x v="199"/>
    <x v="10"/>
    <x v="10"/>
    <x v="1"/>
    <x v="1"/>
    <x v="33"/>
    <x v="298"/>
    <x v="874"/>
    <x v="0"/>
    <s v="TERMINAL DE ALBROOK"/>
    <x v="2"/>
  </r>
  <r>
    <x v="36"/>
    <x v="189"/>
    <x v="10"/>
    <x v="10"/>
    <x v="1"/>
    <x v="1"/>
    <x v="33"/>
    <x v="345"/>
    <x v="874"/>
    <x v="0"/>
    <s v="TERMINAL DE ALBROOK"/>
    <x v="2"/>
  </r>
  <r>
    <x v="36"/>
    <x v="330"/>
    <x v="11"/>
    <x v="11"/>
    <x v="1"/>
    <x v="1"/>
    <x v="33"/>
    <x v="381"/>
    <x v="874"/>
    <x v="0"/>
    <s v="TERMINAL DE ALBROOK"/>
    <x v="2"/>
  </r>
  <r>
    <x v="36"/>
    <x v="284"/>
    <x v="2"/>
    <x v="2"/>
    <x v="1"/>
    <x v="1"/>
    <x v="33"/>
    <x v="383"/>
    <x v="874"/>
    <x v="0"/>
    <s v="TERMINAL DE ALBROOK"/>
    <x v="2"/>
  </r>
  <r>
    <x v="36"/>
    <x v="304"/>
    <x v="2"/>
    <x v="2"/>
    <x v="1"/>
    <x v="1"/>
    <x v="33"/>
    <x v="329"/>
    <x v="874"/>
    <x v="0"/>
    <s v="TERMINAL DE ALBROOK"/>
    <x v="2"/>
  </r>
  <r>
    <x v="36"/>
    <x v="264"/>
    <x v="6"/>
    <x v="6"/>
    <x v="1"/>
    <x v="1"/>
    <x v="33"/>
    <x v="311"/>
    <x v="874"/>
    <x v="0"/>
    <s v="TERMINAL DE ALBROOK"/>
    <x v="2"/>
  </r>
  <r>
    <x v="36"/>
    <x v="265"/>
    <x v="6"/>
    <x v="6"/>
    <x v="1"/>
    <x v="1"/>
    <x v="33"/>
    <x v="386"/>
    <x v="146"/>
    <x v="0"/>
    <s v="TERMINAL DE ALBROOK"/>
    <x v="2"/>
  </r>
  <r>
    <x v="36"/>
    <x v="241"/>
    <x v="6"/>
    <x v="6"/>
    <x v="1"/>
    <x v="1"/>
    <x v="33"/>
    <x v="447"/>
    <x v="874"/>
    <x v="0"/>
    <s v="TERMINAL DE ALBROOK"/>
    <x v="2"/>
  </r>
  <r>
    <x v="37"/>
    <x v="238"/>
    <x v="9"/>
    <x v="9"/>
    <x v="1"/>
    <x v="2"/>
    <x v="32"/>
    <x v="379"/>
    <x v="3104"/>
    <x v="0"/>
    <s v="CONCEPCION"/>
    <x v="2"/>
  </r>
  <r>
    <x v="37"/>
    <x v="315"/>
    <x v="2"/>
    <x v="2"/>
    <x v="1"/>
    <x v="2"/>
    <x v="32"/>
    <x v="405"/>
    <x v="2717"/>
    <x v="0"/>
    <s v="CONCEPCION"/>
    <x v="2"/>
  </r>
  <r>
    <x v="39"/>
    <x v="261"/>
    <x v="8"/>
    <x v="8"/>
    <x v="1"/>
    <x v="2"/>
    <x v="32"/>
    <x v="320"/>
    <x v="3105"/>
    <x v="0"/>
    <s v="BRISAS DEL GOLF"/>
    <x v="2"/>
  </r>
  <r>
    <x v="39"/>
    <x v="183"/>
    <x v="2"/>
    <x v="2"/>
    <x v="1"/>
    <x v="2"/>
    <x v="32"/>
    <x v="330"/>
    <x v="3088"/>
    <x v="0"/>
    <s v="BRISAS DEL GOLF"/>
    <x v="2"/>
  </r>
  <r>
    <x v="39"/>
    <x v="308"/>
    <x v="7"/>
    <x v="7"/>
    <x v="1"/>
    <x v="0"/>
    <x v="33"/>
    <x v="333"/>
    <x v="759"/>
    <x v="0"/>
    <s v="BRISAS DEL GOLF"/>
    <x v="2"/>
  </r>
  <r>
    <x v="39"/>
    <x v="209"/>
    <x v="7"/>
    <x v="7"/>
    <x v="1"/>
    <x v="0"/>
    <x v="33"/>
    <x v="428"/>
    <x v="874"/>
    <x v="0"/>
    <s v="BRISAS DEL GOLF"/>
    <x v="2"/>
  </r>
  <r>
    <x v="39"/>
    <x v="261"/>
    <x v="8"/>
    <x v="8"/>
    <x v="1"/>
    <x v="0"/>
    <x v="33"/>
    <x v="320"/>
    <x v="874"/>
    <x v="0"/>
    <s v="BRISAS DEL GOLF"/>
    <x v="2"/>
  </r>
  <r>
    <x v="39"/>
    <x v="245"/>
    <x v="8"/>
    <x v="8"/>
    <x v="1"/>
    <x v="0"/>
    <x v="33"/>
    <x v="285"/>
    <x v="759"/>
    <x v="0"/>
    <s v="BRISAS DEL GOLF"/>
    <x v="2"/>
  </r>
  <r>
    <x v="39"/>
    <x v="303"/>
    <x v="9"/>
    <x v="9"/>
    <x v="1"/>
    <x v="0"/>
    <x v="33"/>
    <x v="327"/>
    <x v="899"/>
    <x v="0"/>
    <s v="BRISAS DEL GOLF"/>
    <x v="2"/>
  </r>
  <r>
    <x v="39"/>
    <x v="197"/>
    <x v="9"/>
    <x v="9"/>
    <x v="1"/>
    <x v="0"/>
    <x v="33"/>
    <x v="432"/>
    <x v="759"/>
    <x v="0"/>
    <s v="BRISAS DEL GOLF"/>
    <x v="2"/>
  </r>
  <r>
    <x v="39"/>
    <x v="263"/>
    <x v="10"/>
    <x v="10"/>
    <x v="1"/>
    <x v="0"/>
    <x v="33"/>
    <x v="436"/>
    <x v="146"/>
    <x v="0"/>
    <s v="BRISAS DEL GOLF"/>
    <x v="2"/>
  </r>
  <r>
    <x v="39"/>
    <x v="239"/>
    <x v="10"/>
    <x v="10"/>
    <x v="1"/>
    <x v="0"/>
    <x v="33"/>
    <x v="419"/>
    <x v="874"/>
    <x v="0"/>
    <s v="BRISAS DEL GOLF"/>
    <x v="2"/>
  </r>
  <r>
    <x v="39"/>
    <x v="186"/>
    <x v="10"/>
    <x v="10"/>
    <x v="1"/>
    <x v="0"/>
    <x v="33"/>
    <x v="321"/>
    <x v="874"/>
    <x v="0"/>
    <s v="BRISAS DEL GOLF"/>
    <x v="2"/>
  </r>
  <r>
    <x v="39"/>
    <x v="244"/>
    <x v="10"/>
    <x v="10"/>
    <x v="1"/>
    <x v="0"/>
    <x v="33"/>
    <x v="433"/>
    <x v="759"/>
    <x v="0"/>
    <s v="BRISAS DEL GOLF"/>
    <x v="2"/>
  </r>
  <r>
    <x v="39"/>
    <x v="269"/>
    <x v="11"/>
    <x v="11"/>
    <x v="1"/>
    <x v="0"/>
    <x v="33"/>
    <x v="403"/>
    <x v="759"/>
    <x v="0"/>
    <s v="BRISAS DEL GOLF"/>
    <x v="2"/>
  </r>
  <r>
    <x v="39"/>
    <x v="200"/>
    <x v="11"/>
    <x v="11"/>
    <x v="1"/>
    <x v="0"/>
    <x v="33"/>
    <x v="351"/>
    <x v="874"/>
    <x v="0"/>
    <s v="BRISAS DEL GOLF"/>
    <x v="2"/>
  </r>
  <r>
    <x v="39"/>
    <x v="282"/>
    <x v="11"/>
    <x v="11"/>
    <x v="1"/>
    <x v="0"/>
    <x v="33"/>
    <x v="358"/>
    <x v="759"/>
    <x v="0"/>
    <s v="BRISAS DEL GOLF"/>
    <x v="2"/>
  </r>
  <r>
    <x v="39"/>
    <x v="187"/>
    <x v="11"/>
    <x v="11"/>
    <x v="1"/>
    <x v="0"/>
    <x v="33"/>
    <x v="328"/>
    <x v="874"/>
    <x v="0"/>
    <s v="BRISAS DEL GOLF"/>
    <x v="2"/>
  </r>
  <r>
    <x v="39"/>
    <x v="249"/>
    <x v="11"/>
    <x v="11"/>
    <x v="1"/>
    <x v="0"/>
    <x v="33"/>
    <x v="359"/>
    <x v="874"/>
    <x v="0"/>
    <s v="BRISAS DEL GOLF"/>
    <x v="2"/>
  </r>
  <r>
    <x v="39"/>
    <x v="302"/>
    <x v="11"/>
    <x v="11"/>
    <x v="1"/>
    <x v="0"/>
    <x v="33"/>
    <x v="324"/>
    <x v="874"/>
    <x v="0"/>
    <s v="BRISAS DEL GOLF"/>
    <x v="2"/>
  </r>
  <r>
    <x v="39"/>
    <x v="202"/>
    <x v="11"/>
    <x v="11"/>
    <x v="1"/>
    <x v="0"/>
    <x v="33"/>
    <x v="305"/>
    <x v="874"/>
    <x v="0"/>
    <s v="BRISAS DEL GOLF"/>
    <x v="2"/>
  </r>
  <r>
    <x v="39"/>
    <x v="274"/>
    <x v="11"/>
    <x v="11"/>
    <x v="1"/>
    <x v="0"/>
    <x v="33"/>
    <x v="404"/>
    <x v="874"/>
    <x v="0"/>
    <s v="BRISAS DEL GOLF"/>
    <x v="2"/>
  </r>
  <r>
    <x v="39"/>
    <x v="300"/>
    <x v="2"/>
    <x v="2"/>
    <x v="1"/>
    <x v="0"/>
    <x v="33"/>
    <x v="316"/>
    <x v="759"/>
    <x v="0"/>
    <s v="BRISAS DEL GOLF"/>
    <x v="2"/>
  </r>
  <r>
    <x v="39"/>
    <x v="215"/>
    <x v="2"/>
    <x v="2"/>
    <x v="1"/>
    <x v="0"/>
    <x v="33"/>
    <x v="322"/>
    <x v="874"/>
    <x v="0"/>
    <s v="BRISAS DEL GOLF"/>
    <x v="2"/>
  </r>
  <r>
    <x v="39"/>
    <x v="284"/>
    <x v="2"/>
    <x v="2"/>
    <x v="1"/>
    <x v="0"/>
    <x v="33"/>
    <x v="383"/>
    <x v="759"/>
    <x v="0"/>
    <s v="BRISAS DEL GOLF"/>
    <x v="2"/>
  </r>
  <r>
    <x v="39"/>
    <x v="222"/>
    <x v="2"/>
    <x v="2"/>
    <x v="1"/>
    <x v="0"/>
    <x v="33"/>
    <x v="384"/>
    <x v="874"/>
    <x v="0"/>
    <s v="BRISAS DEL GOLF"/>
    <x v="2"/>
  </r>
  <r>
    <x v="39"/>
    <x v="182"/>
    <x v="2"/>
    <x v="2"/>
    <x v="1"/>
    <x v="0"/>
    <x v="33"/>
    <x v="392"/>
    <x v="874"/>
    <x v="0"/>
    <s v="BRISAS DEL GOLF"/>
    <x v="2"/>
  </r>
  <r>
    <x v="39"/>
    <x v="280"/>
    <x v="2"/>
    <x v="2"/>
    <x v="1"/>
    <x v="0"/>
    <x v="33"/>
    <x v="295"/>
    <x v="874"/>
    <x v="0"/>
    <s v="BRISAS DEL GOLF"/>
    <x v="2"/>
  </r>
  <r>
    <x v="39"/>
    <x v="257"/>
    <x v="2"/>
    <x v="2"/>
    <x v="1"/>
    <x v="0"/>
    <x v="33"/>
    <x v="410"/>
    <x v="759"/>
    <x v="0"/>
    <s v="BRISAS DEL GOLF"/>
    <x v="2"/>
  </r>
  <r>
    <x v="39"/>
    <x v="276"/>
    <x v="2"/>
    <x v="2"/>
    <x v="1"/>
    <x v="0"/>
    <x v="33"/>
    <x v="385"/>
    <x v="765"/>
    <x v="0"/>
    <s v="BRISAS DEL GOLF"/>
    <x v="2"/>
  </r>
  <r>
    <x v="39"/>
    <x v="183"/>
    <x v="2"/>
    <x v="2"/>
    <x v="1"/>
    <x v="0"/>
    <x v="33"/>
    <x v="330"/>
    <x v="765"/>
    <x v="0"/>
    <s v="BRISAS DEL GOLF"/>
    <x v="2"/>
  </r>
  <r>
    <x v="39"/>
    <x v="246"/>
    <x v="2"/>
    <x v="2"/>
    <x v="1"/>
    <x v="0"/>
    <x v="33"/>
    <x v="287"/>
    <x v="759"/>
    <x v="0"/>
    <s v="BRISAS DEL GOLF"/>
    <x v="2"/>
  </r>
  <r>
    <x v="39"/>
    <x v="281"/>
    <x v="6"/>
    <x v="6"/>
    <x v="1"/>
    <x v="0"/>
    <x v="33"/>
    <x v="395"/>
    <x v="765"/>
    <x v="0"/>
    <s v="BRISAS DEL GOLF"/>
    <x v="2"/>
  </r>
  <r>
    <x v="39"/>
    <x v="285"/>
    <x v="6"/>
    <x v="6"/>
    <x v="1"/>
    <x v="0"/>
    <x v="33"/>
    <x v="409"/>
    <x v="874"/>
    <x v="0"/>
    <s v="BRISAS DEL GOLF"/>
    <x v="2"/>
  </r>
  <r>
    <x v="39"/>
    <x v="305"/>
    <x v="6"/>
    <x v="6"/>
    <x v="1"/>
    <x v="0"/>
    <x v="33"/>
    <x v="331"/>
    <x v="874"/>
    <x v="0"/>
    <s v="BRISAS DEL GOLF"/>
    <x v="2"/>
  </r>
  <r>
    <x v="39"/>
    <x v="297"/>
    <x v="6"/>
    <x v="6"/>
    <x v="1"/>
    <x v="0"/>
    <x v="33"/>
    <x v="313"/>
    <x v="874"/>
    <x v="0"/>
    <s v="BRISAS DEL GOLF"/>
    <x v="2"/>
  </r>
  <r>
    <x v="39"/>
    <x v="271"/>
    <x v="6"/>
    <x v="6"/>
    <x v="1"/>
    <x v="0"/>
    <x v="33"/>
    <x v="426"/>
    <x v="874"/>
    <x v="0"/>
    <s v="BRISAS DEL GOLF"/>
    <x v="2"/>
  </r>
  <r>
    <x v="39"/>
    <x v="190"/>
    <x v="6"/>
    <x v="6"/>
    <x v="1"/>
    <x v="0"/>
    <x v="33"/>
    <x v="342"/>
    <x v="874"/>
    <x v="0"/>
    <s v="BRISAS DEL GOLF"/>
    <x v="2"/>
  </r>
  <r>
    <x v="39"/>
    <x v="200"/>
    <x v="11"/>
    <x v="11"/>
    <x v="1"/>
    <x v="1"/>
    <x v="33"/>
    <x v="351"/>
    <x v="874"/>
    <x v="0"/>
    <s v="BRISAS DEL GOLF"/>
    <x v="2"/>
  </r>
  <r>
    <x v="39"/>
    <x v="280"/>
    <x v="2"/>
    <x v="2"/>
    <x v="1"/>
    <x v="1"/>
    <x v="33"/>
    <x v="295"/>
    <x v="874"/>
    <x v="0"/>
    <s v="BRISAS DEL GOLF"/>
    <x v="2"/>
  </r>
  <r>
    <x v="40"/>
    <x v="248"/>
    <x v="10"/>
    <x v="10"/>
    <x v="1"/>
    <x v="2"/>
    <x v="33"/>
    <x v="304"/>
    <x v="874"/>
    <x v="0"/>
    <s v="PUENTE CENTENARIO"/>
    <x v="2"/>
  </r>
  <r>
    <x v="40"/>
    <x v="220"/>
    <x v="11"/>
    <x v="11"/>
    <x v="1"/>
    <x v="2"/>
    <x v="33"/>
    <x v="309"/>
    <x v="146"/>
    <x v="0"/>
    <s v="PUENTE CENTENARIO"/>
    <x v="2"/>
  </r>
  <r>
    <x v="40"/>
    <x v="209"/>
    <x v="7"/>
    <x v="7"/>
    <x v="1"/>
    <x v="0"/>
    <x v="33"/>
    <x v="428"/>
    <x v="146"/>
    <x v="0"/>
    <s v="PUENTE CENTENARIO"/>
    <x v="2"/>
  </r>
  <r>
    <x v="40"/>
    <x v="171"/>
    <x v="7"/>
    <x v="7"/>
    <x v="1"/>
    <x v="0"/>
    <x v="33"/>
    <x v="429"/>
    <x v="874"/>
    <x v="0"/>
    <s v="PUENTE CENTENARIO"/>
    <x v="2"/>
  </r>
  <r>
    <x v="40"/>
    <x v="247"/>
    <x v="8"/>
    <x v="8"/>
    <x v="1"/>
    <x v="0"/>
    <x v="33"/>
    <x v="289"/>
    <x v="765"/>
    <x v="0"/>
    <s v="PUENTE CENTENARIO"/>
    <x v="2"/>
  </r>
  <r>
    <x v="40"/>
    <x v="323"/>
    <x v="8"/>
    <x v="8"/>
    <x v="1"/>
    <x v="0"/>
    <x v="33"/>
    <x v="367"/>
    <x v="759"/>
    <x v="0"/>
    <s v="PUENTE CENTENARIO"/>
    <x v="2"/>
  </r>
  <r>
    <x v="40"/>
    <x v="173"/>
    <x v="8"/>
    <x v="8"/>
    <x v="1"/>
    <x v="0"/>
    <x v="33"/>
    <x v="378"/>
    <x v="765"/>
    <x v="0"/>
    <s v="PUENTE CENTENARIO"/>
    <x v="2"/>
  </r>
  <r>
    <x v="40"/>
    <x v="319"/>
    <x v="8"/>
    <x v="8"/>
    <x v="1"/>
    <x v="0"/>
    <x v="33"/>
    <x v="350"/>
    <x v="874"/>
    <x v="0"/>
    <s v="PUENTE CENTENARIO"/>
    <x v="2"/>
  </r>
  <r>
    <x v="40"/>
    <x v="337"/>
    <x v="9"/>
    <x v="9"/>
    <x v="1"/>
    <x v="0"/>
    <x v="33"/>
    <x v="424"/>
    <x v="759"/>
    <x v="0"/>
    <s v="PUENTE CENTENARIO"/>
    <x v="2"/>
  </r>
  <r>
    <x v="40"/>
    <x v="194"/>
    <x v="9"/>
    <x v="9"/>
    <x v="1"/>
    <x v="0"/>
    <x v="33"/>
    <x v="390"/>
    <x v="146"/>
    <x v="0"/>
    <s v="PUENTE CENTENARIO"/>
    <x v="2"/>
  </r>
  <r>
    <x v="40"/>
    <x v="178"/>
    <x v="9"/>
    <x v="9"/>
    <x v="1"/>
    <x v="0"/>
    <x v="33"/>
    <x v="353"/>
    <x v="146"/>
    <x v="0"/>
    <s v="PUENTE CENTENARIO"/>
    <x v="2"/>
  </r>
  <r>
    <x v="40"/>
    <x v="310"/>
    <x v="10"/>
    <x v="10"/>
    <x v="1"/>
    <x v="0"/>
    <x v="33"/>
    <x v="335"/>
    <x v="759"/>
    <x v="0"/>
    <s v="PUENTE CENTENARIO"/>
    <x v="2"/>
  </r>
  <r>
    <x v="40"/>
    <x v="329"/>
    <x v="10"/>
    <x v="10"/>
    <x v="1"/>
    <x v="0"/>
    <x v="33"/>
    <x v="380"/>
    <x v="899"/>
    <x v="0"/>
    <s v="PUENTE CENTENARIO"/>
    <x v="2"/>
  </r>
  <r>
    <x v="40"/>
    <x v="269"/>
    <x v="11"/>
    <x v="11"/>
    <x v="1"/>
    <x v="0"/>
    <x v="33"/>
    <x v="403"/>
    <x v="874"/>
    <x v="0"/>
    <s v="PUENTE CENTENARIO"/>
    <x v="2"/>
  </r>
  <r>
    <x v="40"/>
    <x v="282"/>
    <x v="11"/>
    <x v="11"/>
    <x v="1"/>
    <x v="0"/>
    <x v="33"/>
    <x v="358"/>
    <x v="765"/>
    <x v="0"/>
    <s v="PUENTE CENTENARIO"/>
    <x v="2"/>
  </r>
  <r>
    <x v="40"/>
    <x v="187"/>
    <x v="11"/>
    <x v="11"/>
    <x v="1"/>
    <x v="0"/>
    <x v="33"/>
    <x v="328"/>
    <x v="759"/>
    <x v="0"/>
    <s v="PUENTE CENTENARIO"/>
    <x v="2"/>
  </r>
  <r>
    <x v="40"/>
    <x v="302"/>
    <x v="11"/>
    <x v="11"/>
    <x v="1"/>
    <x v="0"/>
    <x v="33"/>
    <x v="324"/>
    <x v="899"/>
    <x v="0"/>
    <s v="PUENTE CENTENARIO"/>
    <x v="2"/>
  </r>
  <r>
    <x v="40"/>
    <x v="202"/>
    <x v="11"/>
    <x v="11"/>
    <x v="1"/>
    <x v="0"/>
    <x v="33"/>
    <x v="305"/>
    <x v="874"/>
    <x v="0"/>
    <s v="PUENTE CENTENARIO"/>
    <x v="2"/>
  </r>
  <r>
    <x v="40"/>
    <x v="221"/>
    <x v="2"/>
    <x v="2"/>
    <x v="1"/>
    <x v="0"/>
    <x v="63"/>
    <x v="446"/>
    <x v="765"/>
    <x v="0"/>
    <s v="PUENTE CENTENARIO"/>
    <x v="2"/>
  </r>
  <r>
    <x v="40"/>
    <x v="222"/>
    <x v="2"/>
    <x v="2"/>
    <x v="1"/>
    <x v="0"/>
    <x v="32"/>
    <x v="384"/>
    <x v="765"/>
    <x v="0"/>
    <s v="PUENTE CENTENARIO"/>
    <x v="2"/>
  </r>
  <r>
    <x v="40"/>
    <x v="182"/>
    <x v="2"/>
    <x v="2"/>
    <x v="1"/>
    <x v="0"/>
    <x v="62"/>
    <x v="59"/>
    <x v="1"/>
    <x v="203"/>
    <s v="PUENTE CENTENARIO"/>
    <x v="2"/>
  </r>
  <r>
    <x v="40"/>
    <x v="307"/>
    <x v="2"/>
    <x v="2"/>
    <x v="1"/>
    <x v="0"/>
    <x v="33"/>
    <x v="441"/>
    <x v="759"/>
    <x v="0"/>
    <s v="PUENTE CENTENARIO"/>
    <x v="2"/>
  </r>
  <r>
    <x v="40"/>
    <x v="223"/>
    <x v="2"/>
    <x v="2"/>
    <x v="1"/>
    <x v="0"/>
    <x v="33"/>
    <x v="434"/>
    <x v="874"/>
    <x v="0"/>
    <s v="PUENTE CENTENARIO"/>
    <x v="2"/>
  </r>
  <r>
    <x v="40"/>
    <x v="276"/>
    <x v="2"/>
    <x v="2"/>
    <x v="1"/>
    <x v="0"/>
    <x v="33"/>
    <x v="385"/>
    <x v="759"/>
    <x v="0"/>
    <s v="PUENTE CENTENARIO"/>
    <x v="2"/>
  </r>
  <r>
    <x v="40"/>
    <x v="246"/>
    <x v="2"/>
    <x v="2"/>
    <x v="1"/>
    <x v="0"/>
    <x v="33"/>
    <x v="287"/>
    <x v="874"/>
    <x v="0"/>
    <s v="PUENTE CENTENARIO"/>
    <x v="2"/>
  </r>
  <r>
    <x v="40"/>
    <x v="281"/>
    <x v="6"/>
    <x v="6"/>
    <x v="1"/>
    <x v="0"/>
    <x v="33"/>
    <x v="395"/>
    <x v="874"/>
    <x v="0"/>
    <s v="PUENTE CENTENARIO"/>
    <x v="2"/>
  </r>
  <r>
    <x v="40"/>
    <x v="285"/>
    <x v="6"/>
    <x v="6"/>
    <x v="1"/>
    <x v="0"/>
    <x v="33"/>
    <x v="409"/>
    <x v="759"/>
    <x v="0"/>
    <s v="PUENTE CENTENARIO"/>
    <x v="2"/>
  </r>
  <r>
    <x v="40"/>
    <x v="184"/>
    <x v="6"/>
    <x v="6"/>
    <x v="1"/>
    <x v="0"/>
    <x v="33"/>
    <x v="413"/>
    <x v="759"/>
    <x v="0"/>
    <s v="PUENTE CENTENARIO"/>
    <x v="2"/>
  </r>
  <r>
    <x v="40"/>
    <x v="236"/>
    <x v="6"/>
    <x v="6"/>
    <x v="1"/>
    <x v="0"/>
    <x v="33"/>
    <x v="371"/>
    <x v="899"/>
    <x v="0"/>
    <s v="PUENTE CENTENARIO"/>
    <x v="2"/>
  </r>
  <r>
    <x v="40"/>
    <x v="245"/>
    <x v="8"/>
    <x v="8"/>
    <x v="1"/>
    <x v="1"/>
    <x v="33"/>
    <x v="285"/>
    <x v="874"/>
    <x v="0"/>
    <s v="PUENTE CENTENARIO"/>
    <x v="2"/>
  </r>
  <r>
    <x v="40"/>
    <x v="194"/>
    <x v="9"/>
    <x v="9"/>
    <x v="1"/>
    <x v="1"/>
    <x v="33"/>
    <x v="390"/>
    <x v="874"/>
    <x v="0"/>
    <s v="PUENTE CENTENARIO"/>
    <x v="2"/>
  </r>
  <r>
    <x v="40"/>
    <x v="197"/>
    <x v="9"/>
    <x v="9"/>
    <x v="1"/>
    <x v="1"/>
    <x v="33"/>
    <x v="432"/>
    <x v="759"/>
    <x v="0"/>
    <s v="PUENTE CENTENARIO"/>
    <x v="2"/>
  </r>
  <r>
    <x v="40"/>
    <x v="291"/>
    <x v="9"/>
    <x v="9"/>
    <x v="1"/>
    <x v="1"/>
    <x v="33"/>
    <x v="303"/>
    <x v="874"/>
    <x v="0"/>
    <s v="PUENTE CENTENARIO"/>
    <x v="2"/>
  </r>
  <r>
    <x v="40"/>
    <x v="230"/>
    <x v="9"/>
    <x v="9"/>
    <x v="1"/>
    <x v="1"/>
    <x v="33"/>
    <x v="283"/>
    <x v="874"/>
    <x v="0"/>
    <s v="PUENTE CENTENARIO"/>
    <x v="2"/>
  </r>
  <r>
    <x v="40"/>
    <x v="198"/>
    <x v="10"/>
    <x v="10"/>
    <x v="1"/>
    <x v="1"/>
    <x v="33"/>
    <x v="338"/>
    <x v="874"/>
    <x v="0"/>
    <s v="PUENTE CENTENARIO"/>
    <x v="2"/>
  </r>
  <r>
    <x v="40"/>
    <x v="212"/>
    <x v="10"/>
    <x v="10"/>
    <x v="1"/>
    <x v="1"/>
    <x v="33"/>
    <x v="319"/>
    <x v="759"/>
    <x v="0"/>
    <s v="PUENTE CENTENARIO"/>
    <x v="2"/>
  </r>
  <r>
    <x v="40"/>
    <x v="310"/>
    <x v="10"/>
    <x v="10"/>
    <x v="1"/>
    <x v="1"/>
    <x v="33"/>
    <x v="335"/>
    <x v="874"/>
    <x v="0"/>
    <s v="PUENTE CENTENARIO"/>
    <x v="2"/>
  </r>
  <r>
    <x v="40"/>
    <x v="317"/>
    <x v="10"/>
    <x v="10"/>
    <x v="1"/>
    <x v="1"/>
    <x v="33"/>
    <x v="401"/>
    <x v="874"/>
    <x v="0"/>
    <s v="PUENTE CENTENARIO"/>
    <x v="2"/>
  </r>
  <r>
    <x v="40"/>
    <x v="295"/>
    <x v="2"/>
    <x v="2"/>
    <x v="1"/>
    <x v="1"/>
    <x v="33"/>
    <x v="310"/>
    <x v="874"/>
    <x v="0"/>
    <s v="PUENTE CENTENARIO"/>
    <x v="2"/>
  </r>
  <r>
    <x v="40"/>
    <x v="264"/>
    <x v="6"/>
    <x v="6"/>
    <x v="1"/>
    <x v="1"/>
    <x v="33"/>
    <x v="311"/>
    <x v="874"/>
    <x v="0"/>
    <s v="PUENTE CENTENARIO"/>
    <x v="2"/>
  </r>
  <r>
    <x v="75"/>
    <x v="260"/>
    <x v="7"/>
    <x v="7"/>
    <x v="1"/>
    <x v="2"/>
    <x v="32"/>
    <x v="437"/>
    <x v="1331"/>
    <x v="0"/>
    <s v="SABANITAS"/>
    <x v="2"/>
  </r>
  <r>
    <x v="75"/>
    <x v="178"/>
    <x v="9"/>
    <x v="9"/>
    <x v="1"/>
    <x v="2"/>
    <x v="34"/>
    <x v="453"/>
    <x v="735"/>
    <x v="0"/>
    <s v="SABANITAS"/>
    <x v="2"/>
  </r>
  <r>
    <x v="75"/>
    <x v="263"/>
    <x v="10"/>
    <x v="10"/>
    <x v="1"/>
    <x v="2"/>
    <x v="32"/>
    <x v="436"/>
    <x v="1332"/>
    <x v="0"/>
    <s v="SABANITAS"/>
    <x v="2"/>
  </r>
  <r>
    <x v="75"/>
    <x v="269"/>
    <x v="11"/>
    <x v="11"/>
    <x v="1"/>
    <x v="2"/>
    <x v="34"/>
    <x v="453"/>
    <x v="735"/>
    <x v="0"/>
    <s v="SABANITAS"/>
    <x v="2"/>
  </r>
  <r>
    <x v="75"/>
    <x v="187"/>
    <x v="11"/>
    <x v="11"/>
    <x v="1"/>
    <x v="2"/>
    <x v="34"/>
    <x v="453"/>
    <x v="736"/>
    <x v="0"/>
    <s v="SABANITAS"/>
    <x v="2"/>
  </r>
  <r>
    <x v="75"/>
    <x v="316"/>
    <x v="2"/>
    <x v="2"/>
    <x v="1"/>
    <x v="2"/>
    <x v="32"/>
    <x v="348"/>
    <x v="3106"/>
    <x v="0"/>
    <s v="SABANITAS"/>
    <x v="2"/>
  </r>
  <r>
    <x v="75"/>
    <x v="229"/>
    <x v="6"/>
    <x v="6"/>
    <x v="1"/>
    <x v="2"/>
    <x v="32"/>
    <x v="281"/>
    <x v="3107"/>
    <x v="0"/>
    <s v="SABANITAS"/>
    <x v="2"/>
  </r>
  <r>
    <x v="75"/>
    <x v="191"/>
    <x v="6"/>
    <x v="6"/>
    <x v="1"/>
    <x v="2"/>
    <x v="34"/>
    <x v="453"/>
    <x v="835"/>
    <x v="0"/>
    <s v="SABANITAS"/>
    <x v="2"/>
  </r>
  <r>
    <x v="42"/>
    <x v="242"/>
    <x v="9"/>
    <x v="9"/>
    <x v="1"/>
    <x v="2"/>
    <x v="33"/>
    <x v="435"/>
    <x v="874"/>
    <x v="0"/>
    <s v="ALTOS DE PANAMA"/>
    <x v="2"/>
  </r>
  <r>
    <x v="42"/>
    <x v="331"/>
    <x v="9"/>
    <x v="9"/>
    <x v="1"/>
    <x v="0"/>
    <x v="33"/>
    <x v="391"/>
    <x v="874"/>
    <x v="0"/>
    <s v="ALTOS DE PANAMA"/>
    <x v="2"/>
  </r>
  <r>
    <x v="42"/>
    <x v="242"/>
    <x v="9"/>
    <x v="9"/>
    <x v="1"/>
    <x v="1"/>
    <x v="33"/>
    <x v="435"/>
    <x v="874"/>
    <x v="0"/>
    <s v="ALTOS DE PANAMA"/>
    <x v="2"/>
  </r>
  <r>
    <x v="42"/>
    <x v="269"/>
    <x v="11"/>
    <x v="11"/>
    <x v="1"/>
    <x v="1"/>
    <x v="33"/>
    <x v="403"/>
    <x v="874"/>
    <x v="0"/>
    <s v="ALTOS DE PANAMA"/>
    <x v="2"/>
  </r>
  <r>
    <x v="43"/>
    <x v="308"/>
    <x v="7"/>
    <x v="7"/>
    <x v="1"/>
    <x v="2"/>
    <x v="32"/>
    <x v="333"/>
    <x v="952"/>
    <x v="0"/>
    <s v="VERSALLES"/>
    <x v="2"/>
  </r>
  <r>
    <x v="43"/>
    <x v="205"/>
    <x v="7"/>
    <x v="7"/>
    <x v="1"/>
    <x v="2"/>
    <x v="32"/>
    <x v="299"/>
    <x v="801"/>
    <x v="0"/>
    <s v="VERSALLES"/>
    <x v="2"/>
  </r>
  <r>
    <x v="43"/>
    <x v="251"/>
    <x v="8"/>
    <x v="8"/>
    <x v="1"/>
    <x v="2"/>
    <x v="32"/>
    <x v="291"/>
    <x v="801"/>
    <x v="0"/>
    <s v="VERSALLES"/>
    <x v="2"/>
  </r>
  <r>
    <x v="43"/>
    <x v="245"/>
    <x v="8"/>
    <x v="8"/>
    <x v="1"/>
    <x v="2"/>
    <x v="32"/>
    <x v="285"/>
    <x v="952"/>
    <x v="0"/>
    <s v="VERSALLES"/>
    <x v="2"/>
  </r>
  <r>
    <x v="43"/>
    <x v="306"/>
    <x v="9"/>
    <x v="9"/>
    <x v="1"/>
    <x v="2"/>
    <x v="32"/>
    <x v="336"/>
    <x v="952"/>
    <x v="0"/>
    <s v="VERSALLES"/>
    <x v="2"/>
  </r>
  <r>
    <x v="43"/>
    <x v="333"/>
    <x v="9"/>
    <x v="9"/>
    <x v="1"/>
    <x v="2"/>
    <x v="32"/>
    <x v="400"/>
    <x v="801"/>
    <x v="0"/>
    <s v="VERSALLES"/>
    <x v="2"/>
  </r>
  <r>
    <x v="43"/>
    <x v="198"/>
    <x v="10"/>
    <x v="10"/>
    <x v="1"/>
    <x v="2"/>
    <x v="32"/>
    <x v="338"/>
    <x v="801"/>
    <x v="0"/>
    <s v="VERSALLES"/>
    <x v="2"/>
  </r>
  <r>
    <x v="43"/>
    <x v="186"/>
    <x v="10"/>
    <x v="10"/>
    <x v="1"/>
    <x v="2"/>
    <x v="32"/>
    <x v="321"/>
    <x v="848"/>
    <x v="0"/>
    <s v="VERSALLES"/>
    <x v="2"/>
  </r>
  <r>
    <x v="43"/>
    <x v="200"/>
    <x v="11"/>
    <x v="11"/>
    <x v="1"/>
    <x v="2"/>
    <x v="32"/>
    <x v="351"/>
    <x v="982"/>
    <x v="0"/>
    <s v="VERSALLES"/>
    <x v="2"/>
  </r>
  <r>
    <x v="43"/>
    <x v="299"/>
    <x v="11"/>
    <x v="11"/>
    <x v="1"/>
    <x v="2"/>
    <x v="32"/>
    <x v="315"/>
    <x v="1215"/>
    <x v="0"/>
    <s v="VERSALLES"/>
    <x v="2"/>
  </r>
  <r>
    <x v="43"/>
    <x v="315"/>
    <x v="2"/>
    <x v="2"/>
    <x v="1"/>
    <x v="2"/>
    <x v="32"/>
    <x v="405"/>
    <x v="801"/>
    <x v="0"/>
    <s v="VERSALLES"/>
    <x v="2"/>
  </r>
  <r>
    <x v="43"/>
    <x v="240"/>
    <x v="2"/>
    <x v="2"/>
    <x v="1"/>
    <x v="2"/>
    <x v="32"/>
    <x v="442"/>
    <x v="3108"/>
    <x v="0"/>
    <s v="VERSALLES"/>
    <x v="2"/>
  </r>
  <r>
    <x v="43"/>
    <x v="335"/>
    <x v="6"/>
    <x v="6"/>
    <x v="1"/>
    <x v="2"/>
    <x v="32"/>
    <x v="408"/>
    <x v="1132"/>
    <x v="0"/>
    <s v="VERSALLES"/>
    <x v="2"/>
  </r>
  <r>
    <x v="43"/>
    <x v="271"/>
    <x v="6"/>
    <x v="6"/>
    <x v="1"/>
    <x v="2"/>
    <x v="32"/>
    <x v="426"/>
    <x v="1"/>
    <x v="372"/>
    <s v="VERSALLES"/>
    <x v="2"/>
  </r>
  <r>
    <x v="44"/>
    <x v="202"/>
    <x v="11"/>
    <x v="11"/>
    <x v="1"/>
    <x v="2"/>
    <x v="32"/>
    <x v="305"/>
    <x v="3109"/>
    <x v="0"/>
    <s v="BUSINESS PARK"/>
    <x v="2"/>
  </r>
  <r>
    <x v="45"/>
    <x v="330"/>
    <x v="11"/>
    <x v="11"/>
    <x v="1"/>
    <x v="2"/>
    <x v="32"/>
    <x v="381"/>
    <x v="3110"/>
    <x v="0"/>
    <s v="SAN FRANCISCO"/>
    <x v="2"/>
  </r>
  <r>
    <x v="45"/>
    <x v="182"/>
    <x v="2"/>
    <x v="2"/>
    <x v="1"/>
    <x v="2"/>
    <x v="32"/>
    <x v="392"/>
    <x v="3111"/>
    <x v="0"/>
    <s v="SAN FRANCISCO"/>
    <x v="2"/>
  </r>
  <r>
    <x v="47"/>
    <x v="288"/>
    <x v="7"/>
    <x v="7"/>
    <x v="1"/>
    <x v="2"/>
    <x v="32"/>
    <x v="439"/>
    <x v="590"/>
    <x v="0"/>
    <s v="LA CHORRERA - PARQUE 10 DE NOV."/>
    <x v="2"/>
  </r>
  <r>
    <x v="47"/>
    <x v="179"/>
    <x v="7"/>
    <x v="7"/>
    <x v="1"/>
    <x v="2"/>
    <x v="32"/>
    <x v="415"/>
    <x v="590"/>
    <x v="0"/>
    <s v="LA CHORRERA - PARQUE 10 DE NOV."/>
    <x v="2"/>
  </r>
  <r>
    <x v="47"/>
    <x v="242"/>
    <x v="9"/>
    <x v="9"/>
    <x v="1"/>
    <x v="2"/>
    <x v="32"/>
    <x v="435"/>
    <x v="3112"/>
    <x v="0"/>
    <s v="LA CHORRERA - PARQUE 10 DE NOV."/>
    <x v="2"/>
  </r>
  <r>
    <x v="47"/>
    <x v="249"/>
    <x v="11"/>
    <x v="11"/>
    <x v="1"/>
    <x v="2"/>
    <x v="32"/>
    <x v="359"/>
    <x v="590"/>
    <x v="0"/>
    <s v="LA CHORRERA - PARQUE 10 DE NOV."/>
    <x v="2"/>
  </r>
  <r>
    <x v="47"/>
    <x v="266"/>
    <x v="6"/>
    <x v="6"/>
    <x v="1"/>
    <x v="2"/>
    <x v="32"/>
    <x v="370"/>
    <x v="3077"/>
    <x v="0"/>
    <s v="LA CHORRERA - PARQUE 10 DE NOV."/>
    <x v="2"/>
  </r>
  <r>
    <x v="47"/>
    <x v="308"/>
    <x v="7"/>
    <x v="7"/>
    <x v="1"/>
    <x v="0"/>
    <x v="33"/>
    <x v="333"/>
    <x v="848"/>
    <x v="0"/>
    <s v="LA CHORRERA - PARQUE 10 DE NOV."/>
    <x v="2"/>
  </r>
  <r>
    <x v="47"/>
    <x v="179"/>
    <x v="7"/>
    <x v="7"/>
    <x v="1"/>
    <x v="0"/>
    <x v="33"/>
    <x v="415"/>
    <x v="934"/>
    <x v="0"/>
    <s v="LA CHORRERA - PARQUE 10 DE NOV."/>
    <x v="2"/>
  </r>
  <r>
    <x v="47"/>
    <x v="259"/>
    <x v="7"/>
    <x v="7"/>
    <x v="1"/>
    <x v="0"/>
    <x v="33"/>
    <x v="355"/>
    <x v="759"/>
    <x v="0"/>
    <s v="LA CHORRERA - PARQUE 10 DE NOV."/>
    <x v="2"/>
  </r>
  <r>
    <x v="47"/>
    <x v="225"/>
    <x v="7"/>
    <x v="7"/>
    <x v="1"/>
    <x v="0"/>
    <x v="33"/>
    <x v="416"/>
    <x v="765"/>
    <x v="0"/>
    <s v="LA CHORRERA - PARQUE 10 DE NOV."/>
    <x v="2"/>
  </r>
  <r>
    <x v="47"/>
    <x v="206"/>
    <x v="7"/>
    <x v="7"/>
    <x v="1"/>
    <x v="0"/>
    <x v="33"/>
    <x v="284"/>
    <x v="1182"/>
    <x v="0"/>
    <s v="LA CHORRERA - PARQUE 10 DE NOV."/>
    <x v="2"/>
  </r>
  <r>
    <x v="47"/>
    <x v="209"/>
    <x v="7"/>
    <x v="7"/>
    <x v="1"/>
    <x v="0"/>
    <x v="33"/>
    <x v="428"/>
    <x v="874"/>
    <x v="0"/>
    <s v="LA CHORRERA - PARQUE 10 DE NOV."/>
    <x v="2"/>
  </r>
  <r>
    <x v="47"/>
    <x v="332"/>
    <x v="7"/>
    <x v="7"/>
    <x v="1"/>
    <x v="0"/>
    <x v="33"/>
    <x v="397"/>
    <x v="874"/>
    <x v="0"/>
    <s v="LA CHORRERA - PARQUE 10 DE NOV."/>
    <x v="2"/>
  </r>
  <r>
    <x v="47"/>
    <x v="251"/>
    <x v="8"/>
    <x v="8"/>
    <x v="1"/>
    <x v="0"/>
    <x v="33"/>
    <x v="291"/>
    <x v="874"/>
    <x v="0"/>
    <s v="LA CHORRERA - PARQUE 10 DE NOV."/>
    <x v="2"/>
  </r>
  <r>
    <x v="47"/>
    <x v="326"/>
    <x v="8"/>
    <x v="8"/>
    <x v="1"/>
    <x v="0"/>
    <x v="33"/>
    <x v="423"/>
    <x v="1132"/>
    <x v="0"/>
    <s v="LA CHORRERA - PARQUE 10 DE NOV."/>
    <x v="2"/>
  </r>
  <r>
    <x v="47"/>
    <x v="254"/>
    <x v="8"/>
    <x v="8"/>
    <x v="1"/>
    <x v="0"/>
    <x v="33"/>
    <x v="326"/>
    <x v="899"/>
    <x v="0"/>
    <s v="LA CHORRERA - PARQUE 10 DE NOV."/>
    <x v="2"/>
  </r>
  <r>
    <x v="47"/>
    <x v="320"/>
    <x v="8"/>
    <x v="8"/>
    <x v="1"/>
    <x v="0"/>
    <x v="33"/>
    <x v="398"/>
    <x v="765"/>
    <x v="0"/>
    <s v="LA CHORRERA - PARQUE 10 DE NOV."/>
    <x v="2"/>
  </r>
  <r>
    <x v="47"/>
    <x v="323"/>
    <x v="8"/>
    <x v="8"/>
    <x v="1"/>
    <x v="0"/>
    <x v="33"/>
    <x v="367"/>
    <x v="759"/>
    <x v="0"/>
    <s v="LA CHORRERA - PARQUE 10 DE NOV."/>
    <x v="2"/>
  </r>
  <r>
    <x v="47"/>
    <x v="173"/>
    <x v="8"/>
    <x v="8"/>
    <x v="1"/>
    <x v="0"/>
    <x v="33"/>
    <x v="378"/>
    <x v="1182"/>
    <x v="0"/>
    <s v="LA CHORRERA - PARQUE 10 DE NOV."/>
    <x v="2"/>
  </r>
  <r>
    <x v="47"/>
    <x v="337"/>
    <x v="9"/>
    <x v="9"/>
    <x v="1"/>
    <x v="0"/>
    <x v="33"/>
    <x v="424"/>
    <x v="1132"/>
    <x v="0"/>
    <s v="LA CHORRERA - PARQUE 10 DE NOV."/>
    <x v="2"/>
  </r>
  <r>
    <x v="47"/>
    <x v="227"/>
    <x v="9"/>
    <x v="9"/>
    <x v="1"/>
    <x v="0"/>
    <x v="33"/>
    <x v="399"/>
    <x v="765"/>
    <x v="0"/>
    <s v="LA CHORRERA - PARQUE 10 DE NOV."/>
    <x v="2"/>
  </r>
  <r>
    <x v="47"/>
    <x v="194"/>
    <x v="9"/>
    <x v="9"/>
    <x v="1"/>
    <x v="0"/>
    <x v="33"/>
    <x v="390"/>
    <x v="759"/>
    <x v="0"/>
    <s v="LA CHORRERA - PARQUE 10 DE NOV."/>
    <x v="2"/>
  </r>
  <r>
    <x v="47"/>
    <x v="238"/>
    <x v="9"/>
    <x v="9"/>
    <x v="1"/>
    <x v="0"/>
    <x v="33"/>
    <x v="379"/>
    <x v="759"/>
    <x v="0"/>
    <s v="LA CHORRERA - PARQUE 10 DE NOV."/>
    <x v="2"/>
  </r>
  <r>
    <x v="47"/>
    <x v="197"/>
    <x v="9"/>
    <x v="9"/>
    <x v="1"/>
    <x v="0"/>
    <x v="33"/>
    <x v="432"/>
    <x v="899"/>
    <x v="0"/>
    <s v="LA CHORRERA - PARQUE 10 DE NOV."/>
    <x v="2"/>
  </r>
  <r>
    <x v="47"/>
    <x v="211"/>
    <x v="9"/>
    <x v="9"/>
    <x v="1"/>
    <x v="0"/>
    <x v="33"/>
    <x v="286"/>
    <x v="765"/>
    <x v="0"/>
    <s v="LA CHORRERA - PARQUE 10 DE NOV."/>
    <x v="2"/>
  </r>
  <r>
    <x v="47"/>
    <x v="178"/>
    <x v="9"/>
    <x v="9"/>
    <x v="1"/>
    <x v="0"/>
    <x v="33"/>
    <x v="353"/>
    <x v="759"/>
    <x v="0"/>
    <s v="LA CHORRERA - PARQUE 10 DE NOV."/>
    <x v="2"/>
  </r>
  <r>
    <x v="47"/>
    <x v="286"/>
    <x v="10"/>
    <x v="10"/>
    <x v="1"/>
    <x v="0"/>
    <x v="33"/>
    <x v="297"/>
    <x v="1132"/>
    <x v="0"/>
    <s v="LA CHORRERA - PARQUE 10 DE NOV."/>
    <x v="2"/>
  </r>
  <r>
    <x v="47"/>
    <x v="317"/>
    <x v="10"/>
    <x v="10"/>
    <x v="1"/>
    <x v="0"/>
    <x v="33"/>
    <x v="401"/>
    <x v="146"/>
    <x v="0"/>
    <s v="LA CHORRERA - PARQUE 10 DE NOV."/>
    <x v="2"/>
  </r>
  <r>
    <x v="47"/>
    <x v="232"/>
    <x v="10"/>
    <x v="10"/>
    <x v="1"/>
    <x v="0"/>
    <x v="33"/>
    <x v="290"/>
    <x v="759"/>
    <x v="0"/>
    <s v="LA CHORRERA - PARQUE 10 DE NOV."/>
    <x v="2"/>
  </r>
  <r>
    <x v="47"/>
    <x v="186"/>
    <x v="10"/>
    <x v="10"/>
    <x v="1"/>
    <x v="0"/>
    <x v="33"/>
    <x v="321"/>
    <x v="146"/>
    <x v="0"/>
    <s v="LA CHORRERA - PARQUE 10 DE NOV."/>
    <x v="2"/>
  </r>
  <r>
    <x v="47"/>
    <x v="329"/>
    <x v="10"/>
    <x v="10"/>
    <x v="1"/>
    <x v="0"/>
    <x v="33"/>
    <x v="380"/>
    <x v="146"/>
    <x v="0"/>
    <s v="LA CHORRERA - PARQUE 10 DE NOV."/>
    <x v="2"/>
  </r>
  <r>
    <x v="47"/>
    <x v="233"/>
    <x v="10"/>
    <x v="10"/>
    <x v="1"/>
    <x v="0"/>
    <x v="33"/>
    <x v="344"/>
    <x v="934"/>
    <x v="0"/>
    <s v="LA CHORRERA - PARQUE 10 DE NOV."/>
    <x v="2"/>
  </r>
  <r>
    <x v="47"/>
    <x v="176"/>
    <x v="10"/>
    <x v="10"/>
    <x v="1"/>
    <x v="0"/>
    <x v="33"/>
    <x v="412"/>
    <x v="874"/>
    <x v="0"/>
    <s v="LA CHORRERA - PARQUE 10 DE NOV."/>
    <x v="2"/>
  </r>
  <r>
    <x v="47"/>
    <x v="325"/>
    <x v="11"/>
    <x v="11"/>
    <x v="1"/>
    <x v="0"/>
    <x v="33"/>
    <x v="421"/>
    <x v="982"/>
    <x v="0"/>
    <s v="LA CHORRERA - PARQUE 10 DE NOV."/>
    <x v="2"/>
  </r>
  <r>
    <x v="47"/>
    <x v="187"/>
    <x v="11"/>
    <x v="11"/>
    <x v="1"/>
    <x v="0"/>
    <x v="33"/>
    <x v="328"/>
    <x v="934"/>
    <x v="0"/>
    <s v="LA CHORRERA - PARQUE 10 DE NOV."/>
    <x v="2"/>
  </r>
  <r>
    <x v="47"/>
    <x v="201"/>
    <x v="11"/>
    <x v="11"/>
    <x v="1"/>
    <x v="0"/>
    <x v="33"/>
    <x v="422"/>
    <x v="1182"/>
    <x v="0"/>
    <s v="LA CHORRERA - PARQUE 10 DE NOV."/>
    <x v="2"/>
  </r>
  <r>
    <x v="47"/>
    <x v="299"/>
    <x v="11"/>
    <x v="11"/>
    <x v="1"/>
    <x v="0"/>
    <x v="33"/>
    <x v="315"/>
    <x v="899"/>
    <x v="0"/>
    <s v="LA CHORRERA - PARQUE 10 DE NOV."/>
    <x v="2"/>
  </r>
  <r>
    <x v="47"/>
    <x v="202"/>
    <x v="11"/>
    <x v="11"/>
    <x v="1"/>
    <x v="0"/>
    <x v="33"/>
    <x v="305"/>
    <x v="859"/>
    <x v="0"/>
    <s v="LA CHORRERA - PARQUE 10 DE NOV."/>
    <x v="2"/>
  </r>
  <r>
    <x v="47"/>
    <x v="311"/>
    <x v="11"/>
    <x v="11"/>
    <x v="1"/>
    <x v="0"/>
    <x v="33"/>
    <x v="440"/>
    <x v="899"/>
    <x v="0"/>
    <s v="LA CHORRERA - PARQUE 10 DE NOV."/>
    <x v="2"/>
  </r>
  <r>
    <x v="47"/>
    <x v="181"/>
    <x v="11"/>
    <x v="11"/>
    <x v="1"/>
    <x v="0"/>
    <x v="33"/>
    <x v="362"/>
    <x v="146"/>
    <x v="0"/>
    <s v="LA CHORRERA - PARQUE 10 DE NOV."/>
    <x v="2"/>
  </r>
  <r>
    <x v="47"/>
    <x v="300"/>
    <x v="2"/>
    <x v="2"/>
    <x v="1"/>
    <x v="0"/>
    <x v="33"/>
    <x v="316"/>
    <x v="934"/>
    <x v="0"/>
    <s v="LA CHORRERA - PARQUE 10 DE NOV."/>
    <x v="2"/>
  </r>
  <r>
    <x v="47"/>
    <x v="334"/>
    <x v="2"/>
    <x v="2"/>
    <x v="1"/>
    <x v="0"/>
    <x v="33"/>
    <x v="406"/>
    <x v="146"/>
    <x v="0"/>
    <s v="LA CHORRERA - PARQUE 10 DE NOV."/>
    <x v="2"/>
  </r>
  <r>
    <x v="47"/>
    <x v="221"/>
    <x v="2"/>
    <x v="2"/>
    <x v="1"/>
    <x v="0"/>
    <x v="63"/>
    <x v="446"/>
    <x v="952"/>
    <x v="0"/>
    <s v="LA CHORRERA - PARQUE 10 DE NOV."/>
    <x v="2"/>
  </r>
  <r>
    <x v="47"/>
    <x v="222"/>
    <x v="2"/>
    <x v="2"/>
    <x v="1"/>
    <x v="0"/>
    <x v="32"/>
    <x v="384"/>
    <x v="952"/>
    <x v="0"/>
    <s v="LA CHORRERA - PARQUE 10 DE NOV."/>
    <x v="2"/>
  </r>
  <r>
    <x v="47"/>
    <x v="182"/>
    <x v="2"/>
    <x v="2"/>
    <x v="1"/>
    <x v="0"/>
    <x v="62"/>
    <x v="59"/>
    <x v="1"/>
    <x v="342"/>
    <s v="LA CHORRERA - PARQUE 10 DE NOV."/>
    <x v="2"/>
  </r>
  <r>
    <x v="47"/>
    <x v="182"/>
    <x v="2"/>
    <x v="2"/>
    <x v="1"/>
    <x v="0"/>
    <x v="33"/>
    <x v="392"/>
    <x v="759"/>
    <x v="0"/>
    <s v="LA CHORRERA - PARQUE 10 DE NOV."/>
    <x v="2"/>
  </r>
  <r>
    <x v="47"/>
    <x v="216"/>
    <x v="2"/>
    <x v="2"/>
    <x v="1"/>
    <x v="0"/>
    <x v="33"/>
    <x v="332"/>
    <x v="874"/>
    <x v="0"/>
    <s v="LA CHORRERA - PARQUE 10 DE NOV."/>
    <x v="2"/>
  </r>
  <r>
    <x v="47"/>
    <x v="280"/>
    <x v="2"/>
    <x v="2"/>
    <x v="1"/>
    <x v="0"/>
    <x v="33"/>
    <x v="295"/>
    <x v="899"/>
    <x v="0"/>
    <s v="LA CHORRERA - PARQUE 10 DE NOV."/>
    <x v="2"/>
  </r>
  <r>
    <x v="47"/>
    <x v="223"/>
    <x v="2"/>
    <x v="2"/>
    <x v="1"/>
    <x v="0"/>
    <x v="33"/>
    <x v="434"/>
    <x v="934"/>
    <x v="0"/>
    <s v="LA CHORRERA - PARQUE 10 DE NOV."/>
    <x v="2"/>
  </r>
  <r>
    <x v="47"/>
    <x v="316"/>
    <x v="2"/>
    <x v="2"/>
    <x v="1"/>
    <x v="0"/>
    <x v="33"/>
    <x v="348"/>
    <x v="874"/>
    <x v="0"/>
    <s v="LA CHORRERA - PARQUE 10 DE NOV."/>
    <x v="2"/>
  </r>
  <r>
    <x v="47"/>
    <x v="224"/>
    <x v="2"/>
    <x v="2"/>
    <x v="1"/>
    <x v="0"/>
    <x v="33"/>
    <x v="414"/>
    <x v="146"/>
    <x v="0"/>
    <s v="LA CHORRERA - PARQUE 10 DE NOV."/>
    <x v="2"/>
  </r>
  <r>
    <x v="47"/>
    <x v="264"/>
    <x v="6"/>
    <x v="6"/>
    <x v="1"/>
    <x v="0"/>
    <x v="33"/>
    <x v="311"/>
    <x v="899"/>
    <x v="0"/>
    <s v="LA CHORRERA - PARQUE 10 DE NOV."/>
    <x v="2"/>
  </r>
  <r>
    <x v="47"/>
    <x v="281"/>
    <x v="6"/>
    <x v="6"/>
    <x v="1"/>
    <x v="0"/>
    <x v="33"/>
    <x v="395"/>
    <x v="1182"/>
    <x v="0"/>
    <s v="LA CHORRERA - PARQUE 10 DE NOV."/>
    <x v="2"/>
  </r>
  <r>
    <x v="47"/>
    <x v="265"/>
    <x v="6"/>
    <x v="6"/>
    <x v="1"/>
    <x v="0"/>
    <x v="33"/>
    <x v="386"/>
    <x v="874"/>
    <x v="0"/>
    <s v="LA CHORRERA - PARQUE 10 DE NOV."/>
    <x v="2"/>
  </r>
  <r>
    <x v="47"/>
    <x v="184"/>
    <x v="6"/>
    <x v="6"/>
    <x v="1"/>
    <x v="0"/>
    <x v="33"/>
    <x v="413"/>
    <x v="874"/>
    <x v="0"/>
    <s v="LA CHORRERA - PARQUE 10 DE NOV."/>
    <x v="2"/>
  </r>
  <r>
    <x v="47"/>
    <x v="314"/>
    <x v="6"/>
    <x v="6"/>
    <x v="1"/>
    <x v="0"/>
    <x v="33"/>
    <x v="372"/>
    <x v="874"/>
    <x v="0"/>
    <s v="LA CHORRERA - PARQUE 10 DE NOV."/>
    <x v="2"/>
  </r>
  <r>
    <x v="47"/>
    <x v="296"/>
    <x v="6"/>
    <x v="6"/>
    <x v="1"/>
    <x v="0"/>
    <x v="33"/>
    <x v="312"/>
    <x v="759"/>
    <x v="0"/>
    <s v="LA CHORRERA - PARQUE 10 DE NOV."/>
    <x v="2"/>
  </r>
  <r>
    <x v="47"/>
    <x v="297"/>
    <x v="6"/>
    <x v="6"/>
    <x v="1"/>
    <x v="0"/>
    <x v="33"/>
    <x v="313"/>
    <x v="952"/>
    <x v="0"/>
    <s v="LA CHORRERA - PARQUE 10 DE NOV."/>
    <x v="2"/>
  </r>
  <r>
    <x v="47"/>
    <x v="313"/>
    <x v="6"/>
    <x v="6"/>
    <x v="1"/>
    <x v="0"/>
    <x v="33"/>
    <x v="341"/>
    <x v="874"/>
    <x v="0"/>
    <s v="LA CHORRERA - PARQUE 10 DE NOV."/>
    <x v="2"/>
  </r>
  <r>
    <x v="47"/>
    <x v="218"/>
    <x v="6"/>
    <x v="6"/>
    <x v="1"/>
    <x v="0"/>
    <x v="33"/>
    <x v="451"/>
    <x v="874"/>
    <x v="0"/>
    <s v="LA CHORRERA - PARQUE 10 DE NOV."/>
    <x v="2"/>
  </r>
  <r>
    <x v="47"/>
    <x v="191"/>
    <x v="6"/>
    <x v="6"/>
    <x v="1"/>
    <x v="0"/>
    <x v="33"/>
    <x v="318"/>
    <x v="874"/>
    <x v="0"/>
    <s v="LA CHORRERA - PARQUE 10 DE NOV."/>
    <x v="2"/>
  </r>
  <r>
    <x v="47"/>
    <x v="179"/>
    <x v="7"/>
    <x v="7"/>
    <x v="1"/>
    <x v="1"/>
    <x v="33"/>
    <x v="415"/>
    <x v="759"/>
    <x v="0"/>
    <s v="LA CHORRERA - PARQUE 10 DE NOV."/>
    <x v="2"/>
  </r>
  <r>
    <x v="47"/>
    <x v="309"/>
    <x v="7"/>
    <x v="7"/>
    <x v="1"/>
    <x v="1"/>
    <x v="33"/>
    <x v="334"/>
    <x v="874"/>
    <x v="0"/>
    <s v="LA CHORRERA - PARQUE 10 DE NOV."/>
    <x v="2"/>
  </r>
  <r>
    <x v="47"/>
    <x v="209"/>
    <x v="7"/>
    <x v="7"/>
    <x v="1"/>
    <x v="1"/>
    <x v="33"/>
    <x v="428"/>
    <x v="874"/>
    <x v="0"/>
    <s v="LA CHORRERA - PARQUE 10 DE NOV."/>
    <x v="2"/>
  </r>
  <r>
    <x v="47"/>
    <x v="279"/>
    <x v="7"/>
    <x v="7"/>
    <x v="1"/>
    <x v="1"/>
    <x v="33"/>
    <x v="449"/>
    <x v="874"/>
    <x v="0"/>
    <s v="LA CHORRERA - PARQUE 10 DE NOV."/>
    <x v="2"/>
  </r>
  <r>
    <x v="47"/>
    <x v="326"/>
    <x v="8"/>
    <x v="8"/>
    <x v="1"/>
    <x v="1"/>
    <x v="33"/>
    <x v="423"/>
    <x v="874"/>
    <x v="0"/>
    <s v="LA CHORRERA - PARQUE 10 DE NOV."/>
    <x v="2"/>
  </r>
  <r>
    <x v="47"/>
    <x v="254"/>
    <x v="8"/>
    <x v="8"/>
    <x v="1"/>
    <x v="1"/>
    <x v="33"/>
    <x v="326"/>
    <x v="874"/>
    <x v="0"/>
    <s v="LA CHORRERA - PARQUE 10 DE NOV."/>
    <x v="2"/>
  </r>
  <r>
    <x v="47"/>
    <x v="323"/>
    <x v="8"/>
    <x v="8"/>
    <x v="1"/>
    <x v="1"/>
    <x v="33"/>
    <x v="367"/>
    <x v="874"/>
    <x v="0"/>
    <s v="LA CHORRERA - PARQUE 10 DE NOV."/>
    <x v="2"/>
  </r>
  <r>
    <x v="47"/>
    <x v="337"/>
    <x v="9"/>
    <x v="9"/>
    <x v="1"/>
    <x v="1"/>
    <x v="33"/>
    <x v="424"/>
    <x v="759"/>
    <x v="0"/>
    <s v="LA CHORRERA - PARQUE 10 DE NOV."/>
    <x v="2"/>
  </r>
  <r>
    <x v="47"/>
    <x v="227"/>
    <x v="9"/>
    <x v="9"/>
    <x v="1"/>
    <x v="1"/>
    <x v="33"/>
    <x v="399"/>
    <x v="874"/>
    <x v="0"/>
    <s v="LA CHORRERA - PARQUE 10 DE NOV."/>
    <x v="2"/>
  </r>
  <r>
    <x v="47"/>
    <x v="194"/>
    <x v="9"/>
    <x v="9"/>
    <x v="1"/>
    <x v="1"/>
    <x v="33"/>
    <x v="390"/>
    <x v="874"/>
    <x v="0"/>
    <s v="LA CHORRERA - PARQUE 10 DE NOV."/>
    <x v="2"/>
  </r>
  <r>
    <x v="47"/>
    <x v="238"/>
    <x v="9"/>
    <x v="9"/>
    <x v="1"/>
    <x v="1"/>
    <x v="33"/>
    <x v="379"/>
    <x v="146"/>
    <x v="0"/>
    <s v="LA CHORRERA - PARQUE 10 DE NOV."/>
    <x v="2"/>
  </r>
  <r>
    <x v="47"/>
    <x v="197"/>
    <x v="9"/>
    <x v="9"/>
    <x v="1"/>
    <x v="1"/>
    <x v="33"/>
    <x v="432"/>
    <x v="874"/>
    <x v="0"/>
    <s v="LA CHORRERA - PARQUE 10 DE NOV."/>
    <x v="2"/>
  </r>
  <r>
    <x v="47"/>
    <x v="291"/>
    <x v="9"/>
    <x v="9"/>
    <x v="1"/>
    <x v="1"/>
    <x v="33"/>
    <x v="303"/>
    <x v="765"/>
    <x v="0"/>
    <s v="LA CHORRERA - PARQUE 10 DE NOV."/>
    <x v="2"/>
  </r>
  <r>
    <x v="47"/>
    <x v="286"/>
    <x v="10"/>
    <x v="10"/>
    <x v="1"/>
    <x v="1"/>
    <x v="33"/>
    <x v="297"/>
    <x v="759"/>
    <x v="0"/>
    <s v="LA CHORRERA - PARQUE 10 DE NOV."/>
    <x v="2"/>
  </r>
  <r>
    <x v="47"/>
    <x v="317"/>
    <x v="10"/>
    <x v="10"/>
    <x v="1"/>
    <x v="1"/>
    <x v="33"/>
    <x v="401"/>
    <x v="874"/>
    <x v="0"/>
    <s v="LA CHORRERA - PARQUE 10 DE NOV."/>
    <x v="2"/>
  </r>
  <r>
    <x v="47"/>
    <x v="180"/>
    <x v="10"/>
    <x v="10"/>
    <x v="1"/>
    <x v="1"/>
    <x v="33"/>
    <x v="452"/>
    <x v="874"/>
    <x v="0"/>
    <s v="LA CHORRERA - PARQUE 10 DE NOV."/>
    <x v="2"/>
  </r>
  <r>
    <x v="47"/>
    <x v="268"/>
    <x v="10"/>
    <x v="10"/>
    <x v="1"/>
    <x v="1"/>
    <x v="33"/>
    <x v="339"/>
    <x v="874"/>
    <x v="0"/>
    <s v="LA CHORRERA - PARQUE 10 DE NOV."/>
    <x v="2"/>
  </r>
  <r>
    <x v="47"/>
    <x v="232"/>
    <x v="10"/>
    <x v="10"/>
    <x v="1"/>
    <x v="1"/>
    <x v="33"/>
    <x v="290"/>
    <x v="874"/>
    <x v="0"/>
    <s v="LA CHORRERA - PARQUE 10 DE NOV."/>
    <x v="2"/>
  </r>
  <r>
    <x v="47"/>
    <x v="186"/>
    <x v="10"/>
    <x v="10"/>
    <x v="1"/>
    <x v="1"/>
    <x v="33"/>
    <x v="321"/>
    <x v="759"/>
    <x v="0"/>
    <s v="LA CHORRERA - PARQUE 10 DE NOV."/>
    <x v="2"/>
  </r>
  <r>
    <x v="47"/>
    <x v="329"/>
    <x v="10"/>
    <x v="10"/>
    <x v="1"/>
    <x v="1"/>
    <x v="33"/>
    <x v="380"/>
    <x v="874"/>
    <x v="0"/>
    <s v="LA CHORRERA - PARQUE 10 DE NOV."/>
    <x v="2"/>
  </r>
  <r>
    <x v="47"/>
    <x v="233"/>
    <x v="10"/>
    <x v="10"/>
    <x v="1"/>
    <x v="1"/>
    <x v="33"/>
    <x v="344"/>
    <x v="759"/>
    <x v="0"/>
    <s v="LA CHORRERA - PARQUE 10 DE NOV."/>
    <x v="2"/>
  </r>
  <r>
    <x v="47"/>
    <x v="176"/>
    <x v="10"/>
    <x v="10"/>
    <x v="1"/>
    <x v="1"/>
    <x v="33"/>
    <x v="412"/>
    <x v="765"/>
    <x v="0"/>
    <s v="LA CHORRERA - PARQUE 10 DE NOV."/>
    <x v="2"/>
  </r>
  <r>
    <x v="47"/>
    <x v="189"/>
    <x v="10"/>
    <x v="10"/>
    <x v="1"/>
    <x v="1"/>
    <x v="33"/>
    <x v="345"/>
    <x v="874"/>
    <x v="0"/>
    <s v="LA CHORRERA - PARQUE 10 DE NOV."/>
    <x v="2"/>
  </r>
  <r>
    <x v="47"/>
    <x v="325"/>
    <x v="11"/>
    <x v="11"/>
    <x v="1"/>
    <x v="1"/>
    <x v="33"/>
    <x v="421"/>
    <x v="759"/>
    <x v="0"/>
    <s v="LA CHORRERA - PARQUE 10 DE NOV."/>
    <x v="2"/>
  </r>
  <r>
    <x v="47"/>
    <x v="187"/>
    <x v="11"/>
    <x v="11"/>
    <x v="1"/>
    <x v="1"/>
    <x v="33"/>
    <x v="328"/>
    <x v="874"/>
    <x v="0"/>
    <s v="LA CHORRERA - PARQUE 10 DE NOV."/>
    <x v="2"/>
  </r>
  <r>
    <x v="47"/>
    <x v="201"/>
    <x v="11"/>
    <x v="11"/>
    <x v="1"/>
    <x v="1"/>
    <x v="33"/>
    <x v="422"/>
    <x v="146"/>
    <x v="0"/>
    <s v="LA CHORRERA - PARQUE 10 DE NOV."/>
    <x v="2"/>
  </r>
  <r>
    <x v="47"/>
    <x v="299"/>
    <x v="11"/>
    <x v="11"/>
    <x v="1"/>
    <x v="1"/>
    <x v="33"/>
    <x v="315"/>
    <x v="874"/>
    <x v="0"/>
    <s v="LA CHORRERA - PARQUE 10 DE NOV."/>
    <x v="2"/>
  </r>
  <r>
    <x v="47"/>
    <x v="202"/>
    <x v="11"/>
    <x v="11"/>
    <x v="1"/>
    <x v="1"/>
    <x v="33"/>
    <x v="305"/>
    <x v="874"/>
    <x v="0"/>
    <s v="LA CHORRERA - PARQUE 10 DE NOV."/>
    <x v="2"/>
  </r>
  <r>
    <x v="47"/>
    <x v="311"/>
    <x v="11"/>
    <x v="11"/>
    <x v="1"/>
    <x v="1"/>
    <x v="33"/>
    <x v="440"/>
    <x v="934"/>
    <x v="0"/>
    <s v="LA CHORRERA - PARQUE 10 DE NOV."/>
    <x v="2"/>
  </r>
  <r>
    <x v="47"/>
    <x v="181"/>
    <x v="11"/>
    <x v="11"/>
    <x v="1"/>
    <x v="1"/>
    <x v="33"/>
    <x v="362"/>
    <x v="874"/>
    <x v="0"/>
    <s v="LA CHORRERA - PARQUE 10 DE NOV."/>
    <x v="2"/>
  </r>
  <r>
    <x v="47"/>
    <x v="222"/>
    <x v="2"/>
    <x v="2"/>
    <x v="1"/>
    <x v="1"/>
    <x v="32"/>
    <x v="384"/>
    <x v="874"/>
    <x v="0"/>
    <s v="LA CHORRERA - PARQUE 10 DE NOV."/>
    <x v="2"/>
  </r>
  <r>
    <x v="47"/>
    <x v="182"/>
    <x v="2"/>
    <x v="2"/>
    <x v="1"/>
    <x v="1"/>
    <x v="33"/>
    <x v="392"/>
    <x v="874"/>
    <x v="0"/>
    <s v="LA CHORRERA - PARQUE 10 DE NOV."/>
    <x v="2"/>
  </r>
  <r>
    <x v="47"/>
    <x v="216"/>
    <x v="2"/>
    <x v="2"/>
    <x v="1"/>
    <x v="1"/>
    <x v="33"/>
    <x v="332"/>
    <x v="765"/>
    <x v="0"/>
    <s v="LA CHORRERA - PARQUE 10 DE NOV."/>
    <x v="2"/>
  </r>
  <r>
    <x v="47"/>
    <x v="224"/>
    <x v="2"/>
    <x v="2"/>
    <x v="1"/>
    <x v="1"/>
    <x v="33"/>
    <x v="414"/>
    <x v="146"/>
    <x v="0"/>
    <s v="LA CHORRERA - PARQUE 10 DE NOV."/>
    <x v="2"/>
  </r>
  <r>
    <x v="47"/>
    <x v="264"/>
    <x v="6"/>
    <x v="6"/>
    <x v="1"/>
    <x v="1"/>
    <x v="33"/>
    <x v="311"/>
    <x v="1132"/>
    <x v="0"/>
    <s v="LA CHORRERA - PARQUE 10 DE NOV."/>
    <x v="2"/>
  </r>
  <r>
    <x v="47"/>
    <x v="281"/>
    <x v="6"/>
    <x v="6"/>
    <x v="1"/>
    <x v="1"/>
    <x v="33"/>
    <x v="395"/>
    <x v="874"/>
    <x v="0"/>
    <s v="LA CHORRERA - PARQUE 10 DE NOV."/>
    <x v="2"/>
  </r>
  <r>
    <x v="47"/>
    <x v="265"/>
    <x v="6"/>
    <x v="6"/>
    <x v="1"/>
    <x v="1"/>
    <x v="33"/>
    <x v="386"/>
    <x v="874"/>
    <x v="0"/>
    <s v="LA CHORRERA - PARQUE 10 DE NOV."/>
    <x v="2"/>
  </r>
  <r>
    <x v="47"/>
    <x v="184"/>
    <x v="6"/>
    <x v="6"/>
    <x v="1"/>
    <x v="1"/>
    <x v="33"/>
    <x v="413"/>
    <x v="874"/>
    <x v="0"/>
    <s v="LA CHORRERA - PARQUE 10 DE NOV."/>
    <x v="2"/>
  </r>
  <r>
    <x v="47"/>
    <x v="314"/>
    <x v="6"/>
    <x v="6"/>
    <x v="1"/>
    <x v="1"/>
    <x v="33"/>
    <x v="372"/>
    <x v="874"/>
    <x v="0"/>
    <s v="LA CHORRERA - PARQUE 10 DE NOV."/>
    <x v="2"/>
  </r>
  <r>
    <x v="47"/>
    <x v="266"/>
    <x v="6"/>
    <x v="6"/>
    <x v="1"/>
    <x v="1"/>
    <x v="33"/>
    <x v="370"/>
    <x v="759"/>
    <x v="0"/>
    <s v="LA CHORRERA - PARQUE 10 DE NOV."/>
    <x v="2"/>
  </r>
  <r>
    <x v="47"/>
    <x v="296"/>
    <x v="6"/>
    <x v="6"/>
    <x v="1"/>
    <x v="1"/>
    <x v="33"/>
    <x v="312"/>
    <x v="759"/>
    <x v="0"/>
    <s v="LA CHORRERA - PARQUE 10 DE NOV."/>
    <x v="2"/>
  </r>
  <r>
    <x v="47"/>
    <x v="229"/>
    <x v="6"/>
    <x v="6"/>
    <x v="1"/>
    <x v="1"/>
    <x v="33"/>
    <x v="281"/>
    <x v="146"/>
    <x v="0"/>
    <s v="LA CHORRERA - PARQUE 10 DE NOV."/>
    <x v="2"/>
  </r>
  <r>
    <x v="47"/>
    <x v="241"/>
    <x v="6"/>
    <x v="6"/>
    <x v="1"/>
    <x v="1"/>
    <x v="33"/>
    <x v="447"/>
    <x v="874"/>
    <x v="0"/>
    <s v="LA CHORRERA - PARQUE 10 DE NOV."/>
    <x v="2"/>
  </r>
  <r>
    <x v="48"/>
    <x v="310"/>
    <x v="10"/>
    <x v="10"/>
    <x v="1"/>
    <x v="2"/>
    <x v="32"/>
    <x v="335"/>
    <x v="3113"/>
    <x v="0"/>
    <s v="COSTA DEL ESTE - CENTENARIO"/>
    <x v="2"/>
  </r>
  <r>
    <x v="49"/>
    <x v="207"/>
    <x v="8"/>
    <x v="8"/>
    <x v="1"/>
    <x v="2"/>
    <x v="32"/>
    <x v="374"/>
    <x v="841"/>
    <x v="0"/>
    <s v="CLAYTON"/>
    <x v="2"/>
  </r>
  <r>
    <x v="49"/>
    <x v="243"/>
    <x v="10"/>
    <x v="10"/>
    <x v="1"/>
    <x v="2"/>
    <x v="32"/>
    <x v="411"/>
    <x v="1109"/>
    <x v="0"/>
    <s v="CLAYTON"/>
    <x v="2"/>
  </r>
  <r>
    <x v="49"/>
    <x v="330"/>
    <x v="11"/>
    <x v="11"/>
    <x v="1"/>
    <x v="2"/>
    <x v="32"/>
    <x v="381"/>
    <x v="1331"/>
    <x v="0"/>
    <s v="CLAYTON"/>
    <x v="2"/>
  </r>
  <r>
    <x v="49"/>
    <x v="173"/>
    <x v="8"/>
    <x v="8"/>
    <x v="1"/>
    <x v="0"/>
    <x v="33"/>
    <x v="378"/>
    <x v="874"/>
    <x v="0"/>
    <s v="CLAYTON"/>
    <x v="2"/>
  </r>
  <r>
    <x v="49"/>
    <x v="276"/>
    <x v="2"/>
    <x v="2"/>
    <x v="1"/>
    <x v="0"/>
    <x v="33"/>
    <x v="385"/>
    <x v="874"/>
    <x v="0"/>
    <s v="CLAYTON"/>
    <x v="2"/>
  </r>
  <r>
    <x v="50"/>
    <x v="238"/>
    <x v="9"/>
    <x v="9"/>
    <x v="1"/>
    <x v="2"/>
    <x v="32"/>
    <x v="379"/>
    <x v="1355"/>
    <x v="0"/>
    <s v="MARBELLA"/>
    <x v="2"/>
  </r>
  <r>
    <x v="50"/>
    <x v="330"/>
    <x v="11"/>
    <x v="11"/>
    <x v="1"/>
    <x v="2"/>
    <x v="32"/>
    <x v="381"/>
    <x v="3114"/>
    <x v="0"/>
    <s v="MARBELLA"/>
    <x v="2"/>
  </r>
  <r>
    <x v="50"/>
    <x v="229"/>
    <x v="6"/>
    <x v="6"/>
    <x v="1"/>
    <x v="2"/>
    <x v="32"/>
    <x v="281"/>
    <x v="2826"/>
    <x v="0"/>
    <s v="MARBELLA"/>
    <x v="2"/>
  </r>
  <r>
    <x v="51"/>
    <x v="217"/>
    <x v="6"/>
    <x v="6"/>
    <x v="1"/>
    <x v="2"/>
    <x v="32"/>
    <x v="323"/>
    <x v="3115"/>
    <x v="0"/>
    <s v="PLAZA CAROLINA"/>
    <x v="2"/>
  </r>
  <r>
    <x v="52"/>
    <x v="263"/>
    <x v="10"/>
    <x v="10"/>
    <x v="1"/>
    <x v="2"/>
    <x v="32"/>
    <x v="436"/>
    <x v="3116"/>
    <x v="0"/>
    <s v="PLAZA CORDOBA"/>
    <x v="2"/>
  </r>
  <r>
    <x v="53"/>
    <x v="327"/>
    <x v="7"/>
    <x v="7"/>
    <x v="1"/>
    <x v="0"/>
    <x v="33"/>
    <x v="387"/>
    <x v="759"/>
    <x v="0"/>
    <s v="VIA SIMON BOLIVAR"/>
    <x v="2"/>
  </r>
  <r>
    <x v="53"/>
    <x v="258"/>
    <x v="7"/>
    <x v="7"/>
    <x v="1"/>
    <x v="0"/>
    <x v="33"/>
    <x v="349"/>
    <x v="874"/>
    <x v="0"/>
    <s v="VIA SIMON BOLIVAR"/>
    <x v="2"/>
  </r>
  <r>
    <x v="53"/>
    <x v="206"/>
    <x v="7"/>
    <x v="7"/>
    <x v="1"/>
    <x v="0"/>
    <x v="33"/>
    <x v="284"/>
    <x v="759"/>
    <x v="0"/>
    <s v="VIA SIMON BOLIVAR"/>
    <x v="2"/>
  </r>
  <r>
    <x v="53"/>
    <x v="326"/>
    <x v="8"/>
    <x v="8"/>
    <x v="1"/>
    <x v="0"/>
    <x v="33"/>
    <x v="423"/>
    <x v="759"/>
    <x v="0"/>
    <s v="VIA SIMON BOLIVAR"/>
    <x v="2"/>
  </r>
  <r>
    <x v="53"/>
    <x v="173"/>
    <x v="8"/>
    <x v="8"/>
    <x v="1"/>
    <x v="0"/>
    <x v="33"/>
    <x v="378"/>
    <x v="759"/>
    <x v="0"/>
    <s v="VIA SIMON BOLIVAR"/>
    <x v="2"/>
  </r>
  <r>
    <x v="53"/>
    <x v="337"/>
    <x v="9"/>
    <x v="9"/>
    <x v="1"/>
    <x v="0"/>
    <x v="33"/>
    <x v="424"/>
    <x v="874"/>
    <x v="0"/>
    <s v="VIA SIMON BOLIVAR"/>
    <x v="2"/>
  </r>
  <r>
    <x v="53"/>
    <x v="194"/>
    <x v="9"/>
    <x v="9"/>
    <x v="1"/>
    <x v="0"/>
    <x v="33"/>
    <x v="390"/>
    <x v="759"/>
    <x v="0"/>
    <s v="VIA SIMON BOLIVAR"/>
    <x v="2"/>
  </r>
  <r>
    <x v="53"/>
    <x v="178"/>
    <x v="9"/>
    <x v="9"/>
    <x v="1"/>
    <x v="0"/>
    <x v="33"/>
    <x v="353"/>
    <x v="146"/>
    <x v="0"/>
    <s v="VIA SIMON BOLIVAR"/>
    <x v="2"/>
  </r>
  <r>
    <x v="53"/>
    <x v="317"/>
    <x v="10"/>
    <x v="10"/>
    <x v="1"/>
    <x v="0"/>
    <x v="33"/>
    <x v="401"/>
    <x v="759"/>
    <x v="0"/>
    <s v="VIA SIMON BOLIVAR"/>
    <x v="2"/>
  </r>
  <r>
    <x v="53"/>
    <x v="248"/>
    <x v="10"/>
    <x v="10"/>
    <x v="1"/>
    <x v="0"/>
    <x v="33"/>
    <x v="304"/>
    <x v="146"/>
    <x v="0"/>
    <s v="VIA SIMON BOLIVAR"/>
    <x v="2"/>
  </r>
  <r>
    <x v="53"/>
    <x v="269"/>
    <x v="11"/>
    <x v="11"/>
    <x v="1"/>
    <x v="0"/>
    <x v="33"/>
    <x v="403"/>
    <x v="759"/>
    <x v="0"/>
    <s v="VIA SIMON BOLIVAR"/>
    <x v="2"/>
  </r>
  <r>
    <x v="53"/>
    <x v="187"/>
    <x v="11"/>
    <x v="11"/>
    <x v="1"/>
    <x v="0"/>
    <x v="33"/>
    <x v="328"/>
    <x v="146"/>
    <x v="0"/>
    <s v="VIA SIMON BOLIVAR"/>
    <x v="2"/>
  </r>
  <r>
    <x v="53"/>
    <x v="202"/>
    <x v="11"/>
    <x v="11"/>
    <x v="1"/>
    <x v="0"/>
    <x v="33"/>
    <x v="305"/>
    <x v="874"/>
    <x v="0"/>
    <s v="VIA SIMON BOLIVAR"/>
    <x v="2"/>
  </r>
  <r>
    <x v="53"/>
    <x v="294"/>
    <x v="11"/>
    <x v="11"/>
    <x v="1"/>
    <x v="0"/>
    <x v="33"/>
    <x v="382"/>
    <x v="874"/>
    <x v="0"/>
    <s v="VIA SIMON BOLIVAR"/>
    <x v="2"/>
  </r>
  <r>
    <x v="53"/>
    <x v="223"/>
    <x v="2"/>
    <x v="2"/>
    <x v="1"/>
    <x v="0"/>
    <x v="33"/>
    <x v="434"/>
    <x v="874"/>
    <x v="0"/>
    <s v="VIA SIMON BOLIVAR"/>
    <x v="2"/>
  </r>
  <r>
    <x v="53"/>
    <x v="276"/>
    <x v="2"/>
    <x v="2"/>
    <x v="1"/>
    <x v="0"/>
    <x v="33"/>
    <x v="385"/>
    <x v="759"/>
    <x v="0"/>
    <s v="VIA SIMON BOLIVAR"/>
    <x v="2"/>
  </r>
  <r>
    <x v="53"/>
    <x v="236"/>
    <x v="6"/>
    <x v="6"/>
    <x v="1"/>
    <x v="0"/>
    <x v="33"/>
    <x v="371"/>
    <x v="146"/>
    <x v="0"/>
    <s v="VIA SIMON BOLIVAR"/>
    <x v="2"/>
  </r>
  <r>
    <x v="53"/>
    <x v="218"/>
    <x v="6"/>
    <x v="6"/>
    <x v="1"/>
    <x v="0"/>
    <x v="33"/>
    <x v="451"/>
    <x v="759"/>
    <x v="0"/>
    <s v="VIA SIMON BOLIVAR"/>
    <x v="2"/>
  </r>
  <r>
    <x v="53"/>
    <x v="174"/>
    <x v="6"/>
    <x v="6"/>
    <x v="1"/>
    <x v="0"/>
    <x v="33"/>
    <x v="282"/>
    <x v="874"/>
    <x v="0"/>
    <s v="VIA SIMON BOLIVAR"/>
    <x v="2"/>
  </r>
  <r>
    <x v="53"/>
    <x v="190"/>
    <x v="6"/>
    <x v="6"/>
    <x v="1"/>
    <x v="0"/>
    <x v="33"/>
    <x v="342"/>
    <x v="874"/>
    <x v="0"/>
    <s v="VIA SIMON BOLIVAR"/>
    <x v="2"/>
  </r>
  <r>
    <x v="53"/>
    <x v="191"/>
    <x v="6"/>
    <x v="6"/>
    <x v="1"/>
    <x v="0"/>
    <x v="33"/>
    <x v="318"/>
    <x v="146"/>
    <x v="0"/>
    <s v="VIA SIMON BOLIVAR"/>
    <x v="2"/>
  </r>
  <r>
    <x v="55"/>
    <x v="259"/>
    <x v="7"/>
    <x v="7"/>
    <x v="1"/>
    <x v="20"/>
    <x v="33"/>
    <x v="355"/>
    <x v="3117"/>
    <x v="0"/>
    <s v="NEGOCIOS"/>
    <x v="2"/>
  </r>
  <r>
    <x v="55"/>
    <x v="225"/>
    <x v="7"/>
    <x v="7"/>
    <x v="1"/>
    <x v="20"/>
    <x v="32"/>
    <x v="416"/>
    <x v="3118"/>
    <x v="0"/>
    <s v="NEGOCIOS"/>
    <x v="2"/>
  </r>
  <r>
    <x v="55"/>
    <x v="210"/>
    <x v="7"/>
    <x v="7"/>
    <x v="1"/>
    <x v="20"/>
    <x v="32"/>
    <x v="418"/>
    <x v="2943"/>
    <x v="0"/>
    <s v="NEGOCIOS"/>
    <x v="2"/>
  </r>
  <r>
    <x v="55"/>
    <x v="251"/>
    <x v="8"/>
    <x v="8"/>
    <x v="1"/>
    <x v="20"/>
    <x v="32"/>
    <x v="291"/>
    <x v="764"/>
    <x v="0"/>
    <s v="NEGOCIOS"/>
    <x v="2"/>
  </r>
  <r>
    <x v="55"/>
    <x v="247"/>
    <x v="8"/>
    <x v="8"/>
    <x v="1"/>
    <x v="20"/>
    <x v="32"/>
    <x v="289"/>
    <x v="1675"/>
    <x v="0"/>
    <s v="NEGOCIOS"/>
    <x v="2"/>
  </r>
  <r>
    <x v="55"/>
    <x v="254"/>
    <x v="8"/>
    <x v="8"/>
    <x v="1"/>
    <x v="20"/>
    <x v="32"/>
    <x v="326"/>
    <x v="3119"/>
    <x v="0"/>
    <s v="NEGOCIOS"/>
    <x v="2"/>
  </r>
  <r>
    <x v="55"/>
    <x v="263"/>
    <x v="10"/>
    <x v="10"/>
    <x v="1"/>
    <x v="20"/>
    <x v="32"/>
    <x v="436"/>
    <x v="1505"/>
    <x v="0"/>
    <s v="NEGOCIOS"/>
    <x v="2"/>
  </r>
  <r>
    <x v="55"/>
    <x v="193"/>
    <x v="11"/>
    <x v="11"/>
    <x v="1"/>
    <x v="20"/>
    <x v="33"/>
    <x v="369"/>
    <x v="3120"/>
    <x v="0"/>
    <s v="NEGOCIOS"/>
    <x v="2"/>
  </r>
  <r>
    <x v="55"/>
    <x v="330"/>
    <x v="11"/>
    <x v="11"/>
    <x v="1"/>
    <x v="20"/>
    <x v="32"/>
    <x v="381"/>
    <x v="2943"/>
    <x v="0"/>
    <s v="NEGOCIOS"/>
    <x v="2"/>
  </r>
  <r>
    <x v="55"/>
    <x v="217"/>
    <x v="6"/>
    <x v="6"/>
    <x v="1"/>
    <x v="20"/>
    <x v="32"/>
    <x v="323"/>
    <x v="3121"/>
    <x v="0"/>
    <s v="NEGOCIOS"/>
    <x v="2"/>
  </r>
  <r>
    <x v="55"/>
    <x v="305"/>
    <x v="6"/>
    <x v="6"/>
    <x v="1"/>
    <x v="20"/>
    <x v="33"/>
    <x v="331"/>
    <x v="3122"/>
    <x v="0"/>
    <s v="NEGOCIOS"/>
    <x v="2"/>
  </r>
  <r>
    <x v="55"/>
    <x v="266"/>
    <x v="6"/>
    <x v="6"/>
    <x v="1"/>
    <x v="20"/>
    <x v="32"/>
    <x v="370"/>
    <x v="3123"/>
    <x v="0"/>
    <s v="NEGOCIOS"/>
    <x v="2"/>
  </r>
  <r>
    <x v="55"/>
    <x v="335"/>
    <x v="6"/>
    <x v="6"/>
    <x v="1"/>
    <x v="20"/>
    <x v="32"/>
    <x v="408"/>
    <x v="1942"/>
    <x v="0"/>
    <s v="NEGOCIOS"/>
    <x v="2"/>
  </r>
  <r>
    <x v="55"/>
    <x v="209"/>
    <x v="7"/>
    <x v="7"/>
    <x v="1"/>
    <x v="21"/>
    <x v="33"/>
    <x v="428"/>
    <x v="3124"/>
    <x v="0"/>
    <s v="NEGOCIOS"/>
    <x v="2"/>
  </r>
  <r>
    <x v="55"/>
    <x v="254"/>
    <x v="8"/>
    <x v="8"/>
    <x v="1"/>
    <x v="21"/>
    <x v="32"/>
    <x v="326"/>
    <x v="3125"/>
    <x v="0"/>
    <s v="NEGOCIOS"/>
    <x v="2"/>
  </r>
  <r>
    <x v="55"/>
    <x v="198"/>
    <x v="10"/>
    <x v="10"/>
    <x v="1"/>
    <x v="21"/>
    <x v="33"/>
    <x v="338"/>
    <x v="2325"/>
    <x v="0"/>
    <s v="NEGOCIOS"/>
    <x v="2"/>
  </r>
  <r>
    <x v="55"/>
    <x v="243"/>
    <x v="10"/>
    <x v="10"/>
    <x v="1"/>
    <x v="21"/>
    <x v="33"/>
    <x v="411"/>
    <x v="3126"/>
    <x v="0"/>
    <s v="NEGOCIOS"/>
    <x v="2"/>
  </r>
  <r>
    <x v="55"/>
    <x v="302"/>
    <x v="11"/>
    <x v="11"/>
    <x v="1"/>
    <x v="21"/>
    <x v="33"/>
    <x v="324"/>
    <x v="3127"/>
    <x v="0"/>
    <s v="NEGOCIOS"/>
    <x v="2"/>
  </r>
  <r>
    <x v="55"/>
    <x v="314"/>
    <x v="6"/>
    <x v="6"/>
    <x v="1"/>
    <x v="21"/>
    <x v="32"/>
    <x v="372"/>
    <x v="1"/>
    <x v="597"/>
    <s v="NEGOCIOS"/>
    <x v="2"/>
  </r>
  <r>
    <x v="55"/>
    <x v="229"/>
    <x v="6"/>
    <x v="6"/>
    <x v="1"/>
    <x v="21"/>
    <x v="33"/>
    <x v="281"/>
    <x v="3128"/>
    <x v="0"/>
    <s v="NEGOCIOS"/>
    <x v="2"/>
  </r>
  <r>
    <x v="55"/>
    <x v="266"/>
    <x v="6"/>
    <x v="6"/>
    <x v="1"/>
    <x v="22"/>
    <x v="32"/>
    <x v="370"/>
    <x v="3129"/>
    <x v="0"/>
    <s v="NEGOCIOS"/>
    <x v="2"/>
  </r>
  <r>
    <x v="55"/>
    <x v="194"/>
    <x v="9"/>
    <x v="9"/>
    <x v="1"/>
    <x v="3"/>
    <x v="33"/>
    <x v="390"/>
    <x v="736"/>
    <x v="0"/>
    <s v="NEGOCIOS"/>
    <x v="2"/>
  </r>
  <r>
    <x v="55"/>
    <x v="333"/>
    <x v="9"/>
    <x v="9"/>
    <x v="1"/>
    <x v="3"/>
    <x v="33"/>
    <x v="400"/>
    <x v="146"/>
    <x v="0"/>
    <s v="NEGOCIOS"/>
    <x v="2"/>
  </r>
  <r>
    <x v="55"/>
    <x v="211"/>
    <x v="9"/>
    <x v="9"/>
    <x v="1"/>
    <x v="3"/>
    <x v="33"/>
    <x v="286"/>
    <x v="735"/>
    <x v="0"/>
    <s v="NEGOCIOS"/>
    <x v="2"/>
  </r>
  <r>
    <x v="55"/>
    <x v="255"/>
    <x v="9"/>
    <x v="9"/>
    <x v="1"/>
    <x v="3"/>
    <x v="33"/>
    <x v="293"/>
    <x v="3130"/>
    <x v="0"/>
    <s v="NEGOCIOS"/>
    <x v="2"/>
  </r>
  <r>
    <x v="55"/>
    <x v="230"/>
    <x v="9"/>
    <x v="9"/>
    <x v="1"/>
    <x v="3"/>
    <x v="33"/>
    <x v="283"/>
    <x v="905"/>
    <x v="0"/>
    <s v="NEGOCIOS"/>
    <x v="2"/>
  </r>
  <r>
    <x v="55"/>
    <x v="180"/>
    <x v="10"/>
    <x v="10"/>
    <x v="1"/>
    <x v="3"/>
    <x v="33"/>
    <x v="452"/>
    <x v="911"/>
    <x v="0"/>
    <s v="NEGOCIOS"/>
    <x v="2"/>
  </r>
  <r>
    <x v="55"/>
    <x v="205"/>
    <x v="7"/>
    <x v="7"/>
    <x v="1"/>
    <x v="4"/>
    <x v="33"/>
    <x v="299"/>
    <x v="759"/>
    <x v="0"/>
    <s v="NEGOCIOS"/>
    <x v="2"/>
  </r>
  <r>
    <x v="55"/>
    <x v="206"/>
    <x v="7"/>
    <x v="7"/>
    <x v="1"/>
    <x v="4"/>
    <x v="33"/>
    <x v="284"/>
    <x v="736"/>
    <x v="0"/>
    <s v="NEGOCIOS"/>
    <x v="2"/>
  </r>
  <r>
    <x v="55"/>
    <x v="244"/>
    <x v="10"/>
    <x v="10"/>
    <x v="1"/>
    <x v="4"/>
    <x v="32"/>
    <x v="433"/>
    <x v="3131"/>
    <x v="0"/>
    <s v="NEGOCIOS"/>
    <x v="2"/>
  </r>
  <r>
    <x v="55"/>
    <x v="187"/>
    <x v="11"/>
    <x v="11"/>
    <x v="1"/>
    <x v="4"/>
    <x v="33"/>
    <x v="328"/>
    <x v="3132"/>
    <x v="0"/>
    <s v="NEGOCIOS"/>
    <x v="2"/>
  </r>
  <r>
    <x v="55"/>
    <x v="275"/>
    <x v="11"/>
    <x v="11"/>
    <x v="1"/>
    <x v="4"/>
    <x v="33"/>
    <x v="307"/>
    <x v="3133"/>
    <x v="0"/>
    <s v="NEGOCIOS"/>
    <x v="2"/>
  </r>
  <r>
    <x v="55"/>
    <x v="314"/>
    <x v="6"/>
    <x v="6"/>
    <x v="1"/>
    <x v="4"/>
    <x v="32"/>
    <x v="372"/>
    <x v="1"/>
    <x v="598"/>
    <s v="NEGOCIOS"/>
    <x v="2"/>
  </r>
  <r>
    <x v="55"/>
    <x v="268"/>
    <x v="10"/>
    <x v="10"/>
    <x v="1"/>
    <x v="5"/>
    <x v="32"/>
    <x v="339"/>
    <x v="743"/>
    <x v="0"/>
    <s v="NEGOCIOS"/>
    <x v="2"/>
  </r>
  <r>
    <x v="55"/>
    <x v="181"/>
    <x v="11"/>
    <x v="11"/>
    <x v="1"/>
    <x v="5"/>
    <x v="33"/>
    <x v="362"/>
    <x v="3134"/>
    <x v="0"/>
    <s v="NEGOCIOS"/>
    <x v="2"/>
  </r>
  <r>
    <x v="55"/>
    <x v="252"/>
    <x v="7"/>
    <x v="7"/>
    <x v="1"/>
    <x v="6"/>
    <x v="33"/>
    <x v="396"/>
    <x v="899"/>
    <x v="0"/>
    <s v="NEGOCIOS"/>
    <x v="2"/>
  </r>
  <r>
    <x v="55"/>
    <x v="260"/>
    <x v="7"/>
    <x v="7"/>
    <x v="1"/>
    <x v="6"/>
    <x v="32"/>
    <x v="437"/>
    <x v="3135"/>
    <x v="0"/>
    <s v="NEGOCIOS"/>
    <x v="2"/>
  </r>
  <r>
    <x v="55"/>
    <x v="254"/>
    <x v="8"/>
    <x v="8"/>
    <x v="1"/>
    <x v="6"/>
    <x v="33"/>
    <x v="326"/>
    <x v="3136"/>
    <x v="0"/>
    <s v="NEGOCIOS"/>
    <x v="2"/>
  </r>
  <r>
    <x v="55"/>
    <x v="185"/>
    <x v="8"/>
    <x v="8"/>
    <x v="1"/>
    <x v="6"/>
    <x v="32"/>
    <x v="296"/>
    <x v="2015"/>
    <x v="0"/>
    <s v="NEGOCIOS"/>
    <x v="2"/>
  </r>
  <r>
    <x v="55"/>
    <x v="194"/>
    <x v="9"/>
    <x v="9"/>
    <x v="1"/>
    <x v="6"/>
    <x v="33"/>
    <x v="390"/>
    <x v="899"/>
    <x v="0"/>
    <s v="NEGOCIOS"/>
    <x v="2"/>
  </r>
  <r>
    <x v="55"/>
    <x v="242"/>
    <x v="9"/>
    <x v="9"/>
    <x v="1"/>
    <x v="6"/>
    <x v="33"/>
    <x v="435"/>
    <x v="3137"/>
    <x v="0"/>
    <s v="NEGOCIOS"/>
    <x v="2"/>
  </r>
  <r>
    <x v="55"/>
    <x v="219"/>
    <x v="9"/>
    <x v="9"/>
    <x v="1"/>
    <x v="6"/>
    <x v="33"/>
    <x v="308"/>
    <x v="3138"/>
    <x v="0"/>
    <s v="NEGOCIOS"/>
    <x v="2"/>
  </r>
  <r>
    <x v="55"/>
    <x v="331"/>
    <x v="9"/>
    <x v="9"/>
    <x v="1"/>
    <x v="6"/>
    <x v="32"/>
    <x v="391"/>
    <x v="1759"/>
    <x v="0"/>
    <s v="NEGOCIOS"/>
    <x v="2"/>
  </r>
  <r>
    <x v="55"/>
    <x v="198"/>
    <x v="10"/>
    <x v="10"/>
    <x v="1"/>
    <x v="6"/>
    <x v="33"/>
    <x v="338"/>
    <x v="909"/>
    <x v="0"/>
    <s v="NEGOCIOS"/>
    <x v="2"/>
  </r>
  <r>
    <x v="55"/>
    <x v="263"/>
    <x v="10"/>
    <x v="10"/>
    <x v="1"/>
    <x v="6"/>
    <x v="32"/>
    <x v="436"/>
    <x v="3139"/>
    <x v="0"/>
    <s v="NEGOCIOS"/>
    <x v="2"/>
  </r>
  <r>
    <x v="55"/>
    <x v="310"/>
    <x v="10"/>
    <x v="10"/>
    <x v="1"/>
    <x v="6"/>
    <x v="32"/>
    <x v="335"/>
    <x v="3140"/>
    <x v="0"/>
    <s v="NEGOCIOS"/>
    <x v="2"/>
  </r>
  <r>
    <x v="55"/>
    <x v="243"/>
    <x v="10"/>
    <x v="10"/>
    <x v="1"/>
    <x v="6"/>
    <x v="32"/>
    <x v="411"/>
    <x v="3141"/>
    <x v="0"/>
    <s v="NEGOCIOS"/>
    <x v="2"/>
  </r>
  <r>
    <x v="55"/>
    <x v="268"/>
    <x v="10"/>
    <x v="10"/>
    <x v="1"/>
    <x v="6"/>
    <x v="32"/>
    <x v="339"/>
    <x v="3142"/>
    <x v="0"/>
    <s v="NEGOCIOS"/>
    <x v="2"/>
  </r>
  <r>
    <x v="55"/>
    <x v="186"/>
    <x v="10"/>
    <x v="10"/>
    <x v="1"/>
    <x v="6"/>
    <x v="33"/>
    <x v="321"/>
    <x v="3143"/>
    <x v="0"/>
    <s v="NEGOCIOS"/>
    <x v="2"/>
  </r>
  <r>
    <x v="55"/>
    <x v="200"/>
    <x v="11"/>
    <x v="11"/>
    <x v="1"/>
    <x v="6"/>
    <x v="32"/>
    <x v="351"/>
    <x v="3144"/>
    <x v="0"/>
    <s v="NEGOCIOS"/>
    <x v="2"/>
  </r>
  <r>
    <x v="55"/>
    <x v="200"/>
    <x v="11"/>
    <x v="11"/>
    <x v="1"/>
    <x v="6"/>
    <x v="33"/>
    <x v="351"/>
    <x v="798"/>
    <x v="0"/>
    <s v="NEGOCIOS"/>
    <x v="2"/>
  </r>
  <r>
    <x v="55"/>
    <x v="282"/>
    <x v="11"/>
    <x v="11"/>
    <x v="1"/>
    <x v="6"/>
    <x v="32"/>
    <x v="358"/>
    <x v="1165"/>
    <x v="0"/>
    <s v="NEGOCIOS"/>
    <x v="2"/>
  </r>
  <r>
    <x v="55"/>
    <x v="220"/>
    <x v="11"/>
    <x v="11"/>
    <x v="1"/>
    <x v="6"/>
    <x v="32"/>
    <x v="309"/>
    <x v="366"/>
    <x v="0"/>
    <s v="NEGOCIOS"/>
    <x v="2"/>
  </r>
  <r>
    <x v="55"/>
    <x v="201"/>
    <x v="11"/>
    <x v="11"/>
    <x v="1"/>
    <x v="6"/>
    <x v="32"/>
    <x v="422"/>
    <x v="3145"/>
    <x v="0"/>
    <s v="NEGOCIOS"/>
    <x v="2"/>
  </r>
  <r>
    <x v="55"/>
    <x v="202"/>
    <x v="11"/>
    <x v="11"/>
    <x v="1"/>
    <x v="6"/>
    <x v="32"/>
    <x v="305"/>
    <x v="1"/>
    <x v="599"/>
    <s v="NEGOCIOS"/>
    <x v="2"/>
  </r>
  <r>
    <x v="55"/>
    <x v="330"/>
    <x v="11"/>
    <x v="11"/>
    <x v="1"/>
    <x v="6"/>
    <x v="32"/>
    <x v="381"/>
    <x v="1560"/>
    <x v="0"/>
    <s v="NEGOCIOS"/>
    <x v="2"/>
  </r>
  <r>
    <x v="55"/>
    <x v="214"/>
    <x v="11"/>
    <x v="11"/>
    <x v="1"/>
    <x v="6"/>
    <x v="32"/>
    <x v="306"/>
    <x v="146"/>
    <x v="0"/>
    <s v="NEGOCIOS"/>
    <x v="2"/>
  </r>
  <r>
    <x v="55"/>
    <x v="315"/>
    <x v="2"/>
    <x v="2"/>
    <x v="1"/>
    <x v="6"/>
    <x v="32"/>
    <x v="405"/>
    <x v="3146"/>
    <x v="0"/>
    <s v="NEGOCIOS"/>
    <x v="2"/>
  </r>
  <r>
    <x v="55"/>
    <x v="240"/>
    <x v="2"/>
    <x v="2"/>
    <x v="1"/>
    <x v="6"/>
    <x v="32"/>
    <x v="442"/>
    <x v="3147"/>
    <x v="0"/>
    <s v="NEGOCIOS"/>
    <x v="2"/>
  </r>
  <r>
    <x v="55"/>
    <x v="316"/>
    <x v="2"/>
    <x v="2"/>
    <x v="1"/>
    <x v="6"/>
    <x v="32"/>
    <x v="348"/>
    <x v="3148"/>
    <x v="0"/>
    <s v="NEGOCIOS"/>
    <x v="2"/>
  </r>
  <r>
    <x v="55"/>
    <x v="183"/>
    <x v="2"/>
    <x v="2"/>
    <x v="1"/>
    <x v="6"/>
    <x v="32"/>
    <x v="330"/>
    <x v="3149"/>
    <x v="0"/>
    <s v="NEGOCIOS"/>
    <x v="2"/>
  </r>
  <r>
    <x v="55"/>
    <x v="217"/>
    <x v="6"/>
    <x v="6"/>
    <x v="1"/>
    <x v="6"/>
    <x v="32"/>
    <x v="323"/>
    <x v="1499"/>
    <x v="0"/>
    <s v="NEGOCIOS"/>
    <x v="2"/>
  </r>
  <r>
    <x v="55"/>
    <x v="266"/>
    <x v="6"/>
    <x v="6"/>
    <x v="1"/>
    <x v="6"/>
    <x v="32"/>
    <x v="370"/>
    <x v="1200"/>
    <x v="0"/>
    <s v="NEGOCIOS"/>
    <x v="2"/>
  </r>
  <r>
    <x v="55"/>
    <x v="335"/>
    <x v="6"/>
    <x v="6"/>
    <x v="1"/>
    <x v="6"/>
    <x v="32"/>
    <x v="408"/>
    <x v="3150"/>
    <x v="0"/>
    <s v="NEGOCIOS"/>
    <x v="2"/>
  </r>
  <r>
    <x v="55"/>
    <x v="255"/>
    <x v="9"/>
    <x v="9"/>
    <x v="1"/>
    <x v="25"/>
    <x v="33"/>
    <x v="293"/>
    <x v="3151"/>
    <x v="0"/>
    <s v="NEGOCIOS"/>
    <x v="2"/>
  </r>
  <r>
    <x v="55"/>
    <x v="290"/>
    <x v="9"/>
    <x v="9"/>
    <x v="1"/>
    <x v="7"/>
    <x v="32"/>
    <x v="302"/>
    <x v="3152"/>
    <x v="0"/>
    <s v="NEGOCIOS"/>
    <x v="2"/>
  </r>
  <r>
    <x v="55"/>
    <x v="310"/>
    <x v="10"/>
    <x v="10"/>
    <x v="1"/>
    <x v="7"/>
    <x v="32"/>
    <x v="335"/>
    <x v="3153"/>
    <x v="0"/>
    <s v="NEGOCIOS"/>
    <x v="2"/>
  </r>
  <r>
    <x v="55"/>
    <x v="335"/>
    <x v="6"/>
    <x v="6"/>
    <x v="1"/>
    <x v="7"/>
    <x v="32"/>
    <x v="408"/>
    <x v="3154"/>
    <x v="0"/>
    <s v="NEGOCIOS"/>
    <x v="2"/>
  </r>
  <r>
    <x v="55"/>
    <x v="261"/>
    <x v="8"/>
    <x v="8"/>
    <x v="1"/>
    <x v="8"/>
    <x v="33"/>
    <x v="320"/>
    <x v="3155"/>
    <x v="0"/>
    <s v="NEGOCIOS"/>
    <x v="2"/>
  </r>
  <r>
    <x v="55"/>
    <x v="196"/>
    <x v="8"/>
    <x v="8"/>
    <x v="1"/>
    <x v="8"/>
    <x v="33"/>
    <x v="375"/>
    <x v="3156"/>
    <x v="0"/>
    <s v="NEGOCIOS"/>
    <x v="2"/>
  </r>
  <r>
    <x v="55"/>
    <x v="243"/>
    <x v="10"/>
    <x v="10"/>
    <x v="1"/>
    <x v="8"/>
    <x v="33"/>
    <x v="411"/>
    <x v="736"/>
    <x v="0"/>
    <s v="NEGOCIOS"/>
    <x v="2"/>
  </r>
  <r>
    <x v="55"/>
    <x v="232"/>
    <x v="10"/>
    <x v="10"/>
    <x v="1"/>
    <x v="8"/>
    <x v="33"/>
    <x v="290"/>
    <x v="3157"/>
    <x v="0"/>
    <s v="NEGOCIOS"/>
    <x v="2"/>
  </r>
  <r>
    <x v="55"/>
    <x v="282"/>
    <x v="11"/>
    <x v="11"/>
    <x v="1"/>
    <x v="8"/>
    <x v="33"/>
    <x v="358"/>
    <x v="699"/>
    <x v="0"/>
    <s v="NEGOCIOS"/>
    <x v="2"/>
  </r>
  <r>
    <x v="55"/>
    <x v="249"/>
    <x v="11"/>
    <x v="11"/>
    <x v="1"/>
    <x v="8"/>
    <x v="33"/>
    <x v="359"/>
    <x v="3158"/>
    <x v="0"/>
    <s v="NEGOCIOS"/>
    <x v="2"/>
  </r>
  <r>
    <x v="55"/>
    <x v="299"/>
    <x v="11"/>
    <x v="11"/>
    <x v="1"/>
    <x v="8"/>
    <x v="33"/>
    <x v="315"/>
    <x v="3159"/>
    <x v="0"/>
    <s v="NEGOCIOS"/>
    <x v="2"/>
  </r>
  <r>
    <x v="55"/>
    <x v="274"/>
    <x v="11"/>
    <x v="11"/>
    <x v="1"/>
    <x v="8"/>
    <x v="33"/>
    <x v="404"/>
    <x v="3160"/>
    <x v="0"/>
    <s v="NEGOCIOS"/>
    <x v="2"/>
  </r>
  <r>
    <x v="55"/>
    <x v="334"/>
    <x v="2"/>
    <x v="2"/>
    <x v="1"/>
    <x v="8"/>
    <x v="33"/>
    <x v="406"/>
    <x v="3161"/>
    <x v="0"/>
    <s v="NEGOCIOS"/>
    <x v="2"/>
  </r>
  <r>
    <x v="55"/>
    <x v="307"/>
    <x v="2"/>
    <x v="2"/>
    <x v="1"/>
    <x v="8"/>
    <x v="33"/>
    <x v="441"/>
    <x v="3162"/>
    <x v="0"/>
    <s v="NEGOCIOS"/>
    <x v="2"/>
  </r>
  <r>
    <x v="55"/>
    <x v="276"/>
    <x v="2"/>
    <x v="2"/>
    <x v="1"/>
    <x v="8"/>
    <x v="33"/>
    <x v="385"/>
    <x v="3163"/>
    <x v="0"/>
    <s v="NEGOCIOS"/>
    <x v="2"/>
  </r>
  <r>
    <x v="55"/>
    <x v="305"/>
    <x v="6"/>
    <x v="6"/>
    <x v="1"/>
    <x v="8"/>
    <x v="32"/>
    <x v="331"/>
    <x v="1"/>
    <x v="600"/>
    <s v="NEGOCIOS"/>
    <x v="2"/>
  </r>
  <r>
    <x v="55"/>
    <x v="314"/>
    <x v="6"/>
    <x v="6"/>
    <x v="1"/>
    <x v="8"/>
    <x v="32"/>
    <x v="372"/>
    <x v="1"/>
    <x v="598"/>
    <s v="NEGOCIOS"/>
    <x v="2"/>
  </r>
  <r>
    <x v="55"/>
    <x v="174"/>
    <x v="6"/>
    <x v="6"/>
    <x v="1"/>
    <x v="8"/>
    <x v="33"/>
    <x v="282"/>
    <x v="3164"/>
    <x v="0"/>
    <s v="NEGOCIOS"/>
    <x v="2"/>
  </r>
  <r>
    <x v="55"/>
    <x v="206"/>
    <x v="7"/>
    <x v="7"/>
    <x v="1"/>
    <x v="9"/>
    <x v="32"/>
    <x v="284"/>
    <x v="3165"/>
    <x v="0"/>
    <s v="NEGOCIOS"/>
    <x v="2"/>
  </r>
  <r>
    <x v="55"/>
    <x v="332"/>
    <x v="7"/>
    <x v="7"/>
    <x v="1"/>
    <x v="9"/>
    <x v="32"/>
    <x v="397"/>
    <x v="3166"/>
    <x v="0"/>
    <s v="NEGOCIOS"/>
    <x v="2"/>
  </r>
  <r>
    <x v="55"/>
    <x v="192"/>
    <x v="8"/>
    <x v="8"/>
    <x v="1"/>
    <x v="9"/>
    <x v="33"/>
    <x v="300"/>
    <x v="1331"/>
    <x v="0"/>
    <s v="NEGOCIOS"/>
    <x v="2"/>
  </r>
  <r>
    <x v="55"/>
    <x v="323"/>
    <x v="8"/>
    <x v="8"/>
    <x v="1"/>
    <x v="9"/>
    <x v="32"/>
    <x v="367"/>
    <x v="3167"/>
    <x v="0"/>
    <s v="NEGOCIOS"/>
    <x v="2"/>
  </r>
  <r>
    <x v="55"/>
    <x v="319"/>
    <x v="8"/>
    <x v="8"/>
    <x v="1"/>
    <x v="9"/>
    <x v="33"/>
    <x v="350"/>
    <x v="3168"/>
    <x v="0"/>
    <s v="NEGOCIOS"/>
    <x v="2"/>
  </r>
  <r>
    <x v="55"/>
    <x v="243"/>
    <x v="10"/>
    <x v="10"/>
    <x v="1"/>
    <x v="9"/>
    <x v="32"/>
    <x v="411"/>
    <x v="3169"/>
    <x v="0"/>
    <s v="NEGOCIOS"/>
    <x v="2"/>
  </r>
  <r>
    <x v="55"/>
    <x v="233"/>
    <x v="10"/>
    <x v="10"/>
    <x v="1"/>
    <x v="9"/>
    <x v="33"/>
    <x v="344"/>
    <x v="3170"/>
    <x v="0"/>
    <s v="NEGOCIOS"/>
    <x v="2"/>
  </r>
  <r>
    <x v="55"/>
    <x v="189"/>
    <x v="10"/>
    <x v="10"/>
    <x v="1"/>
    <x v="9"/>
    <x v="32"/>
    <x v="345"/>
    <x v="3171"/>
    <x v="0"/>
    <s v="NEGOCIOS"/>
    <x v="2"/>
  </r>
  <r>
    <x v="55"/>
    <x v="187"/>
    <x v="11"/>
    <x v="11"/>
    <x v="1"/>
    <x v="9"/>
    <x v="33"/>
    <x v="328"/>
    <x v="3172"/>
    <x v="0"/>
    <s v="NEGOCIOS"/>
    <x v="2"/>
  </r>
  <r>
    <x v="55"/>
    <x v="220"/>
    <x v="11"/>
    <x v="11"/>
    <x v="1"/>
    <x v="9"/>
    <x v="33"/>
    <x v="309"/>
    <x v="556"/>
    <x v="0"/>
    <s v="NEGOCIOS"/>
    <x v="2"/>
  </r>
  <r>
    <x v="55"/>
    <x v="177"/>
    <x v="11"/>
    <x v="11"/>
    <x v="1"/>
    <x v="9"/>
    <x v="32"/>
    <x v="346"/>
    <x v="3173"/>
    <x v="0"/>
    <s v="NEGOCIOS"/>
    <x v="2"/>
  </r>
  <r>
    <x v="55"/>
    <x v="281"/>
    <x v="6"/>
    <x v="6"/>
    <x v="1"/>
    <x v="9"/>
    <x v="32"/>
    <x v="395"/>
    <x v="3174"/>
    <x v="0"/>
    <s v="NEGOCIOS"/>
    <x v="2"/>
  </r>
  <r>
    <x v="55"/>
    <x v="217"/>
    <x v="6"/>
    <x v="6"/>
    <x v="1"/>
    <x v="9"/>
    <x v="32"/>
    <x v="323"/>
    <x v="3175"/>
    <x v="0"/>
    <s v="NEGOCIOS"/>
    <x v="2"/>
  </r>
  <r>
    <x v="55"/>
    <x v="335"/>
    <x v="6"/>
    <x v="6"/>
    <x v="1"/>
    <x v="9"/>
    <x v="32"/>
    <x v="408"/>
    <x v="3176"/>
    <x v="0"/>
    <s v="NEGOCIOS"/>
    <x v="2"/>
  </r>
  <r>
    <x v="55"/>
    <x v="258"/>
    <x v="7"/>
    <x v="7"/>
    <x v="1"/>
    <x v="10"/>
    <x v="33"/>
    <x v="349"/>
    <x v="3177"/>
    <x v="0"/>
    <s v="NEGOCIOS"/>
    <x v="2"/>
  </r>
  <r>
    <x v="55"/>
    <x v="210"/>
    <x v="7"/>
    <x v="7"/>
    <x v="1"/>
    <x v="10"/>
    <x v="33"/>
    <x v="418"/>
    <x v="3178"/>
    <x v="0"/>
    <s v="NEGOCIOS"/>
    <x v="2"/>
  </r>
  <r>
    <x v="55"/>
    <x v="230"/>
    <x v="9"/>
    <x v="9"/>
    <x v="1"/>
    <x v="10"/>
    <x v="33"/>
    <x v="283"/>
    <x v="3179"/>
    <x v="0"/>
    <s v="NEGOCIOS"/>
    <x v="2"/>
  </r>
  <r>
    <x v="55"/>
    <x v="186"/>
    <x v="10"/>
    <x v="10"/>
    <x v="1"/>
    <x v="10"/>
    <x v="33"/>
    <x v="321"/>
    <x v="736"/>
    <x v="0"/>
    <s v="NEGOCIOS"/>
    <x v="2"/>
  </r>
  <r>
    <x v="55"/>
    <x v="325"/>
    <x v="11"/>
    <x v="11"/>
    <x v="1"/>
    <x v="10"/>
    <x v="33"/>
    <x v="421"/>
    <x v="736"/>
    <x v="0"/>
    <s v="NEGOCIOS"/>
    <x v="2"/>
  </r>
  <r>
    <x v="55"/>
    <x v="249"/>
    <x v="11"/>
    <x v="11"/>
    <x v="1"/>
    <x v="10"/>
    <x v="33"/>
    <x v="359"/>
    <x v="736"/>
    <x v="0"/>
    <s v="NEGOCIOS"/>
    <x v="2"/>
  </r>
  <r>
    <x v="55"/>
    <x v="273"/>
    <x v="11"/>
    <x v="11"/>
    <x v="1"/>
    <x v="10"/>
    <x v="33"/>
    <x v="354"/>
    <x v="3180"/>
    <x v="0"/>
    <s v="NEGOCIOS"/>
    <x v="2"/>
  </r>
  <r>
    <x v="55"/>
    <x v="314"/>
    <x v="6"/>
    <x v="6"/>
    <x v="1"/>
    <x v="10"/>
    <x v="32"/>
    <x v="372"/>
    <x v="1"/>
    <x v="420"/>
    <s v="NEGOCIOS"/>
    <x v="2"/>
  </r>
  <r>
    <x v="55"/>
    <x v="335"/>
    <x v="6"/>
    <x v="6"/>
    <x v="1"/>
    <x v="10"/>
    <x v="32"/>
    <x v="408"/>
    <x v="3181"/>
    <x v="0"/>
    <s v="NEGOCIOS"/>
    <x v="2"/>
  </r>
  <r>
    <x v="55"/>
    <x v="306"/>
    <x v="9"/>
    <x v="9"/>
    <x v="1"/>
    <x v="11"/>
    <x v="32"/>
    <x v="336"/>
    <x v="1603"/>
    <x v="0"/>
    <s v="NEGOCIOS"/>
    <x v="2"/>
  </r>
  <r>
    <x v="55"/>
    <x v="194"/>
    <x v="9"/>
    <x v="9"/>
    <x v="1"/>
    <x v="11"/>
    <x v="32"/>
    <x v="390"/>
    <x v="3182"/>
    <x v="0"/>
    <s v="NEGOCIOS"/>
    <x v="2"/>
  </r>
  <r>
    <x v="55"/>
    <x v="194"/>
    <x v="9"/>
    <x v="9"/>
    <x v="1"/>
    <x v="11"/>
    <x v="33"/>
    <x v="390"/>
    <x v="3183"/>
    <x v="0"/>
    <s v="NEGOCIOS"/>
    <x v="2"/>
  </r>
  <r>
    <x v="55"/>
    <x v="255"/>
    <x v="9"/>
    <x v="9"/>
    <x v="1"/>
    <x v="11"/>
    <x v="33"/>
    <x v="293"/>
    <x v="815"/>
    <x v="0"/>
    <s v="NEGOCIOS"/>
    <x v="2"/>
  </r>
  <r>
    <x v="55"/>
    <x v="248"/>
    <x v="10"/>
    <x v="10"/>
    <x v="1"/>
    <x v="11"/>
    <x v="33"/>
    <x v="304"/>
    <x v="1812"/>
    <x v="0"/>
    <s v="NEGOCIOS"/>
    <x v="2"/>
  </r>
  <r>
    <x v="55"/>
    <x v="176"/>
    <x v="10"/>
    <x v="10"/>
    <x v="1"/>
    <x v="11"/>
    <x v="33"/>
    <x v="412"/>
    <x v="1812"/>
    <x v="0"/>
    <s v="NEGOCIOS"/>
    <x v="2"/>
  </r>
  <r>
    <x v="55"/>
    <x v="187"/>
    <x v="11"/>
    <x v="11"/>
    <x v="1"/>
    <x v="11"/>
    <x v="32"/>
    <x v="328"/>
    <x v="3184"/>
    <x v="0"/>
    <s v="NEGOCIOS"/>
    <x v="2"/>
  </r>
  <r>
    <x v="55"/>
    <x v="272"/>
    <x v="11"/>
    <x v="11"/>
    <x v="1"/>
    <x v="11"/>
    <x v="33"/>
    <x v="360"/>
    <x v="1913"/>
    <x v="0"/>
    <s v="NEGOCIOS"/>
    <x v="2"/>
  </r>
  <r>
    <x v="55"/>
    <x v="272"/>
    <x v="11"/>
    <x v="11"/>
    <x v="1"/>
    <x v="11"/>
    <x v="32"/>
    <x v="360"/>
    <x v="1"/>
    <x v="601"/>
    <s v="NEGOCIOS"/>
    <x v="2"/>
  </r>
  <r>
    <x v="55"/>
    <x v="300"/>
    <x v="2"/>
    <x v="2"/>
    <x v="1"/>
    <x v="11"/>
    <x v="33"/>
    <x v="316"/>
    <x v="3185"/>
    <x v="0"/>
    <s v="NEGOCIOS"/>
    <x v="2"/>
  </r>
  <r>
    <x v="55"/>
    <x v="315"/>
    <x v="2"/>
    <x v="2"/>
    <x v="1"/>
    <x v="11"/>
    <x v="32"/>
    <x v="405"/>
    <x v="3186"/>
    <x v="0"/>
    <s v="NEGOCIOS"/>
    <x v="2"/>
  </r>
  <r>
    <x v="55"/>
    <x v="246"/>
    <x v="2"/>
    <x v="2"/>
    <x v="1"/>
    <x v="11"/>
    <x v="33"/>
    <x v="287"/>
    <x v="3187"/>
    <x v="0"/>
    <s v="NEGOCIOS"/>
    <x v="2"/>
  </r>
  <r>
    <x v="55"/>
    <x v="297"/>
    <x v="6"/>
    <x v="6"/>
    <x v="1"/>
    <x v="11"/>
    <x v="33"/>
    <x v="313"/>
    <x v="3188"/>
    <x v="0"/>
    <s v="NEGOCIOS"/>
    <x v="2"/>
  </r>
  <r>
    <x v="55"/>
    <x v="308"/>
    <x v="7"/>
    <x v="7"/>
    <x v="1"/>
    <x v="12"/>
    <x v="33"/>
    <x v="333"/>
    <x v="1527"/>
    <x v="0"/>
    <s v="NEGOCIOS"/>
    <x v="2"/>
  </r>
  <r>
    <x v="55"/>
    <x v="173"/>
    <x v="8"/>
    <x v="8"/>
    <x v="1"/>
    <x v="12"/>
    <x v="33"/>
    <x v="378"/>
    <x v="146"/>
    <x v="0"/>
    <s v="NEGOCIOS"/>
    <x v="2"/>
  </r>
  <r>
    <x v="55"/>
    <x v="274"/>
    <x v="11"/>
    <x v="11"/>
    <x v="1"/>
    <x v="12"/>
    <x v="33"/>
    <x v="404"/>
    <x v="3189"/>
    <x v="0"/>
    <s v="NEGOCIOS"/>
    <x v="2"/>
  </r>
  <r>
    <x v="55"/>
    <x v="208"/>
    <x v="8"/>
    <x v="8"/>
    <x v="1"/>
    <x v="13"/>
    <x v="32"/>
    <x v="377"/>
    <x v="3190"/>
    <x v="0"/>
    <s v="NEGOCIOS"/>
    <x v="2"/>
  </r>
  <r>
    <x v="55"/>
    <x v="263"/>
    <x v="10"/>
    <x v="10"/>
    <x v="1"/>
    <x v="13"/>
    <x v="32"/>
    <x v="436"/>
    <x v="3191"/>
    <x v="0"/>
    <s v="NEGOCIOS"/>
    <x v="2"/>
  </r>
  <r>
    <x v="55"/>
    <x v="202"/>
    <x v="11"/>
    <x v="11"/>
    <x v="1"/>
    <x v="13"/>
    <x v="32"/>
    <x v="305"/>
    <x v="3192"/>
    <x v="0"/>
    <s v="NEGOCIOS"/>
    <x v="2"/>
  </r>
  <r>
    <x v="55"/>
    <x v="240"/>
    <x v="2"/>
    <x v="2"/>
    <x v="1"/>
    <x v="13"/>
    <x v="32"/>
    <x v="442"/>
    <x v="3193"/>
    <x v="0"/>
    <s v="NEGOCIOS"/>
    <x v="2"/>
  </r>
  <r>
    <x v="55"/>
    <x v="217"/>
    <x v="6"/>
    <x v="6"/>
    <x v="1"/>
    <x v="13"/>
    <x v="32"/>
    <x v="323"/>
    <x v="3194"/>
    <x v="0"/>
    <s v="NEGOCIOS"/>
    <x v="2"/>
  </r>
  <r>
    <x v="55"/>
    <x v="314"/>
    <x v="6"/>
    <x v="6"/>
    <x v="1"/>
    <x v="13"/>
    <x v="32"/>
    <x v="372"/>
    <x v="1"/>
    <x v="602"/>
    <s v="NEGOCIOS"/>
    <x v="2"/>
  </r>
  <r>
    <x v="55"/>
    <x v="309"/>
    <x v="7"/>
    <x v="7"/>
    <x v="1"/>
    <x v="14"/>
    <x v="33"/>
    <x v="334"/>
    <x v="911"/>
    <x v="0"/>
    <s v="NEGOCIOS"/>
    <x v="2"/>
  </r>
  <r>
    <x v="55"/>
    <x v="254"/>
    <x v="8"/>
    <x v="8"/>
    <x v="1"/>
    <x v="14"/>
    <x v="33"/>
    <x v="326"/>
    <x v="736"/>
    <x v="0"/>
    <s v="NEGOCIOS"/>
    <x v="2"/>
  </r>
  <r>
    <x v="55"/>
    <x v="208"/>
    <x v="8"/>
    <x v="8"/>
    <x v="1"/>
    <x v="14"/>
    <x v="32"/>
    <x v="377"/>
    <x v="1868"/>
    <x v="0"/>
    <s v="NEGOCIOS"/>
    <x v="2"/>
  </r>
  <r>
    <x v="55"/>
    <x v="338"/>
    <x v="9"/>
    <x v="9"/>
    <x v="1"/>
    <x v="14"/>
    <x v="33"/>
    <x v="425"/>
    <x v="3195"/>
    <x v="0"/>
    <s v="NEGOCIOS"/>
    <x v="2"/>
  </r>
  <r>
    <x v="55"/>
    <x v="239"/>
    <x v="10"/>
    <x v="10"/>
    <x v="1"/>
    <x v="14"/>
    <x v="33"/>
    <x v="419"/>
    <x v="759"/>
    <x v="0"/>
    <s v="NEGOCIOS"/>
    <x v="2"/>
  </r>
  <r>
    <x v="55"/>
    <x v="180"/>
    <x v="10"/>
    <x v="10"/>
    <x v="1"/>
    <x v="14"/>
    <x v="33"/>
    <x v="452"/>
    <x v="3125"/>
    <x v="0"/>
    <s v="NEGOCIOS"/>
    <x v="2"/>
  </r>
  <r>
    <x v="55"/>
    <x v="248"/>
    <x v="10"/>
    <x v="10"/>
    <x v="1"/>
    <x v="14"/>
    <x v="33"/>
    <x v="304"/>
    <x v="911"/>
    <x v="0"/>
    <s v="NEGOCIOS"/>
    <x v="2"/>
  </r>
  <r>
    <x v="55"/>
    <x v="236"/>
    <x v="6"/>
    <x v="6"/>
    <x v="1"/>
    <x v="14"/>
    <x v="33"/>
    <x v="371"/>
    <x v="3196"/>
    <x v="0"/>
    <s v="NEGOCIOS"/>
    <x v="2"/>
  </r>
  <r>
    <x v="55"/>
    <x v="200"/>
    <x v="11"/>
    <x v="11"/>
    <x v="1"/>
    <x v="28"/>
    <x v="32"/>
    <x v="351"/>
    <x v="710"/>
    <x v="0"/>
    <s v="NEGOCIOS"/>
    <x v="2"/>
  </r>
  <r>
    <x v="55"/>
    <x v="335"/>
    <x v="6"/>
    <x v="6"/>
    <x v="1"/>
    <x v="28"/>
    <x v="32"/>
    <x v="408"/>
    <x v="3197"/>
    <x v="0"/>
    <s v="NEGOCIOS"/>
    <x v="2"/>
  </r>
  <r>
    <x v="55"/>
    <x v="237"/>
    <x v="7"/>
    <x v="7"/>
    <x v="1"/>
    <x v="29"/>
    <x v="33"/>
    <x v="417"/>
    <x v="1471"/>
    <x v="0"/>
    <s v="NEGOCIOS"/>
    <x v="2"/>
  </r>
  <r>
    <x v="55"/>
    <x v="306"/>
    <x v="9"/>
    <x v="9"/>
    <x v="1"/>
    <x v="29"/>
    <x v="32"/>
    <x v="336"/>
    <x v="3198"/>
    <x v="0"/>
    <s v="NEGOCIOS"/>
    <x v="2"/>
  </r>
  <r>
    <x v="55"/>
    <x v="244"/>
    <x v="10"/>
    <x v="10"/>
    <x v="1"/>
    <x v="29"/>
    <x v="32"/>
    <x v="433"/>
    <x v="3199"/>
    <x v="0"/>
    <s v="NEGOCIOS"/>
    <x v="2"/>
  </r>
  <r>
    <x v="55"/>
    <x v="187"/>
    <x v="11"/>
    <x v="11"/>
    <x v="1"/>
    <x v="29"/>
    <x v="32"/>
    <x v="328"/>
    <x v="3200"/>
    <x v="0"/>
    <s v="NEGOCIOS"/>
    <x v="2"/>
  </r>
  <r>
    <x v="55"/>
    <x v="177"/>
    <x v="11"/>
    <x v="11"/>
    <x v="1"/>
    <x v="29"/>
    <x v="32"/>
    <x v="346"/>
    <x v="884"/>
    <x v="0"/>
    <s v="NEGOCIOS"/>
    <x v="2"/>
  </r>
  <r>
    <x v="55"/>
    <x v="315"/>
    <x v="2"/>
    <x v="2"/>
    <x v="1"/>
    <x v="29"/>
    <x v="32"/>
    <x v="405"/>
    <x v="3201"/>
    <x v="0"/>
    <s v="NEGOCIOS"/>
    <x v="2"/>
  </r>
  <r>
    <x v="55"/>
    <x v="235"/>
    <x v="2"/>
    <x v="2"/>
    <x v="1"/>
    <x v="29"/>
    <x v="32"/>
    <x v="393"/>
    <x v="3202"/>
    <x v="0"/>
    <s v="NEGOCIOS"/>
    <x v="2"/>
  </r>
  <r>
    <x v="55"/>
    <x v="305"/>
    <x v="6"/>
    <x v="6"/>
    <x v="1"/>
    <x v="29"/>
    <x v="32"/>
    <x v="331"/>
    <x v="1"/>
    <x v="603"/>
    <s v="NEGOCIOS"/>
    <x v="2"/>
  </r>
  <r>
    <x v="55"/>
    <x v="332"/>
    <x v="7"/>
    <x v="7"/>
    <x v="1"/>
    <x v="30"/>
    <x v="32"/>
    <x v="397"/>
    <x v="448"/>
    <x v="0"/>
    <s v="NEGOCIOS"/>
    <x v="2"/>
  </r>
  <r>
    <x v="55"/>
    <x v="261"/>
    <x v="8"/>
    <x v="8"/>
    <x v="1"/>
    <x v="30"/>
    <x v="32"/>
    <x v="320"/>
    <x v="3203"/>
    <x v="0"/>
    <s v="NEGOCIOS"/>
    <x v="2"/>
  </r>
  <r>
    <x v="55"/>
    <x v="207"/>
    <x v="8"/>
    <x v="8"/>
    <x v="1"/>
    <x v="30"/>
    <x v="32"/>
    <x v="374"/>
    <x v="1505"/>
    <x v="0"/>
    <s v="NEGOCIOS"/>
    <x v="2"/>
  </r>
  <r>
    <x v="55"/>
    <x v="194"/>
    <x v="9"/>
    <x v="9"/>
    <x v="1"/>
    <x v="30"/>
    <x v="33"/>
    <x v="390"/>
    <x v="3204"/>
    <x v="0"/>
    <s v="NEGOCIOS"/>
    <x v="2"/>
  </r>
  <r>
    <x v="55"/>
    <x v="200"/>
    <x v="11"/>
    <x v="11"/>
    <x v="1"/>
    <x v="30"/>
    <x v="33"/>
    <x v="351"/>
    <x v="3205"/>
    <x v="0"/>
    <s v="NEGOCIOS"/>
    <x v="2"/>
  </r>
  <r>
    <x v="55"/>
    <x v="202"/>
    <x v="11"/>
    <x v="11"/>
    <x v="1"/>
    <x v="30"/>
    <x v="32"/>
    <x v="305"/>
    <x v="3206"/>
    <x v="0"/>
    <s v="NEGOCIOS"/>
    <x v="2"/>
  </r>
  <r>
    <x v="55"/>
    <x v="182"/>
    <x v="2"/>
    <x v="2"/>
    <x v="1"/>
    <x v="30"/>
    <x v="32"/>
    <x v="392"/>
    <x v="3207"/>
    <x v="0"/>
    <s v="NEGOCIOS"/>
    <x v="2"/>
  </r>
  <r>
    <x v="55"/>
    <x v="240"/>
    <x v="2"/>
    <x v="2"/>
    <x v="1"/>
    <x v="30"/>
    <x v="32"/>
    <x v="442"/>
    <x v="3208"/>
    <x v="0"/>
    <s v="NEGOCIOS"/>
    <x v="2"/>
  </r>
  <r>
    <x v="55"/>
    <x v="277"/>
    <x v="7"/>
    <x v="7"/>
    <x v="1"/>
    <x v="17"/>
    <x v="32"/>
    <x v="325"/>
    <x v="3209"/>
    <x v="0"/>
    <s v="NEGOCIOS"/>
    <x v="2"/>
  </r>
  <r>
    <x v="55"/>
    <x v="332"/>
    <x v="7"/>
    <x v="7"/>
    <x v="1"/>
    <x v="17"/>
    <x v="32"/>
    <x v="397"/>
    <x v="3210"/>
    <x v="0"/>
    <s v="NEGOCIOS"/>
    <x v="2"/>
  </r>
  <r>
    <x v="55"/>
    <x v="261"/>
    <x v="8"/>
    <x v="8"/>
    <x v="1"/>
    <x v="17"/>
    <x v="32"/>
    <x v="320"/>
    <x v="3211"/>
    <x v="0"/>
    <s v="NEGOCIOS"/>
    <x v="2"/>
  </r>
  <r>
    <x v="55"/>
    <x v="323"/>
    <x v="8"/>
    <x v="8"/>
    <x v="1"/>
    <x v="17"/>
    <x v="32"/>
    <x v="367"/>
    <x v="3212"/>
    <x v="0"/>
    <s v="NEGOCIOS"/>
    <x v="2"/>
  </r>
  <r>
    <x v="55"/>
    <x v="208"/>
    <x v="8"/>
    <x v="8"/>
    <x v="1"/>
    <x v="17"/>
    <x v="32"/>
    <x v="377"/>
    <x v="3213"/>
    <x v="0"/>
    <s v="NEGOCIOS"/>
    <x v="2"/>
  </r>
  <r>
    <x v="55"/>
    <x v="227"/>
    <x v="9"/>
    <x v="9"/>
    <x v="1"/>
    <x v="17"/>
    <x v="32"/>
    <x v="399"/>
    <x v="3214"/>
    <x v="0"/>
    <s v="NEGOCIOS"/>
    <x v="2"/>
  </r>
  <r>
    <x v="55"/>
    <x v="243"/>
    <x v="10"/>
    <x v="10"/>
    <x v="1"/>
    <x v="17"/>
    <x v="32"/>
    <x v="411"/>
    <x v="3215"/>
    <x v="0"/>
    <s v="NEGOCIOS"/>
    <x v="2"/>
  </r>
  <r>
    <x v="55"/>
    <x v="268"/>
    <x v="10"/>
    <x v="10"/>
    <x v="1"/>
    <x v="17"/>
    <x v="32"/>
    <x v="339"/>
    <x v="1346"/>
    <x v="0"/>
    <s v="NEGOCIOS"/>
    <x v="2"/>
  </r>
  <r>
    <x v="55"/>
    <x v="314"/>
    <x v="6"/>
    <x v="6"/>
    <x v="1"/>
    <x v="17"/>
    <x v="32"/>
    <x v="372"/>
    <x v="1"/>
    <x v="604"/>
    <s v="NEGOCIOS"/>
    <x v="2"/>
  </r>
  <r>
    <x v="55"/>
    <x v="266"/>
    <x v="6"/>
    <x v="6"/>
    <x v="1"/>
    <x v="17"/>
    <x v="32"/>
    <x v="370"/>
    <x v="1385"/>
    <x v="0"/>
    <s v="NEGOCIOS"/>
    <x v="2"/>
  </r>
  <r>
    <x v="55"/>
    <x v="216"/>
    <x v="2"/>
    <x v="2"/>
    <x v="1"/>
    <x v="31"/>
    <x v="33"/>
    <x v="332"/>
    <x v="2847"/>
    <x v="0"/>
    <s v="NEGOCIOS"/>
    <x v="2"/>
  </r>
  <r>
    <x v="55"/>
    <x v="242"/>
    <x v="9"/>
    <x v="9"/>
    <x v="1"/>
    <x v="32"/>
    <x v="32"/>
    <x v="435"/>
    <x v="3216"/>
    <x v="0"/>
    <s v="NEGOCIOS"/>
    <x v="2"/>
  </r>
  <r>
    <x v="55"/>
    <x v="242"/>
    <x v="9"/>
    <x v="9"/>
    <x v="1"/>
    <x v="32"/>
    <x v="33"/>
    <x v="435"/>
    <x v="1596"/>
    <x v="0"/>
    <s v="NEGOCIOS"/>
    <x v="2"/>
  </r>
  <r>
    <x v="55"/>
    <x v="263"/>
    <x v="10"/>
    <x v="10"/>
    <x v="1"/>
    <x v="18"/>
    <x v="33"/>
    <x v="436"/>
    <x v="3217"/>
    <x v="0"/>
    <s v="NEGOCIOS"/>
    <x v="2"/>
  </r>
  <r>
    <x v="56"/>
    <x v="209"/>
    <x v="7"/>
    <x v="7"/>
    <x v="1"/>
    <x v="2"/>
    <x v="33"/>
    <x v="428"/>
    <x v="759"/>
    <x v="0"/>
    <s v="BOULEVARD EL DORADO"/>
    <x v="2"/>
  </r>
  <r>
    <x v="56"/>
    <x v="194"/>
    <x v="9"/>
    <x v="9"/>
    <x v="1"/>
    <x v="2"/>
    <x v="32"/>
    <x v="390"/>
    <x v="1504"/>
    <x v="0"/>
    <s v="BOULEVARD EL DORADO"/>
    <x v="2"/>
  </r>
  <r>
    <x v="56"/>
    <x v="202"/>
    <x v="11"/>
    <x v="11"/>
    <x v="1"/>
    <x v="2"/>
    <x v="33"/>
    <x v="305"/>
    <x v="874"/>
    <x v="0"/>
    <s v="BOULEVARD EL DORADO"/>
    <x v="2"/>
  </r>
  <r>
    <x v="56"/>
    <x v="182"/>
    <x v="2"/>
    <x v="2"/>
    <x v="1"/>
    <x v="2"/>
    <x v="32"/>
    <x v="392"/>
    <x v="1928"/>
    <x v="0"/>
    <s v="BOULEVARD EL DORADO"/>
    <x v="2"/>
  </r>
  <r>
    <x v="56"/>
    <x v="240"/>
    <x v="2"/>
    <x v="2"/>
    <x v="1"/>
    <x v="2"/>
    <x v="32"/>
    <x v="442"/>
    <x v="3218"/>
    <x v="0"/>
    <s v="BOULEVARD EL DORADO"/>
    <x v="2"/>
  </r>
  <r>
    <x v="56"/>
    <x v="308"/>
    <x v="7"/>
    <x v="7"/>
    <x v="1"/>
    <x v="0"/>
    <x v="33"/>
    <x v="333"/>
    <x v="146"/>
    <x v="0"/>
    <s v="BOULEVARD EL DORADO"/>
    <x v="2"/>
  </r>
  <r>
    <x v="56"/>
    <x v="206"/>
    <x v="7"/>
    <x v="7"/>
    <x v="1"/>
    <x v="0"/>
    <x v="33"/>
    <x v="284"/>
    <x v="765"/>
    <x v="0"/>
    <s v="BOULEVARD EL DORADO"/>
    <x v="2"/>
  </r>
  <r>
    <x v="56"/>
    <x v="192"/>
    <x v="8"/>
    <x v="8"/>
    <x v="1"/>
    <x v="0"/>
    <x v="33"/>
    <x v="300"/>
    <x v="759"/>
    <x v="0"/>
    <s v="BOULEVARD EL DORADO"/>
    <x v="2"/>
  </r>
  <r>
    <x v="56"/>
    <x v="320"/>
    <x v="8"/>
    <x v="8"/>
    <x v="1"/>
    <x v="0"/>
    <x v="33"/>
    <x v="398"/>
    <x v="874"/>
    <x v="0"/>
    <s v="BOULEVARD EL DORADO"/>
    <x v="2"/>
  </r>
  <r>
    <x v="56"/>
    <x v="292"/>
    <x v="9"/>
    <x v="9"/>
    <x v="1"/>
    <x v="0"/>
    <x v="33"/>
    <x v="352"/>
    <x v="759"/>
    <x v="0"/>
    <s v="BOULEVARD EL DORADO"/>
    <x v="2"/>
  </r>
  <r>
    <x v="56"/>
    <x v="303"/>
    <x v="9"/>
    <x v="9"/>
    <x v="1"/>
    <x v="0"/>
    <x v="33"/>
    <x v="327"/>
    <x v="934"/>
    <x v="0"/>
    <s v="BOULEVARD EL DORADO"/>
    <x v="2"/>
  </r>
  <r>
    <x v="56"/>
    <x v="197"/>
    <x v="9"/>
    <x v="9"/>
    <x v="1"/>
    <x v="0"/>
    <x v="33"/>
    <x v="432"/>
    <x v="759"/>
    <x v="0"/>
    <s v="BOULEVARD EL DORADO"/>
    <x v="2"/>
  </r>
  <r>
    <x v="56"/>
    <x v="198"/>
    <x v="10"/>
    <x v="10"/>
    <x v="1"/>
    <x v="0"/>
    <x v="33"/>
    <x v="338"/>
    <x v="146"/>
    <x v="0"/>
    <s v="BOULEVARD EL DORADO"/>
    <x v="2"/>
  </r>
  <r>
    <x v="56"/>
    <x v="310"/>
    <x v="10"/>
    <x v="10"/>
    <x v="1"/>
    <x v="0"/>
    <x v="33"/>
    <x v="335"/>
    <x v="146"/>
    <x v="0"/>
    <s v="BOULEVARD EL DORADO"/>
    <x v="2"/>
  </r>
  <r>
    <x v="56"/>
    <x v="317"/>
    <x v="10"/>
    <x v="10"/>
    <x v="1"/>
    <x v="0"/>
    <x v="33"/>
    <x v="401"/>
    <x v="759"/>
    <x v="0"/>
    <s v="BOULEVARD EL DORADO"/>
    <x v="2"/>
  </r>
  <r>
    <x v="56"/>
    <x v="243"/>
    <x v="10"/>
    <x v="10"/>
    <x v="1"/>
    <x v="0"/>
    <x v="33"/>
    <x v="411"/>
    <x v="874"/>
    <x v="0"/>
    <s v="BOULEVARD EL DORADO"/>
    <x v="2"/>
  </r>
  <r>
    <x v="56"/>
    <x v="186"/>
    <x v="10"/>
    <x v="10"/>
    <x v="1"/>
    <x v="0"/>
    <x v="33"/>
    <x v="321"/>
    <x v="765"/>
    <x v="0"/>
    <s v="BOULEVARD EL DORADO"/>
    <x v="2"/>
  </r>
  <r>
    <x v="56"/>
    <x v="329"/>
    <x v="10"/>
    <x v="10"/>
    <x v="1"/>
    <x v="0"/>
    <x v="33"/>
    <x v="380"/>
    <x v="874"/>
    <x v="0"/>
    <s v="BOULEVARD EL DORADO"/>
    <x v="2"/>
  </r>
  <r>
    <x v="56"/>
    <x v="176"/>
    <x v="10"/>
    <x v="10"/>
    <x v="1"/>
    <x v="0"/>
    <x v="33"/>
    <x v="412"/>
    <x v="765"/>
    <x v="0"/>
    <s v="BOULEVARD EL DORADO"/>
    <x v="2"/>
  </r>
  <r>
    <x v="56"/>
    <x v="200"/>
    <x v="11"/>
    <x v="11"/>
    <x v="1"/>
    <x v="0"/>
    <x v="33"/>
    <x v="351"/>
    <x v="874"/>
    <x v="0"/>
    <s v="BOULEVARD EL DORADO"/>
    <x v="2"/>
  </r>
  <r>
    <x v="56"/>
    <x v="325"/>
    <x v="11"/>
    <x v="11"/>
    <x v="1"/>
    <x v="0"/>
    <x v="33"/>
    <x v="421"/>
    <x v="899"/>
    <x v="0"/>
    <s v="BOULEVARD EL DORADO"/>
    <x v="2"/>
  </r>
  <r>
    <x v="56"/>
    <x v="216"/>
    <x v="2"/>
    <x v="2"/>
    <x v="1"/>
    <x v="0"/>
    <x v="33"/>
    <x v="332"/>
    <x v="146"/>
    <x v="0"/>
    <s v="BOULEVARD EL DORADO"/>
    <x v="2"/>
  </r>
  <r>
    <x v="56"/>
    <x v="257"/>
    <x v="2"/>
    <x v="2"/>
    <x v="1"/>
    <x v="0"/>
    <x v="33"/>
    <x v="410"/>
    <x v="759"/>
    <x v="0"/>
    <s v="BOULEVARD EL DORADO"/>
    <x v="2"/>
  </r>
  <r>
    <x v="56"/>
    <x v="217"/>
    <x v="6"/>
    <x v="6"/>
    <x v="1"/>
    <x v="0"/>
    <x v="33"/>
    <x v="323"/>
    <x v="874"/>
    <x v="0"/>
    <s v="BOULEVARD EL DORADO"/>
    <x v="2"/>
  </r>
  <r>
    <x v="56"/>
    <x v="265"/>
    <x v="6"/>
    <x v="6"/>
    <x v="1"/>
    <x v="0"/>
    <x v="33"/>
    <x v="386"/>
    <x v="874"/>
    <x v="0"/>
    <s v="BOULEVARD EL DORADO"/>
    <x v="2"/>
  </r>
  <r>
    <x v="56"/>
    <x v="313"/>
    <x v="6"/>
    <x v="6"/>
    <x v="1"/>
    <x v="0"/>
    <x v="33"/>
    <x v="341"/>
    <x v="146"/>
    <x v="0"/>
    <s v="BOULEVARD EL DORADO"/>
    <x v="2"/>
  </r>
  <r>
    <x v="56"/>
    <x v="174"/>
    <x v="6"/>
    <x v="6"/>
    <x v="1"/>
    <x v="0"/>
    <x v="33"/>
    <x v="282"/>
    <x v="874"/>
    <x v="0"/>
    <s v="BOULEVARD EL DORADO"/>
    <x v="2"/>
  </r>
  <r>
    <x v="56"/>
    <x v="205"/>
    <x v="7"/>
    <x v="7"/>
    <x v="1"/>
    <x v="1"/>
    <x v="33"/>
    <x v="299"/>
    <x v="874"/>
    <x v="0"/>
    <s v="BOULEVARD EL DORADO"/>
    <x v="2"/>
  </r>
  <r>
    <x v="56"/>
    <x v="209"/>
    <x v="7"/>
    <x v="7"/>
    <x v="1"/>
    <x v="1"/>
    <x v="33"/>
    <x v="428"/>
    <x v="759"/>
    <x v="0"/>
    <s v="BOULEVARD EL DORADO"/>
    <x v="2"/>
  </r>
  <r>
    <x v="56"/>
    <x v="320"/>
    <x v="8"/>
    <x v="8"/>
    <x v="1"/>
    <x v="1"/>
    <x v="33"/>
    <x v="398"/>
    <x v="874"/>
    <x v="0"/>
    <s v="BOULEVARD EL DORADO"/>
    <x v="2"/>
  </r>
  <r>
    <x v="56"/>
    <x v="212"/>
    <x v="10"/>
    <x v="10"/>
    <x v="1"/>
    <x v="1"/>
    <x v="33"/>
    <x v="319"/>
    <x v="759"/>
    <x v="0"/>
    <s v="BOULEVARD EL DORADO"/>
    <x v="2"/>
  </r>
  <r>
    <x v="56"/>
    <x v="186"/>
    <x v="10"/>
    <x v="10"/>
    <x v="1"/>
    <x v="1"/>
    <x v="33"/>
    <x v="321"/>
    <x v="874"/>
    <x v="0"/>
    <s v="BOULEVARD EL DORADO"/>
    <x v="2"/>
  </r>
  <r>
    <x v="56"/>
    <x v="248"/>
    <x v="10"/>
    <x v="10"/>
    <x v="1"/>
    <x v="1"/>
    <x v="33"/>
    <x v="304"/>
    <x v="874"/>
    <x v="0"/>
    <s v="BOULEVARD EL DORADO"/>
    <x v="2"/>
  </r>
  <r>
    <x v="56"/>
    <x v="273"/>
    <x v="11"/>
    <x v="11"/>
    <x v="1"/>
    <x v="1"/>
    <x v="33"/>
    <x v="354"/>
    <x v="146"/>
    <x v="0"/>
    <s v="BOULEVARD EL DORADO"/>
    <x v="2"/>
  </r>
  <r>
    <x v="56"/>
    <x v="300"/>
    <x v="2"/>
    <x v="2"/>
    <x v="1"/>
    <x v="1"/>
    <x v="33"/>
    <x v="316"/>
    <x v="759"/>
    <x v="0"/>
    <s v="BOULEVARD EL DORADO"/>
    <x v="2"/>
  </r>
  <r>
    <x v="56"/>
    <x v="204"/>
    <x v="6"/>
    <x v="6"/>
    <x v="1"/>
    <x v="1"/>
    <x v="33"/>
    <x v="317"/>
    <x v="874"/>
    <x v="0"/>
    <s v="BOULEVARD EL DORADO"/>
    <x v="2"/>
  </r>
  <r>
    <x v="56"/>
    <x v="188"/>
    <x v="6"/>
    <x v="6"/>
    <x v="1"/>
    <x v="1"/>
    <x v="33"/>
    <x v="407"/>
    <x v="759"/>
    <x v="0"/>
    <s v="BOULEVARD EL DORADO"/>
    <x v="2"/>
  </r>
  <r>
    <x v="56"/>
    <x v="218"/>
    <x v="6"/>
    <x v="6"/>
    <x v="1"/>
    <x v="1"/>
    <x v="33"/>
    <x v="451"/>
    <x v="759"/>
    <x v="0"/>
    <s v="BOULEVARD EL DORADO"/>
    <x v="2"/>
  </r>
  <r>
    <x v="56"/>
    <x v="190"/>
    <x v="6"/>
    <x v="6"/>
    <x v="1"/>
    <x v="1"/>
    <x v="33"/>
    <x v="342"/>
    <x v="874"/>
    <x v="0"/>
    <s v="BOULEVARD EL DORADO"/>
    <x v="2"/>
  </r>
  <r>
    <x v="57"/>
    <x v="219"/>
    <x v="9"/>
    <x v="9"/>
    <x v="1"/>
    <x v="2"/>
    <x v="33"/>
    <x v="308"/>
    <x v="874"/>
    <x v="0"/>
    <s v="SAN SEBASTIAN"/>
    <x v="2"/>
  </r>
  <r>
    <x v="57"/>
    <x v="201"/>
    <x v="11"/>
    <x v="11"/>
    <x v="1"/>
    <x v="2"/>
    <x v="33"/>
    <x v="422"/>
    <x v="874"/>
    <x v="0"/>
    <s v="SAN SEBASTIAN"/>
    <x v="2"/>
  </r>
  <r>
    <x v="57"/>
    <x v="294"/>
    <x v="11"/>
    <x v="11"/>
    <x v="1"/>
    <x v="2"/>
    <x v="33"/>
    <x v="382"/>
    <x v="874"/>
    <x v="0"/>
    <s v="SAN SEBASTIAN"/>
    <x v="2"/>
  </r>
  <r>
    <x v="57"/>
    <x v="277"/>
    <x v="7"/>
    <x v="7"/>
    <x v="1"/>
    <x v="0"/>
    <x v="33"/>
    <x v="325"/>
    <x v="874"/>
    <x v="0"/>
    <s v="SAN SEBASTIAN"/>
    <x v="2"/>
  </r>
  <r>
    <x v="57"/>
    <x v="327"/>
    <x v="7"/>
    <x v="7"/>
    <x v="1"/>
    <x v="0"/>
    <x v="33"/>
    <x v="387"/>
    <x v="1132"/>
    <x v="0"/>
    <s v="SAN SEBASTIAN"/>
    <x v="2"/>
  </r>
  <r>
    <x v="57"/>
    <x v="278"/>
    <x v="7"/>
    <x v="7"/>
    <x v="1"/>
    <x v="0"/>
    <x v="33"/>
    <x v="450"/>
    <x v="765"/>
    <x v="0"/>
    <s v="SAN SEBASTIAN"/>
    <x v="2"/>
  </r>
  <r>
    <x v="57"/>
    <x v="179"/>
    <x v="7"/>
    <x v="7"/>
    <x v="1"/>
    <x v="0"/>
    <x v="33"/>
    <x v="415"/>
    <x v="874"/>
    <x v="0"/>
    <s v="SAN SEBASTIAN"/>
    <x v="2"/>
  </r>
  <r>
    <x v="57"/>
    <x v="259"/>
    <x v="7"/>
    <x v="7"/>
    <x v="1"/>
    <x v="0"/>
    <x v="33"/>
    <x v="355"/>
    <x v="874"/>
    <x v="0"/>
    <s v="SAN SEBASTIAN"/>
    <x v="2"/>
  </r>
  <r>
    <x v="57"/>
    <x v="225"/>
    <x v="7"/>
    <x v="7"/>
    <x v="1"/>
    <x v="0"/>
    <x v="33"/>
    <x v="416"/>
    <x v="765"/>
    <x v="0"/>
    <s v="SAN SEBASTIAN"/>
    <x v="2"/>
  </r>
  <r>
    <x v="57"/>
    <x v="309"/>
    <x v="7"/>
    <x v="7"/>
    <x v="1"/>
    <x v="0"/>
    <x v="33"/>
    <x v="334"/>
    <x v="759"/>
    <x v="0"/>
    <s v="SAN SEBASTIAN"/>
    <x v="2"/>
  </r>
  <r>
    <x v="57"/>
    <x v="209"/>
    <x v="7"/>
    <x v="7"/>
    <x v="1"/>
    <x v="0"/>
    <x v="33"/>
    <x v="428"/>
    <x v="952"/>
    <x v="0"/>
    <s v="SAN SEBASTIAN"/>
    <x v="2"/>
  </r>
  <r>
    <x v="57"/>
    <x v="332"/>
    <x v="7"/>
    <x v="7"/>
    <x v="1"/>
    <x v="0"/>
    <x v="33"/>
    <x v="397"/>
    <x v="934"/>
    <x v="0"/>
    <s v="SAN SEBASTIAN"/>
    <x v="2"/>
  </r>
  <r>
    <x v="57"/>
    <x v="210"/>
    <x v="7"/>
    <x v="7"/>
    <x v="1"/>
    <x v="0"/>
    <x v="33"/>
    <x v="418"/>
    <x v="1182"/>
    <x v="0"/>
    <s v="SAN SEBASTIAN"/>
    <x v="2"/>
  </r>
  <r>
    <x v="57"/>
    <x v="251"/>
    <x v="8"/>
    <x v="8"/>
    <x v="1"/>
    <x v="0"/>
    <x v="33"/>
    <x v="291"/>
    <x v="859"/>
    <x v="0"/>
    <s v="SAN SEBASTIAN"/>
    <x v="2"/>
  </r>
  <r>
    <x v="57"/>
    <x v="192"/>
    <x v="8"/>
    <x v="8"/>
    <x v="1"/>
    <x v="0"/>
    <x v="33"/>
    <x v="300"/>
    <x v="759"/>
    <x v="0"/>
    <s v="SAN SEBASTIAN"/>
    <x v="2"/>
  </r>
  <r>
    <x v="57"/>
    <x v="254"/>
    <x v="8"/>
    <x v="8"/>
    <x v="1"/>
    <x v="0"/>
    <x v="33"/>
    <x v="326"/>
    <x v="765"/>
    <x v="0"/>
    <s v="SAN SEBASTIAN"/>
    <x v="2"/>
  </r>
  <r>
    <x v="57"/>
    <x v="320"/>
    <x v="8"/>
    <x v="8"/>
    <x v="1"/>
    <x v="0"/>
    <x v="33"/>
    <x v="398"/>
    <x v="874"/>
    <x v="0"/>
    <s v="SAN SEBASTIAN"/>
    <x v="2"/>
  </r>
  <r>
    <x v="57"/>
    <x v="261"/>
    <x v="8"/>
    <x v="8"/>
    <x v="1"/>
    <x v="0"/>
    <x v="33"/>
    <x v="320"/>
    <x v="765"/>
    <x v="0"/>
    <s v="SAN SEBASTIAN"/>
    <x v="2"/>
  </r>
  <r>
    <x v="57"/>
    <x v="323"/>
    <x v="8"/>
    <x v="8"/>
    <x v="1"/>
    <x v="0"/>
    <x v="33"/>
    <x v="367"/>
    <x v="765"/>
    <x v="0"/>
    <s v="SAN SEBASTIAN"/>
    <x v="2"/>
  </r>
  <r>
    <x v="57"/>
    <x v="245"/>
    <x v="8"/>
    <x v="8"/>
    <x v="1"/>
    <x v="0"/>
    <x v="33"/>
    <x v="285"/>
    <x v="1132"/>
    <x v="0"/>
    <s v="SAN SEBASTIAN"/>
    <x v="2"/>
  </r>
  <r>
    <x v="57"/>
    <x v="196"/>
    <x v="8"/>
    <x v="8"/>
    <x v="1"/>
    <x v="0"/>
    <x v="33"/>
    <x v="375"/>
    <x v="874"/>
    <x v="0"/>
    <s v="SAN SEBASTIAN"/>
    <x v="2"/>
  </r>
  <r>
    <x v="57"/>
    <x v="226"/>
    <x v="8"/>
    <x v="8"/>
    <x v="1"/>
    <x v="0"/>
    <x v="33"/>
    <x v="376"/>
    <x v="874"/>
    <x v="0"/>
    <s v="SAN SEBASTIAN"/>
    <x v="2"/>
  </r>
  <r>
    <x v="57"/>
    <x v="173"/>
    <x v="8"/>
    <x v="8"/>
    <x v="1"/>
    <x v="0"/>
    <x v="33"/>
    <x v="378"/>
    <x v="146"/>
    <x v="0"/>
    <s v="SAN SEBASTIAN"/>
    <x v="2"/>
  </r>
  <r>
    <x v="57"/>
    <x v="185"/>
    <x v="8"/>
    <x v="8"/>
    <x v="1"/>
    <x v="0"/>
    <x v="33"/>
    <x v="296"/>
    <x v="146"/>
    <x v="0"/>
    <s v="SAN SEBASTIAN"/>
    <x v="2"/>
  </r>
  <r>
    <x v="57"/>
    <x v="337"/>
    <x v="9"/>
    <x v="9"/>
    <x v="1"/>
    <x v="0"/>
    <x v="33"/>
    <x v="424"/>
    <x v="933"/>
    <x v="0"/>
    <s v="SAN SEBASTIAN"/>
    <x v="2"/>
  </r>
  <r>
    <x v="57"/>
    <x v="303"/>
    <x v="9"/>
    <x v="9"/>
    <x v="1"/>
    <x v="0"/>
    <x v="33"/>
    <x v="327"/>
    <x v="146"/>
    <x v="0"/>
    <s v="SAN SEBASTIAN"/>
    <x v="2"/>
  </r>
  <r>
    <x v="57"/>
    <x v="290"/>
    <x v="9"/>
    <x v="9"/>
    <x v="1"/>
    <x v="0"/>
    <x v="33"/>
    <x v="302"/>
    <x v="759"/>
    <x v="0"/>
    <s v="SAN SEBASTIAN"/>
    <x v="2"/>
  </r>
  <r>
    <x v="57"/>
    <x v="197"/>
    <x v="9"/>
    <x v="9"/>
    <x v="1"/>
    <x v="0"/>
    <x v="33"/>
    <x v="432"/>
    <x v="859"/>
    <x v="0"/>
    <s v="SAN SEBASTIAN"/>
    <x v="2"/>
  </r>
  <r>
    <x v="57"/>
    <x v="242"/>
    <x v="9"/>
    <x v="9"/>
    <x v="1"/>
    <x v="0"/>
    <x v="33"/>
    <x v="435"/>
    <x v="874"/>
    <x v="0"/>
    <s v="SAN SEBASTIAN"/>
    <x v="2"/>
  </r>
  <r>
    <x v="57"/>
    <x v="338"/>
    <x v="9"/>
    <x v="9"/>
    <x v="1"/>
    <x v="0"/>
    <x v="33"/>
    <x v="425"/>
    <x v="759"/>
    <x v="0"/>
    <s v="SAN SEBASTIAN"/>
    <x v="2"/>
  </r>
  <r>
    <x v="57"/>
    <x v="178"/>
    <x v="9"/>
    <x v="9"/>
    <x v="1"/>
    <x v="0"/>
    <x v="33"/>
    <x v="353"/>
    <x v="759"/>
    <x v="0"/>
    <s v="SAN SEBASTIAN"/>
    <x v="2"/>
  </r>
  <r>
    <x v="57"/>
    <x v="331"/>
    <x v="9"/>
    <x v="9"/>
    <x v="1"/>
    <x v="0"/>
    <x v="33"/>
    <x v="391"/>
    <x v="874"/>
    <x v="0"/>
    <s v="SAN SEBASTIAN"/>
    <x v="2"/>
  </r>
  <r>
    <x v="57"/>
    <x v="291"/>
    <x v="9"/>
    <x v="9"/>
    <x v="1"/>
    <x v="0"/>
    <x v="33"/>
    <x v="303"/>
    <x v="874"/>
    <x v="0"/>
    <s v="SAN SEBASTIAN"/>
    <x v="2"/>
  </r>
  <r>
    <x v="57"/>
    <x v="230"/>
    <x v="9"/>
    <x v="9"/>
    <x v="1"/>
    <x v="0"/>
    <x v="33"/>
    <x v="283"/>
    <x v="874"/>
    <x v="0"/>
    <s v="SAN SEBASTIAN"/>
    <x v="2"/>
  </r>
  <r>
    <x v="57"/>
    <x v="198"/>
    <x v="10"/>
    <x v="10"/>
    <x v="1"/>
    <x v="0"/>
    <x v="33"/>
    <x v="338"/>
    <x v="874"/>
    <x v="0"/>
    <s v="SAN SEBASTIAN"/>
    <x v="2"/>
  </r>
  <r>
    <x v="57"/>
    <x v="286"/>
    <x v="10"/>
    <x v="10"/>
    <x v="1"/>
    <x v="0"/>
    <x v="33"/>
    <x v="297"/>
    <x v="1182"/>
    <x v="0"/>
    <s v="SAN SEBASTIAN"/>
    <x v="2"/>
  </r>
  <r>
    <x v="57"/>
    <x v="212"/>
    <x v="10"/>
    <x v="10"/>
    <x v="1"/>
    <x v="0"/>
    <x v="33"/>
    <x v="319"/>
    <x v="759"/>
    <x v="0"/>
    <s v="SAN SEBASTIAN"/>
    <x v="2"/>
  </r>
  <r>
    <x v="57"/>
    <x v="317"/>
    <x v="10"/>
    <x v="10"/>
    <x v="1"/>
    <x v="0"/>
    <x v="33"/>
    <x v="401"/>
    <x v="874"/>
    <x v="0"/>
    <s v="SAN SEBASTIAN"/>
    <x v="2"/>
  </r>
  <r>
    <x v="57"/>
    <x v="231"/>
    <x v="10"/>
    <x v="10"/>
    <x v="1"/>
    <x v="0"/>
    <x v="33"/>
    <x v="402"/>
    <x v="874"/>
    <x v="0"/>
    <s v="SAN SEBASTIAN"/>
    <x v="2"/>
  </r>
  <r>
    <x v="57"/>
    <x v="239"/>
    <x v="10"/>
    <x v="10"/>
    <x v="1"/>
    <x v="0"/>
    <x v="33"/>
    <x v="419"/>
    <x v="759"/>
    <x v="0"/>
    <s v="SAN SEBASTIAN"/>
    <x v="2"/>
  </r>
  <r>
    <x v="57"/>
    <x v="180"/>
    <x v="10"/>
    <x v="10"/>
    <x v="1"/>
    <x v="0"/>
    <x v="33"/>
    <x v="452"/>
    <x v="759"/>
    <x v="0"/>
    <s v="SAN SEBASTIAN"/>
    <x v="2"/>
  </r>
  <r>
    <x v="57"/>
    <x v="268"/>
    <x v="10"/>
    <x v="10"/>
    <x v="1"/>
    <x v="0"/>
    <x v="33"/>
    <x v="339"/>
    <x v="759"/>
    <x v="0"/>
    <s v="SAN SEBASTIAN"/>
    <x v="2"/>
  </r>
  <r>
    <x v="57"/>
    <x v="232"/>
    <x v="10"/>
    <x v="10"/>
    <x v="1"/>
    <x v="0"/>
    <x v="33"/>
    <x v="290"/>
    <x v="874"/>
    <x v="0"/>
    <s v="SAN SEBASTIAN"/>
    <x v="2"/>
  </r>
  <r>
    <x v="57"/>
    <x v="186"/>
    <x v="10"/>
    <x v="10"/>
    <x v="1"/>
    <x v="0"/>
    <x v="33"/>
    <x v="321"/>
    <x v="759"/>
    <x v="0"/>
    <s v="SAN SEBASTIAN"/>
    <x v="2"/>
  </r>
  <r>
    <x v="57"/>
    <x v="329"/>
    <x v="10"/>
    <x v="10"/>
    <x v="1"/>
    <x v="0"/>
    <x v="33"/>
    <x v="380"/>
    <x v="934"/>
    <x v="0"/>
    <s v="SAN SEBASTIAN"/>
    <x v="2"/>
  </r>
  <r>
    <x v="57"/>
    <x v="339"/>
    <x v="10"/>
    <x v="10"/>
    <x v="1"/>
    <x v="0"/>
    <x v="33"/>
    <x v="427"/>
    <x v="146"/>
    <x v="0"/>
    <s v="SAN SEBASTIAN"/>
    <x v="2"/>
  </r>
  <r>
    <x v="57"/>
    <x v="248"/>
    <x v="10"/>
    <x v="10"/>
    <x v="1"/>
    <x v="0"/>
    <x v="33"/>
    <x v="304"/>
    <x v="874"/>
    <x v="0"/>
    <s v="SAN SEBASTIAN"/>
    <x v="2"/>
  </r>
  <r>
    <x v="57"/>
    <x v="233"/>
    <x v="10"/>
    <x v="10"/>
    <x v="1"/>
    <x v="0"/>
    <x v="33"/>
    <x v="344"/>
    <x v="759"/>
    <x v="0"/>
    <s v="SAN SEBASTIAN"/>
    <x v="2"/>
  </r>
  <r>
    <x v="57"/>
    <x v="199"/>
    <x v="10"/>
    <x v="10"/>
    <x v="1"/>
    <x v="0"/>
    <x v="33"/>
    <x v="298"/>
    <x v="759"/>
    <x v="0"/>
    <s v="SAN SEBASTIAN"/>
    <x v="2"/>
  </r>
  <r>
    <x v="57"/>
    <x v="269"/>
    <x v="11"/>
    <x v="11"/>
    <x v="1"/>
    <x v="0"/>
    <x v="33"/>
    <x v="403"/>
    <x v="146"/>
    <x v="0"/>
    <s v="SAN SEBASTIAN"/>
    <x v="2"/>
  </r>
  <r>
    <x v="57"/>
    <x v="282"/>
    <x v="11"/>
    <x v="11"/>
    <x v="1"/>
    <x v="0"/>
    <x v="33"/>
    <x v="358"/>
    <x v="1132"/>
    <x v="0"/>
    <s v="SAN SEBASTIAN"/>
    <x v="2"/>
  </r>
  <r>
    <x v="57"/>
    <x v="187"/>
    <x v="11"/>
    <x v="11"/>
    <x v="1"/>
    <x v="0"/>
    <x v="33"/>
    <x v="328"/>
    <x v="146"/>
    <x v="0"/>
    <s v="SAN SEBASTIAN"/>
    <x v="2"/>
  </r>
  <r>
    <x v="57"/>
    <x v="220"/>
    <x v="11"/>
    <x v="11"/>
    <x v="1"/>
    <x v="0"/>
    <x v="33"/>
    <x v="309"/>
    <x v="759"/>
    <x v="0"/>
    <s v="SAN SEBASTIAN"/>
    <x v="2"/>
  </r>
  <r>
    <x v="57"/>
    <x v="177"/>
    <x v="11"/>
    <x v="11"/>
    <x v="1"/>
    <x v="0"/>
    <x v="33"/>
    <x v="346"/>
    <x v="759"/>
    <x v="0"/>
    <s v="SAN SEBASTIAN"/>
    <x v="2"/>
  </r>
  <r>
    <x v="57"/>
    <x v="201"/>
    <x v="11"/>
    <x v="11"/>
    <x v="1"/>
    <x v="0"/>
    <x v="33"/>
    <x v="422"/>
    <x v="759"/>
    <x v="0"/>
    <s v="SAN SEBASTIAN"/>
    <x v="2"/>
  </r>
  <r>
    <x v="57"/>
    <x v="249"/>
    <x v="11"/>
    <x v="11"/>
    <x v="1"/>
    <x v="0"/>
    <x v="33"/>
    <x v="359"/>
    <x v="874"/>
    <x v="0"/>
    <s v="SAN SEBASTIAN"/>
    <x v="2"/>
  </r>
  <r>
    <x v="57"/>
    <x v="302"/>
    <x v="11"/>
    <x v="11"/>
    <x v="1"/>
    <x v="0"/>
    <x v="33"/>
    <x v="324"/>
    <x v="982"/>
    <x v="0"/>
    <s v="SAN SEBASTIAN"/>
    <x v="2"/>
  </r>
  <r>
    <x v="57"/>
    <x v="202"/>
    <x v="11"/>
    <x v="11"/>
    <x v="1"/>
    <x v="0"/>
    <x v="33"/>
    <x v="305"/>
    <x v="759"/>
    <x v="0"/>
    <s v="SAN SEBASTIAN"/>
    <x v="2"/>
  </r>
  <r>
    <x v="57"/>
    <x v="273"/>
    <x v="11"/>
    <x v="11"/>
    <x v="1"/>
    <x v="0"/>
    <x v="33"/>
    <x v="354"/>
    <x v="874"/>
    <x v="0"/>
    <s v="SAN SEBASTIAN"/>
    <x v="2"/>
  </r>
  <r>
    <x v="57"/>
    <x v="311"/>
    <x v="11"/>
    <x v="11"/>
    <x v="1"/>
    <x v="0"/>
    <x v="33"/>
    <x v="440"/>
    <x v="874"/>
    <x v="0"/>
    <s v="SAN SEBASTIAN"/>
    <x v="2"/>
  </r>
  <r>
    <x v="57"/>
    <x v="181"/>
    <x v="11"/>
    <x v="11"/>
    <x v="1"/>
    <x v="0"/>
    <x v="33"/>
    <x v="362"/>
    <x v="874"/>
    <x v="0"/>
    <s v="SAN SEBASTIAN"/>
    <x v="2"/>
  </r>
  <r>
    <x v="57"/>
    <x v="274"/>
    <x v="11"/>
    <x v="11"/>
    <x v="1"/>
    <x v="0"/>
    <x v="33"/>
    <x v="404"/>
    <x v="759"/>
    <x v="0"/>
    <s v="SAN SEBASTIAN"/>
    <x v="2"/>
  </r>
  <r>
    <x v="57"/>
    <x v="275"/>
    <x v="11"/>
    <x v="11"/>
    <x v="1"/>
    <x v="0"/>
    <x v="33"/>
    <x v="307"/>
    <x v="874"/>
    <x v="0"/>
    <s v="SAN SEBASTIAN"/>
    <x v="2"/>
  </r>
  <r>
    <x v="57"/>
    <x v="294"/>
    <x v="11"/>
    <x v="11"/>
    <x v="1"/>
    <x v="0"/>
    <x v="33"/>
    <x v="382"/>
    <x v="874"/>
    <x v="0"/>
    <s v="SAN SEBASTIAN"/>
    <x v="2"/>
  </r>
  <r>
    <x v="57"/>
    <x v="300"/>
    <x v="2"/>
    <x v="2"/>
    <x v="1"/>
    <x v="0"/>
    <x v="33"/>
    <x v="316"/>
    <x v="859"/>
    <x v="0"/>
    <s v="SAN SEBASTIAN"/>
    <x v="2"/>
  </r>
  <r>
    <x v="57"/>
    <x v="284"/>
    <x v="2"/>
    <x v="2"/>
    <x v="1"/>
    <x v="0"/>
    <x v="33"/>
    <x v="383"/>
    <x v="1182"/>
    <x v="0"/>
    <s v="SAN SEBASTIAN"/>
    <x v="2"/>
  </r>
  <r>
    <x v="57"/>
    <x v="222"/>
    <x v="2"/>
    <x v="2"/>
    <x v="1"/>
    <x v="0"/>
    <x v="33"/>
    <x v="384"/>
    <x v="874"/>
    <x v="0"/>
    <s v="SAN SEBASTIAN"/>
    <x v="2"/>
  </r>
  <r>
    <x v="57"/>
    <x v="307"/>
    <x v="2"/>
    <x v="2"/>
    <x v="1"/>
    <x v="0"/>
    <x v="33"/>
    <x v="441"/>
    <x v="759"/>
    <x v="0"/>
    <s v="SAN SEBASTIAN"/>
    <x v="2"/>
  </r>
  <r>
    <x v="57"/>
    <x v="270"/>
    <x v="2"/>
    <x v="2"/>
    <x v="1"/>
    <x v="0"/>
    <x v="33"/>
    <x v="363"/>
    <x v="759"/>
    <x v="0"/>
    <s v="SAN SEBASTIAN"/>
    <x v="2"/>
  </r>
  <r>
    <x v="57"/>
    <x v="216"/>
    <x v="2"/>
    <x v="2"/>
    <x v="1"/>
    <x v="0"/>
    <x v="33"/>
    <x v="332"/>
    <x v="874"/>
    <x v="0"/>
    <s v="SAN SEBASTIAN"/>
    <x v="2"/>
  </r>
  <r>
    <x v="57"/>
    <x v="240"/>
    <x v="2"/>
    <x v="2"/>
    <x v="1"/>
    <x v="0"/>
    <x v="33"/>
    <x v="442"/>
    <x v="1132"/>
    <x v="0"/>
    <s v="SAN SEBASTIAN"/>
    <x v="2"/>
  </r>
  <r>
    <x v="57"/>
    <x v="223"/>
    <x v="2"/>
    <x v="2"/>
    <x v="1"/>
    <x v="0"/>
    <x v="33"/>
    <x v="434"/>
    <x v="146"/>
    <x v="0"/>
    <s v="SAN SEBASTIAN"/>
    <x v="2"/>
  </r>
  <r>
    <x v="57"/>
    <x v="316"/>
    <x v="2"/>
    <x v="2"/>
    <x v="1"/>
    <x v="0"/>
    <x v="33"/>
    <x v="348"/>
    <x v="874"/>
    <x v="0"/>
    <s v="SAN SEBASTIAN"/>
    <x v="2"/>
  </r>
  <r>
    <x v="57"/>
    <x v="276"/>
    <x v="2"/>
    <x v="2"/>
    <x v="1"/>
    <x v="0"/>
    <x v="33"/>
    <x v="385"/>
    <x v="874"/>
    <x v="0"/>
    <s v="SAN SEBASTIAN"/>
    <x v="2"/>
  </r>
  <r>
    <x v="57"/>
    <x v="304"/>
    <x v="2"/>
    <x v="2"/>
    <x v="1"/>
    <x v="0"/>
    <x v="33"/>
    <x v="329"/>
    <x v="874"/>
    <x v="0"/>
    <s v="SAN SEBASTIAN"/>
    <x v="2"/>
  </r>
  <r>
    <x v="57"/>
    <x v="183"/>
    <x v="2"/>
    <x v="2"/>
    <x v="1"/>
    <x v="0"/>
    <x v="33"/>
    <x v="330"/>
    <x v="759"/>
    <x v="0"/>
    <s v="SAN SEBASTIAN"/>
    <x v="2"/>
  </r>
  <r>
    <x v="57"/>
    <x v="235"/>
    <x v="2"/>
    <x v="2"/>
    <x v="1"/>
    <x v="0"/>
    <x v="33"/>
    <x v="393"/>
    <x v="874"/>
    <x v="0"/>
    <s v="SAN SEBASTIAN"/>
    <x v="2"/>
  </r>
  <r>
    <x v="57"/>
    <x v="246"/>
    <x v="2"/>
    <x v="2"/>
    <x v="1"/>
    <x v="0"/>
    <x v="33"/>
    <x v="287"/>
    <x v="874"/>
    <x v="0"/>
    <s v="SAN SEBASTIAN"/>
    <x v="2"/>
  </r>
  <r>
    <x v="57"/>
    <x v="264"/>
    <x v="6"/>
    <x v="6"/>
    <x v="1"/>
    <x v="0"/>
    <x v="33"/>
    <x v="311"/>
    <x v="759"/>
    <x v="0"/>
    <s v="SAN SEBASTIAN"/>
    <x v="2"/>
  </r>
  <r>
    <x v="57"/>
    <x v="281"/>
    <x v="6"/>
    <x v="6"/>
    <x v="1"/>
    <x v="0"/>
    <x v="33"/>
    <x v="395"/>
    <x v="874"/>
    <x v="0"/>
    <s v="SAN SEBASTIAN"/>
    <x v="2"/>
  </r>
  <r>
    <x v="57"/>
    <x v="285"/>
    <x v="6"/>
    <x v="6"/>
    <x v="1"/>
    <x v="0"/>
    <x v="33"/>
    <x v="409"/>
    <x v="146"/>
    <x v="0"/>
    <s v="SAN SEBASTIAN"/>
    <x v="2"/>
  </r>
  <r>
    <x v="57"/>
    <x v="217"/>
    <x v="6"/>
    <x v="6"/>
    <x v="1"/>
    <x v="0"/>
    <x v="33"/>
    <x v="323"/>
    <x v="899"/>
    <x v="0"/>
    <s v="SAN SEBASTIAN"/>
    <x v="2"/>
  </r>
  <r>
    <x v="57"/>
    <x v="265"/>
    <x v="6"/>
    <x v="6"/>
    <x v="1"/>
    <x v="0"/>
    <x v="33"/>
    <x v="386"/>
    <x v="146"/>
    <x v="0"/>
    <s v="SAN SEBASTIAN"/>
    <x v="2"/>
  </r>
  <r>
    <x v="57"/>
    <x v="184"/>
    <x v="6"/>
    <x v="6"/>
    <x v="1"/>
    <x v="0"/>
    <x v="33"/>
    <x v="413"/>
    <x v="874"/>
    <x v="0"/>
    <s v="SAN SEBASTIAN"/>
    <x v="2"/>
  </r>
  <r>
    <x v="57"/>
    <x v="314"/>
    <x v="6"/>
    <x v="6"/>
    <x v="1"/>
    <x v="0"/>
    <x v="33"/>
    <x v="372"/>
    <x v="874"/>
    <x v="0"/>
    <s v="SAN SEBASTIAN"/>
    <x v="2"/>
  </r>
  <r>
    <x v="57"/>
    <x v="296"/>
    <x v="6"/>
    <x v="6"/>
    <x v="1"/>
    <x v="0"/>
    <x v="33"/>
    <x v="312"/>
    <x v="759"/>
    <x v="0"/>
    <s v="SAN SEBASTIAN"/>
    <x v="2"/>
  </r>
  <r>
    <x v="57"/>
    <x v="204"/>
    <x v="6"/>
    <x v="6"/>
    <x v="1"/>
    <x v="0"/>
    <x v="33"/>
    <x v="317"/>
    <x v="759"/>
    <x v="0"/>
    <s v="SAN SEBASTIAN"/>
    <x v="2"/>
  </r>
  <r>
    <x v="57"/>
    <x v="297"/>
    <x v="6"/>
    <x v="6"/>
    <x v="1"/>
    <x v="0"/>
    <x v="33"/>
    <x v="313"/>
    <x v="934"/>
    <x v="0"/>
    <s v="SAN SEBASTIAN"/>
    <x v="2"/>
  </r>
  <r>
    <x v="57"/>
    <x v="236"/>
    <x v="6"/>
    <x v="6"/>
    <x v="1"/>
    <x v="0"/>
    <x v="33"/>
    <x v="371"/>
    <x v="146"/>
    <x v="0"/>
    <s v="SAN SEBASTIAN"/>
    <x v="2"/>
  </r>
  <r>
    <x v="57"/>
    <x v="188"/>
    <x v="6"/>
    <x v="6"/>
    <x v="1"/>
    <x v="0"/>
    <x v="33"/>
    <x v="407"/>
    <x v="874"/>
    <x v="0"/>
    <s v="SAN SEBASTIAN"/>
    <x v="2"/>
  </r>
  <r>
    <x v="57"/>
    <x v="313"/>
    <x v="6"/>
    <x v="6"/>
    <x v="1"/>
    <x v="0"/>
    <x v="33"/>
    <x v="341"/>
    <x v="759"/>
    <x v="0"/>
    <s v="SAN SEBASTIAN"/>
    <x v="2"/>
  </r>
  <r>
    <x v="57"/>
    <x v="335"/>
    <x v="6"/>
    <x v="6"/>
    <x v="1"/>
    <x v="0"/>
    <x v="33"/>
    <x v="408"/>
    <x v="759"/>
    <x v="0"/>
    <s v="SAN SEBASTIAN"/>
    <x v="2"/>
  </r>
  <r>
    <x v="57"/>
    <x v="271"/>
    <x v="6"/>
    <x v="6"/>
    <x v="1"/>
    <x v="0"/>
    <x v="33"/>
    <x v="426"/>
    <x v="874"/>
    <x v="0"/>
    <s v="SAN SEBASTIAN"/>
    <x v="2"/>
  </r>
  <r>
    <x v="57"/>
    <x v="174"/>
    <x v="6"/>
    <x v="6"/>
    <x v="1"/>
    <x v="0"/>
    <x v="33"/>
    <x v="282"/>
    <x v="874"/>
    <x v="0"/>
    <s v="SAN SEBASTIAN"/>
    <x v="2"/>
  </r>
  <r>
    <x v="57"/>
    <x v="229"/>
    <x v="6"/>
    <x v="6"/>
    <x v="1"/>
    <x v="0"/>
    <x v="33"/>
    <x v="281"/>
    <x v="874"/>
    <x v="0"/>
    <s v="SAN SEBASTIAN"/>
    <x v="2"/>
  </r>
  <r>
    <x v="57"/>
    <x v="241"/>
    <x v="6"/>
    <x v="6"/>
    <x v="1"/>
    <x v="0"/>
    <x v="33"/>
    <x v="447"/>
    <x v="874"/>
    <x v="0"/>
    <s v="SAN SEBASTIAN"/>
    <x v="2"/>
  </r>
  <r>
    <x v="57"/>
    <x v="278"/>
    <x v="7"/>
    <x v="7"/>
    <x v="1"/>
    <x v="1"/>
    <x v="33"/>
    <x v="450"/>
    <x v="874"/>
    <x v="0"/>
    <s v="SAN SEBASTIAN"/>
    <x v="2"/>
  </r>
  <r>
    <x v="57"/>
    <x v="259"/>
    <x v="7"/>
    <x v="7"/>
    <x v="1"/>
    <x v="1"/>
    <x v="33"/>
    <x v="355"/>
    <x v="146"/>
    <x v="0"/>
    <s v="SAN SEBASTIAN"/>
    <x v="2"/>
  </r>
  <r>
    <x v="57"/>
    <x v="332"/>
    <x v="7"/>
    <x v="7"/>
    <x v="1"/>
    <x v="1"/>
    <x v="33"/>
    <x v="397"/>
    <x v="874"/>
    <x v="0"/>
    <s v="SAN SEBASTIAN"/>
    <x v="2"/>
  </r>
  <r>
    <x v="57"/>
    <x v="261"/>
    <x v="8"/>
    <x v="8"/>
    <x v="1"/>
    <x v="1"/>
    <x v="33"/>
    <x v="320"/>
    <x v="874"/>
    <x v="0"/>
    <s v="SAN SEBASTIAN"/>
    <x v="2"/>
  </r>
  <r>
    <x v="57"/>
    <x v="303"/>
    <x v="9"/>
    <x v="9"/>
    <x v="1"/>
    <x v="1"/>
    <x v="33"/>
    <x v="327"/>
    <x v="874"/>
    <x v="0"/>
    <s v="SAN SEBASTIAN"/>
    <x v="2"/>
  </r>
  <r>
    <x v="57"/>
    <x v="201"/>
    <x v="11"/>
    <x v="11"/>
    <x v="1"/>
    <x v="1"/>
    <x v="33"/>
    <x v="422"/>
    <x v="874"/>
    <x v="0"/>
    <s v="SAN SEBASTIAN"/>
    <x v="2"/>
  </r>
  <r>
    <x v="57"/>
    <x v="275"/>
    <x v="11"/>
    <x v="11"/>
    <x v="1"/>
    <x v="1"/>
    <x v="33"/>
    <x v="307"/>
    <x v="874"/>
    <x v="0"/>
    <s v="SAN SEBASTIAN"/>
    <x v="2"/>
  </r>
  <r>
    <x v="57"/>
    <x v="265"/>
    <x v="6"/>
    <x v="6"/>
    <x v="1"/>
    <x v="1"/>
    <x v="33"/>
    <x v="386"/>
    <x v="874"/>
    <x v="0"/>
    <s v="SAN SEBASTIAN"/>
    <x v="2"/>
  </r>
  <r>
    <x v="57"/>
    <x v="296"/>
    <x v="6"/>
    <x v="6"/>
    <x v="1"/>
    <x v="1"/>
    <x v="33"/>
    <x v="312"/>
    <x v="874"/>
    <x v="0"/>
    <s v="SAN SEBASTIAN"/>
    <x v="2"/>
  </r>
  <r>
    <x v="57"/>
    <x v="204"/>
    <x v="6"/>
    <x v="6"/>
    <x v="1"/>
    <x v="1"/>
    <x v="33"/>
    <x v="317"/>
    <x v="874"/>
    <x v="0"/>
    <s v="SAN SEBASTIAN"/>
    <x v="2"/>
  </r>
  <r>
    <x v="57"/>
    <x v="297"/>
    <x v="6"/>
    <x v="6"/>
    <x v="1"/>
    <x v="1"/>
    <x v="33"/>
    <x v="313"/>
    <x v="874"/>
    <x v="0"/>
    <s v="SAN SEBASTIAN"/>
    <x v="2"/>
  </r>
  <r>
    <x v="57"/>
    <x v="236"/>
    <x v="6"/>
    <x v="6"/>
    <x v="1"/>
    <x v="1"/>
    <x v="33"/>
    <x v="371"/>
    <x v="874"/>
    <x v="0"/>
    <s v="SAN SEBASTIAN"/>
    <x v="2"/>
  </r>
  <r>
    <x v="57"/>
    <x v="188"/>
    <x v="6"/>
    <x v="6"/>
    <x v="1"/>
    <x v="1"/>
    <x v="33"/>
    <x v="407"/>
    <x v="874"/>
    <x v="0"/>
    <s v="SAN SEBASTIAN"/>
    <x v="2"/>
  </r>
  <r>
    <x v="57"/>
    <x v="313"/>
    <x v="6"/>
    <x v="6"/>
    <x v="1"/>
    <x v="1"/>
    <x v="33"/>
    <x v="341"/>
    <x v="874"/>
    <x v="0"/>
    <s v="SAN SEBASTIAN"/>
    <x v="2"/>
  </r>
  <r>
    <x v="57"/>
    <x v="335"/>
    <x v="6"/>
    <x v="6"/>
    <x v="1"/>
    <x v="1"/>
    <x v="33"/>
    <x v="408"/>
    <x v="874"/>
    <x v="0"/>
    <s v="SAN SEBASTIAN"/>
    <x v="2"/>
  </r>
  <r>
    <x v="59"/>
    <x v="194"/>
    <x v="9"/>
    <x v="9"/>
    <x v="1"/>
    <x v="2"/>
    <x v="32"/>
    <x v="390"/>
    <x v="3219"/>
    <x v="0"/>
    <s v="CIUDAD DEL SABER"/>
    <x v="2"/>
  </r>
  <r>
    <x v="59"/>
    <x v="325"/>
    <x v="11"/>
    <x v="11"/>
    <x v="1"/>
    <x v="2"/>
    <x v="33"/>
    <x v="421"/>
    <x v="874"/>
    <x v="0"/>
    <s v="CIUDAD DEL SABER"/>
    <x v="2"/>
  </r>
  <r>
    <x v="60"/>
    <x v="206"/>
    <x v="7"/>
    <x v="7"/>
    <x v="1"/>
    <x v="0"/>
    <x v="33"/>
    <x v="284"/>
    <x v="874"/>
    <x v="0"/>
    <s v="VILLA ZAITA"/>
    <x v="2"/>
  </r>
  <r>
    <x v="62"/>
    <x v="227"/>
    <x v="9"/>
    <x v="9"/>
    <x v="1"/>
    <x v="2"/>
    <x v="32"/>
    <x v="399"/>
    <x v="1331"/>
    <x v="0"/>
    <s v="TOWN CENTER COSTA DEL ESTE"/>
    <x v="2"/>
  </r>
  <r>
    <x v="62"/>
    <x v="242"/>
    <x v="9"/>
    <x v="9"/>
    <x v="1"/>
    <x v="2"/>
    <x v="32"/>
    <x v="435"/>
    <x v="3220"/>
    <x v="0"/>
    <s v="TOWN CENTER COSTA DEL ESTE"/>
    <x v="2"/>
  </r>
  <r>
    <x v="62"/>
    <x v="214"/>
    <x v="11"/>
    <x v="11"/>
    <x v="1"/>
    <x v="2"/>
    <x v="32"/>
    <x v="306"/>
    <x v="3221"/>
    <x v="0"/>
    <s v="TOWN CENTER COSTA DEL ESTE"/>
    <x v="2"/>
  </r>
  <r>
    <x v="62"/>
    <x v="204"/>
    <x v="6"/>
    <x v="6"/>
    <x v="1"/>
    <x v="0"/>
    <x v="33"/>
    <x v="317"/>
    <x v="874"/>
    <x v="0"/>
    <s v="TOWN CENTER COSTA DEL ESTE"/>
    <x v="2"/>
  </r>
  <r>
    <x v="63"/>
    <x v="194"/>
    <x v="9"/>
    <x v="9"/>
    <x v="1"/>
    <x v="2"/>
    <x v="32"/>
    <x v="390"/>
    <x v="3222"/>
    <x v="0"/>
    <s v="COSTA VERDE"/>
    <x v="2"/>
  </r>
  <r>
    <x v="63"/>
    <x v="242"/>
    <x v="9"/>
    <x v="9"/>
    <x v="1"/>
    <x v="2"/>
    <x v="32"/>
    <x v="435"/>
    <x v="3223"/>
    <x v="0"/>
    <s v="COSTA VERDE"/>
    <x v="2"/>
  </r>
  <r>
    <x v="63"/>
    <x v="263"/>
    <x v="10"/>
    <x v="10"/>
    <x v="1"/>
    <x v="2"/>
    <x v="32"/>
    <x v="436"/>
    <x v="3222"/>
    <x v="0"/>
    <s v="COSTA VERDE"/>
    <x v="2"/>
  </r>
  <r>
    <x v="63"/>
    <x v="311"/>
    <x v="11"/>
    <x v="11"/>
    <x v="1"/>
    <x v="2"/>
    <x v="32"/>
    <x v="440"/>
    <x v="1"/>
    <x v="216"/>
    <s v="COSTA VERDE"/>
    <x v="2"/>
  </r>
  <r>
    <x v="63"/>
    <x v="330"/>
    <x v="11"/>
    <x v="11"/>
    <x v="1"/>
    <x v="2"/>
    <x v="32"/>
    <x v="381"/>
    <x v="3224"/>
    <x v="0"/>
    <s v="COSTA VERDE"/>
    <x v="2"/>
  </r>
  <r>
    <x v="63"/>
    <x v="229"/>
    <x v="6"/>
    <x v="6"/>
    <x v="1"/>
    <x v="2"/>
    <x v="32"/>
    <x v="281"/>
    <x v="3225"/>
    <x v="0"/>
    <s v="COSTA VERDE"/>
    <x v="2"/>
  </r>
  <r>
    <x v="63"/>
    <x v="302"/>
    <x v="11"/>
    <x v="11"/>
    <x v="1"/>
    <x v="0"/>
    <x v="33"/>
    <x v="324"/>
    <x v="952"/>
    <x v="0"/>
    <s v="COSTA VERDE"/>
    <x v="2"/>
  </r>
  <r>
    <x v="63"/>
    <x v="273"/>
    <x v="11"/>
    <x v="11"/>
    <x v="1"/>
    <x v="0"/>
    <x v="33"/>
    <x v="354"/>
    <x v="759"/>
    <x v="0"/>
    <s v="COSTA VERDE"/>
    <x v="2"/>
  </r>
  <r>
    <x v="63"/>
    <x v="181"/>
    <x v="11"/>
    <x v="11"/>
    <x v="1"/>
    <x v="0"/>
    <x v="32"/>
    <x v="362"/>
    <x v="1"/>
    <x v="349"/>
    <s v="COSTA VERDE"/>
    <x v="2"/>
  </r>
  <r>
    <x v="63"/>
    <x v="215"/>
    <x v="2"/>
    <x v="2"/>
    <x v="1"/>
    <x v="0"/>
    <x v="33"/>
    <x v="322"/>
    <x v="759"/>
    <x v="0"/>
    <s v="COSTA VERDE"/>
    <x v="2"/>
  </r>
  <r>
    <x v="63"/>
    <x v="284"/>
    <x v="2"/>
    <x v="2"/>
    <x v="1"/>
    <x v="0"/>
    <x v="33"/>
    <x v="383"/>
    <x v="759"/>
    <x v="0"/>
    <s v="COSTA VERDE"/>
    <x v="2"/>
  </r>
  <r>
    <x v="63"/>
    <x v="216"/>
    <x v="2"/>
    <x v="2"/>
    <x v="1"/>
    <x v="0"/>
    <x v="33"/>
    <x v="332"/>
    <x v="759"/>
    <x v="0"/>
    <s v="COSTA VERDE"/>
    <x v="2"/>
  </r>
  <r>
    <x v="63"/>
    <x v="223"/>
    <x v="2"/>
    <x v="2"/>
    <x v="1"/>
    <x v="0"/>
    <x v="33"/>
    <x v="434"/>
    <x v="759"/>
    <x v="0"/>
    <s v="COSTA VERDE"/>
    <x v="2"/>
  </r>
  <r>
    <x v="63"/>
    <x v="183"/>
    <x v="2"/>
    <x v="2"/>
    <x v="1"/>
    <x v="0"/>
    <x v="33"/>
    <x v="330"/>
    <x v="874"/>
    <x v="0"/>
    <s v="COSTA VERDE"/>
    <x v="2"/>
  </r>
  <r>
    <x v="63"/>
    <x v="285"/>
    <x v="6"/>
    <x v="6"/>
    <x v="1"/>
    <x v="0"/>
    <x v="33"/>
    <x v="409"/>
    <x v="759"/>
    <x v="0"/>
    <s v="COSTA VERDE"/>
    <x v="2"/>
  </r>
  <r>
    <x v="63"/>
    <x v="217"/>
    <x v="6"/>
    <x v="6"/>
    <x v="1"/>
    <x v="0"/>
    <x v="33"/>
    <x v="323"/>
    <x v="146"/>
    <x v="0"/>
    <s v="COSTA VERDE"/>
    <x v="2"/>
  </r>
  <r>
    <x v="63"/>
    <x v="265"/>
    <x v="6"/>
    <x v="6"/>
    <x v="1"/>
    <x v="0"/>
    <x v="33"/>
    <x v="386"/>
    <x v="874"/>
    <x v="0"/>
    <s v="COSTA VERDE"/>
    <x v="2"/>
  </r>
  <r>
    <x v="63"/>
    <x v="184"/>
    <x v="6"/>
    <x v="6"/>
    <x v="1"/>
    <x v="0"/>
    <x v="33"/>
    <x v="413"/>
    <x v="146"/>
    <x v="0"/>
    <s v="COSTA VERDE"/>
    <x v="2"/>
  </r>
  <r>
    <x v="63"/>
    <x v="296"/>
    <x v="6"/>
    <x v="6"/>
    <x v="1"/>
    <x v="0"/>
    <x v="33"/>
    <x v="312"/>
    <x v="146"/>
    <x v="0"/>
    <s v="COSTA VERDE"/>
    <x v="2"/>
  </r>
  <r>
    <x v="63"/>
    <x v="297"/>
    <x v="6"/>
    <x v="6"/>
    <x v="1"/>
    <x v="0"/>
    <x v="33"/>
    <x v="313"/>
    <x v="934"/>
    <x v="0"/>
    <s v="COSTA VERDE"/>
    <x v="2"/>
  </r>
  <r>
    <x v="63"/>
    <x v="313"/>
    <x v="6"/>
    <x v="6"/>
    <x v="1"/>
    <x v="0"/>
    <x v="33"/>
    <x v="341"/>
    <x v="759"/>
    <x v="0"/>
    <s v="COSTA VERDE"/>
    <x v="2"/>
  </r>
  <r>
    <x v="63"/>
    <x v="218"/>
    <x v="6"/>
    <x v="6"/>
    <x v="1"/>
    <x v="0"/>
    <x v="33"/>
    <x v="451"/>
    <x v="759"/>
    <x v="0"/>
    <s v="COSTA VERDE"/>
    <x v="2"/>
  </r>
  <r>
    <x v="63"/>
    <x v="229"/>
    <x v="6"/>
    <x v="6"/>
    <x v="1"/>
    <x v="0"/>
    <x v="33"/>
    <x v="281"/>
    <x v="765"/>
    <x v="0"/>
    <s v="COSTA VERDE"/>
    <x v="2"/>
  </r>
  <r>
    <x v="63"/>
    <x v="191"/>
    <x v="6"/>
    <x v="6"/>
    <x v="1"/>
    <x v="0"/>
    <x v="33"/>
    <x v="318"/>
    <x v="759"/>
    <x v="0"/>
    <s v="COSTA VERDE"/>
    <x v="2"/>
  </r>
  <r>
    <x v="63"/>
    <x v="216"/>
    <x v="2"/>
    <x v="2"/>
    <x v="1"/>
    <x v="1"/>
    <x v="33"/>
    <x v="332"/>
    <x v="874"/>
    <x v="0"/>
    <s v="COSTA VERDE"/>
    <x v="2"/>
  </r>
  <r>
    <x v="63"/>
    <x v="276"/>
    <x v="2"/>
    <x v="2"/>
    <x v="1"/>
    <x v="1"/>
    <x v="33"/>
    <x v="385"/>
    <x v="759"/>
    <x v="0"/>
    <s v="COSTA VERDE"/>
    <x v="2"/>
  </r>
  <r>
    <x v="63"/>
    <x v="264"/>
    <x v="6"/>
    <x v="6"/>
    <x v="1"/>
    <x v="1"/>
    <x v="33"/>
    <x v="311"/>
    <x v="874"/>
    <x v="0"/>
    <s v="COSTA VERDE"/>
    <x v="2"/>
  </r>
  <r>
    <x v="63"/>
    <x v="281"/>
    <x v="6"/>
    <x v="6"/>
    <x v="1"/>
    <x v="1"/>
    <x v="33"/>
    <x v="395"/>
    <x v="765"/>
    <x v="0"/>
    <s v="COSTA VERDE"/>
    <x v="2"/>
  </r>
  <r>
    <x v="64"/>
    <x v="208"/>
    <x v="8"/>
    <x v="8"/>
    <x v="1"/>
    <x v="2"/>
    <x v="32"/>
    <x v="377"/>
    <x v="3226"/>
    <x v="0"/>
    <s v="PLAZA LOS ANGELES"/>
    <x v="2"/>
  </r>
  <r>
    <x v="64"/>
    <x v="315"/>
    <x v="2"/>
    <x v="2"/>
    <x v="1"/>
    <x v="2"/>
    <x v="32"/>
    <x v="405"/>
    <x v="3227"/>
    <x v="0"/>
    <s v="PLAZA LOS ANGELES"/>
    <x v="2"/>
  </r>
  <r>
    <x v="64"/>
    <x v="316"/>
    <x v="2"/>
    <x v="2"/>
    <x v="1"/>
    <x v="0"/>
    <x v="33"/>
    <x v="348"/>
    <x v="874"/>
    <x v="0"/>
    <s v="PLAZA LOS ANGELES"/>
    <x v="2"/>
  </r>
  <r>
    <x v="65"/>
    <x v="242"/>
    <x v="9"/>
    <x v="9"/>
    <x v="1"/>
    <x v="2"/>
    <x v="32"/>
    <x v="435"/>
    <x v="3228"/>
    <x v="0"/>
    <s v="SAN MATEO"/>
    <x v="2"/>
  </r>
  <r>
    <x v="65"/>
    <x v="263"/>
    <x v="10"/>
    <x v="10"/>
    <x v="1"/>
    <x v="2"/>
    <x v="32"/>
    <x v="436"/>
    <x v="3228"/>
    <x v="0"/>
    <s v="SAN MATEO"/>
    <x v="2"/>
  </r>
  <r>
    <x v="65"/>
    <x v="187"/>
    <x v="11"/>
    <x v="11"/>
    <x v="1"/>
    <x v="2"/>
    <x v="32"/>
    <x v="328"/>
    <x v="3228"/>
    <x v="0"/>
    <s v="SAN MATEO"/>
    <x v="2"/>
  </r>
  <r>
    <x v="65"/>
    <x v="229"/>
    <x v="6"/>
    <x v="6"/>
    <x v="1"/>
    <x v="2"/>
    <x v="32"/>
    <x v="281"/>
    <x v="3161"/>
    <x v="0"/>
    <s v="SAN MATEO"/>
    <x v="2"/>
  </r>
  <r>
    <x v="66"/>
    <x v="263"/>
    <x v="10"/>
    <x v="10"/>
    <x v="1"/>
    <x v="2"/>
    <x v="32"/>
    <x v="436"/>
    <x v="3229"/>
    <x v="0"/>
    <s v="BRISAS DEL GOLF ARRAIJAN"/>
    <x v="2"/>
  </r>
  <r>
    <x v="66"/>
    <x v="240"/>
    <x v="2"/>
    <x v="2"/>
    <x v="1"/>
    <x v="2"/>
    <x v="32"/>
    <x v="442"/>
    <x v="3230"/>
    <x v="0"/>
    <s v="BRISAS DEL GOLF ARRAIJAN"/>
    <x v="2"/>
  </r>
  <r>
    <x v="66"/>
    <x v="264"/>
    <x v="6"/>
    <x v="6"/>
    <x v="1"/>
    <x v="2"/>
    <x v="34"/>
    <x v="454"/>
    <x v="759"/>
    <x v="0"/>
    <s v="BRISAS DEL GOLF ARRAIJAN"/>
    <x v="2"/>
  </r>
  <r>
    <x v="67"/>
    <x v="225"/>
    <x v="7"/>
    <x v="7"/>
    <x v="1"/>
    <x v="2"/>
    <x v="32"/>
    <x v="416"/>
    <x v="3231"/>
    <x v="0"/>
    <s v="PASEO ARRAIJAN"/>
    <x v="2"/>
  </r>
  <r>
    <x v="67"/>
    <x v="323"/>
    <x v="8"/>
    <x v="8"/>
    <x v="1"/>
    <x v="2"/>
    <x v="32"/>
    <x v="367"/>
    <x v="3232"/>
    <x v="0"/>
    <s v="PASEO ARRAIJAN"/>
    <x v="2"/>
  </r>
  <r>
    <x v="67"/>
    <x v="185"/>
    <x v="8"/>
    <x v="8"/>
    <x v="1"/>
    <x v="2"/>
    <x v="32"/>
    <x v="296"/>
    <x v="3233"/>
    <x v="0"/>
    <s v="PASEO ARRAIJAN"/>
    <x v="2"/>
  </r>
  <r>
    <x v="67"/>
    <x v="263"/>
    <x v="10"/>
    <x v="10"/>
    <x v="1"/>
    <x v="2"/>
    <x v="32"/>
    <x v="436"/>
    <x v="3234"/>
    <x v="0"/>
    <s v="PASEO ARRAIJAN"/>
    <x v="2"/>
  </r>
  <r>
    <x v="68"/>
    <x v="224"/>
    <x v="2"/>
    <x v="2"/>
    <x v="1"/>
    <x v="1"/>
    <x v="33"/>
    <x v="414"/>
    <x v="759"/>
    <x v="0"/>
    <s v="PLAZA NUEVO TOCUMEN"/>
    <x v="2"/>
  </r>
  <r>
    <x v="8"/>
    <x v="316"/>
    <x v="2"/>
    <x v="2"/>
    <x v="1"/>
    <x v="2"/>
    <x v="37"/>
    <x v="348"/>
    <x v="881"/>
    <x v="0"/>
    <s v="SANTIAGO"/>
    <x v="3"/>
  </r>
  <r>
    <x v="26"/>
    <x v="171"/>
    <x v="7"/>
    <x v="7"/>
    <x v="1"/>
    <x v="2"/>
    <x v="37"/>
    <x v="429"/>
    <x v="3235"/>
    <x v="0"/>
    <s v="CORONADO"/>
    <x v="3"/>
  </r>
  <r>
    <x v="31"/>
    <x v="277"/>
    <x v="7"/>
    <x v="7"/>
    <x v="1"/>
    <x v="2"/>
    <x v="37"/>
    <x v="325"/>
    <x v="3236"/>
    <x v="0"/>
    <s v="LAS TABLAS"/>
    <x v="3"/>
  </r>
  <r>
    <x v="33"/>
    <x v="326"/>
    <x v="8"/>
    <x v="8"/>
    <x v="1"/>
    <x v="2"/>
    <x v="37"/>
    <x v="423"/>
    <x v="3237"/>
    <x v="0"/>
    <s v="DAVID - TERRONAL"/>
    <x v="3"/>
  </r>
  <r>
    <x v="34"/>
    <x v="214"/>
    <x v="11"/>
    <x v="11"/>
    <x v="1"/>
    <x v="2"/>
    <x v="37"/>
    <x v="306"/>
    <x v="3106"/>
    <x v="0"/>
    <s v="COSTA DEL ESTE"/>
    <x v="3"/>
  </r>
  <r>
    <x v="75"/>
    <x v="214"/>
    <x v="11"/>
    <x v="11"/>
    <x v="1"/>
    <x v="2"/>
    <x v="37"/>
    <x v="306"/>
    <x v="782"/>
    <x v="0"/>
    <s v="SABANITAS"/>
    <x v="3"/>
  </r>
  <r>
    <x v="42"/>
    <x v="277"/>
    <x v="7"/>
    <x v="7"/>
    <x v="1"/>
    <x v="2"/>
    <x v="37"/>
    <x v="325"/>
    <x v="3238"/>
    <x v="0"/>
    <s v="ALTOS DE PANAMA"/>
    <x v="3"/>
  </r>
  <r>
    <x v="47"/>
    <x v="288"/>
    <x v="7"/>
    <x v="7"/>
    <x v="1"/>
    <x v="2"/>
    <x v="37"/>
    <x v="439"/>
    <x v="3239"/>
    <x v="0"/>
    <s v="LA CHORRERA - PARQUE 10 DE NOV."/>
    <x v="3"/>
  </r>
  <r>
    <x v="49"/>
    <x v="327"/>
    <x v="7"/>
    <x v="7"/>
    <x v="1"/>
    <x v="2"/>
    <x v="37"/>
    <x v="387"/>
    <x v="3240"/>
    <x v="0"/>
    <s v="CLAYTON"/>
    <x v="3"/>
  </r>
  <r>
    <x v="55"/>
    <x v="303"/>
    <x v="9"/>
    <x v="9"/>
    <x v="1"/>
    <x v="5"/>
    <x v="38"/>
    <x v="327"/>
    <x v="1401"/>
    <x v="0"/>
    <s v="NEGOCIOS"/>
    <x v="3"/>
  </r>
  <r>
    <x v="55"/>
    <x v="338"/>
    <x v="9"/>
    <x v="9"/>
    <x v="1"/>
    <x v="5"/>
    <x v="38"/>
    <x v="425"/>
    <x v="3241"/>
    <x v="0"/>
    <s v="NEGOCIOS"/>
    <x v="3"/>
  </r>
  <r>
    <x v="55"/>
    <x v="298"/>
    <x v="10"/>
    <x v="10"/>
    <x v="1"/>
    <x v="5"/>
    <x v="38"/>
    <x v="314"/>
    <x v="3242"/>
    <x v="0"/>
    <s v="NEGOCIOS"/>
    <x v="3"/>
  </r>
  <r>
    <x v="55"/>
    <x v="277"/>
    <x v="7"/>
    <x v="7"/>
    <x v="1"/>
    <x v="6"/>
    <x v="37"/>
    <x v="325"/>
    <x v="782"/>
    <x v="0"/>
    <s v="NEGOCIOS"/>
    <x v="3"/>
  </r>
  <r>
    <x v="55"/>
    <x v="179"/>
    <x v="7"/>
    <x v="7"/>
    <x v="1"/>
    <x v="6"/>
    <x v="37"/>
    <x v="415"/>
    <x v="3243"/>
    <x v="0"/>
    <s v="NEGOCIOS"/>
    <x v="3"/>
  </r>
  <r>
    <x v="55"/>
    <x v="260"/>
    <x v="7"/>
    <x v="7"/>
    <x v="1"/>
    <x v="6"/>
    <x v="37"/>
    <x v="437"/>
    <x v="3244"/>
    <x v="0"/>
    <s v="NEGOCIOS"/>
    <x v="3"/>
  </r>
  <r>
    <x v="55"/>
    <x v="237"/>
    <x v="7"/>
    <x v="7"/>
    <x v="1"/>
    <x v="6"/>
    <x v="65"/>
    <x v="455"/>
    <x v="3245"/>
    <x v="0"/>
    <s v="NEGOCIOS"/>
    <x v="3"/>
  </r>
  <r>
    <x v="55"/>
    <x v="321"/>
    <x v="8"/>
    <x v="8"/>
    <x v="1"/>
    <x v="6"/>
    <x v="38"/>
    <x v="430"/>
    <x v="3246"/>
    <x v="0"/>
    <s v="NEGOCIOS"/>
    <x v="3"/>
  </r>
  <r>
    <x v="55"/>
    <x v="319"/>
    <x v="8"/>
    <x v="8"/>
    <x v="1"/>
    <x v="6"/>
    <x v="66"/>
    <x v="456"/>
    <x v="1"/>
    <x v="605"/>
    <s v="NEGOCIOS"/>
    <x v="3"/>
  </r>
  <r>
    <x v="55"/>
    <x v="298"/>
    <x v="10"/>
    <x v="10"/>
    <x v="1"/>
    <x v="6"/>
    <x v="67"/>
    <x v="456"/>
    <x v="1"/>
    <x v="606"/>
    <s v="NEGOCIOS"/>
    <x v="3"/>
  </r>
  <r>
    <x v="55"/>
    <x v="298"/>
    <x v="10"/>
    <x v="10"/>
    <x v="1"/>
    <x v="6"/>
    <x v="38"/>
    <x v="314"/>
    <x v="3247"/>
    <x v="0"/>
    <s v="NEGOCIOS"/>
    <x v="3"/>
  </r>
  <r>
    <x v="55"/>
    <x v="269"/>
    <x v="11"/>
    <x v="11"/>
    <x v="1"/>
    <x v="6"/>
    <x v="38"/>
    <x v="403"/>
    <x v="3248"/>
    <x v="0"/>
    <s v="NEGOCIOS"/>
    <x v="3"/>
  </r>
  <r>
    <x v="55"/>
    <x v="201"/>
    <x v="11"/>
    <x v="11"/>
    <x v="1"/>
    <x v="6"/>
    <x v="37"/>
    <x v="422"/>
    <x v="900"/>
    <x v="0"/>
    <s v="NEGOCIOS"/>
    <x v="3"/>
  </r>
  <r>
    <x v="55"/>
    <x v="275"/>
    <x v="11"/>
    <x v="11"/>
    <x v="1"/>
    <x v="6"/>
    <x v="68"/>
    <x v="456"/>
    <x v="1"/>
    <x v="607"/>
    <s v="NEGOCIOS"/>
    <x v="3"/>
  </r>
  <r>
    <x v="55"/>
    <x v="335"/>
    <x v="6"/>
    <x v="6"/>
    <x v="1"/>
    <x v="6"/>
    <x v="37"/>
    <x v="408"/>
    <x v="3249"/>
    <x v="0"/>
    <s v="NEGOCIOS"/>
    <x v="3"/>
  </r>
  <r>
    <x v="55"/>
    <x v="191"/>
    <x v="6"/>
    <x v="6"/>
    <x v="1"/>
    <x v="6"/>
    <x v="38"/>
    <x v="318"/>
    <x v="3250"/>
    <x v="0"/>
    <s v="NEGOCIOS"/>
    <x v="3"/>
  </r>
  <r>
    <x v="55"/>
    <x v="206"/>
    <x v="7"/>
    <x v="7"/>
    <x v="1"/>
    <x v="7"/>
    <x v="37"/>
    <x v="284"/>
    <x v="3251"/>
    <x v="0"/>
    <s v="NEGOCIOS"/>
    <x v="3"/>
  </r>
  <r>
    <x v="55"/>
    <x v="217"/>
    <x v="6"/>
    <x v="6"/>
    <x v="1"/>
    <x v="7"/>
    <x v="37"/>
    <x v="323"/>
    <x v="3252"/>
    <x v="0"/>
    <s v="NEGOCIOS"/>
    <x v="3"/>
  </r>
  <r>
    <x v="55"/>
    <x v="335"/>
    <x v="6"/>
    <x v="6"/>
    <x v="1"/>
    <x v="7"/>
    <x v="37"/>
    <x v="408"/>
    <x v="1784"/>
    <x v="0"/>
    <s v="NEGOCIOS"/>
    <x v="3"/>
  </r>
  <r>
    <x v="55"/>
    <x v="249"/>
    <x v="11"/>
    <x v="11"/>
    <x v="1"/>
    <x v="9"/>
    <x v="37"/>
    <x v="359"/>
    <x v="3253"/>
    <x v="0"/>
    <s v="NEGOCIOS"/>
    <x v="3"/>
  </r>
  <r>
    <x v="55"/>
    <x v="220"/>
    <x v="11"/>
    <x v="11"/>
    <x v="1"/>
    <x v="11"/>
    <x v="38"/>
    <x v="309"/>
    <x v="3254"/>
    <x v="0"/>
    <s v="NEGOCIOS"/>
    <x v="3"/>
  </r>
  <r>
    <x v="55"/>
    <x v="290"/>
    <x v="9"/>
    <x v="9"/>
    <x v="1"/>
    <x v="12"/>
    <x v="37"/>
    <x v="302"/>
    <x v="3255"/>
    <x v="0"/>
    <s v="NEGOCIOS"/>
    <x v="3"/>
  </r>
  <r>
    <x v="55"/>
    <x v="187"/>
    <x v="11"/>
    <x v="11"/>
    <x v="1"/>
    <x v="12"/>
    <x v="37"/>
    <x v="328"/>
    <x v="3256"/>
    <x v="0"/>
    <s v="NEGOCIOS"/>
    <x v="3"/>
  </r>
  <r>
    <x v="55"/>
    <x v="332"/>
    <x v="7"/>
    <x v="7"/>
    <x v="1"/>
    <x v="14"/>
    <x v="37"/>
    <x v="397"/>
    <x v="1176"/>
    <x v="0"/>
    <s v="NEGOCIOS"/>
    <x v="3"/>
  </r>
  <r>
    <x v="55"/>
    <x v="251"/>
    <x v="8"/>
    <x v="8"/>
    <x v="1"/>
    <x v="14"/>
    <x v="37"/>
    <x v="291"/>
    <x v="816"/>
    <x v="0"/>
    <s v="NEGOCIOS"/>
    <x v="3"/>
  </r>
  <r>
    <x v="55"/>
    <x v="331"/>
    <x v="9"/>
    <x v="9"/>
    <x v="1"/>
    <x v="14"/>
    <x v="37"/>
    <x v="391"/>
    <x v="925"/>
    <x v="0"/>
    <s v="NEGOCIOS"/>
    <x v="3"/>
  </r>
  <r>
    <x v="55"/>
    <x v="243"/>
    <x v="10"/>
    <x v="10"/>
    <x v="1"/>
    <x v="14"/>
    <x v="37"/>
    <x v="411"/>
    <x v="3257"/>
    <x v="0"/>
    <s v="NEGOCIOS"/>
    <x v="3"/>
  </r>
  <r>
    <x v="55"/>
    <x v="330"/>
    <x v="11"/>
    <x v="11"/>
    <x v="1"/>
    <x v="14"/>
    <x v="37"/>
    <x v="381"/>
    <x v="816"/>
    <x v="0"/>
    <s v="NEGOCIOS"/>
    <x v="3"/>
  </r>
  <r>
    <x v="55"/>
    <x v="274"/>
    <x v="11"/>
    <x v="11"/>
    <x v="1"/>
    <x v="14"/>
    <x v="37"/>
    <x v="404"/>
    <x v="988"/>
    <x v="0"/>
    <s v="NEGOCIOS"/>
    <x v="3"/>
  </r>
  <r>
    <x v="55"/>
    <x v="315"/>
    <x v="2"/>
    <x v="2"/>
    <x v="1"/>
    <x v="14"/>
    <x v="37"/>
    <x v="405"/>
    <x v="1596"/>
    <x v="0"/>
    <s v="NEGOCIOS"/>
    <x v="3"/>
  </r>
  <r>
    <x v="55"/>
    <x v="265"/>
    <x v="6"/>
    <x v="6"/>
    <x v="1"/>
    <x v="14"/>
    <x v="37"/>
    <x v="386"/>
    <x v="816"/>
    <x v="0"/>
    <s v="NEGOCIOS"/>
    <x v="3"/>
  </r>
  <r>
    <x v="55"/>
    <x v="261"/>
    <x v="8"/>
    <x v="8"/>
    <x v="1"/>
    <x v="15"/>
    <x v="38"/>
    <x v="320"/>
    <x v="1596"/>
    <x v="0"/>
    <s v="NEGOCIOS"/>
    <x v="3"/>
  </r>
  <r>
    <x v="55"/>
    <x v="273"/>
    <x v="11"/>
    <x v="11"/>
    <x v="1"/>
    <x v="15"/>
    <x v="38"/>
    <x v="354"/>
    <x v="900"/>
    <x v="0"/>
    <s v="NEGOCIOS"/>
    <x v="3"/>
  </r>
  <r>
    <x v="55"/>
    <x v="305"/>
    <x v="6"/>
    <x v="6"/>
    <x v="1"/>
    <x v="29"/>
    <x v="37"/>
    <x v="331"/>
    <x v="1105"/>
    <x v="0"/>
    <s v="NEGOCIOS"/>
    <x v="3"/>
  </r>
  <r>
    <x v="55"/>
    <x v="314"/>
    <x v="6"/>
    <x v="6"/>
    <x v="1"/>
    <x v="16"/>
    <x v="38"/>
    <x v="372"/>
    <x v="3258"/>
    <x v="0"/>
    <s v="NEGOCIOS"/>
    <x v="3"/>
  </r>
  <r>
    <x v="58"/>
    <x v="249"/>
    <x v="11"/>
    <x v="11"/>
    <x v="1"/>
    <x v="2"/>
    <x v="37"/>
    <x v="359"/>
    <x v="900"/>
    <x v="0"/>
    <s v="SANTIAGO INTERAMERICANA"/>
    <x v="3"/>
  </r>
  <r>
    <x v="67"/>
    <x v="277"/>
    <x v="7"/>
    <x v="7"/>
    <x v="1"/>
    <x v="2"/>
    <x v="37"/>
    <x v="325"/>
    <x v="798"/>
    <x v="0"/>
    <s v="PASEO ARRAIJAN"/>
    <x v="3"/>
  </r>
  <r>
    <x v="0"/>
    <x v="247"/>
    <x v="8"/>
    <x v="8"/>
    <x v="1"/>
    <x v="2"/>
    <x v="39"/>
    <x v="289"/>
    <x v="3259"/>
    <x v="0"/>
    <s v="CASA MATRIZ"/>
    <x v="4"/>
  </r>
  <r>
    <x v="0"/>
    <x v="227"/>
    <x v="9"/>
    <x v="9"/>
    <x v="1"/>
    <x v="2"/>
    <x v="39"/>
    <x v="399"/>
    <x v="3260"/>
    <x v="0"/>
    <s v="CASA MATRIZ"/>
    <x v="4"/>
  </r>
  <r>
    <x v="0"/>
    <x v="339"/>
    <x v="10"/>
    <x v="10"/>
    <x v="1"/>
    <x v="2"/>
    <x v="39"/>
    <x v="427"/>
    <x v="3261"/>
    <x v="0"/>
    <s v="CASA MATRIZ"/>
    <x v="4"/>
  </r>
  <r>
    <x v="0"/>
    <x v="244"/>
    <x v="10"/>
    <x v="10"/>
    <x v="1"/>
    <x v="2"/>
    <x v="39"/>
    <x v="433"/>
    <x v="3261"/>
    <x v="0"/>
    <s v="CASA MATRIZ"/>
    <x v="4"/>
  </r>
  <r>
    <x v="0"/>
    <x v="200"/>
    <x v="11"/>
    <x v="11"/>
    <x v="1"/>
    <x v="2"/>
    <x v="39"/>
    <x v="351"/>
    <x v="2368"/>
    <x v="0"/>
    <s v="CASA MATRIZ"/>
    <x v="4"/>
  </r>
  <r>
    <x v="0"/>
    <x v="187"/>
    <x v="11"/>
    <x v="11"/>
    <x v="1"/>
    <x v="2"/>
    <x v="39"/>
    <x v="328"/>
    <x v="3262"/>
    <x v="0"/>
    <s v="CASA MATRIZ"/>
    <x v="4"/>
  </r>
  <r>
    <x v="0"/>
    <x v="281"/>
    <x v="6"/>
    <x v="6"/>
    <x v="1"/>
    <x v="2"/>
    <x v="39"/>
    <x v="395"/>
    <x v="3187"/>
    <x v="0"/>
    <s v="CASA MATRIZ"/>
    <x v="4"/>
  </r>
  <r>
    <x v="1"/>
    <x v="185"/>
    <x v="8"/>
    <x v="8"/>
    <x v="1"/>
    <x v="2"/>
    <x v="40"/>
    <x v="296"/>
    <x v="3263"/>
    <x v="0"/>
    <s v="PAITILLA"/>
    <x v="4"/>
  </r>
  <r>
    <x v="1"/>
    <x v="212"/>
    <x v="10"/>
    <x v="10"/>
    <x v="1"/>
    <x v="2"/>
    <x v="40"/>
    <x v="319"/>
    <x v="3264"/>
    <x v="0"/>
    <s v="PAITILLA"/>
    <x v="4"/>
  </r>
  <r>
    <x v="2"/>
    <x v="214"/>
    <x v="11"/>
    <x v="11"/>
    <x v="1"/>
    <x v="2"/>
    <x v="40"/>
    <x v="306"/>
    <x v="1622"/>
    <x v="0"/>
    <s v="EL DORADO"/>
    <x v="4"/>
  </r>
  <r>
    <x v="2"/>
    <x v="214"/>
    <x v="11"/>
    <x v="11"/>
    <x v="1"/>
    <x v="2"/>
    <x v="39"/>
    <x v="306"/>
    <x v="1124"/>
    <x v="0"/>
    <s v="EL DORADO"/>
    <x v="4"/>
  </r>
  <r>
    <x v="3"/>
    <x v="227"/>
    <x v="9"/>
    <x v="9"/>
    <x v="1"/>
    <x v="2"/>
    <x v="39"/>
    <x v="399"/>
    <x v="3265"/>
    <x v="0"/>
    <s v="VIA ARGENTINA"/>
    <x v="4"/>
  </r>
  <r>
    <x v="3"/>
    <x v="240"/>
    <x v="2"/>
    <x v="2"/>
    <x v="1"/>
    <x v="2"/>
    <x v="39"/>
    <x v="442"/>
    <x v="3266"/>
    <x v="0"/>
    <s v="VIA ARGENTINA"/>
    <x v="4"/>
  </r>
  <r>
    <x v="4"/>
    <x v="319"/>
    <x v="8"/>
    <x v="8"/>
    <x v="1"/>
    <x v="2"/>
    <x v="39"/>
    <x v="350"/>
    <x v="952"/>
    <x v="0"/>
    <s v="VIA PORRAS"/>
    <x v="4"/>
  </r>
  <r>
    <x v="4"/>
    <x v="291"/>
    <x v="9"/>
    <x v="9"/>
    <x v="1"/>
    <x v="2"/>
    <x v="39"/>
    <x v="303"/>
    <x v="3267"/>
    <x v="0"/>
    <s v="VIA PORRAS"/>
    <x v="4"/>
  </r>
  <r>
    <x v="4"/>
    <x v="214"/>
    <x v="11"/>
    <x v="11"/>
    <x v="1"/>
    <x v="2"/>
    <x v="39"/>
    <x v="306"/>
    <x v="1365"/>
    <x v="0"/>
    <s v="VIA PORRAS"/>
    <x v="4"/>
  </r>
  <r>
    <x v="4"/>
    <x v="240"/>
    <x v="2"/>
    <x v="2"/>
    <x v="1"/>
    <x v="2"/>
    <x v="39"/>
    <x v="442"/>
    <x v="1215"/>
    <x v="0"/>
    <s v="VIA PORRAS"/>
    <x v="4"/>
  </r>
  <r>
    <x v="4"/>
    <x v="188"/>
    <x v="6"/>
    <x v="6"/>
    <x v="1"/>
    <x v="2"/>
    <x v="39"/>
    <x v="407"/>
    <x v="3268"/>
    <x v="0"/>
    <s v="VIA PORRAS"/>
    <x v="4"/>
  </r>
  <r>
    <x v="5"/>
    <x v="331"/>
    <x v="9"/>
    <x v="9"/>
    <x v="1"/>
    <x v="2"/>
    <x v="39"/>
    <x v="391"/>
    <x v="3269"/>
    <x v="0"/>
    <s v="EL INGENIO"/>
    <x v="4"/>
  </r>
  <r>
    <x v="5"/>
    <x v="217"/>
    <x v="6"/>
    <x v="6"/>
    <x v="1"/>
    <x v="2"/>
    <x v="39"/>
    <x v="323"/>
    <x v="3270"/>
    <x v="0"/>
    <s v="EL INGENIO"/>
    <x v="4"/>
  </r>
  <r>
    <x v="6"/>
    <x v="332"/>
    <x v="7"/>
    <x v="7"/>
    <x v="1"/>
    <x v="2"/>
    <x v="39"/>
    <x v="397"/>
    <x v="3271"/>
    <x v="0"/>
    <s v="CHANIS"/>
    <x v="4"/>
  </r>
  <r>
    <x v="6"/>
    <x v="242"/>
    <x v="9"/>
    <x v="9"/>
    <x v="1"/>
    <x v="2"/>
    <x v="40"/>
    <x v="435"/>
    <x v="1641"/>
    <x v="0"/>
    <s v="CHANIS"/>
    <x v="4"/>
  </r>
  <r>
    <x v="6"/>
    <x v="282"/>
    <x v="11"/>
    <x v="11"/>
    <x v="1"/>
    <x v="2"/>
    <x v="39"/>
    <x v="358"/>
    <x v="1983"/>
    <x v="0"/>
    <s v="CHANIS"/>
    <x v="4"/>
  </r>
  <r>
    <x v="6"/>
    <x v="177"/>
    <x v="11"/>
    <x v="11"/>
    <x v="1"/>
    <x v="2"/>
    <x v="39"/>
    <x v="346"/>
    <x v="1286"/>
    <x v="0"/>
    <s v="CHANIS"/>
    <x v="4"/>
  </r>
  <r>
    <x v="6"/>
    <x v="316"/>
    <x v="2"/>
    <x v="2"/>
    <x v="1"/>
    <x v="2"/>
    <x v="39"/>
    <x v="348"/>
    <x v="3272"/>
    <x v="0"/>
    <s v="CHANIS"/>
    <x v="4"/>
  </r>
  <r>
    <x v="7"/>
    <x v="319"/>
    <x v="8"/>
    <x v="8"/>
    <x v="1"/>
    <x v="2"/>
    <x v="39"/>
    <x v="350"/>
    <x v="3273"/>
    <x v="0"/>
    <s v="PLAZA TOCUMEN"/>
    <x v="4"/>
  </r>
  <r>
    <x v="7"/>
    <x v="242"/>
    <x v="9"/>
    <x v="9"/>
    <x v="1"/>
    <x v="2"/>
    <x v="39"/>
    <x v="435"/>
    <x v="3274"/>
    <x v="0"/>
    <s v="PLAZA TOCUMEN"/>
    <x v="4"/>
  </r>
  <r>
    <x v="7"/>
    <x v="329"/>
    <x v="10"/>
    <x v="10"/>
    <x v="1"/>
    <x v="2"/>
    <x v="40"/>
    <x v="380"/>
    <x v="3275"/>
    <x v="0"/>
    <s v="PLAZA TOCUMEN"/>
    <x v="4"/>
  </r>
  <r>
    <x v="7"/>
    <x v="240"/>
    <x v="2"/>
    <x v="2"/>
    <x v="1"/>
    <x v="2"/>
    <x v="39"/>
    <x v="442"/>
    <x v="2880"/>
    <x v="0"/>
    <s v="PLAZA TOCUMEN"/>
    <x v="4"/>
  </r>
  <r>
    <x v="7"/>
    <x v="281"/>
    <x v="6"/>
    <x v="6"/>
    <x v="1"/>
    <x v="2"/>
    <x v="39"/>
    <x v="395"/>
    <x v="3276"/>
    <x v="0"/>
    <s v="PLAZA TOCUMEN"/>
    <x v="4"/>
  </r>
  <r>
    <x v="8"/>
    <x v="210"/>
    <x v="7"/>
    <x v="7"/>
    <x v="1"/>
    <x v="2"/>
    <x v="39"/>
    <x v="418"/>
    <x v="3277"/>
    <x v="0"/>
    <s v="SANTIAGO"/>
    <x v="4"/>
  </r>
  <r>
    <x v="8"/>
    <x v="306"/>
    <x v="9"/>
    <x v="9"/>
    <x v="1"/>
    <x v="2"/>
    <x v="39"/>
    <x v="336"/>
    <x v="3278"/>
    <x v="0"/>
    <s v="SANTIAGO"/>
    <x v="4"/>
  </r>
  <r>
    <x v="8"/>
    <x v="310"/>
    <x v="10"/>
    <x v="10"/>
    <x v="1"/>
    <x v="2"/>
    <x v="39"/>
    <x v="335"/>
    <x v="3279"/>
    <x v="0"/>
    <s v="SANTIAGO"/>
    <x v="4"/>
  </r>
  <r>
    <x v="8"/>
    <x v="316"/>
    <x v="2"/>
    <x v="2"/>
    <x v="1"/>
    <x v="2"/>
    <x v="39"/>
    <x v="348"/>
    <x v="3280"/>
    <x v="0"/>
    <s v="SANTIAGO"/>
    <x v="4"/>
  </r>
  <r>
    <x v="8"/>
    <x v="229"/>
    <x v="6"/>
    <x v="6"/>
    <x v="1"/>
    <x v="2"/>
    <x v="39"/>
    <x v="281"/>
    <x v="810"/>
    <x v="0"/>
    <s v="SANTIAGO"/>
    <x v="4"/>
  </r>
  <r>
    <x v="9"/>
    <x v="254"/>
    <x v="8"/>
    <x v="8"/>
    <x v="1"/>
    <x v="2"/>
    <x v="40"/>
    <x v="326"/>
    <x v="53"/>
    <x v="0"/>
    <s v="OBARRIO"/>
    <x v="4"/>
  </r>
  <r>
    <x v="9"/>
    <x v="323"/>
    <x v="8"/>
    <x v="8"/>
    <x v="1"/>
    <x v="2"/>
    <x v="39"/>
    <x v="367"/>
    <x v="3281"/>
    <x v="0"/>
    <s v="OBARRIO"/>
    <x v="4"/>
  </r>
  <r>
    <x v="9"/>
    <x v="207"/>
    <x v="8"/>
    <x v="8"/>
    <x v="1"/>
    <x v="2"/>
    <x v="39"/>
    <x v="374"/>
    <x v="3282"/>
    <x v="0"/>
    <s v="OBARRIO"/>
    <x v="4"/>
  </r>
  <r>
    <x v="9"/>
    <x v="244"/>
    <x v="10"/>
    <x v="10"/>
    <x v="1"/>
    <x v="2"/>
    <x v="39"/>
    <x v="433"/>
    <x v="3283"/>
    <x v="0"/>
    <s v="OBARRIO"/>
    <x v="4"/>
  </r>
  <r>
    <x v="9"/>
    <x v="202"/>
    <x v="11"/>
    <x v="11"/>
    <x v="1"/>
    <x v="2"/>
    <x v="39"/>
    <x v="305"/>
    <x v="1168"/>
    <x v="0"/>
    <s v="OBARRIO"/>
    <x v="4"/>
  </r>
  <r>
    <x v="9"/>
    <x v="183"/>
    <x v="2"/>
    <x v="2"/>
    <x v="1"/>
    <x v="2"/>
    <x v="39"/>
    <x v="330"/>
    <x v="3284"/>
    <x v="0"/>
    <s v="OBARRIO"/>
    <x v="4"/>
  </r>
  <r>
    <x v="70"/>
    <x v="260"/>
    <x v="7"/>
    <x v="7"/>
    <x v="1"/>
    <x v="2"/>
    <x v="39"/>
    <x v="437"/>
    <x v="3285"/>
    <x v="0"/>
    <s v="COLON"/>
    <x v="4"/>
  </r>
  <r>
    <x v="70"/>
    <x v="240"/>
    <x v="2"/>
    <x v="2"/>
    <x v="1"/>
    <x v="2"/>
    <x v="39"/>
    <x v="442"/>
    <x v="3286"/>
    <x v="0"/>
    <s v="COLON"/>
    <x v="4"/>
  </r>
  <r>
    <x v="70"/>
    <x v="229"/>
    <x v="6"/>
    <x v="6"/>
    <x v="1"/>
    <x v="2"/>
    <x v="39"/>
    <x v="281"/>
    <x v="3287"/>
    <x v="0"/>
    <s v="COLON"/>
    <x v="4"/>
  </r>
  <r>
    <x v="10"/>
    <x v="251"/>
    <x v="8"/>
    <x v="8"/>
    <x v="1"/>
    <x v="2"/>
    <x v="39"/>
    <x v="291"/>
    <x v="3288"/>
    <x v="0"/>
    <s v="HATO PINTADO"/>
    <x v="4"/>
  </r>
  <r>
    <x v="10"/>
    <x v="319"/>
    <x v="8"/>
    <x v="8"/>
    <x v="1"/>
    <x v="2"/>
    <x v="39"/>
    <x v="350"/>
    <x v="3289"/>
    <x v="0"/>
    <s v="HATO PINTADO"/>
    <x v="4"/>
  </r>
  <r>
    <x v="10"/>
    <x v="306"/>
    <x v="9"/>
    <x v="9"/>
    <x v="1"/>
    <x v="2"/>
    <x v="39"/>
    <x v="336"/>
    <x v="3290"/>
    <x v="0"/>
    <s v="HATO PINTADO"/>
    <x v="4"/>
  </r>
  <r>
    <x v="10"/>
    <x v="194"/>
    <x v="9"/>
    <x v="9"/>
    <x v="1"/>
    <x v="2"/>
    <x v="39"/>
    <x v="390"/>
    <x v="3291"/>
    <x v="0"/>
    <s v="HATO PINTADO"/>
    <x v="4"/>
  </r>
  <r>
    <x v="10"/>
    <x v="263"/>
    <x v="10"/>
    <x v="10"/>
    <x v="1"/>
    <x v="2"/>
    <x v="39"/>
    <x v="436"/>
    <x v="2701"/>
    <x v="0"/>
    <s v="HATO PINTADO"/>
    <x v="4"/>
  </r>
  <r>
    <x v="10"/>
    <x v="200"/>
    <x v="11"/>
    <x v="11"/>
    <x v="1"/>
    <x v="2"/>
    <x v="39"/>
    <x v="351"/>
    <x v="3292"/>
    <x v="0"/>
    <s v="HATO PINTADO"/>
    <x v="4"/>
  </r>
  <r>
    <x v="10"/>
    <x v="177"/>
    <x v="11"/>
    <x v="11"/>
    <x v="1"/>
    <x v="2"/>
    <x v="39"/>
    <x v="346"/>
    <x v="3293"/>
    <x v="0"/>
    <s v="HATO PINTADO"/>
    <x v="4"/>
  </r>
  <r>
    <x v="10"/>
    <x v="214"/>
    <x v="11"/>
    <x v="11"/>
    <x v="1"/>
    <x v="2"/>
    <x v="39"/>
    <x v="306"/>
    <x v="3294"/>
    <x v="0"/>
    <s v="HATO PINTADO"/>
    <x v="4"/>
  </r>
  <r>
    <x v="10"/>
    <x v="315"/>
    <x v="2"/>
    <x v="2"/>
    <x v="1"/>
    <x v="2"/>
    <x v="39"/>
    <x v="405"/>
    <x v="3295"/>
    <x v="0"/>
    <s v="HATO PINTADO"/>
    <x v="4"/>
  </r>
  <r>
    <x v="10"/>
    <x v="183"/>
    <x v="2"/>
    <x v="2"/>
    <x v="1"/>
    <x v="2"/>
    <x v="39"/>
    <x v="330"/>
    <x v="3296"/>
    <x v="0"/>
    <s v="HATO PINTADO"/>
    <x v="4"/>
  </r>
  <r>
    <x v="10"/>
    <x v="217"/>
    <x v="6"/>
    <x v="6"/>
    <x v="1"/>
    <x v="2"/>
    <x v="39"/>
    <x v="323"/>
    <x v="3297"/>
    <x v="0"/>
    <s v="HATO PINTADO"/>
    <x v="4"/>
  </r>
  <r>
    <x v="11"/>
    <x v="263"/>
    <x v="10"/>
    <x v="10"/>
    <x v="1"/>
    <x v="2"/>
    <x v="39"/>
    <x v="436"/>
    <x v="3298"/>
    <x v="0"/>
    <s v="RIO ABAJO"/>
    <x v="4"/>
  </r>
  <r>
    <x v="11"/>
    <x v="177"/>
    <x v="11"/>
    <x v="11"/>
    <x v="1"/>
    <x v="2"/>
    <x v="39"/>
    <x v="346"/>
    <x v="3299"/>
    <x v="0"/>
    <s v="RIO ABAJO"/>
    <x v="4"/>
  </r>
  <r>
    <x v="12"/>
    <x v="238"/>
    <x v="9"/>
    <x v="9"/>
    <x v="1"/>
    <x v="2"/>
    <x v="39"/>
    <x v="379"/>
    <x v="3300"/>
    <x v="0"/>
    <s v="LA CHORRERA"/>
    <x v="4"/>
  </r>
  <r>
    <x v="13"/>
    <x v="243"/>
    <x v="10"/>
    <x v="10"/>
    <x v="1"/>
    <x v="2"/>
    <x v="39"/>
    <x v="411"/>
    <x v="1212"/>
    <x v="0"/>
    <s v="AVENIDA CENTRAL"/>
    <x v="4"/>
  </r>
  <r>
    <x v="13"/>
    <x v="249"/>
    <x v="11"/>
    <x v="11"/>
    <x v="1"/>
    <x v="2"/>
    <x v="39"/>
    <x v="359"/>
    <x v="3301"/>
    <x v="0"/>
    <s v="AVENIDA CENTRAL"/>
    <x v="4"/>
  </r>
  <r>
    <x v="13"/>
    <x v="240"/>
    <x v="2"/>
    <x v="2"/>
    <x v="1"/>
    <x v="2"/>
    <x v="39"/>
    <x v="442"/>
    <x v="3302"/>
    <x v="0"/>
    <s v="AVENIDA CENTRAL"/>
    <x v="4"/>
  </r>
  <r>
    <x v="14"/>
    <x v="179"/>
    <x v="7"/>
    <x v="7"/>
    <x v="1"/>
    <x v="2"/>
    <x v="39"/>
    <x v="415"/>
    <x v="3303"/>
    <x v="0"/>
    <s v="LOS ANGELES"/>
    <x v="4"/>
  </r>
  <r>
    <x v="14"/>
    <x v="194"/>
    <x v="9"/>
    <x v="9"/>
    <x v="1"/>
    <x v="2"/>
    <x v="39"/>
    <x v="390"/>
    <x v="3304"/>
    <x v="0"/>
    <s v="LOS ANGELES"/>
    <x v="4"/>
  </r>
  <r>
    <x v="14"/>
    <x v="263"/>
    <x v="10"/>
    <x v="10"/>
    <x v="1"/>
    <x v="2"/>
    <x v="39"/>
    <x v="436"/>
    <x v="3305"/>
    <x v="0"/>
    <s v="LOS ANGELES"/>
    <x v="4"/>
  </r>
  <r>
    <x v="14"/>
    <x v="249"/>
    <x v="11"/>
    <x v="11"/>
    <x v="1"/>
    <x v="2"/>
    <x v="39"/>
    <x v="359"/>
    <x v="3306"/>
    <x v="0"/>
    <s v="LOS ANGELES"/>
    <x v="4"/>
  </r>
  <r>
    <x v="14"/>
    <x v="202"/>
    <x v="11"/>
    <x v="11"/>
    <x v="1"/>
    <x v="2"/>
    <x v="39"/>
    <x v="305"/>
    <x v="3307"/>
    <x v="0"/>
    <s v="LOS ANGELES"/>
    <x v="4"/>
  </r>
  <r>
    <x v="14"/>
    <x v="240"/>
    <x v="2"/>
    <x v="2"/>
    <x v="1"/>
    <x v="2"/>
    <x v="39"/>
    <x v="442"/>
    <x v="3308"/>
    <x v="0"/>
    <s v="LOS ANGELES"/>
    <x v="4"/>
  </r>
  <r>
    <x v="14"/>
    <x v="266"/>
    <x v="6"/>
    <x v="6"/>
    <x v="1"/>
    <x v="2"/>
    <x v="39"/>
    <x v="370"/>
    <x v="3309"/>
    <x v="0"/>
    <s v="LOS ANGELES"/>
    <x v="4"/>
  </r>
  <r>
    <x v="15"/>
    <x v="207"/>
    <x v="8"/>
    <x v="8"/>
    <x v="1"/>
    <x v="2"/>
    <x v="39"/>
    <x v="374"/>
    <x v="3310"/>
    <x v="0"/>
    <s v="VILLA LUCRE"/>
    <x v="4"/>
  </r>
  <r>
    <x v="15"/>
    <x v="263"/>
    <x v="10"/>
    <x v="10"/>
    <x v="1"/>
    <x v="2"/>
    <x v="39"/>
    <x v="436"/>
    <x v="3311"/>
    <x v="0"/>
    <s v="VILLA LUCRE"/>
    <x v="4"/>
  </r>
  <r>
    <x v="15"/>
    <x v="282"/>
    <x v="11"/>
    <x v="11"/>
    <x v="1"/>
    <x v="2"/>
    <x v="39"/>
    <x v="358"/>
    <x v="3312"/>
    <x v="0"/>
    <s v="VILLA LUCRE"/>
    <x v="4"/>
  </r>
  <r>
    <x v="15"/>
    <x v="330"/>
    <x v="11"/>
    <x v="11"/>
    <x v="1"/>
    <x v="2"/>
    <x v="39"/>
    <x v="381"/>
    <x v="3313"/>
    <x v="0"/>
    <s v="VILLA LUCRE"/>
    <x v="4"/>
  </r>
  <r>
    <x v="15"/>
    <x v="315"/>
    <x v="2"/>
    <x v="2"/>
    <x v="1"/>
    <x v="2"/>
    <x v="39"/>
    <x v="405"/>
    <x v="1807"/>
    <x v="0"/>
    <s v="VILLA LUCRE"/>
    <x v="4"/>
  </r>
  <r>
    <x v="15"/>
    <x v="240"/>
    <x v="2"/>
    <x v="2"/>
    <x v="1"/>
    <x v="2"/>
    <x v="39"/>
    <x v="442"/>
    <x v="3314"/>
    <x v="0"/>
    <s v="VILLA LUCRE"/>
    <x v="4"/>
  </r>
  <r>
    <x v="15"/>
    <x v="305"/>
    <x v="6"/>
    <x v="6"/>
    <x v="1"/>
    <x v="2"/>
    <x v="39"/>
    <x v="331"/>
    <x v="3315"/>
    <x v="0"/>
    <s v="VILLA LUCRE"/>
    <x v="4"/>
  </r>
  <r>
    <x v="15"/>
    <x v="335"/>
    <x v="6"/>
    <x v="6"/>
    <x v="1"/>
    <x v="2"/>
    <x v="39"/>
    <x v="408"/>
    <x v="768"/>
    <x v="0"/>
    <s v="VILLA LUCRE"/>
    <x v="4"/>
  </r>
  <r>
    <x v="15"/>
    <x v="229"/>
    <x v="6"/>
    <x v="6"/>
    <x v="1"/>
    <x v="2"/>
    <x v="39"/>
    <x v="281"/>
    <x v="3316"/>
    <x v="0"/>
    <s v="VILLA LUCRE"/>
    <x v="4"/>
  </r>
  <r>
    <x v="16"/>
    <x v="247"/>
    <x v="8"/>
    <x v="8"/>
    <x v="1"/>
    <x v="2"/>
    <x v="39"/>
    <x v="289"/>
    <x v="3317"/>
    <x v="0"/>
    <s v="LOS ANDES"/>
    <x v="4"/>
  </r>
  <r>
    <x v="16"/>
    <x v="331"/>
    <x v="9"/>
    <x v="9"/>
    <x v="1"/>
    <x v="2"/>
    <x v="39"/>
    <x v="391"/>
    <x v="3318"/>
    <x v="0"/>
    <s v="LOS ANDES"/>
    <x v="4"/>
  </r>
  <r>
    <x v="16"/>
    <x v="244"/>
    <x v="10"/>
    <x v="10"/>
    <x v="1"/>
    <x v="2"/>
    <x v="39"/>
    <x v="433"/>
    <x v="3319"/>
    <x v="0"/>
    <s v="LOS ANDES"/>
    <x v="4"/>
  </r>
  <r>
    <x v="16"/>
    <x v="300"/>
    <x v="2"/>
    <x v="2"/>
    <x v="1"/>
    <x v="2"/>
    <x v="40"/>
    <x v="316"/>
    <x v="782"/>
    <x v="0"/>
    <s v="LOS ANDES"/>
    <x v="4"/>
  </r>
  <r>
    <x v="16"/>
    <x v="315"/>
    <x v="2"/>
    <x v="2"/>
    <x v="1"/>
    <x v="2"/>
    <x v="39"/>
    <x v="405"/>
    <x v="3320"/>
    <x v="0"/>
    <s v="LOS ANDES"/>
    <x v="4"/>
  </r>
  <r>
    <x v="16"/>
    <x v="182"/>
    <x v="2"/>
    <x v="2"/>
    <x v="1"/>
    <x v="2"/>
    <x v="39"/>
    <x v="392"/>
    <x v="3321"/>
    <x v="0"/>
    <s v="LOS ANDES"/>
    <x v="4"/>
  </r>
  <r>
    <x v="16"/>
    <x v="264"/>
    <x v="6"/>
    <x v="6"/>
    <x v="1"/>
    <x v="2"/>
    <x v="40"/>
    <x v="311"/>
    <x v="782"/>
    <x v="0"/>
    <s v="LOS ANDES"/>
    <x v="4"/>
  </r>
  <r>
    <x v="16"/>
    <x v="281"/>
    <x v="6"/>
    <x v="6"/>
    <x v="1"/>
    <x v="2"/>
    <x v="39"/>
    <x v="395"/>
    <x v="3322"/>
    <x v="0"/>
    <s v="LOS ANDES"/>
    <x v="4"/>
  </r>
  <r>
    <x v="16"/>
    <x v="217"/>
    <x v="6"/>
    <x v="6"/>
    <x v="1"/>
    <x v="2"/>
    <x v="40"/>
    <x v="323"/>
    <x v="782"/>
    <x v="0"/>
    <s v="LOS ANDES"/>
    <x v="4"/>
  </r>
  <r>
    <x v="17"/>
    <x v="205"/>
    <x v="7"/>
    <x v="7"/>
    <x v="1"/>
    <x v="2"/>
    <x v="39"/>
    <x v="299"/>
    <x v="1641"/>
    <x v="0"/>
    <s v="VIA ESPANA"/>
    <x v="4"/>
  </r>
  <r>
    <x v="17"/>
    <x v="171"/>
    <x v="7"/>
    <x v="7"/>
    <x v="1"/>
    <x v="2"/>
    <x v="39"/>
    <x v="429"/>
    <x v="1641"/>
    <x v="0"/>
    <s v="VIA ESPANA"/>
    <x v="4"/>
  </r>
  <r>
    <x v="17"/>
    <x v="194"/>
    <x v="9"/>
    <x v="9"/>
    <x v="1"/>
    <x v="2"/>
    <x v="39"/>
    <x v="390"/>
    <x v="1282"/>
    <x v="0"/>
    <s v="VIA ESPANA"/>
    <x v="4"/>
  </r>
  <r>
    <x v="17"/>
    <x v="316"/>
    <x v="2"/>
    <x v="2"/>
    <x v="1"/>
    <x v="2"/>
    <x v="39"/>
    <x v="348"/>
    <x v="3323"/>
    <x v="0"/>
    <s v="VIA ESPANA"/>
    <x v="4"/>
  </r>
  <r>
    <x v="18"/>
    <x v="310"/>
    <x v="10"/>
    <x v="10"/>
    <x v="1"/>
    <x v="2"/>
    <x v="39"/>
    <x v="335"/>
    <x v="3324"/>
    <x v="0"/>
    <s v="AVENIDA CUBA"/>
    <x v="4"/>
  </r>
  <r>
    <x v="18"/>
    <x v="317"/>
    <x v="10"/>
    <x v="10"/>
    <x v="1"/>
    <x v="2"/>
    <x v="40"/>
    <x v="401"/>
    <x v="3325"/>
    <x v="0"/>
    <s v="AVENIDA CUBA"/>
    <x v="4"/>
  </r>
  <r>
    <x v="19"/>
    <x v="207"/>
    <x v="8"/>
    <x v="8"/>
    <x v="1"/>
    <x v="2"/>
    <x v="39"/>
    <x v="374"/>
    <x v="3326"/>
    <x v="0"/>
    <s v="CHITRE"/>
    <x v="4"/>
  </r>
  <r>
    <x v="19"/>
    <x v="290"/>
    <x v="9"/>
    <x v="9"/>
    <x v="1"/>
    <x v="2"/>
    <x v="39"/>
    <x v="302"/>
    <x v="3327"/>
    <x v="0"/>
    <s v="CHITRE"/>
    <x v="4"/>
  </r>
  <r>
    <x v="19"/>
    <x v="182"/>
    <x v="2"/>
    <x v="2"/>
    <x v="1"/>
    <x v="2"/>
    <x v="39"/>
    <x v="392"/>
    <x v="3328"/>
    <x v="0"/>
    <s v="CHITRE"/>
    <x v="4"/>
  </r>
  <r>
    <x v="20"/>
    <x v="206"/>
    <x v="7"/>
    <x v="7"/>
    <x v="1"/>
    <x v="2"/>
    <x v="39"/>
    <x v="284"/>
    <x v="3329"/>
    <x v="0"/>
    <s v="LOS PUEBLOS"/>
    <x v="4"/>
  </r>
  <r>
    <x v="20"/>
    <x v="227"/>
    <x v="9"/>
    <x v="9"/>
    <x v="1"/>
    <x v="2"/>
    <x v="39"/>
    <x v="399"/>
    <x v="3330"/>
    <x v="0"/>
    <s v="LOS PUEBLOS"/>
    <x v="4"/>
  </r>
  <r>
    <x v="20"/>
    <x v="263"/>
    <x v="10"/>
    <x v="10"/>
    <x v="1"/>
    <x v="2"/>
    <x v="39"/>
    <x v="436"/>
    <x v="3331"/>
    <x v="0"/>
    <s v="LOS PUEBLOS"/>
    <x v="4"/>
  </r>
  <r>
    <x v="20"/>
    <x v="200"/>
    <x v="11"/>
    <x v="11"/>
    <x v="1"/>
    <x v="2"/>
    <x v="39"/>
    <x v="351"/>
    <x v="3332"/>
    <x v="0"/>
    <s v="LOS PUEBLOS"/>
    <x v="4"/>
  </r>
  <r>
    <x v="20"/>
    <x v="315"/>
    <x v="2"/>
    <x v="2"/>
    <x v="1"/>
    <x v="2"/>
    <x v="39"/>
    <x v="405"/>
    <x v="3333"/>
    <x v="0"/>
    <s v="LOS PUEBLOS"/>
    <x v="4"/>
  </r>
  <r>
    <x v="20"/>
    <x v="281"/>
    <x v="6"/>
    <x v="6"/>
    <x v="1"/>
    <x v="2"/>
    <x v="39"/>
    <x v="395"/>
    <x v="3334"/>
    <x v="0"/>
    <s v="LOS PUEBLOS"/>
    <x v="4"/>
  </r>
  <r>
    <x v="21"/>
    <x v="326"/>
    <x v="8"/>
    <x v="8"/>
    <x v="1"/>
    <x v="2"/>
    <x v="39"/>
    <x v="423"/>
    <x v="3335"/>
    <x v="0"/>
    <s v="TRANSISTMICA"/>
    <x v="4"/>
  </r>
  <r>
    <x v="21"/>
    <x v="175"/>
    <x v="9"/>
    <x v="9"/>
    <x v="1"/>
    <x v="2"/>
    <x v="39"/>
    <x v="389"/>
    <x v="120"/>
    <x v="0"/>
    <s v="TRANSISTMICA"/>
    <x v="4"/>
  </r>
  <r>
    <x v="21"/>
    <x v="255"/>
    <x v="9"/>
    <x v="9"/>
    <x v="1"/>
    <x v="2"/>
    <x v="39"/>
    <x v="293"/>
    <x v="907"/>
    <x v="0"/>
    <s v="TRANSISTMICA"/>
    <x v="4"/>
  </r>
  <r>
    <x v="21"/>
    <x v="263"/>
    <x v="10"/>
    <x v="10"/>
    <x v="1"/>
    <x v="2"/>
    <x v="39"/>
    <x v="436"/>
    <x v="810"/>
    <x v="0"/>
    <s v="TRANSISTMICA"/>
    <x v="4"/>
  </r>
  <r>
    <x v="21"/>
    <x v="200"/>
    <x v="11"/>
    <x v="11"/>
    <x v="1"/>
    <x v="2"/>
    <x v="39"/>
    <x v="351"/>
    <x v="3336"/>
    <x v="0"/>
    <s v="TRANSISTMICA"/>
    <x v="4"/>
  </r>
  <r>
    <x v="21"/>
    <x v="214"/>
    <x v="11"/>
    <x v="11"/>
    <x v="1"/>
    <x v="2"/>
    <x v="39"/>
    <x v="306"/>
    <x v="3337"/>
    <x v="0"/>
    <s v="TRANSISTMICA"/>
    <x v="4"/>
  </r>
  <r>
    <x v="21"/>
    <x v="335"/>
    <x v="6"/>
    <x v="6"/>
    <x v="1"/>
    <x v="2"/>
    <x v="39"/>
    <x v="408"/>
    <x v="907"/>
    <x v="0"/>
    <s v="TRANSISTMICA"/>
    <x v="4"/>
  </r>
  <r>
    <x v="72"/>
    <x v="261"/>
    <x v="8"/>
    <x v="8"/>
    <x v="1"/>
    <x v="2"/>
    <x v="39"/>
    <x v="320"/>
    <x v="460"/>
    <x v="0"/>
    <s v="ZONA LIBRE"/>
    <x v="4"/>
  </r>
  <r>
    <x v="72"/>
    <x v="189"/>
    <x v="10"/>
    <x v="10"/>
    <x v="1"/>
    <x v="2"/>
    <x v="39"/>
    <x v="345"/>
    <x v="3338"/>
    <x v="0"/>
    <s v="ZONA LIBRE"/>
    <x v="4"/>
  </r>
  <r>
    <x v="72"/>
    <x v="235"/>
    <x v="2"/>
    <x v="2"/>
    <x v="1"/>
    <x v="2"/>
    <x v="39"/>
    <x v="393"/>
    <x v="3339"/>
    <x v="0"/>
    <s v="ZONA LIBRE"/>
    <x v="4"/>
  </r>
  <r>
    <x v="22"/>
    <x v="278"/>
    <x v="7"/>
    <x v="7"/>
    <x v="1"/>
    <x v="2"/>
    <x v="40"/>
    <x v="450"/>
    <x v="3340"/>
    <x v="0"/>
    <s v="PLAZA GALAPAGO"/>
    <x v="4"/>
  </r>
  <r>
    <x v="22"/>
    <x v="171"/>
    <x v="7"/>
    <x v="7"/>
    <x v="1"/>
    <x v="2"/>
    <x v="39"/>
    <x v="429"/>
    <x v="1"/>
    <x v="608"/>
    <s v="PLAZA GALAPAGO"/>
    <x v="4"/>
  </r>
  <r>
    <x v="22"/>
    <x v="268"/>
    <x v="10"/>
    <x v="10"/>
    <x v="1"/>
    <x v="2"/>
    <x v="39"/>
    <x v="339"/>
    <x v="1325"/>
    <x v="0"/>
    <s v="PLAZA GALAPAGO"/>
    <x v="4"/>
  </r>
  <r>
    <x v="22"/>
    <x v="189"/>
    <x v="10"/>
    <x v="10"/>
    <x v="1"/>
    <x v="2"/>
    <x v="39"/>
    <x v="345"/>
    <x v="3084"/>
    <x v="0"/>
    <s v="PLAZA GALAPAGO"/>
    <x v="4"/>
  </r>
  <r>
    <x v="22"/>
    <x v="200"/>
    <x v="11"/>
    <x v="11"/>
    <x v="1"/>
    <x v="2"/>
    <x v="39"/>
    <x v="351"/>
    <x v="3341"/>
    <x v="0"/>
    <s v="PLAZA GALAPAGO"/>
    <x v="4"/>
  </r>
  <r>
    <x v="23"/>
    <x v="243"/>
    <x v="10"/>
    <x v="10"/>
    <x v="1"/>
    <x v="2"/>
    <x v="39"/>
    <x v="411"/>
    <x v="86"/>
    <x v="0"/>
    <s v="PARQUE LEFEVRE"/>
    <x v="4"/>
  </r>
  <r>
    <x v="23"/>
    <x v="282"/>
    <x v="11"/>
    <x v="11"/>
    <x v="1"/>
    <x v="2"/>
    <x v="39"/>
    <x v="358"/>
    <x v="2471"/>
    <x v="0"/>
    <s v="PARQUE LEFEVRE"/>
    <x v="4"/>
  </r>
  <r>
    <x v="23"/>
    <x v="202"/>
    <x v="11"/>
    <x v="11"/>
    <x v="1"/>
    <x v="2"/>
    <x v="39"/>
    <x v="305"/>
    <x v="3342"/>
    <x v="0"/>
    <s v="PARQUE LEFEVRE"/>
    <x v="4"/>
  </r>
  <r>
    <x v="23"/>
    <x v="217"/>
    <x v="6"/>
    <x v="6"/>
    <x v="1"/>
    <x v="2"/>
    <x v="39"/>
    <x v="323"/>
    <x v="3343"/>
    <x v="0"/>
    <s v="PARQUE LEFEVRE"/>
    <x v="4"/>
  </r>
  <r>
    <x v="25"/>
    <x v="206"/>
    <x v="7"/>
    <x v="7"/>
    <x v="1"/>
    <x v="2"/>
    <x v="39"/>
    <x v="284"/>
    <x v="3344"/>
    <x v="0"/>
    <s v="PLAZA LAS AMERICAS"/>
    <x v="4"/>
  </r>
  <r>
    <x v="25"/>
    <x v="310"/>
    <x v="10"/>
    <x v="10"/>
    <x v="1"/>
    <x v="2"/>
    <x v="39"/>
    <x v="335"/>
    <x v="3345"/>
    <x v="0"/>
    <s v="PLAZA LAS AMERICAS"/>
    <x v="4"/>
  </r>
  <r>
    <x v="25"/>
    <x v="315"/>
    <x v="2"/>
    <x v="2"/>
    <x v="1"/>
    <x v="2"/>
    <x v="39"/>
    <x v="405"/>
    <x v="3346"/>
    <x v="0"/>
    <s v="PLAZA LAS AMERICAS"/>
    <x v="4"/>
  </r>
  <r>
    <x v="26"/>
    <x v="260"/>
    <x v="7"/>
    <x v="7"/>
    <x v="1"/>
    <x v="2"/>
    <x v="39"/>
    <x v="437"/>
    <x v="3347"/>
    <x v="0"/>
    <s v="CORONADO"/>
    <x v="4"/>
  </r>
  <r>
    <x v="26"/>
    <x v="175"/>
    <x v="9"/>
    <x v="9"/>
    <x v="1"/>
    <x v="2"/>
    <x v="39"/>
    <x v="389"/>
    <x v="1484"/>
    <x v="0"/>
    <s v="CORONADO"/>
    <x v="4"/>
  </r>
  <r>
    <x v="26"/>
    <x v="189"/>
    <x v="10"/>
    <x v="10"/>
    <x v="1"/>
    <x v="2"/>
    <x v="39"/>
    <x v="345"/>
    <x v="3348"/>
    <x v="0"/>
    <s v="CORONADO"/>
    <x v="4"/>
  </r>
  <r>
    <x v="26"/>
    <x v="182"/>
    <x v="2"/>
    <x v="2"/>
    <x v="1"/>
    <x v="2"/>
    <x v="39"/>
    <x v="392"/>
    <x v="3349"/>
    <x v="0"/>
    <s v="CORONADO"/>
    <x v="4"/>
  </r>
  <r>
    <x v="26"/>
    <x v="217"/>
    <x v="6"/>
    <x v="6"/>
    <x v="1"/>
    <x v="2"/>
    <x v="39"/>
    <x v="323"/>
    <x v="3350"/>
    <x v="0"/>
    <s v="CORONADO"/>
    <x v="4"/>
  </r>
  <r>
    <x v="26"/>
    <x v="335"/>
    <x v="6"/>
    <x v="6"/>
    <x v="1"/>
    <x v="2"/>
    <x v="39"/>
    <x v="408"/>
    <x v="3351"/>
    <x v="0"/>
    <s v="CORONADO"/>
    <x v="4"/>
  </r>
  <r>
    <x v="27"/>
    <x v="242"/>
    <x v="9"/>
    <x v="9"/>
    <x v="1"/>
    <x v="2"/>
    <x v="39"/>
    <x v="435"/>
    <x v="1342"/>
    <x v="0"/>
    <s v="ALBROOK MALL"/>
    <x v="4"/>
  </r>
  <r>
    <x v="27"/>
    <x v="230"/>
    <x v="9"/>
    <x v="9"/>
    <x v="1"/>
    <x v="2"/>
    <x v="39"/>
    <x v="283"/>
    <x v="3352"/>
    <x v="0"/>
    <s v="ALBROOK MALL"/>
    <x v="4"/>
  </r>
  <r>
    <x v="27"/>
    <x v="330"/>
    <x v="11"/>
    <x v="11"/>
    <x v="1"/>
    <x v="2"/>
    <x v="39"/>
    <x v="381"/>
    <x v="3353"/>
    <x v="0"/>
    <s v="ALBROOK MALL"/>
    <x v="4"/>
  </r>
  <r>
    <x v="28"/>
    <x v="247"/>
    <x v="8"/>
    <x v="8"/>
    <x v="1"/>
    <x v="2"/>
    <x v="39"/>
    <x v="289"/>
    <x v="3354"/>
    <x v="0"/>
    <s v="PANAMA PACIFICO"/>
    <x v="4"/>
  </r>
  <r>
    <x v="28"/>
    <x v="207"/>
    <x v="8"/>
    <x v="8"/>
    <x v="1"/>
    <x v="2"/>
    <x v="39"/>
    <x v="374"/>
    <x v="1836"/>
    <x v="0"/>
    <s v="PANAMA PACIFICO"/>
    <x v="4"/>
  </r>
  <r>
    <x v="28"/>
    <x v="319"/>
    <x v="8"/>
    <x v="8"/>
    <x v="1"/>
    <x v="2"/>
    <x v="39"/>
    <x v="350"/>
    <x v="3355"/>
    <x v="0"/>
    <s v="PANAMA PACIFICO"/>
    <x v="4"/>
  </r>
  <r>
    <x v="28"/>
    <x v="182"/>
    <x v="2"/>
    <x v="2"/>
    <x v="1"/>
    <x v="2"/>
    <x v="39"/>
    <x v="392"/>
    <x v="3356"/>
    <x v="0"/>
    <s v="PANAMA PACIFICO"/>
    <x v="4"/>
  </r>
  <r>
    <x v="28"/>
    <x v="316"/>
    <x v="2"/>
    <x v="2"/>
    <x v="1"/>
    <x v="2"/>
    <x v="39"/>
    <x v="348"/>
    <x v="3357"/>
    <x v="0"/>
    <s v="PANAMA PACIFICO"/>
    <x v="4"/>
  </r>
  <r>
    <x v="73"/>
    <x v="238"/>
    <x v="9"/>
    <x v="9"/>
    <x v="1"/>
    <x v="2"/>
    <x v="39"/>
    <x v="379"/>
    <x v="3358"/>
    <x v="0"/>
    <s v="PENONOME"/>
    <x v="4"/>
  </r>
  <r>
    <x v="73"/>
    <x v="243"/>
    <x v="10"/>
    <x v="10"/>
    <x v="1"/>
    <x v="2"/>
    <x v="39"/>
    <x v="411"/>
    <x v="3359"/>
    <x v="0"/>
    <s v="PENONOME"/>
    <x v="4"/>
  </r>
  <r>
    <x v="29"/>
    <x v="263"/>
    <x v="10"/>
    <x v="10"/>
    <x v="1"/>
    <x v="2"/>
    <x v="39"/>
    <x v="436"/>
    <x v="3360"/>
    <x v="0"/>
    <s v="ALBROOK"/>
    <x v="4"/>
  </r>
  <r>
    <x v="29"/>
    <x v="249"/>
    <x v="11"/>
    <x v="11"/>
    <x v="1"/>
    <x v="2"/>
    <x v="39"/>
    <x v="359"/>
    <x v="784"/>
    <x v="0"/>
    <s v="ALBROOK"/>
    <x v="4"/>
  </r>
  <r>
    <x v="29"/>
    <x v="188"/>
    <x v="6"/>
    <x v="6"/>
    <x v="1"/>
    <x v="2"/>
    <x v="40"/>
    <x v="407"/>
    <x v="3361"/>
    <x v="0"/>
    <s v="ALBROOK"/>
    <x v="4"/>
  </r>
  <r>
    <x v="30"/>
    <x v="254"/>
    <x v="8"/>
    <x v="8"/>
    <x v="1"/>
    <x v="2"/>
    <x v="40"/>
    <x v="326"/>
    <x v="3362"/>
    <x v="0"/>
    <s v="SUCURSAL DE VISTA ALEGRE"/>
    <x v="4"/>
  </r>
  <r>
    <x v="30"/>
    <x v="194"/>
    <x v="9"/>
    <x v="9"/>
    <x v="1"/>
    <x v="2"/>
    <x v="39"/>
    <x v="390"/>
    <x v="3363"/>
    <x v="0"/>
    <s v="SUCURSAL DE VISTA ALEGRE"/>
    <x v="4"/>
  </r>
  <r>
    <x v="30"/>
    <x v="200"/>
    <x v="11"/>
    <x v="11"/>
    <x v="1"/>
    <x v="2"/>
    <x v="39"/>
    <x v="351"/>
    <x v="3364"/>
    <x v="0"/>
    <s v="SUCURSAL DE VISTA ALEGRE"/>
    <x v="4"/>
  </r>
  <r>
    <x v="30"/>
    <x v="202"/>
    <x v="11"/>
    <x v="11"/>
    <x v="1"/>
    <x v="2"/>
    <x v="39"/>
    <x v="305"/>
    <x v="2943"/>
    <x v="0"/>
    <s v="SUCURSAL DE VISTA ALEGRE"/>
    <x v="4"/>
  </r>
  <r>
    <x v="30"/>
    <x v="281"/>
    <x v="6"/>
    <x v="6"/>
    <x v="1"/>
    <x v="2"/>
    <x v="39"/>
    <x v="395"/>
    <x v="3365"/>
    <x v="0"/>
    <s v="SUCURSAL DE VISTA ALEGRE"/>
    <x v="4"/>
  </r>
  <r>
    <x v="31"/>
    <x v="247"/>
    <x v="8"/>
    <x v="8"/>
    <x v="1"/>
    <x v="2"/>
    <x v="39"/>
    <x v="289"/>
    <x v="3366"/>
    <x v="0"/>
    <s v="LAS TABLAS"/>
    <x v="4"/>
  </r>
  <r>
    <x v="31"/>
    <x v="242"/>
    <x v="9"/>
    <x v="9"/>
    <x v="1"/>
    <x v="2"/>
    <x v="39"/>
    <x v="435"/>
    <x v="1182"/>
    <x v="0"/>
    <s v="LAS TABLAS"/>
    <x v="4"/>
  </r>
  <r>
    <x v="31"/>
    <x v="176"/>
    <x v="10"/>
    <x v="10"/>
    <x v="1"/>
    <x v="2"/>
    <x v="39"/>
    <x v="412"/>
    <x v="366"/>
    <x v="0"/>
    <s v="LAS TABLAS"/>
    <x v="4"/>
  </r>
  <r>
    <x v="32"/>
    <x v="247"/>
    <x v="8"/>
    <x v="8"/>
    <x v="1"/>
    <x v="2"/>
    <x v="39"/>
    <x v="289"/>
    <x v="1641"/>
    <x v="0"/>
    <s v="24 DE DICIEMBRE"/>
    <x v="4"/>
  </r>
  <r>
    <x v="32"/>
    <x v="175"/>
    <x v="9"/>
    <x v="9"/>
    <x v="1"/>
    <x v="2"/>
    <x v="39"/>
    <x v="389"/>
    <x v="1335"/>
    <x v="0"/>
    <s v="24 DE DICIEMBRE"/>
    <x v="4"/>
  </r>
  <r>
    <x v="32"/>
    <x v="329"/>
    <x v="10"/>
    <x v="10"/>
    <x v="1"/>
    <x v="2"/>
    <x v="39"/>
    <x v="380"/>
    <x v="3367"/>
    <x v="0"/>
    <s v="24 DE DICIEMBRE"/>
    <x v="4"/>
  </r>
  <r>
    <x v="32"/>
    <x v="249"/>
    <x v="11"/>
    <x v="11"/>
    <x v="1"/>
    <x v="2"/>
    <x v="39"/>
    <x v="359"/>
    <x v="3368"/>
    <x v="0"/>
    <s v="24 DE DICIEMBRE"/>
    <x v="4"/>
  </r>
  <r>
    <x v="32"/>
    <x v="240"/>
    <x v="2"/>
    <x v="2"/>
    <x v="1"/>
    <x v="2"/>
    <x v="39"/>
    <x v="442"/>
    <x v="3369"/>
    <x v="0"/>
    <s v="24 DE DICIEMBRE"/>
    <x v="4"/>
  </r>
  <r>
    <x v="33"/>
    <x v="179"/>
    <x v="7"/>
    <x v="7"/>
    <x v="1"/>
    <x v="2"/>
    <x v="39"/>
    <x v="415"/>
    <x v="1866"/>
    <x v="0"/>
    <s v="DAVID - TERRONAL"/>
    <x v="4"/>
  </r>
  <r>
    <x v="33"/>
    <x v="263"/>
    <x v="10"/>
    <x v="10"/>
    <x v="1"/>
    <x v="2"/>
    <x v="39"/>
    <x v="436"/>
    <x v="3370"/>
    <x v="0"/>
    <s v="DAVID - TERRONAL"/>
    <x v="4"/>
  </r>
  <r>
    <x v="33"/>
    <x v="201"/>
    <x v="11"/>
    <x v="11"/>
    <x v="1"/>
    <x v="2"/>
    <x v="39"/>
    <x v="422"/>
    <x v="905"/>
    <x v="0"/>
    <s v="DAVID - TERRONAL"/>
    <x v="4"/>
  </r>
  <r>
    <x v="33"/>
    <x v="213"/>
    <x v="11"/>
    <x v="11"/>
    <x v="1"/>
    <x v="2"/>
    <x v="39"/>
    <x v="361"/>
    <x v="1"/>
    <x v="262"/>
    <s v="DAVID - TERRONAL"/>
    <x v="4"/>
  </r>
  <r>
    <x v="33"/>
    <x v="316"/>
    <x v="2"/>
    <x v="2"/>
    <x v="1"/>
    <x v="2"/>
    <x v="39"/>
    <x v="348"/>
    <x v="3371"/>
    <x v="0"/>
    <s v="DAVID - TERRONAL"/>
    <x v="4"/>
  </r>
  <r>
    <x v="33"/>
    <x v="229"/>
    <x v="6"/>
    <x v="6"/>
    <x v="1"/>
    <x v="2"/>
    <x v="39"/>
    <x v="281"/>
    <x v="3372"/>
    <x v="0"/>
    <s v="DAVID - TERRONAL"/>
    <x v="4"/>
  </r>
  <r>
    <x v="34"/>
    <x v="189"/>
    <x v="10"/>
    <x v="10"/>
    <x v="1"/>
    <x v="2"/>
    <x v="39"/>
    <x v="345"/>
    <x v="3373"/>
    <x v="0"/>
    <s v="COSTA DEL ESTE"/>
    <x v="4"/>
  </r>
  <r>
    <x v="34"/>
    <x v="315"/>
    <x v="2"/>
    <x v="2"/>
    <x v="1"/>
    <x v="2"/>
    <x v="39"/>
    <x v="405"/>
    <x v="3374"/>
    <x v="0"/>
    <s v="COSTA DEL ESTE"/>
    <x v="4"/>
  </r>
  <r>
    <x v="34"/>
    <x v="229"/>
    <x v="6"/>
    <x v="6"/>
    <x v="1"/>
    <x v="2"/>
    <x v="39"/>
    <x v="281"/>
    <x v="3375"/>
    <x v="0"/>
    <s v="COSTA DEL ESTE"/>
    <x v="4"/>
  </r>
  <r>
    <x v="35"/>
    <x v="261"/>
    <x v="8"/>
    <x v="8"/>
    <x v="1"/>
    <x v="2"/>
    <x v="39"/>
    <x v="320"/>
    <x v="3376"/>
    <x v="0"/>
    <s v="MULTI PLAZA"/>
    <x v="4"/>
  </r>
  <r>
    <x v="35"/>
    <x v="207"/>
    <x v="8"/>
    <x v="8"/>
    <x v="1"/>
    <x v="2"/>
    <x v="39"/>
    <x v="374"/>
    <x v="3377"/>
    <x v="0"/>
    <s v="MULTI PLAZA"/>
    <x v="4"/>
  </r>
  <r>
    <x v="35"/>
    <x v="310"/>
    <x v="10"/>
    <x v="10"/>
    <x v="1"/>
    <x v="2"/>
    <x v="39"/>
    <x v="335"/>
    <x v="3378"/>
    <x v="0"/>
    <s v="MULTI PLAZA"/>
    <x v="4"/>
  </r>
  <r>
    <x v="35"/>
    <x v="187"/>
    <x v="11"/>
    <x v="11"/>
    <x v="1"/>
    <x v="2"/>
    <x v="39"/>
    <x v="328"/>
    <x v="3379"/>
    <x v="0"/>
    <s v="MULTI PLAZA"/>
    <x v="4"/>
  </r>
  <r>
    <x v="35"/>
    <x v="202"/>
    <x v="11"/>
    <x v="11"/>
    <x v="1"/>
    <x v="2"/>
    <x v="39"/>
    <x v="305"/>
    <x v="3380"/>
    <x v="0"/>
    <s v="MULTI PLAZA"/>
    <x v="4"/>
  </r>
  <r>
    <x v="35"/>
    <x v="265"/>
    <x v="6"/>
    <x v="6"/>
    <x v="1"/>
    <x v="2"/>
    <x v="39"/>
    <x v="386"/>
    <x v="3381"/>
    <x v="0"/>
    <s v="MULTI PLAZA"/>
    <x v="4"/>
  </r>
  <r>
    <x v="35"/>
    <x v="305"/>
    <x v="6"/>
    <x v="6"/>
    <x v="1"/>
    <x v="2"/>
    <x v="39"/>
    <x v="331"/>
    <x v="1525"/>
    <x v="0"/>
    <s v="MULTI PLAZA"/>
    <x v="4"/>
  </r>
  <r>
    <x v="77"/>
    <x v="326"/>
    <x v="8"/>
    <x v="8"/>
    <x v="1"/>
    <x v="2"/>
    <x v="39"/>
    <x v="423"/>
    <x v="3382"/>
    <x v="0"/>
    <s v="HOSPITAL PUNTA PACIFICA"/>
    <x v="4"/>
  </r>
  <r>
    <x v="77"/>
    <x v="261"/>
    <x v="8"/>
    <x v="8"/>
    <x v="1"/>
    <x v="2"/>
    <x v="40"/>
    <x v="320"/>
    <x v="858"/>
    <x v="0"/>
    <s v="HOSPITAL PUNTA PACIFICA"/>
    <x v="4"/>
  </r>
  <r>
    <x v="77"/>
    <x v="306"/>
    <x v="9"/>
    <x v="9"/>
    <x v="1"/>
    <x v="2"/>
    <x v="39"/>
    <x v="336"/>
    <x v="3383"/>
    <x v="0"/>
    <s v="HOSPITAL PUNTA PACIFICA"/>
    <x v="4"/>
  </r>
  <r>
    <x v="77"/>
    <x v="227"/>
    <x v="9"/>
    <x v="9"/>
    <x v="1"/>
    <x v="2"/>
    <x v="40"/>
    <x v="399"/>
    <x v="858"/>
    <x v="0"/>
    <s v="HOSPITAL PUNTA PACIFICA"/>
    <x v="4"/>
  </r>
  <r>
    <x v="77"/>
    <x v="290"/>
    <x v="9"/>
    <x v="9"/>
    <x v="1"/>
    <x v="2"/>
    <x v="39"/>
    <x v="302"/>
    <x v="3384"/>
    <x v="0"/>
    <s v="HOSPITAL PUNTA PACIFICA"/>
    <x v="4"/>
  </r>
  <r>
    <x v="77"/>
    <x v="242"/>
    <x v="9"/>
    <x v="9"/>
    <x v="1"/>
    <x v="2"/>
    <x v="39"/>
    <x v="435"/>
    <x v="3385"/>
    <x v="0"/>
    <s v="HOSPITAL PUNTA PACIFICA"/>
    <x v="4"/>
  </r>
  <r>
    <x v="77"/>
    <x v="198"/>
    <x v="10"/>
    <x v="10"/>
    <x v="1"/>
    <x v="2"/>
    <x v="40"/>
    <x v="338"/>
    <x v="858"/>
    <x v="0"/>
    <s v="HOSPITAL PUNTA PACIFICA"/>
    <x v="4"/>
  </r>
  <r>
    <x v="77"/>
    <x v="243"/>
    <x v="10"/>
    <x v="10"/>
    <x v="1"/>
    <x v="2"/>
    <x v="39"/>
    <x v="411"/>
    <x v="1533"/>
    <x v="0"/>
    <s v="HOSPITAL PUNTA PACIFICA"/>
    <x v="4"/>
  </r>
  <r>
    <x v="77"/>
    <x v="186"/>
    <x v="10"/>
    <x v="10"/>
    <x v="1"/>
    <x v="2"/>
    <x v="40"/>
    <x v="321"/>
    <x v="244"/>
    <x v="0"/>
    <s v="HOSPITAL PUNTA PACIFICA"/>
    <x v="4"/>
  </r>
  <r>
    <x v="77"/>
    <x v="202"/>
    <x v="11"/>
    <x v="11"/>
    <x v="1"/>
    <x v="2"/>
    <x v="39"/>
    <x v="305"/>
    <x v="3355"/>
    <x v="0"/>
    <s v="HOSPITAL PUNTA PACIFICA"/>
    <x v="4"/>
  </r>
  <r>
    <x v="77"/>
    <x v="183"/>
    <x v="2"/>
    <x v="2"/>
    <x v="1"/>
    <x v="2"/>
    <x v="40"/>
    <x v="330"/>
    <x v="3386"/>
    <x v="0"/>
    <s v="HOSPITAL PUNTA PACIFICA"/>
    <x v="4"/>
  </r>
  <r>
    <x v="77"/>
    <x v="183"/>
    <x v="2"/>
    <x v="2"/>
    <x v="1"/>
    <x v="2"/>
    <x v="39"/>
    <x v="330"/>
    <x v="3387"/>
    <x v="0"/>
    <s v="HOSPITAL PUNTA PACIFICA"/>
    <x v="4"/>
  </r>
  <r>
    <x v="36"/>
    <x v="225"/>
    <x v="7"/>
    <x v="7"/>
    <x v="1"/>
    <x v="2"/>
    <x v="39"/>
    <x v="416"/>
    <x v="1535"/>
    <x v="0"/>
    <s v="TERMINAL DE ALBROOK"/>
    <x v="4"/>
  </r>
  <r>
    <x v="36"/>
    <x v="332"/>
    <x v="7"/>
    <x v="7"/>
    <x v="1"/>
    <x v="2"/>
    <x v="39"/>
    <x v="397"/>
    <x v="1999"/>
    <x v="0"/>
    <s v="TERMINAL DE ALBROOK"/>
    <x v="4"/>
  </r>
  <r>
    <x v="36"/>
    <x v="251"/>
    <x v="8"/>
    <x v="8"/>
    <x v="1"/>
    <x v="2"/>
    <x v="39"/>
    <x v="291"/>
    <x v="3388"/>
    <x v="0"/>
    <s v="TERMINAL DE ALBROOK"/>
    <x v="4"/>
  </r>
  <r>
    <x v="36"/>
    <x v="261"/>
    <x v="8"/>
    <x v="8"/>
    <x v="1"/>
    <x v="2"/>
    <x v="39"/>
    <x v="320"/>
    <x v="920"/>
    <x v="0"/>
    <s v="TERMINAL DE ALBROOK"/>
    <x v="4"/>
  </r>
  <r>
    <x v="36"/>
    <x v="319"/>
    <x v="8"/>
    <x v="8"/>
    <x v="1"/>
    <x v="2"/>
    <x v="39"/>
    <x v="350"/>
    <x v="2722"/>
    <x v="0"/>
    <s v="TERMINAL DE ALBROOK"/>
    <x v="4"/>
  </r>
  <r>
    <x v="36"/>
    <x v="263"/>
    <x v="10"/>
    <x v="10"/>
    <x v="1"/>
    <x v="2"/>
    <x v="39"/>
    <x v="436"/>
    <x v="1156"/>
    <x v="0"/>
    <s v="TERMINAL DE ALBROOK"/>
    <x v="4"/>
  </r>
  <r>
    <x v="36"/>
    <x v="200"/>
    <x v="11"/>
    <x v="11"/>
    <x v="1"/>
    <x v="2"/>
    <x v="39"/>
    <x v="351"/>
    <x v="3389"/>
    <x v="0"/>
    <s v="TERMINAL DE ALBROOK"/>
    <x v="4"/>
  </r>
  <r>
    <x v="36"/>
    <x v="182"/>
    <x v="2"/>
    <x v="2"/>
    <x v="1"/>
    <x v="2"/>
    <x v="39"/>
    <x v="392"/>
    <x v="3390"/>
    <x v="0"/>
    <s v="TERMINAL DE ALBROOK"/>
    <x v="4"/>
  </r>
  <r>
    <x v="36"/>
    <x v="335"/>
    <x v="6"/>
    <x v="6"/>
    <x v="1"/>
    <x v="2"/>
    <x v="39"/>
    <x v="408"/>
    <x v="3391"/>
    <x v="0"/>
    <s v="TERMINAL DE ALBROOK"/>
    <x v="4"/>
  </r>
  <r>
    <x v="37"/>
    <x v="310"/>
    <x v="10"/>
    <x v="10"/>
    <x v="1"/>
    <x v="2"/>
    <x v="39"/>
    <x v="335"/>
    <x v="3392"/>
    <x v="0"/>
    <s v="CONCEPCION"/>
    <x v="4"/>
  </r>
  <r>
    <x v="37"/>
    <x v="330"/>
    <x v="11"/>
    <x v="11"/>
    <x v="1"/>
    <x v="2"/>
    <x v="39"/>
    <x v="381"/>
    <x v="3393"/>
    <x v="0"/>
    <s v="CONCEPCION"/>
    <x v="4"/>
  </r>
  <r>
    <x v="38"/>
    <x v="326"/>
    <x v="8"/>
    <x v="8"/>
    <x v="1"/>
    <x v="2"/>
    <x v="39"/>
    <x v="423"/>
    <x v="858"/>
    <x v="0"/>
    <s v="BOQUETE"/>
    <x v="4"/>
  </r>
  <r>
    <x v="38"/>
    <x v="194"/>
    <x v="9"/>
    <x v="9"/>
    <x v="1"/>
    <x v="2"/>
    <x v="39"/>
    <x v="390"/>
    <x v="858"/>
    <x v="0"/>
    <s v="BOQUETE"/>
    <x v="4"/>
  </r>
  <r>
    <x v="38"/>
    <x v="183"/>
    <x v="2"/>
    <x v="2"/>
    <x v="1"/>
    <x v="2"/>
    <x v="39"/>
    <x v="330"/>
    <x v="858"/>
    <x v="0"/>
    <s v="BOQUETE"/>
    <x v="4"/>
  </r>
  <r>
    <x v="38"/>
    <x v="229"/>
    <x v="6"/>
    <x v="6"/>
    <x v="1"/>
    <x v="2"/>
    <x v="39"/>
    <x v="281"/>
    <x v="858"/>
    <x v="0"/>
    <s v="BOQUETE"/>
    <x v="4"/>
  </r>
  <r>
    <x v="39"/>
    <x v="179"/>
    <x v="7"/>
    <x v="7"/>
    <x v="1"/>
    <x v="2"/>
    <x v="39"/>
    <x v="415"/>
    <x v="1838"/>
    <x v="0"/>
    <s v="BRISAS DEL GOLF"/>
    <x v="4"/>
  </r>
  <r>
    <x v="39"/>
    <x v="306"/>
    <x v="9"/>
    <x v="9"/>
    <x v="1"/>
    <x v="2"/>
    <x v="39"/>
    <x v="336"/>
    <x v="3394"/>
    <x v="0"/>
    <s v="BRISAS DEL GOLF"/>
    <x v="4"/>
  </r>
  <r>
    <x v="39"/>
    <x v="262"/>
    <x v="9"/>
    <x v="9"/>
    <x v="1"/>
    <x v="2"/>
    <x v="39"/>
    <x v="368"/>
    <x v="1221"/>
    <x v="0"/>
    <s v="BRISAS DEL GOLF"/>
    <x v="4"/>
  </r>
  <r>
    <x v="39"/>
    <x v="219"/>
    <x v="9"/>
    <x v="9"/>
    <x v="1"/>
    <x v="2"/>
    <x v="40"/>
    <x v="308"/>
    <x v="782"/>
    <x v="0"/>
    <s v="BRISAS DEL GOLF"/>
    <x v="4"/>
  </r>
  <r>
    <x v="39"/>
    <x v="282"/>
    <x v="11"/>
    <x v="11"/>
    <x v="1"/>
    <x v="2"/>
    <x v="39"/>
    <x v="358"/>
    <x v="3395"/>
    <x v="0"/>
    <s v="BRISAS DEL GOLF"/>
    <x v="4"/>
  </r>
  <r>
    <x v="39"/>
    <x v="177"/>
    <x v="11"/>
    <x v="11"/>
    <x v="1"/>
    <x v="2"/>
    <x v="40"/>
    <x v="346"/>
    <x v="782"/>
    <x v="0"/>
    <s v="BRISAS DEL GOLF"/>
    <x v="4"/>
  </r>
  <r>
    <x v="39"/>
    <x v="177"/>
    <x v="11"/>
    <x v="11"/>
    <x v="1"/>
    <x v="2"/>
    <x v="39"/>
    <x v="346"/>
    <x v="3396"/>
    <x v="0"/>
    <s v="BRISAS DEL GOLF"/>
    <x v="4"/>
  </r>
  <r>
    <x v="39"/>
    <x v="235"/>
    <x v="2"/>
    <x v="2"/>
    <x v="1"/>
    <x v="2"/>
    <x v="39"/>
    <x v="393"/>
    <x v="3397"/>
    <x v="0"/>
    <s v="BRISAS DEL GOLF"/>
    <x v="4"/>
  </r>
  <r>
    <x v="39"/>
    <x v="335"/>
    <x v="6"/>
    <x v="6"/>
    <x v="1"/>
    <x v="2"/>
    <x v="39"/>
    <x v="408"/>
    <x v="1303"/>
    <x v="0"/>
    <s v="BRISAS DEL GOLF"/>
    <x v="4"/>
  </r>
  <r>
    <x v="40"/>
    <x v="286"/>
    <x v="10"/>
    <x v="10"/>
    <x v="1"/>
    <x v="2"/>
    <x v="40"/>
    <x v="297"/>
    <x v="865"/>
    <x v="0"/>
    <s v="PUENTE CENTENARIO"/>
    <x v="4"/>
  </r>
  <r>
    <x v="40"/>
    <x v="263"/>
    <x v="10"/>
    <x v="10"/>
    <x v="1"/>
    <x v="2"/>
    <x v="39"/>
    <x v="436"/>
    <x v="3398"/>
    <x v="0"/>
    <s v="PUENTE CENTENARIO"/>
    <x v="4"/>
  </r>
  <r>
    <x v="40"/>
    <x v="188"/>
    <x v="6"/>
    <x v="6"/>
    <x v="1"/>
    <x v="2"/>
    <x v="40"/>
    <x v="407"/>
    <x v="782"/>
    <x v="0"/>
    <s v="PUENTE CENTENARIO"/>
    <x v="4"/>
  </r>
  <r>
    <x v="40"/>
    <x v="229"/>
    <x v="6"/>
    <x v="6"/>
    <x v="1"/>
    <x v="2"/>
    <x v="39"/>
    <x v="281"/>
    <x v="1231"/>
    <x v="0"/>
    <s v="PUENTE CENTENARIO"/>
    <x v="4"/>
  </r>
  <r>
    <x v="74"/>
    <x v="227"/>
    <x v="9"/>
    <x v="9"/>
    <x v="1"/>
    <x v="2"/>
    <x v="39"/>
    <x v="399"/>
    <x v="3399"/>
    <x v="0"/>
    <s v="AGUADULCE"/>
    <x v="4"/>
  </r>
  <r>
    <x v="74"/>
    <x v="189"/>
    <x v="10"/>
    <x v="10"/>
    <x v="1"/>
    <x v="2"/>
    <x v="39"/>
    <x v="345"/>
    <x v="2751"/>
    <x v="0"/>
    <s v="AGUADULCE"/>
    <x v="4"/>
  </r>
  <r>
    <x v="75"/>
    <x v="323"/>
    <x v="8"/>
    <x v="8"/>
    <x v="1"/>
    <x v="2"/>
    <x v="39"/>
    <x v="367"/>
    <x v="3400"/>
    <x v="0"/>
    <s v="SABANITAS"/>
    <x v="4"/>
  </r>
  <r>
    <x v="75"/>
    <x v="282"/>
    <x v="11"/>
    <x v="11"/>
    <x v="1"/>
    <x v="2"/>
    <x v="39"/>
    <x v="358"/>
    <x v="3401"/>
    <x v="0"/>
    <s v="SABANITAS"/>
    <x v="4"/>
  </r>
  <r>
    <x v="75"/>
    <x v="214"/>
    <x v="11"/>
    <x v="11"/>
    <x v="1"/>
    <x v="2"/>
    <x v="39"/>
    <x v="306"/>
    <x v="3402"/>
    <x v="0"/>
    <s v="SABANITAS"/>
    <x v="4"/>
  </r>
  <r>
    <x v="75"/>
    <x v="265"/>
    <x v="6"/>
    <x v="6"/>
    <x v="1"/>
    <x v="2"/>
    <x v="39"/>
    <x v="386"/>
    <x v="905"/>
    <x v="0"/>
    <s v="SABANITAS"/>
    <x v="4"/>
  </r>
  <r>
    <x v="41"/>
    <x v="255"/>
    <x v="9"/>
    <x v="9"/>
    <x v="1"/>
    <x v="2"/>
    <x v="39"/>
    <x v="293"/>
    <x v="3403"/>
    <x v="0"/>
    <s v="METROMALL"/>
    <x v="4"/>
  </r>
  <r>
    <x v="41"/>
    <x v="187"/>
    <x v="11"/>
    <x v="11"/>
    <x v="1"/>
    <x v="2"/>
    <x v="39"/>
    <x v="328"/>
    <x v="545"/>
    <x v="0"/>
    <s v="METROMALL"/>
    <x v="4"/>
  </r>
  <r>
    <x v="42"/>
    <x v="208"/>
    <x v="8"/>
    <x v="8"/>
    <x v="1"/>
    <x v="2"/>
    <x v="39"/>
    <x v="377"/>
    <x v="3404"/>
    <x v="0"/>
    <s v="ALTOS DE PANAMA"/>
    <x v="4"/>
  </r>
  <r>
    <x v="42"/>
    <x v="331"/>
    <x v="9"/>
    <x v="9"/>
    <x v="1"/>
    <x v="2"/>
    <x v="39"/>
    <x v="391"/>
    <x v="3405"/>
    <x v="0"/>
    <s v="ALTOS DE PANAMA"/>
    <x v="4"/>
  </r>
  <r>
    <x v="42"/>
    <x v="220"/>
    <x v="11"/>
    <x v="11"/>
    <x v="1"/>
    <x v="2"/>
    <x v="39"/>
    <x v="309"/>
    <x v="3406"/>
    <x v="0"/>
    <s v="ALTOS DE PANAMA"/>
    <x v="4"/>
  </r>
  <r>
    <x v="42"/>
    <x v="235"/>
    <x v="2"/>
    <x v="2"/>
    <x v="1"/>
    <x v="2"/>
    <x v="39"/>
    <x v="393"/>
    <x v="1331"/>
    <x v="0"/>
    <s v="ALTOS DE PANAMA"/>
    <x v="4"/>
  </r>
  <r>
    <x v="43"/>
    <x v="261"/>
    <x v="8"/>
    <x v="8"/>
    <x v="1"/>
    <x v="2"/>
    <x v="39"/>
    <x v="320"/>
    <x v="3407"/>
    <x v="0"/>
    <s v="VERSALLES"/>
    <x v="4"/>
  </r>
  <r>
    <x v="43"/>
    <x v="240"/>
    <x v="2"/>
    <x v="2"/>
    <x v="1"/>
    <x v="2"/>
    <x v="39"/>
    <x v="442"/>
    <x v="3408"/>
    <x v="0"/>
    <s v="VERSALLES"/>
    <x v="4"/>
  </r>
  <r>
    <x v="44"/>
    <x v="268"/>
    <x v="10"/>
    <x v="10"/>
    <x v="1"/>
    <x v="2"/>
    <x v="39"/>
    <x v="339"/>
    <x v="816"/>
    <x v="0"/>
    <s v="BUSINESS PARK"/>
    <x v="4"/>
  </r>
  <r>
    <x v="44"/>
    <x v="329"/>
    <x v="10"/>
    <x v="10"/>
    <x v="1"/>
    <x v="2"/>
    <x v="39"/>
    <x v="380"/>
    <x v="245"/>
    <x v="0"/>
    <s v="BUSINESS PARK"/>
    <x v="4"/>
  </r>
  <r>
    <x v="44"/>
    <x v="315"/>
    <x v="2"/>
    <x v="2"/>
    <x v="1"/>
    <x v="2"/>
    <x v="39"/>
    <x v="405"/>
    <x v="1815"/>
    <x v="0"/>
    <s v="BUSINESS PARK"/>
    <x v="4"/>
  </r>
  <r>
    <x v="44"/>
    <x v="240"/>
    <x v="2"/>
    <x v="2"/>
    <x v="1"/>
    <x v="2"/>
    <x v="39"/>
    <x v="442"/>
    <x v="346"/>
    <x v="0"/>
    <s v="BUSINESS PARK"/>
    <x v="4"/>
  </r>
  <r>
    <x v="44"/>
    <x v="281"/>
    <x v="6"/>
    <x v="6"/>
    <x v="1"/>
    <x v="2"/>
    <x v="39"/>
    <x v="395"/>
    <x v="3355"/>
    <x v="0"/>
    <s v="BUSINESS PARK"/>
    <x v="4"/>
  </r>
  <r>
    <x v="44"/>
    <x v="266"/>
    <x v="6"/>
    <x v="6"/>
    <x v="1"/>
    <x v="2"/>
    <x v="39"/>
    <x v="370"/>
    <x v="187"/>
    <x v="0"/>
    <s v="BUSINESS PARK"/>
    <x v="4"/>
  </r>
  <r>
    <x v="44"/>
    <x v="335"/>
    <x v="6"/>
    <x v="6"/>
    <x v="1"/>
    <x v="2"/>
    <x v="39"/>
    <x v="408"/>
    <x v="804"/>
    <x v="0"/>
    <s v="BUSINESS PARK"/>
    <x v="4"/>
  </r>
  <r>
    <x v="45"/>
    <x v="327"/>
    <x v="7"/>
    <x v="7"/>
    <x v="1"/>
    <x v="2"/>
    <x v="40"/>
    <x v="387"/>
    <x v="1641"/>
    <x v="0"/>
    <s v="SAN FRANCISCO"/>
    <x v="4"/>
  </r>
  <r>
    <x v="45"/>
    <x v="306"/>
    <x v="9"/>
    <x v="9"/>
    <x v="1"/>
    <x v="2"/>
    <x v="39"/>
    <x v="336"/>
    <x v="3409"/>
    <x v="0"/>
    <s v="SAN FRANCISCO"/>
    <x v="4"/>
  </r>
  <r>
    <x v="45"/>
    <x v="292"/>
    <x v="9"/>
    <x v="9"/>
    <x v="1"/>
    <x v="2"/>
    <x v="40"/>
    <x v="352"/>
    <x v="3410"/>
    <x v="0"/>
    <s v="SAN FRANCISCO"/>
    <x v="4"/>
  </r>
  <r>
    <x v="45"/>
    <x v="310"/>
    <x v="10"/>
    <x v="10"/>
    <x v="1"/>
    <x v="2"/>
    <x v="39"/>
    <x v="335"/>
    <x v="3411"/>
    <x v="0"/>
    <s v="SAN FRANCISCO"/>
    <x v="4"/>
  </r>
  <r>
    <x v="45"/>
    <x v="200"/>
    <x v="11"/>
    <x v="11"/>
    <x v="1"/>
    <x v="2"/>
    <x v="39"/>
    <x v="351"/>
    <x v="3411"/>
    <x v="0"/>
    <s v="SAN FRANCISCO"/>
    <x v="4"/>
  </r>
  <r>
    <x v="45"/>
    <x v="177"/>
    <x v="11"/>
    <x v="11"/>
    <x v="1"/>
    <x v="2"/>
    <x v="39"/>
    <x v="346"/>
    <x v="1335"/>
    <x v="0"/>
    <s v="SAN FRANCISCO"/>
    <x v="4"/>
  </r>
  <r>
    <x v="46"/>
    <x v="261"/>
    <x v="8"/>
    <x v="8"/>
    <x v="1"/>
    <x v="2"/>
    <x v="39"/>
    <x v="320"/>
    <x v="3181"/>
    <x v="0"/>
    <s v="PLAZA BANCO GENERAL"/>
    <x v="4"/>
  </r>
  <r>
    <x v="46"/>
    <x v="339"/>
    <x v="10"/>
    <x v="10"/>
    <x v="1"/>
    <x v="2"/>
    <x v="39"/>
    <x v="427"/>
    <x v="3412"/>
    <x v="0"/>
    <s v="PLAZA BANCO GENERAL"/>
    <x v="4"/>
  </r>
  <r>
    <x v="46"/>
    <x v="315"/>
    <x v="2"/>
    <x v="2"/>
    <x v="1"/>
    <x v="2"/>
    <x v="39"/>
    <x v="405"/>
    <x v="681"/>
    <x v="0"/>
    <s v="PLAZA BANCO GENERAL"/>
    <x v="4"/>
  </r>
  <r>
    <x v="46"/>
    <x v="281"/>
    <x v="6"/>
    <x v="6"/>
    <x v="1"/>
    <x v="2"/>
    <x v="39"/>
    <x v="395"/>
    <x v="1310"/>
    <x v="0"/>
    <s v="PLAZA BANCO GENERAL"/>
    <x v="4"/>
  </r>
  <r>
    <x v="47"/>
    <x v="319"/>
    <x v="8"/>
    <x v="8"/>
    <x v="1"/>
    <x v="2"/>
    <x v="39"/>
    <x v="350"/>
    <x v="3099"/>
    <x v="0"/>
    <s v="LA CHORRERA - PARQUE 10 DE NOV."/>
    <x v="4"/>
  </r>
  <r>
    <x v="47"/>
    <x v="242"/>
    <x v="9"/>
    <x v="9"/>
    <x v="1"/>
    <x v="2"/>
    <x v="39"/>
    <x v="435"/>
    <x v="57"/>
    <x v="0"/>
    <s v="LA CHORRERA - PARQUE 10 DE NOV."/>
    <x v="4"/>
  </r>
  <r>
    <x v="47"/>
    <x v="249"/>
    <x v="11"/>
    <x v="11"/>
    <x v="1"/>
    <x v="2"/>
    <x v="39"/>
    <x v="359"/>
    <x v="3413"/>
    <x v="0"/>
    <s v="LA CHORRERA - PARQUE 10 DE NOV."/>
    <x v="4"/>
  </r>
  <r>
    <x v="47"/>
    <x v="266"/>
    <x v="6"/>
    <x v="6"/>
    <x v="1"/>
    <x v="2"/>
    <x v="39"/>
    <x v="370"/>
    <x v="3414"/>
    <x v="0"/>
    <s v="LA CHORRERA - PARQUE 10 DE NOV."/>
    <x v="4"/>
  </r>
  <r>
    <x v="48"/>
    <x v="208"/>
    <x v="8"/>
    <x v="8"/>
    <x v="1"/>
    <x v="2"/>
    <x v="39"/>
    <x v="377"/>
    <x v="147"/>
    <x v="0"/>
    <s v="COSTA DEL ESTE - CENTENARIO"/>
    <x v="4"/>
  </r>
  <r>
    <x v="48"/>
    <x v="244"/>
    <x v="10"/>
    <x v="10"/>
    <x v="1"/>
    <x v="2"/>
    <x v="39"/>
    <x v="433"/>
    <x v="3415"/>
    <x v="0"/>
    <s v="COSTA DEL ESTE - CENTENARIO"/>
    <x v="4"/>
  </r>
  <r>
    <x v="48"/>
    <x v="182"/>
    <x v="2"/>
    <x v="2"/>
    <x v="1"/>
    <x v="2"/>
    <x v="39"/>
    <x v="392"/>
    <x v="3416"/>
    <x v="0"/>
    <s v="COSTA DEL ESTE - CENTENARIO"/>
    <x v="4"/>
  </r>
  <r>
    <x v="48"/>
    <x v="183"/>
    <x v="2"/>
    <x v="2"/>
    <x v="1"/>
    <x v="2"/>
    <x v="39"/>
    <x v="330"/>
    <x v="3417"/>
    <x v="0"/>
    <s v="COSTA DEL ESTE - CENTENARIO"/>
    <x v="4"/>
  </r>
  <r>
    <x v="49"/>
    <x v="251"/>
    <x v="8"/>
    <x v="8"/>
    <x v="1"/>
    <x v="2"/>
    <x v="39"/>
    <x v="291"/>
    <x v="3240"/>
    <x v="0"/>
    <s v="CLAYTON"/>
    <x v="4"/>
  </r>
  <r>
    <x v="49"/>
    <x v="176"/>
    <x v="10"/>
    <x v="10"/>
    <x v="1"/>
    <x v="2"/>
    <x v="39"/>
    <x v="412"/>
    <x v="3418"/>
    <x v="0"/>
    <s v="CLAYTON"/>
    <x v="4"/>
  </r>
  <r>
    <x v="49"/>
    <x v="240"/>
    <x v="2"/>
    <x v="2"/>
    <x v="1"/>
    <x v="2"/>
    <x v="39"/>
    <x v="442"/>
    <x v="3419"/>
    <x v="0"/>
    <s v="CLAYTON"/>
    <x v="4"/>
  </r>
  <r>
    <x v="49"/>
    <x v="316"/>
    <x v="2"/>
    <x v="2"/>
    <x v="1"/>
    <x v="2"/>
    <x v="39"/>
    <x v="348"/>
    <x v="3420"/>
    <x v="0"/>
    <s v="CLAYTON"/>
    <x v="4"/>
  </r>
  <r>
    <x v="49"/>
    <x v="183"/>
    <x v="2"/>
    <x v="2"/>
    <x v="1"/>
    <x v="2"/>
    <x v="39"/>
    <x v="330"/>
    <x v="3362"/>
    <x v="0"/>
    <s v="CLAYTON"/>
    <x v="4"/>
  </r>
  <r>
    <x v="49"/>
    <x v="335"/>
    <x v="6"/>
    <x v="6"/>
    <x v="1"/>
    <x v="2"/>
    <x v="39"/>
    <x v="408"/>
    <x v="3421"/>
    <x v="0"/>
    <s v="CLAYTON"/>
    <x v="4"/>
  </r>
  <r>
    <x v="50"/>
    <x v="207"/>
    <x v="8"/>
    <x v="8"/>
    <x v="1"/>
    <x v="2"/>
    <x v="39"/>
    <x v="374"/>
    <x v="3422"/>
    <x v="0"/>
    <s v="MARBELLA"/>
    <x v="4"/>
  </r>
  <r>
    <x v="50"/>
    <x v="255"/>
    <x v="9"/>
    <x v="9"/>
    <x v="1"/>
    <x v="2"/>
    <x v="39"/>
    <x v="293"/>
    <x v="1327"/>
    <x v="0"/>
    <s v="MARBELLA"/>
    <x v="4"/>
  </r>
  <r>
    <x v="50"/>
    <x v="243"/>
    <x v="10"/>
    <x v="10"/>
    <x v="1"/>
    <x v="2"/>
    <x v="39"/>
    <x v="411"/>
    <x v="3423"/>
    <x v="0"/>
    <s v="MARBELLA"/>
    <x v="4"/>
  </r>
  <r>
    <x v="50"/>
    <x v="282"/>
    <x v="11"/>
    <x v="11"/>
    <x v="1"/>
    <x v="2"/>
    <x v="39"/>
    <x v="358"/>
    <x v="838"/>
    <x v="0"/>
    <s v="MARBELLA"/>
    <x v="4"/>
  </r>
  <r>
    <x v="50"/>
    <x v="281"/>
    <x v="6"/>
    <x v="6"/>
    <x v="1"/>
    <x v="2"/>
    <x v="39"/>
    <x v="395"/>
    <x v="3424"/>
    <x v="0"/>
    <s v="MARBELLA"/>
    <x v="4"/>
  </r>
  <r>
    <x v="51"/>
    <x v="263"/>
    <x v="10"/>
    <x v="10"/>
    <x v="1"/>
    <x v="2"/>
    <x v="39"/>
    <x v="436"/>
    <x v="3425"/>
    <x v="0"/>
    <s v="PLAZA CAROLINA"/>
    <x v="4"/>
  </r>
  <r>
    <x v="51"/>
    <x v="282"/>
    <x v="11"/>
    <x v="11"/>
    <x v="1"/>
    <x v="2"/>
    <x v="39"/>
    <x v="358"/>
    <x v="1797"/>
    <x v="0"/>
    <s v="PLAZA CAROLINA"/>
    <x v="4"/>
  </r>
  <r>
    <x v="51"/>
    <x v="246"/>
    <x v="2"/>
    <x v="2"/>
    <x v="1"/>
    <x v="2"/>
    <x v="40"/>
    <x v="287"/>
    <x v="1061"/>
    <x v="0"/>
    <s v="PLAZA CAROLINA"/>
    <x v="4"/>
  </r>
  <r>
    <x v="52"/>
    <x v="319"/>
    <x v="8"/>
    <x v="8"/>
    <x v="1"/>
    <x v="2"/>
    <x v="39"/>
    <x v="350"/>
    <x v="3426"/>
    <x v="0"/>
    <s v="PLAZA CORDOBA"/>
    <x v="4"/>
  </r>
  <r>
    <x v="52"/>
    <x v="201"/>
    <x v="11"/>
    <x v="11"/>
    <x v="1"/>
    <x v="2"/>
    <x v="39"/>
    <x v="422"/>
    <x v="3427"/>
    <x v="0"/>
    <s v="PLAZA CORDOBA"/>
    <x v="4"/>
  </r>
  <r>
    <x v="53"/>
    <x v="206"/>
    <x v="7"/>
    <x v="7"/>
    <x v="1"/>
    <x v="2"/>
    <x v="39"/>
    <x v="284"/>
    <x v="1335"/>
    <x v="0"/>
    <s v="VIA SIMON BOLIVAR"/>
    <x v="4"/>
  </r>
  <r>
    <x v="53"/>
    <x v="237"/>
    <x v="7"/>
    <x v="7"/>
    <x v="1"/>
    <x v="2"/>
    <x v="39"/>
    <x v="417"/>
    <x v="3428"/>
    <x v="0"/>
    <s v="VIA SIMON BOLIVAR"/>
    <x v="4"/>
  </r>
  <r>
    <x v="53"/>
    <x v="261"/>
    <x v="8"/>
    <x v="8"/>
    <x v="1"/>
    <x v="2"/>
    <x v="39"/>
    <x v="320"/>
    <x v="970"/>
    <x v="0"/>
    <s v="VIA SIMON BOLIVAR"/>
    <x v="4"/>
  </r>
  <r>
    <x v="53"/>
    <x v="263"/>
    <x v="10"/>
    <x v="10"/>
    <x v="1"/>
    <x v="2"/>
    <x v="39"/>
    <x v="436"/>
    <x v="3429"/>
    <x v="0"/>
    <s v="VIA SIMON BOLIVAR"/>
    <x v="4"/>
  </r>
  <r>
    <x v="53"/>
    <x v="200"/>
    <x v="11"/>
    <x v="11"/>
    <x v="1"/>
    <x v="2"/>
    <x v="39"/>
    <x v="351"/>
    <x v="3430"/>
    <x v="0"/>
    <s v="VIA SIMON BOLIVAR"/>
    <x v="4"/>
  </r>
  <r>
    <x v="53"/>
    <x v="177"/>
    <x v="11"/>
    <x v="11"/>
    <x v="1"/>
    <x v="2"/>
    <x v="39"/>
    <x v="346"/>
    <x v="3431"/>
    <x v="0"/>
    <s v="VIA SIMON BOLIVAR"/>
    <x v="4"/>
  </r>
  <r>
    <x v="53"/>
    <x v="249"/>
    <x v="11"/>
    <x v="11"/>
    <x v="1"/>
    <x v="2"/>
    <x v="39"/>
    <x v="359"/>
    <x v="3432"/>
    <x v="0"/>
    <s v="VIA SIMON BOLIVAR"/>
    <x v="4"/>
  </r>
  <r>
    <x v="53"/>
    <x v="214"/>
    <x v="11"/>
    <x v="11"/>
    <x v="1"/>
    <x v="2"/>
    <x v="39"/>
    <x v="306"/>
    <x v="3433"/>
    <x v="0"/>
    <s v="VIA SIMON BOLIVAR"/>
    <x v="4"/>
  </r>
  <r>
    <x v="54"/>
    <x v="208"/>
    <x v="8"/>
    <x v="8"/>
    <x v="1"/>
    <x v="2"/>
    <x v="39"/>
    <x v="377"/>
    <x v="3434"/>
    <x v="0"/>
    <s v="JUSTO AROSEMENA"/>
    <x v="4"/>
  </r>
  <r>
    <x v="54"/>
    <x v="242"/>
    <x v="9"/>
    <x v="9"/>
    <x v="1"/>
    <x v="2"/>
    <x v="39"/>
    <x v="435"/>
    <x v="3435"/>
    <x v="0"/>
    <s v="JUSTO AROSEMENA"/>
    <x v="4"/>
  </r>
  <r>
    <x v="54"/>
    <x v="244"/>
    <x v="10"/>
    <x v="10"/>
    <x v="1"/>
    <x v="2"/>
    <x v="39"/>
    <x v="433"/>
    <x v="3436"/>
    <x v="0"/>
    <s v="JUSTO AROSEMENA"/>
    <x v="4"/>
  </r>
  <r>
    <x v="54"/>
    <x v="315"/>
    <x v="2"/>
    <x v="2"/>
    <x v="1"/>
    <x v="2"/>
    <x v="39"/>
    <x v="405"/>
    <x v="3437"/>
    <x v="0"/>
    <s v="JUSTO AROSEMENA"/>
    <x v="4"/>
  </r>
  <r>
    <x v="54"/>
    <x v="182"/>
    <x v="2"/>
    <x v="2"/>
    <x v="1"/>
    <x v="2"/>
    <x v="39"/>
    <x v="392"/>
    <x v="3438"/>
    <x v="0"/>
    <s v="JUSTO AROSEMENA"/>
    <x v="4"/>
  </r>
  <r>
    <x v="54"/>
    <x v="335"/>
    <x v="6"/>
    <x v="6"/>
    <x v="1"/>
    <x v="2"/>
    <x v="40"/>
    <x v="408"/>
    <x v="3439"/>
    <x v="0"/>
    <s v="JUSTO AROSEMENA"/>
    <x v="4"/>
  </r>
  <r>
    <x v="55"/>
    <x v="319"/>
    <x v="8"/>
    <x v="8"/>
    <x v="1"/>
    <x v="20"/>
    <x v="39"/>
    <x v="350"/>
    <x v="847"/>
    <x v="0"/>
    <s v="NEGOCIOS"/>
    <x v="4"/>
  </r>
  <r>
    <x v="55"/>
    <x v="208"/>
    <x v="8"/>
    <x v="8"/>
    <x v="1"/>
    <x v="3"/>
    <x v="40"/>
    <x v="377"/>
    <x v="3440"/>
    <x v="0"/>
    <s v="NEGOCIOS"/>
    <x v="4"/>
  </r>
  <r>
    <x v="55"/>
    <x v="269"/>
    <x v="11"/>
    <x v="11"/>
    <x v="1"/>
    <x v="4"/>
    <x v="40"/>
    <x v="403"/>
    <x v="698"/>
    <x v="0"/>
    <s v="NEGOCIOS"/>
    <x v="4"/>
  </r>
  <r>
    <x v="55"/>
    <x v="272"/>
    <x v="11"/>
    <x v="11"/>
    <x v="1"/>
    <x v="4"/>
    <x v="40"/>
    <x v="360"/>
    <x v="3441"/>
    <x v="0"/>
    <s v="NEGOCIOS"/>
    <x v="4"/>
  </r>
  <r>
    <x v="55"/>
    <x v="314"/>
    <x v="6"/>
    <x v="6"/>
    <x v="1"/>
    <x v="4"/>
    <x v="40"/>
    <x v="372"/>
    <x v="2118"/>
    <x v="0"/>
    <s v="NEGOCIOS"/>
    <x v="4"/>
  </r>
  <r>
    <x v="55"/>
    <x v="266"/>
    <x v="6"/>
    <x v="6"/>
    <x v="1"/>
    <x v="4"/>
    <x v="39"/>
    <x v="370"/>
    <x v="3442"/>
    <x v="0"/>
    <s v="NEGOCIOS"/>
    <x v="4"/>
  </r>
  <r>
    <x v="55"/>
    <x v="236"/>
    <x v="6"/>
    <x v="6"/>
    <x v="1"/>
    <x v="4"/>
    <x v="40"/>
    <x v="371"/>
    <x v="3443"/>
    <x v="0"/>
    <s v="NEGOCIOS"/>
    <x v="4"/>
  </r>
  <r>
    <x v="55"/>
    <x v="268"/>
    <x v="10"/>
    <x v="10"/>
    <x v="1"/>
    <x v="5"/>
    <x v="40"/>
    <x v="339"/>
    <x v="1571"/>
    <x v="0"/>
    <s v="NEGOCIOS"/>
    <x v="4"/>
  </r>
  <r>
    <x v="55"/>
    <x v="275"/>
    <x v="11"/>
    <x v="11"/>
    <x v="1"/>
    <x v="5"/>
    <x v="40"/>
    <x v="307"/>
    <x v="3444"/>
    <x v="0"/>
    <s v="NEGOCIOS"/>
    <x v="4"/>
  </r>
  <r>
    <x v="55"/>
    <x v="314"/>
    <x v="6"/>
    <x v="6"/>
    <x v="1"/>
    <x v="5"/>
    <x v="40"/>
    <x v="372"/>
    <x v="3445"/>
    <x v="0"/>
    <s v="NEGOCIOS"/>
    <x v="4"/>
  </r>
  <r>
    <x v="55"/>
    <x v="260"/>
    <x v="7"/>
    <x v="7"/>
    <x v="1"/>
    <x v="6"/>
    <x v="39"/>
    <x v="437"/>
    <x v="3446"/>
    <x v="0"/>
    <s v="NEGOCIOS"/>
    <x v="4"/>
  </r>
  <r>
    <x v="55"/>
    <x v="247"/>
    <x v="8"/>
    <x v="8"/>
    <x v="1"/>
    <x v="6"/>
    <x v="39"/>
    <x v="289"/>
    <x v="1682"/>
    <x v="0"/>
    <s v="NEGOCIOS"/>
    <x v="4"/>
  </r>
  <r>
    <x v="55"/>
    <x v="208"/>
    <x v="8"/>
    <x v="8"/>
    <x v="1"/>
    <x v="6"/>
    <x v="39"/>
    <x v="377"/>
    <x v="3447"/>
    <x v="0"/>
    <s v="NEGOCIOS"/>
    <x v="4"/>
  </r>
  <r>
    <x v="55"/>
    <x v="319"/>
    <x v="8"/>
    <x v="8"/>
    <x v="1"/>
    <x v="6"/>
    <x v="39"/>
    <x v="350"/>
    <x v="1595"/>
    <x v="0"/>
    <s v="NEGOCIOS"/>
    <x v="4"/>
  </r>
  <r>
    <x v="55"/>
    <x v="293"/>
    <x v="9"/>
    <x v="9"/>
    <x v="1"/>
    <x v="6"/>
    <x v="40"/>
    <x v="337"/>
    <x v="3448"/>
    <x v="0"/>
    <s v="NEGOCIOS"/>
    <x v="4"/>
  </r>
  <r>
    <x v="55"/>
    <x v="331"/>
    <x v="9"/>
    <x v="9"/>
    <x v="1"/>
    <x v="6"/>
    <x v="39"/>
    <x v="391"/>
    <x v="3449"/>
    <x v="0"/>
    <s v="NEGOCIOS"/>
    <x v="4"/>
  </r>
  <r>
    <x v="55"/>
    <x v="255"/>
    <x v="9"/>
    <x v="9"/>
    <x v="1"/>
    <x v="6"/>
    <x v="39"/>
    <x v="293"/>
    <x v="858"/>
    <x v="0"/>
    <s v="NEGOCIOS"/>
    <x v="4"/>
  </r>
  <r>
    <x v="55"/>
    <x v="198"/>
    <x v="10"/>
    <x v="10"/>
    <x v="1"/>
    <x v="6"/>
    <x v="40"/>
    <x v="338"/>
    <x v="1157"/>
    <x v="0"/>
    <s v="NEGOCIOS"/>
    <x v="4"/>
  </r>
  <r>
    <x v="55"/>
    <x v="243"/>
    <x v="10"/>
    <x v="10"/>
    <x v="1"/>
    <x v="6"/>
    <x v="39"/>
    <x v="411"/>
    <x v="858"/>
    <x v="0"/>
    <s v="NEGOCIOS"/>
    <x v="4"/>
  </r>
  <r>
    <x v="55"/>
    <x v="244"/>
    <x v="10"/>
    <x v="10"/>
    <x v="1"/>
    <x v="6"/>
    <x v="39"/>
    <x v="433"/>
    <x v="3450"/>
    <x v="0"/>
    <s v="NEGOCIOS"/>
    <x v="4"/>
  </r>
  <r>
    <x v="55"/>
    <x v="244"/>
    <x v="10"/>
    <x v="10"/>
    <x v="1"/>
    <x v="6"/>
    <x v="40"/>
    <x v="433"/>
    <x v="1641"/>
    <x v="0"/>
    <s v="NEGOCIOS"/>
    <x v="4"/>
  </r>
  <r>
    <x v="55"/>
    <x v="249"/>
    <x v="11"/>
    <x v="11"/>
    <x v="1"/>
    <x v="6"/>
    <x v="39"/>
    <x v="359"/>
    <x v="3194"/>
    <x v="0"/>
    <s v="NEGOCIOS"/>
    <x v="4"/>
  </r>
  <r>
    <x v="55"/>
    <x v="302"/>
    <x v="11"/>
    <x v="11"/>
    <x v="1"/>
    <x v="6"/>
    <x v="40"/>
    <x v="324"/>
    <x v="3451"/>
    <x v="0"/>
    <s v="NEGOCIOS"/>
    <x v="4"/>
  </r>
  <r>
    <x v="55"/>
    <x v="202"/>
    <x v="11"/>
    <x v="11"/>
    <x v="1"/>
    <x v="6"/>
    <x v="39"/>
    <x v="305"/>
    <x v="3237"/>
    <x v="0"/>
    <s v="NEGOCIOS"/>
    <x v="4"/>
  </r>
  <r>
    <x v="55"/>
    <x v="202"/>
    <x v="11"/>
    <x v="11"/>
    <x v="1"/>
    <x v="6"/>
    <x v="40"/>
    <x v="305"/>
    <x v="3452"/>
    <x v="0"/>
    <s v="NEGOCIOS"/>
    <x v="4"/>
  </r>
  <r>
    <x v="55"/>
    <x v="315"/>
    <x v="2"/>
    <x v="2"/>
    <x v="1"/>
    <x v="6"/>
    <x v="39"/>
    <x v="405"/>
    <x v="858"/>
    <x v="0"/>
    <s v="NEGOCIOS"/>
    <x v="4"/>
  </r>
  <r>
    <x v="55"/>
    <x v="307"/>
    <x v="2"/>
    <x v="2"/>
    <x v="1"/>
    <x v="6"/>
    <x v="40"/>
    <x v="441"/>
    <x v="764"/>
    <x v="0"/>
    <s v="NEGOCIOS"/>
    <x v="4"/>
  </r>
  <r>
    <x v="55"/>
    <x v="217"/>
    <x v="6"/>
    <x v="6"/>
    <x v="1"/>
    <x v="6"/>
    <x v="39"/>
    <x v="323"/>
    <x v="3453"/>
    <x v="0"/>
    <s v="NEGOCIOS"/>
    <x v="4"/>
  </r>
  <r>
    <x v="55"/>
    <x v="305"/>
    <x v="6"/>
    <x v="6"/>
    <x v="1"/>
    <x v="6"/>
    <x v="40"/>
    <x v="331"/>
    <x v="3454"/>
    <x v="0"/>
    <s v="NEGOCIOS"/>
    <x v="4"/>
  </r>
  <r>
    <x v="55"/>
    <x v="229"/>
    <x v="6"/>
    <x v="6"/>
    <x v="1"/>
    <x v="6"/>
    <x v="39"/>
    <x v="281"/>
    <x v="860"/>
    <x v="0"/>
    <s v="NEGOCIOS"/>
    <x v="4"/>
  </r>
  <r>
    <x v="55"/>
    <x v="229"/>
    <x v="6"/>
    <x v="6"/>
    <x v="1"/>
    <x v="6"/>
    <x v="40"/>
    <x v="281"/>
    <x v="1157"/>
    <x v="0"/>
    <s v="NEGOCIOS"/>
    <x v="4"/>
  </r>
  <r>
    <x v="55"/>
    <x v="267"/>
    <x v="8"/>
    <x v="8"/>
    <x v="1"/>
    <x v="38"/>
    <x v="40"/>
    <x v="438"/>
    <x v="3242"/>
    <x v="0"/>
    <s v="NEGOCIOS"/>
    <x v="4"/>
  </r>
  <r>
    <x v="55"/>
    <x v="293"/>
    <x v="9"/>
    <x v="9"/>
    <x v="1"/>
    <x v="38"/>
    <x v="39"/>
    <x v="337"/>
    <x v="3242"/>
    <x v="0"/>
    <s v="NEGOCIOS"/>
    <x v="4"/>
  </r>
  <r>
    <x v="55"/>
    <x v="215"/>
    <x v="2"/>
    <x v="2"/>
    <x v="1"/>
    <x v="38"/>
    <x v="40"/>
    <x v="322"/>
    <x v="3455"/>
    <x v="0"/>
    <s v="NEGOCIOS"/>
    <x v="4"/>
  </r>
  <r>
    <x v="55"/>
    <x v="312"/>
    <x v="2"/>
    <x v="2"/>
    <x v="1"/>
    <x v="38"/>
    <x v="39"/>
    <x v="394"/>
    <x v="3242"/>
    <x v="0"/>
    <s v="NEGOCIOS"/>
    <x v="4"/>
  </r>
  <r>
    <x v="55"/>
    <x v="217"/>
    <x v="6"/>
    <x v="6"/>
    <x v="1"/>
    <x v="38"/>
    <x v="39"/>
    <x v="323"/>
    <x v="1"/>
    <x v="609"/>
    <s v="NEGOCIOS"/>
    <x v="4"/>
  </r>
  <r>
    <x v="55"/>
    <x v="237"/>
    <x v="7"/>
    <x v="7"/>
    <x v="1"/>
    <x v="7"/>
    <x v="40"/>
    <x v="417"/>
    <x v="3456"/>
    <x v="0"/>
    <s v="NEGOCIOS"/>
    <x v="4"/>
  </r>
  <r>
    <x v="55"/>
    <x v="290"/>
    <x v="9"/>
    <x v="9"/>
    <x v="1"/>
    <x v="7"/>
    <x v="39"/>
    <x v="302"/>
    <x v="3457"/>
    <x v="0"/>
    <s v="NEGOCIOS"/>
    <x v="4"/>
  </r>
  <r>
    <x v="55"/>
    <x v="198"/>
    <x v="10"/>
    <x v="10"/>
    <x v="1"/>
    <x v="7"/>
    <x v="40"/>
    <x v="338"/>
    <x v="3458"/>
    <x v="0"/>
    <s v="NEGOCIOS"/>
    <x v="4"/>
  </r>
  <r>
    <x v="55"/>
    <x v="263"/>
    <x v="10"/>
    <x v="10"/>
    <x v="1"/>
    <x v="7"/>
    <x v="40"/>
    <x v="436"/>
    <x v="3459"/>
    <x v="0"/>
    <s v="NEGOCIOS"/>
    <x v="4"/>
  </r>
  <r>
    <x v="55"/>
    <x v="315"/>
    <x v="2"/>
    <x v="2"/>
    <x v="1"/>
    <x v="7"/>
    <x v="39"/>
    <x v="405"/>
    <x v="3460"/>
    <x v="0"/>
    <s v="NEGOCIOS"/>
    <x v="4"/>
  </r>
  <r>
    <x v="55"/>
    <x v="315"/>
    <x v="2"/>
    <x v="2"/>
    <x v="1"/>
    <x v="7"/>
    <x v="40"/>
    <x v="405"/>
    <x v="1882"/>
    <x v="0"/>
    <s v="NEGOCIOS"/>
    <x v="4"/>
  </r>
  <r>
    <x v="55"/>
    <x v="215"/>
    <x v="2"/>
    <x v="2"/>
    <x v="1"/>
    <x v="7"/>
    <x v="40"/>
    <x v="322"/>
    <x v="3461"/>
    <x v="0"/>
    <s v="NEGOCIOS"/>
    <x v="4"/>
  </r>
  <r>
    <x v="55"/>
    <x v="280"/>
    <x v="2"/>
    <x v="2"/>
    <x v="1"/>
    <x v="7"/>
    <x v="40"/>
    <x v="295"/>
    <x v="2216"/>
    <x v="0"/>
    <s v="NEGOCIOS"/>
    <x v="4"/>
  </r>
  <r>
    <x v="55"/>
    <x v="223"/>
    <x v="2"/>
    <x v="2"/>
    <x v="1"/>
    <x v="7"/>
    <x v="40"/>
    <x v="434"/>
    <x v="3462"/>
    <x v="0"/>
    <s v="NEGOCIOS"/>
    <x v="4"/>
  </r>
  <r>
    <x v="55"/>
    <x v="183"/>
    <x v="2"/>
    <x v="2"/>
    <x v="1"/>
    <x v="7"/>
    <x v="40"/>
    <x v="330"/>
    <x v="3463"/>
    <x v="0"/>
    <s v="NEGOCIOS"/>
    <x v="4"/>
  </r>
  <r>
    <x v="55"/>
    <x v="281"/>
    <x v="6"/>
    <x v="6"/>
    <x v="1"/>
    <x v="7"/>
    <x v="39"/>
    <x v="395"/>
    <x v="3464"/>
    <x v="0"/>
    <s v="NEGOCIOS"/>
    <x v="4"/>
  </r>
  <r>
    <x v="55"/>
    <x v="281"/>
    <x v="6"/>
    <x v="6"/>
    <x v="1"/>
    <x v="7"/>
    <x v="40"/>
    <x v="395"/>
    <x v="3465"/>
    <x v="0"/>
    <s v="NEGOCIOS"/>
    <x v="4"/>
  </r>
  <r>
    <x v="55"/>
    <x v="217"/>
    <x v="6"/>
    <x v="6"/>
    <x v="1"/>
    <x v="40"/>
    <x v="39"/>
    <x v="323"/>
    <x v="1087"/>
    <x v="0"/>
    <s v="NEGOCIOS"/>
    <x v="4"/>
  </r>
  <r>
    <x v="55"/>
    <x v="204"/>
    <x v="6"/>
    <x v="6"/>
    <x v="1"/>
    <x v="40"/>
    <x v="40"/>
    <x v="317"/>
    <x v="3242"/>
    <x v="0"/>
    <s v="NEGOCIOS"/>
    <x v="4"/>
  </r>
  <r>
    <x v="55"/>
    <x v="273"/>
    <x v="11"/>
    <x v="11"/>
    <x v="1"/>
    <x v="35"/>
    <x v="40"/>
    <x v="354"/>
    <x v="3466"/>
    <x v="0"/>
    <s v="NEGOCIOS"/>
    <x v="4"/>
  </r>
  <r>
    <x v="55"/>
    <x v="329"/>
    <x v="10"/>
    <x v="10"/>
    <x v="1"/>
    <x v="8"/>
    <x v="40"/>
    <x v="380"/>
    <x v="1087"/>
    <x v="0"/>
    <s v="NEGOCIOS"/>
    <x v="4"/>
  </r>
  <r>
    <x v="55"/>
    <x v="334"/>
    <x v="2"/>
    <x v="2"/>
    <x v="1"/>
    <x v="8"/>
    <x v="39"/>
    <x v="406"/>
    <x v="1"/>
    <x v="609"/>
    <s v="NEGOCIOS"/>
    <x v="4"/>
  </r>
  <r>
    <x v="55"/>
    <x v="257"/>
    <x v="2"/>
    <x v="2"/>
    <x v="1"/>
    <x v="8"/>
    <x v="40"/>
    <x v="410"/>
    <x v="3467"/>
    <x v="0"/>
    <s v="NEGOCIOS"/>
    <x v="4"/>
  </r>
  <r>
    <x v="55"/>
    <x v="305"/>
    <x v="6"/>
    <x v="6"/>
    <x v="1"/>
    <x v="8"/>
    <x v="39"/>
    <x v="331"/>
    <x v="3163"/>
    <x v="0"/>
    <s v="NEGOCIOS"/>
    <x v="4"/>
  </r>
  <r>
    <x v="55"/>
    <x v="218"/>
    <x v="6"/>
    <x v="6"/>
    <x v="1"/>
    <x v="8"/>
    <x v="40"/>
    <x v="451"/>
    <x v="3468"/>
    <x v="0"/>
    <s v="NEGOCIOS"/>
    <x v="4"/>
  </r>
  <r>
    <x v="55"/>
    <x v="190"/>
    <x v="6"/>
    <x v="6"/>
    <x v="1"/>
    <x v="8"/>
    <x v="40"/>
    <x v="342"/>
    <x v="3469"/>
    <x v="0"/>
    <s v="NEGOCIOS"/>
    <x v="4"/>
  </r>
  <r>
    <x v="55"/>
    <x v="191"/>
    <x v="6"/>
    <x v="6"/>
    <x v="1"/>
    <x v="8"/>
    <x v="40"/>
    <x v="318"/>
    <x v="3469"/>
    <x v="0"/>
    <s v="NEGOCIOS"/>
    <x v="4"/>
  </r>
  <r>
    <x v="55"/>
    <x v="191"/>
    <x v="6"/>
    <x v="6"/>
    <x v="1"/>
    <x v="8"/>
    <x v="39"/>
    <x v="318"/>
    <x v="1"/>
    <x v="610"/>
    <s v="NEGOCIOS"/>
    <x v="4"/>
  </r>
  <r>
    <x v="55"/>
    <x v="172"/>
    <x v="8"/>
    <x v="8"/>
    <x v="1"/>
    <x v="9"/>
    <x v="40"/>
    <x v="431"/>
    <x v="1119"/>
    <x v="0"/>
    <s v="NEGOCIOS"/>
    <x v="4"/>
  </r>
  <r>
    <x v="55"/>
    <x v="245"/>
    <x v="8"/>
    <x v="8"/>
    <x v="1"/>
    <x v="9"/>
    <x v="40"/>
    <x v="285"/>
    <x v="3470"/>
    <x v="0"/>
    <s v="NEGOCIOS"/>
    <x v="4"/>
  </r>
  <r>
    <x v="55"/>
    <x v="337"/>
    <x v="9"/>
    <x v="9"/>
    <x v="1"/>
    <x v="9"/>
    <x v="40"/>
    <x v="424"/>
    <x v="3471"/>
    <x v="0"/>
    <s v="NEGOCIOS"/>
    <x v="4"/>
  </r>
  <r>
    <x v="55"/>
    <x v="293"/>
    <x v="9"/>
    <x v="9"/>
    <x v="1"/>
    <x v="9"/>
    <x v="40"/>
    <x v="337"/>
    <x v="3472"/>
    <x v="0"/>
    <s v="NEGOCIOS"/>
    <x v="4"/>
  </r>
  <r>
    <x v="55"/>
    <x v="310"/>
    <x v="10"/>
    <x v="10"/>
    <x v="1"/>
    <x v="9"/>
    <x v="39"/>
    <x v="335"/>
    <x v="3473"/>
    <x v="0"/>
    <s v="NEGOCIOS"/>
    <x v="4"/>
  </r>
  <r>
    <x v="55"/>
    <x v="180"/>
    <x v="10"/>
    <x v="10"/>
    <x v="1"/>
    <x v="9"/>
    <x v="40"/>
    <x v="452"/>
    <x v="3474"/>
    <x v="0"/>
    <s v="NEGOCIOS"/>
    <x v="4"/>
  </r>
  <r>
    <x v="55"/>
    <x v="232"/>
    <x v="10"/>
    <x v="10"/>
    <x v="1"/>
    <x v="9"/>
    <x v="40"/>
    <x v="290"/>
    <x v="2247"/>
    <x v="0"/>
    <s v="NEGOCIOS"/>
    <x v="4"/>
  </r>
  <r>
    <x v="55"/>
    <x v="298"/>
    <x v="10"/>
    <x v="10"/>
    <x v="1"/>
    <x v="9"/>
    <x v="39"/>
    <x v="314"/>
    <x v="3475"/>
    <x v="0"/>
    <s v="NEGOCIOS"/>
    <x v="4"/>
  </r>
  <r>
    <x v="55"/>
    <x v="177"/>
    <x v="11"/>
    <x v="11"/>
    <x v="1"/>
    <x v="9"/>
    <x v="39"/>
    <x v="346"/>
    <x v="3476"/>
    <x v="0"/>
    <s v="NEGOCIOS"/>
    <x v="4"/>
  </r>
  <r>
    <x v="55"/>
    <x v="315"/>
    <x v="2"/>
    <x v="2"/>
    <x v="1"/>
    <x v="9"/>
    <x v="39"/>
    <x v="405"/>
    <x v="3477"/>
    <x v="0"/>
    <s v="NEGOCIOS"/>
    <x v="4"/>
  </r>
  <r>
    <x v="55"/>
    <x v="307"/>
    <x v="2"/>
    <x v="2"/>
    <x v="1"/>
    <x v="9"/>
    <x v="40"/>
    <x v="441"/>
    <x v="1866"/>
    <x v="0"/>
    <s v="NEGOCIOS"/>
    <x v="4"/>
  </r>
  <r>
    <x v="55"/>
    <x v="257"/>
    <x v="2"/>
    <x v="2"/>
    <x v="1"/>
    <x v="9"/>
    <x v="40"/>
    <x v="410"/>
    <x v="3265"/>
    <x v="0"/>
    <s v="NEGOCIOS"/>
    <x v="4"/>
  </r>
  <r>
    <x v="55"/>
    <x v="304"/>
    <x v="2"/>
    <x v="2"/>
    <x v="1"/>
    <x v="9"/>
    <x v="40"/>
    <x v="329"/>
    <x v="3304"/>
    <x v="0"/>
    <s v="NEGOCIOS"/>
    <x v="4"/>
  </r>
  <r>
    <x v="55"/>
    <x v="183"/>
    <x v="2"/>
    <x v="2"/>
    <x v="1"/>
    <x v="9"/>
    <x v="39"/>
    <x v="330"/>
    <x v="3478"/>
    <x v="0"/>
    <s v="NEGOCIOS"/>
    <x v="4"/>
  </r>
  <r>
    <x v="55"/>
    <x v="281"/>
    <x v="6"/>
    <x v="6"/>
    <x v="1"/>
    <x v="9"/>
    <x v="39"/>
    <x v="395"/>
    <x v="541"/>
    <x v="0"/>
    <s v="NEGOCIOS"/>
    <x v="4"/>
  </r>
  <r>
    <x v="55"/>
    <x v="285"/>
    <x v="6"/>
    <x v="6"/>
    <x v="1"/>
    <x v="9"/>
    <x v="40"/>
    <x v="409"/>
    <x v="2771"/>
    <x v="0"/>
    <s v="NEGOCIOS"/>
    <x v="4"/>
  </r>
  <r>
    <x v="55"/>
    <x v="258"/>
    <x v="7"/>
    <x v="7"/>
    <x v="1"/>
    <x v="10"/>
    <x v="40"/>
    <x v="349"/>
    <x v="1866"/>
    <x v="0"/>
    <s v="NEGOCIOS"/>
    <x v="4"/>
  </r>
  <r>
    <x v="55"/>
    <x v="210"/>
    <x v="7"/>
    <x v="7"/>
    <x v="1"/>
    <x v="10"/>
    <x v="40"/>
    <x v="418"/>
    <x v="1866"/>
    <x v="0"/>
    <s v="NEGOCIOS"/>
    <x v="4"/>
  </r>
  <r>
    <x v="55"/>
    <x v="291"/>
    <x v="9"/>
    <x v="9"/>
    <x v="1"/>
    <x v="10"/>
    <x v="40"/>
    <x v="303"/>
    <x v="3479"/>
    <x v="0"/>
    <s v="NEGOCIOS"/>
    <x v="4"/>
  </r>
  <r>
    <x v="55"/>
    <x v="317"/>
    <x v="10"/>
    <x v="10"/>
    <x v="1"/>
    <x v="10"/>
    <x v="40"/>
    <x v="401"/>
    <x v="3480"/>
    <x v="0"/>
    <s v="NEGOCIOS"/>
    <x v="4"/>
  </r>
  <r>
    <x v="55"/>
    <x v="239"/>
    <x v="10"/>
    <x v="10"/>
    <x v="1"/>
    <x v="10"/>
    <x v="40"/>
    <x v="419"/>
    <x v="3481"/>
    <x v="0"/>
    <s v="NEGOCIOS"/>
    <x v="4"/>
  </r>
  <r>
    <x v="55"/>
    <x v="233"/>
    <x v="10"/>
    <x v="10"/>
    <x v="1"/>
    <x v="10"/>
    <x v="40"/>
    <x v="344"/>
    <x v="3482"/>
    <x v="0"/>
    <s v="NEGOCIOS"/>
    <x v="4"/>
  </r>
  <r>
    <x v="55"/>
    <x v="325"/>
    <x v="11"/>
    <x v="11"/>
    <x v="1"/>
    <x v="10"/>
    <x v="40"/>
    <x v="421"/>
    <x v="1866"/>
    <x v="0"/>
    <s v="NEGOCIOS"/>
    <x v="4"/>
  </r>
  <r>
    <x v="55"/>
    <x v="273"/>
    <x v="11"/>
    <x v="11"/>
    <x v="1"/>
    <x v="10"/>
    <x v="40"/>
    <x v="354"/>
    <x v="1212"/>
    <x v="0"/>
    <s v="NEGOCIOS"/>
    <x v="4"/>
  </r>
  <r>
    <x v="55"/>
    <x v="174"/>
    <x v="6"/>
    <x v="6"/>
    <x v="1"/>
    <x v="10"/>
    <x v="40"/>
    <x v="282"/>
    <x v="1866"/>
    <x v="0"/>
    <s v="NEGOCIOS"/>
    <x v="4"/>
  </r>
  <r>
    <x v="55"/>
    <x v="319"/>
    <x v="8"/>
    <x v="8"/>
    <x v="1"/>
    <x v="11"/>
    <x v="40"/>
    <x v="350"/>
    <x v="187"/>
    <x v="0"/>
    <s v="NEGOCIOS"/>
    <x v="4"/>
  </r>
  <r>
    <x v="55"/>
    <x v="194"/>
    <x v="9"/>
    <x v="9"/>
    <x v="1"/>
    <x v="11"/>
    <x v="40"/>
    <x v="390"/>
    <x v="3307"/>
    <x v="0"/>
    <s v="NEGOCIOS"/>
    <x v="4"/>
  </r>
  <r>
    <x v="55"/>
    <x v="255"/>
    <x v="9"/>
    <x v="9"/>
    <x v="1"/>
    <x v="11"/>
    <x v="40"/>
    <x v="293"/>
    <x v="3483"/>
    <x v="0"/>
    <s v="NEGOCIOS"/>
    <x v="4"/>
  </r>
  <r>
    <x v="55"/>
    <x v="291"/>
    <x v="9"/>
    <x v="9"/>
    <x v="1"/>
    <x v="11"/>
    <x v="40"/>
    <x v="303"/>
    <x v="1815"/>
    <x v="0"/>
    <s v="NEGOCIOS"/>
    <x v="4"/>
  </r>
  <r>
    <x v="55"/>
    <x v="198"/>
    <x v="10"/>
    <x v="10"/>
    <x v="1"/>
    <x v="11"/>
    <x v="40"/>
    <x v="338"/>
    <x v="3484"/>
    <x v="0"/>
    <s v="NEGOCIOS"/>
    <x v="4"/>
  </r>
  <r>
    <x v="55"/>
    <x v="317"/>
    <x v="10"/>
    <x v="10"/>
    <x v="1"/>
    <x v="11"/>
    <x v="40"/>
    <x v="401"/>
    <x v="3485"/>
    <x v="0"/>
    <s v="NEGOCIOS"/>
    <x v="4"/>
  </r>
  <r>
    <x v="55"/>
    <x v="243"/>
    <x v="10"/>
    <x v="10"/>
    <x v="1"/>
    <x v="11"/>
    <x v="39"/>
    <x v="411"/>
    <x v="3486"/>
    <x v="0"/>
    <s v="NEGOCIOS"/>
    <x v="4"/>
  </r>
  <r>
    <x v="55"/>
    <x v="248"/>
    <x v="10"/>
    <x v="10"/>
    <x v="1"/>
    <x v="11"/>
    <x v="40"/>
    <x v="304"/>
    <x v="3487"/>
    <x v="0"/>
    <s v="NEGOCIOS"/>
    <x v="4"/>
  </r>
  <r>
    <x v="55"/>
    <x v="269"/>
    <x v="11"/>
    <x v="11"/>
    <x v="1"/>
    <x v="11"/>
    <x v="40"/>
    <x v="403"/>
    <x v="3488"/>
    <x v="0"/>
    <s v="NEGOCIOS"/>
    <x v="4"/>
  </r>
  <r>
    <x v="55"/>
    <x v="221"/>
    <x v="2"/>
    <x v="2"/>
    <x v="1"/>
    <x v="11"/>
    <x v="40"/>
    <x v="347"/>
    <x v="3489"/>
    <x v="0"/>
    <s v="NEGOCIOS"/>
    <x v="4"/>
  </r>
  <r>
    <x v="55"/>
    <x v="183"/>
    <x v="2"/>
    <x v="2"/>
    <x v="1"/>
    <x v="11"/>
    <x v="39"/>
    <x v="330"/>
    <x v="3490"/>
    <x v="0"/>
    <s v="NEGOCIOS"/>
    <x v="4"/>
  </r>
  <r>
    <x v="55"/>
    <x v="246"/>
    <x v="2"/>
    <x v="2"/>
    <x v="1"/>
    <x v="11"/>
    <x v="40"/>
    <x v="287"/>
    <x v="849"/>
    <x v="0"/>
    <s v="NEGOCIOS"/>
    <x v="4"/>
  </r>
  <r>
    <x v="55"/>
    <x v="297"/>
    <x v="6"/>
    <x v="6"/>
    <x v="1"/>
    <x v="11"/>
    <x v="40"/>
    <x v="313"/>
    <x v="3268"/>
    <x v="0"/>
    <s v="NEGOCIOS"/>
    <x v="4"/>
  </r>
  <r>
    <x v="55"/>
    <x v="229"/>
    <x v="6"/>
    <x v="6"/>
    <x v="1"/>
    <x v="11"/>
    <x v="40"/>
    <x v="281"/>
    <x v="2143"/>
    <x v="0"/>
    <s v="NEGOCIOS"/>
    <x v="4"/>
  </r>
  <r>
    <x v="55"/>
    <x v="319"/>
    <x v="8"/>
    <x v="8"/>
    <x v="1"/>
    <x v="36"/>
    <x v="39"/>
    <x v="350"/>
    <x v="282"/>
    <x v="0"/>
    <s v="NEGOCIOS"/>
    <x v="4"/>
  </r>
  <r>
    <x v="55"/>
    <x v="263"/>
    <x v="10"/>
    <x v="10"/>
    <x v="1"/>
    <x v="36"/>
    <x v="39"/>
    <x v="436"/>
    <x v="3491"/>
    <x v="0"/>
    <s v="NEGOCIOS"/>
    <x v="4"/>
  </r>
  <r>
    <x v="55"/>
    <x v="244"/>
    <x v="10"/>
    <x v="10"/>
    <x v="1"/>
    <x v="36"/>
    <x v="39"/>
    <x v="433"/>
    <x v="3492"/>
    <x v="0"/>
    <s v="NEGOCIOS"/>
    <x v="4"/>
  </r>
  <r>
    <x v="55"/>
    <x v="315"/>
    <x v="2"/>
    <x v="2"/>
    <x v="1"/>
    <x v="36"/>
    <x v="39"/>
    <x v="405"/>
    <x v="3493"/>
    <x v="0"/>
    <s v="NEGOCIOS"/>
    <x v="4"/>
  </r>
  <r>
    <x v="55"/>
    <x v="251"/>
    <x v="8"/>
    <x v="8"/>
    <x v="1"/>
    <x v="12"/>
    <x v="40"/>
    <x v="291"/>
    <x v="3058"/>
    <x v="0"/>
    <s v="NEGOCIOS"/>
    <x v="4"/>
  </r>
  <r>
    <x v="55"/>
    <x v="321"/>
    <x v="8"/>
    <x v="8"/>
    <x v="1"/>
    <x v="12"/>
    <x v="40"/>
    <x v="430"/>
    <x v="816"/>
    <x v="0"/>
    <s v="NEGOCIOS"/>
    <x v="4"/>
  </r>
  <r>
    <x v="55"/>
    <x v="196"/>
    <x v="8"/>
    <x v="8"/>
    <x v="1"/>
    <x v="12"/>
    <x v="40"/>
    <x v="375"/>
    <x v="816"/>
    <x v="0"/>
    <s v="NEGOCIOS"/>
    <x v="4"/>
  </r>
  <r>
    <x v="55"/>
    <x v="185"/>
    <x v="8"/>
    <x v="8"/>
    <x v="1"/>
    <x v="12"/>
    <x v="40"/>
    <x v="296"/>
    <x v="859"/>
    <x v="0"/>
    <s v="NEGOCIOS"/>
    <x v="4"/>
  </r>
  <r>
    <x v="55"/>
    <x v="178"/>
    <x v="9"/>
    <x v="9"/>
    <x v="1"/>
    <x v="12"/>
    <x v="40"/>
    <x v="353"/>
    <x v="3494"/>
    <x v="0"/>
    <s v="NEGOCIOS"/>
    <x v="4"/>
  </r>
  <r>
    <x v="55"/>
    <x v="286"/>
    <x v="10"/>
    <x v="10"/>
    <x v="1"/>
    <x v="12"/>
    <x v="40"/>
    <x v="297"/>
    <x v="905"/>
    <x v="0"/>
    <s v="NEGOCIOS"/>
    <x v="4"/>
  </r>
  <r>
    <x v="55"/>
    <x v="339"/>
    <x v="10"/>
    <x v="10"/>
    <x v="1"/>
    <x v="12"/>
    <x v="40"/>
    <x v="427"/>
    <x v="1200"/>
    <x v="0"/>
    <s v="NEGOCIOS"/>
    <x v="4"/>
  </r>
  <r>
    <x v="55"/>
    <x v="269"/>
    <x v="11"/>
    <x v="11"/>
    <x v="1"/>
    <x v="12"/>
    <x v="40"/>
    <x v="403"/>
    <x v="782"/>
    <x v="0"/>
    <s v="NEGOCIOS"/>
    <x v="4"/>
  </r>
  <r>
    <x v="55"/>
    <x v="299"/>
    <x v="11"/>
    <x v="11"/>
    <x v="1"/>
    <x v="12"/>
    <x v="40"/>
    <x v="315"/>
    <x v="899"/>
    <x v="0"/>
    <s v="NEGOCIOS"/>
    <x v="4"/>
  </r>
  <r>
    <x v="55"/>
    <x v="215"/>
    <x v="2"/>
    <x v="2"/>
    <x v="1"/>
    <x v="12"/>
    <x v="40"/>
    <x v="322"/>
    <x v="3495"/>
    <x v="0"/>
    <s v="NEGOCIOS"/>
    <x v="4"/>
  </r>
  <r>
    <x v="55"/>
    <x v="182"/>
    <x v="2"/>
    <x v="2"/>
    <x v="1"/>
    <x v="12"/>
    <x v="39"/>
    <x v="392"/>
    <x v="899"/>
    <x v="0"/>
    <s v="NEGOCIOS"/>
    <x v="4"/>
  </r>
  <r>
    <x v="55"/>
    <x v="307"/>
    <x v="2"/>
    <x v="2"/>
    <x v="1"/>
    <x v="12"/>
    <x v="40"/>
    <x v="441"/>
    <x v="3496"/>
    <x v="0"/>
    <s v="NEGOCIOS"/>
    <x v="4"/>
  </r>
  <r>
    <x v="55"/>
    <x v="316"/>
    <x v="2"/>
    <x v="2"/>
    <x v="1"/>
    <x v="12"/>
    <x v="40"/>
    <x v="348"/>
    <x v="187"/>
    <x v="0"/>
    <s v="NEGOCIOS"/>
    <x v="4"/>
  </r>
  <r>
    <x v="55"/>
    <x v="281"/>
    <x v="6"/>
    <x v="6"/>
    <x v="1"/>
    <x v="12"/>
    <x v="40"/>
    <x v="395"/>
    <x v="905"/>
    <x v="0"/>
    <s v="NEGOCIOS"/>
    <x v="4"/>
  </r>
  <r>
    <x v="55"/>
    <x v="236"/>
    <x v="6"/>
    <x v="6"/>
    <x v="1"/>
    <x v="12"/>
    <x v="40"/>
    <x v="371"/>
    <x v="3497"/>
    <x v="0"/>
    <s v="NEGOCIOS"/>
    <x v="4"/>
  </r>
  <r>
    <x v="55"/>
    <x v="188"/>
    <x v="6"/>
    <x v="6"/>
    <x v="1"/>
    <x v="12"/>
    <x v="40"/>
    <x v="407"/>
    <x v="3498"/>
    <x v="0"/>
    <s v="NEGOCIOS"/>
    <x v="4"/>
  </r>
  <r>
    <x v="55"/>
    <x v="263"/>
    <x v="10"/>
    <x v="10"/>
    <x v="1"/>
    <x v="13"/>
    <x v="39"/>
    <x v="436"/>
    <x v="3499"/>
    <x v="0"/>
    <s v="NEGOCIOS"/>
    <x v="4"/>
  </r>
  <r>
    <x v="55"/>
    <x v="232"/>
    <x v="10"/>
    <x v="10"/>
    <x v="1"/>
    <x v="13"/>
    <x v="40"/>
    <x v="290"/>
    <x v="3500"/>
    <x v="0"/>
    <s v="NEGOCIOS"/>
    <x v="4"/>
  </r>
  <r>
    <x v="55"/>
    <x v="240"/>
    <x v="2"/>
    <x v="2"/>
    <x v="1"/>
    <x v="13"/>
    <x v="39"/>
    <x v="442"/>
    <x v="3501"/>
    <x v="0"/>
    <s v="NEGOCIOS"/>
    <x v="4"/>
  </r>
  <r>
    <x v="55"/>
    <x v="217"/>
    <x v="6"/>
    <x v="6"/>
    <x v="1"/>
    <x v="13"/>
    <x v="39"/>
    <x v="323"/>
    <x v="3502"/>
    <x v="0"/>
    <s v="NEGOCIOS"/>
    <x v="4"/>
  </r>
  <r>
    <x v="55"/>
    <x v="327"/>
    <x v="7"/>
    <x v="7"/>
    <x v="1"/>
    <x v="14"/>
    <x v="40"/>
    <x v="387"/>
    <x v="3503"/>
    <x v="0"/>
    <s v="NEGOCIOS"/>
    <x v="4"/>
  </r>
  <r>
    <x v="55"/>
    <x v="237"/>
    <x v="7"/>
    <x v="7"/>
    <x v="1"/>
    <x v="14"/>
    <x v="39"/>
    <x v="417"/>
    <x v="3504"/>
    <x v="0"/>
    <s v="NEGOCIOS"/>
    <x v="4"/>
  </r>
  <r>
    <x v="55"/>
    <x v="279"/>
    <x v="7"/>
    <x v="7"/>
    <x v="1"/>
    <x v="14"/>
    <x v="40"/>
    <x v="449"/>
    <x v="1417"/>
    <x v="0"/>
    <s v="NEGOCIOS"/>
    <x v="4"/>
  </r>
  <r>
    <x v="55"/>
    <x v="251"/>
    <x v="8"/>
    <x v="8"/>
    <x v="1"/>
    <x v="14"/>
    <x v="40"/>
    <x v="291"/>
    <x v="3505"/>
    <x v="0"/>
    <s v="NEGOCIOS"/>
    <x v="4"/>
  </r>
  <r>
    <x v="55"/>
    <x v="207"/>
    <x v="8"/>
    <x v="8"/>
    <x v="1"/>
    <x v="14"/>
    <x v="39"/>
    <x v="374"/>
    <x v="3506"/>
    <x v="0"/>
    <s v="NEGOCIOS"/>
    <x v="4"/>
  </r>
  <r>
    <x v="55"/>
    <x v="337"/>
    <x v="9"/>
    <x v="9"/>
    <x v="1"/>
    <x v="14"/>
    <x v="40"/>
    <x v="424"/>
    <x v="848"/>
    <x v="0"/>
    <s v="NEGOCIOS"/>
    <x v="4"/>
  </r>
  <r>
    <x v="55"/>
    <x v="175"/>
    <x v="9"/>
    <x v="9"/>
    <x v="1"/>
    <x v="14"/>
    <x v="39"/>
    <x v="389"/>
    <x v="3507"/>
    <x v="0"/>
    <s v="NEGOCIOS"/>
    <x v="4"/>
  </r>
  <r>
    <x v="55"/>
    <x v="194"/>
    <x v="9"/>
    <x v="9"/>
    <x v="1"/>
    <x v="14"/>
    <x v="40"/>
    <x v="390"/>
    <x v="3508"/>
    <x v="0"/>
    <s v="NEGOCIOS"/>
    <x v="4"/>
  </r>
  <r>
    <x v="55"/>
    <x v="255"/>
    <x v="9"/>
    <x v="9"/>
    <x v="1"/>
    <x v="14"/>
    <x v="39"/>
    <x v="293"/>
    <x v="3509"/>
    <x v="0"/>
    <s v="NEGOCIOS"/>
    <x v="4"/>
  </r>
  <r>
    <x v="55"/>
    <x v="263"/>
    <x v="10"/>
    <x v="10"/>
    <x v="1"/>
    <x v="14"/>
    <x v="39"/>
    <x v="436"/>
    <x v="3510"/>
    <x v="0"/>
    <s v="NEGOCIOS"/>
    <x v="4"/>
  </r>
  <r>
    <x v="55"/>
    <x v="310"/>
    <x v="10"/>
    <x v="10"/>
    <x v="1"/>
    <x v="14"/>
    <x v="40"/>
    <x v="335"/>
    <x v="3511"/>
    <x v="0"/>
    <s v="NEGOCIOS"/>
    <x v="4"/>
  </r>
  <r>
    <x v="55"/>
    <x v="177"/>
    <x v="11"/>
    <x v="11"/>
    <x v="1"/>
    <x v="14"/>
    <x v="40"/>
    <x v="346"/>
    <x v="3512"/>
    <x v="0"/>
    <s v="NEGOCIOS"/>
    <x v="4"/>
  </r>
  <r>
    <x v="55"/>
    <x v="300"/>
    <x v="2"/>
    <x v="2"/>
    <x v="1"/>
    <x v="14"/>
    <x v="40"/>
    <x v="316"/>
    <x v="1282"/>
    <x v="0"/>
    <s v="NEGOCIOS"/>
    <x v="4"/>
  </r>
  <r>
    <x v="55"/>
    <x v="315"/>
    <x v="2"/>
    <x v="2"/>
    <x v="1"/>
    <x v="14"/>
    <x v="39"/>
    <x v="405"/>
    <x v="3513"/>
    <x v="0"/>
    <s v="NEGOCIOS"/>
    <x v="4"/>
  </r>
  <r>
    <x v="55"/>
    <x v="281"/>
    <x v="6"/>
    <x v="6"/>
    <x v="1"/>
    <x v="14"/>
    <x v="40"/>
    <x v="395"/>
    <x v="849"/>
    <x v="0"/>
    <s v="NEGOCIOS"/>
    <x v="4"/>
  </r>
  <r>
    <x v="55"/>
    <x v="265"/>
    <x v="6"/>
    <x v="6"/>
    <x v="1"/>
    <x v="14"/>
    <x v="39"/>
    <x v="386"/>
    <x v="3514"/>
    <x v="0"/>
    <s v="NEGOCIOS"/>
    <x v="4"/>
  </r>
  <r>
    <x v="55"/>
    <x v="335"/>
    <x v="6"/>
    <x v="6"/>
    <x v="1"/>
    <x v="14"/>
    <x v="40"/>
    <x v="408"/>
    <x v="911"/>
    <x v="0"/>
    <s v="NEGOCIOS"/>
    <x v="4"/>
  </r>
  <r>
    <x v="55"/>
    <x v="254"/>
    <x v="8"/>
    <x v="8"/>
    <x v="1"/>
    <x v="15"/>
    <x v="40"/>
    <x v="326"/>
    <x v="1303"/>
    <x v="0"/>
    <s v="NEGOCIOS"/>
    <x v="4"/>
  </r>
  <r>
    <x v="55"/>
    <x v="177"/>
    <x v="11"/>
    <x v="11"/>
    <x v="1"/>
    <x v="15"/>
    <x v="40"/>
    <x v="346"/>
    <x v="1202"/>
    <x v="0"/>
    <s v="NEGOCIOS"/>
    <x v="4"/>
  </r>
  <r>
    <x v="55"/>
    <x v="254"/>
    <x v="8"/>
    <x v="8"/>
    <x v="1"/>
    <x v="28"/>
    <x v="40"/>
    <x v="326"/>
    <x v="782"/>
    <x v="0"/>
    <s v="NEGOCIOS"/>
    <x v="4"/>
  </r>
  <r>
    <x v="55"/>
    <x v="173"/>
    <x v="8"/>
    <x v="8"/>
    <x v="1"/>
    <x v="28"/>
    <x v="40"/>
    <x v="378"/>
    <x v="1682"/>
    <x v="0"/>
    <s v="NEGOCIOS"/>
    <x v="4"/>
  </r>
  <r>
    <x v="55"/>
    <x v="187"/>
    <x v="11"/>
    <x v="11"/>
    <x v="1"/>
    <x v="28"/>
    <x v="40"/>
    <x v="328"/>
    <x v="782"/>
    <x v="0"/>
    <s v="NEGOCIOS"/>
    <x v="4"/>
  </r>
  <r>
    <x v="55"/>
    <x v="304"/>
    <x v="2"/>
    <x v="2"/>
    <x v="1"/>
    <x v="28"/>
    <x v="40"/>
    <x v="329"/>
    <x v="782"/>
    <x v="0"/>
    <s v="NEGOCIOS"/>
    <x v="4"/>
  </r>
  <r>
    <x v="55"/>
    <x v="265"/>
    <x v="6"/>
    <x v="6"/>
    <x v="1"/>
    <x v="28"/>
    <x v="39"/>
    <x v="386"/>
    <x v="982"/>
    <x v="0"/>
    <s v="NEGOCIOS"/>
    <x v="4"/>
  </r>
  <r>
    <x v="55"/>
    <x v="188"/>
    <x v="6"/>
    <x v="6"/>
    <x v="1"/>
    <x v="28"/>
    <x v="40"/>
    <x v="407"/>
    <x v="782"/>
    <x v="0"/>
    <s v="NEGOCIOS"/>
    <x v="4"/>
  </r>
  <r>
    <x v="55"/>
    <x v="335"/>
    <x v="6"/>
    <x v="6"/>
    <x v="1"/>
    <x v="28"/>
    <x v="39"/>
    <x v="408"/>
    <x v="765"/>
    <x v="0"/>
    <s v="NEGOCIOS"/>
    <x v="4"/>
  </r>
  <r>
    <x v="55"/>
    <x v="214"/>
    <x v="11"/>
    <x v="11"/>
    <x v="1"/>
    <x v="29"/>
    <x v="39"/>
    <x v="306"/>
    <x v="3515"/>
    <x v="0"/>
    <s v="NEGOCIOS"/>
    <x v="4"/>
  </r>
  <r>
    <x v="55"/>
    <x v="240"/>
    <x v="2"/>
    <x v="2"/>
    <x v="1"/>
    <x v="29"/>
    <x v="39"/>
    <x v="442"/>
    <x v="1157"/>
    <x v="0"/>
    <s v="NEGOCIOS"/>
    <x v="4"/>
  </r>
  <r>
    <x v="55"/>
    <x v="335"/>
    <x v="6"/>
    <x v="6"/>
    <x v="1"/>
    <x v="29"/>
    <x v="39"/>
    <x v="408"/>
    <x v="1157"/>
    <x v="0"/>
    <s v="NEGOCIOS"/>
    <x v="4"/>
  </r>
  <r>
    <x v="55"/>
    <x v="176"/>
    <x v="10"/>
    <x v="10"/>
    <x v="1"/>
    <x v="17"/>
    <x v="39"/>
    <x v="412"/>
    <x v="53"/>
    <x v="0"/>
    <s v="NEGOCIOS"/>
    <x v="4"/>
  </r>
  <r>
    <x v="55"/>
    <x v="202"/>
    <x v="11"/>
    <x v="11"/>
    <x v="1"/>
    <x v="17"/>
    <x v="39"/>
    <x v="305"/>
    <x v="3439"/>
    <x v="0"/>
    <s v="NEGOCIOS"/>
    <x v="4"/>
  </r>
  <r>
    <x v="55"/>
    <x v="215"/>
    <x v="2"/>
    <x v="2"/>
    <x v="1"/>
    <x v="17"/>
    <x v="40"/>
    <x v="322"/>
    <x v="900"/>
    <x v="0"/>
    <s v="NEGOCIOS"/>
    <x v="4"/>
  </r>
  <r>
    <x v="55"/>
    <x v="264"/>
    <x v="6"/>
    <x v="6"/>
    <x v="1"/>
    <x v="17"/>
    <x v="40"/>
    <x v="311"/>
    <x v="905"/>
    <x v="0"/>
    <s v="NEGOCIOS"/>
    <x v="4"/>
  </r>
  <r>
    <x v="55"/>
    <x v="266"/>
    <x v="6"/>
    <x v="6"/>
    <x v="1"/>
    <x v="17"/>
    <x v="39"/>
    <x v="370"/>
    <x v="3516"/>
    <x v="0"/>
    <s v="NEGOCIOS"/>
    <x v="4"/>
  </r>
  <r>
    <x v="55"/>
    <x v="302"/>
    <x v="11"/>
    <x v="11"/>
    <x v="1"/>
    <x v="33"/>
    <x v="40"/>
    <x v="324"/>
    <x v="3517"/>
    <x v="0"/>
    <s v="NEGOCIOS"/>
    <x v="4"/>
  </r>
  <r>
    <x v="55"/>
    <x v="285"/>
    <x v="6"/>
    <x v="6"/>
    <x v="1"/>
    <x v="33"/>
    <x v="40"/>
    <x v="409"/>
    <x v="3518"/>
    <x v="0"/>
    <s v="NEGOCIOS"/>
    <x v="4"/>
  </r>
  <r>
    <x v="55"/>
    <x v="184"/>
    <x v="6"/>
    <x v="6"/>
    <x v="1"/>
    <x v="33"/>
    <x v="40"/>
    <x v="413"/>
    <x v="3127"/>
    <x v="0"/>
    <s v="NEGOCIOS"/>
    <x v="4"/>
  </r>
  <r>
    <x v="55"/>
    <x v="196"/>
    <x v="8"/>
    <x v="8"/>
    <x v="1"/>
    <x v="37"/>
    <x v="40"/>
    <x v="375"/>
    <x v="1966"/>
    <x v="0"/>
    <s v="NEGOCIOS"/>
    <x v="4"/>
  </r>
  <r>
    <x v="55"/>
    <x v="219"/>
    <x v="9"/>
    <x v="9"/>
    <x v="1"/>
    <x v="37"/>
    <x v="40"/>
    <x v="308"/>
    <x v="3519"/>
    <x v="0"/>
    <s v="NEGOCIOS"/>
    <x v="4"/>
  </r>
  <r>
    <x v="55"/>
    <x v="186"/>
    <x v="10"/>
    <x v="10"/>
    <x v="1"/>
    <x v="37"/>
    <x v="40"/>
    <x v="321"/>
    <x v="3520"/>
    <x v="0"/>
    <s v="NEGOCIOS"/>
    <x v="4"/>
  </r>
  <r>
    <x v="55"/>
    <x v="181"/>
    <x v="11"/>
    <x v="11"/>
    <x v="1"/>
    <x v="37"/>
    <x v="40"/>
    <x v="362"/>
    <x v="3521"/>
    <x v="0"/>
    <s v="NEGOCIOS"/>
    <x v="4"/>
  </r>
  <r>
    <x v="55"/>
    <x v="327"/>
    <x v="7"/>
    <x v="7"/>
    <x v="1"/>
    <x v="18"/>
    <x v="40"/>
    <x v="387"/>
    <x v="3522"/>
    <x v="0"/>
    <s v="NEGOCIOS"/>
    <x v="4"/>
  </r>
  <r>
    <x v="55"/>
    <x v="247"/>
    <x v="8"/>
    <x v="8"/>
    <x v="1"/>
    <x v="18"/>
    <x v="40"/>
    <x v="289"/>
    <x v="3523"/>
    <x v="0"/>
    <s v="NEGOCIOS"/>
    <x v="4"/>
  </r>
  <r>
    <x v="55"/>
    <x v="227"/>
    <x v="9"/>
    <x v="9"/>
    <x v="1"/>
    <x v="18"/>
    <x v="40"/>
    <x v="399"/>
    <x v="3524"/>
    <x v="0"/>
    <s v="NEGOCIOS"/>
    <x v="4"/>
  </r>
  <r>
    <x v="55"/>
    <x v="310"/>
    <x v="10"/>
    <x v="10"/>
    <x v="1"/>
    <x v="18"/>
    <x v="40"/>
    <x v="335"/>
    <x v="3525"/>
    <x v="0"/>
    <s v="NEGOCIOS"/>
    <x v="4"/>
  </r>
  <r>
    <x v="55"/>
    <x v="282"/>
    <x v="11"/>
    <x v="11"/>
    <x v="1"/>
    <x v="18"/>
    <x v="40"/>
    <x v="358"/>
    <x v="3526"/>
    <x v="0"/>
    <s v="NEGOCIOS"/>
    <x v="4"/>
  </r>
  <r>
    <x v="55"/>
    <x v="334"/>
    <x v="2"/>
    <x v="2"/>
    <x v="1"/>
    <x v="18"/>
    <x v="40"/>
    <x v="406"/>
    <x v="3527"/>
    <x v="0"/>
    <s v="NEGOCIOS"/>
    <x v="4"/>
  </r>
  <r>
    <x v="55"/>
    <x v="217"/>
    <x v="6"/>
    <x v="6"/>
    <x v="1"/>
    <x v="18"/>
    <x v="40"/>
    <x v="323"/>
    <x v="3528"/>
    <x v="0"/>
    <s v="NEGOCIOS"/>
    <x v="4"/>
  </r>
  <r>
    <x v="56"/>
    <x v="260"/>
    <x v="7"/>
    <x v="7"/>
    <x v="1"/>
    <x v="2"/>
    <x v="39"/>
    <x v="437"/>
    <x v="1182"/>
    <x v="0"/>
    <s v="BOULEVARD EL DORADO"/>
    <x v="4"/>
  </r>
  <r>
    <x v="56"/>
    <x v="321"/>
    <x v="8"/>
    <x v="8"/>
    <x v="1"/>
    <x v="2"/>
    <x v="40"/>
    <x v="430"/>
    <x v="782"/>
    <x v="0"/>
    <s v="BOULEVARD EL DORADO"/>
    <x v="4"/>
  </r>
  <r>
    <x v="56"/>
    <x v="261"/>
    <x v="8"/>
    <x v="8"/>
    <x v="1"/>
    <x v="2"/>
    <x v="39"/>
    <x v="320"/>
    <x v="3529"/>
    <x v="0"/>
    <s v="BOULEVARD EL DORADO"/>
    <x v="4"/>
  </r>
  <r>
    <x v="56"/>
    <x v="310"/>
    <x v="10"/>
    <x v="10"/>
    <x v="1"/>
    <x v="2"/>
    <x v="39"/>
    <x v="335"/>
    <x v="3530"/>
    <x v="0"/>
    <s v="BOULEVARD EL DORADO"/>
    <x v="4"/>
  </r>
  <r>
    <x v="56"/>
    <x v="200"/>
    <x v="11"/>
    <x v="11"/>
    <x v="1"/>
    <x v="2"/>
    <x v="39"/>
    <x v="351"/>
    <x v="93"/>
    <x v="0"/>
    <s v="BOULEVARD EL DORADO"/>
    <x v="4"/>
  </r>
  <r>
    <x v="56"/>
    <x v="249"/>
    <x v="11"/>
    <x v="11"/>
    <x v="1"/>
    <x v="2"/>
    <x v="39"/>
    <x v="359"/>
    <x v="3531"/>
    <x v="0"/>
    <s v="BOULEVARD EL DORADO"/>
    <x v="4"/>
  </r>
  <r>
    <x v="56"/>
    <x v="182"/>
    <x v="2"/>
    <x v="2"/>
    <x v="1"/>
    <x v="2"/>
    <x v="39"/>
    <x v="392"/>
    <x v="3532"/>
    <x v="0"/>
    <s v="BOULEVARD EL DORADO"/>
    <x v="4"/>
  </r>
  <r>
    <x v="56"/>
    <x v="281"/>
    <x v="6"/>
    <x v="6"/>
    <x v="1"/>
    <x v="2"/>
    <x v="39"/>
    <x v="395"/>
    <x v="1863"/>
    <x v="0"/>
    <s v="BOULEVARD EL DORADO"/>
    <x v="4"/>
  </r>
  <r>
    <x v="56"/>
    <x v="217"/>
    <x v="6"/>
    <x v="6"/>
    <x v="1"/>
    <x v="2"/>
    <x v="39"/>
    <x v="323"/>
    <x v="3533"/>
    <x v="0"/>
    <s v="BOULEVARD EL DORADO"/>
    <x v="4"/>
  </r>
  <r>
    <x v="57"/>
    <x v="187"/>
    <x v="11"/>
    <x v="11"/>
    <x v="1"/>
    <x v="2"/>
    <x v="39"/>
    <x v="328"/>
    <x v="3534"/>
    <x v="0"/>
    <s v="SAN SEBASTIAN"/>
    <x v="4"/>
  </r>
  <r>
    <x v="58"/>
    <x v="247"/>
    <x v="8"/>
    <x v="8"/>
    <x v="1"/>
    <x v="2"/>
    <x v="39"/>
    <x v="289"/>
    <x v="3535"/>
    <x v="0"/>
    <s v="SANTIAGO INTERAMERICANA"/>
    <x v="4"/>
  </r>
  <r>
    <x v="58"/>
    <x v="326"/>
    <x v="8"/>
    <x v="8"/>
    <x v="1"/>
    <x v="2"/>
    <x v="39"/>
    <x v="423"/>
    <x v="3536"/>
    <x v="0"/>
    <s v="SANTIAGO INTERAMERICANA"/>
    <x v="4"/>
  </r>
  <r>
    <x v="58"/>
    <x v="242"/>
    <x v="9"/>
    <x v="9"/>
    <x v="1"/>
    <x v="2"/>
    <x v="39"/>
    <x v="435"/>
    <x v="3537"/>
    <x v="0"/>
    <s v="SANTIAGO INTERAMERICANA"/>
    <x v="4"/>
  </r>
  <r>
    <x v="58"/>
    <x v="220"/>
    <x v="11"/>
    <x v="11"/>
    <x v="1"/>
    <x v="2"/>
    <x v="39"/>
    <x v="309"/>
    <x v="3538"/>
    <x v="0"/>
    <s v="SANTIAGO INTERAMERICANA"/>
    <x v="4"/>
  </r>
  <r>
    <x v="58"/>
    <x v="335"/>
    <x v="6"/>
    <x v="6"/>
    <x v="1"/>
    <x v="2"/>
    <x v="39"/>
    <x v="408"/>
    <x v="1700"/>
    <x v="0"/>
    <s v="SANTIAGO INTERAMERICANA"/>
    <x v="4"/>
  </r>
  <r>
    <x v="59"/>
    <x v="326"/>
    <x v="8"/>
    <x v="8"/>
    <x v="1"/>
    <x v="2"/>
    <x v="39"/>
    <x v="423"/>
    <x v="3539"/>
    <x v="0"/>
    <s v="CIUDAD DEL SABER"/>
    <x v="4"/>
  </r>
  <r>
    <x v="59"/>
    <x v="189"/>
    <x v="10"/>
    <x v="10"/>
    <x v="1"/>
    <x v="2"/>
    <x v="39"/>
    <x v="345"/>
    <x v="891"/>
    <x v="0"/>
    <s v="CIUDAD DEL SABER"/>
    <x v="4"/>
  </r>
  <r>
    <x v="59"/>
    <x v="257"/>
    <x v="2"/>
    <x v="2"/>
    <x v="1"/>
    <x v="2"/>
    <x v="40"/>
    <x v="410"/>
    <x v="816"/>
    <x v="0"/>
    <s v="CIUDAD DEL SABER"/>
    <x v="4"/>
  </r>
  <r>
    <x v="59"/>
    <x v="266"/>
    <x v="6"/>
    <x v="6"/>
    <x v="1"/>
    <x v="2"/>
    <x v="39"/>
    <x v="370"/>
    <x v="816"/>
    <x v="0"/>
    <s v="CIUDAD DEL SABER"/>
    <x v="4"/>
  </r>
  <r>
    <x v="60"/>
    <x v="171"/>
    <x v="7"/>
    <x v="7"/>
    <x v="1"/>
    <x v="2"/>
    <x v="39"/>
    <x v="429"/>
    <x v="1182"/>
    <x v="0"/>
    <s v="VILLA ZAITA"/>
    <x v="4"/>
  </r>
  <r>
    <x v="60"/>
    <x v="247"/>
    <x v="8"/>
    <x v="8"/>
    <x v="1"/>
    <x v="2"/>
    <x v="39"/>
    <x v="289"/>
    <x v="3540"/>
    <x v="0"/>
    <s v="VILLA ZAITA"/>
    <x v="4"/>
  </r>
  <r>
    <x v="60"/>
    <x v="247"/>
    <x v="8"/>
    <x v="8"/>
    <x v="1"/>
    <x v="2"/>
    <x v="40"/>
    <x v="289"/>
    <x v="858"/>
    <x v="0"/>
    <s v="VILLA ZAITA"/>
    <x v="4"/>
  </r>
  <r>
    <x v="60"/>
    <x v="243"/>
    <x v="10"/>
    <x v="10"/>
    <x v="1"/>
    <x v="2"/>
    <x v="39"/>
    <x v="411"/>
    <x v="3094"/>
    <x v="0"/>
    <s v="VILLA ZAITA"/>
    <x v="4"/>
  </r>
  <r>
    <x v="60"/>
    <x v="186"/>
    <x v="10"/>
    <x v="10"/>
    <x v="1"/>
    <x v="2"/>
    <x v="40"/>
    <x v="321"/>
    <x v="1744"/>
    <x v="0"/>
    <s v="VILLA ZAITA"/>
    <x v="4"/>
  </r>
  <r>
    <x v="60"/>
    <x v="187"/>
    <x v="11"/>
    <x v="11"/>
    <x v="1"/>
    <x v="2"/>
    <x v="39"/>
    <x v="328"/>
    <x v="3541"/>
    <x v="0"/>
    <s v="VILLA ZAITA"/>
    <x v="4"/>
  </r>
  <r>
    <x v="60"/>
    <x v="177"/>
    <x v="11"/>
    <x v="11"/>
    <x v="1"/>
    <x v="2"/>
    <x v="40"/>
    <x v="346"/>
    <x v="3542"/>
    <x v="0"/>
    <s v="VILLA ZAITA"/>
    <x v="4"/>
  </r>
  <r>
    <x v="60"/>
    <x v="183"/>
    <x v="2"/>
    <x v="2"/>
    <x v="1"/>
    <x v="2"/>
    <x v="40"/>
    <x v="330"/>
    <x v="3543"/>
    <x v="0"/>
    <s v="VILLA ZAITA"/>
    <x v="4"/>
  </r>
  <r>
    <x v="61"/>
    <x v="310"/>
    <x v="10"/>
    <x v="10"/>
    <x v="1"/>
    <x v="2"/>
    <x v="39"/>
    <x v="335"/>
    <x v="1822"/>
    <x v="0"/>
    <s v="AZUERO TERMINAL PLAZA"/>
    <x v="4"/>
  </r>
  <r>
    <x v="61"/>
    <x v="220"/>
    <x v="11"/>
    <x v="11"/>
    <x v="1"/>
    <x v="2"/>
    <x v="39"/>
    <x v="309"/>
    <x v="2777"/>
    <x v="0"/>
    <s v="AZUERO TERMINAL PLAZA"/>
    <x v="4"/>
  </r>
  <r>
    <x v="61"/>
    <x v="217"/>
    <x v="6"/>
    <x v="6"/>
    <x v="1"/>
    <x v="2"/>
    <x v="39"/>
    <x v="323"/>
    <x v="3544"/>
    <x v="0"/>
    <s v="AZUERO TERMINAL PLAZA"/>
    <x v="4"/>
  </r>
  <r>
    <x v="62"/>
    <x v="262"/>
    <x v="9"/>
    <x v="9"/>
    <x v="1"/>
    <x v="2"/>
    <x v="39"/>
    <x v="368"/>
    <x v="1352"/>
    <x v="0"/>
    <s v="TOWN CENTER COSTA DEL ESTE"/>
    <x v="4"/>
  </r>
  <r>
    <x v="62"/>
    <x v="189"/>
    <x v="10"/>
    <x v="10"/>
    <x v="1"/>
    <x v="2"/>
    <x v="39"/>
    <x v="345"/>
    <x v="3545"/>
    <x v="0"/>
    <s v="TOWN CENTER COSTA DEL ESTE"/>
    <x v="4"/>
  </r>
  <r>
    <x v="62"/>
    <x v="330"/>
    <x v="11"/>
    <x v="11"/>
    <x v="1"/>
    <x v="2"/>
    <x v="39"/>
    <x v="381"/>
    <x v="3546"/>
    <x v="0"/>
    <s v="TOWN CENTER COSTA DEL ESTE"/>
    <x v="4"/>
  </r>
  <r>
    <x v="62"/>
    <x v="182"/>
    <x v="2"/>
    <x v="2"/>
    <x v="1"/>
    <x v="2"/>
    <x v="39"/>
    <x v="392"/>
    <x v="3547"/>
    <x v="0"/>
    <s v="TOWN CENTER COSTA DEL ESTE"/>
    <x v="4"/>
  </r>
  <r>
    <x v="62"/>
    <x v="335"/>
    <x v="6"/>
    <x v="6"/>
    <x v="1"/>
    <x v="2"/>
    <x v="39"/>
    <x v="408"/>
    <x v="3548"/>
    <x v="0"/>
    <s v="TOWN CENTER COSTA DEL ESTE"/>
    <x v="4"/>
  </r>
  <r>
    <x v="63"/>
    <x v="187"/>
    <x v="11"/>
    <x v="11"/>
    <x v="1"/>
    <x v="2"/>
    <x v="39"/>
    <x v="328"/>
    <x v="3549"/>
    <x v="0"/>
    <s v="COSTA VERDE"/>
    <x v="4"/>
  </r>
  <r>
    <x v="63"/>
    <x v="315"/>
    <x v="2"/>
    <x v="2"/>
    <x v="1"/>
    <x v="2"/>
    <x v="39"/>
    <x v="405"/>
    <x v="554"/>
    <x v="0"/>
    <s v="COSTA VERDE"/>
    <x v="4"/>
  </r>
  <r>
    <x v="63"/>
    <x v="240"/>
    <x v="2"/>
    <x v="2"/>
    <x v="1"/>
    <x v="2"/>
    <x v="39"/>
    <x v="442"/>
    <x v="3347"/>
    <x v="0"/>
    <s v="COSTA VERDE"/>
    <x v="4"/>
  </r>
  <r>
    <x v="64"/>
    <x v="205"/>
    <x v="7"/>
    <x v="7"/>
    <x v="1"/>
    <x v="2"/>
    <x v="39"/>
    <x v="299"/>
    <x v="3550"/>
    <x v="0"/>
    <s v="PLAZA LOS ANGELES"/>
    <x v="4"/>
  </r>
  <r>
    <x v="64"/>
    <x v="322"/>
    <x v="7"/>
    <x v="7"/>
    <x v="1"/>
    <x v="2"/>
    <x v="39"/>
    <x v="448"/>
    <x v="1"/>
    <x v="611"/>
    <s v="PLAZA LOS ANGELES"/>
    <x v="4"/>
  </r>
  <r>
    <x v="64"/>
    <x v="263"/>
    <x v="10"/>
    <x v="10"/>
    <x v="1"/>
    <x v="2"/>
    <x v="39"/>
    <x v="436"/>
    <x v="3551"/>
    <x v="0"/>
    <s v="PLAZA LOS ANGELES"/>
    <x v="4"/>
  </r>
  <r>
    <x v="64"/>
    <x v="202"/>
    <x v="11"/>
    <x v="11"/>
    <x v="1"/>
    <x v="2"/>
    <x v="39"/>
    <x v="305"/>
    <x v="3552"/>
    <x v="0"/>
    <s v="PLAZA LOS ANGELES"/>
    <x v="4"/>
  </r>
  <r>
    <x v="64"/>
    <x v="183"/>
    <x v="2"/>
    <x v="2"/>
    <x v="1"/>
    <x v="2"/>
    <x v="39"/>
    <x v="330"/>
    <x v="1852"/>
    <x v="0"/>
    <s v="PLAZA LOS ANGELES"/>
    <x v="4"/>
  </r>
  <r>
    <x v="65"/>
    <x v="242"/>
    <x v="9"/>
    <x v="9"/>
    <x v="1"/>
    <x v="2"/>
    <x v="39"/>
    <x v="435"/>
    <x v="3553"/>
    <x v="0"/>
    <s v="SAN MATEO"/>
    <x v="4"/>
  </r>
  <r>
    <x v="65"/>
    <x v="217"/>
    <x v="6"/>
    <x v="6"/>
    <x v="1"/>
    <x v="2"/>
    <x v="39"/>
    <x v="323"/>
    <x v="3554"/>
    <x v="0"/>
    <s v="SAN MATEO"/>
    <x v="4"/>
  </r>
  <r>
    <x v="65"/>
    <x v="266"/>
    <x v="6"/>
    <x v="6"/>
    <x v="1"/>
    <x v="2"/>
    <x v="39"/>
    <x v="370"/>
    <x v="3161"/>
    <x v="0"/>
    <s v="SAN MATEO"/>
    <x v="4"/>
  </r>
  <r>
    <x v="65"/>
    <x v="188"/>
    <x v="6"/>
    <x v="6"/>
    <x v="1"/>
    <x v="2"/>
    <x v="39"/>
    <x v="407"/>
    <x v="3161"/>
    <x v="0"/>
    <s v="SAN MATEO"/>
    <x v="4"/>
  </r>
  <r>
    <x v="66"/>
    <x v="205"/>
    <x v="7"/>
    <x v="7"/>
    <x v="1"/>
    <x v="2"/>
    <x v="39"/>
    <x v="299"/>
    <x v="3555"/>
    <x v="0"/>
    <s v="BRISAS DEL GOLF ARRAIJAN"/>
    <x v="4"/>
  </r>
  <r>
    <x v="66"/>
    <x v="326"/>
    <x v="8"/>
    <x v="8"/>
    <x v="1"/>
    <x v="2"/>
    <x v="39"/>
    <x v="423"/>
    <x v="3556"/>
    <x v="0"/>
    <s v="BRISAS DEL GOLF ARRAIJAN"/>
    <x v="4"/>
  </r>
  <r>
    <x v="66"/>
    <x v="263"/>
    <x v="10"/>
    <x v="10"/>
    <x v="1"/>
    <x v="2"/>
    <x v="39"/>
    <x v="436"/>
    <x v="759"/>
    <x v="0"/>
    <s v="BRISAS DEL GOLF ARRAIJAN"/>
    <x v="4"/>
  </r>
  <r>
    <x v="66"/>
    <x v="183"/>
    <x v="2"/>
    <x v="2"/>
    <x v="1"/>
    <x v="2"/>
    <x v="39"/>
    <x v="330"/>
    <x v="1422"/>
    <x v="0"/>
    <s v="BRISAS DEL GOLF ARRAIJAN"/>
    <x v="4"/>
  </r>
  <r>
    <x v="67"/>
    <x v="179"/>
    <x v="7"/>
    <x v="7"/>
    <x v="1"/>
    <x v="2"/>
    <x v="39"/>
    <x v="415"/>
    <x v="1212"/>
    <x v="0"/>
    <s v="PASEO ARRAIJAN"/>
    <x v="4"/>
  </r>
  <r>
    <x v="67"/>
    <x v="322"/>
    <x v="7"/>
    <x v="7"/>
    <x v="1"/>
    <x v="2"/>
    <x v="39"/>
    <x v="448"/>
    <x v="3550"/>
    <x v="0"/>
    <s v="PASEO ARRAIJAN"/>
    <x v="4"/>
  </r>
  <r>
    <x v="67"/>
    <x v="171"/>
    <x v="7"/>
    <x v="7"/>
    <x v="1"/>
    <x v="2"/>
    <x v="39"/>
    <x v="429"/>
    <x v="3557"/>
    <x v="0"/>
    <s v="PASEO ARRAIJAN"/>
    <x v="4"/>
  </r>
  <r>
    <x v="67"/>
    <x v="323"/>
    <x v="8"/>
    <x v="8"/>
    <x v="1"/>
    <x v="2"/>
    <x v="39"/>
    <x v="367"/>
    <x v="3558"/>
    <x v="0"/>
    <s v="PASEO ARRAIJAN"/>
    <x v="4"/>
  </r>
  <r>
    <x v="67"/>
    <x v="185"/>
    <x v="8"/>
    <x v="8"/>
    <x v="1"/>
    <x v="2"/>
    <x v="39"/>
    <x v="296"/>
    <x v="3366"/>
    <x v="0"/>
    <s v="PASEO ARRAIJAN"/>
    <x v="4"/>
  </r>
  <r>
    <x v="67"/>
    <x v="263"/>
    <x v="10"/>
    <x v="10"/>
    <x v="1"/>
    <x v="2"/>
    <x v="39"/>
    <x v="436"/>
    <x v="975"/>
    <x v="0"/>
    <s v="PASEO ARRAIJAN"/>
    <x v="4"/>
  </r>
  <r>
    <x v="67"/>
    <x v="315"/>
    <x v="2"/>
    <x v="2"/>
    <x v="1"/>
    <x v="2"/>
    <x v="39"/>
    <x v="405"/>
    <x v="3343"/>
    <x v="0"/>
    <s v="PASEO ARRAIJAN"/>
    <x v="4"/>
  </r>
  <r>
    <x v="67"/>
    <x v="229"/>
    <x v="6"/>
    <x v="6"/>
    <x v="1"/>
    <x v="2"/>
    <x v="39"/>
    <x v="281"/>
    <x v="782"/>
    <x v="0"/>
    <s v="PASEO ARRAIJAN"/>
    <x v="4"/>
  </r>
  <r>
    <x v="68"/>
    <x v="208"/>
    <x v="8"/>
    <x v="8"/>
    <x v="1"/>
    <x v="2"/>
    <x v="39"/>
    <x v="377"/>
    <x v="3559"/>
    <x v="0"/>
    <s v="PLAZA NUEVO TOCUMEN"/>
    <x v="4"/>
  </r>
  <r>
    <x v="68"/>
    <x v="331"/>
    <x v="9"/>
    <x v="9"/>
    <x v="1"/>
    <x v="2"/>
    <x v="39"/>
    <x v="391"/>
    <x v="3560"/>
    <x v="0"/>
    <s v="PLAZA NUEVO TOCUMEN"/>
    <x v="4"/>
  </r>
  <r>
    <x v="68"/>
    <x v="220"/>
    <x v="11"/>
    <x v="11"/>
    <x v="1"/>
    <x v="2"/>
    <x v="39"/>
    <x v="309"/>
    <x v="3090"/>
    <x v="0"/>
    <s v="PLAZA NUEVO TOCUMEN"/>
    <x v="4"/>
  </r>
  <r>
    <x v="68"/>
    <x v="315"/>
    <x v="2"/>
    <x v="2"/>
    <x v="1"/>
    <x v="2"/>
    <x v="39"/>
    <x v="405"/>
    <x v="764"/>
    <x v="0"/>
    <s v="PLAZA NUEVO TOCUMEN"/>
    <x v="4"/>
  </r>
  <r>
    <x v="68"/>
    <x v="265"/>
    <x v="6"/>
    <x v="6"/>
    <x v="1"/>
    <x v="2"/>
    <x v="39"/>
    <x v="386"/>
    <x v="492"/>
    <x v="0"/>
    <s v="PLAZA NUEVO TOCUMEN"/>
    <x v="4"/>
  </r>
  <r>
    <x v="68"/>
    <x v="335"/>
    <x v="6"/>
    <x v="6"/>
    <x v="1"/>
    <x v="2"/>
    <x v="39"/>
    <x v="408"/>
    <x v="2306"/>
    <x v="0"/>
    <s v="PLAZA NUEVO TOCUMEN"/>
    <x v="4"/>
  </r>
  <r>
    <x v="69"/>
    <x v="323"/>
    <x v="8"/>
    <x v="8"/>
    <x v="1"/>
    <x v="2"/>
    <x v="39"/>
    <x v="367"/>
    <x v="3561"/>
    <x v="0"/>
    <s v="SANTA MARIA"/>
    <x v="4"/>
  </r>
  <r>
    <x v="69"/>
    <x v="255"/>
    <x v="9"/>
    <x v="9"/>
    <x v="1"/>
    <x v="2"/>
    <x v="39"/>
    <x v="293"/>
    <x v="3562"/>
    <x v="0"/>
    <s v="SANTA MARIA"/>
    <x v="4"/>
  </r>
  <r>
    <x v="69"/>
    <x v="220"/>
    <x v="11"/>
    <x v="11"/>
    <x v="1"/>
    <x v="2"/>
    <x v="39"/>
    <x v="309"/>
    <x v="3563"/>
    <x v="0"/>
    <s v="SANTA MARIA"/>
    <x v="4"/>
  </r>
  <r>
    <x v="69"/>
    <x v="315"/>
    <x v="2"/>
    <x v="2"/>
    <x v="1"/>
    <x v="2"/>
    <x v="39"/>
    <x v="405"/>
    <x v="3564"/>
    <x v="0"/>
    <s v="SANTA MARIA"/>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fieldListSortAscending="1">
  <location ref="B6:G7482" firstHeaderRow="1" firstDataRow="1" firstDataCol="6" rowPageCount="3" colPageCount="1"/>
  <pivotFields count="12">
    <pivotField axis="axisPage" showAll="0">
      <items count="80">
        <item x="0"/>
        <item x="1"/>
        <item x="2"/>
        <item x="3"/>
        <item x="4"/>
        <item x="5"/>
        <item x="6"/>
        <item x="7"/>
        <item x="8"/>
        <item x="9"/>
        <item x="70"/>
        <item x="10"/>
        <item x="11"/>
        <item x="12"/>
        <item x="13"/>
        <item x="14"/>
        <item x="15"/>
        <item x="16"/>
        <item x="17"/>
        <item x="18"/>
        <item x="19"/>
        <item x="20"/>
        <item x="21"/>
        <item x="72"/>
        <item x="22"/>
        <item x="23"/>
        <item x="24"/>
        <item x="25"/>
        <item x="26"/>
        <item x="27"/>
        <item x="28"/>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 x="71"/>
        <item x="76"/>
        <item t="default"/>
      </items>
    </pivotField>
    <pivotField axis="axisRow" outline="0" showAll="0" defaultSubtotal="0">
      <items count="34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s>
      <extLst>
        <ext xmlns:x14="http://schemas.microsoft.com/office/spreadsheetml/2009/9/main" uri="{2946ED86-A175-432a-8AC1-64E0C546D7DE}">
          <x14:pivotField fillDownLabels="1"/>
        </ext>
      </extLst>
    </pivotField>
    <pivotField showAll="0" defaultSubtotal="0"/>
    <pivotField axis="axisPage" showAll="0" defaultSubtotal="0">
      <items count="12">
        <item x="7"/>
        <item x="8"/>
        <item x="9"/>
        <item x="10"/>
        <item x="11"/>
        <item x="2"/>
        <item x="6"/>
        <item x="3"/>
        <item x="4"/>
        <item x="0"/>
        <item x="5"/>
        <item x="1"/>
      </items>
    </pivotField>
    <pivotField axis="axisPage" showAll="0" defaultSubtotal="0">
      <items count="2">
        <item x="1"/>
        <item x="0"/>
      </items>
    </pivotField>
    <pivotField axis="axisRow" outline="0" showAll="0" defaultSubtotal="0">
      <items count="41">
        <item x="2"/>
        <item x="39"/>
        <item x="11"/>
        <item x="10"/>
        <item x="25"/>
        <item x="30"/>
        <item x="31"/>
        <item x="17"/>
        <item x="32"/>
        <item x="20"/>
        <item x="5"/>
        <item x="29"/>
        <item x="0"/>
        <item x="16"/>
        <item x="8"/>
        <item x="6"/>
        <item x="24"/>
        <item x="7"/>
        <item x="22"/>
        <item x="12"/>
        <item x="35"/>
        <item x="15"/>
        <item x="27"/>
        <item x="14"/>
        <item x="4"/>
        <item x="36"/>
        <item x="3"/>
        <item x="18"/>
        <item x="21"/>
        <item x="33"/>
        <item x="37"/>
        <item x="40"/>
        <item x="38"/>
        <item x="28"/>
        <item x="34"/>
        <item x="1"/>
        <item x="9"/>
        <item x="13"/>
        <item x="23"/>
        <item x="19"/>
        <item x="26"/>
      </items>
      <extLst>
        <ext xmlns:x14="http://schemas.microsoft.com/office/spreadsheetml/2009/9/main" uri="{2946ED86-A175-432a-8AC1-64E0C546D7DE}">
          <x14:pivotField fillDownLabels="1"/>
        </ext>
      </extLst>
    </pivotField>
    <pivotField axis="axisRow" outline="0" showAll="0" defaultSubtotal="0">
      <items count="69">
        <item x="64"/>
        <item x="33"/>
        <item x="62"/>
        <item x="61"/>
        <item x="63"/>
        <item x="60"/>
        <item x="40"/>
        <item x="37"/>
        <item x="32"/>
        <item x="39"/>
        <item x="26"/>
        <item x="34"/>
        <item x="20"/>
        <item x="50"/>
        <item x="49"/>
        <item x="42"/>
        <item x="54"/>
        <item x="52"/>
        <item x="45"/>
        <item x="47"/>
        <item x="46"/>
        <item x="41"/>
        <item x="43"/>
        <item x="44"/>
        <item x="53"/>
        <item x="48"/>
        <item x="51"/>
        <item x="56"/>
        <item x="55"/>
        <item x="58"/>
        <item x="59"/>
        <item x="57"/>
        <item x="65"/>
        <item x="38"/>
        <item x="66"/>
        <item x="67"/>
        <item x="68"/>
        <item x="21"/>
        <item x="25"/>
        <item x="0"/>
        <item x="1"/>
        <item x="2"/>
        <item x="3"/>
        <item x="4"/>
        <item x="5"/>
        <item x="6"/>
        <item x="7"/>
        <item x="8"/>
        <item x="9"/>
        <item x="10"/>
        <item x="11"/>
        <item x="12"/>
        <item x="13"/>
        <item x="14"/>
        <item x="15"/>
        <item x="16"/>
        <item x="17"/>
        <item x="18"/>
        <item x="19"/>
        <item x="22"/>
        <item x="23"/>
        <item x="24"/>
        <item x="27"/>
        <item x="28"/>
        <item x="29"/>
        <item x="30"/>
        <item x="31"/>
        <item x="35"/>
        <item x="36"/>
      </items>
      <extLst>
        <ext xmlns:x14="http://schemas.microsoft.com/office/spreadsheetml/2009/9/main" uri="{2946ED86-A175-432a-8AC1-64E0C546D7DE}">
          <x14:pivotField fillDownLabels="1"/>
        </ext>
      </extLst>
    </pivotField>
    <pivotField axis="axisRow" outline="0" showAll="0" defaultSubtotal="0">
      <items count="457">
        <item x="446"/>
        <item x="365"/>
        <item x="24"/>
        <item x="35"/>
        <item x="230"/>
        <item x="232"/>
        <item x="233"/>
        <item x="40"/>
        <item x="234"/>
        <item x="41"/>
        <item x="42"/>
        <item x="444"/>
        <item x="445"/>
        <item x="46"/>
        <item x="454"/>
        <item x="237"/>
        <item x="238"/>
        <item x="239"/>
        <item x="47"/>
        <item x="48"/>
        <item x="49"/>
        <item x="240"/>
        <item x="25"/>
        <item x="50"/>
        <item x="52"/>
        <item x="53"/>
        <item x="54"/>
        <item x="55"/>
        <item x="60"/>
        <item x="61"/>
        <item x="26"/>
        <item x="66"/>
        <item x="67"/>
        <item x="86"/>
        <item x="87"/>
        <item x="88"/>
        <item x="92"/>
        <item x="98"/>
        <item x="27"/>
        <item x="99"/>
        <item x="101"/>
        <item x="340"/>
        <item x="103"/>
        <item x="104"/>
        <item x="343"/>
        <item x="105"/>
        <item x="108"/>
        <item x="114"/>
        <item x="28"/>
        <item x="121"/>
        <item x="122"/>
        <item x="453"/>
        <item x="29"/>
        <item x="356"/>
        <item x="357"/>
        <item x="127"/>
        <item x="30"/>
        <item x="128"/>
        <item x="129"/>
        <item x="130"/>
        <item x="131"/>
        <item x="133"/>
        <item x="134"/>
        <item x="135"/>
        <item x="136"/>
        <item x="137"/>
        <item x="31"/>
        <item x="364"/>
        <item x="138"/>
        <item x="33"/>
        <item x="227"/>
        <item x="228"/>
        <item x="443"/>
        <item x="229"/>
        <item x="455"/>
        <item x="59"/>
        <item x="456"/>
        <item x="333"/>
        <item x="325"/>
        <item x="387"/>
        <item x="450"/>
        <item x="439"/>
        <item x="349"/>
        <item x="265"/>
        <item x="415"/>
        <item x="355"/>
        <item x="416"/>
        <item x="334"/>
        <item x="299"/>
        <item x="396"/>
        <item x="284"/>
        <item x="366"/>
        <item x="428"/>
        <item x="397"/>
        <item x="448"/>
        <item x="292"/>
        <item x="257"/>
        <item x="429"/>
        <item x="437"/>
        <item x="417"/>
        <item x="418"/>
        <item x="449"/>
        <item x="291"/>
        <item x="430"/>
        <item x="278"/>
        <item x="300"/>
        <item x="289"/>
        <item x="301"/>
        <item x="423"/>
        <item x="326"/>
        <item x="258"/>
        <item x="431"/>
        <item x="398"/>
        <item x="388"/>
        <item x="320"/>
        <item x="373"/>
        <item x="367"/>
        <item x="438"/>
        <item x="285"/>
        <item x="374"/>
        <item x="375"/>
        <item x="376"/>
        <item x="377"/>
        <item x="259"/>
        <item x="378"/>
        <item x="350"/>
        <item x="271"/>
        <item x="296"/>
        <item x="336"/>
        <item x="424"/>
        <item x="399"/>
        <item x="352"/>
        <item x="261"/>
        <item x="389"/>
        <item x="327"/>
        <item x="280"/>
        <item x="390"/>
        <item x="302"/>
        <item x="337"/>
        <item x="379"/>
        <item x="400"/>
        <item x="432"/>
        <item x="435"/>
        <item x="286"/>
        <item x="425"/>
        <item x="368"/>
        <item x="308"/>
        <item x="264"/>
        <item x="353"/>
        <item x="391"/>
        <item x="293"/>
        <item x="303"/>
        <item x="283"/>
        <item x="338"/>
        <item x="297"/>
        <item x="436"/>
        <item x="319"/>
        <item x="335"/>
        <item x="401"/>
        <item x="402"/>
        <item x="419"/>
        <item x="266"/>
        <item x="452"/>
        <item x="411"/>
        <item x="339"/>
        <item x="420"/>
        <item x="290"/>
        <item x="272"/>
        <item x="321"/>
        <item x="380"/>
        <item x="427"/>
        <item x="304"/>
        <item x="433"/>
        <item x="344"/>
        <item x="262"/>
        <item x="412"/>
        <item x="298"/>
        <item x="275"/>
        <item x="345"/>
        <item x="314"/>
        <item x="403"/>
        <item x="351"/>
        <item x="421"/>
        <item x="358"/>
        <item x="273"/>
        <item x="328"/>
        <item x="360"/>
        <item x="309"/>
        <item x="263"/>
        <item x="346"/>
        <item x="422"/>
        <item x="361"/>
        <item x="359"/>
        <item x="315"/>
        <item x="279"/>
        <item x="369"/>
        <item x="324"/>
        <item x="294"/>
        <item x="305"/>
        <item x="354"/>
        <item x="440"/>
        <item x="381"/>
        <item x="267"/>
        <item x="362"/>
        <item x="306"/>
        <item x="404"/>
        <item x="307"/>
        <item x="382"/>
        <item x="316"/>
        <item x="405"/>
        <item x="322"/>
        <item x="406"/>
        <item x="347"/>
        <item x="383"/>
        <item x="384"/>
        <item x="268"/>
        <item x="392"/>
        <item x="310"/>
        <item x="441"/>
        <item x="363"/>
        <item x="332"/>
        <item x="295"/>
        <item x="442"/>
        <item x="410"/>
        <item x="434"/>
        <item x="348"/>
        <item x="385"/>
        <item x="329"/>
        <item x="414"/>
        <item x="269"/>
        <item x="330"/>
        <item x="393"/>
        <item x="287"/>
        <item x="394"/>
        <item x="311"/>
        <item x="395"/>
        <item x="409"/>
        <item x="323"/>
        <item x="386"/>
        <item x="331"/>
        <item x="270"/>
        <item x="413"/>
        <item x="372"/>
        <item x="370"/>
        <item x="312"/>
        <item x="288"/>
        <item x="317"/>
        <item x="313"/>
        <item x="371"/>
        <item x="274"/>
        <item x="407"/>
        <item x="341"/>
        <item x="451"/>
        <item x="408"/>
        <item x="426"/>
        <item x="260"/>
        <item x="282"/>
        <item x="281"/>
        <item x="447"/>
        <item x="276"/>
        <item x="342"/>
        <item x="277"/>
        <item x="318"/>
        <item x="0"/>
        <item x="1"/>
        <item x="2"/>
        <item x="3"/>
        <item x="4"/>
        <item x="5"/>
        <item x="6"/>
        <item x="7"/>
        <item x="8"/>
        <item x="9"/>
        <item x="10"/>
        <item x="11"/>
        <item x="12"/>
        <item x="13"/>
        <item x="14"/>
        <item x="15"/>
        <item x="16"/>
        <item x="17"/>
        <item x="18"/>
        <item x="19"/>
        <item x="20"/>
        <item x="21"/>
        <item x="22"/>
        <item x="23"/>
        <item x="32"/>
        <item x="34"/>
        <item x="36"/>
        <item x="37"/>
        <item x="38"/>
        <item x="39"/>
        <item x="43"/>
        <item x="44"/>
        <item x="45"/>
        <item x="51"/>
        <item x="56"/>
        <item x="57"/>
        <item x="58"/>
        <item x="62"/>
        <item x="63"/>
        <item x="64"/>
        <item x="65"/>
        <item x="68"/>
        <item x="69"/>
        <item x="70"/>
        <item x="71"/>
        <item x="72"/>
        <item x="73"/>
        <item x="74"/>
        <item x="75"/>
        <item x="76"/>
        <item x="77"/>
        <item x="78"/>
        <item x="79"/>
        <item x="80"/>
        <item x="81"/>
        <item x="82"/>
        <item x="83"/>
        <item x="84"/>
        <item x="85"/>
        <item x="89"/>
        <item x="90"/>
        <item x="91"/>
        <item x="93"/>
        <item x="94"/>
        <item x="95"/>
        <item x="96"/>
        <item x="97"/>
        <item x="100"/>
        <item x="102"/>
        <item x="106"/>
        <item x="107"/>
        <item x="109"/>
        <item x="110"/>
        <item x="111"/>
        <item x="112"/>
        <item x="113"/>
        <item x="115"/>
        <item x="116"/>
        <item x="117"/>
        <item x="118"/>
        <item x="119"/>
        <item x="120"/>
        <item x="123"/>
        <item x="124"/>
        <item x="125"/>
        <item x="126"/>
        <item x="132"/>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31"/>
        <item x="235"/>
        <item x="236"/>
        <item x="241"/>
        <item x="242"/>
        <item x="243"/>
        <item x="244"/>
        <item x="245"/>
        <item x="246"/>
        <item x="247"/>
        <item x="248"/>
        <item x="249"/>
        <item x="250"/>
        <item x="251"/>
        <item x="252"/>
        <item x="253"/>
        <item x="254"/>
        <item x="255"/>
        <item x="256"/>
      </items>
      <extLst>
        <ext xmlns:x14="http://schemas.microsoft.com/office/spreadsheetml/2009/9/main" uri="{2946ED86-A175-432a-8AC1-64E0C546D7DE}">
          <x14:pivotField fillDownLabels="1"/>
        </ext>
      </extLst>
    </pivotField>
    <pivotField axis="axisRow" outline="0" showAll="0" defaultSubtotal="0">
      <items count="3565">
        <item x="1"/>
        <item x="3321"/>
        <item x="2750"/>
        <item x="3047"/>
        <item x="1293"/>
        <item x="2945"/>
        <item x="744"/>
        <item x="741"/>
        <item x="755"/>
        <item x="748"/>
        <item x="2596"/>
        <item x="737"/>
        <item x="1894"/>
        <item x="762"/>
        <item x="750"/>
        <item x="2727"/>
        <item x="778"/>
        <item x="3385"/>
        <item x="742"/>
        <item x="2919"/>
        <item x="754"/>
        <item x="2742"/>
        <item x="3448"/>
        <item x="743"/>
        <item x="747"/>
        <item x="756"/>
        <item x="2704"/>
        <item x="740"/>
        <item x="2749"/>
        <item x="191"/>
        <item x="2920"/>
        <item x="2807"/>
        <item x="771"/>
        <item x="2756"/>
        <item x="2587"/>
        <item x="777"/>
        <item x="2849"/>
        <item x="1355"/>
        <item x="2915"/>
        <item x="735"/>
        <item x="3516"/>
        <item x="3476"/>
        <item x="3200"/>
        <item x="2904"/>
        <item x="1111"/>
        <item x="749"/>
        <item x="738"/>
        <item x="2461"/>
        <item x="2900"/>
        <item x="739"/>
        <item x="2894"/>
        <item x="856"/>
        <item x="795"/>
        <item x="751"/>
        <item x="2674"/>
        <item x="857"/>
        <item x="2190"/>
        <item x="775"/>
        <item x="65"/>
        <item x="776"/>
        <item x="2757"/>
        <item x="779"/>
        <item x="3419"/>
        <item x="2702"/>
        <item x="1140"/>
        <item x="2070"/>
        <item x="2755"/>
        <item x="2556"/>
        <item x="3130"/>
        <item x="842"/>
        <item x="786"/>
        <item x="2679"/>
        <item x="3122"/>
        <item x="2710"/>
        <item x="3084"/>
        <item x="2703"/>
        <item x="2910"/>
        <item x="2746"/>
        <item x="1537"/>
        <item x="2914"/>
        <item x="874"/>
        <item x="2701"/>
        <item x="774"/>
        <item x="1346"/>
        <item x="2922"/>
        <item x="784"/>
        <item x="3503"/>
        <item x="2917"/>
        <item x="2937"/>
        <item x="2741"/>
        <item x="770"/>
        <item x="3133"/>
        <item x="745"/>
        <item x="2921"/>
        <item x="1010"/>
        <item x="1046"/>
        <item x="753"/>
        <item x="2773"/>
        <item x="2717"/>
        <item x="2680"/>
        <item x="2513"/>
        <item x="1300"/>
        <item x="3235"/>
        <item x="2173"/>
        <item x="2873"/>
        <item x="2471"/>
        <item x="2858"/>
        <item x="2573"/>
        <item x="1624"/>
        <item x="736"/>
        <item x="2518"/>
        <item x="1095"/>
        <item x="3151"/>
        <item x="3083"/>
        <item x="763"/>
        <item x="1053"/>
        <item x="2239"/>
        <item x="3422"/>
        <item x="1124"/>
        <item x="873"/>
        <item x="2907"/>
        <item x="2896"/>
        <item x="611"/>
        <item x="2273"/>
        <item x="3352"/>
        <item x="768"/>
        <item x="1079"/>
        <item x="3230"/>
        <item x="3355"/>
        <item x="1580"/>
        <item x="2088"/>
        <item x="2716"/>
        <item x="3071"/>
        <item x="3453"/>
        <item x="813"/>
        <item x="2906"/>
        <item x="1422"/>
        <item x="781"/>
        <item x="814"/>
        <item x="3068"/>
        <item x="2709"/>
        <item x="2459"/>
        <item x="2244"/>
        <item x="2845"/>
        <item x="2990"/>
        <item x="3157"/>
        <item x="2323"/>
        <item x="3127"/>
        <item x="3116"/>
        <item x="2041"/>
        <item x="2655"/>
        <item x="1913"/>
        <item x="709"/>
        <item x="773"/>
        <item x="2272"/>
        <item x="3258"/>
        <item x="2872"/>
        <item x="2458"/>
        <item x="3508"/>
        <item x="3103"/>
        <item x="2539"/>
        <item x="676"/>
        <item x="3227"/>
        <item x="3429"/>
        <item x="2068"/>
        <item x="2927"/>
        <item x="2072"/>
        <item x="86"/>
        <item x="552"/>
        <item x="2237"/>
        <item x="3388"/>
        <item x="2245"/>
        <item x="2637"/>
        <item x="3149"/>
        <item x="2520"/>
        <item x="63"/>
        <item x="879"/>
        <item x="2830"/>
        <item x="2581"/>
        <item x="1286"/>
        <item x="785"/>
        <item x="1109"/>
        <item x="2850"/>
        <item x="2141"/>
        <item x="2233"/>
        <item x="734"/>
        <item x="1344"/>
        <item x="1795"/>
        <item x="841"/>
        <item x="2241"/>
        <item x="556"/>
        <item x="3548"/>
        <item x="799"/>
        <item x="1013"/>
        <item x="752"/>
        <item x="3217"/>
        <item x="2027"/>
        <item x="3072"/>
        <item x="2753"/>
        <item x="815"/>
        <item x="3220"/>
        <item x="3440"/>
        <item x="2855"/>
        <item x="3421"/>
        <item x="0"/>
        <item x="3249"/>
        <item x="3098"/>
        <item x="993"/>
        <item x="1942"/>
        <item x="3219"/>
        <item x="3409"/>
        <item x="2411"/>
        <item x="1641"/>
        <item x="759"/>
        <item x="2839"/>
        <item x="3104"/>
        <item x="3212"/>
        <item x="1347"/>
        <item x="2722"/>
        <item x="1301"/>
        <item x="3550"/>
        <item x="2365"/>
        <item x="2678"/>
        <item x="2745"/>
        <item x="1499"/>
        <item x="2038"/>
        <item x="2122"/>
        <item x="3075"/>
        <item x="53"/>
        <item x="3359"/>
        <item x="3556"/>
        <item x="3238"/>
        <item x="2834"/>
        <item x="3356"/>
        <item x="2905"/>
        <item x="1941"/>
        <item x="826"/>
        <item x="2346"/>
        <item x="1560"/>
        <item x="2278"/>
        <item x="3555"/>
        <item x="2303"/>
        <item x="2514"/>
        <item x="3404"/>
        <item x="2691"/>
        <item x="2851"/>
        <item x="2274"/>
        <item x="3106"/>
        <item x="858"/>
        <item x="2939"/>
        <item x="3128"/>
        <item x="2580"/>
        <item x="746"/>
        <item x="2470"/>
        <item x="2119"/>
        <item x="3240"/>
        <item x="2890"/>
        <item x="3187"/>
        <item x="1304"/>
        <item x="2433"/>
        <item x="3431"/>
        <item x="1822"/>
        <item x="769"/>
        <item x="3547"/>
        <item x="2212"/>
        <item x="3432"/>
        <item x="2511"/>
        <item x="3276"/>
        <item x="2216"/>
        <item x="2243"/>
        <item x="2801"/>
        <item x="2886"/>
        <item x="3179"/>
        <item x="720"/>
        <item x="3471"/>
        <item x="1784"/>
        <item x="2117"/>
        <item x="1282"/>
        <item x="911"/>
        <item x="1119"/>
        <item x="2344"/>
        <item x="2852"/>
        <item x="2685"/>
        <item x="2247"/>
        <item x="3437"/>
        <item x="908"/>
        <item x="2897"/>
        <item x="2777"/>
        <item x="2899"/>
        <item x="2314"/>
        <item x="1505"/>
        <item x="1999"/>
        <item x="2880"/>
        <item x="2284"/>
        <item x="2574"/>
        <item x="1165"/>
        <item x="2913"/>
        <item x="3132"/>
        <item x="2280"/>
        <item x="2893"/>
        <item x="1335"/>
        <item x="2903"/>
        <item x="2217"/>
        <item x="3351"/>
        <item x="2823"/>
        <item x="3206"/>
        <item x="2712"/>
        <item x="56"/>
        <item x="2161"/>
        <item x="3357"/>
        <item x="3076"/>
        <item x="2073"/>
        <item x="3411"/>
        <item x="1105"/>
        <item x="852"/>
        <item x="1277"/>
        <item x="3218"/>
        <item x="3170"/>
        <item x="2772"/>
        <item x="2276"/>
        <item x="3225"/>
        <item x="3362"/>
        <item x="2847"/>
        <item x="2569"/>
        <item x="2683"/>
        <item x="849"/>
        <item x="3368"/>
        <item x="3194"/>
        <item x="2371"/>
        <item x="881"/>
        <item x="2582"/>
        <item x="3450"/>
        <item x="2700"/>
        <item x="3449"/>
        <item x="3439"/>
        <item x="3434"/>
        <item x="2042"/>
        <item x="970"/>
        <item x="920"/>
        <item x="2279"/>
        <item x="3139"/>
        <item x="3544"/>
        <item x="2522"/>
        <item x="2067"/>
        <item x="93"/>
        <item x="3558"/>
        <item x="2751"/>
        <item x="2912"/>
        <item x="1431"/>
        <item x="3114"/>
        <item x="3366"/>
        <item x="1331"/>
        <item x="146"/>
        <item x="3096"/>
        <item x="3275"/>
        <item x="3545"/>
        <item x="3150"/>
        <item x="2"/>
        <item x="3229"/>
        <item x="244"/>
        <item x="2570"/>
        <item x="2454"/>
        <item x="2653"/>
        <item x="1836"/>
        <item x="1797"/>
        <item x="1455"/>
        <item x="3410"/>
        <item x="2123"/>
        <item x="3427"/>
        <item x="2908"/>
        <item x="2465"/>
        <item x="816"/>
        <item x="3542"/>
        <item x="12"/>
        <item x="51"/>
        <item x="2933"/>
        <item x="3082"/>
        <item x="438"/>
        <item x="2523"/>
        <item x="2194"/>
        <item x="3564"/>
        <item x="2324"/>
        <item x="3549"/>
        <item x="3138"/>
        <item x="2391"/>
        <item x="3110"/>
        <item x="2708"/>
        <item x="1866"/>
        <item x="3393"/>
        <item x="3113"/>
        <item x="1332"/>
        <item x="800"/>
        <item x="673"/>
        <item x="2460"/>
        <item x="3392"/>
        <item x="2836"/>
        <item x="3383"/>
        <item x="2826"/>
        <item x="1595"/>
        <item x="2174"/>
        <item x="2234"/>
        <item x="2213"/>
        <item x="2564"/>
        <item x="2936"/>
        <item x="3304"/>
        <item x="990"/>
        <item x="2510"/>
        <item x="2162"/>
        <item x="3107"/>
        <item x="2410"/>
        <item x="1157"/>
        <item x="2214"/>
        <item x="3428"/>
        <item x="3066"/>
        <item x="2283"/>
        <item x="2113"/>
        <item x="2603"/>
        <item x="2509"/>
        <item x="783"/>
        <item x="2030"/>
        <item x="554"/>
        <item x="1353"/>
        <item x="1868"/>
        <item x="3123"/>
        <item x="975"/>
        <item x="2010"/>
        <item x="2695"/>
        <item x="114"/>
        <item x="1675"/>
        <item x="3350"/>
        <item x="3412"/>
        <item x="1352"/>
        <item x="2091"/>
        <item x="187"/>
        <item x="2521"/>
        <item x="3430"/>
        <item x="2246"/>
        <item x="3063"/>
        <item x="2236"/>
        <item x="3433"/>
        <item x="1527"/>
        <item x="384"/>
        <item x="2305"/>
        <item x="1815"/>
        <item x="2694"/>
        <item x="2774"/>
        <item x="2028"/>
        <item x="2116"/>
        <item x="2090"/>
        <item x="2634"/>
        <item x="3420"/>
        <item x="287"/>
        <item x="2911"/>
        <item x="1798"/>
        <item x="2519"/>
        <item x="678"/>
        <item x="966"/>
        <item x="1436"/>
        <item x="366"/>
        <item x="3176"/>
        <item x="2121"/>
        <item x="3367"/>
        <item x="3438"/>
        <item x="1757"/>
        <item x="3460"/>
        <item x="3454"/>
        <item x="1682"/>
        <item x="1533"/>
        <item x="2125"/>
        <item x="782"/>
        <item x="3323"/>
        <item x="2253"/>
        <item x="2369"/>
        <item x="3111"/>
        <item x="413"/>
        <item x="2854"/>
        <item x="2034"/>
        <item x="2583"/>
        <item x="679"/>
        <item x="2343"/>
        <item x="3494"/>
        <item x="2720"/>
        <item x="3089"/>
        <item x="3312"/>
        <item x="2697"/>
        <item x="3382"/>
        <item x="3306"/>
        <item x="2434"/>
        <item x="2721"/>
        <item x="1807"/>
        <item x="2943"/>
        <item x="3562"/>
        <item x="2240"/>
        <item x="3297"/>
        <item x="245"/>
        <item x="527"/>
        <item x="2066"/>
        <item x="1683"/>
        <item x="3028"/>
        <item x="3551"/>
        <item x="765"/>
        <item x="2064"/>
        <item x="1484"/>
        <item x="3237"/>
        <item x="2306"/>
        <item x="2752"/>
        <item x="2370"/>
        <item x="2657"/>
        <item x="2649"/>
        <item x="530"/>
        <item x="3540"/>
        <item x="2876"/>
        <item x="3452"/>
        <item x="3384"/>
        <item x="3090"/>
        <item x="3406"/>
        <item x="3126"/>
        <item x="1212"/>
        <item x="2416"/>
        <item x="2191"/>
        <item x="346"/>
        <item x="3364"/>
        <item x="2719"/>
        <item x="3300"/>
        <item x="804"/>
        <item x="2159"/>
        <item x="3457"/>
        <item x="1873"/>
        <item x="1471"/>
        <item x="3426"/>
        <item x="1032"/>
        <item x="2033"/>
        <item x="3041"/>
        <item x="1325"/>
        <item x="2040"/>
        <item x="2730"/>
        <item x="2472"/>
        <item x="3274"/>
        <item x="3349"/>
        <item x="905"/>
        <item x="3314"/>
        <item x="2942"/>
        <item x="3560"/>
        <item x="3391"/>
        <item x="3358"/>
        <item x="3272"/>
        <item x="2419"/>
        <item x="492"/>
        <item x="2035"/>
        <item x="3228"/>
        <item x="3088"/>
        <item x="1303"/>
        <item x="3399"/>
        <item x="120"/>
        <item x="2690"/>
        <item x="3418"/>
        <item x="789"/>
        <item x="2435"/>
        <item x="3510"/>
        <item x="1535"/>
        <item x="3541"/>
        <item x="896"/>
        <item x="2895"/>
        <item x="3345"/>
        <item x="2983"/>
        <item x="3552"/>
        <item x="2120"/>
        <item x="2841"/>
        <item x="1563"/>
        <item x="2822"/>
        <item x="2632"/>
        <item x="2684"/>
        <item x="3354"/>
        <item x="2031"/>
        <item x="2390"/>
        <item x="2469"/>
        <item x="3265"/>
        <item x="2342"/>
        <item x="3222"/>
        <item x="772"/>
        <item x="2032"/>
        <item x="170"/>
        <item x="3435"/>
        <item x="3186"/>
        <item x="3031"/>
        <item x="3231"/>
        <item x="2392"/>
        <item x="3271"/>
        <item x="2540"/>
        <item x="3561"/>
        <item x="2114"/>
        <item x="3198"/>
        <item x="764"/>
        <item x="361"/>
        <item x="2422"/>
        <item x="147"/>
        <item x="3233"/>
        <item x="2462"/>
        <item x="2412"/>
        <item x="2630"/>
        <item x="3538"/>
        <item x="1313"/>
        <item x="3164"/>
        <item x="3405"/>
        <item x="2793"/>
        <item x="3161"/>
        <item x="3195"/>
        <item x="899"/>
        <item x="2414"/>
        <item x="3371"/>
        <item x="3234"/>
        <item x="3417"/>
        <item x="2786"/>
        <item x="3223"/>
        <item x="3221"/>
        <item x="3487"/>
        <item x="3097"/>
        <item x="3557"/>
        <item x="2339"/>
        <item x="1242"/>
        <item x="3415"/>
        <item x="3183"/>
        <item x="1759"/>
        <item x="3344"/>
        <item x="3109"/>
        <item x="2349"/>
        <item x="2475"/>
        <item x="3537"/>
        <item x="790"/>
        <item x="3266"/>
        <item x="3226"/>
        <item x="3485"/>
        <item x="3307"/>
        <item x="835"/>
        <item x="545"/>
        <item x="3416"/>
        <item x="2196"/>
        <item x="2436"/>
        <item x="2651"/>
        <item x="2639"/>
        <item x="3261"/>
        <item x="2874"/>
        <item x="3042"/>
        <item x="2537"/>
        <item x="2235"/>
        <item x="3303"/>
        <item x="2093"/>
        <item x="531"/>
        <item x="3563"/>
        <item x="3376"/>
        <item x="2715"/>
        <item x="831"/>
        <item x="3313"/>
        <item x="2891"/>
        <item x="2015"/>
        <item x="2142"/>
        <item x="2698"/>
        <item x="1221"/>
        <item x="3004"/>
        <item x="2707"/>
        <item x="1694"/>
        <item x="2143"/>
        <item x="3559"/>
        <item x="3490"/>
        <item x="3259"/>
        <item x="798"/>
        <item x="2467"/>
        <item x="3085"/>
        <item x="2092"/>
        <item x="3125"/>
        <item x="3396"/>
        <item x="490"/>
        <item x="505"/>
        <item x="448"/>
        <item x="2242"/>
        <item x="2512"/>
        <item x="1183"/>
        <item x="2374"/>
        <item x="3001"/>
        <item x="2938"/>
        <item x="3488"/>
        <item x="3400"/>
        <item x="3115"/>
        <item x="3121"/>
        <item x="3142"/>
        <item x="2706"/>
        <item x="2299"/>
        <item x="3369"/>
        <item x="1852"/>
        <item x="865"/>
        <item x="1781"/>
        <item x="3026"/>
        <item x="2980"/>
        <item x="3263"/>
        <item x="1504"/>
        <item x="2814"/>
        <item x="3506"/>
        <item x="3017"/>
        <item x="2635"/>
        <item x="2095"/>
        <item x="1755"/>
        <item x="1417"/>
        <item x="1182"/>
        <item x="2089"/>
        <item x="3402"/>
        <item x="2144"/>
        <item x="2115"/>
        <item x="3401"/>
        <item x="2167"/>
        <item x="2065"/>
        <item x="110"/>
        <item x="3244"/>
        <item x="3539"/>
        <item x="2453"/>
        <item x="1385"/>
        <item x="699"/>
        <item x="3377"/>
        <item x="2568"/>
        <item x="3196"/>
        <item x="900"/>
        <item x="2464"/>
        <item x="3050"/>
        <item x="1317"/>
        <item x="3210"/>
        <item x="1621"/>
        <item x="2638"/>
        <item x="3291"/>
        <item x="2476"/>
        <item x="2934"/>
        <item x="3030"/>
        <item x="2652"/>
        <item x="2584"/>
        <item x="3390"/>
        <item x="2711"/>
        <item x="1445"/>
        <item x="2474"/>
        <item x="3279"/>
        <item x="1170"/>
        <item x="710"/>
        <item x="3059"/>
        <item x="766"/>
        <item x="1838"/>
        <item x="2565"/>
        <item x="2835"/>
        <item x="1849"/>
        <item x="3319"/>
        <item x="2112"/>
        <item x="3387"/>
        <item x="2729"/>
        <item x="1744"/>
        <item x="57"/>
        <item x="3215"/>
        <item x="2395"/>
        <item x="2254"/>
        <item x="3236"/>
        <item x="2930"/>
        <item x="2909"/>
        <item x="3262"/>
        <item x="3251"/>
        <item x="3324"/>
        <item x="3099"/>
        <item x="1805"/>
        <item x="2373"/>
        <item x="3012"/>
        <item x="3160"/>
        <item x="1203"/>
        <item x="2452"/>
        <item x="1983"/>
        <item x="3093"/>
        <item x="3034"/>
        <item x="2302"/>
        <item x="934"/>
        <item x="3039"/>
        <item x="3232"/>
        <item x="2996"/>
        <item x="2654"/>
        <item x="2992"/>
        <item x="3380"/>
        <item x="3087"/>
        <item x="3447"/>
        <item x="2315"/>
        <item x="2795"/>
        <item x="3214"/>
        <item x="2481"/>
        <item x="2964"/>
        <item x="3095"/>
        <item x="2496"/>
        <item x="2692"/>
        <item x="3309"/>
        <item x="3147"/>
        <item x="3484"/>
        <item x="1746"/>
        <item x="2215"/>
        <item x="3470"/>
        <item x="3135"/>
        <item x="3340"/>
        <item x="2375"/>
        <item x="2806"/>
        <item x="3290"/>
        <item x="1558"/>
        <item x="2744"/>
        <item x="2677"/>
        <item x="3500"/>
        <item x="3038"/>
        <item x="3477"/>
        <item x="2264"/>
        <item x="3180"/>
        <item x="3339"/>
        <item x="2079"/>
        <item x="891"/>
        <item x="2165"/>
        <item x="2325"/>
        <item x="3397"/>
        <item x="3403"/>
        <item x="2498"/>
        <item x="2043"/>
        <item x="2118"/>
        <item x="2999"/>
        <item x="3278"/>
        <item x="1412"/>
        <item x="2044"/>
        <item x="2193"/>
        <item x="2499"/>
        <item x="1982"/>
        <item x="1863"/>
        <item x="1525"/>
        <item x="2340"/>
        <item x="2593"/>
        <item x="3024"/>
        <item x="2248"/>
        <item x="3311"/>
        <item x="3129"/>
        <item x="3167"/>
        <item x="2480"/>
        <item x="1288"/>
        <item x="3205"/>
        <item x="3260"/>
        <item x="3346"/>
        <item x="2771"/>
        <item x="1980"/>
        <item x="3498"/>
        <item x="3257"/>
        <item x="2418"/>
        <item x="2304"/>
        <item x="3341"/>
        <item x="2944"/>
        <item x="1132"/>
        <item x="2658"/>
        <item x="3379"/>
        <item x="2941"/>
        <item x="2341"/>
        <item x="3145"/>
        <item x="3192"/>
        <item x="1551"/>
        <item x="590"/>
        <item x="847"/>
        <item x="3305"/>
        <item x="3201"/>
        <item x="3394"/>
        <item x="2039"/>
        <item x="2659"/>
        <item x="2439"/>
        <item x="3451"/>
        <item x="3289"/>
        <item x="1202"/>
        <item x="3181"/>
        <item x="3375"/>
        <item x="3535"/>
        <item x="391"/>
        <item x="3140"/>
        <item x="3332"/>
        <item x="3536"/>
        <item x="3058"/>
        <item x="2074"/>
        <item x="3378"/>
        <item x="2989"/>
        <item x="3395"/>
        <item x="2281"/>
        <item x="3094"/>
        <item x="3374"/>
        <item x="2036"/>
        <item x="1928"/>
        <item x="3243"/>
        <item x="1200"/>
        <item x="2256"/>
        <item x="2541"/>
        <item x="3474"/>
        <item x="3156"/>
        <item x="2993"/>
        <item x="2252"/>
        <item x="3472"/>
        <item x="3372"/>
        <item x="2732"/>
        <item x="2413"/>
        <item x="282"/>
        <item x="909"/>
        <item x="3131"/>
        <item x="1024"/>
        <item x="3000"/>
        <item x="2124"/>
        <item x="3044"/>
        <item x="3492"/>
        <item x="3497"/>
        <item x="1736"/>
        <item x="2676"/>
        <item x="3553"/>
        <item x="2918"/>
        <item x="3299"/>
        <item x="3298"/>
        <item x="3268"/>
        <item x="1603"/>
        <item x="859"/>
        <item x="2037"/>
        <item x="3386"/>
        <item x="3053"/>
        <item x="3533"/>
        <item x="2500"/>
        <item x="3373"/>
        <item x="2275"/>
        <item x="3009"/>
        <item x="2766"/>
        <item x="3343"/>
        <item x="2197"/>
        <item x="3224"/>
        <item x="3283"/>
        <item x="3308"/>
        <item x="2856"/>
        <item x="3199"/>
        <item x="2415"/>
        <item x="3120"/>
        <item x="2769"/>
        <item x="2218"/>
        <item x="3491"/>
        <item x="1061"/>
        <item x="3543"/>
        <item x="3178"/>
        <item x="3168"/>
        <item x="1693"/>
        <item x="2466"/>
        <item x="3414"/>
        <item x="3338"/>
        <item x="2101"/>
        <item x="3370"/>
        <item x="936"/>
        <item x="3006"/>
        <item x="3316"/>
        <item x="2301"/>
        <item x="2734"/>
        <item x="2250"/>
        <item x="2307"/>
        <item x="2160"/>
        <item x="2455"/>
        <item x="2322"/>
        <item x="2368"/>
        <item x="2759"/>
        <item x="3518"/>
        <item x="3177"/>
        <item x="681"/>
        <item x="3347"/>
        <item x="3270"/>
        <item x="2973"/>
        <item x="2468"/>
        <item x="3302"/>
        <item x="3317"/>
        <item x="952"/>
        <item x="3144"/>
        <item x="3320"/>
        <item x="2696"/>
        <item x="248"/>
        <item x="2417"/>
        <item x="3185"/>
        <item x="3011"/>
        <item x="2926"/>
        <item x="3436"/>
        <item x="3389"/>
        <item x="2094"/>
        <item x="2656"/>
        <item x="3171"/>
        <item x="2071"/>
        <item x="3512"/>
        <item x="3407"/>
        <item x="3250"/>
        <item x="1134"/>
        <item x="1230"/>
        <item x="3381"/>
        <item x="3408"/>
        <item x="1168"/>
        <item x="2312"/>
        <item x="887"/>
        <item x="3273"/>
        <item x="2163"/>
        <item x="1219"/>
        <item x="3078"/>
        <item x="2605"/>
        <item x="2517"/>
        <item x="2536"/>
        <item x="3105"/>
        <item x="2477"/>
        <item x="2096"/>
        <item x="2682"/>
        <item x="5"/>
        <item x="1588"/>
        <item x="3190"/>
        <item x="3336"/>
        <item x="3280"/>
        <item x="3256"/>
        <item x="2309"/>
        <item x="907"/>
        <item x="2437"/>
        <item x="3329"/>
        <item x="2526"/>
        <item x="2952"/>
        <item x="2463"/>
        <item x="3441"/>
        <item x="3342"/>
        <item x="2351"/>
        <item x="2169"/>
        <item x="2765"/>
        <item x="3330"/>
        <item x="3117"/>
        <item x="1957"/>
        <item x="2479"/>
        <item x="2985"/>
        <item x="2538"/>
        <item x="3216"/>
        <item x="2995"/>
        <item x="2380"/>
        <item x="1700"/>
        <item x="848"/>
        <item x="2478"/>
        <item x="2126"/>
        <item x="2892"/>
        <item x="2316"/>
        <item x="3424"/>
        <item x="3331"/>
        <item x="3118"/>
        <item x="810"/>
        <item x="2798"/>
        <item x="3254"/>
        <item x="2566"/>
        <item x="2389"/>
        <item x="838"/>
        <item x="2393"/>
        <item x="2950"/>
        <item x="860"/>
        <item x="884"/>
        <item x="2282"/>
        <item x="3482"/>
        <item x="698"/>
        <item x="3531"/>
        <item x="2929"/>
        <item x="2998"/>
        <item x="1225"/>
        <item x="3333"/>
        <item x="2473"/>
        <item x="2571"/>
        <item x="3169"/>
        <item x="3334"/>
        <item x="3337"/>
        <item x="3146"/>
        <item x="3293"/>
        <item x="2986"/>
        <item x="1156"/>
        <item x="2421"/>
        <item x="2888"/>
        <item x="2394"/>
        <item x="830"/>
        <item x="3284"/>
        <item x="2928"/>
        <item x="982"/>
        <item x="2860"/>
        <item x="3154"/>
        <item x="2069"/>
        <item x="3493"/>
        <item x="3479"/>
        <item x="3296"/>
        <item x="1327"/>
        <item x="2968"/>
        <item x="3353"/>
        <item x="885"/>
        <item x="3197"/>
        <item x="3021"/>
        <item x="2644"/>
        <item x="2164"/>
        <item x="3425"/>
        <item x="1268"/>
        <item x="3124"/>
        <item x="3532"/>
        <item x="2310"/>
        <item x="1310"/>
        <item x="3546"/>
        <item x="3045"/>
        <item x="2579"/>
        <item x="1596"/>
        <item x="3022"/>
        <item x="3310"/>
        <item x="2699"/>
        <item x="3081"/>
        <item x="3065"/>
        <item x="3496"/>
        <item x="2527"/>
        <item x="3515"/>
        <item x="2255"/>
        <item x="3335"/>
        <item x="2843"/>
        <item x="3322"/>
        <item x="3288"/>
        <item x="2761"/>
        <item x="3207"/>
        <item x="3423"/>
        <item x="2932"/>
        <item x="3166"/>
        <item x="2308"/>
        <item x="2515"/>
        <item x="801"/>
        <item x="3175"/>
        <item x="3529"/>
        <item x="2529"/>
        <item x="2542"/>
        <item x="3148"/>
        <item x="2528"/>
        <item x="2195"/>
        <item x="1021"/>
        <item x="2686"/>
        <item x="3481"/>
        <item x="1220"/>
        <item x="3287"/>
        <item x="2457"/>
        <item x="3348"/>
        <item x="2345"/>
        <item x="2503"/>
        <item x="2367"/>
        <item x="2456"/>
        <item x="2861"/>
        <item x="1342"/>
        <item x="546"/>
        <item x="3074"/>
        <item x="2726"/>
        <item x="2555"/>
        <item x="3467"/>
        <item x="2636"/>
        <item x="1215"/>
        <item x="2170"/>
        <item x="3014"/>
        <item x="3036"/>
        <item x="3363"/>
        <item x="3511"/>
        <item x="2172"/>
        <item x="3209"/>
        <item x="3505"/>
        <item x="898"/>
        <item x="3327"/>
        <item x="2760"/>
        <item x="2360"/>
        <item x="2497"/>
        <item x="3023"/>
        <item x="3100"/>
        <item x="3077"/>
        <item x="3092"/>
        <item x="3294"/>
        <item x="2748"/>
        <item x="2507"/>
        <item x="3189"/>
        <item x="3239"/>
        <item x="3003"/>
        <item x="3015"/>
        <item x="3080"/>
        <item x="3060"/>
        <item x="2372"/>
        <item x="3163"/>
        <item x="951"/>
        <item x="2963"/>
        <item x="2783"/>
        <item x="3264"/>
        <item x="2535"/>
        <item x="2762"/>
        <item x="3204"/>
        <item x="2705"/>
        <item x="3413"/>
        <item x="2317"/>
        <item x="2168"/>
        <item x="1819"/>
        <item x="2575"/>
        <item x="2501"/>
        <item x="2328"/>
        <item x="2619"/>
        <item x="2319"/>
        <item x="3101"/>
        <item x="1176"/>
        <item x="2889"/>
        <item x="400"/>
        <item x="2334"/>
        <item x="823"/>
        <item x="3483"/>
        <item x="2743"/>
        <item x="2988"/>
        <item x="2251"/>
        <item x="1401"/>
        <item x="2379"/>
        <item x="933"/>
        <item x="3292"/>
        <item x="2048"/>
        <item x="2643"/>
        <item x="3365"/>
        <item x="3478"/>
        <item x="1812"/>
        <item x="761"/>
        <item x="2969"/>
        <item x="2829"/>
        <item x="2277"/>
        <item x="3554"/>
        <item x="2502"/>
        <item x="2733"/>
        <item x="3446"/>
        <item x="3153"/>
        <item x="2311"/>
        <item x="843"/>
        <item x="2238"/>
        <item x="2572"/>
        <item x="3252"/>
        <item x="2320"/>
        <item x="2531"/>
        <item x="2423"/>
        <item x="2525"/>
        <item x="2171"/>
        <item x="1931"/>
        <item x="825"/>
        <item x="3480"/>
        <item x="3141"/>
        <item x="3008"/>
        <item x="3269"/>
        <item x="2505"/>
        <item x="1295"/>
        <item x="3202"/>
        <item x="1231"/>
        <item x="3002"/>
        <item x="2350"/>
        <item x="2049"/>
        <item x="26"/>
        <item x="2333"/>
        <item x="3108"/>
        <item x="3158"/>
        <item x="2787"/>
        <item x="3137"/>
        <item x="2731"/>
        <item x="2533"/>
        <item x="3286"/>
        <item x="2329"/>
        <item x="2785"/>
        <item x="3456"/>
        <item x="2645"/>
        <item x="3301"/>
        <item x="3184"/>
        <item x="3281"/>
        <item x="2714"/>
        <item x="2300"/>
        <item x="1951"/>
        <item x="2693"/>
        <item x="3211"/>
        <item x="3027"/>
        <item x="3162"/>
        <item x="2848"/>
        <item x="2249"/>
        <item x="3445"/>
        <item x="3112"/>
        <item x="828"/>
        <item x="2567"/>
        <item x="1145"/>
        <item x="3443"/>
        <item x="2382"/>
        <item x="2978"/>
        <item x="861"/>
        <item x="3091"/>
        <item x="2534"/>
        <item x="925"/>
        <item x="2166"/>
        <item x="2764"/>
        <item x="2578"/>
        <item x="2607"/>
        <item x="1283"/>
        <item x="2940"/>
        <item x="2313"/>
        <item x="3530"/>
        <item x="3208"/>
        <item x="3188"/>
        <item x="2898"/>
        <item x="3325"/>
        <item x="2424"/>
        <item x="3495"/>
        <item x="3018"/>
        <item x="2609"/>
        <item x="3501"/>
        <item x="3079"/>
        <item x="2884"/>
        <item x="3182"/>
        <item x="3203"/>
        <item x="2623"/>
        <item x="3119"/>
        <item x="2640"/>
        <item x="2029"/>
        <item x="2532"/>
        <item x="3159"/>
        <item x="3172"/>
        <item x="1365"/>
        <item x="3029"/>
        <item x="3102"/>
        <item x="3020"/>
        <item x="2130"/>
        <item x="1584"/>
        <item x="3534"/>
        <item x="2444"/>
        <item x="2629"/>
        <item x="3069"/>
        <item x="2577"/>
        <item x="2331"/>
        <item x="3025"/>
        <item x="2516"/>
        <item x="2805"/>
        <item x="3507"/>
        <item x="840"/>
        <item x="2426"/>
        <item x="1067"/>
        <item x="3295"/>
        <item x="2387"/>
        <item x="3213"/>
        <item x="2739"/>
        <item x="1441"/>
        <item x="1245"/>
        <item x="3193"/>
        <item x="2641"/>
        <item x="2650"/>
        <item x="2321"/>
        <item x="2966"/>
        <item x="988"/>
        <item x="2949"/>
        <item x="797"/>
        <item x="2977"/>
        <item x="824"/>
        <item x="3064"/>
        <item x="3489"/>
        <item x="2400"/>
        <item x="3013"/>
        <item x="2633"/>
        <item x="839"/>
        <item x="3504"/>
        <item x="3361"/>
        <item x="2687"/>
        <item x="3513"/>
        <item x="851"/>
        <item x="2427"/>
        <item x="2763"/>
        <item x="3473"/>
        <item x="2688"/>
        <item x="3442"/>
        <item x="2740"/>
        <item x="2857"/>
        <item x="1622"/>
        <item x="3010"/>
        <item x="2956"/>
        <item x="3282"/>
        <item x="3326"/>
        <item x="2778"/>
        <item x="2975"/>
        <item x="2621"/>
        <item x="2738"/>
        <item x="2846"/>
        <item x="2347"/>
        <item x="2796"/>
        <item x="541"/>
        <item x="2997"/>
        <item x="2961"/>
        <item x="2223"/>
        <item x="2192"/>
        <item x="2129"/>
        <item x="3398"/>
        <item x="2825"/>
        <item x="2318"/>
        <item x="2982"/>
        <item x="2445"/>
        <item x="2924"/>
        <item x="1007"/>
        <item x="2646"/>
        <item x="2429"/>
        <item x="2354"/>
        <item x="2447"/>
        <item x="3007"/>
        <item x="2440"/>
        <item x="3032"/>
        <item x="3318"/>
        <item x="2362"/>
        <item x="3043"/>
        <item x="2381"/>
        <item x="2383"/>
        <item x="2399"/>
        <item x="822"/>
        <item x="2406"/>
        <item x="2408"/>
        <item x="2642"/>
        <item x="2779"/>
        <item x="832"/>
        <item x="3267"/>
        <item x="2859"/>
        <item x="2812"/>
        <item x="2947"/>
        <item x="3499"/>
        <item x="2425"/>
        <item x="2428"/>
        <item x="3035"/>
        <item x="2959"/>
        <item x="2530"/>
        <item x="2288"/>
        <item x="2357"/>
        <item x="3019"/>
        <item x="2647"/>
        <item x="819"/>
        <item x="2804"/>
        <item x="2799"/>
        <item x="3285"/>
        <item x="3360"/>
        <item x="2132"/>
        <item x="2430"/>
        <item x="2736"/>
        <item x="2401"/>
        <item x="2441"/>
        <item x="846"/>
        <item x="3328"/>
        <item x="2353"/>
        <item x="2870"/>
        <item x="2388"/>
        <item x="2828"/>
        <item x="2358"/>
        <item x="2442"/>
        <item x="2552"/>
        <item x="3464"/>
        <item x="460"/>
        <item x="2136"/>
        <item x="2335"/>
        <item x="2366"/>
        <item x="2361"/>
        <item x="2338"/>
        <item x="2524"/>
        <item x="2551"/>
        <item x="3524"/>
        <item x="3502"/>
        <item x="2131"/>
        <item x="3062"/>
        <item x="2199"/>
        <item x="2409"/>
        <item x="3057"/>
        <item x="2356"/>
        <item x="2951"/>
        <item x="2544"/>
        <item x="2404"/>
        <item x="2815"/>
        <item x="2203"/>
        <item x="2821"/>
        <item x="3054"/>
        <item x="2202"/>
        <item x="2689"/>
        <item x="3523"/>
        <item x="2808"/>
        <item x="2286"/>
        <item x="2398"/>
        <item x="3174"/>
        <item x="2881"/>
        <item x="2735"/>
        <item x="2844"/>
        <item x="2504"/>
        <item x="2991"/>
        <item x="2631"/>
        <item x="3086"/>
        <item x="2563"/>
        <item x="2506"/>
        <item x="2332"/>
        <item x="476"/>
        <item x="2330"/>
        <item x="3253"/>
        <item x="3458"/>
        <item x="2451"/>
        <item x="2179"/>
        <item x="2082"/>
        <item x="3526"/>
        <item x="2363"/>
        <item x="2901"/>
        <item x="2797"/>
        <item x="3509"/>
        <item x="2224"/>
        <item x="3134"/>
        <item x="3037"/>
        <item x="2378"/>
        <item x="2128"/>
        <item x="2887"/>
        <item x="3191"/>
        <item x="271"/>
        <item x="3315"/>
        <item x="3522"/>
        <item x="2081"/>
        <item x="3155"/>
        <item x="2446"/>
        <item x="2285"/>
        <item x="2780"/>
        <item x="2622"/>
        <item x="2384"/>
        <item x="2728"/>
        <item x="2448"/>
        <item x="2085"/>
        <item x="2077"/>
        <item x="2201"/>
        <item x="807"/>
        <item x="2549"/>
        <item x="2543"/>
        <item x="2407"/>
        <item x="3514"/>
        <item x="2364"/>
        <item x="2355"/>
        <item x="2403"/>
        <item x="2402"/>
        <item x="2348"/>
        <item x="3165"/>
        <item x="2576"/>
        <item x="2548"/>
        <item x="2627"/>
        <item x="2385"/>
        <item x="2359"/>
        <item x="2386"/>
        <item x="3016"/>
        <item x="2681"/>
        <item x="2229"/>
        <item x="803"/>
        <item x="2188"/>
        <item x="3152"/>
        <item x="2046"/>
        <item x="3527"/>
        <item x="3046"/>
        <item x="2842"/>
        <item x="2553"/>
        <item x="3525"/>
        <item x="2967"/>
        <item x="2133"/>
        <item x="2837"/>
        <item x="2220"/>
        <item x="2086"/>
        <item x="2768"/>
        <item x="3277"/>
        <item x="2293"/>
        <item x="2661"/>
        <item x="2713"/>
        <item x="2737"/>
        <item x="3033"/>
        <item x="2083"/>
        <item x="2648"/>
        <item x="2294"/>
        <item x="2227"/>
        <item x="2794"/>
        <item x="2979"/>
        <item x="3040"/>
        <item x="2135"/>
        <item x="2262"/>
        <item x="2078"/>
        <item x="2180"/>
        <item x="2292"/>
        <item x="3005"/>
        <item x="2747"/>
        <item x="2782"/>
        <item x="2853"/>
        <item x="2754"/>
        <item x="2183"/>
        <item x="2376"/>
        <item x="2885"/>
        <item x="2396"/>
        <item x="2287"/>
        <item x="2667"/>
        <item x="2336"/>
        <item x="2450"/>
        <item x="2877"/>
        <item x="3048"/>
        <item x="2840"/>
        <item x="2222"/>
        <item x="2265"/>
        <item x="2377"/>
        <item x="2443"/>
        <item x="2987"/>
        <item x="3486"/>
        <item x="3049"/>
        <item x="2670"/>
        <item x="2449"/>
        <item x="2271"/>
        <item x="3061"/>
        <item x="2175"/>
        <item x="2182"/>
        <item x="2508"/>
        <item x="2662"/>
        <item x="2776"/>
        <item x="2675"/>
        <item x="2666"/>
        <item x="2200"/>
        <item x="2337"/>
        <item x="2076"/>
        <item x="3055"/>
        <item x="2824"/>
        <item x="2948"/>
        <item x="3052"/>
        <item x="2140"/>
        <item x="2925"/>
        <item x="2205"/>
        <item x="2232"/>
        <item x="2152"/>
        <item x="2724"/>
        <item x="2879"/>
        <item x="2875"/>
        <item x="2206"/>
        <item x="2831"/>
        <item x="2291"/>
        <item x="2610"/>
        <item x="2833"/>
        <item x="2045"/>
        <item x="2832"/>
        <item x="2668"/>
        <item x="2420"/>
        <item x="2813"/>
        <item x="2139"/>
        <item x="2204"/>
        <item x="3528"/>
        <item x="2397"/>
        <item x="2290"/>
        <item x="2327"/>
        <item x="2075"/>
        <item x="3461"/>
        <item x="2055"/>
        <item x="2084"/>
        <item x="2664"/>
        <item x="1925"/>
        <item x="2087"/>
        <item x="2431"/>
        <item x="3067"/>
        <item x="2221"/>
        <item x="2269"/>
        <item x="2289"/>
        <item x="2673"/>
        <item x="2198"/>
        <item x="2984"/>
        <item x="2056"/>
        <item x="2405"/>
        <item x="2663"/>
        <item x="2134"/>
        <item x="2080"/>
        <item x="2189"/>
        <item x="1571"/>
        <item x="2105"/>
        <item x="3462"/>
        <item x="2608"/>
        <item x="2209"/>
        <item x="2931"/>
        <item x="2295"/>
        <item x="2962"/>
        <item x="2438"/>
        <item x="3073"/>
        <item x="2665"/>
        <item x="2604"/>
        <item x="2871"/>
        <item x="2546"/>
        <item x="2137"/>
        <item x="2624"/>
        <item x="2561"/>
        <item x="2669"/>
        <item x="2974"/>
        <item x="3143"/>
        <item x="2150"/>
        <item x="2181"/>
        <item x="2863"/>
        <item x="3517"/>
        <item x="2127"/>
        <item x="2297"/>
        <item x="2882"/>
        <item x="2718"/>
        <item x="2260"/>
        <item x="2615"/>
        <item x="2625"/>
        <item x="2489"/>
        <item x="2298"/>
        <item x="2547"/>
        <item x="2660"/>
        <item x="2972"/>
        <item x="2098"/>
        <item x="2270"/>
        <item x="2864"/>
        <item x="2207"/>
        <item x="2488"/>
        <item x="2326"/>
        <item x="2263"/>
        <item x="2672"/>
        <item x="2487"/>
        <item x="2111"/>
        <item x="2352"/>
        <item x="2865"/>
        <item x="2184"/>
        <item x="3465"/>
        <item x="2725"/>
        <item x="3136"/>
        <item x="2231"/>
        <item x="2230"/>
        <item x="2953"/>
        <item x="2671"/>
        <item x="2266"/>
        <item x="2106"/>
        <item x="3466"/>
        <item x="2862"/>
        <item x="2970"/>
        <item x="2818"/>
        <item x="2554"/>
        <item x="2296"/>
        <item x="2057"/>
        <item x="2883"/>
        <item x="1966"/>
        <item x="2219"/>
        <item x="2981"/>
        <item x="2211"/>
        <item x="2138"/>
        <item x="2059"/>
        <item x="2485"/>
        <item x="2047"/>
        <item x="2226"/>
        <item x="2053"/>
        <item x="2946"/>
        <item x="2597"/>
        <item x="2878"/>
        <item x="2051"/>
        <item x="2490"/>
        <item x="2606"/>
        <item x="2784"/>
        <item x="2723"/>
        <item x="2058"/>
        <item x="2268"/>
        <item x="2550"/>
        <item x="2187"/>
        <item x="2838"/>
        <item x="2225"/>
        <item x="2559"/>
        <item x="2208"/>
        <item x="2185"/>
        <item x="2210"/>
        <item x="2261"/>
        <item x="2099"/>
        <item x="2148"/>
        <item x="2790"/>
        <item x="2097"/>
        <item x="2484"/>
        <item x="3173"/>
        <item x="2050"/>
        <item x="2100"/>
        <item x="2868"/>
        <item x="2151"/>
        <item x="2104"/>
        <item x="2110"/>
        <item x="3475"/>
        <item x="2557"/>
        <item x="2869"/>
        <item x="2257"/>
        <item x="2781"/>
        <item x="2775"/>
        <item x="2600"/>
        <item x="2228"/>
        <item x="2432"/>
        <item x="2178"/>
        <item x="2486"/>
        <item x="2494"/>
        <item x="3056"/>
        <item x="2495"/>
        <item x="2586"/>
        <item x="2062"/>
        <item x="2994"/>
        <item x="2147"/>
        <item x="2060"/>
        <item x="2976"/>
        <item x="2063"/>
        <item x="2061"/>
        <item x="2817"/>
        <item x="2958"/>
        <item x="2103"/>
        <item x="2616"/>
        <item x="2802"/>
        <item x="2617"/>
        <item x="2267"/>
        <item x="2599"/>
        <item x="2177"/>
        <item x="2052"/>
        <item x="2149"/>
        <item x="2491"/>
        <item x="1882"/>
        <item x="2259"/>
        <item x="2589"/>
        <item x="2492"/>
        <item x="3469"/>
        <item x="3242"/>
        <item x="2176"/>
        <item x="3519"/>
        <item x="953"/>
        <item x="2107"/>
        <item x="2146"/>
        <item x="2792"/>
        <item x="2809"/>
        <item x="2955"/>
        <item x="2258"/>
        <item x="2595"/>
        <item x="2186"/>
        <item x="3520"/>
        <item x="2800"/>
        <item x="2811"/>
        <item x="2102"/>
        <item x="2158"/>
        <item x="2620"/>
        <item x="2618"/>
        <item x="2153"/>
        <item x="2810"/>
        <item x="2483"/>
        <item x="2108"/>
        <item x="2054"/>
        <item x="2545"/>
        <item x="2109"/>
        <item x="2867"/>
        <item x="2866"/>
        <item x="2590"/>
        <item x="2591"/>
        <item x="2602"/>
        <item x="2965"/>
        <item x="2935"/>
        <item x="2803"/>
        <item x="2960"/>
        <item x="2154"/>
        <item x="2482"/>
        <item x="3070"/>
        <item x="2493"/>
        <item x="2971"/>
        <item x="2626"/>
        <item x="3463"/>
        <item x="3241"/>
        <item x="2601"/>
        <item x="2957"/>
        <item x="2156"/>
        <item x="3051"/>
        <item x="2770"/>
        <item x="2145"/>
        <item x="2954"/>
        <item x="2562"/>
        <item x="3521"/>
        <item x="2767"/>
        <item x="2628"/>
        <item x="2791"/>
        <item x="2157"/>
        <item x="2155"/>
        <item x="2594"/>
        <item x="2819"/>
        <item x="2816"/>
        <item x="2902"/>
        <item x="2916"/>
        <item x="2923"/>
        <item x="2827"/>
        <item x="1104"/>
        <item x="1112"/>
        <item x="2612"/>
        <item x="2613"/>
        <item x="2789"/>
        <item x="2560"/>
        <item x="3459"/>
        <item x="2788"/>
        <item x="1087"/>
        <item x="2820"/>
        <item x="2585"/>
        <item x="2592"/>
        <item x="2598"/>
        <item x="3444"/>
        <item x="3468"/>
        <item x="3255"/>
        <item x="3247"/>
        <item x="2758"/>
        <item x="3455"/>
        <item x="2588"/>
        <item x="2558"/>
        <item x="2614"/>
        <item x="3246"/>
        <item x="2611"/>
        <item x="3248"/>
        <item x="3245"/>
        <item x="3"/>
        <item x="4"/>
        <item x="6"/>
        <item x="7"/>
        <item x="8"/>
        <item x="9"/>
        <item x="10"/>
        <item x="11"/>
        <item x="13"/>
        <item x="14"/>
        <item x="15"/>
        <item x="16"/>
        <item x="17"/>
        <item x="18"/>
        <item x="19"/>
        <item x="20"/>
        <item x="21"/>
        <item x="22"/>
        <item x="23"/>
        <item x="24"/>
        <item x="25"/>
        <item x="27"/>
        <item x="28"/>
        <item x="29"/>
        <item x="30"/>
        <item x="31"/>
        <item x="32"/>
        <item x="33"/>
        <item x="34"/>
        <item x="35"/>
        <item x="36"/>
        <item x="37"/>
        <item x="38"/>
        <item x="39"/>
        <item x="40"/>
        <item x="41"/>
        <item x="42"/>
        <item x="43"/>
        <item x="44"/>
        <item x="45"/>
        <item x="46"/>
        <item x="47"/>
        <item x="48"/>
        <item x="49"/>
        <item x="50"/>
        <item x="52"/>
        <item x="54"/>
        <item x="55"/>
        <item x="58"/>
        <item x="59"/>
        <item x="60"/>
        <item x="61"/>
        <item x="62"/>
        <item x="64"/>
        <item x="66"/>
        <item x="67"/>
        <item x="68"/>
        <item x="69"/>
        <item x="70"/>
        <item x="71"/>
        <item x="72"/>
        <item x="73"/>
        <item x="74"/>
        <item x="75"/>
        <item x="76"/>
        <item x="77"/>
        <item x="78"/>
        <item x="79"/>
        <item x="80"/>
        <item x="81"/>
        <item x="82"/>
        <item x="83"/>
        <item x="84"/>
        <item x="85"/>
        <item x="87"/>
        <item x="88"/>
        <item x="89"/>
        <item x="90"/>
        <item x="91"/>
        <item x="92"/>
        <item x="94"/>
        <item x="95"/>
        <item x="96"/>
        <item x="97"/>
        <item x="98"/>
        <item x="99"/>
        <item x="100"/>
        <item x="101"/>
        <item x="102"/>
        <item x="103"/>
        <item x="104"/>
        <item x="105"/>
        <item x="106"/>
        <item x="107"/>
        <item x="108"/>
        <item x="109"/>
        <item x="111"/>
        <item x="112"/>
        <item x="113"/>
        <item x="115"/>
        <item x="116"/>
        <item x="117"/>
        <item x="118"/>
        <item x="119"/>
        <item x="121"/>
        <item x="122"/>
        <item x="123"/>
        <item x="124"/>
        <item x="125"/>
        <item x="126"/>
        <item x="127"/>
        <item x="128"/>
        <item x="129"/>
        <item x="130"/>
        <item x="131"/>
        <item x="132"/>
        <item x="133"/>
        <item x="134"/>
        <item x="135"/>
        <item x="136"/>
        <item x="137"/>
        <item x="138"/>
        <item x="139"/>
        <item x="140"/>
        <item x="141"/>
        <item x="142"/>
        <item x="143"/>
        <item x="144"/>
        <item x="145"/>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8"/>
        <item x="189"/>
        <item x="190"/>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6"/>
        <item x="247"/>
        <item x="249"/>
        <item x="250"/>
        <item x="251"/>
        <item x="252"/>
        <item x="253"/>
        <item x="254"/>
        <item x="255"/>
        <item x="256"/>
        <item x="257"/>
        <item x="258"/>
        <item x="259"/>
        <item x="260"/>
        <item x="261"/>
        <item x="262"/>
        <item x="263"/>
        <item x="264"/>
        <item x="265"/>
        <item x="266"/>
        <item x="267"/>
        <item x="268"/>
        <item x="269"/>
        <item x="270"/>
        <item x="272"/>
        <item x="273"/>
        <item x="274"/>
        <item x="275"/>
        <item x="276"/>
        <item x="277"/>
        <item x="278"/>
        <item x="279"/>
        <item x="280"/>
        <item x="281"/>
        <item x="283"/>
        <item x="284"/>
        <item x="285"/>
        <item x="286"/>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7"/>
        <item x="348"/>
        <item x="349"/>
        <item x="350"/>
        <item x="351"/>
        <item x="352"/>
        <item x="353"/>
        <item x="354"/>
        <item x="355"/>
        <item x="356"/>
        <item x="357"/>
        <item x="358"/>
        <item x="359"/>
        <item x="360"/>
        <item x="362"/>
        <item x="363"/>
        <item x="364"/>
        <item x="365"/>
        <item x="367"/>
        <item x="368"/>
        <item x="369"/>
        <item x="370"/>
        <item x="371"/>
        <item x="372"/>
        <item x="373"/>
        <item x="374"/>
        <item x="375"/>
        <item x="376"/>
        <item x="377"/>
        <item x="378"/>
        <item x="379"/>
        <item x="380"/>
        <item x="381"/>
        <item x="382"/>
        <item x="383"/>
        <item x="385"/>
        <item x="386"/>
        <item x="387"/>
        <item x="388"/>
        <item x="389"/>
        <item x="390"/>
        <item x="392"/>
        <item x="393"/>
        <item x="394"/>
        <item x="395"/>
        <item x="396"/>
        <item x="397"/>
        <item x="398"/>
        <item x="399"/>
        <item x="401"/>
        <item x="402"/>
        <item x="403"/>
        <item x="404"/>
        <item x="405"/>
        <item x="406"/>
        <item x="407"/>
        <item x="408"/>
        <item x="409"/>
        <item x="410"/>
        <item x="411"/>
        <item x="412"/>
        <item x="414"/>
        <item x="415"/>
        <item x="416"/>
        <item x="417"/>
        <item x="418"/>
        <item x="419"/>
        <item x="420"/>
        <item x="421"/>
        <item x="422"/>
        <item x="423"/>
        <item x="424"/>
        <item x="425"/>
        <item x="426"/>
        <item x="427"/>
        <item x="428"/>
        <item x="429"/>
        <item x="430"/>
        <item x="431"/>
        <item x="432"/>
        <item x="433"/>
        <item x="434"/>
        <item x="435"/>
        <item x="436"/>
        <item x="437"/>
        <item x="439"/>
        <item x="440"/>
        <item x="441"/>
        <item x="442"/>
        <item x="443"/>
        <item x="444"/>
        <item x="445"/>
        <item x="446"/>
        <item x="447"/>
        <item x="449"/>
        <item x="450"/>
        <item x="451"/>
        <item x="452"/>
        <item x="453"/>
        <item x="454"/>
        <item x="455"/>
        <item x="456"/>
        <item x="457"/>
        <item x="458"/>
        <item x="459"/>
        <item x="461"/>
        <item x="462"/>
        <item x="463"/>
        <item x="464"/>
        <item x="465"/>
        <item x="466"/>
        <item x="467"/>
        <item x="468"/>
        <item x="469"/>
        <item x="470"/>
        <item x="471"/>
        <item x="472"/>
        <item x="473"/>
        <item x="474"/>
        <item x="475"/>
        <item x="477"/>
        <item x="478"/>
        <item x="479"/>
        <item x="480"/>
        <item x="481"/>
        <item x="482"/>
        <item x="483"/>
        <item x="484"/>
        <item x="485"/>
        <item x="486"/>
        <item x="487"/>
        <item x="488"/>
        <item x="489"/>
        <item x="491"/>
        <item x="493"/>
        <item x="494"/>
        <item x="495"/>
        <item x="496"/>
        <item x="497"/>
        <item x="498"/>
        <item x="499"/>
        <item x="500"/>
        <item x="501"/>
        <item x="502"/>
        <item x="503"/>
        <item x="504"/>
        <item x="506"/>
        <item x="507"/>
        <item x="508"/>
        <item x="509"/>
        <item x="510"/>
        <item x="511"/>
        <item x="512"/>
        <item x="513"/>
        <item x="514"/>
        <item x="515"/>
        <item x="516"/>
        <item x="517"/>
        <item x="518"/>
        <item x="519"/>
        <item x="520"/>
        <item x="521"/>
        <item x="522"/>
        <item x="523"/>
        <item x="524"/>
        <item x="525"/>
        <item x="526"/>
        <item x="528"/>
        <item x="529"/>
        <item x="532"/>
        <item x="533"/>
        <item x="534"/>
        <item x="535"/>
        <item x="536"/>
        <item x="537"/>
        <item x="538"/>
        <item x="539"/>
        <item x="540"/>
        <item x="542"/>
        <item x="543"/>
        <item x="544"/>
        <item x="547"/>
        <item x="548"/>
        <item x="549"/>
        <item x="550"/>
        <item x="551"/>
        <item x="553"/>
        <item x="555"/>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1"/>
        <item x="592"/>
        <item x="593"/>
        <item x="594"/>
        <item x="595"/>
        <item x="596"/>
        <item x="597"/>
        <item x="598"/>
        <item x="599"/>
        <item x="600"/>
        <item x="601"/>
        <item x="602"/>
        <item x="603"/>
        <item x="604"/>
        <item x="605"/>
        <item x="606"/>
        <item x="607"/>
        <item x="608"/>
        <item x="609"/>
        <item x="610"/>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4"/>
        <item x="675"/>
        <item x="677"/>
        <item x="680"/>
        <item x="682"/>
        <item x="683"/>
        <item x="684"/>
        <item x="685"/>
        <item x="686"/>
        <item x="687"/>
        <item x="688"/>
        <item x="689"/>
        <item x="690"/>
        <item x="691"/>
        <item x="692"/>
        <item x="693"/>
        <item x="694"/>
        <item x="695"/>
        <item x="696"/>
        <item x="697"/>
        <item x="700"/>
        <item x="701"/>
        <item x="702"/>
        <item x="703"/>
        <item x="704"/>
        <item x="705"/>
        <item x="706"/>
        <item x="707"/>
        <item x="708"/>
        <item x="711"/>
        <item x="712"/>
        <item x="713"/>
        <item x="714"/>
        <item x="715"/>
        <item x="716"/>
        <item x="717"/>
        <item x="718"/>
        <item x="719"/>
        <item x="721"/>
        <item x="722"/>
        <item x="723"/>
        <item x="724"/>
        <item x="725"/>
        <item x="726"/>
        <item x="727"/>
        <item x="728"/>
        <item x="729"/>
        <item x="730"/>
        <item x="731"/>
        <item x="732"/>
        <item x="733"/>
        <item x="757"/>
        <item x="758"/>
        <item x="760"/>
        <item x="767"/>
        <item x="780"/>
        <item x="787"/>
        <item x="788"/>
        <item x="791"/>
        <item x="792"/>
        <item x="793"/>
        <item x="794"/>
        <item x="796"/>
        <item x="802"/>
        <item x="805"/>
        <item x="806"/>
        <item x="808"/>
        <item x="809"/>
        <item x="811"/>
        <item x="812"/>
        <item x="817"/>
        <item x="818"/>
        <item x="820"/>
        <item x="821"/>
        <item x="827"/>
        <item x="829"/>
        <item x="833"/>
        <item x="834"/>
        <item x="836"/>
        <item x="837"/>
        <item x="844"/>
        <item x="845"/>
        <item x="850"/>
        <item x="853"/>
        <item x="854"/>
        <item x="855"/>
        <item x="862"/>
        <item x="863"/>
        <item x="864"/>
        <item x="866"/>
        <item x="867"/>
        <item x="868"/>
        <item x="869"/>
        <item x="870"/>
        <item x="871"/>
        <item x="872"/>
        <item x="875"/>
        <item x="876"/>
        <item x="877"/>
        <item x="878"/>
        <item x="880"/>
        <item x="882"/>
        <item x="883"/>
        <item x="886"/>
        <item x="888"/>
        <item x="889"/>
        <item x="890"/>
        <item x="892"/>
        <item x="893"/>
        <item x="894"/>
        <item x="895"/>
        <item x="897"/>
        <item x="901"/>
        <item x="902"/>
        <item x="903"/>
        <item x="904"/>
        <item x="906"/>
        <item x="910"/>
        <item x="912"/>
        <item x="913"/>
        <item x="914"/>
        <item x="915"/>
        <item x="916"/>
        <item x="917"/>
        <item x="918"/>
        <item x="919"/>
        <item x="921"/>
        <item x="922"/>
        <item x="923"/>
        <item x="924"/>
        <item x="926"/>
        <item x="927"/>
        <item x="928"/>
        <item x="929"/>
        <item x="930"/>
        <item x="931"/>
        <item x="932"/>
        <item x="935"/>
        <item x="937"/>
        <item x="938"/>
        <item x="939"/>
        <item x="940"/>
        <item x="941"/>
        <item x="942"/>
        <item x="943"/>
        <item x="944"/>
        <item x="945"/>
        <item x="946"/>
        <item x="947"/>
        <item x="948"/>
        <item x="949"/>
        <item x="950"/>
        <item x="954"/>
        <item x="955"/>
        <item x="956"/>
        <item x="957"/>
        <item x="958"/>
        <item x="959"/>
        <item x="960"/>
        <item x="961"/>
        <item x="962"/>
        <item x="963"/>
        <item x="964"/>
        <item x="965"/>
        <item x="967"/>
        <item x="968"/>
        <item x="969"/>
        <item x="971"/>
        <item x="972"/>
        <item x="973"/>
        <item x="974"/>
        <item x="976"/>
        <item x="977"/>
        <item x="978"/>
        <item x="979"/>
        <item x="980"/>
        <item x="981"/>
        <item x="983"/>
        <item x="984"/>
        <item x="985"/>
        <item x="986"/>
        <item x="987"/>
        <item x="989"/>
        <item x="991"/>
        <item x="992"/>
        <item x="994"/>
        <item x="995"/>
        <item x="996"/>
        <item x="997"/>
        <item x="998"/>
        <item x="999"/>
        <item x="1000"/>
        <item x="1001"/>
        <item x="1002"/>
        <item x="1003"/>
        <item x="1004"/>
        <item x="1005"/>
        <item x="1006"/>
        <item x="1008"/>
        <item x="1009"/>
        <item x="1011"/>
        <item x="1012"/>
        <item x="1014"/>
        <item x="1015"/>
        <item x="1016"/>
        <item x="1017"/>
        <item x="1018"/>
        <item x="1019"/>
        <item x="1020"/>
        <item x="1022"/>
        <item x="1023"/>
        <item x="1025"/>
        <item x="1026"/>
        <item x="1027"/>
        <item x="1028"/>
        <item x="1029"/>
        <item x="1030"/>
        <item x="1031"/>
        <item x="1033"/>
        <item x="1034"/>
        <item x="1035"/>
        <item x="1036"/>
        <item x="1037"/>
        <item x="1038"/>
        <item x="1039"/>
        <item x="1040"/>
        <item x="1041"/>
        <item x="1042"/>
        <item x="1043"/>
        <item x="1044"/>
        <item x="1045"/>
        <item x="1047"/>
        <item x="1048"/>
        <item x="1049"/>
        <item x="1050"/>
        <item x="1051"/>
        <item x="1052"/>
        <item x="1054"/>
        <item x="1055"/>
        <item x="1056"/>
        <item x="1057"/>
        <item x="1058"/>
        <item x="1059"/>
        <item x="1060"/>
        <item x="1062"/>
        <item x="1063"/>
        <item x="1064"/>
        <item x="1065"/>
        <item x="1066"/>
        <item x="1068"/>
        <item x="1069"/>
        <item x="1070"/>
        <item x="1071"/>
        <item x="1072"/>
        <item x="1073"/>
        <item x="1074"/>
        <item x="1075"/>
        <item x="1076"/>
        <item x="1077"/>
        <item x="1078"/>
        <item x="1080"/>
        <item x="1081"/>
        <item x="1082"/>
        <item x="1083"/>
        <item x="1084"/>
        <item x="1085"/>
        <item x="1086"/>
        <item x="1088"/>
        <item x="1089"/>
        <item x="1090"/>
        <item x="1091"/>
        <item x="1092"/>
        <item x="1093"/>
        <item x="1094"/>
        <item x="1096"/>
        <item x="1097"/>
        <item x="1098"/>
        <item x="1099"/>
        <item x="1100"/>
        <item x="1101"/>
        <item x="1102"/>
        <item x="1103"/>
        <item x="1106"/>
        <item x="1107"/>
        <item x="1108"/>
        <item x="1110"/>
        <item x="1113"/>
        <item x="1114"/>
        <item x="1115"/>
        <item x="1116"/>
        <item x="1117"/>
        <item x="1118"/>
        <item x="1120"/>
        <item x="1121"/>
        <item x="1122"/>
        <item x="1123"/>
        <item x="1125"/>
        <item x="1126"/>
        <item x="1127"/>
        <item x="1128"/>
        <item x="1129"/>
        <item x="1130"/>
        <item x="1131"/>
        <item x="1133"/>
        <item x="1135"/>
        <item x="1136"/>
        <item x="1137"/>
        <item x="1138"/>
        <item x="1139"/>
        <item x="1141"/>
        <item x="1142"/>
        <item x="1143"/>
        <item x="1144"/>
        <item x="1146"/>
        <item x="1147"/>
        <item x="1148"/>
        <item x="1149"/>
        <item x="1150"/>
        <item x="1151"/>
        <item x="1152"/>
        <item x="1153"/>
        <item x="1154"/>
        <item x="1155"/>
        <item x="1158"/>
        <item x="1159"/>
        <item x="1160"/>
        <item x="1161"/>
        <item x="1162"/>
        <item x="1163"/>
        <item x="1164"/>
        <item x="1166"/>
        <item x="1167"/>
        <item x="1169"/>
        <item x="1171"/>
        <item x="1172"/>
        <item x="1173"/>
        <item x="1174"/>
        <item x="1175"/>
        <item x="1177"/>
        <item x="1178"/>
        <item x="1179"/>
        <item x="1180"/>
        <item x="1181"/>
        <item x="1184"/>
        <item x="1185"/>
        <item x="1186"/>
        <item x="1187"/>
        <item x="1188"/>
        <item x="1189"/>
        <item x="1190"/>
        <item x="1191"/>
        <item x="1192"/>
        <item x="1193"/>
        <item x="1194"/>
        <item x="1195"/>
        <item x="1196"/>
        <item x="1197"/>
        <item x="1198"/>
        <item x="1199"/>
        <item x="1201"/>
        <item x="1204"/>
        <item x="1205"/>
        <item x="1206"/>
        <item x="1207"/>
        <item x="1208"/>
        <item x="1209"/>
        <item x="1210"/>
        <item x="1211"/>
        <item x="1213"/>
        <item x="1214"/>
        <item x="1216"/>
        <item x="1217"/>
        <item x="1218"/>
        <item x="1222"/>
        <item x="1223"/>
        <item x="1224"/>
        <item x="1226"/>
        <item x="1227"/>
        <item x="1228"/>
        <item x="1229"/>
        <item x="1232"/>
        <item x="1233"/>
        <item x="1234"/>
        <item x="1235"/>
        <item x="1236"/>
        <item x="1237"/>
        <item x="1238"/>
        <item x="1239"/>
        <item x="1240"/>
        <item x="1241"/>
        <item x="1243"/>
        <item x="1244"/>
        <item x="1246"/>
        <item x="1247"/>
        <item x="1248"/>
        <item x="1249"/>
        <item x="1250"/>
        <item x="1251"/>
        <item x="1252"/>
        <item x="1253"/>
        <item x="1254"/>
        <item x="1255"/>
        <item x="1256"/>
        <item x="1257"/>
        <item x="1258"/>
        <item x="1259"/>
        <item x="1260"/>
        <item x="1261"/>
        <item x="1262"/>
        <item x="1263"/>
        <item x="1264"/>
        <item x="1265"/>
        <item x="1266"/>
        <item x="1267"/>
        <item x="1269"/>
        <item x="1270"/>
        <item x="1271"/>
        <item x="1272"/>
        <item x="1273"/>
        <item x="1274"/>
        <item x="1275"/>
        <item x="1276"/>
        <item x="1278"/>
        <item x="1279"/>
        <item x="1280"/>
        <item x="1281"/>
        <item x="1284"/>
        <item x="1285"/>
        <item x="1287"/>
        <item x="1289"/>
        <item x="1290"/>
        <item x="1291"/>
        <item x="1292"/>
        <item x="1294"/>
        <item x="1296"/>
        <item x="1297"/>
        <item x="1298"/>
        <item x="1299"/>
        <item x="1302"/>
        <item x="1305"/>
        <item x="1306"/>
        <item x="1307"/>
        <item x="1308"/>
        <item x="1309"/>
        <item x="1311"/>
        <item x="1312"/>
        <item x="1314"/>
        <item x="1315"/>
        <item x="1316"/>
        <item x="1318"/>
        <item x="1319"/>
        <item x="1320"/>
        <item x="1321"/>
        <item x="1322"/>
        <item x="1323"/>
        <item x="1324"/>
        <item x="1326"/>
        <item x="1328"/>
        <item x="1329"/>
        <item x="1330"/>
        <item x="1333"/>
        <item x="1334"/>
        <item x="1336"/>
        <item x="1337"/>
        <item x="1338"/>
        <item x="1339"/>
        <item x="1340"/>
        <item x="1341"/>
        <item x="1343"/>
        <item x="1345"/>
        <item x="1348"/>
        <item x="1349"/>
        <item x="1350"/>
        <item x="1351"/>
        <item x="1354"/>
        <item x="1356"/>
        <item x="1357"/>
        <item x="1358"/>
        <item x="1359"/>
        <item x="1360"/>
        <item x="1361"/>
        <item x="1362"/>
        <item x="1363"/>
        <item x="1364"/>
        <item x="1366"/>
        <item x="1367"/>
        <item x="1368"/>
        <item x="1369"/>
        <item x="1370"/>
        <item x="1371"/>
        <item x="1372"/>
        <item x="1373"/>
        <item x="1374"/>
        <item x="1375"/>
        <item x="1376"/>
        <item x="1377"/>
        <item x="1378"/>
        <item x="1379"/>
        <item x="1380"/>
        <item x="1381"/>
        <item x="1382"/>
        <item x="1383"/>
        <item x="1384"/>
        <item x="1386"/>
        <item x="1387"/>
        <item x="1388"/>
        <item x="1389"/>
        <item x="1390"/>
        <item x="1391"/>
        <item x="1392"/>
        <item x="1393"/>
        <item x="1394"/>
        <item x="1395"/>
        <item x="1396"/>
        <item x="1397"/>
        <item x="1398"/>
        <item x="1399"/>
        <item x="1400"/>
        <item x="1402"/>
        <item x="1403"/>
        <item x="1404"/>
        <item x="1405"/>
        <item x="1406"/>
        <item x="1407"/>
        <item x="1408"/>
        <item x="1409"/>
        <item x="1410"/>
        <item x="1411"/>
        <item x="1413"/>
        <item x="1414"/>
        <item x="1415"/>
        <item x="1416"/>
        <item x="1418"/>
        <item x="1419"/>
        <item x="1420"/>
        <item x="1421"/>
        <item x="1423"/>
        <item x="1424"/>
        <item x="1425"/>
        <item x="1426"/>
        <item x="1427"/>
        <item x="1428"/>
        <item x="1429"/>
        <item x="1430"/>
        <item x="1432"/>
        <item x="1433"/>
        <item x="1434"/>
        <item x="1435"/>
        <item x="1437"/>
        <item x="1438"/>
        <item x="1439"/>
        <item x="1440"/>
        <item x="1442"/>
        <item x="1443"/>
        <item x="1444"/>
        <item x="1446"/>
        <item x="1447"/>
        <item x="1448"/>
        <item x="1449"/>
        <item x="1450"/>
        <item x="1451"/>
        <item x="1452"/>
        <item x="1453"/>
        <item x="1454"/>
        <item x="1456"/>
        <item x="1457"/>
        <item x="1458"/>
        <item x="1459"/>
        <item x="1460"/>
        <item x="1461"/>
        <item x="1462"/>
        <item x="1463"/>
        <item x="1464"/>
        <item x="1465"/>
        <item x="1466"/>
        <item x="1467"/>
        <item x="1468"/>
        <item x="1469"/>
        <item x="1470"/>
        <item x="1472"/>
        <item x="1473"/>
        <item x="1474"/>
        <item x="1475"/>
        <item x="1476"/>
        <item x="1477"/>
        <item x="1478"/>
        <item x="1479"/>
        <item x="1480"/>
        <item x="1481"/>
        <item x="1482"/>
        <item x="1483"/>
        <item x="1485"/>
        <item x="1486"/>
        <item x="1487"/>
        <item x="1488"/>
        <item x="1489"/>
        <item x="1490"/>
        <item x="1491"/>
        <item x="1492"/>
        <item x="1493"/>
        <item x="1494"/>
        <item x="1495"/>
        <item x="1496"/>
        <item x="1497"/>
        <item x="1498"/>
        <item x="1500"/>
        <item x="1501"/>
        <item x="1502"/>
        <item x="1503"/>
        <item x="1506"/>
        <item x="1507"/>
        <item x="1508"/>
        <item x="1509"/>
        <item x="1510"/>
        <item x="1511"/>
        <item x="1512"/>
        <item x="1513"/>
        <item x="1514"/>
        <item x="1515"/>
        <item x="1516"/>
        <item x="1517"/>
        <item x="1518"/>
        <item x="1519"/>
        <item x="1520"/>
        <item x="1521"/>
        <item x="1522"/>
        <item x="1523"/>
        <item x="1524"/>
        <item x="1526"/>
        <item x="1528"/>
        <item x="1529"/>
        <item x="1530"/>
        <item x="1531"/>
        <item x="1532"/>
        <item x="1534"/>
        <item x="1536"/>
        <item x="1538"/>
        <item x="1539"/>
        <item x="1540"/>
        <item x="1541"/>
        <item x="1542"/>
        <item x="1543"/>
        <item x="1544"/>
        <item x="1545"/>
        <item x="1546"/>
        <item x="1547"/>
        <item x="1548"/>
        <item x="1549"/>
        <item x="1550"/>
        <item x="1552"/>
        <item x="1553"/>
        <item x="1554"/>
        <item x="1555"/>
        <item x="1556"/>
        <item x="1557"/>
        <item x="1559"/>
        <item x="1561"/>
        <item x="1562"/>
        <item x="1564"/>
        <item x="1565"/>
        <item x="1566"/>
        <item x="1567"/>
        <item x="1568"/>
        <item x="1569"/>
        <item x="1570"/>
        <item x="1572"/>
        <item x="1573"/>
        <item x="1574"/>
        <item x="1575"/>
        <item x="1576"/>
        <item x="1577"/>
        <item x="1578"/>
        <item x="1579"/>
        <item x="1581"/>
        <item x="1582"/>
        <item x="1583"/>
        <item x="1585"/>
        <item x="1586"/>
        <item x="1587"/>
        <item x="1589"/>
        <item x="1590"/>
        <item x="1591"/>
        <item x="1592"/>
        <item x="1593"/>
        <item x="1594"/>
        <item x="1597"/>
        <item x="1598"/>
        <item x="1599"/>
        <item x="1600"/>
        <item x="1601"/>
        <item x="1602"/>
        <item x="1604"/>
        <item x="1605"/>
        <item x="1606"/>
        <item x="1607"/>
        <item x="1608"/>
        <item x="1609"/>
        <item x="1610"/>
        <item x="1611"/>
        <item x="1612"/>
        <item x="1613"/>
        <item x="1614"/>
        <item x="1615"/>
        <item x="1616"/>
        <item x="1617"/>
        <item x="1618"/>
        <item x="1619"/>
        <item x="1620"/>
        <item x="1623"/>
        <item x="1625"/>
        <item x="1626"/>
        <item x="1627"/>
        <item x="1628"/>
        <item x="1629"/>
        <item x="1630"/>
        <item x="1631"/>
        <item x="1632"/>
        <item x="1633"/>
        <item x="1634"/>
        <item x="1635"/>
        <item x="1636"/>
        <item x="1637"/>
        <item x="1638"/>
        <item x="1639"/>
        <item x="1640"/>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6"/>
        <item x="1677"/>
        <item x="1678"/>
        <item x="1679"/>
        <item x="1680"/>
        <item x="1681"/>
        <item x="1684"/>
        <item x="1685"/>
        <item x="1686"/>
        <item x="1687"/>
        <item x="1688"/>
        <item x="1689"/>
        <item x="1690"/>
        <item x="1691"/>
        <item x="1692"/>
        <item x="1695"/>
        <item x="1696"/>
        <item x="1697"/>
        <item x="1698"/>
        <item x="1699"/>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7"/>
        <item x="1738"/>
        <item x="1739"/>
        <item x="1740"/>
        <item x="1741"/>
        <item x="1742"/>
        <item x="1743"/>
        <item x="1745"/>
        <item x="1747"/>
        <item x="1748"/>
        <item x="1749"/>
        <item x="1750"/>
        <item x="1751"/>
        <item x="1752"/>
        <item x="1753"/>
        <item x="1754"/>
        <item x="1756"/>
        <item x="1758"/>
        <item x="1760"/>
        <item x="1761"/>
        <item x="1762"/>
        <item x="1763"/>
        <item x="1764"/>
        <item x="1765"/>
        <item x="1766"/>
        <item x="1767"/>
        <item x="1768"/>
        <item x="1769"/>
        <item x="1770"/>
        <item x="1771"/>
        <item x="1772"/>
        <item x="1773"/>
        <item x="1774"/>
        <item x="1775"/>
        <item x="1776"/>
        <item x="1777"/>
        <item x="1778"/>
        <item x="1779"/>
        <item x="1780"/>
        <item x="1782"/>
        <item x="1783"/>
        <item x="1785"/>
        <item x="1786"/>
        <item x="1787"/>
        <item x="1788"/>
        <item x="1789"/>
        <item x="1790"/>
        <item x="1791"/>
        <item x="1792"/>
        <item x="1793"/>
        <item x="1794"/>
        <item x="1796"/>
        <item x="1799"/>
        <item x="1800"/>
        <item x="1801"/>
        <item x="1802"/>
        <item x="1803"/>
        <item x="1804"/>
        <item x="1806"/>
        <item x="1808"/>
        <item x="1809"/>
        <item x="1810"/>
        <item x="1811"/>
        <item x="1813"/>
        <item x="1814"/>
        <item x="1816"/>
        <item x="1817"/>
        <item x="1818"/>
        <item x="1820"/>
        <item x="1821"/>
        <item x="1823"/>
        <item x="1824"/>
        <item x="1825"/>
        <item x="1826"/>
        <item x="1827"/>
        <item x="1828"/>
        <item x="1829"/>
        <item x="1830"/>
        <item x="1831"/>
        <item x="1832"/>
        <item x="1833"/>
        <item x="1834"/>
        <item x="1835"/>
        <item x="1837"/>
        <item x="1839"/>
        <item x="1840"/>
        <item x="1841"/>
        <item x="1842"/>
        <item x="1843"/>
        <item x="1844"/>
        <item x="1845"/>
        <item x="1846"/>
        <item x="1847"/>
        <item x="1848"/>
        <item x="1850"/>
        <item x="1851"/>
        <item x="1853"/>
        <item x="1854"/>
        <item x="1855"/>
        <item x="1856"/>
        <item x="1857"/>
        <item x="1858"/>
        <item x="1859"/>
        <item x="1860"/>
        <item x="1861"/>
        <item x="1862"/>
        <item x="1864"/>
        <item x="1865"/>
        <item x="1867"/>
        <item x="1869"/>
        <item x="1870"/>
        <item x="1871"/>
        <item x="1872"/>
        <item x="1874"/>
        <item x="1875"/>
        <item x="1876"/>
        <item x="1877"/>
        <item x="1878"/>
        <item x="1879"/>
        <item x="1880"/>
        <item x="1881"/>
        <item x="1883"/>
        <item x="1884"/>
        <item x="1885"/>
        <item x="1886"/>
        <item x="1887"/>
        <item x="1888"/>
        <item x="1889"/>
        <item x="1890"/>
        <item x="1891"/>
        <item x="1892"/>
        <item x="1893"/>
        <item x="1895"/>
        <item x="1896"/>
        <item x="1897"/>
        <item x="1898"/>
        <item x="1899"/>
        <item x="1900"/>
        <item x="1901"/>
        <item x="1902"/>
        <item x="1903"/>
        <item x="1904"/>
        <item x="1905"/>
        <item x="1906"/>
        <item x="1907"/>
        <item x="1908"/>
        <item x="1909"/>
        <item x="1910"/>
        <item x="1911"/>
        <item x="1912"/>
        <item x="1914"/>
        <item x="1915"/>
        <item x="1916"/>
        <item x="1917"/>
        <item x="1918"/>
        <item x="1919"/>
        <item x="1920"/>
        <item x="1921"/>
        <item x="1922"/>
        <item x="1923"/>
        <item x="1924"/>
        <item x="1926"/>
        <item x="1927"/>
        <item x="1929"/>
        <item x="1930"/>
        <item x="1932"/>
        <item x="1933"/>
        <item x="1934"/>
        <item x="1935"/>
        <item x="1936"/>
        <item x="1937"/>
        <item x="1938"/>
        <item x="1939"/>
        <item x="1940"/>
        <item x="1943"/>
        <item x="1944"/>
        <item x="1945"/>
        <item x="1946"/>
        <item x="1947"/>
        <item x="1948"/>
        <item x="1949"/>
        <item x="1950"/>
        <item x="1952"/>
        <item x="1953"/>
        <item x="1954"/>
        <item x="1955"/>
        <item x="1956"/>
        <item x="1958"/>
        <item x="1959"/>
        <item x="1960"/>
        <item x="1961"/>
        <item x="1962"/>
        <item x="1963"/>
        <item x="1964"/>
        <item x="1965"/>
        <item x="1967"/>
        <item x="1968"/>
        <item x="1969"/>
        <item x="1970"/>
        <item x="1971"/>
        <item x="1972"/>
        <item x="1973"/>
        <item x="1974"/>
        <item x="1975"/>
        <item x="1976"/>
        <item x="1977"/>
        <item x="1978"/>
        <item x="1979"/>
        <item x="1981"/>
        <item x="1984"/>
        <item x="1985"/>
        <item x="1986"/>
        <item x="1987"/>
        <item x="1988"/>
        <item x="1989"/>
        <item x="1990"/>
        <item x="1991"/>
        <item x="1992"/>
        <item x="1993"/>
        <item x="1994"/>
        <item x="1995"/>
        <item x="1996"/>
        <item x="1997"/>
        <item x="1998"/>
        <item x="2000"/>
        <item x="2001"/>
        <item x="2002"/>
        <item x="2003"/>
        <item x="2004"/>
        <item x="2005"/>
        <item x="2006"/>
        <item x="2007"/>
        <item x="2008"/>
        <item x="2009"/>
        <item x="2011"/>
        <item x="2012"/>
        <item x="2013"/>
        <item x="2014"/>
        <item x="2016"/>
        <item x="2017"/>
        <item x="2018"/>
        <item x="2019"/>
        <item x="2020"/>
        <item x="2021"/>
        <item x="2022"/>
        <item x="2023"/>
        <item x="2024"/>
        <item x="2025"/>
        <item x="2026"/>
      </items>
      <extLst>
        <ext xmlns:x14="http://schemas.microsoft.com/office/spreadsheetml/2009/9/main" uri="{2946ED86-A175-432a-8AC1-64E0C546D7DE}">
          <x14:pivotField fillDownLabels="1"/>
        </ext>
      </extLst>
    </pivotField>
    <pivotField axis="axisRow"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extLst>
        <ext xmlns:x14="http://schemas.microsoft.com/office/spreadsheetml/2009/9/main" uri="{2946ED86-A175-432a-8AC1-64E0C546D7DE}">
          <x14:pivotField fillDownLabels="1"/>
        </ext>
      </extLst>
    </pivotField>
    <pivotField showAll="0"/>
    <pivotField showAll="0" defaultSubtotal="0"/>
  </pivotFields>
  <rowFields count="6">
    <field x="1"/>
    <field x="5"/>
    <field x="6"/>
    <field x="7"/>
    <field x="8"/>
    <field x="9"/>
  </rowFields>
  <rowItems count="7476">
    <i>
      <x/>
      <x/>
      <x v="1"/>
      <x v="77"/>
      <x v="213"/>
      <x v="611"/>
    </i>
    <i r="2">
      <x v="8"/>
      <x v="77"/>
      <x v="964"/>
      <x v="611"/>
    </i>
    <i r="2">
      <x v="12"/>
      <x v="21"/>
      <x v="24"/>
      <x v="611"/>
    </i>
    <i r="2">
      <x v="37"/>
      <x v="77"/>
      <x v="1421"/>
      <x v="611"/>
    </i>
    <i r="1">
      <x v="10"/>
      <x v="37"/>
      <x v="77"/>
      <x v="1361"/>
      <x v="611"/>
    </i>
    <i r="1">
      <x v="11"/>
      <x v="37"/>
      <x v="77"/>
      <x v="490"/>
      <x v="611"/>
    </i>
    <i r="1">
      <x v="12"/>
      <x v="1"/>
      <x v="77"/>
      <x v="80"/>
      <x v="611"/>
    </i>
    <i r="4">
      <x v="213"/>
      <x v="611"/>
    </i>
    <i r="4">
      <x v="352"/>
      <x v="611"/>
    </i>
    <i r="4">
      <x v="500"/>
      <x v="611"/>
    </i>
    <i r="4">
      <x v="1028"/>
      <x v="611"/>
    </i>
    <i r="2">
      <x v="37"/>
      <x v="77"/>
      <x v="947"/>
      <x v="611"/>
    </i>
    <i r="4">
      <x v="1421"/>
      <x v="611"/>
    </i>
    <i r="1">
      <x v="19"/>
      <x v="1"/>
      <x v="77"/>
      <x v="440"/>
      <x v="611"/>
    </i>
    <i r="1">
      <x v="35"/>
      <x v="1"/>
      <x v="77"/>
      <x v="80"/>
      <x v="611"/>
    </i>
    <i r="2">
      <x v="37"/>
      <x v="77"/>
      <x v="1194"/>
      <x v="611"/>
    </i>
    <i>
      <x v="1"/>
      <x/>
      <x v="1"/>
      <x v="78"/>
      <x v="80"/>
      <x v="611"/>
    </i>
    <i r="2">
      <x v="7"/>
      <x v="78"/>
      <x v="231"/>
      <x v="611"/>
    </i>
    <i r="4">
      <x v="665"/>
      <x v="611"/>
    </i>
    <i r="4">
      <x v="754"/>
      <x v="611"/>
    </i>
    <i r="2">
      <x v="8"/>
      <x v="78"/>
      <x v="667"/>
      <x v="611"/>
    </i>
    <i r="4">
      <x v="1156"/>
      <x v="611"/>
    </i>
    <i r="2">
      <x v="12"/>
      <x v="25"/>
      <x v="180"/>
      <x v="611"/>
    </i>
    <i r="3">
      <x v="37"/>
      <x v="199"/>
      <x v="611"/>
    </i>
    <i r="1">
      <x v="3"/>
      <x v="37"/>
      <x v="78"/>
      <x v="109"/>
      <x v="611"/>
    </i>
    <i r="1">
      <x v="7"/>
      <x v="8"/>
      <x v="78"/>
      <x v="1148"/>
      <x v="611"/>
    </i>
    <i r="1">
      <x v="12"/>
      <x v="1"/>
      <x v="78"/>
      <x v="80"/>
      <x v="611"/>
    </i>
    <i r="4">
      <x v="352"/>
      <x v="611"/>
    </i>
    <i r="4">
      <x v="771"/>
      <x v="611"/>
    </i>
    <i r="2">
      <x v="37"/>
      <x v="78"/>
      <x v="1244"/>
      <x v="611"/>
    </i>
    <i r="1">
      <x v="15"/>
      <x v="7"/>
      <x v="78"/>
      <x v="469"/>
      <x v="611"/>
    </i>
    <i r="2">
      <x v="38"/>
      <x v="78"/>
      <x v="1274"/>
      <x v="611"/>
    </i>
    <i r="1">
      <x v="21"/>
      <x v="37"/>
      <x v="78"/>
      <x v="352"/>
      <x v="611"/>
    </i>
    <i r="2">
      <x v="38"/>
      <x v="78"/>
      <x v="1274"/>
      <x v="611"/>
    </i>
    <i r="1">
      <x v="23"/>
      <x v="38"/>
      <x v="78"/>
      <x v="1857"/>
      <x v="611"/>
    </i>
    <i r="1">
      <x v="35"/>
      <x v="1"/>
      <x v="78"/>
      <x v="80"/>
      <x v="611"/>
    </i>
    <i>
      <x v="2"/>
      <x/>
      <x v="6"/>
      <x v="79"/>
      <x v="212"/>
      <x v="611"/>
    </i>
    <i r="2">
      <x v="7"/>
      <x v="79"/>
      <x v="255"/>
      <x v="611"/>
    </i>
    <i r="2">
      <x v="12"/>
      <x v="68"/>
      <x v="4"/>
      <x v="611"/>
    </i>
    <i r="3">
      <x v="70"/>
      <x v="11"/>
      <x v="611"/>
    </i>
    <i r="1">
      <x v="3"/>
      <x v="38"/>
      <x v="79"/>
      <x v="33"/>
      <x v="611"/>
    </i>
    <i r="1">
      <x v="8"/>
      <x v="37"/>
      <x v="79"/>
      <x v="988"/>
      <x v="611"/>
    </i>
    <i r="1">
      <x v="12"/>
      <x v="1"/>
      <x v="79"/>
      <x v="80"/>
      <x v="611"/>
    </i>
    <i r="4">
      <x v="213"/>
      <x v="611"/>
    </i>
    <i r="4">
      <x v="352"/>
      <x v="611"/>
    </i>
    <i r="4">
      <x v="500"/>
      <x v="611"/>
    </i>
    <i r="4">
      <x v="846"/>
      <x v="611"/>
    </i>
    <i r="1">
      <x v="21"/>
      <x v="37"/>
      <x v="79"/>
      <x v="352"/>
      <x v="611"/>
    </i>
    <i r="1">
      <x v="23"/>
      <x v="6"/>
      <x v="79"/>
      <x v="86"/>
      <x v="611"/>
    </i>
    <i r="1">
      <x v="24"/>
      <x v="37"/>
      <x v="79"/>
      <x v="352"/>
      <x v="611"/>
    </i>
    <i r="1">
      <x v="27"/>
      <x v="6"/>
      <x v="79"/>
      <x v="1495"/>
      <x v="611"/>
    </i>
    <i r="1">
      <x v="35"/>
      <x v="1"/>
      <x v="79"/>
      <x v="80"/>
      <x v="611"/>
    </i>
    <i>
      <x v="3"/>
      <x/>
      <x v="6"/>
      <x v="80"/>
      <x v="795"/>
      <x v="611"/>
    </i>
    <i r="2">
      <x v="12"/>
      <x v="25"/>
      <x v="895"/>
      <x v="611"/>
    </i>
    <i r="1">
      <x v="12"/>
      <x v="1"/>
      <x v="80"/>
      <x v="80"/>
      <x v="611"/>
    </i>
    <i r="4">
      <x v="500"/>
      <x v="611"/>
    </i>
    <i r="4">
      <x v="911"/>
      <x v="611"/>
    </i>
    <i r="1">
      <x v="35"/>
      <x v="1"/>
      <x v="80"/>
      <x v="80"/>
      <x v="611"/>
    </i>
    <i>
      <x v="4"/>
      <x/>
      <x v="7"/>
      <x v="81"/>
      <x v="1163"/>
      <x v="611"/>
    </i>
    <i r="2">
      <x v="8"/>
      <x v="81"/>
      <x v="854"/>
      <x v="611"/>
    </i>
    <i r="2">
      <x v="12"/>
      <x v="29"/>
      <x v="98"/>
      <x v="611"/>
    </i>
    <i r="3">
      <x v="59"/>
      <x v="6"/>
      <x v="611"/>
    </i>
    <i r="3">
      <x v="68"/>
      <x v="11"/>
      <x v="611"/>
    </i>
    <i r="3">
      <x v="71"/>
      <x v="55"/>
      <x v="611"/>
    </i>
    <i r="1">
      <x v="8"/>
      <x v="37"/>
      <x v="81"/>
      <x v="1022"/>
      <x v="611"/>
    </i>
    <i r="1">
      <x v="12"/>
      <x v="1"/>
      <x v="81"/>
      <x v="213"/>
      <x v="611"/>
    </i>
    <i r="4">
      <x v="607"/>
      <x v="611"/>
    </i>
    <i r="1">
      <x v="27"/>
      <x v="37"/>
      <x v="81"/>
      <x v="1587"/>
      <x v="611"/>
    </i>
    <i>
      <x v="5"/>
      <x/>
      <x v="10"/>
      <x v="82"/>
      <x/>
      <x v="338"/>
    </i>
    <i r="2">
      <x v="12"/>
      <x v="18"/>
      <x v="11"/>
      <x v="611"/>
    </i>
    <i r="3">
      <x v="59"/>
      <x v="6"/>
      <x v="611"/>
    </i>
    <i r="1">
      <x v="3"/>
      <x v="1"/>
      <x v="82"/>
      <x v="956"/>
      <x v="611"/>
    </i>
    <i r="2">
      <x v="6"/>
      <x v="82"/>
      <x v="387"/>
      <x v="611"/>
    </i>
    <i r="1">
      <x v="10"/>
      <x v="37"/>
      <x v="82"/>
      <x v="1398"/>
      <x v="611"/>
    </i>
    <i r="1">
      <x v="12"/>
      <x v="1"/>
      <x v="82"/>
      <x v="80"/>
      <x v="611"/>
    </i>
    <i r="4">
      <x v="213"/>
      <x v="611"/>
    </i>
    <i r="4">
      <x v="771"/>
      <x v="611"/>
    </i>
    <i r="1">
      <x v="19"/>
      <x v="37"/>
      <x v="82"/>
      <x v="1427"/>
      <x v="611"/>
    </i>
    <i>
      <x v="6"/>
      <x/>
      <x v="8"/>
      <x v="84"/>
      <x v="113"/>
      <x v="611"/>
    </i>
    <i r="4">
      <x v="854"/>
      <x v="611"/>
    </i>
    <i r="2">
      <x v="9"/>
      <x v="84"/>
      <x v="387"/>
      <x v="611"/>
    </i>
    <i r="4">
      <x v="517"/>
      <x v="611"/>
    </i>
    <i r="4">
      <x v="645"/>
      <x v="611"/>
    </i>
    <i r="4">
      <x v="741"/>
      <x v="611"/>
    </i>
    <i r="2">
      <x v="12"/>
      <x v="16"/>
      <x v="258"/>
      <x v="611"/>
    </i>
    <i r="3">
      <x v="30"/>
      <x v="59"/>
      <x v="611"/>
    </i>
    <i r="3">
      <x v="48"/>
      <x v="6"/>
      <x v="611"/>
    </i>
    <i r="3">
      <x v="58"/>
      <x v="18"/>
      <x v="611"/>
    </i>
    <i r="2">
      <x v="14"/>
      <x v="83"/>
      <x v="546"/>
      <x v="611"/>
    </i>
    <i r="4">
      <x v="668"/>
      <x v="611"/>
    </i>
    <i r="4">
      <x v="821"/>
      <x v="611"/>
    </i>
    <i r="4">
      <x v="829"/>
      <x v="611"/>
    </i>
    <i r="1">
      <x v="2"/>
      <x v="14"/>
      <x v="83"/>
      <x v="1867"/>
      <x v="611"/>
    </i>
    <i r="1">
      <x v="3"/>
      <x v="14"/>
      <x v="83"/>
      <x v="1313"/>
      <x v="611"/>
    </i>
    <i r="2">
      <x v="37"/>
      <x v="84"/>
      <x v="410"/>
      <x v="611"/>
    </i>
    <i r="1">
      <x v="12"/>
      <x v="1"/>
      <x v="84"/>
      <x v="80"/>
      <x v="611"/>
    </i>
    <i r="4">
      <x v="352"/>
      <x v="611"/>
    </i>
    <i r="4">
      <x v="771"/>
      <x v="611"/>
    </i>
    <i r="2">
      <x v="14"/>
      <x v="83"/>
      <x v="164"/>
      <x v="611"/>
    </i>
    <i r="4">
      <x v="242"/>
      <x v="611"/>
    </i>
    <i r="4">
      <x v="254"/>
      <x v="611"/>
    </i>
    <i r="4">
      <x v="417"/>
      <x v="611"/>
    </i>
    <i r="4">
      <x v="548"/>
      <x v="611"/>
    </i>
    <i r="4">
      <x v="568"/>
      <x v="611"/>
    </i>
    <i r="4">
      <x v="949"/>
      <x v="611"/>
    </i>
    <i r="4">
      <x v="1298"/>
      <x v="611"/>
    </i>
    <i r="4">
      <x v="1440"/>
      <x v="611"/>
    </i>
    <i r="4">
      <x v="1499"/>
      <x v="611"/>
    </i>
    <i r="4">
      <x v="1567"/>
      <x v="611"/>
    </i>
    <i r="4">
      <x v="1569"/>
      <x v="611"/>
    </i>
    <i r="4">
      <x v="1618"/>
      <x v="611"/>
    </i>
    <i r="4">
      <x v="1626"/>
      <x v="611"/>
    </i>
    <i r="4">
      <x v="1639"/>
      <x v="611"/>
    </i>
    <i r="4">
      <x v="1655"/>
      <x v="611"/>
    </i>
    <i r="4">
      <x v="1671"/>
      <x v="611"/>
    </i>
    <i r="4">
      <x v="1681"/>
      <x v="611"/>
    </i>
    <i r="4">
      <x v="1688"/>
      <x v="611"/>
    </i>
    <i r="4">
      <x v="1693"/>
      <x v="611"/>
    </i>
    <i r="4">
      <x v="1714"/>
      <x v="611"/>
    </i>
    <i r="4">
      <x v="1745"/>
      <x v="611"/>
    </i>
    <i r="4">
      <x v="1748"/>
      <x v="611"/>
    </i>
    <i r="4">
      <x v="1757"/>
      <x v="611"/>
    </i>
    <i r="4">
      <x v="1794"/>
      <x v="611"/>
    </i>
    <i r="4">
      <x v="1829"/>
      <x v="611"/>
    </i>
    <i r="4">
      <x v="1841"/>
      <x v="611"/>
    </i>
    <i r="1">
      <x v="15"/>
      <x v="7"/>
      <x v="84"/>
      <x v="882"/>
      <x v="611"/>
    </i>
    <i r="1">
      <x v="17"/>
      <x v="14"/>
      <x v="83"/>
      <x v="1471"/>
      <x v="611"/>
    </i>
    <i r="1">
      <x v="21"/>
      <x v="14"/>
      <x v="83"/>
      <x v="1185"/>
      <x v="611"/>
    </i>
    <i r="2">
      <x v="37"/>
      <x v="84"/>
      <x v="1068"/>
      <x v="611"/>
    </i>
    <i r="1">
      <x v="23"/>
      <x v="14"/>
      <x v="83"/>
      <x v="1728"/>
      <x v="611"/>
    </i>
    <i r="1">
      <x v="24"/>
      <x v="14"/>
      <x v="83"/>
      <x v="885"/>
      <x v="611"/>
    </i>
    <i r="1">
      <x v="27"/>
      <x v="14"/>
      <x v="83"/>
      <x v="599"/>
      <x v="611"/>
    </i>
    <i r="1">
      <x v="35"/>
      <x v="1"/>
      <x v="84"/>
      <x v="80"/>
      <x v="611"/>
    </i>
    <i r="4">
      <x v="213"/>
      <x v="611"/>
    </i>
    <i r="2">
      <x v="14"/>
      <x v="83"/>
      <x v="154"/>
      <x v="611"/>
    </i>
    <i r="4">
      <x v="259"/>
      <x v="611"/>
    </i>
    <i r="4">
      <x v="264"/>
      <x v="611"/>
    </i>
    <i r="4">
      <x v="478"/>
      <x v="611"/>
    </i>
    <i r="4">
      <x v="525"/>
      <x v="611"/>
    </i>
    <i r="4">
      <x v="527"/>
      <x v="611"/>
    </i>
    <i r="4">
      <x v="618"/>
      <x v="611"/>
    </i>
    <i r="4">
      <x v="730"/>
      <x v="611"/>
    </i>
    <i r="4">
      <x v="746"/>
      <x v="611"/>
    </i>
    <i r="4">
      <x v="1131"/>
      <x v="611"/>
    </i>
    <i>
      <x v="7"/>
      <x/>
      <x v="1"/>
      <x v="85"/>
      <x v="80"/>
      <x v="611"/>
    </i>
    <i r="2">
      <x v="12"/>
      <x v="16"/>
      <x v="258"/>
      <x v="611"/>
    </i>
    <i r="3">
      <x v="18"/>
      <x v="18"/>
      <x v="611"/>
    </i>
    <i r="1">
      <x v="6"/>
      <x v="37"/>
      <x v="85"/>
      <x v="1234"/>
      <x v="611"/>
    </i>
    <i r="1">
      <x v="9"/>
      <x v="1"/>
      <x v="85"/>
      <x v="1019"/>
      <x v="611"/>
    </i>
    <i r="1">
      <x v="12"/>
      <x v="1"/>
      <x v="85"/>
      <x v="80"/>
      <x v="611"/>
    </i>
    <i r="4">
      <x v="213"/>
      <x v="611"/>
    </i>
    <i r="2">
      <x v="37"/>
      <x v="85"/>
      <x v="800"/>
      <x v="611"/>
    </i>
    <i r="1">
      <x v="15"/>
      <x v="37"/>
      <x v="85"/>
      <x v="456"/>
      <x v="611"/>
    </i>
    <i r="1">
      <x v="19"/>
      <x v="37"/>
      <x v="85"/>
      <x v="137"/>
      <x v="611"/>
    </i>
    <i r="1">
      <x v="21"/>
      <x v="37"/>
      <x v="85"/>
      <x v="352"/>
      <x v="611"/>
    </i>
    <i r="1">
      <x v="26"/>
      <x v="38"/>
      <x v="85"/>
      <x v="371"/>
      <x v="611"/>
    </i>
    <i r="1">
      <x v="35"/>
      <x v="1"/>
      <x v="85"/>
      <x v="80"/>
      <x v="611"/>
    </i>
    <i r="4">
      <x v="213"/>
      <x v="611"/>
    </i>
    <i r="4">
      <x v="352"/>
      <x v="611"/>
    </i>
    <i>
      <x v="8"/>
      <x/>
      <x v="8"/>
      <x v="86"/>
      <x v="585"/>
      <x v="611"/>
    </i>
    <i r="2">
      <x v="9"/>
      <x v="86"/>
      <x v="559"/>
      <x v="611"/>
    </i>
    <i r="2">
      <x v="12"/>
      <x v="4"/>
      <x v="197"/>
      <x v="611"/>
    </i>
    <i r="3">
      <x v="48"/>
      <x v="6"/>
      <x v="611"/>
    </i>
    <i r="1">
      <x v="3"/>
      <x v="38"/>
      <x v="86"/>
      <x v="278"/>
      <x v="611"/>
    </i>
    <i r="1">
      <x v="5"/>
      <x v="37"/>
      <x v="86"/>
      <x v="834"/>
      <x v="611"/>
    </i>
    <i r="2">
      <x v="38"/>
      <x v="86"/>
      <x v="1723"/>
      <x v="611"/>
    </i>
    <i r="1">
      <x v="9"/>
      <x v="8"/>
      <x v="86"/>
      <x v="1035"/>
      <x v="611"/>
    </i>
    <i r="1">
      <x v="12"/>
      <x v="1"/>
      <x v="86"/>
      <x v="80"/>
      <x v="611"/>
    </i>
    <i r="4">
      <x v="352"/>
      <x v="611"/>
    </i>
    <i r="4">
      <x v="500"/>
      <x v="611"/>
    </i>
    <i r="1">
      <x v="23"/>
      <x v="37"/>
      <x v="86"/>
      <x v="653"/>
      <x v="611"/>
    </i>
    <i>
      <x v="9"/>
      <x/>
      <x v="37"/>
      <x v="87"/>
      <x v="744"/>
      <x v="611"/>
    </i>
    <i r="1">
      <x v="8"/>
      <x v="37"/>
      <x v="87"/>
      <x v="1341"/>
      <x v="611"/>
    </i>
    <i r="1">
      <x v="12"/>
      <x v="1"/>
      <x v="87"/>
      <x v="80"/>
      <x v="611"/>
    </i>
    <i r="4">
      <x v="213"/>
      <x v="611"/>
    </i>
    <i r="4">
      <x v="352"/>
      <x v="611"/>
    </i>
    <i r="4">
      <x v="500"/>
      <x v="611"/>
    </i>
    <i r="2">
      <x v="37"/>
      <x v="87"/>
      <x v="1028"/>
      <x v="611"/>
    </i>
    <i r="4">
      <x v="1079"/>
      <x v="611"/>
    </i>
    <i r="1">
      <x v="23"/>
      <x v="1"/>
      <x v="87"/>
      <x v="278"/>
      <x v="611"/>
    </i>
    <i r="2">
      <x v="37"/>
      <x v="87"/>
      <x v="294"/>
      <x v="611"/>
    </i>
    <i r="1">
      <x v="26"/>
      <x v="37"/>
      <x v="87"/>
      <x v="352"/>
      <x v="611"/>
    </i>
    <i r="1">
      <x v="35"/>
      <x v="1"/>
      <x v="87"/>
      <x v="80"/>
      <x v="611"/>
    </i>
    <i>
      <x v="10"/>
      <x/>
      <x v="8"/>
      <x v="88"/>
      <x v="1114"/>
      <x v="611"/>
    </i>
    <i r="2">
      <x v="9"/>
      <x v="88"/>
      <x v="212"/>
      <x v="611"/>
    </i>
    <i r="4">
      <x v="220"/>
      <x v="611"/>
    </i>
    <i r="4">
      <x v="240"/>
      <x v="611"/>
    </i>
    <i r="2">
      <x v="12"/>
      <x v="22"/>
      <x v="18"/>
      <x v="611"/>
    </i>
    <i r="2">
      <x v="37"/>
      <x v="88"/>
      <x v="273"/>
      <x v="611"/>
    </i>
    <i r="1">
      <x v="12"/>
      <x v="1"/>
      <x v="88"/>
      <x v="80"/>
      <x v="611"/>
    </i>
    <i r="4">
      <x v="213"/>
      <x v="611"/>
    </i>
    <i r="4">
      <x v="771"/>
      <x v="611"/>
    </i>
    <i r="4">
      <x v="846"/>
      <x v="611"/>
    </i>
    <i r="1">
      <x v="24"/>
      <x v="1"/>
      <x v="88"/>
      <x v="213"/>
      <x v="611"/>
    </i>
    <i r="1">
      <x v="35"/>
      <x v="1"/>
      <x v="88"/>
      <x v="80"/>
      <x v="611"/>
    </i>
    <i>
      <x v="11"/>
      <x/>
      <x v="12"/>
      <x v="10"/>
      <x v="248"/>
      <x v="611"/>
    </i>
    <i r="3">
      <x v="33"/>
      <x v="18"/>
      <x v="611"/>
    </i>
    <i r="3">
      <x v="39"/>
      <x v="180"/>
      <x v="611"/>
    </i>
    <i r="3">
      <x v="59"/>
      <x v="6"/>
      <x v="611"/>
    </i>
    <i r="3">
      <x v="70"/>
      <x v="14"/>
      <x v="611"/>
    </i>
    <i r="1">
      <x v="5"/>
      <x v="37"/>
      <x v="89"/>
      <x v="1403"/>
      <x v="611"/>
    </i>
    <i r="1">
      <x v="12"/>
      <x v="1"/>
      <x v="89"/>
      <x v="352"/>
      <x v="611"/>
    </i>
    <i r="1">
      <x v="15"/>
      <x v="1"/>
      <x v="89"/>
      <x v="607"/>
      <x v="611"/>
    </i>
    <i r="2">
      <x v="37"/>
      <x v="89"/>
      <x v="213"/>
      <x v="611"/>
    </i>
    <i r="1">
      <x v="23"/>
      <x v="37"/>
      <x v="89"/>
      <x v="111"/>
      <x v="611"/>
    </i>
    <i>
      <x v="12"/>
      <x/>
      <x v="9"/>
      <x v="90"/>
      <x v="300"/>
      <x v="611"/>
    </i>
    <i r="4">
      <x v="623"/>
      <x v="611"/>
    </i>
    <i r="4">
      <x v="1009"/>
      <x v="611"/>
    </i>
    <i r="2">
      <x v="12"/>
      <x v="22"/>
      <x v="18"/>
      <x v="611"/>
    </i>
    <i r="3">
      <x v="26"/>
      <x v="123"/>
      <x v="611"/>
    </i>
    <i r="3">
      <x v="48"/>
      <x v="35"/>
      <x v="611"/>
    </i>
    <i r="3">
      <x v="60"/>
      <x v="138"/>
      <x v="611"/>
    </i>
    <i r="3">
      <x v="65"/>
      <x v="2"/>
      <x v="611"/>
    </i>
    <i r="3">
      <x v="70"/>
      <x v="23"/>
      <x v="611"/>
    </i>
    <i r="2">
      <x v="37"/>
      <x v="90"/>
      <x v="1206"/>
      <x v="611"/>
    </i>
    <i r="1">
      <x v="3"/>
      <x v="37"/>
      <x v="90"/>
      <x v="1104"/>
      <x v="611"/>
    </i>
    <i r="1">
      <x v="5"/>
      <x v="37"/>
      <x v="90"/>
      <x v="1600"/>
      <x v="611"/>
    </i>
    <i r="1">
      <x v="8"/>
      <x v="37"/>
      <x v="90"/>
      <x v="1085"/>
      <x v="611"/>
    </i>
    <i r="1">
      <x v="12"/>
      <x v="1"/>
      <x v="90"/>
      <x v="80"/>
      <x v="611"/>
    </i>
    <i r="4">
      <x v="213"/>
      <x v="611"/>
    </i>
    <i r="4">
      <x v="500"/>
      <x v="611"/>
    </i>
    <i r="4">
      <x v="702"/>
      <x v="611"/>
    </i>
    <i r="1">
      <x v="17"/>
      <x v="7"/>
      <x v="90"/>
      <x v="758"/>
      <x v="611"/>
    </i>
    <i r="1">
      <x v="24"/>
      <x v="1"/>
      <x v="90"/>
      <x v="109"/>
      <x v="611"/>
    </i>
    <i r="2">
      <x v="37"/>
      <x v="90"/>
      <x v="138"/>
      <x v="611"/>
    </i>
    <i r="1">
      <x v="26"/>
      <x v="37"/>
      <x v="90"/>
      <x v="278"/>
      <x v="611"/>
    </i>
    <i r="1">
      <x v="27"/>
      <x v="37"/>
      <x v="90"/>
      <x v="1445"/>
      <x v="611"/>
    </i>
    <i r="1">
      <x v="36"/>
      <x v="8"/>
      <x v="90"/>
      <x v="1518"/>
      <x v="611"/>
    </i>
    <i>
      <x v="13"/>
      <x v="2"/>
      <x v="10"/>
      <x v="91"/>
      <x v="1706"/>
      <x v="611"/>
    </i>
    <i r="1">
      <x v="3"/>
      <x v="10"/>
      <x v="91"/>
      <x v="1466"/>
      <x v="611"/>
    </i>
    <i r="1">
      <x v="9"/>
      <x v="10"/>
      <x v="91"/>
      <x v="346"/>
      <x v="611"/>
    </i>
    <i r="1">
      <x v="11"/>
      <x v="10"/>
      <x v="91"/>
      <x v="845"/>
      <x v="611"/>
    </i>
    <i r="1">
      <x v="36"/>
      <x v="10"/>
      <x v="91"/>
      <x v="1611"/>
      <x v="611"/>
    </i>
    <i r="1">
      <x v="37"/>
      <x v="10"/>
      <x v="91"/>
      <x v="1673"/>
      <x v="611"/>
    </i>
    <i r="1">
      <x v="38"/>
      <x v="10"/>
      <x v="91"/>
      <x v="954"/>
      <x v="611"/>
    </i>
    <i>
      <x v="14"/>
      <x/>
      <x v="1"/>
      <x v="92"/>
      <x v="80"/>
      <x v="611"/>
    </i>
    <i r="4">
      <x v="213"/>
      <x v="611"/>
    </i>
    <i r="2">
      <x v="12"/>
      <x v="30"/>
      <x v="32"/>
      <x v="611"/>
    </i>
    <i r="3">
      <x v="42"/>
      <x v="9"/>
      <x v="611"/>
    </i>
    <i r="1">
      <x v="12"/>
      <x v="1"/>
      <x v="92"/>
      <x v="80"/>
      <x v="611"/>
    </i>
    <i r="4">
      <x v="213"/>
      <x v="611"/>
    </i>
    <i r="4">
      <x v="352"/>
      <x v="611"/>
    </i>
    <i r="4">
      <x v="500"/>
      <x v="611"/>
    </i>
    <i r="4">
      <x v="964"/>
      <x v="611"/>
    </i>
    <i r="4">
      <x v="1028"/>
      <x v="611"/>
    </i>
    <i r="1">
      <x v="23"/>
      <x v="37"/>
      <x v="92"/>
      <x v="1031"/>
      <x v="611"/>
    </i>
    <i r="1">
      <x v="28"/>
      <x v="1"/>
      <x v="92"/>
      <x v="1086"/>
      <x v="611"/>
    </i>
    <i r="1">
      <x v="35"/>
      <x v="1"/>
      <x v="92"/>
      <x v="80"/>
      <x v="611"/>
    </i>
    <i r="4">
      <x v="213"/>
      <x v="611"/>
    </i>
    <i>
      <x v="15"/>
      <x/>
      <x v="9"/>
      <x v="93"/>
      <x v="291"/>
      <x v="611"/>
    </i>
    <i r="4">
      <x v="587"/>
      <x v="611"/>
    </i>
    <i r="1">
      <x v="3"/>
      <x v="37"/>
      <x v="93"/>
      <x v="109"/>
      <x v="611"/>
    </i>
    <i r="1">
      <x v="5"/>
      <x v="8"/>
      <x v="93"/>
      <x v="673"/>
      <x v="611"/>
    </i>
    <i r="2">
      <x v="37"/>
      <x v="93"/>
      <x v="1321"/>
      <x v="611"/>
    </i>
    <i r="1">
      <x v="7"/>
      <x v="8"/>
      <x v="93"/>
      <x v="723"/>
      <x v="611"/>
    </i>
    <i r="2">
      <x v="10"/>
      <x v="93"/>
      <x v="1554"/>
      <x v="611"/>
    </i>
    <i r="1">
      <x v="12"/>
      <x v="1"/>
      <x v="93"/>
      <x v="80"/>
      <x v="611"/>
    </i>
    <i r="4">
      <x v="213"/>
      <x v="611"/>
    </i>
    <i r="4">
      <x v="352"/>
      <x v="611"/>
    </i>
    <i r="4">
      <x v="771"/>
      <x v="611"/>
    </i>
    <i r="4">
      <x v="964"/>
      <x v="611"/>
    </i>
    <i r="1">
      <x v="15"/>
      <x v="37"/>
      <x v="93"/>
      <x v="1007"/>
      <x v="611"/>
    </i>
    <i r="1">
      <x v="23"/>
      <x v="7"/>
      <x v="93"/>
      <x v="1188"/>
      <x v="611"/>
    </i>
    <i r="1">
      <x v="35"/>
      <x v="1"/>
      <x v="93"/>
      <x v="80"/>
      <x v="611"/>
    </i>
    <i r="1">
      <x v="36"/>
      <x v="8"/>
      <x v="93"/>
      <x v="1111"/>
      <x v="611"/>
    </i>
    <i>
      <x v="16"/>
      <x/>
      <x v="9"/>
      <x v="94"/>
      <x/>
      <x v="576"/>
    </i>
    <i r="4">
      <x v="220"/>
      <x v="611"/>
    </i>
    <i r="2">
      <x v="12"/>
      <x v="60"/>
      <x v="32"/>
      <x v="611"/>
    </i>
    <i r="1">
      <x v="12"/>
      <x v="1"/>
      <x v="94"/>
      <x v="702"/>
      <x v="611"/>
    </i>
    <i>
      <x v="17"/>
      <x/>
      <x v="12"/>
      <x v="36"/>
      <x v="236"/>
      <x v="611"/>
    </i>
    <i r="2">
      <x v="37"/>
      <x v="95"/>
      <x v="51"/>
      <x v="611"/>
    </i>
    <i r="4">
      <x v="262"/>
      <x v="611"/>
    </i>
    <i r="1">
      <x v="3"/>
      <x v="37"/>
      <x v="95"/>
      <x v="846"/>
      <x v="611"/>
    </i>
    <i r="1">
      <x v="12"/>
      <x v="1"/>
      <x v="95"/>
      <x v="213"/>
      <x v="611"/>
    </i>
    <i r="1">
      <x v="23"/>
      <x v="37"/>
      <x v="95"/>
      <x v="299"/>
      <x v="611"/>
    </i>
    <i>
      <x v="18"/>
      <x/>
      <x v="7"/>
      <x v="97"/>
      <x v="102"/>
      <x v="611"/>
    </i>
    <i r="2">
      <x v="9"/>
      <x v="97"/>
      <x/>
      <x v="609"/>
    </i>
    <i r="4">
      <x v="212"/>
      <x v="611"/>
    </i>
    <i r="4">
      <x v="617"/>
      <x v="611"/>
    </i>
    <i r="4">
      <x v="702"/>
      <x v="611"/>
    </i>
    <i r="2">
      <x v="12"/>
      <x v="50"/>
      <x v="551"/>
      <x v="611"/>
    </i>
    <i r="2">
      <x v="21"/>
      <x v="96"/>
      <x v="557"/>
      <x v="611"/>
    </i>
    <i r="4">
      <x v="651"/>
      <x v="611"/>
    </i>
    <i r="4">
      <x v="698"/>
      <x v="611"/>
    </i>
    <i r="4">
      <x v="1262"/>
      <x v="611"/>
    </i>
    <i r="2">
      <x v="37"/>
      <x v="97"/>
      <x v="262"/>
      <x v="611"/>
    </i>
    <i r="1">
      <x v="2"/>
      <x v="21"/>
      <x v="96"/>
      <x v="1768"/>
      <x v="611"/>
    </i>
    <i r="1">
      <x v="8"/>
      <x v="37"/>
      <x v="97"/>
      <x v="1143"/>
      <x v="611"/>
    </i>
    <i r="1">
      <x v="12"/>
      <x v="1"/>
      <x v="97"/>
      <x v="80"/>
      <x v="611"/>
    </i>
    <i r="2">
      <x v="21"/>
      <x v="96"/>
      <x v="161"/>
      <x v="611"/>
    </i>
    <i r="4">
      <x v="176"/>
      <x v="611"/>
    </i>
    <i r="4">
      <x v="196"/>
      <x v="611"/>
    </i>
    <i r="4">
      <x v="237"/>
      <x v="611"/>
    </i>
    <i r="4">
      <x v="348"/>
      <x v="611"/>
    </i>
    <i r="4">
      <x v="367"/>
      <x v="611"/>
    </i>
    <i r="4">
      <x v="399"/>
      <x v="611"/>
    </i>
    <i r="4">
      <x v="417"/>
      <x v="611"/>
    </i>
    <i r="4">
      <x v="426"/>
      <x v="611"/>
    </i>
    <i r="4">
      <x v="531"/>
      <x v="611"/>
    </i>
    <i r="4">
      <x v="566"/>
      <x v="611"/>
    </i>
    <i r="4">
      <x v="586"/>
      <x v="611"/>
    </i>
    <i r="4">
      <x v="597"/>
      <x v="611"/>
    </i>
    <i r="4">
      <x v="625"/>
      <x v="611"/>
    </i>
    <i r="4">
      <x v="660"/>
      <x v="611"/>
    </i>
    <i r="4">
      <x v="724"/>
      <x v="611"/>
    </i>
    <i r="4">
      <x v="861"/>
      <x v="611"/>
    </i>
    <i r="4">
      <x v="968"/>
      <x v="611"/>
    </i>
    <i r="4">
      <x v="999"/>
      <x v="611"/>
    </i>
    <i r="4">
      <x v="1023"/>
      <x v="611"/>
    </i>
    <i r="4">
      <x v="1063"/>
      <x v="611"/>
    </i>
    <i r="4">
      <x v="1072"/>
      <x v="611"/>
    </i>
    <i r="4">
      <x v="1096"/>
      <x v="611"/>
    </i>
    <i r="4">
      <x v="1112"/>
      <x v="611"/>
    </i>
    <i r="4">
      <x v="1113"/>
      <x v="611"/>
    </i>
    <i r="4">
      <x v="1142"/>
      <x v="611"/>
    </i>
    <i r="4">
      <x v="1223"/>
      <x v="611"/>
    </i>
    <i r="4">
      <x v="1329"/>
      <x v="611"/>
    </i>
    <i r="4">
      <x v="1426"/>
      <x v="611"/>
    </i>
    <i r="4">
      <x v="1446"/>
      <x v="611"/>
    </i>
    <i r="4">
      <x v="1461"/>
      <x v="611"/>
    </i>
    <i r="4">
      <x v="1490"/>
      <x v="611"/>
    </i>
    <i r="4">
      <x v="1540"/>
      <x v="611"/>
    </i>
    <i r="4">
      <x v="1545"/>
      <x v="611"/>
    </i>
    <i r="4">
      <x v="1579"/>
      <x v="611"/>
    </i>
    <i r="4">
      <x v="1593"/>
      <x v="611"/>
    </i>
    <i r="4">
      <x v="1597"/>
      <x v="611"/>
    </i>
    <i r="4">
      <x v="1623"/>
      <x v="611"/>
    </i>
    <i r="4">
      <x v="1625"/>
      <x v="611"/>
    </i>
    <i r="4">
      <x v="1683"/>
      <x v="611"/>
    </i>
    <i r="4">
      <x v="1726"/>
      <x v="611"/>
    </i>
    <i r="4">
      <x v="1784"/>
      <x v="611"/>
    </i>
    <i r="4">
      <x v="1798"/>
      <x v="611"/>
    </i>
    <i r="4">
      <x v="1802"/>
      <x v="611"/>
    </i>
    <i r="4">
      <x v="1814"/>
      <x v="611"/>
    </i>
    <i r="1">
      <x v="15"/>
      <x v="21"/>
      <x v="96"/>
      <x v="1709"/>
      <x v="611"/>
    </i>
    <i r="1">
      <x v="17"/>
      <x v="21"/>
      <x v="96"/>
      <x v="402"/>
      <x v="611"/>
    </i>
    <i r="1">
      <x v="23"/>
      <x v="21"/>
      <x v="96"/>
      <x v="1278"/>
      <x v="611"/>
    </i>
    <i r="2">
      <x v="37"/>
      <x v="97"/>
      <x v="50"/>
      <x v="611"/>
    </i>
    <i r="1">
      <x v="24"/>
      <x v="21"/>
      <x v="96"/>
      <x v="1118"/>
      <x v="611"/>
    </i>
    <i r="1">
      <x v="35"/>
      <x v="21"/>
      <x v="96"/>
      <x v="56"/>
      <x v="611"/>
    </i>
    <i r="4">
      <x v="409"/>
      <x v="611"/>
    </i>
    <i r="4">
      <x v="457"/>
      <x v="611"/>
    </i>
    <i r="4">
      <x v="786"/>
      <x v="611"/>
    </i>
    <i r="4">
      <x v="950"/>
      <x v="611"/>
    </i>
    <i>
      <x v="19"/>
      <x/>
      <x v="8"/>
      <x v="98"/>
      <x v="351"/>
      <x v="611"/>
    </i>
    <i r="2">
      <x v="9"/>
      <x v="98"/>
      <x v="702"/>
      <x v="611"/>
    </i>
    <i r="4">
      <x v="958"/>
      <x v="611"/>
    </i>
    <i r="4">
      <x v="1417"/>
      <x v="611"/>
    </i>
    <i r="2">
      <x v="12"/>
      <x v="18"/>
      <x v="44"/>
      <x v="611"/>
    </i>
    <i r="3">
      <x v="68"/>
      <x v="18"/>
      <x v="611"/>
    </i>
    <i r="1">
      <x v="6"/>
      <x v="37"/>
      <x v="98"/>
      <x v="1025"/>
      <x v="611"/>
    </i>
    <i r="1">
      <x v="15"/>
      <x v="7"/>
      <x v="98"/>
      <x v="711"/>
      <x v="611"/>
    </i>
    <i r="2">
      <x v="8"/>
      <x v="98"/>
      <x v="794"/>
      <x v="611"/>
    </i>
    <i r="2">
      <x v="9"/>
      <x v="98"/>
      <x v="1213"/>
      <x v="611"/>
    </i>
    <i>
      <x v="20"/>
      <x/>
      <x v="9"/>
      <x v="99"/>
      <x v="412"/>
      <x v="611"/>
    </i>
    <i r="2">
      <x v="12"/>
      <x v="46"/>
      <x v="325"/>
      <x v="611"/>
    </i>
    <i r="3">
      <x v="50"/>
      <x v="137"/>
      <x v="611"/>
    </i>
    <i r="3">
      <x v="56"/>
      <x v="194"/>
      <x v="611"/>
    </i>
    <i r="3">
      <x v="65"/>
      <x v="18"/>
      <x v="611"/>
    </i>
    <i r="1">
      <x v="3"/>
      <x v="37"/>
      <x v="99"/>
      <x v="143"/>
      <x v="611"/>
    </i>
    <i r="1">
      <x v="11"/>
      <x v="1"/>
      <x v="99"/>
      <x v="528"/>
      <x v="611"/>
    </i>
    <i r="1">
      <x v="15"/>
      <x v="32"/>
      <x v="74"/>
      <x v="1882"/>
      <x v="611"/>
    </i>
    <i r="1">
      <x v="17"/>
      <x v="6"/>
      <x v="99"/>
      <x v="1249"/>
      <x v="611"/>
    </i>
    <i r="1">
      <x v="23"/>
      <x v="9"/>
      <x v="99"/>
      <x v="1344"/>
      <x v="611"/>
    </i>
    <i>
      <x v="21"/>
      <x/>
      <x v="9"/>
      <x v="100"/>
      <x v="1543"/>
      <x v="611"/>
    </i>
    <i r="2">
      <x v="12"/>
      <x v="10"/>
      <x v="90"/>
      <x v="611"/>
    </i>
    <i r="3">
      <x v="19"/>
      <x v="39"/>
      <x v="611"/>
    </i>
    <i r="3">
      <x v="30"/>
      <x v="92"/>
      <x v="611"/>
    </i>
    <i r="1">
      <x v="3"/>
      <x v="1"/>
      <x v="100"/>
      <x v="935"/>
      <x v="611"/>
    </i>
    <i r="2">
      <x v="6"/>
      <x v="100"/>
      <x v="387"/>
      <x v="611"/>
    </i>
    <i r="2">
      <x v="37"/>
      <x v="100"/>
      <x v="737"/>
      <x v="611"/>
    </i>
    <i r="1">
      <x v="9"/>
      <x v="8"/>
      <x v="100"/>
      <x v="490"/>
      <x v="611"/>
    </i>
    <i r="1">
      <x v="12"/>
      <x v="1"/>
      <x v="100"/>
      <x v="80"/>
      <x v="611"/>
    </i>
    <i r="4">
      <x v="702"/>
      <x v="611"/>
    </i>
    <i>
      <x v="22"/>
      <x/>
      <x v="12"/>
      <x v="8"/>
      <x v="92"/>
      <x v="611"/>
    </i>
    <i r="3">
      <x v="25"/>
      <x v="180"/>
      <x v="611"/>
    </i>
    <i r="3">
      <x v="26"/>
      <x v="53"/>
      <x v="611"/>
    </i>
    <i r="3">
      <x v="70"/>
      <x v="18"/>
      <x v="611"/>
    </i>
    <i r="1">
      <x v="12"/>
      <x v="1"/>
      <x v="101"/>
      <x v="213"/>
      <x v="611"/>
    </i>
    <i r="1">
      <x v="23"/>
      <x v="6"/>
      <x v="101"/>
      <x v="701"/>
      <x v="611"/>
    </i>
    <i r="1">
      <x v="35"/>
      <x v="1"/>
      <x v="101"/>
      <x v="80"/>
      <x v="611"/>
    </i>
    <i>
      <x v="23"/>
      <x/>
      <x v="8"/>
      <x v="102"/>
      <x v="1114"/>
      <x v="611"/>
    </i>
    <i r="2">
      <x v="9"/>
      <x v="102"/>
      <x v="170"/>
      <x v="611"/>
    </i>
    <i r="4">
      <x v="255"/>
      <x v="611"/>
    </i>
    <i r="4">
      <x v="1106"/>
      <x v="611"/>
    </i>
    <i r="2">
      <x v="12"/>
      <x v="31"/>
      <x v="488"/>
      <x v="611"/>
    </i>
    <i r="3">
      <x v="39"/>
      <x v="61"/>
      <x v="611"/>
    </i>
    <i r="3">
      <x v="70"/>
      <x v="18"/>
      <x v="611"/>
    </i>
    <i r="2">
      <x v="37"/>
      <x v="102"/>
      <x v="1137"/>
      <x v="611"/>
    </i>
    <i r="1">
      <x v="6"/>
      <x v="37"/>
      <x v="102"/>
      <x v="469"/>
      <x v="611"/>
    </i>
    <i r="1">
      <x v="9"/>
      <x v="8"/>
      <x v="102"/>
      <x v="592"/>
      <x v="611"/>
    </i>
    <i r="1">
      <x v="12"/>
      <x v="1"/>
      <x v="102"/>
      <x v="80"/>
      <x v="611"/>
    </i>
    <i r="4">
      <x v="213"/>
      <x v="611"/>
    </i>
    <i r="4">
      <x v="352"/>
      <x v="611"/>
    </i>
    <i r="4">
      <x v="607"/>
      <x v="611"/>
    </i>
    <i r="4">
      <x v="911"/>
      <x v="611"/>
    </i>
    <i r="2">
      <x v="37"/>
      <x v="102"/>
      <x v="248"/>
      <x v="611"/>
    </i>
    <i r="4">
      <x v="1192"/>
      <x v="611"/>
    </i>
    <i r="1">
      <x v="16"/>
      <x v="37"/>
      <x v="102"/>
      <x v="39"/>
      <x v="611"/>
    </i>
    <i r="1">
      <x v="19"/>
      <x v="6"/>
      <x v="102"/>
      <x v="872"/>
      <x v="611"/>
    </i>
    <i r="1">
      <x v="23"/>
      <x v="6"/>
      <x v="102"/>
      <x v="1149"/>
      <x v="611"/>
    </i>
    <i r="2">
      <x v="7"/>
      <x v="102"/>
      <x v="371"/>
      <x v="611"/>
    </i>
    <i r="1">
      <x v="35"/>
      <x v="1"/>
      <x v="102"/>
      <x v="80"/>
      <x v="611"/>
    </i>
    <i>
      <x v="24"/>
      <x/>
      <x v="6"/>
      <x v="103"/>
      <x v="469"/>
      <x v="611"/>
    </i>
    <i r="2">
      <x v="12"/>
      <x v="6"/>
      <x v="101"/>
      <x v="611"/>
    </i>
    <i r="3">
      <x v="57"/>
      <x v="9"/>
      <x v="611"/>
    </i>
    <i r="1">
      <x v="6"/>
      <x v="37"/>
      <x v="103"/>
      <x v="607"/>
      <x v="611"/>
    </i>
    <i r="1">
      <x v="15"/>
      <x v="33"/>
      <x v="103"/>
      <x v="1879"/>
      <x v="611"/>
    </i>
    <i r="1">
      <x v="19"/>
      <x v="6"/>
      <x v="103"/>
      <x v="371"/>
      <x v="611"/>
    </i>
    <i r="1">
      <x v="23"/>
      <x v="37"/>
      <x v="103"/>
      <x v="562"/>
      <x v="611"/>
    </i>
    <i>
      <x v="25"/>
      <x/>
      <x v="10"/>
      <x v="105"/>
      <x/>
      <x v="364"/>
    </i>
    <i r="2">
      <x v="12"/>
      <x v="26"/>
      <x v="52"/>
      <x v="611"/>
    </i>
    <i r="3">
      <x v="29"/>
      <x v="11"/>
      <x v="611"/>
    </i>
    <i r="3">
      <x v="53"/>
      <x v="52"/>
      <x v="611"/>
    </i>
    <i r="2">
      <x v="37"/>
      <x v="105"/>
      <x v="1348"/>
      <x v="611"/>
    </i>
    <i r="4">
      <x v="1674"/>
      <x v="611"/>
    </i>
    <i r="1">
      <x v="2"/>
      <x v="28"/>
      <x v="104"/>
      <x v="34"/>
      <x v="611"/>
    </i>
    <i r="1">
      <x v="8"/>
      <x v="37"/>
      <x v="105"/>
      <x v="1165"/>
      <x v="611"/>
    </i>
    <i r="1">
      <x v="10"/>
      <x v="38"/>
      <x v="105"/>
      <x v="1500"/>
      <x v="611"/>
    </i>
    <i r="1">
      <x v="12"/>
      <x v="1"/>
      <x v="105"/>
      <x v="80"/>
      <x v="611"/>
    </i>
    <i r="4">
      <x v="213"/>
      <x v="611"/>
    </i>
    <i r="4">
      <x v="352"/>
      <x v="611"/>
    </i>
    <i r="4">
      <x v="500"/>
      <x v="611"/>
    </i>
    <i r="4">
      <x v="964"/>
      <x v="611"/>
    </i>
    <i r="4">
      <x v="1069"/>
      <x v="611"/>
    </i>
    <i r="1">
      <x v="15"/>
      <x v="38"/>
      <x v="105"/>
      <x v="1274"/>
      <x v="611"/>
    </i>
    <i r="1">
      <x v="21"/>
      <x v="38"/>
      <x v="105"/>
      <x v="1274"/>
      <x v="611"/>
    </i>
    <i r="1">
      <x v="23"/>
      <x v="38"/>
      <x v="105"/>
      <x v="1858"/>
      <x v="611"/>
    </i>
    <i r="1">
      <x v="36"/>
      <x v="1"/>
      <x v="105"/>
      <x v="351"/>
      <x v="611"/>
    </i>
    <i>
      <x v="26"/>
      <x/>
      <x v="6"/>
      <x v="106"/>
      <x v="248"/>
      <x v="611"/>
    </i>
    <i r="2">
      <x v="9"/>
      <x v="106"/>
      <x v="212"/>
      <x v="611"/>
    </i>
    <i r="4">
      <x v="350"/>
      <x v="611"/>
    </i>
    <i r="4">
      <x v="510"/>
      <x v="611"/>
    </i>
    <i r="4">
      <x v="572"/>
      <x v="611"/>
    </i>
    <i r="4">
      <x v="664"/>
      <x v="611"/>
    </i>
    <i r="4">
      <x v="867"/>
      <x v="611"/>
    </i>
    <i r="4">
      <x v="963"/>
      <x v="611"/>
    </i>
    <i r="2">
      <x v="12"/>
      <x v="26"/>
      <x v="52"/>
      <x v="611"/>
    </i>
    <i r="3">
      <x v="50"/>
      <x v="248"/>
      <x v="611"/>
    </i>
    <i r="2">
      <x v="37"/>
      <x v="106"/>
      <x v="685"/>
      <x v="611"/>
    </i>
    <i r="4">
      <x v="1547"/>
      <x v="611"/>
    </i>
    <i r="1">
      <x v="5"/>
      <x v="37"/>
      <x v="106"/>
      <x v="1334"/>
      <x v="611"/>
    </i>
    <i r="1">
      <x v="9"/>
      <x v="8"/>
      <x v="106"/>
      <x v="428"/>
      <x v="611"/>
    </i>
    <i r="1">
      <x v="12"/>
      <x/>
      <x v="106"/>
      <x v="80"/>
      <x v="611"/>
    </i>
    <i r="2">
      <x v="1"/>
      <x v="106"/>
      <x v="352"/>
      <x v="611"/>
    </i>
    <i r="4">
      <x v="500"/>
      <x v="611"/>
    </i>
    <i r="1">
      <x v="15"/>
      <x v="9"/>
      <x v="106"/>
      <x v="466"/>
      <x v="611"/>
    </i>
    <i r="1">
      <x v="19"/>
      <x v="37"/>
      <x v="106"/>
      <x v="633"/>
      <x v="611"/>
    </i>
    <i r="1">
      <x v="27"/>
      <x v="6"/>
      <x v="106"/>
      <x v="1459"/>
      <x v="611"/>
    </i>
    <i>
      <x v="27"/>
      <x/>
      <x v="12"/>
      <x v="60"/>
      <x v="9"/>
      <x v="611"/>
    </i>
    <i r="2">
      <x v="37"/>
      <x v="107"/>
      <x v="371"/>
      <x v="611"/>
    </i>
    <i r="1">
      <x v="8"/>
      <x v="37"/>
      <x v="107"/>
      <x v="1525"/>
      <x v="611"/>
    </i>
    <i r="1">
      <x v="12"/>
      <x v="1"/>
      <x v="107"/>
      <x v="213"/>
      <x v="611"/>
    </i>
    <i r="1">
      <x v="23"/>
      <x v="37"/>
      <x v="107"/>
      <x v="121"/>
      <x v="611"/>
    </i>
    <i>
      <x v="28"/>
      <x/>
      <x v="7"/>
      <x v="108"/>
      <x v="503"/>
      <x v="611"/>
    </i>
    <i r="2">
      <x v="9"/>
      <x v="108"/>
      <x v="230"/>
      <x v="611"/>
    </i>
    <i r="4">
      <x v="248"/>
      <x v="611"/>
    </i>
    <i r="4">
      <x v="485"/>
      <x v="611"/>
    </i>
    <i r="4">
      <x v="712"/>
      <x v="611"/>
    </i>
    <i r="4">
      <x v="871"/>
      <x v="611"/>
    </i>
    <i r="4">
      <x v="1103"/>
      <x v="611"/>
    </i>
    <i r="2">
      <x v="10"/>
      <x v="108"/>
      <x v="433"/>
      <x v="611"/>
    </i>
    <i r="2">
      <x v="12"/>
      <x v="65"/>
      <x v="11"/>
      <x v="611"/>
    </i>
    <i r="1">
      <x v="12"/>
      <x v="1"/>
      <x v="108"/>
      <x v="80"/>
      <x v="611"/>
    </i>
    <i r="4">
      <x v="213"/>
      <x v="611"/>
    </i>
    <i r="4">
      <x v="846"/>
      <x v="611"/>
    </i>
    <i r="1">
      <x v="19"/>
      <x v="10"/>
      <x v="108"/>
      <x v="1659"/>
      <x v="611"/>
    </i>
    <i r="1">
      <x v="21"/>
      <x v="37"/>
      <x v="108"/>
      <x v="947"/>
      <x v="611"/>
    </i>
    <i r="1">
      <x v="35"/>
      <x v="1"/>
      <x v="108"/>
      <x v="80"/>
      <x v="611"/>
    </i>
    <i>
      <x v="29"/>
      <x/>
      <x v="6"/>
      <x v="109"/>
      <x v="228"/>
      <x v="611"/>
    </i>
    <i r="4">
      <x v="321"/>
      <x v="611"/>
    </i>
    <i r="2">
      <x v="12"/>
      <x v="10"/>
      <x v="9"/>
      <x v="611"/>
    </i>
    <i r="3">
      <x v="58"/>
      <x v="11"/>
      <x v="611"/>
    </i>
    <i r="3">
      <x v="64"/>
      <x v="64"/>
      <x v="611"/>
    </i>
    <i r="1">
      <x v="3"/>
      <x v="37"/>
      <x v="109"/>
      <x v="187"/>
      <x v="611"/>
    </i>
    <i r="1">
      <x v="5"/>
      <x v="37"/>
      <x v="109"/>
      <x v="592"/>
      <x v="611"/>
    </i>
    <i r="1">
      <x v="7"/>
      <x v="37"/>
      <x v="109"/>
      <x v="314"/>
      <x v="611"/>
    </i>
    <i r="1">
      <x v="8"/>
      <x v="37"/>
      <x v="109"/>
      <x v="697"/>
      <x v="611"/>
    </i>
    <i r="1">
      <x v="9"/>
      <x v="8"/>
      <x v="109"/>
      <x v="1297"/>
      <x v="611"/>
    </i>
    <i r="1">
      <x v="12"/>
      <x v="1"/>
      <x v="109"/>
      <x v="80"/>
      <x v="611"/>
    </i>
    <i r="4">
      <x v="213"/>
      <x v="611"/>
    </i>
    <i r="4">
      <x v="352"/>
      <x v="611"/>
    </i>
    <i r="4">
      <x v="500"/>
      <x v="611"/>
    </i>
    <i r="4">
      <x v="607"/>
      <x v="611"/>
    </i>
    <i r="4">
      <x v="911"/>
      <x v="611"/>
    </i>
    <i r="2">
      <x v="37"/>
      <x v="109"/>
      <x v="1244"/>
      <x v="611"/>
    </i>
    <i r="1">
      <x v="15"/>
      <x v="1"/>
      <x v="109"/>
      <x v="1698"/>
      <x v="611"/>
    </i>
    <i r="1">
      <x v="21"/>
      <x v="6"/>
      <x v="109"/>
      <x v="551"/>
      <x v="611"/>
    </i>
    <i r="2">
      <x v="37"/>
      <x v="109"/>
      <x v="352"/>
      <x v="611"/>
    </i>
    <i r="1">
      <x v="23"/>
      <x v="1"/>
      <x v="109"/>
      <x v="109"/>
      <x v="611"/>
    </i>
    <i r="2">
      <x v="37"/>
      <x v="109"/>
      <x v="286"/>
      <x v="611"/>
    </i>
    <i r="1">
      <x v="24"/>
      <x v="37"/>
      <x v="109"/>
      <x v="80"/>
      <x v="611"/>
    </i>
    <i r="1">
      <x v="26"/>
      <x v="37"/>
      <x v="109"/>
      <x v="109"/>
      <x v="611"/>
    </i>
    <i r="1">
      <x v="28"/>
      <x v="8"/>
      <x v="109"/>
      <x v="669"/>
      <x v="611"/>
    </i>
    <i r="1">
      <x v="33"/>
      <x v="6"/>
      <x v="109"/>
      <x v="469"/>
      <x v="611"/>
    </i>
    <i r="1">
      <x v="35"/>
      <x v="1"/>
      <x v="109"/>
      <x v="80"/>
      <x v="611"/>
    </i>
    <i>
      <x v="30"/>
      <x/>
      <x v="15"/>
      <x v="110"/>
      <x v="643"/>
      <x v="611"/>
    </i>
    <i r="4">
      <x v="646"/>
      <x v="611"/>
    </i>
    <i r="4">
      <x v="651"/>
      <x v="611"/>
    </i>
    <i r="4">
      <x v="655"/>
      <x v="611"/>
    </i>
    <i r="4">
      <x v="820"/>
      <x v="611"/>
    </i>
    <i r="4">
      <x v="873"/>
      <x v="611"/>
    </i>
    <i r="4">
      <x v="948"/>
      <x v="611"/>
    </i>
    <i r="4">
      <x v="1135"/>
      <x v="611"/>
    </i>
    <i r="4">
      <x v="1140"/>
      <x v="611"/>
    </i>
    <i r="1">
      <x v="2"/>
      <x v="15"/>
      <x v="110"/>
      <x v="1876"/>
      <x v="611"/>
    </i>
    <i r="1">
      <x v="3"/>
      <x v="15"/>
      <x v="110"/>
      <x v="1277"/>
      <x v="611"/>
    </i>
    <i r="1">
      <x v="12"/>
      <x v="15"/>
      <x v="110"/>
      <x v="222"/>
      <x v="611"/>
    </i>
    <i r="4">
      <x v="324"/>
      <x v="611"/>
    </i>
    <i r="4">
      <x v="594"/>
      <x v="611"/>
    </i>
    <i r="4">
      <x v="1006"/>
      <x v="611"/>
    </i>
    <i r="4">
      <x v="1010"/>
      <x v="611"/>
    </i>
    <i r="4">
      <x v="1184"/>
      <x v="611"/>
    </i>
    <i r="4">
      <x v="1373"/>
      <x v="611"/>
    </i>
    <i r="4">
      <x v="1383"/>
      <x v="611"/>
    </i>
    <i r="4">
      <x v="1386"/>
      <x v="611"/>
    </i>
    <i r="4">
      <x v="1397"/>
      <x v="611"/>
    </i>
    <i r="4">
      <x v="1462"/>
      <x v="611"/>
    </i>
    <i r="4">
      <x v="1489"/>
      <x v="611"/>
    </i>
    <i r="4">
      <x v="1506"/>
      <x v="611"/>
    </i>
    <i r="4">
      <x v="1570"/>
      <x v="611"/>
    </i>
    <i r="4">
      <x v="1591"/>
      <x v="611"/>
    </i>
    <i r="4">
      <x v="1595"/>
      <x v="611"/>
    </i>
    <i r="4">
      <x v="1635"/>
      <x v="611"/>
    </i>
    <i r="4">
      <x v="1742"/>
      <x v="611"/>
    </i>
    <i r="4">
      <x v="1746"/>
      <x v="611"/>
    </i>
    <i r="4">
      <x v="1763"/>
      <x v="611"/>
    </i>
    <i r="4">
      <x v="1771"/>
      <x v="611"/>
    </i>
    <i r="4">
      <x v="1785"/>
      <x v="611"/>
    </i>
    <i r="4">
      <x v="1789"/>
      <x v="611"/>
    </i>
    <i r="1">
      <x v="15"/>
      <x v="15"/>
      <x v="110"/>
      <x v="1138"/>
      <x v="611"/>
    </i>
    <i r="1">
      <x v="17"/>
      <x v="15"/>
      <x v="110"/>
      <x v="742"/>
      <x v="611"/>
    </i>
    <i r="1">
      <x v="21"/>
      <x v="15"/>
      <x v="110"/>
      <x v="1810"/>
      <x v="611"/>
    </i>
    <i r="1">
      <x v="23"/>
      <x v="15"/>
      <x v="110"/>
      <x v="1650"/>
      <x v="611"/>
    </i>
    <i r="2">
      <x v="37"/>
      <x v="111"/>
      <x v="1285"/>
      <x v="611"/>
    </i>
    <i r="1">
      <x v="24"/>
      <x v="15"/>
      <x v="110"/>
      <x v="1510"/>
      <x v="611"/>
    </i>
    <i r="1">
      <x v="27"/>
      <x v="15"/>
      <x v="110"/>
      <x v="1469"/>
      <x v="611"/>
    </i>
    <i r="1">
      <x v="35"/>
      <x v="15"/>
      <x v="110"/>
      <x v="253"/>
      <x v="611"/>
    </i>
    <i r="4">
      <x v="332"/>
      <x v="611"/>
    </i>
    <i r="4">
      <x v="362"/>
      <x v="611"/>
    </i>
    <i r="4">
      <x v="377"/>
      <x v="611"/>
    </i>
    <i r="4">
      <x v="415"/>
      <x v="611"/>
    </i>
    <i r="4">
      <x v="446"/>
      <x v="611"/>
    </i>
    <i r="4">
      <x v="554"/>
      <x v="611"/>
    </i>
    <i r="4">
      <x v="735"/>
      <x v="611"/>
    </i>
    <i r="4">
      <x v="952"/>
      <x v="611"/>
    </i>
    <i r="4">
      <x v="1040"/>
      <x v="611"/>
    </i>
    <i r="4">
      <x v="1154"/>
      <x v="611"/>
    </i>
    <i r="1">
      <x v="36"/>
      <x v="6"/>
      <x v="111"/>
      <x v="279"/>
      <x v="611"/>
    </i>
    <i>
      <x v="31"/>
      <x/>
      <x v="12"/>
      <x v="50"/>
      <x v="248"/>
      <x v="611"/>
    </i>
    <i r="3">
      <x v="60"/>
      <x v="32"/>
      <x v="611"/>
    </i>
    <i r="1">
      <x v="12"/>
      <x v="1"/>
      <x v="112"/>
      <x v="80"/>
      <x v="611"/>
    </i>
    <i r="4">
      <x v="500"/>
      <x v="611"/>
    </i>
    <i r="1">
      <x v="15"/>
      <x v="38"/>
      <x v="112"/>
      <x v="1799"/>
      <x v="611"/>
    </i>
    <i r="1">
      <x v="19"/>
      <x v="37"/>
      <x v="112"/>
      <x v="156"/>
      <x v="611"/>
    </i>
    <i r="1">
      <x v="35"/>
      <x v="1"/>
      <x v="112"/>
      <x v="80"/>
      <x v="611"/>
    </i>
    <i>
      <x v="32"/>
      <x/>
      <x v="12"/>
      <x v="47"/>
      <x v="314"/>
      <x v="611"/>
    </i>
    <i r="3">
      <x v="70"/>
      <x v="18"/>
      <x v="611"/>
    </i>
    <i r="1">
      <x v="5"/>
      <x v="37"/>
      <x v="113"/>
      <x v="1043"/>
      <x v="611"/>
    </i>
    <i r="1">
      <x v="24"/>
      <x v="37"/>
      <x v="113"/>
      <x v="352"/>
      <x v="611"/>
    </i>
    <i>
      <x v="33"/>
      <x/>
      <x v="1"/>
      <x v="114"/>
      <x v="213"/>
      <x v="611"/>
    </i>
    <i r="2">
      <x v="6"/>
      <x v="114"/>
      <x v="248"/>
      <x v="611"/>
    </i>
    <i r="2">
      <x v="8"/>
      <x v="114"/>
      <x v="996"/>
      <x v="611"/>
    </i>
    <i r="2">
      <x v="9"/>
      <x v="114"/>
      <x v="337"/>
      <x v="611"/>
    </i>
    <i r="4">
      <x v="338"/>
      <x v="611"/>
    </i>
    <i r="4">
      <x v="649"/>
      <x v="611"/>
    </i>
    <i r="4">
      <x v="865"/>
      <x v="611"/>
    </i>
    <i r="4">
      <x v="980"/>
      <x v="611"/>
    </i>
    <i r="4">
      <x v="1116"/>
      <x v="611"/>
    </i>
    <i r="4">
      <x v="1434"/>
      <x v="611"/>
    </i>
    <i r="2">
      <x v="12"/>
      <x v="5"/>
      <x v="69"/>
      <x v="611"/>
    </i>
    <i r="3">
      <x v="18"/>
      <x v="11"/>
      <x v="611"/>
    </i>
    <i r="3">
      <x v="32"/>
      <x v="90"/>
      <x v="611"/>
    </i>
    <i r="3">
      <x v="47"/>
      <x v="314"/>
      <x v="611"/>
    </i>
    <i r="3">
      <x v="64"/>
      <x v="9"/>
      <x v="611"/>
    </i>
    <i r="3">
      <x v="67"/>
      <x v="92"/>
      <x v="611"/>
    </i>
    <i r="2">
      <x v="37"/>
      <x v="114"/>
      <x v="138"/>
      <x v="611"/>
    </i>
    <i r="1">
      <x v="3"/>
      <x v="37"/>
      <x v="114"/>
      <x v="278"/>
      <x v="611"/>
    </i>
    <i r="1">
      <x v="5"/>
      <x v="8"/>
      <x v="114"/>
      <x v="1295"/>
      <x v="611"/>
    </i>
    <i r="1">
      <x v="7"/>
      <x v="8"/>
      <x v="114"/>
      <x v="1258"/>
      <x v="611"/>
    </i>
    <i r="2">
      <x v="10"/>
      <x v="114"/>
      <x v="214"/>
      <x v="611"/>
    </i>
    <i r="1">
      <x v="12"/>
      <x v="1"/>
      <x v="114"/>
      <x v="80"/>
      <x v="611"/>
    </i>
    <i r="4">
      <x v="352"/>
      <x v="611"/>
    </i>
    <i r="4">
      <x v="500"/>
      <x v="611"/>
    </i>
    <i r="4">
      <x v="607"/>
      <x v="611"/>
    </i>
    <i r="4">
      <x v="702"/>
      <x v="611"/>
    </i>
    <i r="1">
      <x v="14"/>
      <x v="1"/>
      <x v="114"/>
      <x v="1497"/>
      <x v="611"/>
    </i>
    <i r="1">
      <x v="19"/>
      <x v="37"/>
      <x v="114"/>
      <x v="1199"/>
      <x v="611"/>
    </i>
    <i r="1">
      <x v="21"/>
      <x v="33"/>
      <x v="114"/>
      <x v="1093"/>
      <x v="611"/>
    </i>
    <i r="1">
      <x v="35"/>
      <x v="1"/>
      <x v="114"/>
      <x v="80"/>
      <x v="611"/>
    </i>
    <i>
      <x v="34"/>
      <x/>
      <x v="12"/>
      <x v="2"/>
      <x v="134"/>
      <x v="611"/>
    </i>
    <i r="3">
      <x v="19"/>
      <x v="73"/>
      <x v="611"/>
    </i>
    <i r="3">
      <x v="27"/>
      <x v="92"/>
      <x v="611"/>
    </i>
    <i r="3">
      <x v="42"/>
      <x v="69"/>
      <x v="611"/>
    </i>
    <i r="3">
      <x v="62"/>
      <x v="52"/>
      <x v="611"/>
    </i>
    <i r="1">
      <x v="12"/>
      <x v="1"/>
      <x v="115"/>
      <x v="80"/>
      <x v="611"/>
    </i>
    <i r="1">
      <x v="26"/>
      <x v="37"/>
      <x v="115"/>
      <x v="109"/>
      <x v="611"/>
    </i>
    <i r="1">
      <x v="27"/>
      <x v="37"/>
      <x v="115"/>
      <x v="39"/>
      <x v="611"/>
    </i>
    <i>
      <x v="35"/>
      <x/>
      <x v="1"/>
      <x v="116"/>
      <x v="352"/>
      <x v="611"/>
    </i>
    <i r="2">
      <x v="8"/>
      <x v="116"/>
      <x v="376"/>
      <x v="611"/>
    </i>
    <i r="4">
      <x v="773"/>
      <x v="611"/>
    </i>
    <i r="2">
      <x v="9"/>
      <x v="116"/>
      <x v="345"/>
      <x v="611"/>
    </i>
    <i r="4">
      <x v="589"/>
      <x v="611"/>
    </i>
    <i r="4">
      <x v="681"/>
      <x v="611"/>
    </i>
    <i r="4">
      <x v="1253"/>
      <x v="611"/>
    </i>
    <i r="2">
      <x v="12"/>
      <x v="21"/>
      <x v="69"/>
      <x v="611"/>
    </i>
    <i r="3">
      <x v="61"/>
      <x v="69"/>
      <x v="611"/>
    </i>
    <i r="3">
      <x v="62"/>
      <x v="85"/>
      <x v="611"/>
    </i>
    <i r="3">
      <x v="64"/>
      <x v="69"/>
      <x v="611"/>
    </i>
    <i r="1">
      <x v="2"/>
      <x v="10"/>
      <x v="116"/>
      <x v="1669"/>
      <x v="611"/>
    </i>
    <i r="1">
      <x v="3"/>
      <x v="10"/>
      <x v="116"/>
      <x v="1365"/>
      <x v="611"/>
    </i>
    <i r="1">
      <x v="7"/>
      <x v="8"/>
      <x v="116"/>
      <x v="216"/>
      <x v="611"/>
    </i>
    <i r="2">
      <x v="10"/>
      <x v="116"/>
      <x v="692"/>
      <x v="611"/>
    </i>
    <i r="1">
      <x v="9"/>
      <x v="10"/>
      <x v="116"/>
      <x v="329"/>
      <x v="611"/>
    </i>
    <i r="1">
      <x v="11"/>
      <x v="10"/>
      <x v="116"/>
      <x v="819"/>
      <x v="611"/>
    </i>
    <i r="1">
      <x v="12"/>
      <x v="1"/>
      <x v="116"/>
      <x v="213"/>
      <x v="611"/>
    </i>
    <i r="4">
      <x v="500"/>
      <x v="611"/>
    </i>
    <i r="1">
      <x v="21"/>
      <x v="37"/>
      <x v="116"/>
      <x v="1050"/>
      <x v="611"/>
    </i>
    <i r="1">
      <x v="23"/>
      <x v="37"/>
      <x v="116"/>
      <x v="288"/>
      <x v="611"/>
    </i>
    <i r="1">
      <x v="26"/>
      <x v="37"/>
      <x v="116"/>
      <x v="920"/>
      <x v="611"/>
    </i>
    <i r="1">
      <x v="27"/>
      <x v="37"/>
      <x v="116"/>
      <x v="39"/>
      <x v="611"/>
    </i>
    <i r="1">
      <x v="35"/>
      <x v="1"/>
      <x v="116"/>
      <x v="80"/>
      <x v="611"/>
    </i>
    <i r="1">
      <x v="36"/>
      <x v="8"/>
      <x v="116"/>
      <x v="832"/>
      <x v="611"/>
    </i>
    <i r="2">
      <x v="10"/>
      <x v="116"/>
      <x v="1616"/>
      <x v="611"/>
    </i>
    <i r="1">
      <x v="37"/>
      <x v="10"/>
      <x v="116"/>
      <x v="1712"/>
      <x v="611"/>
    </i>
    <i r="1">
      <x v="38"/>
      <x v="10"/>
      <x v="116"/>
      <x v="1152"/>
      <x v="611"/>
    </i>
    <i>
      <x v="36"/>
      <x/>
      <x v="12"/>
      <x v="20"/>
      <x v="119"/>
      <x v="611"/>
    </i>
    <i r="3">
      <x v="70"/>
      <x v="9"/>
      <x v="611"/>
    </i>
    <i r="1">
      <x v="6"/>
      <x v="37"/>
      <x v="117"/>
      <x v="517"/>
      <x v="611"/>
    </i>
    <i r="1">
      <x v="32"/>
      <x v="6"/>
      <x v="117"/>
      <x v="1793"/>
      <x v="611"/>
    </i>
    <i>
      <x v="37"/>
      <x/>
      <x v="8"/>
      <x v="118"/>
      <x v="964"/>
      <x v="611"/>
    </i>
    <i r="2">
      <x v="12"/>
      <x v="13"/>
      <x v="140"/>
      <x v="611"/>
    </i>
    <i r="3">
      <x v="17"/>
      <x v="96"/>
      <x v="611"/>
    </i>
    <i r="3">
      <x v="28"/>
      <x v="73"/>
      <x v="611"/>
    </i>
    <i r="3">
      <x v="32"/>
      <x v="391"/>
      <x v="611"/>
    </i>
    <i r="3">
      <x v="69"/>
      <x v="248"/>
      <x v="611"/>
    </i>
    <i r="3">
      <x v="70"/>
      <x v="92"/>
      <x v="611"/>
    </i>
    <i r="2">
      <x v="37"/>
      <x v="118"/>
      <x v="138"/>
      <x v="611"/>
    </i>
    <i r="4">
      <x v="453"/>
      <x v="611"/>
    </i>
    <i r="4">
      <x v="1232"/>
      <x v="611"/>
    </i>
    <i r="1">
      <x v="5"/>
      <x v="37"/>
      <x v="118"/>
      <x v="501"/>
      <x v="611"/>
    </i>
    <i r="2">
      <x v="38"/>
      <x v="118"/>
      <x v="1450"/>
      <x v="611"/>
    </i>
    <i r="1">
      <x v="6"/>
      <x v="37"/>
      <x v="118"/>
      <x v="774"/>
      <x v="611"/>
    </i>
    <i r="1">
      <x v="12"/>
      <x v="1"/>
      <x v="118"/>
      <x v="80"/>
      <x v="611"/>
    </i>
    <i r="4">
      <x v="213"/>
      <x v="611"/>
    </i>
    <i r="4">
      <x v="500"/>
      <x v="611"/>
    </i>
    <i r="4">
      <x v="607"/>
      <x v="611"/>
    </i>
    <i r="4">
      <x v="702"/>
      <x v="611"/>
    </i>
    <i r="4">
      <x v="846"/>
      <x v="611"/>
    </i>
    <i r="1">
      <x v="19"/>
      <x v="38"/>
      <x v="118"/>
      <x v="702"/>
      <x v="611"/>
    </i>
    <i r="1">
      <x v="23"/>
      <x v="37"/>
      <x v="118"/>
      <x v="48"/>
      <x v="611"/>
    </i>
    <i r="1">
      <x v="27"/>
      <x v="37"/>
      <x v="118"/>
      <x v="437"/>
      <x v="611"/>
    </i>
    <i r="1">
      <x v="35"/>
      <x v="1"/>
      <x v="118"/>
      <x v="80"/>
      <x v="611"/>
    </i>
    <i r="1">
      <x v="36"/>
      <x v="6"/>
      <x v="118"/>
      <x v="793"/>
      <x v="611"/>
    </i>
    <i>
      <x v="38"/>
      <x/>
      <x v="8"/>
      <x v="119"/>
      <x v="188"/>
      <x v="611"/>
    </i>
    <i r="2">
      <x v="9"/>
      <x v="119"/>
      <x v="117"/>
      <x v="611"/>
    </i>
    <i r="4">
      <x v="363"/>
      <x v="611"/>
    </i>
    <i r="4">
      <x v="716"/>
      <x v="611"/>
    </i>
    <i r="4">
      <x v="1095"/>
      <x v="611"/>
    </i>
    <i r="4">
      <x v="1359"/>
      <x v="611"/>
    </i>
    <i r="4">
      <x v="1360"/>
      <x v="611"/>
    </i>
    <i r="2">
      <x v="12"/>
      <x v="3"/>
      <x v="114"/>
      <x v="611"/>
    </i>
    <i r="3">
      <x v="7"/>
      <x v="386"/>
      <x v="611"/>
    </i>
    <i r="3">
      <x v="10"/>
      <x v="371"/>
      <x v="611"/>
    </i>
    <i r="3">
      <x v="21"/>
      <x v="11"/>
      <x v="611"/>
    </i>
    <i r="3">
      <x v="22"/>
      <x v="285"/>
      <x v="611"/>
    </i>
    <i r="3">
      <x v="34"/>
      <x v="607"/>
      <x v="611"/>
    </i>
    <i r="3">
      <x v="43"/>
      <x v="92"/>
      <x v="611"/>
    </i>
    <i r="3">
      <x v="64"/>
      <x v="69"/>
      <x v="611"/>
    </i>
    <i r="3">
      <x v="68"/>
      <x v="134"/>
      <x v="611"/>
    </i>
    <i r="3">
      <x v="71"/>
      <x v="114"/>
      <x v="611"/>
    </i>
    <i r="1">
      <x v="5"/>
      <x v="8"/>
      <x v="119"/>
      <x v="290"/>
      <x v="611"/>
    </i>
    <i r="1">
      <x v="8"/>
      <x v="37"/>
      <x v="119"/>
      <x v="1289"/>
      <x v="611"/>
    </i>
    <i r="1">
      <x v="12"/>
      <x v="1"/>
      <x v="119"/>
      <x v="213"/>
      <x v="611"/>
    </i>
    <i r="4">
      <x v="500"/>
      <x v="611"/>
    </i>
    <i r="1">
      <x v="15"/>
      <x v="10"/>
      <x v="119"/>
      <x v="604"/>
      <x v="611"/>
    </i>
    <i r="1">
      <x v="23"/>
      <x v="9"/>
      <x v="119"/>
      <x v="696"/>
      <x v="611"/>
    </i>
    <i r="1">
      <x v="26"/>
      <x v="37"/>
      <x v="119"/>
      <x v="846"/>
      <x v="611"/>
    </i>
    <i r="2">
      <x v="38"/>
      <x v="119"/>
      <x v="1845"/>
      <x v="611"/>
    </i>
    <i r="1">
      <x v="35"/>
      <x v="1"/>
      <x v="119"/>
      <x v="80"/>
      <x v="611"/>
    </i>
    <i>
      <x v="39"/>
      <x/>
      <x v="12"/>
      <x v="2"/>
      <x v="39"/>
      <x v="611"/>
    </i>
    <i r="3">
      <x v="3"/>
      <x v="114"/>
      <x v="611"/>
    </i>
    <i r="3">
      <x v="8"/>
      <x v="92"/>
      <x v="611"/>
    </i>
    <i r="3">
      <x v="18"/>
      <x v="92"/>
      <x v="611"/>
    </i>
    <i r="3">
      <x v="48"/>
      <x v="92"/>
      <x v="611"/>
    </i>
    <i r="3">
      <x v="53"/>
      <x v="70"/>
      <x v="611"/>
    </i>
    <i r="3">
      <x v="56"/>
      <x v="69"/>
      <x v="611"/>
    </i>
    <i r="3">
      <x v="61"/>
      <x v="69"/>
      <x v="611"/>
    </i>
    <i r="1">
      <x v="12"/>
      <x v="1"/>
      <x v="120"/>
      <x v="80"/>
      <x v="611"/>
    </i>
    <i r="4">
      <x v="607"/>
      <x v="611"/>
    </i>
    <i r="4">
      <x v="702"/>
      <x v="611"/>
    </i>
    <i r="1">
      <x v="14"/>
      <x v="1"/>
      <x v="120"/>
      <x v="887"/>
      <x v="611"/>
    </i>
    <i r="1">
      <x v="15"/>
      <x v="37"/>
      <x v="120"/>
      <x v="295"/>
      <x v="611"/>
    </i>
    <i r="1">
      <x v="19"/>
      <x v="6"/>
      <x v="120"/>
      <x v="371"/>
      <x v="611"/>
    </i>
    <i r="1">
      <x v="24"/>
      <x v="37"/>
      <x v="120"/>
      <x v="37"/>
      <x v="611"/>
    </i>
    <i r="1">
      <x v="26"/>
      <x v="37"/>
      <x v="120"/>
      <x v="80"/>
      <x v="611"/>
    </i>
    <i r="2">
      <x v="38"/>
      <x v="120"/>
      <x v="1542"/>
      <x v="611"/>
    </i>
    <i r="1">
      <x v="30"/>
      <x v="6"/>
      <x v="120"/>
      <x v="1713"/>
      <x v="611"/>
    </i>
    <i>
      <x v="40"/>
      <x/>
      <x v="12"/>
      <x v="17"/>
      <x v="1136"/>
      <x v="611"/>
    </i>
    <i r="3">
      <x v="19"/>
      <x v="73"/>
      <x v="611"/>
    </i>
    <i r="3">
      <x v="24"/>
      <x v="18"/>
      <x v="611"/>
    </i>
    <i r="3">
      <x v="29"/>
      <x v="11"/>
      <x v="611"/>
    </i>
    <i r="3">
      <x v="43"/>
      <x v="92"/>
      <x v="611"/>
    </i>
    <i r="3">
      <x v="48"/>
      <x v="63"/>
      <x v="611"/>
    </i>
    <i r="3">
      <x v="52"/>
      <x v="252"/>
      <x v="611"/>
    </i>
    <i r="1">
      <x v="12"/>
      <x v="1"/>
      <x v="121"/>
      <x v="80"/>
      <x v="611"/>
    </i>
    <i r="4">
      <x v="213"/>
      <x v="611"/>
    </i>
    <i r="1">
      <x v="26"/>
      <x v="10"/>
      <x v="121"/>
      <x/>
      <x v="607"/>
    </i>
    <i>
      <x v="41"/>
      <x/>
      <x v="8"/>
      <x v="122"/>
      <x v="630"/>
      <x v="611"/>
    </i>
    <i r="2">
      <x v="9"/>
      <x v="122"/>
      <x v="243"/>
      <x v="611"/>
    </i>
    <i r="4">
      <x v="335"/>
      <x v="611"/>
    </i>
    <i r="4">
      <x v="595"/>
      <x v="611"/>
    </i>
    <i r="4">
      <x v="662"/>
      <x v="611"/>
    </i>
    <i r="2">
      <x v="12"/>
      <x v="22"/>
      <x v="114"/>
      <x v="611"/>
    </i>
    <i r="3">
      <x v="23"/>
      <x v="152"/>
      <x v="611"/>
    </i>
    <i r="3">
      <x v="36"/>
      <x v="330"/>
      <x v="611"/>
    </i>
    <i r="3">
      <x v="45"/>
      <x v="18"/>
      <x v="611"/>
    </i>
    <i r="3">
      <x v="48"/>
      <x v="92"/>
      <x v="611"/>
    </i>
    <i r="3">
      <x v="57"/>
      <x v="24"/>
      <x v="611"/>
    </i>
    <i r="3">
      <x v="61"/>
      <x v="16"/>
      <x v="611"/>
    </i>
    <i r="3">
      <x v="73"/>
      <x v="132"/>
      <x v="611"/>
    </i>
    <i r="1">
      <x v="5"/>
      <x v="37"/>
      <x v="122"/>
      <x v="1011"/>
      <x v="611"/>
    </i>
    <i r="1">
      <x v="7"/>
      <x v="8"/>
      <x v="122"/>
      <x v="1324"/>
      <x v="611"/>
    </i>
    <i r="1">
      <x v="8"/>
      <x v="37"/>
      <x v="122"/>
      <x v="1412"/>
      <x v="611"/>
    </i>
    <i r="1">
      <x v="12"/>
      <x v="1"/>
      <x v="122"/>
      <x v="213"/>
      <x v="611"/>
    </i>
    <i r="1">
      <x v="15"/>
      <x v="9"/>
      <x v="122"/>
      <x v="779"/>
      <x v="611"/>
    </i>
    <i r="2">
      <x v="38"/>
      <x v="122"/>
      <x v="1796"/>
      <x v="611"/>
    </i>
    <i r="1">
      <x v="23"/>
      <x v="8"/>
      <x v="122"/>
      <x v="422"/>
      <x v="611"/>
    </i>
    <i r="1">
      <x v="26"/>
      <x v="6"/>
      <x v="122"/>
      <x v="201"/>
      <x v="611"/>
    </i>
    <i r="2">
      <x v="37"/>
      <x v="122"/>
      <x v="291"/>
      <x v="611"/>
    </i>
    <i r="1">
      <x v="27"/>
      <x v="37"/>
      <x v="122"/>
      <x v="109"/>
      <x v="611"/>
    </i>
    <i r="1">
      <x v="37"/>
      <x v="8"/>
      <x v="122"/>
      <x v="1002"/>
      <x v="611"/>
    </i>
    <i r="2">
      <x v="10"/>
      <x v="122"/>
      <x v="1293"/>
      <x v="611"/>
    </i>
    <i>
      <x v="42"/>
      <x/>
      <x v="1"/>
      <x v="124"/>
      <x v="80"/>
      <x v="611"/>
    </i>
    <i r="2">
      <x v="12"/>
      <x v="10"/>
      <x v="371"/>
      <x v="611"/>
    </i>
    <i r="3">
      <x v="50"/>
      <x v="21"/>
      <x v="611"/>
    </i>
    <i r="3">
      <x v="61"/>
      <x v="28"/>
      <x v="611"/>
    </i>
    <i r="2">
      <x v="22"/>
      <x v="123"/>
      <x v="298"/>
      <x v="611"/>
    </i>
    <i r="4">
      <x v="651"/>
      <x v="611"/>
    </i>
    <i r="4">
      <x v="661"/>
      <x v="611"/>
    </i>
    <i r="1">
      <x v="2"/>
      <x v="22"/>
      <x v="123"/>
      <x v="1790"/>
      <x v="611"/>
    </i>
    <i r="1">
      <x v="3"/>
      <x v="22"/>
      <x v="123"/>
      <x v="1092"/>
      <x v="611"/>
    </i>
    <i r="1">
      <x v="6"/>
      <x v="37"/>
      <x v="124"/>
      <x v="539"/>
      <x v="611"/>
    </i>
    <i r="1">
      <x v="12"/>
      <x v="1"/>
      <x v="124"/>
      <x v="80"/>
      <x v="611"/>
    </i>
    <i r="4">
      <x v="213"/>
      <x v="611"/>
    </i>
    <i r="4">
      <x v="352"/>
      <x v="611"/>
    </i>
    <i r="4">
      <x v="500"/>
      <x v="611"/>
    </i>
    <i r="4">
      <x v="702"/>
      <x v="611"/>
    </i>
    <i r="2">
      <x v="22"/>
      <x v="123"/>
      <x v="116"/>
      <x v="611"/>
    </i>
    <i r="4">
      <x v="149"/>
      <x v="611"/>
    </i>
    <i r="4">
      <x v="666"/>
      <x v="611"/>
    </i>
    <i r="4">
      <x v="674"/>
      <x v="611"/>
    </i>
    <i r="4">
      <x v="690"/>
      <x v="611"/>
    </i>
    <i r="4">
      <x v="1088"/>
      <x v="611"/>
    </i>
    <i r="4">
      <x v="1100"/>
      <x v="611"/>
    </i>
    <i r="4">
      <x v="1198"/>
      <x v="611"/>
    </i>
    <i r="4">
      <x v="1202"/>
      <x v="611"/>
    </i>
    <i r="4">
      <x v="1247"/>
      <x v="611"/>
    </i>
    <i r="4">
      <x v="1307"/>
      <x v="611"/>
    </i>
    <i r="4">
      <x v="1393"/>
      <x v="611"/>
    </i>
    <i r="4">
      <x v="1410"/>
      <x v="611"/>
    </i>
    <i r="4">
      <x v="1423"/>
      <x v="611"/>
    </i>
    <i r="4">
      <x v="1479"/>
      <x v="611"/>
    </i>
    <i r="4">
      <x v="1507"/>
      <x v="611"/>
    </i>
    <i r="4">
      <x v="1514"/>
      <x v="611"/>
    </i>
    <i r="4">
      <x v="1558"/>
      <x v="611"/>
    </i>
    <i r="4">
      <x v="1577"/>
      <x v="611"/>
    </i>
    <i r="4">
      <x v="1643"/>
      <x v="611"/>
    </i>
    <i r="4">
      <x v="1675"/>
      <x v="611"/>
    </i>
    <i r="4">
      <x v="1719"/>
      <x v="611"/>
    </i>
    <i r="4">
      <x v="1722"/>
      <x v="611"/>
    </i>
    <i r="4">
      <x v="1743"/>
      <x v="611"/>
    </i>
    <i r="4">
      <x v="1749"/>
      <x v="611"/>
    </i>
    <i r="1">
      <x v="17"/>
      <x v="22"/>
      <x v="123"/>
      <x v="1039"/>
      <x v="611"/>
    </i>
    <i r="1">
      <x v="19"/>
      <x v="1"/>
      <x v="124"/>
      <x v="352"/>
      <x v="611"/>
    </i>
    <i r="2">
      <x v="37"/>
      <x v="124"/>
      <x v="104"/>
      <x v="611"/>
    </i>
    <i r="1">
      <x v="21"/>
      <x v="22"/>
      <x v="123"/>
      <x v="1363"/>
      <x v="611"/>
    </i>
    <i r="1">
      <x v="23"/>
      <x v="22"/>
      <x v="123"/>
      <x v="1290"/>
      <x v="611"/>
    </i>
    <i r="2">
      <x v="37"/>
      <x v="124"/>
      <x v="1483"/>
      <x v="611"/>
    </i>
    <i r="1">
      <x v="26"/>
      <x v="37"/>
      <x v="124"/>
      <x v="930"/>
      <x v="611"/>
    </i>
    <i r="1">
      <x v="33"/>
      <x v="6"/>
      <x v="124"/>
      <x v="466"/>
      <x v="611"/>
    </i>
    <i r="1">
      <x v="35"/>
      <x v="1"/>
      <x v="124"/>
      <x v="80"/>
      <x v="611"/>
    </i>
    <i r="2">
      <x v="22"/>
      <x v="123"/>
      <x v="123"/>
      <x v="611"/>
    </i>
    <i r="4">
      <x v="126"/>
      <x v="611"/>
    </i>
    <i r="4">
      <x v="130"/>
      <x v="611"/>
    </i>
    <i r="4">
      <x v="239"/>
      <x v="611"/>
    </i>
    <i r="4">
      <x v="308"/>
      <x v="611"/>
    </i>
    <i r="4">
      <x v="427"/>
      <x v="611"/>
    </i>
    <i r="4">
      <x v="441"/>
      <x v="611"/>
    </i>
    <i r="4">
      <x v="766"/>
      <x v="611"/>
    </i>
    <i r="4">
      <x v="775"/>
      <x v="611"/>
    </i>
    <i r="4">
      <x v="814"/>
      <x v="611"/>
    </i>
    <i r="4">
      <x v="826"/>
      <x v="611"/>
    </i>
    <i r="4">
      <x v="1299"/>
      <x v="611"/>
    </i>
    <i r="1">
      <x v="36"/>
      <x v="22"/>
      <x v="123"/>
      <x v="1519"/>
      <x v="611"/>
    </i>
    <i>
      <x v="43"/>
      <x/>
      <x v="8"/>
      <x v="125"/>
      <x v="1157"/>
      <x v="611"/>
    </i>
    <i r="4">
      <x v="1292"/>
      <x v="611"/>
    </i>
    <i r="2">
      <x v="9"/>
      <x v="125"/>
      <x v="128"/>
      <x v="611"/>
    </i>
    <i r="4">
      <x v="218"/>
      <x v="611"/>
    </i>
    <i r="4">
      <x v="529"/>
      <x v="611"/>
    </i>
    <i r="4">
      <x v="760"/>
      <x v="611"/>
    </i>
    <i r="4">
      <x v="863"/>
      <x v="611"/>
    </i>
    <i r="4">
      <x v="964"/>
      <x v="611"/>
    </i>
    <i r="4">
      <x v="989"/>
      <x v="611"/>
    </i>
    <i r="2">
      <x v="12"/>
      <x v="6"/>
      <x v="101"/>
      <x v="611"/>
    </i>
    <i r="2">
      <x v="37"/>
      <x v="125"/>
      <x v="592"/>
      <x v="611"/>
    </i>
    <i r="4">
      <x v="1348"/>
      <x v="611"/>
    </i>
    <i r="1">
      <x v="2"/>
      <x v="6"/>
      <x v="125"/>
      <x v="433"/>
      <x v="611"/>
    </i>
    <i r="1">
      <x v="5"/>
      <x v="37"/>
      <x v="125"/>
      <x v="1701"/>
      <x v="611"/>
    </i>
    <i r="1">
      <x v="9"/>
      <x v="9"/>
      <x v="125"/>
      <x v="855"/>
      <x v="611"/>
    </i>
    <i r="1">
      <x v="12"/>
      <x v="1"/>
      <x v="125"/>
      <x v="80"/>
      <x v="611"/>
    </i>
    <i r="1">
      <x v="15"/>
      <x v="9"/>
      <x v="125"/>
      <x v="398"/>
      <x v="611"/>
    </i>
    <i r="2">
      <x v="10"/>
      <x v="125"/>
      <x v="781"/>
      <x v="611"/>
    </i>
    <i r="2">
      <x v="34"/>
      <x v="76"/>
      <x/>
      <x v="14"/>
    </i>
    <i r="2">
      <x v="37"/>
      <x v="125"/>
      <x v="1553"/>
      <x v="611"/>
    </i>
    <i r="1">
      <x v="19"/>
      <x v="37"/>
      <x v="125"/>
      <x v="114"/>
      <x v="611"/>
    </i>
    <i r="1">
      <x v="25"/>
      <x v="9"/>
      <x v="125"/>
      <x v="894"/>
      <x v="611"/>
    </i>
    <i r="1">
      <x v="27"/>
      <x v="37"/>
      <x v="125"/>
      <x v="1338"/>
      <x v="611"/>
    </i>
    <i r="1">
      <x v="36"/>
      <x v="1"/>
      <x v="125"/>
      <x v="936"/>
      <x v="611"/>
    </i>
    <i>
      <x v="44"/>
      <x/>
      <x v="6"/>
      <x v="127"/>
      <x v="693"/>
      <x v="611"/>
    </i>
    <i r="2">
      <x v="8"/>
      <x v="127"/>
      <x v="596"/>
      <x v="611"/>
    </i>
    <i r="2">
      <x v="9"/>
      <x v="127"/>
      <x v="350"/>
      <x v="611"/>
    </i>
    <i r="2">
      <x v="12"/>
      <x v="39"/>
      <x v="433"/>
      <x v="611"/>
    </i>
    <i r="2">
      <x v="37"/>
      <x v="127"/>
      <x v="740"/>
      <x v="611"/>
    </i>
    <i r="1">
      <x v="12"/>
      <x v="1"/>
      <x v="127"/>
      <x v="352"/>
      <x v="611"/>
    </i>
    <i r="4">
      <x v="500"/>
      <x v="611"/>
    </i>
    <i r="2">
      <x v="28"/>
      <x v="126"/>
      <x v="941"/>
      <x v="611"/>
    </i>
    <i r="1">
      <x v="15"/>
      <x v="8"/>
      <x v="127"/>
      <x v="654"/>
      <x v="611"/>
    </i>
    <i r="1">
      <x v="19"/>
      <x v="6"/>
      <x v="127"/>
      <x v="911"/>
      <x v="611"/>
    </i>
    <i r="1">
      <x v="35"/>
      <x v="1"/>
      <x v="127"/>
      <x v="80"/>
      <x v="611"/>
    </i>
    <i r="4">
      <x v="213"/>
      <x v="611"/>
    </i>
    <i>
      <x v="45"/>
      <x/>
      <x v="12"/>
      <x v="21"/>
      <x v="69"/>
      <x v="611"/>
    </i>
    <i>
      <x v="46"/>
      <x/>
      <x v="8"/>
      <x v="128"/>
      <x v="156"/>
      <x v="611"/>
    </i>
    <i r="4">
      <x v="700"/>
      <x v="611"/>
    </i>
    <i r="4">
      <x v="964"/>
      <x v="611"/>
    </i>
    <i r="2">
      <x v="9"/>
      <x v="128"/>
      <x v="210"/>
      <x v="611"/>
    </i>
    <i r="4">
      <x v="396"/>
      <x v="611"/>
    </i>
    <i r="4">
      <x v="798"/>
      <x v="611"/>
    </i>
    <i r="4">
      <x v="818"/>
      <x v="611"/>
    </i>
    <i r="4">
      <x v="858"/>
      <x v="611"/>
    </i>
    <i r="2">
      <x v="12"/>
      <x v="39"/>
      <x v="180"/>
      <x v="611"/>
    </i>
    <i r="3">
      <x v="50"/>
      <x v="248"/>
      <x v="611"/>
    </i>
    <i r="1">
      <x v="2"/>
      <x v="8"/>
      <x v="128"/>
      <x v="910"/>
      <x v="611"/>
    </i>
    <i r="1">
      <x v="11"/>
      <x v="8"/>
      <x v="128"/>
      <x v="591"/>
      <x v="611"/>
    </i>
    <i r="1">
      <x v="15"/>
      <x v="38"/>
      <x v="128"/>
      <x v="1274"/>
      <x v="611"/>
    </i>
    <i r="1">
      <x v="19"/>
      <x v="37"/>
      <x v="128"/>
      <x v="445"/>
      <x v="611"/>
    </i>
    <i r="1">
      <x v="21"/>
      <x v="38"/>
      <x v="128"/>
      <x v="1274"/>
      <x v="611"/>
    </i>
    <i r="1">
      <x v="23"/>
      <x v="38"/>
      <x v="128"/>
      <x v="1853"/>
      <x v="611"/>
    </i>
    <i r="1">
      <x v="35"/>
      <x v="37"/>
      <x v="128"/>
      <x v="1245"/>
      <x v="611"/>
    </i>
    <i r="4">
      <x v="1325"/>
      <x v="611"/>
    </i>
    <i>
      <x v="47"/>
      <x/>
      <x v="12"/>
      <x v="36"/>
      <x v="748"/>
      <x v="611"/>
    </i>
    <i>
      <x v="48"/>
      <x v="6"/>
      <x v="37"/>
      <x v="129"/>
      <x v="1369"/>
      <x v="611"/>
    </i>
    <i r="1">
      <x v="8"/>
      <x v="37"/>
      <x v="129"/>
      <x v="1306"/>
      <x v="611"/>
    </i>
    <i r="1">
      <x v="12"/>
      <x v="1"/>
      <x v="129"/>
      <x v="80"/>
      <x v="611"/>
    </i>
    <i r="4">
      <x v="213"/>
      <x v="611"/>
    </i>
    <i r="4">
      <x v="352"/>
      <x v="611"/>
    </i>
    <i r="4">
      <x v="607"/>
      <x v="611"/>
    </i>
    <i r="4">
      <x v="702"/>
      <x v="611"/>
    </i>
    <i r="4">
      <x v="846"/>
      <x v="611"/>
    </i>
    <i r="4">
      <x v="1199"/>
      <x v="611"/>
    </i>
    <i r="1">
      <x v="19"/>
      <x v="37"/>
      <x v="129"/>
      <x v="641"/>
      <x v="611"/>
    </i>
    <i r="1">
      <x v="23"/>
      <x v="6"/>
      <x v="129"/>
      <x v="1028"/>
      <x v="611"/>
    </i>
    <i r="2">
      <x v="37"/>
      <x v="129"/>
      <x v="301"/>
      <x v="611"/>
    </i>
    <i r="1">
      <x v="35"/>
      <x v="1"/>
      <x v="129"/>
      <x v="213"/>
      <x v="611"/>
    </i>
    <i r="1">
      <x v="36"/>
      <x v="6"/>
      <x v="129"/>
      <x v="274"/>
      <x v="611"/>
    </i>
    <i>
      <x v="49"/>
      <x/>
      <x v="6"/>
      <x v="130"/>
      <x v="248"/>
      <x v="611"/>
    </i>
    <i r="2">
      <x v="8"/>
      <x v="130"/>
      <x v="351"/>
      <x v="611"/>
    </i>
    <i r="4">
      <x v="809"/>
      <x v="611"/>
    </i>
    <i r="2">
      <x v="9"/>
      <x v="130"/>
      <x v="552"/>
      <x v="611"/>
    </i>
    <i r="4">
      <x v="576"/>
      <x v="611"/>
    </i>
    <i r="4">
      <x v="836"/>
      <x v="611"/>
    </i>
    <i r="4">
      <x v="1018"/>
      <x v="611"/>
    </i>
    <i r="2">
      <x v="12"/>
      <x v="18"/>
      <x v="20"/>
      <x v="611"/>
    </i>
    <i r="3">
      <x v="48"/>
      <x v="18"/>
      <x v="611"/>
    </i>
    <i r="3">
      <x v="58"/>
      <x v="6"/>
      <x v="611"/>
    </i>
    <i r="1">
      <x v="7"/>
      <x v="8"/>
      <x v="130"/>
      <x v="782"/>
      <x v="611"/>
    </i>
    <i r="2">
      <x v="10"/>
      <x v="130"/>
      <x v="607"/>
      <x v="611"/>
    </i>
    <i r="1">
      <x v="12"/>
      <x v="1"/>
      <x v="130"/>
      <x v="500"/>
      <x v="611"/>
    </i>
    <i r="4">
      <x v="846"/>
      <x v="611"/>
    </i>
    <i r="4">
      <x v="964"/>
      <x v="611"/>
    </i>
    <i r="1">
      <x v="15"/>
      <x v="37"/>
      <x v="130"/>
      <x v="1367"/>
      <x v="611"/>
    </i>
    <i r="1">
      <x v="21"/>
      <x v="37"/>
      <x v="130"/>
      <x v="755"/>
      <x v="611"/>
    </i>
    <i r="1">
      <x v="27"/>
      <x v="6"/>
      <x v="130"/>
      <x v="1442"/>
      <x v="611"/>
    </i>
    <i r="2">
      <x v="37"/>
      <x v="130"/>
      <x v="1335"/>
      <x v="611"/>
    </i>
    <i r="1">
      <x v="35"/>
      <x v="1"/>
      <x v="130"/>
      <x v="80"/>
      <x v="611"/>
    </i>
    <i>
      <x v="50"/>
      <x/>
      <x v="6"/>
      <x v="131"/>
      <x v="366"/>
      <x v="611"/>
    </i>
    <i r="2">
      <x v="12"/>
      <x v="21"/>
      <x v="194"/>
      <x v="611"/>
    </i>
    <i r="3">
      <x v="32"/>
      <x v="391"/>
      <x v="611"/>
    </i>
    <i r="3">
      <x v="47"/>
      <x v="23"/>
      <x v="611"/>
    </i>
    <i r="2">
      <x v="37"/>
      <x v="131"/>
      <x v="633"/>
      <x v="611"/>
    </i>
    <i r="1">
      <x v="3"/>
      <x v="37"/>
      <x v="131"/>
      <x v="92"/>
      <x v="611"/>
    </i>
    <i r="1">
      <x v="8"/>
      <x v="37"/>
      <x v="131"/>
      <x v="1081"/>
      <x v="611"/>
    </i>
    <i r="1">
      <x v="12"/>
      <x v="1"/>
      <x v="131"/>
      <x v="213"/>
      <x v="611"/>
    </i>
    <i r="4">
      <x v="352"/>
      <x v="611"/>
    </i>
    <i r="4">
      <x v="1069"/>
      <x v="611"/>
    </i>
    <i r="1">
      <x v="14"/>
      <x v="37"/>
      <x v="131"/>
      <x v="352"/>
      <x v="611"/>
    </i>
    <i r="1">
      <x v="26"/>
      <x v="37"/>
      <x v="131"/>
      <x v="352"/>
      <x v="611"/>
    </i>
    <i r="1">
      <x v="35"/>
      <x v="1"/>
      <x v="131"/>
      <x v="213"/>
      <x v="611"/>
    </i>
    <i>
      <x v="51"/>
      <x/>
      <x v="8"/>
      <x v="133"/>
      <x v="351"/>
      <x v="611"/>
    </i>
    <i r="4">
      <x v="616"/>
      <x v="611"/>
    </i>
    <i r="2">
      <x v="9"/>
      <x v="133"/>
      <x v="300"/>
      <x v="611"/>
    </i>
    <i r="4">
      <x v="502"/>
      <x v="611"/>
    </i>
    <i r="4">
      <x v="553"/>
      <x v="611"/>
    </i>
    <i r="2">
      <x v="12"/>
      <x v="50"/>
      <x v="248"/>
      <x v="611"/>
    </i>
    <i r="3">
      <x v="58"/>
      <x v="11"/>
      <x v="611"/>
    </i>
    <i r="2">
      <x v="18"/>
      <x v="132"/>
      <x v="302"/>
      <x v="611"/>
    </i>
    <i r="4">
      <x v="507"/>
      <x v="611"/>
    </i>
    <i r="4">
      <x v="573"/>
      <x v="611"/>
    </i>
    <i r="4">
      <x v="626"/>
      <x v="611"/>
    </i>
    <i r="4">
      <x v="637"/>
      <x v="611"/>
    </i>
    <i r="4">
      <x v="1030"/>
      <x v="611"/>
    </i>
    <i r="4">
      <x v="1196"/>
      <x v="611"/>
    </i>
    <i r="1">
      <x v="2"/>
      <x v="18"/>
      <x v="132"/>
      <x v="1821"/>
      <x v="611"/>
    </i>
    <i r="1">
      <x v="10"/>
      <x v="10"/>
      <x v="133"/>
      <x v="1758"/>
      <x v="611"/>
    </i>
    <i r="1">
      <x v="12"/>
      <x v="18"/>
      <x v="132"/>
      <x v="54"/>
      <x v="611"/>
    </i>
    <i r="4">
      <x v="95"/>
      <x v="611"/>
    </i>
    <i r="4">
      <x v="367"/>
      <x v="611"/>
    </i>
    <i r="4">
      <x v="468"/>
      <x v="611"/>
    </i>
    <i r="4">
      <x v="808"/>
      <x v="611"/>
    </i>
    <i r="4">
      <x v="1082"/>
      <x v="611"/>
    </i>
    <i r="4">
      <x v="1120"/>
      <x v="611"/>
    </i>
    <i r="4">
      <x v="1215"/>
      <x v="611"/>
    </i>
    <i r="4">
      <x v="1222"/>
      <x v="611"/>
    </i>
    <i r="4">
      <x v="1340"/>
      <x v="611"/>
    </i>
    <i r="4">
      <x v="1371"/>
      <x v="611"/>
    </i>
    <i r="4">
      <x v="1431"/>
      <x v="611"/>
    </i>
    <i r="4">
      <x v="1444"/>
      <x v="611"/>
    </i>
    <i r="4">
      <x v="1449"/>
      <x v="611"/>
    </i>
    <i r="4">
      <x v="1457"/>
      <x v="611"/>
    </i>
    <i r="4">
      <x v="1475"/>
      <x v="611"/>
    </i>
    <i r="4">
      <x v="1493"/>
      <x v="611"/>
    </i>
    <i r="4">
      <x v="1559"/>
      <x v="611"/>
    </i>
    <i r="4">
      <x v="1630"/>
      <x v="611"/>
    </i>
    <i r="4">
      <x v="1637"/>
      <x v="611"/>
    </i>
    <i r="4">
      <x v="1741"/>
      <x v="611"/>
    </i>
    <i r="4">
      <x v="1764"/>
      <x v="611"/>
    </i>
    <i r="4">
      <x v="1786"/>
      <x v="611"/>
    </i>
    <i r="4">
      <x v="1808"/>
      <x v="611"/>
    </i>
    <i r="4">
      <x v="1816"/>
      <x v="611"/>
    </i>
    <i r="1">
      <x v="21"/>
      <x v="18"/>
      <x v="132"/>
      <x v="1501"/>
      <x v="611"/>
    </i>
    <i r="1">
      <x v="23"/>
      <x v="9"/>
      <x v="133"/>
      <x v="1318"/>
      <x v="611"/>
    </i>
    <i r="2">
      <x v="18"/>
      <x v="132"/>
      <x v="1613"/>
      <x v="611"/>
    </i>
    <i r="1">
      <x v="24"/>
      <x v="18"/>
      <x v="132"/>
      <x v="1451"/>
      <x v="611"/>
    </i>
    <i r="1">
      <x v="27"/>
      <x v="18"/>
      <x v="132"/>
      <x v="1020"/>
      <x v="611"/>
    </i>
    <i r="1">
      <x v="32"/>
      <x v="37"/>
      <x v="133"/>
      <x v="1274"/>
      <x v="611"/>
    </i>
    <i r="1">
      <x v="35"/>
      <x v="18"/>
      <x v="132"/>
      <x v="142"/>
      <x v="611"/>
    </i>
    <i r="4">
      <x v="146"/>
      <x v="611"/>
    </i>
    <i r="4">
      <x v="184"/>
      <x v="611"/>
    </i>
    <i r="4">
      <x v="211"/>
      <x v="611"/>
    </i>
    <i r="4">
      <x v="246"/>
      <x v="611"/>
    </i>
    <i r="4">
      <x v="290"/>
      <x v="611"/>
    </i>
    <i r="4">
      <x v="407"/>
      <x v="611"/>
    </i>
    <i r="4">
      <x v="436"/>
      <x v="611"/>
    </i>
    <i r="4">
      <x v="590"/>
      <x v="611"/>
    </i>
    <i r="4">
      <x v="703"/>
      <x v="611"/>
    </i>
    <i r="4">
      <x v="713"/>
      <x v="611"/>
    </i>
    <i r="4">
      <x v="822"/>
      <x v="611"/>
    </i>
    <i>
      <x v="52"/>
      <x/>
      <x v="8"/>
      <x v="134"/>
      <x/>
      <x v="387"/>
    </i>
    <i r="2">
      <x v="12"/>
      <x v="17"/>
      <x v="29"/>
      <x v="611"/>
    </i>
    <i r="3">
      <x v="50"/>
      <x v="248"/>
      <x v="611"/>
    </i>
    <i r="3">
      <x v="58"/>
      <x v="6"/>
      <x v="611"/>
    </i>
    <i r="3">
      <x v="60"/>
      <x v="9"/>
      <x v="611"/>
    </i>
    <i r="1">
      <x v="3"/>
      <x v="37"/>
      <x v="134"/>
      <x v="322"/>
      <x v="611"/>
    </i>
    <i r="1">
      <x v="6"/>
      <x v="37"/>
      <x v="134"/>
      <x v="1051"/>
      <x v="611"/>
    </i>
    <i r="1">
      <x v="10"/>
      <x v="33"/>
      <x v="134"/>
      <x v="1197"/>
      <x v="611"/>
    </i>
    <i r="1">
      <x v="12"/>
      <x v="1"/>
      <x v="134"/>
      <x v="80"/>
      <x v="611"/>
    </i>
    <i r="4">
      <x v="213"/>
      <x v="611"/>
    </i>
    <i r="4">
      <x v="352"/>
      <x v="611"/>
    </i>
    <i r="4">
      <x v="607"/>
      <x v="611"/>
    </i>
    <i r="4">
      <x v="771"/>
      <x v="611"/>
    </i>
    <i r="4">
      <x v="964"/>
      <x v="611"/>
    </i>
    <i r="2">
      <x v="37"/>
      <x v="134"/>
      <x v="1244"/>
      <x v="611"/>
    </i>
    <i r="1">
      <x v="21"/>
      <x v="37"/>
      <x v="134"/>
      <x v="80"/>
      <x v="611"/>
    </i>
    <i r="1">
      <x v="23"/>
      <x v="37"/>
      <x v="134"/>
      <x v="43"/>
      <x v="611"/>
    </i>
    <i r="1">
      <x v="35"/>
      <x v="1"/>
      <x v="134"/>
      <x v="80"/>
      <x v="611"/>
    </i>
    <i r="2">
      <x v="37"/>
      <x v="134"/>
      <x v="51"/>
      <x v="611"/>
    </i>
    <i>
      <x v="53"/>
      <x/>
      <x v="1"/>
      <x v="136"/>
      <x v="80"/>
      <x v="611"/>
    </i>
    <i r="2">
      <x v="8"/>
      <x v="136"/>
      <x v="209"/>
      <x v="611"/>
    </i>
    <i r="4">
      <x v="578"/>
      <x v="611"/>
    </i>
    <i r="4">
      <x v="694"/>
      <x v="611"/>
    </i>
    <i r="4">
      <x v="1289"/>
      <x v="611"/>
    </i>
    <i r="4">
      <x v="1470"/>
      <x v="611"/>
    </i>
    <i r="2">
      <x v="9"/>
      <x v="136"/>
      <x v="248"/>
      <x v="611"/>
    </i>
    <i r="4">
      <x v="277"/>
      <x v="611"/>
    </i>
    <i r="4">
      <x v="404"/>
      <x v="611"/>
    </i>
    <i r="4">
      <x v="726"/>
      <x v="611"/>
    </i>
    <i r="4">
      <x v="1145"/>
      <x v="611"/>
    </i>
    <i r="2">
      <x v="12"/>
      <x v="48"/>
      <x v="6"/>
      <x v="611"/>
    </i>
    <i r="3">
      <x v="55"/>
      <x v="8"/>
      <x v="611"/>
    </i>
    <i r="3">
      <x v="62"/>
      <x v="20"/>
      <x v="611"/>
    </i>
    <i r="3">
      <x v="68"/>
      <x v="18"/>
      <x v="611"/>
    </i>
    <i r="3">
      <x v="71"/>
      <x v="18"/>
      <x v="611"/>
    </i>
    <i r="1">
      <x v="2"/>
      <x v="1"/>
      <x v="136"/>
      <x v="621"/>
      <x v="611"/>
    </i>
    <i r="2">
      <x v="6"/>
      <x v="136"/>
      <x v="632"/>
      <x v="611"/>
    </i>
    <i r="2">
      <x v="8"/>
      <x v="136"/>
      <x v="1294"/>
      <x v="611"/>
    </i>
    <i r="1">
      <x v="5"/>
      <x v="1"/>
      <x v="136"/>
      <x v="1176"/>
      <x v="611"/>
    </i>
    <i r="1">
      <x v="6"/>
      <x v="37"/>
      <x v="136"/>
      <x v="500"/>
      <x v="611"/>
    </i>
    <i r="1">
      <x v="7"/>
      <x v="10"/>
      <x v="136"/>
      <x v="1715"/>
      <x v="611"/>
    </i>
    <i r="1">
      <x v="10"/>
      <x v="37"/>
      <x v="136"/>
      <x v="1563"/>
      <x v="611"/>
    </i>
    <i r="1">
      <x v="12"/>
      <x v="1"/>
      <x v="136"/>
      <x v="80"/>
      <x v="611"/>
    </i>
    <i r="4">
      <x v="213"/>
      <x v="611"/>
    </i>
    <i r="4">
      <x v="352"/>
      <x v="611"/>
    </i>
    <i r="4">
      <x v="500"/>
      <x v="611"/>
    </i>
    <i r="4">
      <x v="771"/>
      <x v="611"/>
    </i>
    <i r="1">
      <x v="15"/>
      <x v="1"/>
      <x v="136"/>
      <x v="607"/>
      <x v="611"/>
    </i>
    <i r="1">
      <x v="19"/>
      <x v="37"/>
      <x v="136"/>
      <x v="1609"/>
      <x v="611"/>
    </i>
    <i r="1">
      <x v="21"/>
      <x v="30"/>
      <x v="135"/>
      <x v="1296"/>
      <x v="611"/>
    </i>
    <i r="1">
      <x v="23"/>
      <x v="6"/>
      <x v="136"/>
      <x v="158"/>
      <x v="611"/>
    </i>
    <i r="1">
      <x v="26"/>
      <x v="1"/>
      <x v="136"/>
      <x v="109"/>
      <x v="611"/>
    </i>
    <i r="1">
      <x v="35"/>
      <x v="1"/>
      <x v="136"/>
      <x v="80"/>
      <x v="611"/>
    </i>
    <i>
      <x v="54"/>
      <x/>
      <x v="8"/>
      <x v="137"/>
      <x v="878"/>
      <x v="611"/>
    </i>
    <i r="2">
      <x v="9"/>
      <x v="137"/>
      <x v="513"/>
      <x v="611"/>
    </i>
    <i r="4">
      <x v="1151"/>
      <x v="611"/>
    </i>
    <i r="2">
      <x v="12"/>
      <x v="35"/>
      <x v="9"/>
      <x v="611"/>
    </i>
    <i r="3">
      <x v="47"/>
      <x v="61"/>
      <x v="611"/>
    </i>
    <i r="3">
      <x v="49"/>
      <x v="20"/>
      <x v="611"/>
    </i>
    <i r="3">
      <x v="60"/>
      <x v="138"/>
      <x v="611"/>
    </i>
    <i r="3">
      <x v="68"/>
      <x v="18"/>
      <x v="611"/>
    </i>
    <i r="2">
      <x v="38"/>
      <x v="137"/>
      <x v="1170"/>
      <x v="611"/>
    </i>
    <i r="4">
      <x v="1216"/>
      <x v="611"/>
    </i>
    <i r="1">
      <x v="6"/>
      <x v="37"/>
      <x v="137"/>
      <x v="817"/>
      <x v="611"/>
    </i>
    <i r="1">
      <x v="8"/>
      <x v="37"/>
      <x v="137"/>
      <x v="1094"/>
      <x v="611"/>
    </i>
    <i r="1">
      <x v="12"/>
      <x v="1"/>
      <x v="137"/>
      <x v="213"/>
      <x v="611"/>
    </i>
    <i r="1">
      <x v="17"/>
      <x v="8"/>
      <x v="137"/>
      <x v="1530"/>
      <x v="611"/>
    </i>
    <i r="2">
      <x v="9"/>
      <x v="137"/>
      <x v="526"/>
      <x v="611"/>
    </i>
    <i r="1">
      <x v="19"/>
      <x v="7"/>
      <x v="137"/>
      <x v="1872"/>
      <x v="611"/>
    </i>
    <i r="1">
      <x v="22"/>
      <x v="38"/>
      <x v="137"/>
      <x v="1825"/>
      <x v="611"/>
    </i>
    <i r="1">
      <x v="27"/>
      <x v="37"/>
      <x v="137"/>
      <x v="903"/>
      <x v="611"/>
    </i>
    <i r="1">
      <x v="35"/>
      <x v="1"/>
      <x v="137"/>
      <x v="80"/>
      <x v="611"/>
    </i>
    <i r="2">
      <x v="38"/>
      <x v="137"/>
      <x v="1069"/>
      <x v="611"/>
    </i>
    <i r="4">
      <x v="1656"/>
      <x v="611"/>
    </i>
    <i>
      <x v="55"/>
      <x/>
      <x v="12"/>
      <x v="32"/>
      <x v="391"/>
      <x v="611"/>
    </i>
    <i r="3">
      <x v="39"/>
      <x v="180"/>
      <x v="611"/>
    </i>
    <i r="3">
      <x v="42"/>
      <x v="69"/>
      <x v="611"/>
    </i>
    <i r="3">
      <x v="46"/>
      <x v="325"/>
      <x v="611"/>
    </i>
    <i r="1">
      <x v="12"/>
      <x v="1"/>
      <x v="138"/>
      <x v="213"/>
      <x v="611"/>
    </i>
    <i r="1">
      <x v="15"/>
      <x v="6"/>
      <x v="138"/>
      <x v="22"/>
      <x v="611"/>
    </i>
    <i r="1">
      <x v="26"/>
      <x v="38"/>
      <x v="138"/>
      <x v="539"/>
      <x v="611"/>
    </i>
    <i r="1">
      <x v="27"/>
      <x v="37"/>
      <x v="138"/>
      <x v="1098"/>
      <x v="611"/>
    </i>
    <i r="1">
      <x v="32"/>
      <x v="9"/>
      <x v="138"/>
      <x v="1793"/>
      <x v="611"/>
    </i>
    <i r="1">
      <x v="35"/>
      <x v="37"/>
      <x v="138"/>
      <x v="1319"/>
      <x v="611"/>
    </i>
    <i r="4">
      <x v="1354"/>
      <x v="611"/>
    </i>
    <i r="1">
      <x v="36"/>
      <x v="6"/>
      <x v="138"/>
      <x v="890"/>
      <x v="611"/>
    </i>
    <i r="1">
      <x v="38"/>
      <x v="37"/>
      <x v="138"/>
      <x v="33"/>
      <x v="611"/>
    </i>
    <i>
      <x v="56"/>
      <x/>
      <x v="8"/>
      <x v="139"/>
      <x v="37"/>
      <x v="611"/>
    </i>
    <i r="4">
      <x v="95"/>
      <x v="611"/>
    </i>
    <i r="4">
      <x v="215"/>
      <x v="611"/>
    </i>
    <i r="4">
      <x v="760"/>
      <x v="611"/>
    </i>
    <i r="2">
      <x v="9"/>
      <x v="139"/>
      <x v="523"/>
      <x v="611"/>
    </i>
    <i r="4">
      <x v="544"/>
      <x v="611"/>
    </i>
    <i r="2">
      <x v="12"/>
      <x v="18"/>
      <x v="35"/>
      <x v="611"/>
    </i>
    <i r="3">
      <x v="56"/>
      <x v="26"/>
      <x v="611"/>
    </i>
    <i r="3">
      <x v="60"/>
      <x v="119"/>
      <x v="611"/>
    </i>
    <i r="1">
      <x v="3"/>
      <x v="37"/>
      <x v="139"/>
      <x v="199"/>
      <x v="611"/>
    </i>
    <i r="1">
      <x v="12"/>
      <x v="1"/>
      <x v="139"/>
      <x v="213"/>
      <x v="611"/>
    </i>
    <i r="1">
      <x v="14"/>
      <x v="37"/>
      <x v="139"/>
      <x v="1455"/>
      <x v="611"/>
    </i>
    <i r="1">
      <x v="15"/>
      <x v="37"/>
      <x v="139"/>
      <x v="1216"/>
      <x v="611"/>
    </i>
    <i r="1">
      <x v="23"/>
      <x v="37"/>
      <x v="139"/>
      <x v="234"/>
      <x v="611"/>
    </i>
    <i r="1">
      <x v="26"/>
      <x v="37"/>
      <x v="139"/>
      <x v="391"/>
      <x v="611"/>
    </i>
    <i r="1">
      <x v="35"/>
      <x v="1"/>
      <x v="139"/>
      <x v="352"/>
      <x v="611"/>
    </i>
    <i>
      <x v="57"/>
      <x/>
      <x v="8"/>
      <x v="140"/>
      <x v="1114"/>
      <x v="611"/>
    </i>
    <i r="2">
      <x v="12"/>
      <x v="6"/>
      <x v="32"/>
      <x v="611"/>
    </i>
    <i r="1">
      <x v="6"/>
      <x v="37"/>
      <x v="140"/>
      <x v="991"/>
      <x v="611"/>
    </i>
    <i r="1">
      <x v="12"/>
      <x v="1"/>
      <x v="140"/>
      <x v="352"/>
      <x v="611"/>
    </i>
    <i r="1">
      <x v="15"/>
      <x v="37"/>
      <x v="140"/>
      <x v="1225"/>
      <x v="611"/>
    </i>
    <i r="1">
      <x v="26"/>
      <x v="1"/>
      <x v="140"/>
      <x v="352"/>
      <x v="611"/>
    </i>
    <i>
      <x v="58"/>
      <x/>
      <x v="12"/>
      <x v="2"/>
      <x v="39"/>
      <x v="611"/>
    </i>
    <i r="3">
      <x v="18"/>
      <x v="18"/>
      <x v="611"/>
    </i>
    <i r="3">
      <x v="56"/>
      <x v="26"/>
      <x v="611"/>
    </i>
    <i r="3">
      <x v="58"/>
      <x v="6"/>
      <x v="611"/>
    </i>
    <i r="3">
      <x v="71"/>
      <x v="18"/>
      <x v="611"/>
    </i>
    <i r="1">
      <x v="12"/>
      <x v="1"/>
      <x v="141"/>
      <x v="80"/>
      <x v="611"/>
    </i>
    <i r="4">
      <x v="213"/>
      <x v="611"/>
    </i>
    <i r="4">
      <x v="352"/>
      <x v="611"/>
    </i>
    <i r="4">
      <x v="607"/>
      <x v="611"/>
    </i>
    <i r="4">
      <x v="771"/>
      <x v="611"/>
    </i>
    <i r="4">
      <x v="911"/>
      <x v="611"/>
    </i>
    <i r="1">
      <x v="21"/>
      <x v="37"/>
      <x v="141"/>
      <x v="702"/>
      <x v="611"/>
    </i>
    <i r="1">
      <x v="23"/>
      <x v="37"/>
      <x v="141"/>
      <x v="135"/>
      <x v="611"/>
    </i>
    <i r="1">
      <x v="35"/>
      <x v="1"/>
      <x v="141"/>
      <x v="80"/>
      <x v="611"/>
    </i>
    <i r="4">
      <x v="213"/>
      <x v="611"/>
    </i>
    <i>
      <x v="59"/>
      <x/>
      <x v="1"/>
      <x v="142"/>
      <x v="80"/>
      <x v="611"/>
    </i>
    <i r="2">
      <x v="6"/>
      <x v="142"/>
      <x v="212"/>
      <x v="611"/>
    </i>
    <i r="2">
      <x v="8"/>
      <x v="142"/>
      <x v="159"/>
      <x v="611"/>
    </i>
    <i r="4">
      <x v="200"/>
      <x v="611"/>
    </i>
    <i r="4">
      <x v="549"/>
      <x v="611"/>
    </i>
    <i r="4">
      <x v="613"/>
      <x v="611"/>
    </i>
    <i r="4">
      <x v="1264"/>
      <x v="611"/>
    </i>
    <i r="2">
      <x v="9"/>
      <x v="142"/>
      <x v="17"/>
      <x v="611"/>
    </i>
    <i r="4">
      <x v="537"/>
      <x v="611"/>
    </i>
    <i r="4">
      <x v="582"/>
      <x v="611"/>
    </i>
    <i r="4">
      <x v="627"/>
      <x v="611"/>
    </i>
    <i r="4">
      <x v="702"/>
      <x v="611"/>
    </i>
    <i r="4">
      <x v="750"/>
      <x v="611"/>
    </i>
    <i r="4">
      <x v="905"/>
      <x v="611"/>
    </i>
    <i r="4">
      <x v="1134"/>
      <x v="611"/>
    </i>
    <i r="2">
      <x v="12"/>
      <x v="18"/>
      <x v="18"/>
      <x v="611"/>
    </i>
    <i r="3">
      <x v="21"/>
      <x v="11"/>
      <x v="611"/>
    </i>
    <i r="3">
      <x v="66"/>
      <x v="69"/>
      <x v="611"/>
    </i>
    <i r="2">
      <x v="38"/>
      <x v="142"/>
      <x v="964"/>
      <x v="611"/>
    </i>
    <i r="1">
      <x v="5"/>
      <x v="37"/>
      <x v="142"/>
      <x v="524"/>
      <x v="611"/>
    </i>
    <i r="1">
      <x v="8"/>
      <x v="1"/>
      <x v="142"/>
      <x v="1093"/>
      <x v="611"/>
    </i>
    <i r="2">
      <x v="8"/>
      <x v="142"/>
      <x v="1024"/>
      <x v="611"/>
    </i>
    <i r="1">
      <x v="12"/>
      <x v="1"/>
      <x v="142"/>
      <x v="80"/>
      <x v="611"/>
    </i>
    <i r="4">
      <x v="213"/>
      <x v="611"/>
    </i>
    <i r="4">
      <x v="500"/>
      <x v="611"/>
    </i>
    <i r="4">
      <x v="702"/>
      <x v="611"/>
    </i>
    <i r="4">
      <x v="1069"/>
      <x v="611"/>
    </i>
    <i r="1">
      <x v="15"/>
      <x v="1"/>
      <x v="142"/>
      <x v="1243"/>
      <x v="611"/>
    </i>
    <i r="1">
      <x v="35"/>
      <x v="1"/>
      <x v="142"/>
      <x v="80"/>
      <x v="611"/>
    </i>
    <i>
      <x v="60"/>
      <x/>
      <x v="12"/>
      <x v="30"/>
      <x v="59"/>
      <x v="611"/>
    </i>
    <i r="2">
      <x v="38"/>
      <x v="143"/>
      <x v="1206"/>
      <x v="611"/>
    </i>
    <i r="4">
      <x v="1364"/>
      <x v="611"/>
    </i>
    <i r="1">
      <x v="5"/>
      <x v="38"/>
      <x v="143"/>
      <x v="1842"/>
      <x v="611"/>
    </i>
    <i r="1">
      <x v="6"/>
      <x v="37"/>
      <x v="143"/>
      <x v="898"/>
      <x v="611"/>
    </i>
    <i r="1">
      <x v="8"/>
      <x v="37"/>
      <x v="143"/>
      <x v="1155"/>
      <x v="611"/>
    </i>
    <i r="1">
      <x v="10"/>
      <x v="38"/>
      <x v="143"/>
      <x v="1172"/>
      <x v="611"/>
    </i>
    <i r="1">
      <x v="12"/>
      <x v="1"/>
      <x v="143"/>
      <x v="80"/>
      <x v="611"/>
    </i>
    <i r="4">
      <x v="500"/>
      <x v="611"/>
    </i>
    <i r="1">
      <x v="14"/>
      <x v="38"/>
      <x v="143"/>
      <x v="1327"/>
      <x v="611"/>
    </i>
    <i r="1">
      <x v="15"/>
      <x v="38"/>
      <x v="143"/>
      <x v="1484"/>
      <x v="611"/>
    </i>
    <i r="1">
      <x v="23"/>
      <x v="38"/>
      <x v="143"/>
      <x v="120"/>
      <x v="611"/>
    </i>
    <i r="1">
      <x v="26"/>
      <x v="1"/>
      <x v="143"/>
      <x v="39"/>
      <x v="611"/>
    </i>
    <i r="1">
      <x v="36"/>
      <x v="38"/>
      <x v="143"/>
      <x v="252"/>
      <x v="611"/>
    </i>
    <i>
      <x v="61"/>
      <x/>
      <x v="12"/>
      <x v="21"/>
      <x v="69"/>
      <x v="611"/>
    </i>
    <i r="1">
      <x v="7"/>
      <x v="38"/>
      <x v="144"/>
      <x v="1377"/>
      <x v="611"/>
    </i>
    <i r="1">
      <x v="10"/>
      <x v="33"/>
      <x v="144"/>
      <x v="1835"/>
      <x v="611"/>
    </i>
    <i r="1">
      <x v="12"/>
      <x v="1"/>
      <x v="144"/>
      <x v="80"/>
      <x v="611"/>
    </i>
    <i r="4">
      <x v="213"/>
      <x v="611"/>
    </i>
    <i r="1">
      <x v="19"/>
      <x v="38"/>
      <x v="144"/>
      <x v="520"/>
      <x v="611"/>
    </i>
    <i r="1">
      <x v="23"/>
      <x v="1"/>
      <x v="144"/>
      <x v="606"/>
      <x v="611"/>
    </i>
    <i>
      <x v="62"/>
      <x/>
      <x v="5"/>
      <x v="1"/>
      <x v="134"/>
      <x v="611"/>
    </i>
    <i r="2">
      <x v="8"/>
      <x v="145"/>
      <x v="187"/>
      <x v="611"/>
    </i>
    <i r="2">
      <x v="9"/>
      <x v="145"/>
      <x v="431"/>
      <x v="611"/>
    </i>
    <i r="4">
      <x v="657"/>
      <x v="611"/>
    </i>
    <i r="2">
      <x v="12"/>
      <x v="18"/>
      <x v="59"/>
      <x v="611"/>
    </i>
    <i r="3">
      <x v="26"/>
      <x v="53"/>
      <x v="611"/>
    </i>
    <i r="3">
      <x v="32"/>
      <x v="391"/>
      <x v="611"/>
    </i>
    <i r="1">
      <x v="2"/>
      <x v="10"/>
      <x v="145"/>
      <x v="1685"/>
      <x v="611"/>
    </i>
    <i r="1">
      <x v="3"/>
      <x v="10"/>
      <x v="145"/>
      <x v="1261"/>
      <x v="611"/>
    </i>
    <i r="1">
      <x v="9"/>
      <x v="10"/>
      <x v="145"/>
      <x v="505"/>
      <x v="611"/>
    </i>
    <i r="1">
      <x v="11"/>
      <x v="10"/>
      <x v="145"/>
      <x v="761"/>
      <x v="611"/>
    </i>
    <i r="1">
      <x v="12"/>
      <x v="1"/>
      <x v="145"/>
      <x v="213"/>
      <x v="611"/>
    </i>
    <i r="1">
      <x v="26"/>
      <x v="37"/>
      <x v="145"/>
      <x v="469"/>
      <x v="611"/>
    </i>
    <i r="1">
      <x v="29"/>
      <x v="10"/>
      <x v="145"/>
      <x v="1091"/>
      <x v="611"/>
    </i>
    <i r="1">
      <x v="36"/>
      <x v="10"/>
      <x v="145"/>
      <x v="1614"/>
      <x v="611"/>
    </i>
    <i r="1">
      <x v="37"/>
      <x v="10"/>
      <x v="145"/>
      <x v="1568"/>
      <x v="611"/>
    </i>
    <i r="1">
      <x v="38"/>
      <x v="10"/>
      <x v="145"/>
      <x v="1107"/>
      <x v="611"/>
    </i>
    <i>
      <x v="63"/>
      <x/>
      <x v="1"/>
      <x v="146"/>
      <x v="80"/>
      <x v="611"/>
    </i>
    <i r="2">
      <x v="6"/>
      <x v="146"/>
      <x v="469"/>
      <x v="611"/>
    </i>
    <i r="2">
      <x v="12"/>
      <x v="8"/>
      <x v="37"/>
      <x v="611"/>
    </i>
    <i r="3">
      <x v="38"/>
      <x v="46"/>
      <x v="611"/>
    </i>
    <i r="2">
      <x v="38"/>
      <x v="146"/>
      <x v="524"/>
      <x v="611"/>
    </i>
    <i r="1">
      <x v="8"/>
      <x v="38"/>
      <x v="146"/>
      <x v="846"/>
      <x v="611"/>
    </i>
    <i r="1">
      <x v="9"/>
      <x v="38"/>
      <x v="146"/>
      <x v="198"/>
      <x v="611"/>
    </i>
    <i r="1">
      <x v="12"/>
      <x v="1"/>
      <x v="146"/>
      <x v="80"/>
      <x v="611"/>
    </i>
    <i r="4">
      <x v="352"/>
      <x v="611"/>
    </i>
    <i r="1">
      <x v="15"/>
      <x v="1"/>
      <x v="146"/>
      <x v="383"/>
      <x v="611"/>
    </i>
    <i r="1">
      <x v="30"/>
      <x v="6"/>
      <x v="146"/>
      <x v="1795"/>
      <x v="611"/>
    </i>
    <i>
      <x v="64"/>
      <x/>
      <x v="1"/>
      <x v="148"/>
      <x v="80"/>
      <x v="611"/>
    </i>
    <i r="2">
      <x v="11"/>
      <x v="51"/>
      <x v="39"/>
      <x v="611"/>
    </i>
    <i r="2">
      <x v="12"/>
      <x v="10"/>
      <x v="9"/>
      <x v="611"/>
    </i>
    <i r="3">
      <x v="50"/>
      <x v="469"/>
      <x v="611"/>
    </i>
    <i r="2">
      <x v="25"/>
      <x v="147"/>
      <x v="454"/>
      <x v="611"/>
    </i>
    <i r="4">
      <x v="727"/>
      <x v="611"/>
    </i>
    <i r="4">
      <x v="1042"/>
      <x v="611"/>
    </i>
    <i r="4">
      <x v="1615"/>
      <x v="611"/>
    </i>
    <i r="2">
      <x v="38"/>
      <x v="148"/>
      <x v="592"/>
      <x v="611"/>
    </i>
    <i r="1">
      <x v="2"/>
      <x v="25"/>
      <x v="147"/>
      <x v="1822"/>
      <x v="611"/>
    </i>
    <i r="1">
      <x v="12"/>
      <x v="1"/>
      <x v="148"/>
      <x v="213"/>
      <x v="611"/>
    </i>
    <i r="4">
      <x v="352"/>
      <x v="611"/>
    </i>
    <i r="4">
      <x v="607"/>
      <x v="611"/>
    </i>
    <i r="2">
      <x v="25"/>
      <x v="147"/>
      <x v="476"/>
      <x v="611"/>
    </i>
    <i r="4">
      <x v="961"/>
      <x v="611"/>
    </i>
    <i r="4">
      <x v="987"/>
      <x v="611"/>
    </i>
    <i r="4">
      <x v="1026"/>
      <x v="611"/>
    </i>
    <i r="4">
      <x v="1117"/>
      <x v="611"/>
    </i>
    <i r="4">
      <x v="1250"/>
      <x v="611"/>
    </i>
    <i r="4">
      <x v="1287"/>
      <x v="611"/>
    </i>
    <i r="4">
      <x v="1314"/>
      <x v="611"/>
    </i>
    <i r="4">
      <x v="1411"/>
      <x v="611"/>
    </i>
    <i r="4">
      <x v="1419"/>
      <x v="611"/>
    </i>
    <i r="4">
      <x v="1422"/>
      <x v="611"/>
    </i>
    <i r="4">
      <x v="1454"/>
      <x v="611"/>
    </i>
    <i r="4">
      <x v="1486"/>
      <x v="611"/>
    </i>
    <i r="4">
      <x v="1557"/>
      <x v="611"/>
    </i>
    <i r="4">
      <x v="1580"/>
      <x v="611"/>
    </i>
    <i r="4">
      <x v="1624"/>
      <x v="611"/>
    </i>
    <i r="4">
      <x v="1628"/>
      <x v="611"/>
    </i>
    <i r="4">
      <x v="1645"/>
      <x v="611"/>
    </i>
    <i r="4">
      <x v="1657"/>
      <x v="611"/>
    </i>
    <i r="4">
      <x v="1667"/>
      <x v="611"/>
    </i>
    <i r="4">
      <x v="1668"/>
      <x v="611"/>
    </i>
    <i r="4">
      <x v="1691"/>
      <x v="611"/>
    </i>
    <i r="4">
      <x v="1778"/>
      <x v="611"/>
    </i>
    <i r="1">
      <x v="15"/>
      <x v="25"/>
      <x v="147"/>
      <x v="67"/>
      <x v="611"/>
    </i>
    <i r="1">
      <x v="19"/>
      <x v="6"/>
      <x v="148"/>
      <x v="480"/>
      <x v="611"/>
    </i>
    <i r="1">
      <x v="23"/>
      <x v="25"/>
      <x v="147"/>
      <x v="1880"/>
      <x v="611"/>
    </i>
    <i r="1">
      <x v="24"/>
      <x v="25"/>
      <x v="147"/>
      <x v="1817"/>
      <x v="611"/>
    </i>
    <i r="1">
      <x v="27"/>
      <x v="25"/>
      <x v="147"/>
      <x v="570"/>
      <x v="611"/>
    </i>
    <i r="1">
      <x v="35"/>
      <x v="25"/>
      <x v="147"/>
      <x v="207"/>
      <x v="611"/>
    </i>
    <i r="4">
      <x v="244"/>
      <x v="611"/>
    </i>
    <i r="4">
      <x v="361"/>
      <x v="611"/>
    </i>
    <i r="4">
      <x v="406"/>
      <x v="611"/>
    </i>
    <i r="4">
      <x v="598"/>
      <x v="611"/>
    </i>
    <i r="4">
      <x v="916"/>
      <x v="611"/>
    </i>
    <i r="4">
      <x v="953"/>
      <x v="611"/>
    </i>
    <i r="4">
      <x v="990"/>
      <x v="611"/>
    </i>
    <i r="1">
      <x v="37"/>
      <x v="25"/>
      <x v="147"/>
      <x v="1823"/>
      <x v="611"/>
    </i>
    <i>
      <x v="65"/>
      <x/>
      <x v="9"/>
      <x v="149"/>
      <x v="542"/>
      <x v="611"/>
    </i>
    <i r="4">
      <x v="603"/>
      <x v="611"/>
    </i>
    <i r="4">
      <x v="1230"/>
      <x v="611"/>
    </i>
    <i r="4">
      <x v="1388"/>
      <x v="611"/>
    </i>
    <i r="2">
      <x v="38"/>
      <x v="149"/>
      <x v="262"/>
      <x v="611"/>
    </i>
    <i r="4">
      <x v="469"/>
      <x v="611"/>
    </i>
    <i r="1">
      <x v="3"/>
      <x v="38"/>
      <x v="149"/>
      <x v="109"/>
      <x v="611"/>
    </i>
    <i r="1">
      <x v="5"/>
      <x v="38"/>
      <x v="149"/>
      <x v="1801"/>
      <x v="611"/>
    </i>
    <i r="1">
      <x v="6"/>
      <x v="38"/>
      <x v="149"/>
      <x v="678"/>
      <x v="611"/>
    </i>
    <i r="1">
      <x v="8"/>
      <x v="10"/>
      <x v="149"/>
      <x v="1315"/>
      <x v="611"/>
    </i>
    <i r="2">
      <x v="38"/>
      <x v="149"/>
      <x v="828"/>
      <x v="611"/>
    </i>
    <i r="1">
      <x v="10"/>
      <x v="38"/>
      <x v="149"/>
      <x v="1729"/>
      <x v="611"/>
    </i>
    <i r="1">
      <x v="12"/>
      <x v="1"/>
      <x v="149"/>
      <x v="80"/>
      <x v="611"/>
    </i>
    <i r="4">
      <x v="213"/>
      <x v="611"/>
    </i>
    <i r="1">
      <x v="15"/>
      <x v="8"/>
      <x v="149"/>
      <x v="622"/>
      <x v="611"/>
    </i>
    <i r="2">
      <x v="9"/>
      <x v="149"/>
      <x v="333"/>
      <x v="611"/>
    </i>
    <i r="2">
      <x v="10"/>
      <x v="149"/>
      <x v="1416"/>
      <x v="611"/>
    </i>
    <i r="2">
      <x v="38"/>
      <x v="149"/>
      <x v="1037"/>
      <x v="611"/>
    </i>
    <i r="1">
      <x v="23"/>
      <x v="7"/>
      <x v="149"/>
      <x v="1274"/>
      <x v="611"/>
    </i>
    <i>
      <x v="66"/>
      <x/>
      <x v="1"/>
      <x v="150"/>
      <x v="80"/>
      <x v="611"/>
    </i>
    <i r="2">
      <x v="9"/>
      <x v="150"/>
      <x v="491"/>
      <x v="611"/>
    </i>
    <i r="4">
      <x v="813"/>
      <x v="611"/>
    </i>
    <i r="4">
      <x v="1007"/>
      <x v="611"/>
    </i>
    <i r="4">
      <x v="1076"/>
      <x v="611"/>
    </i>
    <i r="2">
      <x v="12"/>
      <x v="18"/>
      <x v="20"/>
      <x v="611"/>
    </i>
    <i r="3">
      <x v="23"/>
      <x v="9"/>
      <x v="611"/>
    </i>
    <i r="3">
      <x v="32"/>
      <x v="391"/>
      <x v="611"/>
    </i>
    <i r="3">
      <x v="36"/>
      <x v="236"/>
      <x v="611"/>
    </i>
    <i r="2">
      <x v="38"/>
      <x v="150"/>
      <x v="262"/>
      <x v="611"/>
    </i>
    <i r="4">
      <x v="1041"/>
      <x v="611"/>
    </i>
    <i r="4">
      <x v="1254"/>
      <x v="611"/>
    </i>
    <i r="4">
      <x v="1308"/>
      <x v="611"/>
    </i>
    <i r="1">
      <x v="2"/>
      <x v="1"/>
      <x v="150"/>
      <x v="199"/>
      <x v="611"/>
    </i>
    <i r="2">
      <x v="6"/>
      <x v="150"/>
      <x v="1193"/>
      <x v="611"/>
    </i>
    <i r="1">
      <x v="3"/>
      <x v="38"/>
      <x v="150"/>
      <x v="530"/>
      <x v="611"/>
    </i>
    <i r="1">
      <x v="4"/>
      <x v="1"/>
      <x v="150"/>
      <x v="112"/>
      <x v="611"/>
    </i>
    <i r="1">
      <x v="9"/>
      <x v="38"/>
      <x v="150"/>
      <x v="1565"/>
      <x v="611"/>
    </i>
    <i r="1">
      <x v="10"/>
      <x v="37"/>
      <x v="150"/>
      <x v="1248"/>
      <x v="611"/>
    </i>
    <i r="1">
      <x v="12"/>
      <x v="1"/>
      <x v="150"/>
      <x v="80"/>
      <x v="611"/>
    </i>
    <i r="4">
      <x v="213"/>
      <x v="611"/>
    </i>
    <i r="2">
      <x v="38"/>
      <x v="150"/>
      <x v="1414"/>
      <x v="611"/>
    </i>
    <i r="1">
      <x v="15"/>
      <x v="9"/>
      <x v="150"/>
      <x v="248"/>
      <x v="611"/>
    </i>
    <i r="2">
      <x v="37"/>
      <x v="150"/>
      <x v="897"/>
      <x v="611"/>
    </i>
    <i r="2">
      <x v="38"/>
      <x v="150"/>
      <x v="1806"/>
      <x v="611"/>
    </i>
    <i r="1">
      <x v="19"/>
      <x v="10"/>
      <x v="150"/>
      <x v="511"/>
      <x v="611"/>
    </i>
    <i r="1">
      <x v="23"/>
      <x v="9"/>
      <x v="150"/>
      <x v="1485"/>
      <x v="611"/>
    </i>
    <i r="1">
      <x v="26"/>
      <x v="1"/>
      <x v="150"/>
      <x v="68"/>
      <x v="611"/>
    </i>
    <i r="1">
      <x v="29"/>
      <x v="10"/>
      <x v="150"/>
      <x v="1533"/>
      <x v="611"/>
    </i>
    <i r="2">
      <x v="38"/>
      <x v="150"/>
      <x v="352"/>
      <x v="611"/>
    </i>
    <i r="1">
      <x v="35"/>
      <x v="38"/>
      <x v="150"/>
      <x v="1160"/>
      <x v="611"/>
    </i>
    <i r="4">
      <x v="1254"/>
      <x v="611"/>
    </i>
    <i r="4">
      <x v="1414"/>
      <x v="611"/>
    </i>
    <i r="1">
      <x v="36"/>
      <x v="38"/>
      <x v="150"/>
      <x v="232"/>
      <x v="611"/>
    </i>
    <i>
      <x v="67"/>
      <x/>
      <x v="9"/>
      <x v="151"/>
      <x v="1400"/>
      <x v="611"/>
    </i>
    <i r="2">
      <x v="38"/>
      <x v="151"/>
      <x v="522"/>
      <x v="611"/>
    </i>
    <i r="1">
      <x v="2"/>
      <x v="6"/>
      <x v="151"/>
      <x v="443"/>
      <x v="611"/>
    </i>
    <i r="1">
      <x v="3"/>
      <x v="6"/>
      <x v="151"/>
      <x v="1074"/>
      <x v="611"/>
    </i>
    <i r="1">
      <x v="12"/>
      <x v="1"/>
      <x v="151"/>
      <x v="80"/>
      <x v="611"/>
    </i>
    <i r="4">
      <x v="213"/>
      <x v="611"/>
    </i>
    <i r="1">
      <x v="24"/>
      <x v="38"/>
      <x v="151"/>
      <x v="129"/>
      <x v="611"/>
    </i>
    <i r="1">
      <x v="35"/>
      <x v="1"/>
      <x v="151"/>
      <x v="80"/>
      <x v="611"/>
    </i>
    <i r="4">
      <x v="500"/>
      <x v="611"/>
    </i>
    <i>
      <x v="68"/>
      <x/>
      <x v="1"/>
      <x v="152"/>
      <x v="80"/>
      <x v="611"/>
    </i>
    <i r="4">
      <x v="895"/>
      <x v="611"/>
    </i>
    <i r="2">
      <x v="9"/>
      <x v="152"/>
      <x v="124"/>
      <x v="611"/>
    </i>
    <i r="2">
      <x v="12"/>
      <x v="50"/>
      <x v="80"/>
      <x v="611"/>
    </i>
    <i r="2">
      <x v="38"/>
      <x v="152"/>
      <x v="633"/>
      <x v="611"/>
    </i>
    <i r="1">
      <x v="3"/>
      <x v="1"/>
      <x v="152"/>
      <x v="272"/>
      <x v="611"/>
    </i>
    <i r="1">
      <x v="6"/>
      <x v="38"/>
      <x v="152"/>
      <x v="524"/>
      <x v="611"/>
    </i>
    <i r="1">
      <x v="12"/>
      <x v="1"/>
      <x v="152"/>
      <x v="80"/>
      <x v="611"/>
    </i>
    <i r="1">
      <x v="15"/>
      <x v="38"/>
      <x v="152"/>
      <x v="1125"/>
      <x v="611"/>
    </i>
    <i r="1">
      <x v="26"/>
      <x v="1"/>
      <x v="152"/>
      <x v="539"/>
      <x v="611"/>
    </i>
    <i r="1">
      <x v="27"/>
      <x v="10"/>
      <x v="152"/>
      <x v="1172"/>
      <x v="611"/>
    </i>
    <i r="1">
      <x v="35"/>
      <x v="1"/>
      <x v="152"/>
      <x v="80"/>
      <x v="611"/>
    </i>
    <i r="2">
      <x v="38"/>
      <x v="152"/>
      <x v="92"/>
      <x v="611"/>
    </i>
    <i>
      <x v="69"/>
      <x/>
      <x v="12"/>
      <x v="48"/>
      <x v="11"/>
      <x v="611"/>
    </i>
    <i r="3">
      <x v="58"/>
      <x v="6"/>
      <x v="611"/>
    </i>
    <i>
      <x v="70"/>
      <x/>
      <x v="6"/>
      <x v="153"/>
      <x v="248"/>
      <x v="611"/>
    </i>
    <i r="2">
      <x v="8"/>
      <x v="153"/>
      <x v="1114"/>
      <x v="611"/>
    </i>
    <i r="2">
      <x v="12"/>
      <x v="2"/>
      <x v="109"/>
      <x v="611"/>
    </i>
    <i r="3">
      <x v="27"/>
      <x v="11"/>
      <x v="611"/>
    </i>
    <i r="3">
      <x v="37"/>
      <x v="90"/>
      <x v="611"/>
    </i>
    <i r="3">
      <x v="52"/>
      <x v="14"/>
      <x v="611"/>
    </i>
    <i r="1">
      <x v="2"/>
      <x v="6"/>
      <x v="153"/>
      <x v="790"/>
      <x v="611"/>
    </i>
    <i r="1">
      <x v="12"/>
      <x v="1"/>
      <x v="153"/>
      <x v="80"/>
      <x v="611"/>
    </i>
    <i r="4">
      <x v="352"/>
      <x v="611"/>
    </i>
    <i r="4">
      <x v="500"/>
      <x v="611"/>
    </i>
    <i r="1">
      <x v="14"/>
      <x v="38"/>
      <x v="153"/>
      <x v="569"/>
      <x v="611"/>
    </i>
    <i r="1">
      <x v="15"/>
      <x v="1"/>
      <x v="153"/>
      <x v="895"/>
      <x v="611"/>
    </i>
    <i r="2">
      <x v="6"/>
      <x v="153"/>
      <x v="410"/>
      <x v="611"/>
    </i>
    <i r="1">
      <x v="17"/>
      <x v="6"/>
      <x v="153"/>
      <x v="1477"/>
      <x v="611"/>
    </i>
    <i r="1">
      <x v="28"/>
      <x v="1"/>
      <x v="153"/>
      <x v="811"/>
      <x v="611"/>
    </i>
    <i r="1">
      <x v="35"/>
      <x v="1"/>
      <x v="153"/>
      <x v="80"/>
      <x v="611"/>
    </i>
    <i r="2">
      <x v="38"/>
      <x v="153"/>
      <x v="1041"/>
      <x v="611"/>
    </i>
    <i>
      <x v="71"/>
      <x/>
      <x v="6"/>
      <x v="154"/>
      <x v="689"/>
      <x v="611"/>
    </i>
    <i r="2">
      <x v="38"/>
      <x v="154"/>
      <x v="628"/>
      <x v="611"/>
    </i>
    <i r="1">
      <x v="6"/>
      <x v="38"/>
      <x v="154"/>
      <x v="911"/>
      <x v="611"/>
    </i>
    <i r="1">
      <x v="7"/>
      <x v="38"/>
      <x v="154"/>
      <x v="564"/>
      <x v="611"/>
    </i>
    <i r="1">
      <x v="8"/>
      <x v="38"/>
      <x v="154"/>
      <x v="691"/>
      <x v="611"/>
    </i>
    <i r="1">
      <x v="12"/>
      <x v="1"/>
      <x v="154"/>
      <x v="213"/>
      <x v="611"/>
    </i>
    <i r="4">
      <x v="352"/>
      <x v="611"/>
    </i>
    <i r="4">
      <x v="702"/>
      <x v="611"/>
    </i>
    <i r="4">
      <x v="846"/>
      <x v="611"/>
    </i>
    <i r="1">
      <x v="15"/>
      <x v="38"/>
      <x v="154"/>
      <x v="1274"/>
      <x v="611"/>
    </i>
    <i r="1">
      <x v="19"/>
      <x v="6"/>
      <x v="154"/>
      <x v="539"/>
      <x v="611"/>
    </i>
    <i r="1">
      <x v="21"/>
      <x v="38"/>
      <x v="154"/>
      <x v="1274"/>
      <x v="611"/>
    </i>
    <i r="1">
      <x v="23"/>
      <x v="38"/>
      <x v="154"/>
      <x v="1857"/>
      <x v="611"/>
    </i>
    <i r="1">
      <x v="34"/>
      <x v="38"/>
      <x v="154"/>
      <x v="872"/>
      <x v="611"/>
    </i>
    <i r="1">
      <x v="35"/>
      <x v="1"/>
      <x v="154"/>
      <x v="80"/>
      <x v="611"/>
    </i>
    <i r="4">
      <x v="213"/>
      <x v="611"/>
    </i>
    <i>
      <x v="72"/>
      <x/>
      <x v="8"/>
      <x v="155"/>
      <x v="148"/>
      <x v="611"/>
    </i>
    <i r="4">
      <x v="358"/>
      <x v="611"/>
    </i>
    <i r="4">
      <x v="390"/>
      <x v="611"/>
    </i>
    <i r="4">
      <x v="482"/>
      <x v="611"/>
    </i>
    <i r="4">
      <x v="549"/>
      <x v="611"/>
    </i>
    <i r="4">
      <x v="578"/>
      <x v="611"/>
    </i>
    <i r="4">
      <x v="610"/>
      <x v="611"/>
    </i>
    <i r="4">
      <x v="1272"/>
      <x v="611"/>
    </i>
    <i r="2">
      <x v="9"/>
      <x v="155"/>
      <x v="81"/>
      <x v="611"/>
    </i>
    <i r="4">
      <x v="163"/>
      <x v="611"/>
    </i>
    <i r="4">
      <x v="213"/>
      <x v="611"/>
    </i>
    <i r="4">
      <x v="424"/>
      <x v="611"/>
    </i>
    <i r="4">
      <x v="499"/>
      <x v="611"/>
    </i>
    <i r="4">
      <x v="830"/>
      <x v="611"/>
    </i>
    <i r="4">
      <x v="856"/>
      <x v="611"/>
    </i>
    <i r="4">
      <x v="908"/>
      <x v="611"/>
    </i>
    <i r="4">
      <x v="942"/>
      <x v="611"/>
    </i>
    <i r="4">
      <x v="1034"/>
      <x v="611"/>
    </i>
    <i r="4">
      <x v="1036"/>
      <x v="611"/>
    </i>
    <i r="4">
      <x v="1062"/>
      <x v="611"/>
    </i>
    <i r="4">
      <x v="1084"/>
      <x v="611"/>
    </i>
    <i r="4">
      <x v="1374"/>
      <x v="611"/>
    </i>
    <i r="4">
      <x v="1418"/>
      <x v="611"/>
    </i>
    <i r="2">
      <x v="12"/>
      <x v="19"/>
      <x v="188"/>
      <x v="611"/>
    </i>
    <i r="3">
      <x v="26"/>
      <x v="52"/>
      <x v="611"/>
    </i>
    <i r="3">
      <x v="50"/>
      <x v="90"/>
      <x v="611"/>
    </i>
    <i r="3">
      <x v="70"/>
      <x v="11"/>
      <x v="611"/>
    </i>
    <i r="1">
      <x v="5"/>
      <x v="38"/>
      <x v="155"/>
      <x v="213"/>
      <x v="611"/>
    </i>
    <i r="1">
      <x v="7"/>
      <x v="10"/>
      <x v="155"/>
      <x v="1640"/>
      <x v="611"/>
    </i>
    <i r="1">
      <x v="8"/>
      <x v="10"/>
      <x v="155"/>
      <x v="647"/>
      <x v="611"/>
    </i>
    <i r="2">
      <x v="38"/>
      <x v="155"/>
      <x v="1259"/>
      <x v="611"/>
    </i>
    <i r="1">
      <x v="9"/>
      <x v="8"/>
      <x v="155"/>
      <x v="290"/>
      <x v="611"/>
    </i>
    <i r="1">
      <x v="12"/>
      <x v="1"/>
      <x v="155"/>
      <x v="80"/>
      <x v="611"/>
    </i>
    <i r="4">
      <x v="352"/>
      <x v="611"/>
    </i>
    <i r="4">
      <x v="607"/>
      <x v="611"/>
    </i>
    <i r="4">
      <x v="702"/>
      <x v="611"/>
    </i>
    <i r="4">
      <x v="846"/>
      <x v="611"/>
    </i>
    <i r="1">
      <x v="15"/>
      <x v="8"/>
      <x v="155"/>
      <x v="340"/>
      <x v="611"/>
    </i>
    <i r="1">
      <x v="17"/>
      <x v="6"/>
      <x v="155"/>
      <x v="1863"/>
      <x v="611"/>
    </i>
    <i r="1">
      <x v="23"/>
      <x v="9"/>
      <x v="155"/>
      <x v="558"/>
      <x v="611"/>
    </i>
    <i r="1">
      <x v="25"/>
      <x v="9"/>
      <x v="155"/>
      <x v="932"/>
      <x v="611"/>
    </i>
    <i r="1">
      <x v="27"/>
      <x v="1"/>
      <x v="155"/>
      <x v="195"/>
      <x v="611"/>
    </i>
    <i r="2">
      <x v="38"/>
      <x v="155"/>
      <x v="413"/>
      <x v="611"/>
    </i>
    <i r="1">
      <x v="29"/>
      <x v="10"/>
      <x v="155"/>
      <x v="3"/>
      <x v="611"/>
    </i>
    <i r="1">
      <x v="35"/>
      <x v="1"/>
      <x v="155"/>
      <x v="80"/>
      <x v="611"/>
    </i>
    <i r="1">
      <x v="37"/>
      <x v="8"/>
      <x v="155"/>
      <x v="1492"/>
      <x v="611"/>
    </i>
    <i r="2">
      <x v="9"/>
      <x v="155"/>
      <x v="1404"/>
      <x v="611"/>
    </i>
    <i>
      <x v="73"/>
      <x/>
      <x v="6"/>
      <x v="156"/>
      <x v="1173"/>
      <x v="611"/>
    </i>
    <i r="2">
      <x v="12"/>
      <x v="30"/>
      <x v="35"/>
      <x v="611"/>
    </i>
    <i r="1">
      <x v="12"/>
      <x v="1"/>
      <x v="156"/>
      <x v="80"/>
      <x v="611"/>
    </i>
    <i r="4">
      <x v="213"/>
      <x v="611"/>
    </i>
    <i r="1">
      <x v="21"/>
      <x v="38"/>
      <x v="156"/>
      <x v="1652"/>
      <x v="611"/>
    </i>
    <i r="1">
      <x v="23"/>
      <x v="38"/>
      <x v="156"/>
      <x v="352"/>
      <x v="611"/>
    </i>
    <i r="1">
      <x v="35"/>
      <x v="1"/>
      <x v="156"/>
      <x v="213"/>
      <x v="611"/>
    </i>
    <i r="2">
      <x v="38"/>
      <x v="156"/>
      <x v="1399"/>
      <x v="611"/>
    </i>
    <i>
      <x v="74"/>
      <x/>
      <x v="8"/>
      <x v="157"/>
      <x v="389"/>
      <x v="611"/>
    </i>
    <i r="4">
      <x v="785"/>
      <x v="611"/>
    </i>
    <i r="4">
      <x v="1187"/>
      <x v="611"/>
    </i>
    <i r="2">
      <x v="9"/>
      <x v="157"/>
      <x v="261"/>
      <x v="611"/>
    </i>
    <i r="4">
      <x v="312"/>
      <x v="611"/>
    </i>
    <i r="4">
      <x v="394"/>
      <x v="611"/>
    </i>
    <i r="4">
      <x v="563"/>
      <x v="611"/>
    </i>
    <i r="4">
      <x v="736"/>
      <x v="611"/>
    </i>
    <i r="4">
      <x v="759"/>
      <x v="611"/>
    </i>
    <i r="4">
      <x v="874"/>
      <x v="611"/>
    </i>
    <i r="4">
      <x v="1282"/>
      <x v="611"/>
    </i>
    <i r="1">
      <x v="5"/>
      <x v="38"/>
      <x v="157"/>
      <x v="1358"/>
      <x v="611"/>
    </i>
    <i r="1">
      <x v="8"/>
      <x v="38"/>
      <x v="157"/>
      <x v="517"/>
      <x v="611"/>
    </i>
    <i r="1">
      <x v="12"/>
      <x v="1"/>
      <x v="157"/>
      <x v="213"/>
      <x v="611"/>
    </i>
    <i r="4">
      <x v="352"/>
      <x v="611"/>
    </i>
    <i r="2">
      <x v="38"/>
      <x v="157"/>
      <x v="1001"/>
      <x v="611"/>
    </i>
    <i r="4">
      <x v="1265"/>
      <x v="611"/>
    </i>
    <i r="1">
      <x v="15"/>
      <x v="8"/>
      <x v="157"/>
      <x v="869"/>
      <x v="611"/>
    </i>
    <i r="2">
      <x v="10"/>
      <x v="157"/>
      <x v="314"/>
      <x v="611"/>
    </i>
    <i r="1">
      <x v="17"/>
      <x v="8"/>
      <x v="157"/>
      <x v="1214"/>
      <x v="611"/>
    </i>
    <i r="1">
      <x v="23"/>
      <x v="6"/>
      <x v="157"/>
      <x v="1146"/>
      <x v="611"/>
    </i>
    <i r="2">
      <x v="38"/>
      <x v="157"/>
      <x v="369"/>
      <x v="611"/>
    </i>
    <i r="1">
      <x v="26"/>
      <x v="38"/>
      <x v="157"/>
      <x v="371"/>
      <x v="611"/>
    </i>
    <i r="1">
      <x v="27"/>
      <x v="6"/>
      <x v="157"/>
      <x v="1536"/>
      <x v="611"/>
    </i>
    <i r="1">
      <x v="35"/>
      <x v="1"/>
      <x v="157"/>
      <x v="80"/>
      <x v="611"/>
    </i>
    <i r="1">
      <x v="36"/>
      <x v="9"/>
      <x v="157"/>
      <x v="1351"/>
      <x v="611"/>
    </i>
    <i r="2">
      <x v="38"/>
      <x v="157"/>
      <x v="743"/>
      <x v="611"/>
    </i>
    <i>
      <x v="75"/>
      <x/>
      <x v="1"/>
      <x v="158"/>
      <x v="213"/>
      <x v="611"/>
    </i>
    <i r="2">
      <x v="6"/>
      <x v="158"/>
      <x v="1286"/>
      <x v="611"/>
    </i>
    <i r="2">
      <x v="12"/>
      <x v="46"/>
      <x v="325"/>
      <x v="611"/>
    </i>
    <i r="1">
      <x v="2"/>
      <x v="6"/>
      <x v="158"/>
      <x v="631"/>
      <x v="611"/>
    </i>
    <i r="1">
      <x v="3"/>
      <x v="6"/>
      <x v="158"/>
      <x v="1227"/>
      <x v="611"/>
    </i>
    <i r="2">
      <x v="38"/>
      <x v="158"/>
      <x v="109"/>
      <x v="611"/>
    </i>
    <i r="1">
      <x v="7"/>
      <x v="37"/>
      <x v="158"/>
      <x v="1022"/>
      <x v="611"/>
    </i>
    <i r="1">
      <x v="12"/>
      <x v="1"/>
      <x v="158"/>
      <x v="80"/>
      <x v="611"/>
    </i>
    <i r="4">
      <x v="213"/>
      <x v="611"/>
    </i>
    <i r="4">
      <x v="352"/>
      <x v="611"/>
    </i>
    <i r="4">
      <x v="607"/>
      <x v="611"/>
    </i>
    <i r="1">
      <x v="15"/>
      <x v="38"/>
      <x v="158"/>
      <x v="270"/>
      <x v="611"/>
    </i>
    <i r="1">
      <x v="23"/>
      <x v="38"/>
      <x v="158"/>
      <x v="756"/>
      <x v="611"/>
    </i>
    <i r="1">
      <x v="35"/>
      <x v="1"/>
      <x v="158"/>
      <x v="80"/>
      <x v="611"/>
    </i>
    <i>
      <x v="76"/>
      <x/>
      <x v="12"/>
      <x v="21"/>
      <x v="6"/>
      <x v="611"/>
    </i>
    <i r="3">
      <x v="23"/>
      <x v="11"/>
      <x v="611"/>
    </i>
    <i r="3">
      <x v="39"/>
      <x v="180"/>
      <x v="611"/>
    </i>
    <i r="3">
      <x v="52"/>
      <x v="37"/>
      <x v="611"/>
    </i>
    <i r="1">
      <x v="8"/>
      <x v="38"/>
      <x v="159"/>
      <x v="498"/>
      <x v="611"/>
    </i>
    <i r="1">
      <x v="12"/>
      <x v="1"/>
      <x v="159"/>
      <x v="80"/>
      <x v="611"/>
    </i>
    <i r="1">
      <x v="15"/>
      <x v="37"/>
      <x v="159"/>
      <x v="1780"/>
      <x v="611"/>
    </i>
    <i r="1">
      <x v="19"/>
      <x v="38"/>
      <x v="159"/>
      <x v="217"/>
      <x v="611"/>
    </i>
    <i>
      <x v="77"/>
      <x/>
      <x v="12"/>
      <x v="16"/>
      <x v="32"/>
      <x v="611"/>
    </i>
    <i r="3">
      <x v="54"/>
      <x v="35"/>
      <x v="611"/>
    </i>
    <i r="3">
      <x v="56"/>
      <x v="18"/>
      <x v="611"/>
    </i>
    <i r="1">
      <x v="3"/>
      <x v="6"/>
      <x v="160"/>
      <x v="1124"/>
      <x v="611"/>
    </i>
    <i r="2">
      <x v="38"/>
      <x v="160"/>
      <x v="371"/>
      <x v="611"/>
    </i>
    <i r="1">
      <x v="5"/>
      <x v="38"/>
      <x v="160"/>
      <x v="619"/>
      <x v="611"/>
    </i>
    <i r="1">
      <x v="12"/>
      <x v="1"/>
      <x v="160"/>
      <x v="80"/>
      <x v="611"/>
    </i>
    <i r="4">
      <x v="213"/>
      <x v="611"/>
    </i>
    <i r="1">
      <x v="23"/>
      <x v="1"/>
      <x v="160"/>
      <x v="213"/>
      <x v="611"/>
    </i>
    <i r="1">
      <x v="35"/>
      <x v="1"/>
      <x v="160"/>
      <x v="80"/>
      <x v="611"/>
    </i>
    <i>
      <x v="78"/>
      <x/>
      <x v="12"/>
      <x v="19"/>
      <x v="8"/>
      <x v="611"/>
    </i>
    <i r="3">
      <x v="23"/>
      <x v="11"/>
      <x v="611"/>
    </i>
    <i r="3">
      <x v="42"/>
      <x v="59"/>
      <x v="611"/>
    </i>
    <i r="3">
      <x v="47"/>
      <x v="654"/>
      <x v="611"/>
    </i>
    <i r="2">
      <x v="13"/>
      <x v="161"/>
      <x v="172"/>
      <x v="611"/>
    </i>
    <i r="4">
      <x v="534"/>
      <x v="611"/>
    </i>
    <i r="4">
      <x v="889"/>
      <x v="611"/>
    </i>
    <i r="4">
      <x v="899"/>
      <x v="611"/>
    </i>
    <i r="4">
      <x v="975"/>
      <x v="611"/>
    </i>
    <i r="4">
      <x v="997"/>
      <x v="611"/>
    </i>
    <i r="1">
      <x v="2"/>
      <x v="13"/>
      <x v="161"/>
      <x v="1868"/>
      <x v="611"/>
    </i>
    <i r="1">
      <x v="3"/>
      <x v="13"/>
      <x v="161"/>
      <x v="666"/>
      <x v="611"/>
    </i>
    <i r="1">
      <x v="12"/>
      <x v="1"/>
      <x v="162"/>
      <x v="213"/>
      <x v="611"/>
    </i>
    <i r="2">
      <x v="13"/>
      <x v="161"/>
      <x v="571"/>
      <x v="611"/>
    </i>
    <i r="4">
      <x v="575"/>
      <x v="611"/>
    </i>
    <i r="4">
      <x v="593"/>
      <x v="611"/>
    </i>
    <i r="4">
      <x v="671"/>
      <x v="611"/>
    </i>
    <i r="4">
      <x v="880"/>
      <x v="611"/>
    </i>
    <i r="4">
      <x v="904"/>
      <x v="611"/>
    </i>
    <i r="4">
      <x v="978"/>
      <x v="611"/>
    </i>
    <i r="4">
      <x v="1012"/>
      <x v="611"/>
    </i>
    <i r="4">
      <x v="1054"/>
      <x v="611"/>
    </i>
    <i r="4">
      <x v="1224"/>
      <x v="611"/>
    </i>
    <i r="4">
      <x v="1281"/>
      <x v="611"/>
    </i>
    <i r="4">
      <x v="1310"/>
      <x v="611"/>
    </i>
    <i r="4">
      <x v="1316"/>
      <x v="611"/>
    </i>
    <i r="4">
      <x v="1381"/>
      <x v="611"/>
    </i>
    <i r="4">
      <x v="1391"/>
      <x v="611"/>
    </i>
    <i r="4">
      <x v="1405"/>
      <x v="611"/>
    </i>
    <i r="4">
      <x v="1409"/>
      <x v="611"/>
    </i>
    <i r="4">
      <x v="1430"/>
      <x v="611"/>
    </i>
    <i r="4">
      <x v="1473"/>
      <x v="611"/>
    </i>
    <i r="4">
      <x v="1496"/>
      <x v="611"/>
    </i>
    <i r="4">
      <x v="1516"/>
      <x v="611"/>
    </i>
    <i r="4">
      <x v="1538"/>
      <x v="611"/>
    </i>
    <i r="4">
      <x v="1589"/>
      <x v="611"/>
    </i>
    <i r="4">
      <x v="1594"/>
      <x v="611"/>
    </i>
    <i r="4">
      <x v="1612"/>
      <x v="611"/>
    </i>
    <i r="4">
      <x v="1621"/>
      <x v="611"/>
    </i>
    <i r="4">
      <x v="1641"/>
      <x v="611"/>
    </i>
    <i r="4">
      <x v="1687"/>
      <x v="611"/>
    </i>
    <i r="4">
      <x v="1689"/>
      <x v="611"/>
    </i>
    <i r="4">
      <x v="1736"/>
      <x v="611"/>
    </i>
    <i r="4">
      <x v="1751"/>
      <x v="611"/>
    </i>
    <i r="4">
      <x v="1752"/>
      <x v="611"/>
    </i>
    <i r="1">
      <x v="14"/>
      <x v="13"/>
      <x v="161"/>
      <x v="1055"/>
      <x v="611"/>
    </i>
    <i r="1">
      <x v="15"/>
      <x v="13"/>
      <x v="161"/>
      <x v="1755"/>
      <x v="611"/>
    </i>
    <i r="1">
      <x v="17"/>
      <x v="13"/>
      <x v="161"/>
      <x v="1266"/>
      <x v="611"/>
    </i>
    <i r="1">
      <x v="21"/>
      <x v="13"/>
      <x v="161"/>
      <x v="1662"/>
      <x v="611"/>
    </i>
    <i r="1">
      <x v="23"/>
      <x v="1"/>
      <x v="162"/>
      <x v="669"/>
      <x v="611"/>
    </i>
    <i r="2">
      <x v="13"/>
      <x v="161"/>
      <x v="1245"/>
      <x v="611"/>
    </i>
    <i r="1">
      <x v="26"/>
      <x v="1"/>
      <x v="162"/>
      <x v="278"/>
      <x v="611"/>
    </i>
    <i r="1">
      <x v="35"/>
      <x v="1"/>
      <x v="162"/>
      <x v="80"/>
      <x v="611"/>
    </i>
    <i r="2">
      <x v="13"/>
      <x v="161"/>
      <x v="175"/>
      <x v="611"/>
    </i>
    <i r="4">
      <x v="307"/>
      <x v="611"/>
    </i>
    <i r="4">
      <x v="308"/>
      <x v="611"/>
    </i>
    <i r="4">
      <x v="400"/>
      <x v="611"/>
    </i>
    <i r="4">
      <x v="472"/>
      <x v="611"/>
    </i>
    <i r="4">
      <x v="484"/>
      <x v="611"/>
    </i>
    <i r="4">
      <x v="672"/>
      <x v="611"/>
    </i>
    <i r="4">
      <x v="850"/>
      <x v="611"/>
    </i>
    <i r="4">
      <x v="853"/>
      <x v="611"/>
    </i>
    <i r="4">
      <x v="893"/>
      <x v="611"/>
    </i>
    <i r="4">
      <x v="951"/>
      <x v="611"/>
    </i>
    <i r="4">
      <x v="1083"/>
      <x v="611"/>
    </i>
    <i r="4">
      <x v="1183"/>
      <x v="611"/>
    </i>
    <i r="1">
      <x v="36"/>
      <x v="6"/>
      <x v="162"/>
      <x v="886"/>
      <x v="611"/>
    </i>
    <i r="1">
      <x v="37"/>
      <x v="13"/>
      <x v="161"/>
      <x v="416"/>
      <x v="611"/>
    </i>
    <i>
      <x v="79"/>
      <x/>
      <x v="8"/>
      <x v="163"/>
      <x v="181"/>
      <x v="611"/>
    </i>
    <i r="4">
      <x v="351"/>
      <x v="611"/>
    </i>
    <i r="2">
      <x v="9"/>
      <x v="163"/>
      <x v="167"/>
      <x v="611"/>
    </i>
    <i r="4">
      <x v="229"/>
      <x v="611"/>
    </i>
    <i r="4">
      <x v="467"/>
      <x v="611"/>
    </i>
    <i r="4">
      <x v="517"/>
      <x v="611"/>
    </i>
    <i r="4">
      <x v="878"/>
      <x v="611"/>
    </i>
    <i r="4">
      <x v="1109"/>
      <x v="611"/>
    </i>
    <i r="2">
      <x v="12"/>
      <x v="63"/>
      <x v="6"/>
      <x v="611"/>
    </i>
    <i r="3">
      <x v="66"/>
      <x v="8"/>
      <x v="611"/>
    </i>
    <i r="1">
      <x v="2"/>
      <x v="9"/>
      <x v="163"/>
      <x v="1582"/>
      <x v="611"/>
    </i>
    <i r="1">
      <x v="7"/>
      <x v="8"/>
      <x v="163"/>
      <x v="751"/>
      <x v="611"/>
    </i>
    <i r="1">
      <x v="12"/>
      <x v="1"/>
      <x v="163"/>
      <x v="80"/>
      <x v="611"/>
    </i>
    <i r="1">
      <x v="14"/>
      <x v="1"/>
      <x v="163"/>
      <x v="109"/>
      <x v="611"/>
    </i>
    <i r="2">
      <x v="38"/>
      <x v="163"/>
      <x v="304"/>
      <x v="611"/>
    </i>
    <i r="1">
      <x v="15"/>
      <x v="8"/>
      <x v="163"/>
      <x v="1228"/>
      <x v="611"/>
    </i>
    <i r="2">
      <x v="9"/>
      <x v="163"/>
      <x v="248"/>
      <x v="611"/>
    </i>
    <i r="1">
      <x v="23"/>
      <x v="7"/>
      <x v="163"/>
      <x v="841"/>
      <x v="611"/>
    </i>
    <i r="2">
      <x v="38"/>
      <x v="163"/>
      <x v="122"/>
      <x v="611"/>
    </i>
    <i r="1">
      <x v="28"/>
      <x v="1"/>
      <x v="163"/>
      <x v="516"/>
      <x v="611"/>
    </i>
    <i r="1">
      <x v="36"/>
      <x v="8"/>
      <x v="163"/>
      <x v="1056"/>
      <x v="611"/>
    </i>
    <i>
      <x v="80"/>
      <x/>
      <x v="9"/>
      <x v="164"/>
      <x v="371"/>
      <x v="611"/>
    </i>
    <i r="4">
      <x v="533"/>
      <x v="611"/>
    </i>
    <i r="2">
      <x v="10"/>
      <x v="164"/>
      <x v="539"/>
      <x v="611"/>
    </i>
    <i r="2">
      <x v="12"/>
      <x v="17"/>
      <x v="188"/>
      <x v="611"/>
    </i>
    <i r="3">
      <x v="23"/>
      <x v="11"/>
      <x v="611"/>
    </i>
    <i r="3">
      <x v="40"/>
      <x v="188"/>
      <x v="611"/>
    </i>
    <i r="1">
      <x v="3"/>
      <x v="38"/>
      <x v="164"/>
      <x v="371"/>
      <x v="611"/>
    </i>
    <i r="1">
      <x v="7"/>
      <x v="8"/>
      <x v="164"/>
      <x v="83"/>
      <x v="611"/>
    </i>
    <i r="1">
      <x v="10"/>
      <x v="6"/>
      <x v="164"/>
      <x v="1647"/>
      <x v="611"/>
    </i>
    <i r="2">
      <x v="8"/>
      <x v="164"/>
      <x v="23"/>
      <x v="611"/>
    </i>
    <i r="1">
      <x v="12"/>
      <x v="1"/>
      <x v="164"/>
      <x v="80"/>
      <x v="611"/>
    </i>
    <i r="4">
      <x v="213"/>
      <x v="611"/>
    </i>
    <i r="2">
      <x v="38"/>
      <x v="164"/>
      <x v="1414"/>
      <x v="611"/>
    </i>
    <i r="1">
      <x v="15"/>
      <x v="8"/>
      <x v="164"/>
      <x v="684"/>
      <x v="611"/>
    </i>
    <i r="1">
      <x v="24"/>
      <x v="38"/>
      <x v="164"/>
      <x v="97"/>
      <x v="611"/>
    </i>
    <i r="1">
      <x v="35"/>
      <x v="1"/>
      <x v="164"/>
      <x v="80"/>
      <x v="611"/>
    </i>
    <i r="2">
      <x v="38"/>
      <x v="164"/>
      <x v="1343"/>
      <x v="611"/>
    </i>
    <i r="4">
      <x v="1528"/>
      <x v="611"/>
    </i>
    <i>
      <x v="81"/>
      <x v="3"/>
      <x v="10"/>
      <x v="165"/>
      <x/>
      <x v="559"/>
    </i>
    <i>
      <x v="82"/>
      <x/>
      <x v="12"/>
      <x v="52"/>
      <x v="9"/>
      <x v="611"/>
    </i>
    <i r="3">
      <x v="62"/>
      <x v="59"/>
      <x v="611"/>
    </i>
    <i r="2">
      <x v="38"/>
      <x v="166"/>
      <x v="39"/>
      <x v="611"/>
    </i>
    <i r="4">
      <x v="659"/>
      <x v="611"/>
    </i>
    <i r="1">
      <x v="12"/>
      <x v="1"/>
      <x v="166"/>
      <x v="80"/>
      <x v="611"/>
    </i>
    <i r="4">
      <x v="213"/>
      <x v="611"/>
    </i>
    <i r="4">
      <x v="352"/>
      <x v="611"/>
    </i>
    <i r="4">
      <x v="607"/>
      <x v="611"/>
    </i>
    <i r="1">
      <x v="14"/>
      <x v="1"/>
      <x v="166"/>
      <x v="145"/>
      <x v="611"/>
    </i>
    <i r="1">
      <x v="23"/>
      <x v="38"/>
      <x v="166"/>
      <x v="100"/>
      <x v="611"/>
    </i>
    <i r="1">
      <x v="34"/>
      <x v="38"/>
      <x v="166"/>
      <x v="509"/>
      <x v="611"/>
    </i>
    <i r="1">
      <x v="35"/>
      <x v="1"/>
      <x v="166"/>
      <x v="80"/>
      <x v="611"/>
    </i>
    <i r="1">
      <x v="36"/>
      <x v="6"/>
      <x v="166"/>
      <x v="283"/>
      <x v="611"/>
    </i>
    <i r="2">
      <x v="38"/>
      <x v="166"/>
      <x v="395"/>
      <x v="611"/>
    </i>
    <i r="1">
      <x v="37"/>
      <x v="6"/>
      <x v="166"/>
      <x v="802"/>
      <x v="611"/>
    </i>
    <i>
      <x v="83"/>
      <x/>
      <x v="6"/>
      <x v="168"/>
      <x v="359"/>
      <x v="611"/>
    </i>
    <i r="4">
      <x v="749"/>
      <x v="611"/>
    </i>
    <i r="2">
      <x v="8"/>
      <x v="168"/>
      <x v="1028"/>
      <x v="611"/>
    </i>
    <i r="2">
      <x v="12"/>
      <x v="5"/>
      <x v="69"/>
      <x v="611"/>
    </i>
    <i r="3">
      <x v="52"/>
      <x v="9"/>
      <x v="611"/>
    </i>
    <i r="3">
      <x v="57"/>
      <x v="16"/>
      <x v="611"/>
    </i>
    <i r="2">
      <x v="38"/>
      <x v="168"/>
      <x v="138"/>
      <x v="611"/>
    </i>
    <i r="1">
      <x v="2"/>
      <x v="27"/>
      <x v="167"/>
      <x v="827"/>
      <x v="611"/>
    </i>
    <i r="1">
      <x v="3"/>
      <x v="1"/>
      <x v="168"/>
      <x v="109"/>
      <x v="611"/>
    </i>
    <i r="2">
      <x v="38"/>
      <x v="168"/>
      <x v="33"/>
      <x v="611"/>
    </i>
    <i r="1">
      <x v="6"/>
      <x v="38"/>
      <x v="168"/>
      <x v="1235"/>
      <x v="611"/>
    </i>
    <i r="1">
      <x v="12"/>
      <x v="1"/>
      <x v="168"/>
      <x v="80"/>
      <x v="611"/>
    </i>
    <i r="4">
      <x v="213"/>
      <x v="611"/>
    </i>
    <i r="4">
      <x v="352"/>
      <x v="611"/>
    </i>
    <i r="4">
      <x v="500"/>
      <x v="611"/>
    </i>
    <i r="4">
      <x v="607"/>
      <x v="611"/>
    </i>
    <i r="4">
      <x v="771"/>
      <x v="611"/>
    </i>
    <i r="2">
      <x v="27"/>
      <x v="167"/>
      <x v="289"/>
      <x v="611"/>
    </i>
    <i r="4">
      <x v="805"/>
      <x v="611"/>
    </i>
    <i r="1">
      <x v="15"/>
      <x v="1"/>
      <x v="168"/>
      <x v="1666"/>
      <x v="611"/>
    </i>
    <i r="1">
      <x v="30"/>
      <x v="6"/>
      <x v="168"/>
      <x v="1805"/>
      <x v="611"/>
    </i>
    <i r="1">
      <x v="35"/>
      <x v="1"/>
      <x v="168"/>
      <x v="80"/>
      <x v="611"/>
    </i>
    <i r="4">
      <x v="213"/>
      <x v="611"/>
    </i>
    <i>
      <x v="84"/>
      <x/>
      <x v="6"/>
      <x v="169"/>
      <x v="354"/>
      <x v="611"/>
    </i>
    <i r="2">
      <x v="8"/>
      <x v="169"/>
      <x v="825"/>
      <x v="611"/>
    </i>
    <i r="2">
      <x v="9"/>
      <x v="169"/>
      <x v="461"/>
      <x v="611"/>
    </i>
    <i r="4">
      <x v="494"/>
      <x v="611"/>
    </i>
    <i r="2">
      <x v="12"/>
      <x v="21"/>
      <x v="227"/>
      <x v="611"/>
    </i>
    <i r="2">
      <x v="38"/>
      <x v="169"/>
      <x v="138"/>
      <x v="611"/>
    </i>
    <i r="1">
      <x v="12"/>
      <x v="1"/>
      <x v="169"/>
      <x v="80"/>
      <x v="611"/>
    </i>
    <i r="4">
      <x v="213"/>
      <x v="611"/>
    </i>
    <i r="4">
      <x v="352"/>
      <x v="611"/>
    </i>
    <i r="4">
      <x v="607"/>
      <x v="611"/>
    </i>
    <i r="4">
      <x v="702"/>
      <x v="611"/>
    </i>
    <i r="4">
      <x v="771"/>
      <x v="611"/>
    </i>
    <i r="1">
      <x v="14"/>
      <x v="6"/>
      <x v="169"/>
      <x v="1865"/>
      <x v="611"/>
    </i>
    <i r="1">
      <x v="26"/>
      <x v="38"/>
      <x v="169"/>
      <x v="1840"/>
      <x v="611"/>
    </i>
    <i r="1">
      <x v="35"/>
      <x v="1"/>
      <x v="169"/>
      <x v="80"/>
      <x v="611"/>
    </i>
    <i r="1">
      <x v="37"/>
      <x v="38"/>
      <x v="169"/>
      <x v="271"/>
      <x v="611"/>
    </i>
    <i>
      <x v="85"/>
      <x/>
      <x v="8"/>
      <x v="170"/>
      <x v="108"/>
      <x v="611"/>
    </i>
    <i r="2">
      <x v="9"/>
      <x v="170"/>
      <x v="430"/>
      <x v="611"/>
    </i>
    <i r="4">
      <x v="640"/>
      <x v="611"/>
    </i>
    <i r="1">
      <x v="8"/>
      <x v="10"/>
      <x v="170"/>
      <x v="1304"/>
      <x v="611"/>
    </i>
    <i r="1">
      <x v="12"/>
      <x v="1"/>
      <x v="170"/>
      <x v="80"/>
      <x v="611"/>
    </i>
    <i r="4">
      <x v="213"/>
      <x v="611"/>
    </i>
    <i r="4">
      <x v="352"/>
      <x v="611"/>
    </i>
    <i r="4">
      <x v="500"/>
      <x v="611"/>
    </i>
    <i r="4">
      <x v="702"/>
      <x v="611"/>
    </i>
    <i r="1">
      <x v="19"/>
      <x v="6"/>
      <x v="170"/>
      <x v="883"/>
      <x v="611"/>
    </i>
    <i r="1">
      <x v="37"/>
      <x v="10"/>
      <x v="170"/>
      <x v="1491"/>
      <x v="611"/>
    </i>
    <i>
      <x v="86"/>
      <x/>
      <x v="1"/>
      <x v="171"/>
      <x v="80"/>
      <x v="611"/>
    </i>
    <i r="4">
      <x v="778"/>
      <x v="611"/>
    </i>
    <i r="2">
      <x v="12"/>
      <x v="7"/>
      <x v="219"/>
      <x v="611"/>
    </i>
    <i r="3">
      <x v="32"/>
      <x v="391"/>
      <x v="611"/>
    </i>
    <i r="2">
      <x v="37"/>
      <x v="171"/>
      <x v="1312"/>
      <x v="611"/>
    </i>
    <i r="2">
      <x v="38"/>
      <x v="171"/>
      <x v="1326"/>
      <x v="611"/>
    </i>
    <i r="1">
      <x v="2"/>
      <x v="1"/>
      <x v="171"/>
      <x v="1205"/>
      <x v="611"/>
    </i>
    <i r="2">
      <x v="6"/>
      <x v="171"/>
      <x v="615"/>
      <x v="611"/>
    </i>
    <i r="1">
      <x v="3"/>
      <x v="38"/>
      <x v="171"/>
      <x v="322"/>
      <x v="611"/>
    </i>
    <i r="1">
      <x v="5"/>
      <x v="37"/>
      <x v="171"/>
      <x v="1777"/>
      <x v="611"/>
    </i>
    <i r="2">
      <x v="38"/>
      <x v="171"/>
      <x v="1837"/>
      <x v="611"/>
    </i>
    <i r="1">
      <x v="6"/>
      <x v="38"/>
      <x v="171"/>
      <x v="1164"/>
      <x v="611"/>
    </i>
    <i r="1">
      <x v="7"/>
      <x v="38"/>
      <x v="171"/>
      <x v="1061"/>
      <x v="611"/>
    </i>
    <i r="1">
      <x v="9"/>
      <x v="38"/>
      <x v="171"/>
      <x v="66"/>
      <x v="611"/>
    </i>
    <i r="1">
      <x v="10"/>
      <x v="38"/>
      <x v="171"/>
      <x v="612"/>
      <x v="611"/>
    </i>
    <i r="1">
      <x v="12"/>
      <x v="1"/>
      <x v="171"/>
      <x v="80"/>
      <x v="611"/>
    </i>
    <i r="4">
      <x v="213"/>
      <x v="611"/>
    </i>
    <i r="4">
      <x v="352"/>
      <x v="611"/>
    </i>
    <i r="1">
      <x v="14"/>
      <x v="37"/>
      <x v="171"/>
      <x v="1375"/>
      <x v="611"/>
    </i>
    <i r="2">
      <x v="38"/>
      <x v="171"/>
      <x v="1599"/>
      <x v="611"/>
    </i>
    <i r="1">
      <x v="15"/>
      <x v="38"/>
      <x v="171"/>
      <x v="1826"/>
      <x v="611"/>
    </i>
    <i r="1">
      <x v="19"/>
      <x v="37"/>
      <x v="171"/>
      <x v="1574"/>
      <x v="611"/>
    </i>
    <i r="2">
      <x v="38"/>
      <x v="171"/>
      <x v="1725"/>
      <x v="611"/>
    </i>
    <i r="1">
      <x v="21"/>
      <x v="10"/>
      <x v="171"/>
      <x/>
      <x v="563"/>
    </i>
    <i r="1">
      <x v="23"/>
      <x v="1"/>
      <x v="171"/>
      <x v="278"/>
      <x v="611"/>
    </i>
    <i r="1">
      <x v="33"/>
      <x v="38"/>
      <x v="171"/>
      <x v="659"/>
      <x v="611"/>
    </i>
    <i r="1">
      <x v="35"/>
      <x v="1"/>
      <x v="171"/>
      <x v="80"/>
      <x v="611"/>
    </i>
    <i>
      <x v="87"/>
      <x/>
      <x v="9"/>
      <x v="172"/>
      <x v="620"/>
      <x v="611"/>
    </i>
    <i r="4">
      <x v="640"/>
      <x v="611"/>
    </i>
    <i r="4">
      <x v="745"/>
      <x v="611"/>
    </i>
    <i r="4">
      <x v="924"/>
      <x v="611"/>
    </i>
    <i r="4">
      <x v="973"/>
      <x v="611"/>
    </i>
    <i r="2">
      <x v="12"/>
      <x v="32"/>
      <x v="391"/>
      <x v="611"/>
    </i>
    <i r="3">
      <x v="44"/>
      <x v="11"/>
      <x v="611"/>
    </i>
    <i r="3">
      <x v="53"/>
      <x v="25"/>
      <x v="611"/>
    </i>
    <i r="3">
      <x v="61"/>
      <x v="6"/>
      <x v="611"/>
    </i>
    <i r="3">
      <x v="65"/>
      <x v="18"/>
      <x v="611"/>
    </i>
    <i r="3">
      <x v="66"/>
      <x v="25"/>
      <x v="611"/>
    </i>
    <i r="3">
      <x v="71"/>
      <x v="11"/>
      <x v="611"/>
    </i>
    <i r="1">
      <x v="11"/>
      <x v="8"/>
      <x v="172"/>
      <x v="927"/>
      <x v="611"/>
    </i>
    <i r="1">
      <x v="12"/>
      <x v="1"/>
      <x v="172"/>
      <x v="213"/>
      <x v="611"/>
    </i>
    <i r="4">
      <x v="500"/>
      <x v="611"/>
    </i>
    <i r="4">
      <x v="702"/>
      <x v="611"/>
    </i>
    <i r="1">
      <x v="15"/>
      <x v="6"/>
      <x v="172"/>
      <x v="212"/>
      <x v="611"/>
    </i>
    <i r="2">
      <x v="9"/>
      <x v="172"/>
      <x v="331"/>
      <x v="611"/>
    </i>
    <i r="1">
      <x v="23"/>
      <x v="38"/>
      <x v="172"/>
      <x v="76"/>
      <x v="611"/>
    </i>
    <i r="1">
      <x v="24"/>
      <x v="8"/>
      <x v="172"/>
      <x v="896"/>
      <x v="611"/>
    </i>
    <i r="1">
      <x v="25"/>
      <x v="9"/>
      <x v="172"/>
      <x v="901"/>
      <x v="611"/>
    </i>
    <i r="1">
      <x v="27"/>
      <x v="38"/>
      <x v="172"/>
      <x v="633"/>
      <x v="611"/>
    </i>
    <i>
      <x v="88"/>
      <x/>
      <x v="12"/>
      <x v="21"/>
      <x v="69"/>
      <x v="611"/>
    </i>
    <i r="3">
      <x v="52"/>
      <x v="92"/>
      <x v="611"/>
    </i>
    <i r="2">
      <x v="38"/>
      <x v="173"/>
      <x v="138"/>
      <x v="611"/>
    </i>
    <i r="1">
      <x v="3"/>
      <x v="6"/>
      <x v="173"/>
      <x v="1047"/>
      <x v="611"/>
    </i>
    <i r="1">
      <x v="5"/>
      <x v="37"/>
      <x v="173"/>
      <x v="1408"/>
      <x v="611"/>
    </i>
    <i r="1">
      <x v="10"/>
      <x v="37"/>
      <x v="173"/>
      <x v="1242"/>
      <x v="611"/>
    </i>
    <i r="1">
      <x v="12"/>
      <x v="1"/>
      <x v="173"/>
      <x v="80"/>
      <x v="611"/>
    </i>
    <i r="4">
      <x v="213"/>
      <x v="611"/>
    </i>
    <i r="4">
      <x v="500"/>
      <x v="611"/>
    </i>
    <i r="4">
      <x v="771"/>
      <x v="611"/>
    </i>
    <i r="4">
      <x v="1114"/>
      <x v="611"/>
    </i>
    <i r="1">
      <x v="26"/>
      <x v="38"/>
      <x v="173"/>
      <x v="771"/>
      <x v="611"/>
    </i>
    <i r="1">
      <x v="35"/>
      <x v="1"/>
      <x v="173"/>
      <x v="213"/>
      <x v="611"/>
    </i>
    <i r="1">
      <x v="36"/>
      <x v="1"/>
      <x v="173"/>
      <x v="317"/>
      <x v="611"/>
    </i>
    <i>
      <x v="89"/>
      <x/>
      <x v="9"/>
      <x v="175"/>
      <x v="458"/>
      <x v="611"/>
    </i>
    <i r="4">
      <x v="555"/>
      <x v="611"/>
    </i>
    <i r="2">
      <x v="12"/>
      <x v="6"/>
      <x v="32"/>
      <x v="611"/>
    </i>
    <i r="3">
      <x v="8"/>
      <x v="14"/>
      <x v="611"/>
    </i>
    <i r="3">
      <x v="17"/>
      <x v="219"/>
      <x v="611"/>
    </i>
    <i r="3">
      <x v="18"/>
      <x v="11"/>
      <x v="611"/>
    </i>
    <i r="3">
      <x v="34"/>
      <x v="719"/>
      <x v="611"/>
    </i>
    <i r="3">
      <x v="50"/>
      <x v="80"/>
      <x v="611"/>
    </i>
    <i r="3">
      <x v="52"/>
      <x v="14"/>
      <x v="611"/>
    </i>
    <i r="3">
      <x v="55"/>
      <x v="82"/>
      <x v="611"/>
    </i>
    <i r="2">
      <x v="20"/>
      <x v="174"/>
      <x v="471"/>
      <x v="611"/>
    </i>
    <i r="4">
      <x v="580"/>
      <x v="611"/>
    </i>
    <i r="4">
      <x v="699"/>
      <x v="611"/>
    </i>
    <i r="4">
      <x v="1029"/>
      <x v="611"/>
    </i>
    <i r="4">
      <x v="1236"/>
      <x v="611"/>
    </i>
    <i r="1">
      <x v="2"/>
      <x v="1"/>
      <x v="175"/>
      <x v="1205"/>
      <x v="611"/>
    </i>
    <i r="2">
      <x v="20"/>
      <x v="174"/>
      <x v="1850"/>
      <x v="611"/>
    </i>
    <i r="1">
      <x v="6"/>
      <x v="38"/>
      <x v="175"/>
      <x v="658"/>
      <x v="611"/>
    </i>
    <i r="1">
      <x v="7"/>
      <x v="9"/>
      <x v="175"/>
      <x v="228"/>
      <x v="611"/>
    </i>
    <i r="2">
      <x v="10"/>
      <x v="175"/>
      <x v="1581"/>
      <x v="611"/>
    </i>
    <i r="1">
      <x v="12"/>
      <x v="1"/>
      <x v="175"/>
      <x v="80"/>
      <x v="611"/>
    </i>
    <i r="4">
      <x v="213"/>
      <x v="611"/>
    </i>
    <i r="4">
      <x v="500"/>
      <x v="611"/>
    </i>
    <i r="4">
      <x v="702"/>
      <x v="611"/>
    </i>
    <i r="2">
      <x v="20"/>
      <x v="174"/>
      <x v="71"/>
      <x v="611"/>
    </i>
    <i r="4">
      <x v="166"/>
      <x v="611"/>
    </i>
    <i r="4">
      <x v="174"/>
      <x v="611"/>
    </i>
    <i r="4">
      <x v="282"/>
      <x v="611"/>
    </i>
    <i r="4">
      <x v="336"/>
      <x v="611"/>
    </i>
    <i r="4">
      <x v="675"/>
      <x v="611"/>
    </i>
    <i r="4">
      <x v="720"/>
      <x v="611"/>
    </i>
    <i r="4">
      <x v="780"/>
      <x v="611"/>
    </i>
    <i r="4">
      <x v="801"/>
      <x v="611"/>
    </i>
    <i r="4">
      <x v="839"/>
      <x v="611"/>
    </i>
    <i r="4">
      <x v="912"/>
      <x v="611"/>
    </i>
    <i r="4">
      <x v="967"/>
      <x v="611"/>
    </i>
    <i r="4">
      <x v="983"/>
      <x v="611"/>
    </i>
    <i r="4">
      <x v="994"/>
      <x v="611"/>
    </i>
    <i r="4">
      <x v="1147"/>
      <x v="611"/>
    </i>
    <i r="4">
      <x v="1239"/>
      <x v="611"/>
    </i>
    <i r="4">
      <x v="1269"/>
      <x v="611"/>
    </i>
    <i r="4">
      <x v="1320"/>
      <x v="611"/>
    </i>
    <i r="4">
      <x v="1378"/>
      <x v="611"/>
    </i>
    <i r="4">
      <x v="1413"/>
      <x v="611"/>
    </i>
    <i r="4">
      <x v="1480"/>
      <x v="611"/>
    </i>
    <i r="4">
      <x v="1515"/>
      <x v="611"/>
    </i>
    <i r="4">
      <x v="1523"/>
      <x v="611"/>
    </i>
    <i r="4">
      <x v="1560"/>
      <x v="611"/>
    </i>
    <i r="4">
      <x v="1566"/>
      <x v="611"/>
    </i>
    <i r="4">
      <x v="1571"/>
      <x v="611"/>
    </i>
    <i r="4">
      <x v="1578"/>
      <x v="611"/>
    </i>
    <i r="4">
      <x v="1604"/>
      <x v="611"/>
    </i>
    <i r="4">
      <x v="1606"/>
      <x v="611"/>
    </i>
    <i r="4">
      <x v="1644"/>
      <x v="611"/>
    </i>
    <i r="4">
      <x v="1648"/>
      <x v="611"/>
    </i>
    <i r="4">
      <x v="1678"/>
      <x v="611"/>
    </i>
    <i r="4">
      <x v="1711"/>
      <x v="611"/>
    </i>
    <i r="4">
      <x v="1721"/>
      <x v="611"/>
    </i>
    <i r="1">
      <x v="14"/>
      <x v="38"/>
      <x v="175"/>
      <x v="397"/>
      <x v="611"/>
    </i>
    <i r="1">
      <x v="15"/>
      <x v="20"/>
      <x v="174"/>
      <x v="1877"/>
      <x v="611"/>
    </i>
    <i r="1">
      <x v="17"/>
      <x v="20"/>
      <x v="174"/>
      <x v="717"/>
      <x v="611"/>
    </i>
    <i r="1">
      <x v="21"/>
      <x v="20"/>
      <x v="174"/>
      <x v="1677"/>
      <x v="611"/>
    </i>
    <i r="1">
      <x v="23"/>
      <x v="20"/>
      <x v="174"/>
      <x v="1859"/>
      <x v="611"/>
    </i>
    <i r="1">
      <x v="24"/>
      <x v="20"/>
      <x v="174"/>
      <x v="1660"/>
      <x v="611"/>
    </i>
    <i r="1">
      <x v="26"/>
      <x v="20"/>
      <x v="174"/>
      <x v="160"/>
      <x v="611"/>
    </i>
    <i r="1">
      <x v="27"/>
      <x v="20"/>
      <x v="174"/>
      <x v="1342"/>
      <x v="611"/>
    </i>
    <i r="1">
      <x v="29"/>
      <x v="10"/>
      <x v="175"/>
      <x v="1575"/>
      <x v="611"/>
    </i>
    <i r="1">
      <x v="35"/>
      <x v="1"/>
      <x v="175"/>
      <x v="80"/>
      <x v="611"/>
    </i>
    <i r="4">
      <x v="500"/>
      <x v="611"/>
    </i>
    <i r="2">
      <x v="20"/>
      <x v="174"/>
      <x v="105"/>
      <x v="611"/>
    </i>
    <i r="4">
      <x v="226"/>
      <x v="611"/>
    </i>
    <i r="4">
      <x v="311"/>
      <x v="611"/>
    </i>
    <i r="4">
      <x v="373"/>
      <x v="611"/>
    </i>
    <i r="4">
      <x v="401"/>
      <x v="611"/>
    </i>
    <i r="4">
      <x v="455"/>
      <x v="611"/>
    </i>
    <i r="4">
      <x v="519"/>
      <x v="611"/>
    </i>
    <i r="4">
      <x v="686"/>
      <x v="611"/>
    </i>
    <i r="4">
      <x v="706"/>
      <x v="611"/>
    </i>
    <i r="4">
      <x v="823"/>
      <x v="611"/>
    </i>
    <i r="4">
      <x v="1132"/>
      <x v="611"/>
    </i>
    <i r="4">
      <x v="1211"/>
      <x v="611"/>
    </i>
    <i r="4">
      <x v="1366"/>
      <x v="611"/>
    </i>
    <i>
      <x v="90"/>
      <x/>
      <x v="1"/>
      <x v="176"/>
      <x v="80"/>
      <x v="611"/>
    </i>
    <i r="2">
      <x v="12"/>
      <x v="2"/>
      <x v="39"/>
      <x v="611"/>
    </i>
    <i r="3">
      <x v="21"/>
      <x v="9"/>
      <x v="611"/>
    </i>
    <i r="3">
      <x v="40"/>
      <x v="219"/>
      <x v="611"/>
    </i>
    <i r="3">
      <x v="55"/>
      <x v="92"/>
      <x v="611"/>
    </i>
    <i r="3">
      <x v="66"/>
      <x v="92"/>
      <x v="611"/>
    </i>
    <i r="2">
      <x v="38"/>
      <x v="176"/>
      <x v="650"/>
      <x v="611"/>
    </i>
    <i r="1">
      <x v="2"/>
      <x v="10"/>
      <x v="176"/>
      <x v="1694"/>
      <x v="611"/>
    </i>
    <i r="1">
      <x v="3"/>
      <x v="10"/>
      <x v="176"/>
      <x v="1254"/>
      <x v="611"/>
    </i>
    <i r="1">
      <x v="11"/>
      <x v="10"/>
      <x v="176"/>
      <x v="741"/>
      <x v="611"/>
    </i>
    <i r="1">
      <x v="12"/>
      <x v="1"/>
      <x v="176"/>
      <x v="213"/>
      <x v="611"/>
    </i>
    <i r="4">
      <x v="352"/>
      <x v="611"/>
    </i>
    <i r="1">
      <x v="15"/>
      <x v="38"/>
      <x v="176"/>
      <x v="1028"/>
      <x v="611"/>
    </i>
    <i r="1">
      <x v="23"/>
      <x v="38"/>
      <x v="176"/>
      <x v="452"/>
      <x v="611"/>
    </i>
    <i r="1">
      <x v="35"/>
      <x v="1"/>
      <x v="176"/>
      <x v="80"/>
      <x v="611"/>
    </i>
    <i r="1">
      <x v="36"/>
      <x v="10"/>
      <x v="176"/>
      <x v="1539"/>
      <x v="611"/>
    </i>
    <i r="1">
      <x v="38"/>
      <x v="10"/>
      <x v="176"/>
      <x v="1175"/>
      <x v="611"/>
    </i>
    <i>
      <x v="91"/>
      <x/>
      <x v="12"/>
      <x v="28"/>
      <x v="35"/>
      <x v="611"/>
    </i>
    <i r="3">
      <x v="32"/>
      <x v="391"/>
      <x v="611"/>
    </i>
    <i r="3">
      <x v="54"/>
      <x v="55"/>
      <x v="611"/>
    </i>
    <i>
      <x v="92"/>
      <x/>
      <x v="8"/>
      <x v="178"/>
      <x v="514"/>
      <x v="611"/>
    </i>
    <i r="2">
      <x v="9"/>
      <x v="178"/>
      <x v="74"/>
      <x v="611"/>
    </i>
    <i r="4">
      <x v="346"/>
      <x v="611"/>
    </i>
    <i r="4">
      <x v="355"/>
      <x v="611"/>
    </i>
    <i r="4">
      <x v="809"/>
      <x v="611"/>
    </i>
    <i r="4">
      <x v="917"/>
      <x v="611"/>
    </i>
    <i r="4">
      <x v="940"/>
      <x v="611"/>
    </i>
    <i r="4">
      <x v="1128"/>
      <x v="611"/>
    </i>
    <i r="2">
      <x v="38"/>
      <x v="178"/>
      <x v="138"/>
      <x v="611"/>
    </i>
    <i r="4">
      <x v="500"/>
      <x v="611"/>
    </i>
    <i r="1">
      <x v="3"/>
      <x v="38"/>
      <x v="178"/>
      <x v="78"/>
      <x v="611"/>
    </i>
    <i r="1">
      <x v="8"/>
      <x v="10"/>
      <x v="178"/>
      <x v="729"/>
      <x v="611"/>
    </i>
    <i r="1">
      <x v="12"/>
      <x v="1"/>
      <x v="178"/>
      <x v="80"/>
      <x v="611"/>
    </i>
    <i r="4">
      <x v="352"/>
      <x v="611"/>
    </i>
    <i r="1">
      <x v="15"/>
      <x v="27"/>
      <x v="177"/>
      <x v="1737"/>
      <x v="611"/>
    </i>
    <i r="1">
      <x v="23"/>
      <x v="38"/>
      <x v="178"/>
      <x v="80"/>
      <x v="611"/>
    </i>
    <i r="1">
      <x v="35"/>
      <x v="1"/>
      <x v="178"/>
      <x v="80"/>
      <x v="611"/>
    </i>
    <i r="4">
      <x v="352"/>
      <x v="611"/>
    </i>
    <i r="1">
      <x v="36"/>
      <x v="8"/>
      <x v="178"/>
      <x v="977"/>
      <x v="611"/>
    </i>
    <i>
      <x v="93"/>
      <x v="10"/>
      <x v="33"/>
      <x v="179"/>
      <x v="1793"/>
      <x v="611"/>
    </i>
    <i r="1">
      <x v="12"/>
      <x v="38"/>
      <x v="179"/>
      <x v="1137"/>
      <x v="611"/>
    </i>
    <i r="4">
      <x v="1343"/>
      <x v="611"/>
    </i>
    <i r="4">
      <x v="1730"/>
      <x v="611"/>
    </i>
    <i r="1">
      <x v="15"/>
      <x v="33"/>
      <x v="179"/>
      <x v="1873"/>
      <x v="611"/>
    </i>
    <i r="2">
      <x v="35"/>
      <x v="76"/>
      <x/>
      <x v="41"/>
    </i>
    <i r="1">
      <x v="36"/>
      <x v="9"/>
      <x v="179"/>
      <x v="1754"/>
      <x v="611"/>
    </i>
    <i>
      <x v="94"/>
      <x/>
      <x v="1"/>
      <x v="180"/>
      <x v="80"/>
      <x v="611"/>
    </i>
    <i r="2">
      <x v="11"/>
      <x v="51"/>
      <x v="39"/>
      <x v="611"/>
    </i>
    <i r="2">
      <x v="12"/>
      <x v="23"/>
      <x v="109"/>
      <x v="611"/>
    </i>
    <i r="1">
      <x v="2"/>
      <x v="6"/>
      <x v="180"/>
      <x v="680"/>
      <x v="611"/>
    </i>
    <i r="1">
      <x v="3"/>
      <x v="38"/>
      <x v="180"/>
      <x v="78"/>
      <x v="611"/>
    </i>
    <i r="1">
      <x v="12"/>
      <x v="1"/>
      <x v="180"/>
      <x v="80"/>
      <x v="611"/>
    </i>
    <i r="4">
      <x v="213"/>
      <x v="611"/>
    </i>
    <i r="4">
      <x v="352"/>
      <x v="611"/>
    </i>
    <i r="4">
      <x v="1028"/>
      <x v="611"/>
    </i>
    <i r="1">
      <x v="15"/>
      <x v="33"/>
      <x v="180"/>
      <x v="1881"/>
      <x v="611"/>
    </i>
    <i r="2">
      <x v="38"/>
      <x v="180"/>
      <x v="474"/>
      <x v="611"/>
    </i>
    <i r="1">
      <x v="19"/>
      <x v="6"/>
      <x v="180"/>
      <x v="469"/>
      <x v="611"/>
    </i>
    <i r="1">
      <x v="23"/>
      <x v="38"/>
      <x v="180"/>
      <x v="109"/>
      <x v="611"/>
    </i>
    <i r="1">
      <x v="24"/>
      <x v="6"/>
      <x v="180"/>
      <x v="1048"/>
      <x v="611"/>
    </i>
    <i r="1">
      <x v="29"/>
      <x v="38"/>
      <x v="180"/>
      <x v="180"/>
      <x v="611"/>
    </i>
    <i r="1">
      <x v="33"/>
      <x v="38"/>
      <x v="180"/>
      <x v="325"/>
      <x v="611"/>
    </i>
    <i r="1">
      <x v="35"/>
      <x v="1"/>
      <x v="180"/>
      <x v="80"/>
      <x v="611"/>
    </i>
    <i r="4">
      <x v="213"/>
      <x v="611"/>
    </i>
    <i>
      <x v="95"/>
      <x/>
      <x v="8"/>
      <x v="181"/>
      <x v="351"/>
      <x v="611"/>
    </i>
    <i r="4">
      <x v="1069"/>
      <x v="611"/>
    </i>
    <i r="4">
      <x v="1166"/>
      <x v="611"/>
    </i>
    <i r="4">
      <x v="1305"/>
      <x v="611"/>
    </i>
    <i r="2">
      <x v="9"/>
      <x v="181"/>
      <x v="312"/>
      <x v="611"/>
    </i>
    <i r="4">
      <x v="344"/>
      <x v="611"/>
    </i>
    <i r="4">
      <x v="435"/>
      <x v="611"/>
    </i>
    <i r="4">
      <x v="521"/>
      <x v="611"/>
    </i>
    <i r="4">
      <x v="844"/>
      <x v="611"/>
    </i>
    <i r="4">
      <x v="870"/>
      <x v="611"/>
    </i>
    <i r="4">
      <x v="953"/>
      <x v="611"/>
    </i>
    <i r="4">
      <x v="974"/>
      <x v="611"/>
    </i>
    <i r="4">
      <x v="1003"/>
      <x v="611"/>
    </i>
    <i r="4">
      <x v="1200"/>
      <x v="611"/>
    </i>
    <i r="2">
      <x v="12"/>
      <x v="2"/>
      <x v="9"/>
      <x v="611"/>
    </i>
    <i r="3">
      <x v="42"/>
      <x v="23"/>
      <x v="611"/>
    </i>
    <i r="2">
      <x v="37"/>
      <x v="181"/>
      <x v="1424"/>
      <x v="611"/>
    </i>
    <i r="2">
      <x v="38"/>
      <x v="181"/>
      <x v="89"/>
      <x v="611"/>
    </i>
    <i r="1">
      <x v="3"/>
      <x v="37"/>
      <x v="181"/>
      <x v="897"/>
      <x v="611"/>
    </i>
    <i r="1">
      <x v="5"/>
      <x v="1"/>
      <x v="181"/>
      <x v="835"/>
      <x v="611"/>
    </i>
    <i r="2">
      <x v="37"/>
      <x v="181"/>
      <x v="897"/>
      <x v="611"/>
    </i>
    <i r="2">
      <x v="38"/>
      <x v="181"/>
      <x v="1827"/>
      <x v="611"/>
    </i>
    <i r="1">
      <x v="6"/>
      <x v="38"/>
      <x v="181"/>
      <x v="1561"/>
      <x v="611"/>
    </i>
    <i r="1">
      <x v="8"/>
      <x v="38"/>
      <x v="181"/>
      <x v="584"/>
      <x v="611"/>
    </i>
    <i r="1">
      <x v="9"/>
      <x v="10"/>
      <x v="181"/>
      <x v="556"/>
      <x v="611"/>
    </i>
    <i r="1">
      <x v="12"/>
      <x v="1"/>
      <x v="181"/>
      <x v="80"/>
      <x v="611"/>
    </i>
    <i r="4">
      <x v="213"/>
      <x v="611"/>
    </i>
    <i r="4">
      <x v="500"/>
      <x v="611"/>
    </i>
    <i r="1">
      <x v="14"/>
      <x v="10"/>
      <x v="181"/>
      <x v="1856"/>
      <x v="611"/>
    </i>
    <i r="2">
      <x v="38"/>
      <x v="181"/>
      <x v="1631"/>
      <x v="611"/>
    </i>
    <i r="1">
      <x v="15"/>
      <x v="1"/>
      <x v="181"/>
      <x v="665"/>
      <x v="611"/>
    </i>
    <i r="2">
      <x v="8"/>
      <x v="181"/>
      <x v="965"/>
      <x v="611"/>
    </i>
    <i r="2">
      <x v="38"/>
      <x v="181"/>
      <x v="1415"/>
      <x v="611"/>
    </i>
    <i r="1">
      <x v="19"/>
      <x v="38"/>
      <x v="181"/>
      <x v="1608"/>
      <x v="611"/>
    </i>
    <i r="1">
      <x v="21"/>
      <x v="38"/>
      <x v="181"/>
      <x v="1274"/>
      <x v="611"/>
    </i>
    <i r="1">
      <x v="23"/>
      <x v="38"/>
      <x v="181"/>
      <x v="1857"/>
      <x v="611"/>
    </i>
    <i r="1">
      <x v="29"/>
      <x v="38"/>
      <x v="181"/>
      <x v="1321"/>
      <x v="611"/>
    </i>
    <i r="1">
      <x v="33"/>
      <x v="8"/>
      <x v="181"/>
      <x v="738"/>
      <x v="611"/>
    </i>
    <i r="1">
      <x v="35"/>
      <x v="1"/>
      <x v="181"/>
      <x v="80"/>
      <x v="611"/>
    </i>
    <i>
      <x v="96"/>
      <x/>
      <x v="1"/>
      <x v="182"/>
      <x v="80"/>
      <x v="611"/>
    </i>
    <i r="2">
      <x v="12"/>
      <x v="62"/>
      <x v="13"/>
      <x v="611"/>
    </i>
    <i r="1">
      <x v="3"/>
      <x v="1"/>
      <x v="182"/>
      <x v="109"/>
      <x v="611"/>
    </i>
    <i r="2">
      <x v="6"/>
      <x v="182"/>
      <x v="387"/>
      <x v="611"/>
    </i>
    <i r="2">
      <x v="38"/>
      <x v="182"/>
      <x v="33"/>
      <x v="611"/>
    </i>
    <i r="1">
      <x v="12"/>
      <x v="1"/>
      <x v="182"/>
      <x v="80"/>
      <x v="611"/>
    </i>
    <i r="4">
      <x v="213"/>
      <x v="611"/>
    </i>
    <i r="4">
      <x v="500"/>
      <x v="611"/>
    </i>
    <i r="4">
      <x v="607"/>
      <x v="611"/>
    </i>
    <i r="4">
      <x v="702"/>
      <x v="611"/>
    </i>
    <i r="4">
      <x v="964"/>
      <x v="611"/>
    </i>
    <i r="4">
      <x v="1069"/>
      <x v="611"/>
    </i>
    <i r="1">
      <x v="23"/>
      <x v="38"/>
      <x v="182"/>
      <x v="182"/>
      <x v="611"/>
    </i>
    <i r="1">
      <x v="35"/>
      <x v="1"/>
      <x v="182"/>
      <x v="213"/>
      <x v="611"/>
    </i>
    <i>
      <x v="97"/>
      <x/>
      <x v="1"/>
      <x v="183"/>
      <x v="213"/>
      <x v="611"/>
    </i>
    <i r="2">
      <x v="9"/>
      <x v="183"/>
      <x v="105"/>
      <x v="611"/>
    </i>
    <i r="4">
      <x v="364"/>
      <x v="611"/>
    </i>
    <i r="4">
      <x v="483"/>
      <x v="611"/>
    </i>
    <i r="4">
      <x v="707"/>
      <x v="611"/>
    </i>
    <i r="4">
      <x v="767"/>
      <x v="611"/>
    </i>
    <i r="4">
      <x v="876"/>
      <x v="611"/>
    </i>
    <i r="4">
      <x v="1041"/>
      <x v="611"/>
    </i>
    <i r="2">
      <x v="12"/>
      <x v="26"/>
      <x v="18"/>
      <x v="611"/>
    </i>
    <i r="3">
      <x v="47"/>
      <x v="314"/>
      <x v="611"/>
    </i>
    <i r="3">
      <x v="49"/>
      <x v="20"/>
      <x v="611"/>
    </i>
    <i r="1">
      <x v="3"/>
      <x v="38"/>
      <x v="183"/>
      <x v="36"/>
      <x v="611"/>
    </i>
    <i r="1">
      <x v="6"/>
      <x v="38"/>
      <x v="183"/>
      <x v="944"/>
      <x v="611"/>
    </i>
    <i r="1">
      <x v="8"/>
      <x v="38"/>
      <x v="183"/>
      <x v="1387"/>
      <x v="611"/>
    </i>
    <i r="1">
      <x v="12"/>
      <x v="1"/>
      <x v="183"/>
      <x v="80"/>
      <x v="611"/>
    </i>
    <i r="4">
      <x v="213"/>
      <x v="611"/>
    </i>
    <i r="4">
      <x v="352"/>
      <x v="611"/>
    </i>
    <i r="4">
      <x v="500"/>
      <x v="611"/>
    </i>
    <i r="4">
      <x v="607"/>
      <x v="611"/>
    </i>
    <i r="4">
      <x v="771"/>
      <x v="611"/>
    </i>
    <i r="4">
      <x v="846"/>
      <x v="611"/>
    </i>
    <i r="4">
      <x v="1028"/>
      <x v="611"/>
    </i>
    <i r="2">
      <x v="38"/>
      <x v="183"/>
      <x v="1562"/>
      <x v="611"/>
    </i>
    <i r="1">
      <x v="14"/>
      <x v="1"/>
      <x v="183"/>
      <x v="715"/>
      <x v="611"/>
    </i>
    <i r="1">
      <x v="15"/>
      <x v="8"/>
      <x v="183"/>
      <x v="295"/>
      <x v="611"/>
    </i>
    <i r="1">
      <x v="27"/>
      <x v="6"/>
      <x v="183"/>
      <x v="1481"/>
      <x v="611"/>
    </i>
    <i r="1">
      <x v="34"/>
      <x v="38"/>
      <x v="183"/>
      <x v="739"/>
      <x v="611"/>
    </i>
    <i>
      <x v="98"/>
      <x/>
      <x v="8"/>
      <x v="185"/>
      <x v="549"/>
      <x v="611"/>
    </i>
    <i r="2">
      <x v="9"/>
      <x v="185"/>
      <x v="382"/>
      <x v="611"/>
    </i>
    <i r="4">
      <x v="560"/>
      <x v="611"/>
    </i>
    <i r="4">
      <x v="634"/>
      <x v="611"/>
    </i>
    <i r="4">
      <x v="757"/>
      <x v="611"/>
    </i>
    <i r="4">
      <x v="848"/>
      <x v="611"/>
    </i>
    <i r="4">
      <x v="1309"/>
      <x v="611"/>
    </i>
    <i r="2">
      <x v="11"/>
      <x v="51"/>
      <x v="109"/>
      <x v="611"/>
    </i>
    <i r="2">
      <x v="12"/>
      <x v="47"/>
      <x v="314"/>
      <x v="611"/>
    </i>
    <i r="1">
      <x v="2"/>
      <x v="8"/>
      <x v="185"/>
      <x v="1252"/>
      <x v="611"/>
    </i>
    <i r="1">
      <x v="8"/>
      <x v="38"/>
      <x v="185"/>
      <x v="1548"/>
      <x v="611"/>
    </i>
    <i r="1">
      <x v="11"/>
      <x v="8"/>
      <x v="185"/>
      <x v="42"/>
      <x v="611"/>
    </i>
    <i r="1">
      <x v="12"/>
      <x v="1"/>
      <x v="185"/>
      <x v="80"/>
      <x v="611"/>
    </i>
    <i r="4">
      <x v="213"/>
      <x v="611"/>
    </i>
    <i r="4">
      <x v="352"/>
      <x v="611"/>
    </i>
    <i r="4">
      <x v="771"/>
      <x v="611"/>
    </i>
    <i r="4">
      <x v="964"/>
      <x v="611"/>
    </i>
    <i r="2">
      <x v="31"/>
      <x v="184"/>
      <x v="1153"/>
      <x v="611"/>
    </i>
    <i r="2">
      <x v="38"/>
      <x v="185"/>
      <x v="1265"/>
      <x v="611"/>
    </i>
    <i r="1">
      <x v="14"/>
      <x v="38"/>
      <x v="185"/>
      <x v="397"/>
      <x v="611"/>
    </i>
    <i r="1">
      <x v="19"/>
      <x v="7"/>
      <x v="185"/>
      <x v="1005"/>
      <x v="611"/>
    </i>
    <i r="2">
      <x v="38"/>
      <x v="185"/>
      <x v="330"/>
      <x v="611"/>
    </i>
    <i r="1">
      <x v="24"/>
      <x v="1"/>
      <x v="185"/>
      <x v="297"/>
      <x v="611"/>
    </i>
    <i r="1">
      <x v="33"/>
      <x v="6"/>
      <x v="185"/>
      <x v="469"/>
      <x v="611"/>
    </i>
    <i r="1">
      <x v="35"/>
      <x v="1"/>
      <x v="185"/>
      <x v="80"/>
      <x v="611"/>
    </i>
    <i r="1">
      <x v="36"/>
      <x v="1"/>
      <x v="185"/>
      <x v="1302"/>
      <x v="611"/>
    </i>
    <i>
      <x v="99"/>
      <x/>
      <x v="12"/>
      <x v="24"/>
      <x v="24"/>
      <x v="611"/>
    </i>
    <i r="3">
      <x v="31"/>
      <x v="218"/>
      <x v="611"/>
    </i>
    <i r="3">
      <x v="71"/>
      <x v="37"/>
      <x v="611"/>
    </i>
    <i r="2">
      <x v="38"/>
      <x v="186"/>
      <x v="138"/>
      <x v="611"/>
    </i>
    <i r="1">
      <x v="2"/>
      <x v="1"/>
      <x v="186"/>
      <x v="151"/>
      <x v="611"/>
    </i>
    <i r="2">
      <x v="8"/>
      <x v="186"/>
      <x/>
      <x v="393"/>
    </i>
    <i r="1">
      <x v="3"/>
      <x v="38"/>
      <x v="186"/>
      <x v="352"/>
      <x v="611"/>
    </i>
    <i r="1">
      <x v="6"/>
      <x v="38"/>
      <x v="186"/>
      <x v="579"/>
      <x v="611"/>
    </i>
    <i r="1">
      <x v="12"/>
      <x v="1"/>
      <x v="186"/>
      <x v="80"/>
      <x v="611"/>
    </i>
    <i r="4">
      <x v="213"/>
      <x v="611"/>
    </i>
    <i r="4">
      <x v="352"/>
      <x v="611"/>
    </i>
    <i r="1">
      <x v="24"/>
      <x v="6"/>
      <x v="186"/>
      <x v="1013"/>
      <x v="611"/>
    </i>
    <i>
      <x v="100"/>
      <x/>
      <x v="1"/>
      <x v="187"/>
      <x v="352"/>
      <x v="611"/>
    </i>
    <i r="2">
      <x v="9"/>
      <x v="187"/>
      <x v="287"/>
      <x v="611"/>
    </i>
    <i r="4">
      <x v="514"/>
      <x v="611"/>
    </i>
    <i r="4">
      <x v="515"/>
      <x v="611"/>
    </i>
    <i r="4">
      <x v="600"/>
      <x v="611"/>
    </i>
    <i r="4">
      <x v="648"/>
      <x v="611"/>
    </i>
    <i r="2">
      <x v="12"/>
      <x v="20"/>
      <x v="46"/>
      <x v="611"/>
    </i>
    <i r="3">
      <x v="38"/>
      <x v="6"/>
      <x v="611"/>
    </i>
    <i r="2">
      <x v="38"/>
      <x v="187"/>
      <x v="45"/>
      <x v="611"/>
    </i>
    <i r="4">
      <x v="809"/>
      <x v="611"/>
    </i>
    <i r="1">
      <x v="2"/>
      <x v="33"/>
      <x v="187"/>
      <x v="1038"/>
      <x v="611"/>
    </i>
    <i r="1">
      <x v="12"/>
      <x v="1"/>
      <x v="187"/>
      <x v="80"/>
      <x v="611"/>
    </i>
    <i r="4">
      <x v="213"/>
      <x v="611"/>
    </i>
    <i r="4">
      <x v="771"/>
      <x v="611"/>
    </i>
    <i r="1">
      <x v="15"/>
      <x v="8"/>
      <x v="187"/>
      <x v="458"/>
      <x v="611"/>
    </i>
    <i r="1">
      <x v="21"/>
      <x v="38"/>
      <x v="187"/>
      <x v="80"/>
      <x v="611"/>
    </i>
    <i r="1">
      <x v="24"/>
      <x v="10"/>
      <x v="187"/>
      <x v="445"/>
      <x v="611"/>
    </i>
    <i r="1">
      <x v="35"/>
      <x v="1"/>
      <x v="187"/>
      <x v="80"/>
      <x v="611"/>
    </i>
    <i r="1">
      <x v="36"/>
      <x v="1"/>
      <x v="187"/>
      <x v="190"/>
      <x v="611"/>
    </i>
    <i>
      <x v="101"/>
      <x/>
      <x v="1"/>
      <x v="189"/>
      <x v="500"/>
      <x v="611"/>
    </i>
    <i r="2">
      <x v="6"/>
      <x v="189"/>
      <x v="372"/>
      <x v="611"/>
    </i>
    <i r="4">
      <x v="469"/>
      <x v="611"/>
    </i>
    <i r="2">
      <x v="8"/>
      <x v="189"/>
      <x v="95"/>
      <x v="611"/>
    </i>
    <i r="2">
      <x v="9"/>
      <x v="189"/>
      <x v="179"/>
      <x v="611"/>
    </i>
    <i r="4">
      <x v="260"/>
      <x v="611"/>
    </i>
    <i r="4">
      <x v="300"/>
      <x v="611"/>
    </i>
    <i r="4">
      <x v="670"/>
      <x v="611"/>
    </i>
    <i r="4">
      <x v="907"/>
      <x v="611"/>
    </i>
    <i r="4">
      <x v="1060"/>
      <x v="611"/>
    </i>
    <i r="2">
      <x v="12"/>
      <x v="16"/>
      <x v="138"/>
      <x v="611"/>
    </i>
    <i r="3">
      <x v="17"/>
      <x v="96"/>
      <x v="611"/>
    </i>
    <i r="3">
      <x v="34"/>
      <x v="199"/>
      <x v="611"/>
    </i>
    <i r="2">
      <x v="19"/>
      <x v="188"/>
      <x v="580"/>
      <x v="611"/>
    </i>
    <i r="4">
      <x v="753"/>
      <x v="611"/>
    </i>
    <i r="4">
      <x v="877"/>
      <x v="611"/>
    </i>
    <i r="4">
      <x v="931"/>
      <x v="611"/>
    </i>
    <i r="4">
      <x v="998"/>
      <x v="611"/>
    </i>
    <i r="4">
      <x v="1008"/>
      <x v="611"/>
    </i>
    <i r="4">
      <x v="1021"/>
      <x v="611"/>
    </i>
    <i r="4">
      <x v="1588"/>
      <x v="611"/>
    </i>
    <i r="2">
      <x v="38"/>
      <x v="189"/>
      <x v="138"/>
      <x v="611"/>
    </i>
    <i r="1">
      <x v="2"/>
      <x v="19"/>
      <x v="188"/>
      <x v="1803"/>
      <x v="611"/>
    </i>
    <i r="1">
      <x v="3"/>
      <x v="19"/>
      <x v="188"/>
      <x v="251"/>
      <x v="611"/>
    </i>
    <i r="2">
      <x v="38"/>
      <x v="189"/>
      <x v="182"/>
      <x v="611"/>
    </i>
    <i r="1">
      <x v="10"/>
      <x v="19"/>
      <x v="188"/>
      <x v="1535"/>
      <x v="611"/>
    </i>
    <i r="1">
      <x v="11"/>
      <x v="8"/>
      <x v="189"/>
      <x v="1045"/>
      <x v="611"/>
    </i>
    <i r="1">
      <x v="12"/>
      <x v="1"/>
      <x v="189"/>
      <x v="213"/>
      <x v="611"/>
    </i>
    <i r="2">
      <x v="19"/>
      <x v="188"/>
      <x v="99"/>
      <x v="611"/>
    </i>
    <i r="4">
      <x v="110"/>
      <x v="611"/>
    </i>
    <i r="4">
      <x v="370"/>
      <x v="611"/>
    </i>
    <i r="4">
      <x v="1032"/>
      <x v="611"/>
    </i>
    <i r="4">
      <x v="1191"/>
      <x v="611"/>
    </i>
    <i r="4">
      <x v="1221"/>
      <x v="611"/>
    </i>
    <i r="4">
      <x v="1349"/>
      <x v="611"/>
    </i>
    <i r="4">
      <x v="1392"/>
      <x v="611"/>
    </i>
    <i r="4">
      <x v="1438"/>
      <x v="611"/>
    </i>
    <i r="4">
      <x v="1452"/>
      <x v="611"/>
    </i>
    <i r="4">
      <x v="1498"/>
      <x v="611"/>
    </i>
    <i r="4">
      <x v="1544"/>
      <x v="611"/>
    </i>
    <i r="4">
      <x v="1549"/>
      <x v="611"/>
    </i>
    <i r="4">
      <x v="1550"/>
      <x v="611"/>
    </i>
    <i r="4">
      <x v="1552"/>
      <x v="611"/>
    </i>
    <i r="4">
      <x v="1556"/>
      <x v="611"/>
    </i>
    <i r="4">
      <x v="1610"/>
      <x v="611"/>
    </i>
    <i r="4">
      <x v="1617"/>
      <x v="611"/>
    </i>
    <i r="4">
      <x v="1695"/>
      <x v="611"/>
    </i>
    <i r="4">
      <x v="1703"/>
      <x v="611"/>
    </i>
    <i r="4">
      <x v="1704"/>
      <x v="611"/>
    </i>
    <i r="4">
      <x v="1727"/>
      <x v="611"/>
    </i>
    <i r="4">
      <x v="1731"/>
      <x v="611"/>
    </i>
    <i r="4">
      <x v="1812"/>
      <x v="611"/>
    </i>
    <i r="1">
      <x v="15"/>
      <x v="19"/>
      <x v="188"/>
      <x v="1862"/>
      <x v="611"/>
    </i>
    <i r="1">
      <x v="17"/>
      <x v="19"/>
      <x v="188"/>
      <x v="323"/>
      <x v="611"/>
    </i>
    <i r="1">
      <x v="21"/>
      <x v="6"/>
      <x v="189"/>
      <x v="864"/>
      <x v="611"/>
    </i>
    <i r="2">
      <x v="19"/>
      <x v="188"/>
      <x v="1833"/>
      <x v="611"/>
    </i>
    <i r="1">
      <x v="23"/>
      <x v="6"/>
      <x v="189"/>
      <x v="979"/>
      <x v="611"/>
    </i>
    <i r="2">
      <x v="19"/>
      <x v="188"/>
      <x v="1860"/>
      <x v="611"/>
    </i>
    <i r="2">
      <x v="38"/>
      <x v="189"/>
      <x v="347"/>
      <x v="611"/>
    </i>
    <i r="1">
      <x v="24"/>
      <x v="19"/>
      <x v="188"/>
      <x v="1680"/>
      <x v="611"/>
    </i>
    <i r="1">
      <x v="26"/>
      <x v="19"/>
      <x v="188"/>
      <x v="588"/>
      <x v="611"/>
    </i>
    <i r="1">
      <x v="35"/>
      <x v="1"/>
      <x v="189"/>
      <x v="80"/>
      <x v="611"/>
    </i>
    <i r="2">
      <x v="19"/>
      <x v="188"/>
      <x v="100"/>
      <x v="611"/>
    </i>
    <i r="4">
      <x v="150"/>
      <x v="611"/>
    </i>
    <i r="4">
      <x v="185"/>
      <x v="611"/>
    </i>
    <i r="4">
      <x v="381"/>
      <x v="611"/>
    </i>
    <i r="4">
      <x v="411"/>
      <x v="611"/>
    </i>
    <i r="4">
      <x v="421"/>
      <x v="611"/>
    </i>
    <i r="4">
      <x v="501"/>
      <x v="611"/>
    </i>
    <i r="4">
      <x v="506"/>
      <x v="611"/>
    </i>
    <i r="4">
      <x v="577"/>
      <x v="611"/>
    </i>
    <i r="4">
      <x v="608"/>
      <x v="611"/>
    </i>
    <i r="4">
      <x v="644"/>
      <x v="611"/>
    </i>
    <i r="4">
      <x v="810"/>
      <x v="611"/>
    </i>
    <i r="4">
      <x v="1127"/>
      <x v="611"/>
    </i>
    <i r="4">
      <x v="1130"/>
      <x v="611"/>
    </i>
    <i r="4">
      <x v="1255"/>
      <x v="611"/>
    </i>
    <i r="4">
      <x v="1517"/>
      <x v="611"/>
    </i>
    <i r="4">
      <x v="1526"/>
      <x v="611"/>
    </i>
    <i r="1">
      <x v="36"/>
      <x v="8"/>
      <x v="189"/>
      <x v="1747"/>
      <x v="611"/>
    </i>
    <i r="2">
      <x v="9"/>
      <x v="189"/>
      <x v="41"/>
      <x v="611"/>
    </i>
    <i r="1">
      <x v="37"/>
      <x v="38"/>
      <x v="189"/>
      <x v="114"/>
      <x v="611"/>
    </i>
    <i>
      <x v="102"/>
      <x/>
      <x v="12"/>
      <x v="26"/>
      <x v="52"/>
      <x v="611"/>
    </i>
    <i>
      <x v="103"/>
      <x/>
      <x v="1"/>
      <x v="190"/>
      <x v="80"/>
      <x v="611"/>
    </i>
    <i r="2">
      <x v="9"/>
      <x v="190"/>
      <x v="368"/>
      <x v="611"/>
    </i>
    <i r="4">
      <x v="539"/>
      <x v="611"/>
    </i>
    <i r="2">
      <x v="12"/>
      <x v="2"/>
      <x v="18"/>
      <x v="611"/>
    </i>
    <i r="3">
      <x v="17"/>
      <x v="29"/>
      <x v="611"/>
    </i>
    <i r="3">
      <x v="32"/>
      <x v="391"/>
      <x v="611"/>
    </i>
    <i r="1">
      <x v="3"/>
      <x v="38"/>
      <x v="190"/>
      <x v="129"/>
      <x v="611"/>
    </i>
    <i r="1">
      <x v="12"/>
      <x v="1"/>
      <x v="190"/>
      <x v="80"/>
      <x v="611"/>
    </i>
    <i r="4">
      <x v="213"/>
      <x v="611"/>
    </i>
    <i r="4">
      <x v="607"/>
      <x v="611"/>
    </i>
    <i r="4">
      <x v="702"/>
      <x v="611"/>
    </i>
    <i r="1">
      <x v="15"/>
      <x v="7"/>
      <x v="190"/>
      <x v="719"/>
      <x v="611"/>
    </i>
    <i r="2">
      <x v="8"/>
      <x v="190"/>
      <x v="851"/>
      <x v="611"/>
    </i>
    <i r="1">
      <x v="35"/>
      <x v="1"/>
      <x v="190"/>
      <x v="80"/>
      <x v="611"/>
    </i>
    <i r="4">
      <x v="352"/>
      <x v="611"/>
    </i>
    <i>
      <x v="104"/>
      <x/>
      <x v="1"/>
      <x v="191"/>
      <x v="80"/>
      <x v="611"/>
    </i>
    <i r="2">
      <x v="9"/>
      <x v="191"/>
      <x/>
      <x v="603"/>
    </i>
    <i r="2">
      <x v="12"/>
      <x v="30"/>
      <x v="18"/>
      <x v="611"/>
    </i>
    <i r="3">
      <x v="32"/>
      <x v="391"/>
      <x v="611"/>
    </i>
    <i r="2">
      <x v="38"/>
      <x v="191"/>
      <x v="138"/>
      <x v="611"/>
    </i>
    <i r="1">
      <x v="3"/>
      <x v="38"/>
      <x v="191"/>
      <x v="245"/>
      <x v="611"/>
    </i>
    <i r="1">
      <x v="26"/>
      <x v="38"/>
      <x v="191"/>
      <x v="371"/>
      <x v="611"/>
    </i>
    <i>
      <x v="105"/>
      <x/>
      <x v="1"/>
      <x v="192"/>
      <x v="1206"/>
      <x v="611"/>
    </i>
    <i r="2">
      <x v="7"/>
      <x v="192"/>
      <x v="719"/>
      <x v="611"/>
    </i>
    <i r="2">
      <x v="8"/>
      <x v="192"/>
      <x v="854"/>
      <x v="611"/>
    </i>
    <i r="2">
      <x v="9"/>
      <x v="192"/>
      <x v="85"/>
      <x v="611"/>
    </i>
    <i r="4">
      <x v="265"/>
      <x v="611"/>
    </i>
    <i r="4">
      <x v="326"/>
      <x v="611"/>
    </i>
    <i r="4">
      <x v="486"/>
      <x v="611"/>
    </i>
    <i r="4">
      <x v="1049"/>
      <x v="611"/>
    </i>
    <i r="4">
      <x v="1178"/>
      <x v="611"/>
    </i>
    <i r="4">
      <x v="1251"/>
      <x v="611"/>
    </i>
    <i r="2">
      <x v="12"/>
      <x v="7"/>
      <x v="18"/>
      <x v="611"/>
    </i>
    <i r="3">
      <x v="62"/>
      <x v="85"/>
      <x v="611"/>
    </i>
    <i r="1">
      <x v="3"/>
      <x v="1"/>
      <x v="192"/>
      <x v="109"/>
      <x v="611"/>
    </i>
    <i r="1">
      <x v="7"/>
      <x v="38"/>
      <x v="192"/>
      <x v="1195"/>
      <x v="611"/>
    </i>
    <i r="1">
      <x v="12"/>
      <x v="1"/>
      <x v="192"/>
      <x v="80"/>
      <x v="611"/>
    </i>
    <i r="4">
      <x v="213"/>
      <x v="611"/>
    </i>
    <i r="4">
      <x v="607"/>
      <x v="611"/>
    </i>
    <i r="4">
      <x v="846"/>
      <x v="611"/>
    </i>
    <i r="2">
      <x v="38"/>
      <x v="192"/>
      <x v="1279"/>
      <x v="611"/>
    </i>
    <i r="1">
      <x v="14"/>
      <x v="1"/>
      <x v="192"/>
      <x v="1241"/>
      <x v="611"/>
    </i>
    <i r="1">
      <x v="15"/>
      <x v="9"/>
      <x v="192"/>
      <x v="327"/>
      <x v="611"/>
    </i>
    <i r="1">
      <x v="30"/>
      <x v="38"/>
      <x v="192"/>
      <x v="1448"/>
      <x v="611"/>
    </i>
    <i r="1">
      <x v="36"/>
      <x v="7"/>
      <x v="192"/>
      <x v="1476"/>
      <x v="611"/>
    </i>
    <i r="2">
      <x v="38"/>
      <x v="192"/>
      <x v="125"/>
      <x v="611"/>
    </i>
    <i>
      <x v="106"/>
      <x/>
      <x v="8"/>
      <x v="193"/>
      <x v="1141"/>
      <x v="611"/>
    </i>
    <i r="2">
      <x v="12"/>
      <x v="21"/>
      <x v="18"/>
      <x v="611"/>
    </i>
    <i r="3">
      <x v="46"/>
      <x v="325"/>
      <x v="611"/>
    </i>
    <i r="3">
      <x v="60"/>
      <x v="39"/>
      <x v="611"/>
    </i>
    <i r="2">
      <x v="38"/>
      <x v="193"/>
      <x v="1137"/>
      <x v="611"/>
    </i>
    <i r="1">
      <x v="2"/>
      <x v="10"/>
      <x v="193"/>
      <x/>
      <x v="190"/>
    </i>
    <i r="1">
      <x v="3"/>
      <x v="10"/>
      <x v="193"/>
      <x/>
      <x v="360"/>
    </i>
    <i r="1">
      <x v="6"/>
      <x v="38"/>
      <x v="193"/>
      <x v="719"/>
      <x v="611"/>
    </i>
    <i r="1">
      <x v="9"/>
      <x v="10"/>
      <x v="193"/>
      <x/>
      <x v="566"/>
    </i>
    <i r="1">
      <x v="11"/>
      <x v="10"/>
      <x v="193"/>
      <x/>
      <x v="608"/>
    </i>
    <i r="1">
      <x v="12"/>
      <x v="1"/>
      <x v="193"/>
      <x v="80"/>
      <x v="611"/>
    </i>
    <i r="4">
      <x v="213"/>
      <x v="611"/>
    </i>
    <i r="4">
      <x v="352"/>
      <x v="611"/>
    </i>
    <i r="4">
      <x v="607"/>
      <x v="611"/>
    </i>
    <i r="4">
      <x v="702"/>
      <x v="611"/>
    </i>
    <i r="2">
      <x v="38"/>
      <x v="193"/>
      <x v="1730"/>
      <x v="611"/>
    </i>
    <i r="1">
      <x v="14"/>
      <x v="1"/>
      <x v="193"/>
      <x v="1301"/>
      <x v="611"/>
    </i>
    <i r="1">
      <x v="19"/>
      <x v="6"/>
      <x v="193"/>
      <x v="607"/>
      <x v="611"/>
    </i>
    <i r="1">
      <x v="23"/>
      <x v="38"/>
      <x v="193"/>
      <x v="296"/>
      <x v="611"/>
    </i>
    <i r="1">
      <x v="35"/>
      <x v="1"/>
      <x v="193"/>
      <x v="80"/>
      <x v="611"/>
    </i>
    <i r="2">
      <x v="38"/>
      <x v="193"/>
      <x v="1343"/>
      <x v="611"/>
    </i>
    <i r="1">
      <x v="36"/>
      <x v="10"/>
      <x v="193"/>
      <x/>
      <x v="268"/>
    </i>
    <i r="1">
      <x v="38"/>
      <x v="10"/>
      <x v="193"/>
      <x/>
      <x v="431"/>
    </i>
    <i>
      <x v="107"/>
      <x/>
      <x v="12"/>
      <x v="6"/>
      <x v="90"/>
      <x v="611"/>
    </i>
    <i r="3">
      <x v="46"/>
      <x v="325"/>
      <x v="611"/>
    </i>
    <i r="1">
      <x v="2"/>
      <x v="10"/>
      <x v="195"/>
      <x v="1820"/>
      <x v="611"/>
    </i>
    <i r="2">
      <x v="31"/>
      <x v="194"/>
      <x v="10"/>
      <x v="611"/>
    </i>
    <i r="1">
      <x v="3"/>
      <x v="10"/>
      <x v="195"/>
      <x v="1564"/>
      <x v="611"/>
    </i>
    <i r="2">
      <x v="38"/>
      <x v="195"/>
      <x v="281"/>
      <x v="611"/>
    </i>
    <i r="1">
      <x v="9"/>
      <x v="1"/>
      <x v="195"/>
      <x v="929"/>
      <x v="611"/>
    </i>
    <i r="2">
      <x v="10"/>
      <x v="195"/>
      <x v="676"/>
      <x v="611"/>
    </i>
    <i r="1">
      <x v="11"/>
      <x v="10"/>
      <x v="195"/>
      <x v="5"/>
      <x v="611"/>
    </i>
    <i r="1">
      <x v="15"/>
      <x v="38"/>
      <x v="195"/>
      <x v="352"/>
      <x v="611"/>
    </i>
    <i r="1">
      <x v="17"/>
      <x v="38"/>
      <x v="195"/>
      <x v="695"/>
      <x v="611"/>
    </i>
    <i r="1">
      <x v="19"/>
      <x v="37"/>
      <x v="195"/>
      <x v="405"/>
      <x v="611"/>
    </i>
    <i r="1">
      <x v="21"/>
      <x v="38"/>
      <x v="195"/>
      <x v="1110"/>
      <x v="611"/>
    </i>
    <i r="1">
      <x v="24"/>
      <x v="38"/>
      <x v="195"/>
      <x v="352"/>
      <x v="611"/>
    </i>
    <i r="1">
      <x v="26"/>
      <x v="38"/>
      <x v="195"/>
      <x v="838"/>
      <x v="611"/>
    </i>
    <i r="1">
      <x v="36"/>
      <x v="10"/>
      <x v="195"/>
      <x v="1735"/>
      <x v="611"/>
    </i>
    <i r="1">
      <x v="38"/>
      <x v="10"/>
      <x v="195"/>
      <x v="1350"/>
      <x v="611"/>
    </i>
    <i>
      <x v="108"/>
      <x/>
      <x v="38"/>
      <x v="196"/>
      <x v="138"/>
      <x v="611"/>
    </i>
    <i r="4">
      <x v="607"/>
      <x v="611"/>
    </i>
    <i r="1">
      <x v="12"/>
      <x v="1"/>
      <x v="196"/>
      <x v="80"/>
      <x v="611"/>
    </i>
    <i r="4">
      <x v="213"/>
      <x v="611"/>
    </i>
    <i r="4">
      <x v="352"/>
      <x v="611"/>
    </i>
    <i r="4">
      <x v="500"/>
      <x v="611"/>
    </i>
    <i r="4">
      <x v="607"/>
      <x v="611"/>
    </i>
    <i r="4">
      <x v="771"/>
      <x v="611"/>
    </i>
    <i r="4">
      <x v="846"/>
      <x v="611"/>
    </i>
    <i r="4">
      <x v="964"/>
      <x v="611"/>
    </i>
    <i r="4">
      <x v="1069"/>
      <x v="611"/>
    </i>
    <i r="1">
      <x v="15"/>
      <x v="6"/>
      <x v="196"/>
      <x v="862"/>
      <x v="611"/>
    </i>
    <i r="1">
      <x v="21"/>
      <x v="38"/>
      <x v="196"/>
      <x v="375"/>
      <x v="611"/>
    </i>
    <i r="1">
      <x v="28"/>
      <x v="1"/>
      <x v="196"/>
      <x v="147"/>
      <x v="611"/>
    </i>
    <i r="1">
      <x v="29"/>
      <x v="6"/>
      <x v="196"/>
      <x v="1670"/>
      <x v="611"/>
    </i>
    <i>
      <x v="109"/>
      <x/>
      <x v="38"/>
      <x v="197"/>
      <x v="262"/>
      <x v="611"/>
    </i>
    <i r="1">
      <x v="12"/>
      <x v="1"/>
      <x v="197"/>
      <x v="771"/>
      <x v="611"/>
    </i>
    <i r="1">
      <x v="26"/>
      <x v="10"/>
      <x v="197"/>
      <x/>
      <x v="597"/>
    </i>
    <i>
      <x v="110"/>
      <x/>
      <x v="1"/>
      <x v="198"/>
      <x v="80"/>
      <x v="611"/>
    </i>
    <i r="2">
      <x v="8"/>
      <x v="198"/>
      <x v="624"/>
      <x v="611"/>
    </i>
    <i r="2">
      <x v="9"/>
      <x v="198"/>
      <x v="128"/>
      <x v="611"/>
    </i>
    <i r="4">
      <x v="490"/>
      <x v="611"/>
    </i>
    <i r="4">
      <x v="565"/>
      <x v="611"/>
    </i>
    <i r="4">
      <x v="632"/>
      <x v="611"/>
    </i>
    <i r="4">
      <x v="777"/>
      <x v="611"/>
    </i>
    <i r="4">
      <x v="986"/>
      <x v="611"/>
    </i>
    <i r="4">
      <x v="1014"/>
      <x v="611"/>
    </i>
    <i r="2">
      <x v="10"/>
      <x v="198"/>
      <x v="433"/>
      <x v="611"/>
    </i>
    <i r="2">
      <x v="12"/>
      <x v="2"/>
      <x v="7"/>
      <x v="611"/>
    </i>
    <i r="3">
      <x v="38"/>
      <x v="114"/>
      <x v="611"/>
    </i>
    <i r="3">
      <x v="47"/>
      <x v="314"/>
      <x v="611"/>
    </i>
    <i r="2">
      <x v="38"/>
      <x v="198"/>
      <x v="481"/>
      <x v="611"/>
    </i>
    <i r="1">
      <x v="3"/>
      <x v="38"/>
      <x v="198"/>
      <x v="475"/>
      <x v="611"/>
    </i>
    <i r="1">
      <x v="5"/>
      <x v="8"/>
      <x v="198"/>
      <x v="305"/>
      <x v="611"/>
    </i>
    <i r="2">
      <x v="10"/>
      <x v="198"/>
      <x v="1370"/>
      <x v="611"/>
    </i>
    <i r="1">
      <x v="7"/>
      <x v="9"/>
      <x v="198"/>
      <x v="334"/>
      <x v="611"/>
    </i>
    <i r="1">
      <x v="8"/>
      <x v="10"/>
      <x v="198"/>
      <x v="539"/>
      <x v="611"/>
    </i>
    <i r="1">
      <x v="12"/>
      <x v="1"/>
      <x v="198"/>
      <x v="80"/>
      <x v="611"/>
    </i>
    <i r="4">
      <x v="213"/>
      <x v="611"/>
    </i>
    <i r="4">
      <x v="352"/>
      <x v="611"/>
    </i>
    <i r="4">
      <x v="771"/>
      <x v="611"/>
    </i>
    <i r="4">
      <x v="911"/>
      <x v="611"/>
    </i>
    <i r="1">
      <x v="15"/>
      <x v="6"/>
      <x v="198"/>
      <x v="512"/>
      <x v="611"/>
    </i>
    <i r="2">
      <x v="8"/>
      <x v="198"/>
      <x/>
      <x v="531"/>
    </i>
    <i r="2">
      <x v="9"/>
      <x v="198"/>
      <x v="503"/>
      <x v="611"/>
    </i>
    <i r="1">
      <x v="23"/>
      <x v="38"/>
      <x v="198"/>
      <x v="765"/>
      <x v="611"/>
    </i>
    <i r="1">
      <x v="35"/>
      <x v="1"/>
      <x v="198"/>
      <x v="80"/>
      <x v="611"/>
    </i>
    <i r="1">
      <x v="37"/>
      <x v="8"/>
      <x v="198"/>
      <x v="852"/>
      <x v="611"/>
    </i>
    <i>
      <x v="111"/>
      <x/>
      <x v="12"/>
      <x v="17"/>
      <x v="219"/>
      <x v="611"/>
    </i>
    <i r="3">
      <x v="24"/>
      <x v="306"/>
      <x v="611"/>
    </i>
    <i r="3">
      <x v="31"/>
      <x v="219"/>
      <x v="611"/>
    </i>
    <i r="3">
      <x v="36"/>
      <x v="535"/>
      <x v="611"/>
    </i>
    <i r="3">
      <x v="53"/>
      <x v="223"/>
      <x v="611"/>
    </i>
    <i r="3">
      <x v="55"/>
      <x v="92"/>
      <x v="611"/>
    </i>
    <i r="2">
      <x v="38"/>
      <x v="199"/>
      <x v="469"/>
      <x v="611"/>
    </i>
    <i r="4">
      <x v="592"/>
      <x v="611"/>
    </i>
    <i r="1">
      <x v="3"/>
      <x v="1"/>
      <x v="199"/>
      <x v="806"/>
      <x v="611"/>
    </i>
    <i r="2">
      <x v="6"/>
      <x v="199"/>
      <x v="517"/>
      <x v="611"/>
    </i>
    <i r="2">
      <x v="38"/>
      <x v="199"/>
      <x v="109"/>
      <x v="611"/>
    </i>
    <i r="1">
      <x v="12"/>
      <x v="1"/>
      <x v="199"/>
      <x v="80"/>
      <x v="611"/>
    </i>
    <i r="4">
      <x v="213"/>
      <x v="611"/>
    </i>
    <i r="1">
      <x v="20"/>
      <x v="6"/>
      <x v="199"/>
      <x v="1705"/>
      <x v="611"/>
    </i>
    <i r="1">
      <x v="21"/>
      <x v="33"/>
      <x v="199"/>
      <x v="719"/>
      <x v="611"/>
    </i>
    <i r="1">
      <x v="23"/>
      <x v="38"/>
      <x v="199"/>
      <x v="79"/>
      <x v="611"/>
    </i>
    <i r="1">
      <x v="35"/>
      <x v="1"/>
      <x v="199"/>
      <x v="80"/>
      <x v="611"/>
    </i>
    <i r="4">
      <x v="352"/>
      <x v="611"/>
    </i>
    <i>
      <x v="112"/>
      <x/>
      <x v="8"/>
      <x v="200"/>
      <x/>
      <x v="599"/>
    </i>
    <i r="2">
      <x v="12"/>
      <x v="40"/>
      <x v="219"/>
      <x v="611"/>
    </i>
    <i r="1">
      <x v="8"/>
      <x v="38"/>
      <x v="200"/>
      <x v="769"/>
      <x v="611"/>
    </i>
    <i r="1">
      <x v="12"/>
      <x v="1"/>
      <x v="200"/>
      <x v="80"/>
      <x v="611"/>
    </i>
    <i r="4">
      <x v="213"/>
      <x v="611"/>
    </i>
    <i r="4">
      <x v="607"/>
      <x v="611"/>
    </i>
    <i r="1">
      <x v="27"/>
      <x v="10"/>
      <x v="200"/>
      <x v="180"/>
      <x v="611"/>
    </i>
    <i r="1">
      <x v="29"/>
      <x v="10"/>
      <x v="200"/>
      <x/>
      <x v="586"/>
    </i>
    <i r="1">
      <x v="35"/>
      <x v="1"/>
      <x v="200"/>
      <x v="771"/>
      <x v="611"/>
    </i>
    <i>
      <x v="113"/>
      <x/>
      <x v="8"/>
      <x v="201"/>
      <x v="349"/>
      <x v="611"/>
    </i>
    <i r="4">
      <x v="351"/>
      <x v="611"/>
    </i>
    <i r="4">
      <x v="385"/>
      <x v="611"/>
    </i>
    <i r="4">
      <x v="923"/>
      <x v="611"/>
    </i>
    <i r="4">
      <x v="1267"/>
      <x v="611"/>
    </i>
    <i r="2">
      <x v="9"/>
      <x v="201"/>
      <x v="388"/>
      <x v="611"/>
    </i>
    <i r="4">
      <x v="652"/>
      <x v="611"/>
    </i>
    <i r="4">
      <x v="1078"/>
      <x v="611"/>
    </i>
    <i r="4">
      <x v="1090"/>
      <x v="611"/>
    </i>
    <i r="1">
      <x v="5"/>
      <x v="38"/>
      <x v="201"/>
      <x v="1654"/>
      <x v="611"/>
    </i>
    <i r="1">
      <x v="6"/>
      <x v="37"/>
      <x v="201"/>
      <x v="654"/>
      <x v="611"/>
    </i>
    <i r="1">
      <x v="9"/>
      <x v="8"/>
      <x v="201"/>
      <x v="490"/>
      <x v="611"/>
    </i>
    <i r="1">
      <x v="12"/>
      <x v="1"/>
      <x v="201"/>
      <x v="80"/>
      <x v="611"/>
    </i>
    <i r="1">
      <x v="14"/>
      <x v="38"/>
      <x v="201"/>
      <x v="109"/>
      <x v="611"/>
    </i>
    <i r="1">
      <x v="15"/>
      <x v="8"/>
      <x v="201"/>
      <x v="238"/>
      <x v="611"/>
    </i>
    <i r="2">
      <x v="38"/>
      <x v="201"/>
      <x v="1317"/>
      <x v="611"/>
    </i>
    <i r="1">
      <x v="21"/>
      <x v="38"/>
      <x v="201"/>
      <x v="728"/>
      <x v="611"/>
    </i>
    <i r="1">
      <x v="23"/>
      <x v="7"/>
      <x v="201"/>
      <x v="371"/>
      <x v="611"/>
    </i>
    <i r="1">
      <x v="24"/>
      <x v="38"/>
      <x v="201"/>
      <x v="1759"/>
      <x v="611"/>
    </i>
    <i r="1">
      <x v="26"/>
      <x v="38"/>
      <x v="201"/>
      <x v="109"/>
      <x v="611"/>
    </i>
    <i r="1">
      <x v="27"/>
      <x v="38"/>
      <x v="201"/>
      <x v="39"/>
      <x v="611"/>
    </i>
    <i r="1">
      <x v="29"/>
      <x v="38"/>
      <x v="201"/>
      <x v="1583"/>
      <x v="611"/>
    </i>
    <i r="1">
      <x v="35"/>
      <x v="1"/>
      <x v="201"/>
      <x v="80"/>
      <x v="611"/>
    </i>
    <i>
      <x v="114"/>
      <x/>
      <x v="12"/>
      <x v="62"/>
      <x v="77"/>
      <x v="611"/>
    </i>
    <i r="2">
      <x v="26"/>
      <x v="202"/>
      <x v="601"/>
      <x v="611"/>
    </i>
    <i r="4">
      <x v="725"/>
      <x v="611"/>
    </i>
    <i r="4">
      <x v="796"/>
      <x v="611"/>
    </i>
    <i r="4">
      <x v="1046"/>
      <x v="611"/>
    </i>
    <i r="4">
      <x v="1102"/>
      <x v="611"/>
    </i>
    <i r="4">
      <x v="1531"/>
      <x v="611"/>
    </i>
    <i r="2">
      <x v="38"/>
      <x v="203"/>
      <x v="138"/>
      <x v="611"/>
    </i>
    <i r="1">
      <x v="2"/>
      <x v="26"/>
      <x v="202"/>
      <x v="1724"/>
      <x v="611"/>
    </i>
    <i r="1">
      <x v="3"/>
      <x v="26"/>
      <x v="202"/>
      <x v="178"/>
      <x v="611"/>
    </i>
    <i r="2">
      <x v="38"/>
      <x v="203"/>
      <x v="202"/>
      <x v="611"/>
    </i>
    <i r="1">
      <x v="10"/>
      <x v="1"/>
      <x v="203"/>
      <x v="1487"/>
      <x v="611"/>
    </i>
    <i r="1">
      <x v="12"/>
      <x v="1"/>
      <x v="203"/>
      <x v="80"/>
      <x v="611"/>
    </i>
    <i r="4">
      <x v="352"/>
      <x v="611"/>
    </i>
    <i r="4">
      <x v="607"/>
      <x v="611"/>
    </i>
    <i r="2">
      <x v="8"/>
      <x v="203"/>
      <x/>
      <x v="580"/>
    </i>
    <i r="2">
      <x v="26"/>
      <x v="202"/>
      <x v="269"/>
      <x v="611"/>
    </i>
    <i r="4">
      <x v="378"/>
      <x v="611"/>
    </i>
    <i r="4">
      <x v="442"/>
      <x v="611"/>
    </i>
    <i r="4">
      <x v="492"/>
      <x v="611"/>
    </i>
    <i r="4">
      <x v="799"/>
      <x v="611"/>
    </i>
    <i r="4">
      <x v="815"/>
      <x v="611"/>
    </i>
    <i r="4">
      <x v="1179"/>
      <x v="611"/>
    </i>
    <i r="4">
      <x v="1300"/>
      <x v="611"/>
    </i>
    <i r="4">
      <x v="1384"/>
      <x v="611"/>
    </i>
    <i r="4">
      <x v="1389"/>
      <x v="611"/>
    </i>
    <i r="4">
      <x v="1406"/>
      <x v="611"/>
    </i>
    <i r="4">
      <x v="1435"/>
      <x v="611"/>
    </i>
    <i r="4">
      <x v="1436"/>
      <x v="611"/>
    </i>
    <i r="4">
      <x v="1474"/>
      <x v="611"/>
    </i>
    <i r="4">
      <x v="1502"/>
      <x v="611"/>
    </i>
    <i r="4">
      <x v="1551"/>
      <x v="611"/>
    </i>
    <i r="4">
      <x v="1629"/>
      <x v="611"/>
    </i>
    <i r="4">
      <x v="1642"/>
      <x v="611"/>
    </i>
    <i r="4">
      <x v="1664"/>
      <x v="611"/>
    </i>
    <i r="4">
      <x v="1686"/>
      <x v="611"/>
    </i>
    <i r="4">
      <x v="1718"/>
      <x v="611"/>
    </i>
    <i r="4">
      <x v="1739"/>
      <x v="611"/>
    </i>
    <i r="4">
      <x v="1761"/>
      <x v="611"/>
    </i>
    <i r="4">
      <x v="1782"/>
      <x v="611"/>
    </i>
    <i r="4">
      <x v="1787"/>
      <x v="611"/>
    </i>
    <i r="4">
      <x v="1797"/>
      <x v="611"/>
    </i>
    <i r="4">
      <x v="1828"/>
      <x v="611"/>
    </i>
    <i r="2">
      <x v="38"/>
      <x v="203"/>
      <x v="352"/>
      <x v="611"/>
    </i>
    <i r="1">
      <x v="23"/>
      <x v="26"/>
      <x v="202"/>
      <x v="1878"/>
      <x v="611"/>
    </i>
    <i r="1">
      <x v="24"/>
      <x v="26"/>
      <x v="202"/>
      <x v="1520"/>
      <x v="611"/>
    </i>
    <i r="1">
      <x v="26"/>
      <x v="38"/>
      <x v="203"/>
      <x v="109"/>
      <x v="611"/>
    </i>
    <i r="1">
      <x v="29"/>
      <x v="37"/>
      <x v="203"/>
      <x v="721"/>
      <x v="611"/>
    </i>
    <i r="1">
      <x v="30"/>
      <x v="6"/>
      <x v="203"/>
      <x v="1844"/>
      <x v="611"/>
    </i>
    <i r="1">
      <x v="35"/>
      <x v="1"/>
      <x v="203"/>
      <x v="80"/>
      <x v="611"/>
    </i>
    <i r="2">
      <x v="26"/>
      <x v="202"/>
      <x v="115"/>
      <x v="611"/>
    </i>
    <i r="4">
      <x v="130"/>
      <x v="611"/>
    </i>
    <i r="4">
      <x v="266"/>
      <x v="611"/>
    </i>
    <i r="4">
      <x v="487"/>
      <x v="611"/>
    </i>
    <i r="4">
      <x v="504"/>
      <x v="611"/>
    </i>
    <i r="4">
      <x v="574"/>
      <x v="611"/>
    </i>
    <i r="4">
      <x v="581"/>
      <x v="611"/>
    </i>
    <i r="4">
      <x v="734"/>
      <x v="611"/>
    </i>
    <i r="4">
      <x v="928"/>
      <x v="611"/>
    </i>
    <i r="4">
      <x v="946"/>
      <x v="611"/>
    </i>
    <i r="4">
      <x v="1000"/>
      <x v="611"/>
    </i>
    <i r="4">
      <x v="1190"/>
      <x v="611"/>
    </i>
    <i r="4">
      <x v="1275"/>
      <x v="611"/>
    </i>
    <i r="4">
      <x v="1372"/>
      <x v="611"/>
    </i>
    <i r="4">
      <x v="1467"/>
      <x v="611"/>
    </i>
    <i r="1">
      <x v="37"/>
      <x v="26"/>
      <x v="202"/>
      <x v="1658"/>
      <x v="611"/>
    </i>
    <i>
      <x v="115"/>
      <x/>
      <x v="6"/>
      <x v="204"/>
      <x v="1356"/>
      <x v="611"/>
    </i>
    <i r="2">
      <x v="7"/>
      <x v="204"/>
      <x v="247"/>
      <x v="611"/>
    </i>
    <i r="4">
      <x v="469"/>
      <x v="611"/>
    </i>
    <i r="2">
      <x v="8"/>
      <x v="204"/>
      <x v="113"/>
      <x v="611"/>
    </i>
    <i r="4">
      <x v="550"/>
      <x v="611"/>
    </i>
    <i r="4">
      <x v="614"/>
      <x v="611"/>
    </i>
    <i r="4">
      <x v="768"/>
      <x v="611"/>
    </i>
    <i r="2">
      <x v="9"/>
      <x v="204"/>
      <x v="118"/>
      <x v="611"/>
    </i>
    <i r="4">
      <x v="439"/>
      <x v="611"/>
    </i>
    <i r="4">
      <x v="704"/>
      <x v="611"/>
    </i>
    <i r="4">
      <x v="1058"/>
      <x v="611"/>
    </i>
    <i r="4">
      <x v="1159"/>
      <x v="611"/>
    </i>
    <i r="4">
      <x v="1303"/>
      <x v="611"/>
    </i>
    <i r="2">
      <x v="12"/>
      <x v="30"/>
      <x v="14"/>
      <x v="611"/>
    </i>
    <i r="3">
      <x v="58"/>
      <x v="11"/>
      <x v="611"/>
    </i>
    <i r="3">
      <x v="60"/>
      <x v="138"/>
      <x v="611"/>
    </i>
    <i r="2">
      <x v="38"/>
      <x v="204"/>
      <x v="481"/>
      <x v="611"/>
    </i>
    <i r="1">
      <x v="7"/>
      <x v="10"/>
      <x v="204"/>
      <x v="875"/>
      <x v="611"/>
    </i>
    <i r="1">
      <x v="11"/>
      <x v="9"/>
      <x v="204"/>
      <x v="1101"/>
      <x v="611"/>
    </i>
    <i r="1">
      <x v="12"/>
      <x v="1"/>
      <x v="204"/>
      <x v="213"/>
      <x v="611"/>
    </i>
    <i r="1">
      <x v="15"/>
      <x v="8"/>
      <x v="204"/>
      <x v="352"/>
      <x v="611"/>
    </i>
    <i r="2">
      <x v="38"/>
      <x v="204"/>
      <x v="797"/>
      <x v="611"/>
    </i>
    <i r="1">
      <x v="26"/>
      <x v="38"/>
      <x v="204"/>
      <x v="352"/>
      <x v="611"/>
    </i>
    <i>
      <x v="116"/>
      <x/>
      <x v="1"/>
      <x v="205"/>
      <x v="80"/>
      <x v="611"/>
    </i>
    <i r="2">
      <x v="8"/>
      <x v="205"/>
      <x v="206"/>
      <x v="611"/>
    </i>
    <i r="2">
      <x v="10"/>
      <x v="205"/>
      <x v="524"/>
      <x v="611"/>
    </i>
    <i r="2">
      <x v="12"/>
      <x v="24"/>
      <x v="32"/>
      <x v="611"/>
    </i>
    <i r="3">
      <x v="50"/>
      <x v="352"/>
      <x v="611"/>
    </i>
    <i r="1">
      <x v="5"/>
      <x v="38"/>
      <x v="205"/>
      <x v="1171"/>
      <x v="611"/>
    </i>
    <i r="1">
      <x v="8"/>
      <x v="38"/>
      <x v="205"/>
      <x v="1407"/>
      <x v="611"/>
    </i>
    <i r="1">
      <x v="12"/>
      <x v="1"/>
      <x v="205"/>
      <x v="80"/>
      <x v="611"/>
    </i>
    <i r="4">
      <x v="213"/>
      <x v="611"/>
    </i>
    <i r="1">
      <x v="14"/>
      <x v="1"/>
      <x v="205"/>
      <x v="764"/>
      <x v="611"/>
    </i>
    <i r="2">
      <x v="38"/>
      <x v="205"/>
      <x v="193"/>
      <x v="611"/>
    </i>
    <i r="1">
      <x v="15"/>
      <x v="38"/>
      <x v="205"/>
      <x v="1206"/>
      <x v="611"/>
    </i>
    <i r="1">
      <x v="19"/>
      <x v="1"/>
      <x v="205"/>
      <x v="1162"/>
      <x v="611"/>
    </i>
    <i r="1">
      <x v="23"/>
      <x v="7"/>
      <x v="205"/>
      <x v="1333"/>
      <x v="611"/>
    </i>
    <i>
      <x v="117"/>
      <x/>
      <x v="1"/>
      <x v="206"/>
      <x v="80"/>
      <x v="611"/>
    </i>
    <i r="2">
      <x v="10"/>
      <x v="206"/>
      <x/>
      <x v="485"/>
    </i>
    <i r="5">
      <x v="536"/>
    </i>
    <i r="2">
      <x v="12"/>
      <x v="24"/>
      <x v="32"/>
      <x v="611"/>
    </i>
    <i r="3">
      <x v="32"/>
      <x v="90"/>
      <x v="611"/>
    </i>
    <i r="2">
      <x v="38"/>
      <x v="206"/>
      <x v="262"/>
      <x v="611"/>
    </i>
    <i r="1">
      <x v="3"/>
      <x v="38"/>
      <x v="206"/>
      <x v="39"/>
      <x v="611"/>
    </i>
    <i r="1">
      <x v="7"/>
      <x v="38"/>
      <x v="206"/>
      <x v="633"/>
      <x v="611"/>
    </i>
    <i r="1">
      <x v="10"/>
      <x v="6"/>
      <x v="206"/>
      <x v="1870"/>
      <x v="611"/>
    </i>
    <i r="1">
      <x v="12"/>
      <x v="1"/>
      <x v="206"/>
      <x v="80"/>
      <x v="611"/>
    </i>
    <i r="4">
      <x v="213"/>
      <x v="611"/>
    </i>
    <i r="1">
      <x v="15"/>
      <x v="36"/>
      <x v="76"/>
      <x/>
      <x v="20"/>
    </i>
    <i r="1">
      <x v="24"/>
      <x v="1"/>
      <x v="206"/>
      <x v="91"/>
      <x v="611"/>
    </i>
    <i r="1">
      <x v="27"/>
      <x v="10"/>
      <x v="206"/>
      <x v="433"/>
      <x v="611"/>
    </i>
    <i r="1">
      <x v="35"/>
      <x v="1"/>
      <x v="206"/>
      <x v="80"/>
      <x v="611"/>
    </i>
    <i>
      <x v="118"/>
      <x/>
      <x v="1"/>
      <x v="207"/>
      <x v="80"/>
      <x v="611"/>
    </i>
    <i r="2">
      <x v="12"/>
      <x v="32"/>
      <x v="90"/>
      <x v="611"/>
    </i>
    <i r="2">
      <x v="38"/>
      <x v="207"/>
      <x v="262"/>
      <x v="611"/>
    </i>
    <i r="1">
      <x v="12"/>
      <x v="1"/>
      <x v="207"/>
      <x v="80"/>
      <x v="611"/>
    </i>
    <i r="4">
      <x v="213"/>
      <x v="611"/>
    </i>
    <i r="4">
      <x v="352"/>
      <x v="611"/>
    </i>
    <i r="4">
      <x v="500"/>
      <x v="611"/>
    </i>
    <i r="1">
      <x v="26"/>
      <x v="37"/>
      <x v="207"/>
      <x v="278"/>
      <x v="611"/>
    </i>
    <i r="1">
      <x v="37"/>
      <x v="38"/>
      <x v="207"/>
      <x v="1064"/>
      <x v="611"/>
    </i>
    <i>
      <x v="119"/>
      <x/>
      <x v="12"/>
      <x v="52"/>
      <x v="57"/>
      <x v="611"/>
    </i>
    <i r="3">
      <x v="65"/>
      <x v="9"/>
      <x v="611"/>
    </i>
    <i r="3">
      <x v="72"/>
      <x v="13"/>
      <x v="611"/>
    </i>
    <i>
      <x v="120"/>
      <x/>
      <x v="1"/>
      <x v="208"/>
      <x v="80"/>
      <x v="611"/>
    </i>
    <i r="2">
      <x v="6"/>
      <x v="208"/>
      <x v="469"/>
      <x v="611"/>
    </i>
    <i r="2">
      <x v="38"/>
      <x v="208"/>
      <x v="1256"/>
      <x v="611"/>
    </i>
    <i r="1">
      <x v="2"/>
      <x v="1"/>
      <x v="208"/>
      <x v="970"/>
      <x v="611"/>
    </i>
    <i r="2">
      <x v="10"/>
      <x v="208"/>
      <x v="1819"/>
      <x v="611"/>
    </i>
    <i r="1">
      <x v="3"/>
      <x v="38"/>
      <x v="208"/>
      <x v="109"/>
      <x v="611"/>
    </i>
    <i r="1">
      <x v="5"/>
      <x v="38"/>
      <x v="208"/>
      <x v="278"/>
      <x v="611"/>
    </i>
    <i r="1">
      <x v="7"/>
      <x v="38"/>
      <x v="208"/>
      <x v="539"/>
      <x v="611"/>
    </i>
    <i r="1">
      <x v="8"/>
      <x v="38"/>
      <x v="208"/>
      <x v="1310"/>
      <x v="611"/>
    </i>
    <i r="1">
      <x v="12"/>
      <x v="1"/>
      <x v="208"/>
      <x v="213"/>
      <x v="611"/>
    </i>
    <i r="4">
      <x v="500"/>
      <x v="611"/>
    </i>
    <i r="4">
      <x v="771"/>
      <x v="611"/>
    </i>
    <i r="4">
      <x v="911"/>
      <x v="611"/>
    </i>
    <i r="4">
      <x v="1028"/>
      <x v="611"/>
    </i>
    <i r="2">
      <x v="38"/>
      <x v="208"/>
      <x v="1414"/>
      <x v="611"/>
    </i>
    <i r="4">
      <x v="1528"/>
      <x v="611"/>
    </i>
    <i r="1">
      <x v="23"/>
      <x v="6"/>
      <x v="208"/>
      <x v="277"/>
      <x v="611"/>
    </i>
    <i r="1">
      <x v="27"/>
      <x v="38"/>
      <x v="208"/>
      <x v="109"/>
      <x v="611"/>
    </i>
    <i r="1">
      <x v="35"/>
      <x v="1"/>
      <x v="208"/>
      <x v="80"/>
      <x v="611"/>
    </i>
    <i r="4">
      <x v="213"/>
      <x v="611"/>
    </i>
    <i r="2">
      <x v="38"/>
      <x v="208"/>
      <x v="1465"/>
      <x v="611"/>
    </i>
    <i>
      <x v="121"/>
      <x/>
      <x v="8"/>
      <x v="209"/>
      <x v="98"/>
      <x v="611"/>
    </i>
    <i r="4">
      <x v="162"/>
      <x v="611"/>
    </i>
    <i r="4">
      <x v="351"/>
      <x v="611"/>
    </i>
    <i r="4">
      <x v="353"/>
      <x v="611"/>
    </i>
    <i r="4">
      <x v="1114"/>
      <x v="611"/>
    </i>
    <i r="2">
      <x v="9"/>
      <x v="209"/>
      <x v="284"/>
      <x v="611"/>
    </i>
    <i r="4">
      <x v="380"/>
      <x v="611"/>
    </i>
    <i r="4">
      <x v="420"/>
      <x v="611"/>
    </i>
    <i r="4">
      <x v="443"/>
      <x v="611"/>
    </i>
    <i r="4">
      <x v="489"/>
      <x v="611"/>
    </i>
    <i r="4">
      <x v="592"/>
      <x v="611"/>
    </i>
    <i r="4">
      <x v="837"/>
      <x v="611"/>
    </i>
    <i r="4">
      <x v="879"/>
      <x v="611"/>
    </i>
    <i r="4">
      <x v="921"/>
      <x v="611"/>
    </i>
    <i r="4">
      <x v="957"/>
      <x v="611"/>
    </i>
    <i r="4">
      <x v="966"/>
      <x v="611"/>
    </i>
    <i r="4">
      <x v="1053"/>
      <x v="611"/>
    </i>
    <i r="4">
      <x v="1322"/>
      <x v="611"/>
    </i>
    <i r="2">
      <x v="12"/>
      <x v="43"/>
      <x v="9"/>
      <x v="611"/>
    </i>
    <i r="1">
      <x v="2"/>
      <x v="8"/>
      <x v="209"/>
      <x v="583"/>
      <x v="611"/>
    </i>
    <i r="1">
      <x v="5"/>
      <x v="38"/>
      <x v="209"/>
      <x v="784"/>
      <x v="611"/>
    </i>
    <i r="1">
      <x v="11"/>
      <x v="8"/>
      <x v="209"/>
      <x v="857"/>
      <x v="611"/>
    </i>
    <i r="1">
      <x v="12"/>
      <x v="1"/>
      <x v="209"/>
      <x v="80"/>
      <x v="611"/>
    </i>
    <i r="4">
      <x v="352"/>
      <x v="611"/>
    </i>
    <i r="4">
      <x v="702"/>
      <x v="611"/>
    </i>
    <i r="1">
      <x v="15"/>
      <x v="8"/>
      <x v="209"/>
      <x v="1059"/>
      <x v="611"/>
    </i>
    <i r="2">
      <x v="9"/>
      <x v="209"/>
      <x v="248"/>
      <x v="611"/>
    </i>
    <i r="2">
      <x v="38"/>
      <x v="209"/>
      <x v="1036"/>
      <x v="611"/>
    </i>
    <i r="1">
      <x v="17"/>
      <x v="6"/>
      <x v="209"/>
      <x v="1788"/>
      <x v="611"/>
    </i>
    <i r="2">
      <x v="9"/>
      <x v="209"/>
      <x v="464"/>
      <x v="611"/>
    </i>
    <i r="1">
      <x v="19"/>
      <x v="10"/>
      <x v="209"/>
      <x/>
      <x v="551"/>
    </i>
    <i r="1">
      <x v="23"/>
      <x v="7"/>
      <x v="209"/>
      <x v="1093"/>
      <x v="611"/>
    </i>
    <i r="2">
      <x v="9"/>
      <x v="209"/>
      <x v="1347"/>
      <x v="611"/>
    </i>
    <i r="1">
      <x v="25"/>
      <x v="9"/>
      <x v="209"/>
      <x v="1073"/>
      <x v="611"/>
    </i>
    <i r="1">
      <x v="35"/>
      <x v="1"/>
      <x v="209"/>
      <x v="80"/>
      <x v="611"/>
    </i>
    <i r="1">
      <x v="36"/>
      <x v="9"/>
      <x v="209"/>
      <x v="804"/>
      <x v="611"/>
    </i>
    <i>
      <x v="122"/>
      <x/>
      <x v="10"/>
      <x v="210"/>
      <x/>
      <x v="556"/>
    </i>
    <i r="2">
      <x v="12"/>
      <x v="30"/>
      <x v="11"/>
      <x v="611"/>
    </i>
    <i r="3">
      <x v="42"/>
      <x v="69"/>
      <x v="611"/>
    </i>
    <i r="1">
      <x v="7"/>
      <x v="6"/>
      <x v="210"/>
      <x v="719"/>
      <x v="611"/>
    </i>
    <i r="1">
      <x v="8"/>
      <x v="38"/>
      <x v="210"/>
      <x v="1144"/>
      <x v="611"/>
    </i>
    <i r="1">
      <x v="12"/>
      <x v="1"/>
      <x v="210"/>
      <x v="80"/>
      <x v="611"/>
    </i>
    <i r="4">
      <x v="213"/>
      <x v="611"/>
    </i>
    <i r="4">
      <x v="702"/>
      <x v="611"/>
    </i>
    <i r="4">
      <x v="911"/>
      <x v="611"/>
    </i>
    <i r="4">
      <x v="1114"/>
      <x v="611"/>
    </i>
    <i r="1">
      <x v="17"/>
      <x v="6"/>
      <x v="210"/>
      <x v="1627"/>
      <x v="611"/>
    </i>
    <i r="1">
      <x v="18"/>
      <x v="38"/>
      <x v="210"/>
      <x v="1337"/>
      <x v="611"/>
    </i>
    <i r="1">
      <x v="19"/>
      <x v="6"/>
      <x v="210"/>
      <x v="1288"/>
      <x v="611"/>
    </i>
    <i r="1">
      <x v="23"/>
      <x v="38"/>
      <x v="210"/>
      <x v="38"/>
      <x v="611"/>
    </i>
    <i r="1">
      <x v="32"/>
      <x v="6"/>
      <x v="210"/>
      <x v="1875"/>
      <x v="611"/>
    </i>
    <i>
      <x v="123"/>
      <x v="5"/>
      <x v="37"/>
      <x v="211"/>
      <x v="1824"/>
      <x v="611"/>
    </i>
    <i r="1">
      <x v="6"/>
      <x v="38"/>
      <x v="211"/>
      <x v="982"/>
      <x v="611"/>
    </i>
    <i r="1">
      <x v="12"/>
      <x v="1"/>
      <x v="211"/>
      <x v="80"/>
      <x v="611"/>
    </i>
    <i r="4">
      <x v="352"/>
      <x v="611"/>
    </i>
    <i r="1">
      <x v="14"/>
      <x v="1"/>
      <x v="211"/>
      <x v="605"/>
      <x v="611"/>
    </i>
    <i r="2">
      <x v="9"/>
      <x v="211"/>
      <x/>
      <x v="78"/>
    </i>
    <i r="1">
      <x v="15"/>
      <x v="10"/>
      <x v="211"/>
      <x v="31"/>
      <x v="611"/>
    </i>
    <i r="1">
      <x v="27"/>
      <x v="6"/>
      <x v="211"/>
      <x v="1532"/>
      <x v="611"/>
    </i>
    <i r="1">
      <x v="29"/>
      <x v="10"/>
      <x v="211"/>
      <x v="1839"/>
      <x v="611"/>
    </i>
    <i r="1">
      <x v="35"/>
      <x v="1"/>
      <x v="211"/>
      <x v="80"/>
      <x v="611"/>
    </i>
    <i r="1">
      <x v="37"/>
      <x v="10"/>
      <x v="211"/>
      <x v="1321"/>
      <x v="611"/>
    </i>
    <i>
      <x v="124"/>
      <x/>
      <x v="12"/>
      <x v="38"/>
      <x v="11"/>
      <x v="611"/>
    </i>
    <i r="3">
      <x v="64"/>
      <x v="53"/>
      <x v="611"/>
    </i>
    <i r="2">
      <x v="38"/>
      <x v="212"/>
      <x v="138"/>
      <x v="611"/>
    </i>
    <i r="1">
      <x v="2"/>
      <x v="6"/>
      <x v="212"/>
      <x v="1339"/>
      <x v="611"/>
    </i>
    <i r="1">
      <x v="6"/>
      <x v="38"/>
      <x v="212"/>
      <x v="561"/>
      <x v="611"/>
    </i>
    <i r="1">
      <x v="12"/>
      <x v="1"/>
      <x v="212"/>
      <x v="80"/>
      <x v="611"/>
    </i>
    <i r="4">
      <x v="213"/>
      <x v="611"/>
    </i>
    <i r="4">
      <x v="500"/>
      <x v="611"/>
    </i>
    <i r="2">
      <x v="3"/>
      <x/>
      <x v="80"/>
      <x v="611"/>
    </i>
    <i r="2">
      <x v="4"/>
      <x/>
      <x v="352"/>
      <x v="611"/>
    </i>
    <i r="4">
      <x v="500"/>
      <x v="611"/>
    </i>
    <i r="4">
      <x v="964"/>
      <x v="611"/>
    </i>
    <i r="1">
      <x v="21"/>
      <x v="38"/>
      <x v="212"/>
      <x v="1274"/>
      <x v="611"/>
    </i>
    <i r="1">
      <x v="23"/>
      <x v="38"/>
      <x v="212"/>
      <x v="1854"/>
      <x v="611"/>
    </i>
    <i r="1">
      <x v="35"/>
      <x v="1"/>
      <x v="212"/>
      <x v="80"/>
      <x v="611"/>
    </i>
    <i r="1">
      <x v="36"/>
      <x v="38"/>
      <x v="212"/>
      <x v="153"/>
      <x v="611"/>
    </i>
    <i>
      <x v="125"/>
      <x/>
      <x v="12"/>
      <x v="26"/>
      <x v="25"/>
      <x v="611"/>
    </i>
    <i r="3">
      <x v="57"/>
      <x v="6"/>
      <x v="611"/>
    </i>
    <i r="1">
      <x v="5"/>
      <x v="10"/>
      <x v="213"/>
      <x v="1332"/>
      <x v="611"/>
    </i>
    <i r="1">
      <x v="12"/>
      <x v="1"/>
      <x v="213"/>
      <x v="80"/>
      <x v="611"/>
    </i>
    <i r="4">
      <x v="213"/>
      <x v="611"/>
    </i>
    <i r="4">
      <x v="500"/>
      <x v="611"/>
    </i>
    <i r="4">
      <x v="702"/>
      <x v="611"/>
    </i>
    <i r="1">
      <x v="14"/>
      <x v="38"/>
      <x v="213"/>
      <x v="1429"/>
      <x v="611"/>
    </i>
    <i r="1">
      <x v="21"/>
      <x v="38"/>
      <x v="213"/>
      <x v="755"/>
      <x v="611"/>
    </i>
    <i r="1">
      <x v="23"/>
      <x v="38"/>
      <x v="213"/>
      <x v="87"/>
      <x v="611"/>
    </i>
    <i r="1">
      <x v="24"/>
      <x v="38"/>
      <x v="213"/>
      <x v="94"/>
      <x v="611"/>
    </i>
    <i r="1">
      <x v="26"/>
      <x v="38"/>
      <x v="213"/>
      <x v="352"/>
      <x v="611"/>
    </i>
    <i r="1">
      <x v="29"/>
      <x v="10"/>
      <x v="213"/>
      <x v="1601"/>
      <x v="611"/>
    </i>
    <i r="1">
      <x v="35"/>
      <x v="1"/>
      <x v="213"/>
      <x v="80"/>
      <x v="611"/>
    </i>
    <i>
      <x v="126"/>
      <x/>
      <x v="12"/>
      <x v="38"/>
      <x v="18"/>
      <x v="611"/>
    </i>
    <i r="1">
      <x v="12"/>
      <x v="1"/>
      <x v="214"/>
      <x v="80"/>
      <x v="611"/>
    </i>
    <i r="4">
      <x v="213"/>
      <x v="611"/>
    </i>
    <i r="4">
      <x v="607"/>
      <x v="611"/>
    </i>
    <i r="2">
      <x v="8"/>
      <x v="214"/>
      <x v="80"/>
      <x v="611"/>
    </i>
    <i r="4">
      <x v="352"/>
      <x v="611"/>
    </i>
    <i r="4">
      <x v="500"/>
      <x v="611"/>
    </i>
    <i r="4">
      <x v="964"/>
      <x v="611"/>
    </i>
    <i r="1">
      <x v="15"/>
      <x v="38"/>
      <x v="214"/>
      <x v="809"/>
      <x v="611"/>
    </i>
    <i r="1">
      <x v="26"/>
      <x v="38"/>
      <x v="214"/>
      <x v="278"/>
      <x v="611"/>
    </i>
    <i r="1">
      <x v="29"/>
      <x v="38"/>
      <x v="214"/>
      <x v="1170"/>
      <x v="611"/>
    </i>
    <i r="1">
      <x v="35"/>
      <x v="1"/>
      <x v="214"/>
      <x v="80"/>
      <x v="611"/>
    </i>
    <i r="2">
      <x v="8"/>
      <x v="214"/>
      <x v="80"/>
      <x v="611"/>
    </i>
    <i>
      <x v="127"/>
      <x/>
      <x v="1"/>
      <x v="216"/>
      <x v="80"/>
      <x v="611"/>
    </i>
    <i r="2">
      <x v="8"/>
      <x v="216"/>
      <x v="473"/>
      <x v="611"/>
    </i>
    <i r="4">
      <x v="881"/>
      <x v="611"/>
    </i>
    <i r="4">
      <x v="992"/>
      <x v="611"/>
    </i>
    <i r="2">
      <x v="9"/>
      <x v="216"/>
      <x v="1"/>
      <x v="611"/>
    </i>
    <i r="4">
      <x v="233"/>
      <x v="611"/>
    </i>
    <i r="4">
      <x v="263"/>
      <x v="611"/>
    </i>
    <i r="4">
      <x v="462"/>
      <x v="611"/>
    </i>
    <i r="4">
      <x v="538"/>
      <x v="611"/>
    </i>
    <i r="4">
      <x v="635"/>
      <x v="611"/>
    </i>
    <i r="4">
      <x v="732"/>
      <x v="611"/>
    </i>
    <i r="4">
      <x v="1087"/>
      <x v="611"/>
    </i>
    <i r="4">
      <x v="1425"/>
      <x v="611"/>
    </i>
    <i r="2">
      <x v="12"/>
      <x v="21"/>
      <x v="11"/>
      <x v="611"/>
    </i>
    <i r="3">
      <x v="22"/>
      <x v="18"/>
      <x v="611"/>
    </i>
    <i r="2">
      <x v="17"/>
      <x v="215"/>
      <x v="379"/>
      <x v="611"/>
    </i>
    <i r="4">
      <x v="414"/>
      <x v="611"/>
    </i>
    <i r="4">
      <x v="425"/>
      <x v="611"/>
    </i>
    <i r="4">
      <x v="639"/>
      <x v="611"/>
    </i>
    <i r="4">
      <x v="847"/>
      <x v="611"/>
    </i>
    <i r="4">
      <x v="1065"/>
      <x v="611"/>
    </i>
    <i r="4">
      <x v="1720"/>
      <x v="611"/>
    </i>
    <i r="1">
      <x v="2"/>
      <x v="17"/>
      <x v="215"/>
      <x v="1869"/>
      <x v="611"/>
    </i>
    <i r="1">
      <x v="5"/>
      <x v="8"/>
      <x v="216"/>
      <x v="1108"/>
      <x v="611"/>
    </i>
    <i r="1">
      <x v="7"/>
      <x v="10"/>
      <x v="216"/>
      <x v="1468"/>
      <x v="611"/>
    </i>
    <i r="2">
      <x v="38"/>
      <x v="216"/>
      <x v="144"/>
      <x v="611"/>
    </i>
    <i r="1">
      <x v="8"/>
      <x v="10"/>
      <x v="216"/>
      <x v="1488"/>
      <x v="611"/>
    </i>
    <i r="1">
      <x v="10"/>
      <x v="10"/>
      <x v="216"/>
      <x v="1864"/>
      <x v="611"/>
    </i>
    <i r="1">
      <x v="12"/>
      <x v="1"/>
      <x v="216"/>
      <x v="80"/>
      <x v="611"/>
    </i>
    <i r="4">
      <x v="213"/>
      <x v="611"/>
    </i>
    <i r="2">
      <x v="2"/>
      <x v="75"/>
      <x/>
      <x v="439"/>
    </i>
    <i r="5">
      <x v="534"/>
    </i>
    <i r="5">
      <x v="563"/>
    </i>
    <i r="5">
      <x v="599"/>
    </i>
    <i r="2">
      <x v="17"/>
      <x v="215"/>
      <x v="96"/>
      <x v="611"/>
    </i>
    <i r="4">
      <x v="103"/>
      <x v="611"/>
    </i>
    <i r="4">
      <x v="142"/>
      <x v="611"/>
    </i>
    <i r="4">
      <x v="497"/>
      <x v="611"/>
    </i>
    <i r="4">
      <x v="938"/>
      <x v="611"/>
    </i>
    <i r="4">
      <x v="1123"/>
      <x v="611"/>
    </i>
    <i r="4">
      <x v="1245"/>
      <x v="611"/>
    </i>
    <i r="4">
      <x v="1376"/>
      <x v="611"/>
    </i>
    <i r="4">
      <x v="1382"/>
      <x v="611"/>
    </i>
    <i r="4">
      <x v="1395"/>
      <x v="611"/>
    </i>
    <i r="4">
      <x v="1482"/>
      <x v="611"/>
    </i>
    <i r="4">
      <x v="1504"/>
      <x v="611"/>
    </i>
    <i r="4">
      <x v="1505"/>
      <x v="611"/>
    </i>
    <i r="4">
      <x v="1522"/>
      <x v="611"/>
    </i>
    <i r="4">
      <x v="1527"/>
      <x v="611"/>
    </i>
    <i r="4">
      <x v="1572"/>
      <x v="611"/>
    </i>
    <i r="4">
      <x v="1584"/>
      <x v="611"/>
    </i>
    <i r="4">
      <x v="1653"/>
      <x v="611"/>
    </i>
    <i r="4">
      <x v="1661"/>
      <x v="611"/>
    </i>
    <i r="4">
      <x v="1732"/>
      <x v="611"/>
    </i>
    <i r="4">
      <x v="1738"/>
      <x v="611"/>
    </i>
    <i r="4">
      <x v="1772"/>
      <x v="611"/>
    </i>
    <i r="4">
      <x v="1791"/>
      <x v="611"/>
    </i>
    <i r="4">
      <x v="1804"/>
      <x v="611"/>
    </i>
    <i r="4">
      <x v="1815"/>
      <x v="611"/>
    </i>
    <i r="4">
      <x v="1849"/>
      <x v="611"/>
    </i>
    <i r="1">
      <x v="14"/>
      <x v="17"/>
      <x v="215"/>
      <x v="1218"/>
      <x v="611"/>
    </i>
    <i r="1">
      <x v="15"/>
      <x v="38"/>
      <x v="216"/>
      <x v="1460"/>
      <x v="611"/>
    </i>
    <i r="1">
      <x v="17"/>
      <x v="17"/>
      <x v="215"/>
      <x v="360"/>
      <x v="611"/>
    </i>
    <i r="1">
      <x v="19"/>
      <x v="9"/>
      <x v="216"/>
      <x v="607"/>
      <x v="611"/>
    </i>
    <i r="1">
      <x v="21"/>
      <x v="17"/>
      <x v="215"/>
      <x v="1521"/>
      <x v="611"/>
    </i>
    <i r="1">
      <x v="23"/>
      <x v="17"/>
      <x v="215"/>
      <x v="1676"/>
      <x v="611"/>
    </i>
    <i r="1">
      <x v="24"/>
      <x v="17"/>
      <x v="215"/>
      <x v="1509"/>
      <x v="611"/>
    </i>
    <i r="1">
      <x v="27"/>
      <x v="17"/>
      <x v="215"/>
      <x v="449"/>
      <x v="611"/>
    </i>
    <i r="1">
      <x v="33"/>
      <x v="38"/>
      <x v="216"/>
      <x v="403"/>
      <x v="611"/>
    </i>
    <i r="1">
      <x v="35"/>
      <x v="1"/>
      <x v="216"/>
      <x v="80"/>
      <x v="611"/>
    </i>
    <i r="2">
      <x v="17"/>
      <x v="215"/>
      <x v="157"/>
      <x v="611"/>
    </i>
    <i r="4">
      <x v="328"/>
      <x v="611"/>
    </i>
    <i r="4">
      <x v="438"/>
      <x v="611"/>
    </i>
    <i r="4">
      <x v="495"/>
      <x v="611"/>
    </i>
    <i r="4">
      <x v="708"/>
      <x v="611"/>
    </i>
    <i r="4">
      <x v="709"/>
      <x v="611"/>
    </i>
    <i r="4">
      <x v="770"/>
      <x v="611"/>
    </i>
    <i r="4">
      <x v="918"/>
      <x v="611"/>
    </i>
    <i r="4">
      <x v="1231"/>
      <x v="611"/>
    </i>
    <i>
      <x v="128"/>
      <x/>
      <x v="38"/>
      <x v="217"/>
      <x v="391"/>
      <x v="611"/>
    </i>
    <i r="1">
      <x v="8"/>
      <x v="38"/>
      <x v="217"/>
      <x v="803"/>
      <x v="611"/>
    </i>
    <i r="1">
      <x v="10"/>
      <x v="38"/>
      <x v="217"/>
      <x v="1563"/>
      <x v="611"/>
    </i>
    <i r="1">
      <x v="12"/>
      <x v="1"/>
      <x v="217"/>
      <x v="213"/>
      <x v="611"/>
    </i>
    <i r="1">
      <x v="35"/>
      <x v="1"/>
      <x v="217"/>
      <x v="80"/>
      <x v="611"/>
    </i>
    <i>
      <x v="129"/>
      <x/>
      <x v="12"/>
      <x v="15"/>
      <x v="18"/>
      <x v="611"/>
    </i>
    <i r="3">
      <x v="39"/>
      <x v="180"/>
      <x v="611"/>
    </i>
    <i r="1">
      <x v="8"/>
      <x v="38"/>
      <x v="218"/>
      <x v="168"/>
      <x v="611"/>
    </i>
    <i r="1">
      <x v="12"/>
      <x v="1"/>
      <x v="218"/>
      <x v="80"/>
      <x v="611"/>
    </i>
    <i r="4">
      <x v="213"/>
      <x v="611"/>
    </i>
    <i r="1">
      <x v="14"/>
      <x v="1"/>
      <x v="218"/>
      <x v="1260"/>
      <x v="611"/>
    </i>
    <i r="1">
      <x v="15"/>
      <x v="6"/>
      <x v="218"/>
      <x v="592"/>
      <x v="611"/>
    </i>
    <i r="1">
      <x v="19"/>
      <x v="6"/>
      <x v="218"/>
      <x v="1099"/>
      <x v="611"/>
    </i>
    <i r="1">
      <x v="27"/>
      <x v="38"/>
      <x v="218"/>
      <x v="633"/>
      <x v="611"/>
    </i>
    <i r="1">
      <x v="34"/>
      <x v="38"/>
      <x v="218"/>
      <x v="228"/>
      <x v="611"/>
    </i>
    <i r="1">
      <x v="36"/>
      <x v="6"/>
      <x v="218"/>
      <x v="387"/>
      <x v="611"/>
    </i>
    <i>
      <x v="130"/>
      <x/>
      <x v="12"/>
      <x v="23"/>
      <x v="114"/>
      <x v="611"/>
    </i>
    <i r="3">
      <x v="26"/>
      <x v="20"/>
      <x v="611"/>
    </i>
    <i r="3">
      <x v="35"/>
      <x v="15"/>
      <x v="611"/>
    </i>
    <i r="3">
      <x v="64"/>
      <x v="49"/>
      <x v="611"/>
    </i>
    <i r="2">
      <x v="38"/>
      <x v="219"/>
      <x v="138"/>
      <x v="611"/>
    </i>
    <i r="1">
      <x v="5"/>
      <x v="10"/>
      <x v="219"/>
      <x v="1537"/>
      <x v="611"/>
    </i>
    <i r="1">
      <x v="12"/>
      <x v="1"/>
      <x v="219"/>
      <x v="80"/>
      <x v="611"/>
    </i>
    <i r="4">
      <x v="213"/>
      <x v="611"/>
    </i>
    <i r="1">
      <x v="15"/>
      <x v="38"/>
      <x v="219"/>
      <x v="579"/>
      <x v="611"/>
    </i>
    <i r="1">
      <x v="23"/>
      <x v="38"/>
      <x v="219"/>
      <x v="906"/>
      <x v="611"/>
    </i>
    <i r="1">
      <x v="26"/>
      <x v="38"/>
      <x v="219"/>
      <x v="318"/>
      <x v="611"/>
    </i>
    <i r="1">
      <x v="29"/>
      <x v="10"/>
      <x v="219"/>
      <x v="914"/>
      <x v="611"/>
    </i>
    <i r="1">
      <x v="33"/>
      <x v="38"/>
      <x v="219"/>
      <x v="88"/>
      <x v="611"/>
    </i>
    <i r="1">
      <x v="35"/>
      <x v="1"/>
      <x v="219"/>
      <x v="352"/>
      <x v="611"/>
    </i>
    <i>
      <x v="131"/>
      <x/>
      <x v="12"/>
      <x v="23"/>
      <x v="11"/>
      <x v="611"/>
    </i>
    <i r="3">
      <x v="30"/>
      <x v="81"/>
      <x v="611"/>
    </i>
    <i r="2">
      <x v="38"/>
      <x v="220"/>
      <x v="138"/>
      <x v="611"/>
    </i>
    <i r="4">
      <x v="433"/>
      <x v="611"/>
    </i>
    <i r="4">
      <x v="1212"/>
      <x v="611"/>
    </i>
    <i r="1">
      <x v="5"/>
      <x v="38"/>
      <x v="220"/>
      <x v="1077"/>
      <x v="611"/>
    </i>
    <i r="1">
      <x v="6"/>
      <x v="1"/>
      <x v="220"/>
      <x v="322"/>
      <x v="611"/>
    </i>
    <i r="1">
      <x v="12"/>
      <x v="1"/>
      <x v="220"/>
      <x v="80"/>
      <x v="611"/>
    </i>
    <i r="4">
      <x v="213"/>
      <x v="611"/>
    </i>
    <i r="4">
      <x v="352"/>
      <x v="611"/>
    </i>
    <i r="4">
      <x v="702"/>
      <x v="611"/>
    </i>
    <i r="1">
      <x v="23"/>
      <x v="38"/>
      <x v="220"/>
      <x v="371"/>
      <x v="611"/>
    </i>
    <i r="1">
      <x v="35"/>
      <x v="1"/>
      <x v="220"/>
      <x v="80"/>
      <x v="611"/>
    </i>
    <i r="4">
      <x v="500"/>
      <x v="611"/>
    </i>
    <i r="1">
      <x v="36"/>
      <x v="38"/>
      <x v="220"/>
      <x v="214"/>
      <x v="611"/>
    </i>
    <i>
      <x v="132"/>
      <x/>
      <x v="38"/>
      <x v="221"/>
      <x v="138"/>
      <x v="611"/>
    </i>
    <i r="4">
      <x v="1508"/>
      <x v="611"/>
    </i>
    <i r="4">
      <x v="1546"/>
      <x v="611"/>
    </i>
    <i r="1">
      <x v="3"/>
      <x v="38"/>
      <x v="221"/>
      <x v="926"/>
      <x v="611"/>
    </i>
    <i r="1">
      <x v="6"/>
      <x v="38"/>
      <x v="221"/>
      <x v="1385"/>
      <x v="611"/>
    </i>
    <i r="1">
      <x v="12"/>
      <x v="1"/>
      <x v="221"/>
      <x v="80"/>
      <x v="611"/>
    </i>
    <i r="4">
      <x v="607"/>
      <x v="611"/>
    </i>
    <i r="4">
      <x v="702"/>
      <x v="611"/>
    </i>
    <i r="2">
      <x v="38"/>
      <x v="221"/>
      <x v="1394"/>
      <x v="611"/>
    </i>
    <i r="4">
      <x v="1607"/>
      <x v="611"/>
    </i>
    <i r="1">
      <x v="17"/>
      <x v="6"/>
      <x v="221"/>
      <x v="268"/>
      <x v="611"/>
    </i>
    <i r="1">
      <x v="33"/>
      <x v="38"/>
      <x v="221"/>
      <x v="679"/>
      <x v="611"/>
    </i>
    <i r="1">
      <x v="35"/>
      <x v="1"/>
      <x v="221"/>
      <x v="80"/>
      <x v="611"/>
    </i>
    <i>
      <x v="133"/>
      <x/>
      <x v="8"/>
      <x v="222"/>
      <x v="127"/>
      <x v="611"/>
    </i>
    <i r="4">
      <x v="316"/>
      <x v="611"/>
    </i>
    <i r="4">
      <x v="700"/>
      <x v="611"/>
    </i>
    <i r="4">
      <x v="1097"/>
      <x v="611"/>
    </i>
    <i r="4">
      <x v="1240"/>
      <x v="611"/>
    </i>
    <i r="2">
      <x v="9"/>
      <x v="222"/>
      <x v="62"/>
      <x v="611"/>
    </i>
    <i r="4">
      <x v="292"/>
      <x v="611"/>
    </i>
    <i r="4">
      <x v="520"/>
      <x v="611"/>
    </i>
    <i r="4">
      <x v="540"/>
      <x v="611"/>
    </i>
    <i r="4">
      <x v="629"/>
      <x v="611"/>
    </i>
    <i r="4">
      <x v="687"/>
      <x v="611"/>
    </i>
    <i r="4">
      <x v="925"/>
      <x v="611"/>
    </i>
    <i r="4">
      <x v="958"/>
      <x v="611"/>
    </i>
    <i r="4">
      <x v="962"/>
      <x v="611"/>
    </i>
    <i r="4">
      <x v="985"/>
      <x v="611"/>
    </i>
    <i r="4">
      <x v="1141"/>
      <x v="611"/>
    </i>
    <i r="4">
      <x v="1246"/>
      <x v="611"/>
    </i>
    <i r="2">
      <x v="12"/>
      <x v="50"/>
      <x v="248"/>
      <x v="611"/>
    </i>
    <i r="3">
      <x v="56"/>
      <x v="29"/>
      <x v="611"/>
    </i>
    <i r="1">
      <x v="5"/>
      <x v="8"/>
      <x v="222"/>
      <x v="1283"/>
      <x v="611"/>
    </i>
    <i r="1">
      <x v="8"/>
      <x v="10"/>
      <x v="222"/>
      <x v="772"/>
      <x v="611"/>
    </i>
    <i r="1">
      <x v="11"/>
      <x v="9"/>
      <x v="222"/>
      <x v="410"/>
      <x v="611"/>
    </i>
    <i r="1">
      <x v="12"/>
      <x v="1"/>
      <x v="222"/>
      <x v="352"/>
      <x v="611"/>
    </i>
    <i r="4">
      <x v="846"/>
      <x v="611"/>
    </i>
    <i r="1">
      <x v="15"/>
      <x v="8"/>
      <x v="222"/>
      <x v="789"/>
      <x v="611"/>
    </i>
    <i r="1">
      <x v="29"/>
      <x v="10"/>
      <x v="222"/>
      <x v="1456"/>
      <x v="611"/>
    </i>
    <i r="1">
      <x v="37"/>
      <x v="8"/>
      <x v="222"/>
      <x v="1328"/>
      <x v="611"/>
    </i>
    <i r="2">
      <x v="9"/>
      <x v="222"/>
      <x v="1291"/>
      <x v="611"/>
    </i>
    <i>
      <x v="134"/>
      <x/>
      <x v="1"/>
      <x v="223"/>
      <x v="80"/>
      <x v="611"/>
    </i>
    <i r="2">
      <x v="6"/>
      <x v="223"/>
      <x v="371"/>
      <x v="611"/>
    </i>
    <i r="2">
      <x v="12"/>
      <x v="10"/>
      <x v="138"/>
      <x v="611"/>
    </i>
    <i r="3">
      <x v="16"/>
      <x v="332"/>
      <x v="611"/>
    </i>
    <i r="3">
      <x v="17"/>
      <x v="96"/>
      <x v="611"/>
    </i>
    <i r="3">
      <x v="26"/>
      <x v="20"/>
      <x v="611"/>
    </i>
    <i r="2">
      <x v="38"/>
      <x v="223"/>
      <x v="138"/>
      <x v="611"/>
    </i>
    <i r="1">
      <x v="6"/>
      <x v="38"/>
      <x v="223"/>
      <x v="592"/>
      <x v="611"/>
    </i>
    <i r="1">
      <x v="12"/>
      <x v="1"/>
      <x v="223"/>
      <x v="80"/>
      <x v="611"/>
    </i>
    <i r="4">
      <x v="213"/>
      <x v="611"/>
    </i>
    <i r="4">
      <x v="352"/>
      <x v="611"/>
    </i>
    <i r="4">
      <x v="500"/>
      <x v="611"/>
    </i>
    <i r="4">
      <x v="607"/>
      <x v="611"/>
    </i>
    <i r="1">
      <x v="14"/>
      <x v="6"/>
      <x v="223"/>
      <x v="1139"/>
      <x v="611"/>
    </i>
    <i r="1">
      <x v="20"/>
      <x v="10"/>
      <x v="223"/>
      <x v="1866"/>
      <x v="611"/>
    </i>
    <i r="1">
      <x v="23"/>
      <x v="38"/>
      <x v="223"/>
      <x v="19"/>
      <x v="611"/>
    </i>
    <i r="1">
      <x v="29"/>
      <x v="10"/>
      <x v="223"/>
      <x v="1598"/>
      <x v="611"/>
    </i>
    <i r="1">
      <x v="36"/>
      <x v="6"/>
      <x v="223"/>
      <x v="576"/>
      <x v="611"/>
    </i>
    <i>
      <x v="135"/>
      <x/>
      <x v="12"/>
      <x v="18"/>
      <x v="18"/>
      <x v="611"/>
    </i>
    <i r="3">
      <x v="34"/>
      <x v="325"/>
      <x v="611"/>
    </i>
    <i r="3">
      <x v="38"/>
      <x v="11"/>
      <x v="611"/>
    </i>
    <i r="3">
      <x v="50"/>
      <x v="352"/>
      <x v="611"/>
    </i>
    <i r="3">
      <x v="52"/>
      <x v="75"/>
      <x v="611"/>
    </i>
    <i r="1">
      <x v="5"/>
      <x v="37"/>
      <x v="224"/>
      <x v="1207"/>
      <x v="611"/>
    </i>
    <i r="1">
      <x v="6"/>
      <x v="38"/>
      <x v="224"/>
      <x v="619"/>
      <x v="611"/>
    </i>
    <i r="1">
      <x v="12"/>
      <x v="1"/>
      <x v="224"/>
      <x v="80"/>
      <x v="611"/>
    </i>
    <i r="4">
      <x v="213"/>
      <x v="611"/>
    </i>
    <i r="4">
      <x v="352"/>
      <x v="611"/>
    </i>
    <i r="4">
      <x v="771"/>
      <x v="611"/>
    </i>
    <i r="4">
      <x v="964"/>
      <x v="611"/>
    </i>
    <i r="1">
      <x v="17"/>
      <x v="6"/>
      <x v="224"/>
      <x v="1649"/>
      <x v="611"/>
    </i>
    <i r="1">
      <x v="33"/>
      <x v="38"/>
      <x v="224"/>
      <x v="249"/>
      <x v="611"/>
    </i>
    <i>
      <x v="136"/>
      <x/>
      <x v="7"/>
      <x v="225"/>
      <x v="329"/>
      <x v="611"/>
    </i>
    <i r="2">
      <x v="8"/>
      <x v="225"/>
      <x v="247"/>
      <x v="611"/>
    </i>
    <i r="2">
      <x v="9"/>
      <x v="225"/>
      <x v="309"/>
      <x v="611"/>
    </i>
    <i r="4">
      <x v="450"/>
      <x v="611"/>
    </i>
    <i r="4">
      <x v="470"/>
      <x v="611"/>
    </i>
    <i r="4">
      <x v="545"/>
      <x v="611"/>
    </i>
    <i r="4">
      <x v="609"/>
      <x v="611"/>
    </i>
    <i r="4">
      <x v="1004"/>
      <x v="611"/>
    </i>
    <i r="2">
      <x v="12"/>
      <x v="63"/>
      <x v="6"/>
      <x v="611"/>
    </i>
    <i r="2">
      <x v="38"/>
      <x v="225"/>
      <x v="138"/>
      <x v="611"/>
    </i>
    <i r="1">
      <x v="2"/>
      <x v="10"/>
      <x v="225"/>
      <x v="1750"/>
      <x v="611"/>
    </i>
    <i r="1">
      <x v="3"/>
      <x v="10"/>
      <x v="225"/>
      <x v="1355"/>
      <x v="611"/>
    </i>
    <i r="1">
      <x v="8"/>
      <x v="10"/>
      <x v="225"/>
      <x v="1555"/>
      <x v="611"/>
    </i>
    <i r="1">
      <x v="9"/>
      <x v="10"/>
      <x v="225"/>
      <x v="33"/>
      <x v="611"/>
    </i>
    <i r="1">
      <x v="12"/>
      <x v="1"/>
      <x v="225"/>
      <x v="80"/>
      <x v="611"/>
    </i>
    <i r="4">
      <x v="213"/>
      <x v="611"/>
    </i>
    <i r="1">
      <x v="15"/>
      <x v="8"/>
      <x v="225"/>
      <x v="1119"/>
      <x v="611"/>
    </i>
    <i r="1">
      <x v="18"/>
      <x v="10"/>
      <x v="225"/>
      <x v="1874"/>
      <x v="611"/>
    </i>
    <i r="1">
      <x v="19"/>
      <x v="6"/>
      <x v="225"/>
      <x v="433"/>
      <x v="611"/>
    </i>
    <i r="1">
      <x v="22"/>
      <x v="38"/>
      <x v="225"/>
      <x v="1453"/>
      <x v="611"/>
    </i>
    <i r="1">
      <x v="23"/>
      <x v="38"/>
      <x v="225"/>
      <x v="30"/>
      <x v="611"/>
    </i>
    <i r="1">
      <x v="35"/>
      <x v="1"/>
      <x v="225"/>
      <x v="80"/>
      <x v="611"/>
    </i>
    <i r="1">
      <x v="36"/>
      <x v="10"/>
      <x v="225"/>
      <x v="1576"/>
      <x v="611"/>
    </i>
    <i r="1">
      <x v="38"/>
      <x v="10"/>
      <x v="225"/>
      <x v="1276"/>
      <x v="611"/>
    </i>
    <i>
      <x v="137"/>
      <x/>
      <x v="12"/>
      <x v="21"/>
      <x v="194"/>
      <x v="611"/>
    </i>
    <i r="3">
      <x v="24"/>
      <x v="23"/>
      <x v="611"/>
    </i>
    <i r="3">
      <x v="32"/>
      <x v="744"/>
      <x v="611"/>
    </i>
    <i r="3">
      <x v="71"/>
      <x v="139"/>
      <x v="611"/>
    </i>
    <i r="1">
      <x v="3"/>
      <x v="38"/>
      <x v="226"/>
      <x v="561"/>
      <x v="611"/>
    </i>
    <i r="1">
      <x v="5"/>
      <x v="37"/>
      <x v="226"/>
      <x v="1832"/>
      <x v="611"/>
    </i>
    <i r="2">
      <x v="38"/>
      <x v="226"/>
      <x v="1707"/>
      <x v="611"/>
    </i>
    <i r="1">
      <x v="6"/>
      <x v="38"/>
      <x v="226"/>
      <x v="947"/>
      <x v="611"/>
    </i>
    <i r="1">
      <x v="8"/>
      <x v="38"/>
      <x v="226"/>
      <x v="532"/>
      <x v="611"/>
    </i>
    <i r="1">
      <x v="12"/>
      <x v="1"/>
      <x v="226"/>
      <x v="80"/>
      <x v="611"/>
    </i>
    <i r="4">
      <x v="213"/>
      <x v="611"/>
    </i>
    <i r="4">
      <x v="500"/>
      <x v="611"/>
    </i>
    <i r="4">
      <x v="846"/>
      <x v="611"/>
    </i>
    <i r="1">
      <x v="14"/>
      <x v="1"/>
      <x v="226"/>
      <x v="1169"/>
      <x v="611"/>
    </i>
    <i r="1">
      <x v="15"/>
      <x v="37"/>
      <x v="226"/>
      <x v="897"/>
      <x v="611"/>
    </i>
    <i r="2">
      <x v="38"/>
      <x v="226"/>
      <x v="607"/>
      <x v="611"/>
    </i>
    <i r="1">
      <x v="17"/>
      <x v="38"/>
      <x v="226"/>
      <x v="1453"/>
      <x v="611"/>
    </i>
    <i r="1">
      <x v="24"/>
      <x v="38"/>
      <x v="226"/>
      <x v="1592"/>
      <x v="611"/>
    </i>
    <i r="1">
      <x v="26"/>
      <x v="38"/>
      <x v="226"/>
      <x v="371"/>
      <x v="611"/>
    </i>
    <i r="1">
      <x v="33"/>
      <x v="38"/>
      <x v="226"/>
      <x v="1280"/>
      <x v="611"/>
    </i>
    <i r="1">
      <x v="35"/>
      <x v="1"/>
      <x v="226"/>
      <x v="213"/>
      <x v="611"/>
    </i>
    <i>
      <x v="138"/>
      <x v="12"/>
      <x v="1"/>
      <x v="227"/>
      <x v="80"/>
      <x v="611"/>
    </i>
    <i r="4">
      <x v="213"/>
      <x v="611"/>
    </i>
    <i r="2">
      <x v="38"/>
      <x v="227"/>
      <x v="1066"/>
      <x v="611"/>
    </i>
    <i r="1">
      <x v="15"/>
      <x v="38"/>
      <x v="227"/>
      <x v="469"/>
      <x v="611"/>
    </i>
    <i r="1">
      <x v="23"/>
      <x v="38"/>
      <x v="227"/>
      <x v="1188"/>
      <x v="611"/>
    </i>
    <i r="1">
      <x v="33"/>
      <x v="6"/>
      <x v="227"/>
      <x v="469"/>
      <x v="611"/>
    </i>
    <i r="1">
      <x v="35"/>
      <x v="1"/>
      <x v="227"/>
      <x v="80"/>
      <x v="611"/>
    </i>
    <i r="1">
      <x v="36"/>
      <x v="6"/>
      <x v="227"/>
      <x v="404"/>
      <x v="611"/>
    </i>
    <i r="2">
      <x v="38"/>
      <x v="227"/>
      <x v="567"/>
      <x v="611"/>
    </i>
    <i>
      <x v="139"/>
      <x/>
      <x v="12"/>
      <x v="38"/>
      <x v="9"/>
      <x v="611"/>
    </i>
    <i r="3">
      <x v="56"/>
      <x v="6"/>
      <x v="611"/>
    </i>
    <i r="1">
      <x v="12"/>
      <x v="1"/>
      <x v="228"/>
      <x v="352"/>
      <x v="611"/>
    </i>
    <i r="1">
      <x v="35"/>
      <x v="1"/>
      <x v="228"/>
      <x v="213"/>
      <x v="611"/>
    </i>
    <i r="4">
      <x v="352"/>
      <x v="611"/>
    </i>
    <i r="1">
      <x v="36"/>
      <x v="38"/>
      <x v="228"/>
      <x v="125"/>
      <x v="611"/>
    </i>
    <i>
      <x v="140"/>
      <x/>
      <x v="6"/>
      <x v="230"/>
      <x v="913"/>
      <x v="611"/>
    </i>
    <i r="4">
      <x v="934"/>
      <x v="611"/>
    </i>
    <i r="2">
      <x v="8"/>
      <x v="230"/>
      <x v="248"/>
      <x v="611"/>
    </i>
    <i r="4">
      <x v="550"/>
      <x v="611"/>
    </i>
    <i r="2">
      <x v="9"/>
      <x v="230"/>
      <x v="136"/>
      <x v="611"/>
    </i>
    <i r="4">
      <x v="248"/>
      <x v="611"/>
    </i>
    <i r="4">
      <x v="321"/>
      <x v="611"/>
    </i>
    <i r="4">
      <x v="611"/>
      <x v="611"/>
    </i>
    <i r="4">
      <x v="688"/>
      <x v="611"/>
    </i>
    <i r="4">
      <x v="747"/>
      <x v="611"/>
    </i>
    <i r="4">
      <x v="1067"/>
      <x v="611"/>
    </i>
    <i r="4">
      <x v="1075"/>
      <x v="611"/>
    </i>
    <i r="2">
      <x v="24"/>
      <x v="229"/>
      <x v="293"/>
      <x v="611"/>
    </i>
    <i r="4">
      <x v="833"/>
      <x v="611"/>
    </i>
    <i r="4">
      <x v="860"/>
      <x v="611"/>
    </i>
    <i r="4">
      <x v="1121"/>
      <x v="611"/>
    </i>
    <i r="4">
      <x v="1201"/>
      <x v="611"/>
    </i>
    <i r="1">
      <x v="2"/>
      <x v="9"/>
      <x v="230"/>
      <x v="663"/>
      <x v="611"/>
    </i>
    <i r="2">
      <x v="24"/>
      <x v="229"/>
      <x v="1783"/>
      <x v="611"/>
    </i>
    <i r="1">
      <x v="3"/>
      <x v="24"/>
      <x v="229"/>
      <x v="330"/>
      <x v="611"/>
    </i>
    <i r="1">
      <x v="5"/>
      <x v="38"/>
      <x v="230"/>
      <x v="1682"/>
      <x v="611"/>
    </i>
    <i r="1">
      <x v="12"/>
      <x v="1"/>
      <x v="230"/>
      <x v="80"/>
      <x v="611"/>
    </i>
    <i r="4">
      <x v="213"/>
      <x v="611"/>
    </i>
    <i r="4">
      <x v="500"/>
      <x v="611"/>
    </i>
    <i r="4">
      <x v="702"/>
      <x v="611"/>
    </i>
    <i r="4">
      <x v="964"/>
      <x v="611"/>
    </i>
    <i r="2">
      <x v="24"/>
      <x v="229"/>
      <x v="58"/>
      <x v="611"/>
    </i>
    <i r="4">
      <x v="444"/>
      <x v="611"/>
    </i>
    <i r="4">
      <x v="508"/>
      <x v="611"/>
    </i>
    <i r="4">
      <x v="1186"/>
      <x v="611"/>
    </i>
    <i r="4">
      <x v="1273"/>
      <x v="611"/>
    </i>
    <i r="4">
      <x v="1346"/>
      <x v="611"/>
    </i>
    <i r="4">
      <x v="1420"/>
      <x v="611"/>
    </i>
    <i r="4">
      <x v="1511"/>
      <x v="611"/>
    </i>
    <i r="4">
      <x v="1513"/>
      <x v="611"/>
    </i>
    <i r="4">
      <x v="1524"/>
      <x v="611"/>
    </i>
    <i r="4">
      <x v="1541"/>
      <x v="611"/>
    </i>
    <i r="4">
      <x v="1585"/>
      <x v="611"/>
    </i>
    <i r="4">
      <x v="1596"/>
      <x v="611"/>
    </i>
    <i r="4">
      <x v="1636"/>
      <x v="611"/>
    </i>
    <i r="4">
      <x v="1651"/>
      <x v="611"/>
    </i>
    <i r="4">
      <x v="1700"/>
      <x v="611"/>
    </i>
    <i r="4">
      <x v="1702"/>
      <x v="611"/>
    </i>
    <i r="4">
      <x v="1710"/>
      <x v="611"/>
    </i>
    <i r="4">
      <x v="1717"/>
      <x v="611"/>
    </i>
    <i r="4">
      <x v="1734"/>
      <x v="611"/>
    </i>
    <i r="4">
      <x v="1775"/>
      <x v="611"/>
    </i>
    <i r="4">
      <x v="1818"/>
      <x v="611"/>
    </i>
    <i r="4">
      <x v="1831"/>
      <x v="611"/>
    </i>
    <i r="4">
      <x v="1838"/>
      <x v="611"/>
    </i>
    <i r="2">
      <x v="38"/>
      <x v="230"/>
      <x v="892"/>
      <x v="611"/>
    </i>
    <i r="1">
      <x v="14"/>
      <x v="38"/>
      <x v="230"/>
      <x v="418"/>
      <x v="611"/>
    </i>
    <i r="1">
      <x v="15"/>
      <x v="8"/>
      <x v="230"/>
      <x v="173"/>
      <x v="611"/>
    </i>
    <i r="2">
      <x v="24"/>
      <x v="229"/>
      <x v="1663"/>
      <x v="611"/>
    </i>
    <i r="2">
      <x v="38"/>
      <x v="230"/>
      <x v="1800"/>
      <x v="611"/>
    </i>
    <i r="1">
      <x v="17"/>
      <x v="6"/>
      <x v="230"/>
      <x v="1834"/>
      <x v="611"/>
    </i>
    <i r="1">
      <x v="21"/>
      <x v="24"/>
      <x v="229"/>
      <x v="1846"/>
      <x v="611"/>
    </i>
    <i r="1">
      <x v="23"/>
      <x v="24"/>
      <x v="229"/>
      <x v="1779"/>
      <x v="611"/>
    </i>
    <i r="1">
      <x v="24"/>
      <x v="24"/>
      <x v="229"/>
      <x v="1733"/>
      <x v="611"/>
    </i>
    <i r="1">
      <x v="26"/>
      <x v="38"/>
      <x v="230"/>
      <x v="1380"/>
      <x v="611"/>
    </i>
    <i r="1">
      <x v="29"/>
      <x v="38"/>
      <x v="230"/>
      <x v="1766"/>
      <x v="611"/>
    </i>
    <i r="1">
      <x v="35"/>
      <x v="1"/>
      <x v="230"/>
      <x v="80"/>
      <x v="611"/>
    </i>
    <i r="2">
      <x v="24"/>
      <x v="229"/>
      <x v="141"/>
      <x v="611"/>
    </i>
    <i r="4">
      <x v="204"/>
      <x v="611"/>
    </i>
    <i r="4">
      <x v="319"/>
      <x v="611"/>
    </i>
    <i r="4">
      <x v="357"/>
      <x v="611"/>
    </i>
    <i r="4">
      <x v="447"/>
      <x v="611"/>
    </i>
    <i r="4">
      <x v="448"/>
      <x v="611"/>
    </i>
    <i r="4">
      <x v="479"/>
      <x v="611"/>
    </i>
    <i r="4">
      <x v="536"/>
      <x v="611"/>
    </i>
    <i r="4">
      <x v="722"/>
      <x v="611"/>
    </i>
    <i r="4">
      <x v="792"/>
      <x v="611"/>
    </i>
    <i r="4">
      <x v="976"/>
      <x v="611"/>
    </i>
    <i r="4">
      <x v="1168"/>
      <x v="611"/>
    </i>
    <i r="4">
      <x v="1472"/>
      <x v="611"/>
    </i>
    <i r="1">
      <x v="36"/>
      <x v="9"/>
      <x v="230"/>
      <x v="1204"/>
      <x v="611"/>
    </i>
    <i r="1">
      <x v="37"/>
      <x v="24"/>
      <x v="229"/>
      <x v="993"/>
      <x v="611"/>
    </i>
    <i>
      <x v="141"/>
      <x/>
      <x v="9"/>
      <x v="231"/>
      <x v="351"/>
      <x v="611"/>
    </i>
    <i r="4">
      <x v="807"/>
      <x v="611"/>
    </i>
    <i r="4">
      <x v="812"/>
      <x v="611"/>
    </i>
    <i r="2">
      <x v="12"/>
      <x v="25"/>
      <x v="180"/>
      <x v="611"/>
    </i>
    <i r="3">
      <x v="52"/>
      <x v="35"/>
      <x v="611"/>
    </i>
    <i r="1">
      <x v="10"/>
      <x v="38"/>
      <x v="231"/>
      <x v="1861"/>
      <x v="611"/>
    </i>
    <i r="1">
      <x v="11"/>
      <x v="8"/>
      <x v="231"/>
      <x v="1233"/>
      <x v="611"/>
    </i>
    <i r="1">
      <x v="12"/>
      <x v="1"/>
      <x v="231"/>
      <x v="80"/>
      <x v="611"/>
    </i>
    <i r="4">
      <x v="352"/>
      <x v="611"/>
    </i>
    <i r="1">
      <x v="27"/>
      <x v="38"/>
      <x v="231"/>
      <x v="1634"/>
      <x v="611"/>
    </i>
    <i>
      <x v="142"/>
      <x/>
      <x v="6"/>
      <x v="232"/>
      <x v="933"/>
      <x v="611"/>
    </i>
    <i r="2">
      <x v="12"/>
      <x v="11"/>
      <x v="138"/>
      <x v="611"/>
    </i>
    <i r="3">
      <x v="23"/>
      <x v="114"/>
      <x v="611"/>
    </i>
    <i r="3">
      <x v="47"/>
      <x v="314"/>
      <x v="611"/>
    </i>
    <i r="3">
      <x v="49"/>
      <x v="52"/>
      <x v="611"/>
    </i>
    <i r="3">
      <x v="63"/>
      <x v="6"/>
      <x v="611"/>
    </i>
    <i r="2">
      <x v="38"/>
      <x v="232"/>
      <x v="109"/>
      <x v="611"/>
    </i>
    <i r="4">
      <x v="500"/>
      <x v="611"/>
    </i>
    <i r="4">
      <x v="943"/>
      <x v="611"/>
    </i>
    <i r="4">
      <x v="1093"/>
      <x v="611"/>
    </i>
    <i r="4">
      <x v="1150"/>
      <x v="611"/>
    </i>
    <i r="1">
      <x v="2"/>
      <x v="1"/>
      <x v="232"/>
      <x v="257"/>
      <x v="611"/>
    </i>
    <i r="2">
      <x v="6"/>
      <x v="232"/>
      <x v="325"/>
      <x v="611"/>
    </i>
    <i r="1">
      <x v="7"/>
      <x v="38"/>
      <x v="232"/>
      <x v="776"/>
      <x v="611"/>
    </i>
    <i r="1">
      <x v="8"/>
      <x v="10"/>
      <x v="232"/>
      <x/>
      <x v="166"/>
    </i>
    <i r="1">
      <x v="10"/>
      <x v="38"/>
      <x v="232"/>
      <x v="1744"/>
      <x v="611"/>
    </i>
    <i r="1">
      <x v="12"/>
      <x v="1"/>
      <x v="232"/>
      <x v="80"/>
      <x v="611"/>
    </i>
    <i r="4">
      <x v="213"/>
      <x v="611"/>
    </i>
    <i r="4">
      <x v="352"/>
      <x v="611"/>
    </i>
    <i r="2">
      <x v="38"/>
      <x v="232"/>
      <x v="278"/>
      <x v="611"/>
    </i>
    <i r="4">
      <x v="500"/>
      <x v="611"/>
    </i>
    <i r="1">
      <x v="15"/>
      <x v="38"/>
      <x v="232"/>
      <x v="1319"/>
      <x v="611"/>
    </i>
    <i r="1">
      <x v="23"/>
      <x v="38"/>
      <x v="232"/>
      <x v="93"/>
      <x v="611"/>
    </i>
    <i r="1">
      <x v="26"/>
      <x v="38"/>
      <x v="232"/>
      <x v="371"/>
      <x v="611"/>
    </i>
    <i r="1">
      <x v="34"/>
      <x v="38"/>
      <x v="232"/>
      <x v="39"/>
      <x v="611"/>
    </i>
    <i r="1">
      <x v="35"/>
      <x v="1"/>
      <x v="232"/>
      <x v="80"/>
      <x v="611"/>
    </i>
    <i r="4">
      <x v="213"/>
      <x v="611"/>
    </i>
    <i r="2">
      <x v="38"/>
      <x v="232"/>
      <x v="846"/>
      <x v="611"/>
    </i>
    <i r="1">
      <x v="38"/>
      <x v="38"/>
      <x v="232"/>
      <x v="500"/>
      <x v="611"/>
    </i>
    <i>
      <x v="143"/>
      <x/>
      <x v="12"/>
      <x v="41"/>
      <x v="213"/>
      <x v="611"/>
    </i>
    <i r="3">
      <x v="50"/>
      <x v="248"/>
      <x v="611"/>
    </i>
    <i r="1">
      <x v="10"/>
      <x v="10"/>
      <x v="233"/>
      <x/>
      <x v="253"/>
    </i>
    <i r="1">
      <x v="14"/>
      <x v="37"/>
      <x v="233"/>
      <x v="1181"/>
      <x v="611"/>
    </i>
    <i r="1">
      <x v="32"/>
      <x v="9"/>
      <x v="233"/>
      <x v="1793"/>
      <x v="611"/>
    </i>
    <i>
      <x v="144"/>
      <x/>
      <x v="12"/>
      <x v="7"/>
      <x v="90"/>
      <x v="611"/>
    </i>
    <i r="3">
      <x v="62"/>
      <x v="85"/>
      <x v="611"/>
    </i>
    <i>
      <x v="145"/>
      <x/>
      <x v="1"/>
      <x v="234"/>
      <x v="80"/>
      <x v="611"/>
    </i>
    <i r="2">
      <x v="6"/>
      <x v="234"/>
      <x v="469"/>
      <x v="611"/>
    </i>
    <i r="2">
      <x v="11"/>
      <x v="14"/>
      <x v="213"/>
      <x v="611"/>
    </i>
    <i r="2">
      <x v="12"/>
      <x v="19"/>
      <x v="35"/>
      <x v="611"/>
    </i>
    <i r="3">
      <x v="34"/>
      <x v="719"/>
      <x v="611"/>
    </i>
    <i r="2">
      <x v="38"/>
      <x v="234"/>
      <x v="1170"/>
      <x v="611"/>
    </i>
    <i r="1">
      <x v="3"/>
      <x v="38"/>
      <x v="234"/>
      <x v="106"/>
      <x v="611"/>
    </i>
    <i r="1">
      <x v="7"/>
      <x v="6"/>
      <x v="234"/>
      <x v="539"/>
      <x v="611"/>
    </i>
    <i r="1">
      <x v="8"/>
      <x v="38"/>
      <x v="234"/>
      <x v="642"/>
      <x v="611"/>
    </i>
    <i r="1">
      <x v="12"/>
      <x v="1"/>
      <x v="234"/>
      <x v="213"/>
      <x v="611"/>
    </i>
    <i r="4">
      <x v="500"/>
      <x v="611"/>
    </i>
    <i r="4">
      <x v="607"/>
      <x v="611"/>
    </i>
    <i r="4">
      <x v="771"/>
      <x v="611"/>
    </i>
    <i r="2">
      <x v="38"/>
      <x v="234"/>
      <x v="1343"/>
      <x v="611"/>
    </i>
    <i r="4">
      <x v="1528"/>
      <x v="611"/>
    </i>
    <i r="1">
      <x v="15"/>
      <x v="38"/>
      <x v="234"/>
      <x v="744"/>
      <x v="611"/>
    </i>
    <i r="1">
      <x v="27"/>
      <x v="38"/>
      <x v="234"/>
      <x v="39"/>
      <x v="611"/>
    </i>
    <i r="1">
      <x v="35"/>
      <x v="1"/>
      <x v="234"/>
      <x v="80"/>
      <x v="611"/>
    </i>
    <i r="4">
      <x v="846"/>
      <x v="611"/>
    </i>
    <i>
      <x v="146"/>
      <x/>
      <x v="8"/>
      <x v="235"/>
      <x v="1028"/>
      <x v="611"/>
    </i>
    <i r="2">
      <x v="9"/>
      <x v="235"/>
      <x v="128"/>
      <x v="611"/>
    </i>
    <i r="4">
      <x v="257"/>
      <x v="611"/>
    </i>
    <i r="4">
      <x v="267"/>
      <x v="611"/>
    </i>
    <i r="4">
      <x v="824"/>
      <x v="611"/>
    </i>
    <i r="4">
      <x v="1033"/>
      <x v="611"/>
    </i>
    <i r="4">
      <x v="1057"/>
      <x v="611"/>
    </i>
    <i r="4">
      <x v="1089"/>
      <x v="611"/>
    </i>
    <i r="4">
      <x v="1105"/>
      <x v="611"/>
    </i>
    <i r="4">
      <x v="1203"/>
      <x v="611"/>
    </i>
    <i r="2">
      <x v="12"/>
      <x v="25"/>
      <x v="55"/>
      <x v="611"/>
    </i>
    <i r="1">
      <x v="6"/>
      <x v="38"/>
      <x v="235"/>
      <x v="1229"/>
      <x v="611"/>
    </i>
    <i r="1">
      <x v="8"/>
      <x v="38"/>
      <x v="235"/>
      <x v="1390"/>
      <x v="611"/>
    </i>
    <i r="1">
      <x v="10"/>
      <x v="10"/>
      <x v="235"/>
      <x v="1847"/>
      <x v="611"/>
    </i>
    <i r="1">
      <x v="12"/>
      <x v="1"/>
      <x v="235"/>
      <x v="80"/>
      <x v="611"/>
    </i>
    <i r="4">
      <x v="352"/>
      <x v="611"/>
    </i>
    <i r="4">
      <x v="500"/>
      <x v="611"/>
    </i>
    <i r="4">
      <x v="607"/>
      <x v="611"/>
    </i>
    <i r="4">
      <x v="702"/>
      <x v="611"/>
    </i>
    <i r="4">
      <x v="771"/>
      <x v="611"/>
    </i>
    <i r="1">
      <x v="17"/>
      <x v="6"/>
      <x v="235"/>
      <x v="1696"/>
      <x v="611"/>
    </i>
    <i r="2">
      <x v="9"/>
      <x v="235"/>
      <x v="1433"/>
      <x v="611"/>
    </i>
    <i r="1">
      <x v="19"/>
      <x v="6"/>
      <x v="235"/>
      <x v="539"/>
      <x v="611"/>
    </i>
    <i r="1">
      <x v="23"/>
      <x v="6"/>
      <x v="235"/>
      <x v="325"/>
      <x v="611"/>
    </i>
    <i r="1">
      <x v="33"/>
      <x v="38"/>
      <x v="235"/>
      <x v="710"/>
      <x v="611"/>
    </i>
    <i r="1">
      <x v="34"/>
      <x v="38"/>
      <x v="235"/>
      <x v="1167"/>
      <x v="611"/>
    </i>
    <i r="1">
      <x v="35"/>
      <x v="1"/>
      <x v="235"/>
      <x v="80"/>
      <x v="611"/>
    </i>
    <i r="4">
      <x v="500"/>
      <x v="611"/>
    </i>
    <i r="1">
      <x v="36"/>
      <x v="8"/>
      <x v="235"/>
      <x v="1463"/>
      <x v="611"/>
    </i>
    <i r="2">
      <x v="9"/>
      <x v="235"/>
      <x v="1368"/>
      <x v="611"/>
    </i>
    <i r="2">
      <x v="38"/>
      <x v="235"/>
      <x v="214"/>
      <x v="611"/>
    </i>
    <i>
      <x v="147"/>
      <x/>
      <x v="12"/>
      <x v="4"/>
      <x v="73"/>
      <x v="611"/>
    </i>
    <i r="3">
      <x v="26"/>
      <x v="25"/>
      <x v="611"/>
    </i>
    <i r="3">
      <x v="55"/>
      <x v="25"/>
      <x v="611"/>
    </i>
    <i r="1">
      <x v="1"/>
      <x v="37"/>
      <x v="236"/>
      <x v="1851"/>
      <x v="611"/>
    </i>
    <i r="1">
      <x v="5"/>
      <x v="37"/>
      <x v="236"/>
      <x v="960"/>
      <x v="611"/>
    </i>
    <i r="1">
      <x v="12"/>
      <x v="1"/>
      <x v="236"/>
      <x v="80"/>
      <x v="611"/>
    </i>
    <i r="4">
      <x v="213"/>
      <x v="611"/>
    </i>
    <i r="4">
      <x v="352"/>
      <x v="611"/>
    </i>
    <i r="1">
      <x v="20"/>
      <x v="10"/>
      <x v="236"/>
      <x/>
      <x v="77"/>
    </i>
    <i r="1">
      <x v="29"/>
      <x v="6"/>
      <x v="236"/>
      <x v="955"/>
      <x v="611"/>
    </i>
    <i r="1">
      <x v="35"/>
      <x v="1"/>
      <x v="236"/>
      <x v="80"/>
      <x v="611"/>
    </i>
    <i r="1">
      <x v="36"/>
      <x v="6"/>
      <x v="236"/>
      <x v="838"/>
      <x v="611"/>
    </i>
    <i>
      <x v="148"/>
      <x/>
      <x v="1"/>
      <x v="237"/>
      <x v="80"/>
      <x v="611"/>
    </i>
    <i r="2">
      <x v="6"/>
      <x v="237"/>
      <x v="469"/>
      <x v="611"/>
    </i>
    <i r="2">
      <x v="8"/>
      <x v="237"/>
      <x v="682"/>
      <x v="611"/>
    </i>
    <i r="4">
      <x v="1187"/>
      <x v="611"/>
    </i>
    <i r="2">
      <x v="9"/>
      <x v="237"/>
      <x v="341"/>
      <x v="611"/>
    </i>
    <i r="4">
      <x v="429"/>
      <x v="611"/>
    </i>
    <i r="4">
      <x v="493"/>
      <x v="611"/>
    </i>
    <i r="4">
      <x v="915"/>
      <x v="611"/>
    </i>
    <i r="4">
      <x v="921"/>
      <x v="611"/>
    </i>
    <i r="4">
      <x v="959"/>
      <x v="611"/>
    </i>
    <i r="4">
      <x v="1210"/>
      <x v="611"/>
    </i>
    <i r="2">
      <x v="12"/>
      <x v="6"/>
      <x v="186"/>
      <x v="611"/>
    </i>
    <i r="3">
      <x v="28"/>
      <x v="131"/>
      <x v="611"/>
    </i>
    <i r="3">
      <x v="30"/>
      <x v="92"/>
      <x v="611"/>
    </i>
    <i r="3">
      <x v="35"/>
      <x v="27"/>
      <x v="611"/>
    </i>
    <i r="2">
      <x v="38"/>
      <x v="237"/>
      <x v="1503"/>
      <x v="611"/>
    </i>
    <i r="1">
      <x v="5"/>
      <x v="38"/>
      <x v="237"/>
      <x v="1665"/>
      <x v="611"/>
    </i>
    <i r="1">
      <x v="8"/>
      <x v="38"/>
      <x v="237"/>
      <x v="900"/>
      <x v="611"/>
    </i>
    <i r="1">
      <x v="9"/>
      <x v="8"/>
      <x v="237"/>
      <x v="683"/>
      <x v="611"/>
    </i>
    <i r="1">
      <x v="12"/>
      <x v="1"/>
      <x v="237"/>
      <x v="80"/>
      <x v="611"/>
    </i>
    <i r="4">
      <x v="213"/>
      <x v="611"/>
    </i>
    <i r="4">
      <x v="352"/>
      <x v="611"/>
    </i>
    <i r="4">
      <x v="500"/>
      <x v="611"/>
    </i>
    <i r="4">
      <x v="607"/>
      <x v="611"/>
    </i>
    <i r="1">
      <x v="15"/>
      <x v="8"/>
      <x v="237"/>
      <x v="224"/>
      <x v="611"/>
    </i>
    <i r="2">
      <x v="9"/>
      <x v="237"/>
      <x v="133"/>
      <x v="611"/>
    </i>
    <i r="1">
      <x v="17"/>
      <x v="7"/>
      <x v="237"/>
      <x v="1219"/>
      <x v="611"/>
    </i>
    <i r="2">
      <x v="10"/>
      <x v="237"/>
      <x v="1852"/>
      <x v="611"/>
    </i>
    <i r="1">
      <x v="23"/>
      <x v="38"/>
      <x v="237"/>
      <x v="84"/>
      <x v="611"/>
    </i>
    <i r="1">
      <x v="26"/>
      <x v="38"/>
      <x v="237"/>
      <x v="109"/>
      <x v="611"/>
    </i>
    <i r="1">
      <x v="27"/>
      <x v="6"/>
      <x v="237"/>
      <x v="1622"/>
      <x v="611"/>
    </i>
    <i r="1">
      <x v="31"/>
      <x v="9"/>
      <x v="237"/>
      <x v="1865"/>
      <x v="611"/>
    </i>
    <i r="1">
      <x v="32"/>
      <x v="9"/>
      <x v="237"/>
      <x/>
      <x v="78"/>
    </i>
    <i r="1">
      <x v="35"/>
      <x v="38"/>
      <x v="237"/>
      <x v="1271"/>
      <x v="611"/>
    </i>
    <i r="1">
      <x v="36"/>
      <x v="8"/>
      <x v="237"/>
      <x v="1115"/>
      <x v="611"/>
    </i>
    <i r="1">
      <x v="37"/>
      <x v="8"/>
      <x v="237"/>
      <x v="327"/>
      <x v="611"/>
    </i>
    <i r="2">
      <x v="9"/>
      <x v="237"/>
      <x v="1443"/>
      <x v="611"/>
    </i>
    <i>
      <x v="149"/>
      <x/>
      <x v="1"/>
      <x v="238"/>
      <x v="80"/>
      <x v="611"/>
    </i>
    <i r="2">
      <x v="9"/>
      <x v="238"/>
      <x v="539"/>
      <x v="611"/>
    </i>
    <i r="4">
      <x v="547"/>
      <x v="611"/>
    </i>
    <i r="4">
      <x v="984"/>
      <x v="611"/>
    </i>
    <i r="2">
      <x v="12"/>
      <x v="16"/>
      <x v="90"/>
      <x v="611"/>
    </i>
    <i r="3">
      <x v="19"/>
      <x v="25"/>
      <x v="611"/>
    </i>
    <i r="1">
      <x v="3"/>
      <x v="38"/>
      <x v="238"/>
      <x v="109"/>
      <x v="611"/>
    </i>
    <i r="1">
      <x v="5"/>
      <x v="10"/>
      <x v="238"/>
      <x v="1362"/>
      <x v="611"/>
    </i>
    <i r="2">
      <x v="38"/>
      <x v="238"/>
      <x v="371"/>
      <x v="611"/>
    </i>
    <i r="1">
      <x v="6"/>
      <x v="38"/>
      <x v="238"/>
      <x v="919"/>
      <x v="611"/>
    </i>
    <i r="1">
      <x v="12"/>
      <x v="1"/>
      <x v="238"/>
      <x v="80"/>
      <x v="611"/>
    </i>
    <i r="4">
      <x v="352"/>
      <x v="611"/>
    </i>
    <i r="4">
      <x v="500"/>
      <x v="611"/>
    </i>
    <i r="4">
      <x v="607"/>
      <x v="611"/>
    </i>
    <i r="1">
      <x v="15"/>
      <x v="38"/>
      <x v="238"/>
      <x v="1337"/>
      <x v="611"/>
    </i>
    <i r="1">
      <x v="21"/>
      <x v="38"/>
      <x v="238"/>
      <x v="1274"/>
      <x v="611"/>
    </i>
    <i r="1">
      <x v="23"/>
      <x v="7"/>
      <x v="238"/>
      <x v="371"/>
      <x v="611"/>
    </i>
    <i r="2">
      <x v="9"/>
      <x v="238"/>
      <x v="1512"/>
      <x v="611"/>
    </i>
    <i r="2">
      <x v="38"/>
      <x v="238"/>
      <x v="1855"/>
      <x v="611"/>
    </i>
    <i r="1">
      <x v="26"/>
      <x v="38"/>
      <x v="238"/>
      <x v="278"/>
      <x v="611"/>
    </i>
    <i r="1">
      <x v="33"/>
      <x v="9"/>
      <x v="238"/>
      <x v="1069"/>
      <x v="611"/>
    </i>
    <i r="2">
      <x v="38"/>
      <x v="238"/>
      <x v="849"/>
      <x v="611"/>
    </i>
    <i r="1">
      <x v="35"/>
      <x v="1"/>
      <x v="238"/>
      <x v="80"/>
      <x v="611"/>
    </i>
    <i r="4">
      <x v="352"/>
      <x v="611"/>
    </i>
    <i r="4">
      <x v="500"/>
      <x v="611"/>
    </i>
    <i>
      <x v="150"/>
      <x/>
      <x v="8"/>
      <x v="239"/>
      <x/>
      <x v="293"/>
    </i>
    <i r="5">
      <x v="473"/>
    </i>
    <i r="2">
      <x v="9"/>
      <x v="239"/>
      <x v="825"/>
      <x v="611"/>
    </i>
    <i r="4">
      <x v="1494"/>
      <x v="611"/>
    </i>
    <i r="2">
      <x v="10"/>
      <x v="239"/>
      <x/>
      <x v="525"/>
    </i>
    <i r="2">
      <x v="12"/>
      <x v="57"/>
      <x v="11"/>
      <x v="611"/>
    </i>
    <i r="1">
      <x v="8"/>
      <x v="38"/>
      <x v="239"/>
      <x v="868"/>
      <x v="611"/>
    </i>
    <i r="1">
      <x v="9"/>
      <x v="1"/>
      <x v="239"/>
      <x v="72"/>
      <x v="611"/>
    </i>
    <i r="1">
      <x v="11"/>
      <x v="7"/>
      <x v="239"/>
      <x v="313"/>
      <x v="611"/>
    </i>
    <i r="2">
      <x v="8"/>
      <x v="239"/>
      <x/>
      <x v="570"/>
    </i>
    <i r="1">
      <x v="12"/>
      <x v="1"/>
      <x v="239"/>
      <x v="80"/>
      <x v="611"/>
    </i>
    <i r="4">
      <x v="213"/>
      <x v="611"/>
    </i>
    <i r="2">
      <x v="38"/>
      <x v="239"/>
      <x v="1244"/>
      <x v="611"/>
    </i>
    <i r="1">
      <x v="14"/>
      <x v="8"/>
      <x v="239"/>
      <x/>
      <x v="401"/>
    </i>
    <i r="2">
      <x v="9"/>
      <x v="239"/>
      <x v="1169"/>
      <x v="611"/>
    </i>
    <i r="1">
      <x v="15"/>
      <x v="6"/>
      <x v="239"/>
      <x v="465"/>
      <x v="611"/>
    </i>
    <i r="2">
      <x v="37"/>
      <x v="239"/>
      <x v="1813"/>
      <x v="611"/>
    </i>
    <i r="2">
      <x v="38"/>
      <x v="239"/>
      <x v="1114"/>
      <x v="611"/>
    </i>
    <i>
      <x v="151"/>
      <x/>
      <x v="12"/>
      <x v="29"/>
      <x v="11"/>
      <x v="611"/>
    </i>
    <i r="2">
      <x v="16"/>
      <x v="240"/>
      <x v="636"/>
      <x v="611"/>
    </i>
    <i r="4">
      <x v="783"/>
      <x v="611"/>
    </i>
    <i r="4">
      <x v="811"/>
      <x v="611"/>
    </i>
    <i r="4">
      <x v="1237"/>
      <x v="611"/>
    </i>
    <i r="1">
      <x v="2"/>
      <x v="16"/>
      <x v="240"/>
      <x v="1760"/>
      <x v="611"/>
    </i>
    <i r="1">
      <x v="3"/>
      <x v="16"/>
      <x v="240"/>
      <x v="477"/>
      <x v="611"/>
    </i>
    <i r="2">
      <x v="38"/>
      <x v="241"/>
      <x v="138"/>
      <x v="611"/>
    </i>
    <i r="1">
      <x v="5"/>
      <x v="38"/>
      <x v="241"/>
      <x v="1773"/>
      <x v="611"/>
    </i>
    <i r="1">
      <x v="12"/>
      <x v="1"/>
      <x v="241"/>
      <x v="80"/>
      <x v="611"/>
    </i>
    <i r="4">
      <x v="213"/>
      <x v="611"/>
    </i>
    <i r="4">
      <x v="352"/>
      <x v="611"/>
    </i>
    <i r="2">
      <x v="16"/>
      <x v="240"/>
      <x v="434"/>
      <x v="611"/>
    </i>
    <i r="4">
      <x v="460"/>
      <x v="611"/>
    </i>
    <i r="4">
      <x v="1174"/>
      <x v="611"/>
    </i>
    <i r="4">
      <x v="1220"/>
      <x v="611"/>
    </i>
    <i r="4">
      <x v="1323"/>
      <x v="611"/>
    </i>
    <i r="4">
      <x v="1330"/>
      <x v="611"/>
    </i>
    <i r="4">
      <x v="1331"/>
      <x v="611"/>
    </i>
    <i r="4">
      <x v="1352"/>
      <x v="611"/>
    </i>
    <i r="4">
      <x v="1396"/>
      <x v="611"/>
    </i>
    <i r="4">
      <x v="1474"/>
      <x v="611"/>
    </i>
    <i r="4">
      <x v="1529"/>
      <x v="611"/>
    </i>
    <i r="4">
      <x v="1573"/>
      <x v="611"/>
    </i>
    <i r="4">
      <x v="1620"/>
      <x v="611"/>
    </i>
    <i r="4">
      <x v="1633"/>
      <x v="611"/>
    </i>
    <i r="4">
      <x v="1672"/>
      <x v="611"/>
    </i>
    <i r="4">
      <x v="1684"/>
      <x v="611"/>
    </i>
    <i r="4">
      <x v="1690"/>
      <x v="611"/>
    </i>
    <i r="4">
      <x v="1699"/>
      <x v="611"/>
    </i>
    <i r="4">
      <x v="1740"/>
      <x v="611"/>
    </i>
    <i r="4">
      <x v="1753"/>
      <x v="611"/>
    </i>
    <i r="4">
      <x v="1765"/>
      <x v="611"/>
    </i>
    <i r="4">
      <x v="1769"/>
      <x v="611"/>
    </i>
    <i r="4">
      <x v="1848"/>
      <x v="611"/>
    </i>
    <i r="1">
      <x v="14"/>
      <x v="16"/>
      <x v="240"/>
      <x v="107"/>
      <x v="611"/>
    </i>
    <i r="2">
      <x v="38"/>
      <x v="241"/>
      <x v="1208"/>
      <x v="611"/>
    </i>
    <i r="1">
      <x v="15"/>
      <x v="16"/>
      <x v="240"/>
      <x v="374"/>
      <x v="611"/>
    </i>
    <i r="1">
      <x v="19"/>
      <x v="38"/>
      <x v="241"/>
      <x v="292"/>
      <x v="611"/>
    </i>
    <i r="1">
      <x v="21"/>
      <x v="16"/>
      <x v="240"/>
      <x v="1311"/>
      <x v="611"/>
    </i>
    <i r="1">
      <x v="23"/>
      <x v="16"/>
      <x v="240"/>
      <x v="1781"/>
      <x v="611"/>
    </i>
    <i r="2">
      <x v="38"/>
      <x v="241"/>
      <x v="1379"/>
      <x v="611"/>
    </i>
    <i r="1">
      <x v="24"/>
      <x v="16"/>
      <x v="240"/>
      <x v="1441"/>
      <x v="611"/>
    </i>
    <i r="1">
      <x v="29"/>
      <x v="6"/>
      <x v="241"/>
      <x v="147"/>
      <x v="611"/>
    </i>
    <i r="1">
      <x v="35"/>
      <x v="1"/>
      <x v="241"/>
      <x v="80"/>
      <x v="611"/>
    </i>
    <i r="4">
      <x v="352"/>
      <x v="611"/>
    </i>
    <i r="2">
      <x v="16"/>
      <x v="240"/>
      <x v="65"/>
      <x v="611"/>
    </i>
    <i r="4">
      <x v="169"/>
      <x v="611"/>
    </i>
    <i r="4">
      <x v="241"/>
      <x v="611"/>
    </i>
    <i r="4">
      <x v="276"/>
      <x v="611"/>
    </i>
    <i r="4">
      <x v="280"/>
      <x v="611"/>
    </i>
    <i r="4">
      <x v="342"/>
      <x v="611"/>
    </i>
    <i r="4">
      <x v="393"/>
      <x v="611"/>
    </i>
    <i r="4">
      <x v="432"/>
      <x v="611"/>
    </i>
    <i r="4">
      <x v="451"/>
      <x v="611"/>
    </i>
    <i r="4">
      <x v="463"/>
      <x v="611"/>
    </i>
    <i r="4">
      <x v="496"/>
      <x v="611"/>
    </i>
    <i r="4">
      <x v="518"/>
      <x v="611"/>
    </i>
    <i r="4">
      <x v="762"/>
      <x v="611"/>
    </i>
    <i r="4">
      <x v="787"/>
      <x v="611"/>
    </i>
    <i r="4">
      <x v="1161"/>
      <x v="611"/>
    </i>
    <i r="4">
      <x v="1180"/>
      <x v="611"/>
    </i>
    <i r="4">
      <x v="1226"/>
      <x v="611"/>
    </i>
    <i r="1">
      <x v="37"/>
      <x v="38"/>
      <x v="241"/>
      <x v="1189"/>
      <x v="611"/>
    </i>
    <i>
      <x v="152"/>
      <x/>
      <x v="12"/>
      <x v="42"/>
      <x v="6"/>
      <x v="611"/>
    </i>
    <i r="3">
      <x v="50"/>
      <x v="39"/>
      <x v="611"/>
    </i>
    <i r="3">
      <x v="57"/>
      <x v="11"/>
      <x v="611"/>
    </i>
    <i r="1">
      <x v="3"/>
      <x v="8"/>
      <x v="242"/>
      <x/>
      <x v="538"/>
    </i>
    <i r="2">
      <x v="10"/>
      <x v="242"/>
      <x v="469"/>
      <x v="611"/>
    </i>
    <i r="1">
      <x v="7"/>
      <x v="8"/>
      <x v="242"/>
      <x/>
      <x v="462"/>
    </i>
    <i r="2">
      <x v="10"/>
      <x v="242"/>
      <x v="888"/>
      <x v="611"/>
    </i>
    <i r="2">
      <x v="38"/>
      <x v="242"/>
      <x v="791"/>
      <x v="611"/>
    </i>
    <i r="1">
      <x v="10"/>
      <x v="6"/>
      <x v="242"/>
      <x v="1263"/>
      <x v="611"/>
    </i>
    <i r="1">
      <x v="12"/>
      <x v="1"/>
      <x v="242"/>
      <x v="80"/>
      <x v="611"/>
    </i>
    <i r="4">
      <x v="213"/>
      <x v="611"/>
    </i>
    <i r="1">
      <x v="13"/>
      <x v="33"/>
      <x v="242"/>
      <x v="155"/>
      <x v="611"/>
    </i>
    <i r="1">
      <x v="14"/>
      <x v="8"/>
      <x v="242"/>
      <x/>
      <x v="596"/>
    </i>
    <i r="2">
      <x v="10"/>
      <x v="242"/>
      <x v="109"/>
      <x v="611"/>
    </i>
    <i r="1">
      <x v="17"/>
      <x v="38"/>
      <x v="242"/>
      <x v="469"/>
      <x v="611"/>
    </i>
    <i r="1">
      <x v="19"/>
      <x v="38"/>
      <x v="242"/>
      <x v="156"/>
      <x v="611"/>
    </i>
    <i r="1">
      <x v="23"/>
      <x v="38"/>
      <x v="242"/>
      <x v="278"/>
      <x v="611"/>
    </i>
    <i r="1">
      <x v="24"/>
      <x v="6"/>
      <x v="242"/>
      <x v="816"/>
      <x v="611"/>
    </i>
    <i r="2">
      <x v="8"/>
      <x v="242"/>
      <x/>
      <x v="596"/>
    </i>
    <i r="2">
      <x v="10"/>
      <x v="242"/>
      <x v="109"/>
      <x v="611"/>
    </i>
    <i r="1">
      <x v="28"/>
      <x v="8"/>
      <x v="242"/>
      <x/>
      <x v="429"/>
    </i>
    <i r="2">
      <x v="10"/>
      <x v="242"/>
      <x v="1052"/>
      <x v="611"/>
    </i>
    <i r="1">
      <x v="35"/>
      <x v="1"/>
      <x v="242"/>
      <x v="80"/>
      <x v="611"/>
    </i>
    <i r="4">
      <x v="500"/>
      <x v="611"/>
    </i>
    <i r="1">
      <x v="37"/>
      <x v="8"/>
      <x v="242"/>
      <x/>
      <x v="573"/>
    </i>
    <i r="2">
      <x v="10"/>
      <x v="242"/>
      <x v="283"/>
      <x v="611"/>
    </i>
    <i>
      <x v="153"/>
      <x/>
      <x v="8"/>
      <x v="243"/>
      <x v="1157"/>
      <x v="611"/>
    </i>
    <i r="2">
      <x v="9"/>
      <x v="243"/>
      <x v="371"/>
      <x v="611"/>
    </i>
    <i r="4">
      <x v="433"/>
      <x v="611"/>
    </i>
    <i r="4">
      <x v="605"/>
      <x v="611"/>
    </i>
    <i r="4">
      <x v="788"/>
      <x v="611"/>
    </i>
    <i r="4">
      <x v="939"/>
      <x v="611"/>
    </i>
    <i r="2">
      <x v="12"/>
      <x v="17"/>
      <x v="96"/>
      <x v="611"/>
    </i>
    <i r="3">
      <x v="19"/>
      <x v="46"/>
      <x v="611"/>
    </i>
    <i r="3">
      <x v="71"/>
      <x v="37"/>
      <x v="611"/>
    </i>
    <i r="1">
      <x v="2"/>
      <x v="10"/>
      <x v="243"/>
      <x v="1756"/>
      <x v="611"/>
    </i>
    <i r="1">
      <x v="3"/>
      <x v="10"/>
      <x v="243"/>
      <x v="1401"/>
      <x v="611"/>
    </i>
    <i r="1">
      <x v="7"/>
      <x v="8"/>
      <x v="243"/>
      <x v="714"/>
      <x v="611"/>
    </i>
    <i r="2">
      <x v="9"/>
      <x v="243"/>
      <x v="40"/>
      <x v="611"/>
    </i>
    <i r="1">
      <x v="9"/>
      <x v="8"/>
      <x v="243"/>
      <x v="423"/>
      <x v="611"/>
    </i>
    <i r="2">
      <x v="10"/>
      <x v="243"/>
      <x v="60"/>
      <x v="611"/>
    </i>
    <i r="1">
      <x v="15"/>
      <x v="8"/>
      <x v="243"/>
      <x v="883"/>
      <x v="611"/>
    </i>
    <i r="1">
      <x v="17"/>
      <x v="10"/>
      <x v="243"/>
      <x v="1776"/>
      <x v="611"/>
    </i>
    <i r="1">
      <x v="18"/>
      <x v="8"/>
      <x v="243"/>
      <x v="831"/>
      <x v="611"/>
    </i>
    <i r="1">
      <x v="24"/>
      <x v="9"/>
      <x v="243"/>
      <x v="1353"/>
      <x v="611"/>
    </i>
    <i r="2">
      <x v="10"/>
      <x v="243"/>
      <x v="287"/>
      <x v="611"/>
    </i>
    <i r="1">
      <x v="26"/>
      <x v="38"/>
      <x v="243"/>
      <x v="371"/>
      <x v="611"/>
    </i>
    <i r="1">
      <x v="35"/>
      <x v="1"/>
      <x v="243"/>
      <x v="213"/>
      <x v="611"/>
    </i>
    <i r="1">
      <x v="36"/>
      <x v="10"/>
      <x v="243"/>
      <x v="1534"/>
      <x v="611"/>
    </i>
    <i r="1">
      <x v="38"/>
      <x v="10"/>
      <x v="243"/>
      <x v="1017"/>
      <x v="611"/>
    </i>
    <i>
      <x v="154"/>
      <x/>
      <x v="12"/>
      <x v="71"/>
      <x v="11"/>
      <x v="611"/>
    </i>
    <i r="2">
      <x v="38"/>
      <x v="244"/>
      <x v="89"/>
      <x v="611"/>
    </i>
    <i r="4">
      <x v="138"/>
      <x v="611"/>
    </i>
    <i r="4">
      <x v="391"/>
      <x v="611"/>
    </i>
    <i r="1">
      <x v="12"/>
      <x v="1"/>
      <x v="244"/>
      <x v="80"/>
      <x v="611"/>
    </i>
    <i r="4">
      <x v="213"/>
      <x v="611"/>
    </i>
    <i r="4">
      <x v="352"/>
      <x v="611"/>
    </i>
    <i r="1">
      <x v="17"/>
      <x v="38"/>
      <x v="244"/>
      <x v="365"/>
      <x v="611"/>
    </i>
    <i r="1">
      <x v="23"/>
      <x v="38"/>
      <x v="244"/>
      <x v="1603"/>
      <x v="611"/>
    </i>
    <i r="1">
      <x v="33"/>
      <x v="37"/>
      <x v="244"/>
      <x v="897"/>
      <x v="611"/>
    </i>
    <i r="2">
      <x v="38"/>
      <x v="244"/>
      <x v="401"/>
      <x v="611"/>
    </i>
    <i r="1">
      <x v="35"/>
      <x v="1"/>
      <x v="244"/>
      <x v="80"/>
      <x v="611"/>
    </i>
    <i r="4">
      <x v="213"/>
      <x v="611"/>
    </i>
    <i r="4">
      <x v="352"/>
      <x v="611"/>
    </i>
    <i r="1">
      <x v="36"/>
      <x v="38"/>
      <x v="244"/>
      <x v="214"/>
      <x v="611"/>
    </i>
    <i>
      <x v="155"/>
      <x/>
      <x v="12"/>
      <x v="2"/>
      <x v="12"/>
      <x v="611"/>
    </i>
    <i r="3">
      <x v="10"/>
      <x v="119"/>
      <x v="611"/>
    </i>
    <i r="3">
      <x v="19"/>
      <x v="35"/>
      <x v="611"/>
    </i>
    <i r="3">
      <x v="39"/>
      <x v="180"/>
      <x v="611"/>
    </i>
    <i r="2">
      <x v="38"/>
      <x v="245"/>
      <x v="1177"/>
      <x v="611"/>
    </i>
    <i r="1">
      <x v="6"/>
      <x v="38"/>
      <x v="245"/>
      <x v="1357"/>
      <x v="611"/>
    </i>
    <i r="1">
      <x v="12"/>
      <x v="1"/>
      <x v="245"/>
      <x v="80"/>
      <x v="611"/>
    </i>
    <i r="4">
      <x v="213"/>
      <x v="611"/>
    </i>
    <i r="4">
      <x v="352"/>
      <x v="611"/>
    </i>
    <i r="1">
      <x v="33"/>
      <x v="38"/>
      <x v="245"/>
      <x v="235"/>
      <x v="611"/>
    </i>
    <i r="1">
      <x v="35"/>
      <x v="1"/>
      <x v="245"/>
      <x v="80"/>
      <x v="611"/>
    </i>
    <i>
      <x v="156"/>
      <x/>
      <x v="12"/>
      <x v="2"/>
      <x v="39"/>
      <x v="611"/>
    </i>
    <i r="3">
      <x v="32"/>
      <x v="391"/>
      <x v="611"/>
    </i>
    <i r="3">
      <x v="38"/>
      <x v="6"/>
      <x v="611"/>
    </i>
    <i r="2">
      <x v="38"/>
      <x v="246"/>
      <x v="138"/>
      <x v="611"/>
    </i>
    <i r="1">
      <x v="6"/>
      <x v="38"/>
      <x v="246"/>
      <x v="579"/>
      <x v="611"/>
    </i>
    <i r="1">
      <x v="12"/>
      <x v="1"/>
      <x v="246"/>
      <x v="80"/>
      <x v="611"/>
    </i>
    <i r="4">
      <x v="213"/>
      <x v="611"/>
    </i>
    <i r="4">
      <x v="500"/>
      <x v="611"/>
    </i>
    <i r="4">
      <x v="607"/>
      <x v="611"/>
    </i>
    <i r="2">
      <x v="38"/>
      <x v="246"/>
      <x v="1271"/>
      <x v="611"/>
    </i>
    <i r="4">
      <x v="1343"/>
      <x v="611"/>
    </i>
    <i r="4">
      <x v="1528"/>
      <x v="611"/>
    </i>
    <i r="1">
      <x v="31"/>
      <x v="6"/>
      <x v="246"/>
      <x v="1793"/>
      <x v="611"/>
    </i>
    <i r="1">
      <x v="35"/>
      <x v="1"/>
      <x v="246"/>
      <x v="80"/>
      <x v="611"/>
    </i>
    <i r="1">
      <x v="36"/>
      <x v="38"/>
      <x v="246"/>
      <x v="214"/>
      <x v="611"/>
    </i>
    <i>
      <x v="157"/>
      <x/>
      <x v="38"/>
      <x v="247"/>
      <x v="138"/>
      <x v="611"/>
    </i>
    <i r="4">
      <x v="524"/>
      <x v="611"/>
    </i>
    <i r="1">
      <x v="2"/>
      <x v="1"/>
      <x v="247"/>
      <x v="1284"/>
      <x v="611"/>
    </i>
    <i r="2">
      <x v="6"/>
      <x v="247"/>
      <x v="909"/>
      <x v="611"/>
    </i>
    <i r="1">
      <x v="3"/>
      <x v="38"/>
      <x v="247"/>
      <x v="1070"/>
      <x v="611"/>
    </i>
    <i r="1">
      <x v="7"/>
      <x v="38"/>
      <x v="247"/>
      <x v="1770"/>
      <x v="611"/>
    </i>
    <i r="1">
      <x v="12"/>
      <x v="1"/>
      <x v="247"/>
      <x v="80"/>
      <x v="611"/>
    </i>
    <i r="4">
      <x v="213"/>
      <x v="611"/>
    </i>
    <i r="4">
      <x v="352"/>
      <x v="611"/>
    </i>
    <i r="4">
      <x v="771"/>
      <x v="611"/>
    </i>
    <i r="4">
      <x v="964"/>
      <x v="611"/>
    </i>
    <i r="1">
      <x v="17"/>
      <x v="38"/>
      <x v="247"/>
      <x v="1708"/>
      <x v="611"/>
    </i>
    <i r="1">
      <x v="35"/>
      <x v="1"/>
      <x v="247"/>
      <x v="80"/>
      <x v="611"/>
    </i>
    <i>
      <x v="158"/>
      <x/>
      <x v="12"/>
      <x v="52"/>
      <x v="9"/>
      <x v="611"/>
    </i>
    <i r="3">
      <x v="57"/>
      <x v="6"/>
      <x v="611"/>
    </i>
    <i r="1">
      <x v="5"/>
      <x v="10"/>
      <x v="248"/>
      <x v="1336"/>
      <x v="611"/>
    </i>
    <i r="1">
      <x v="9"/>
      <x v="10"/>
      <x v="248"/>
      <x v="176"/>
      <x v="611"/>
    </i>
    <i r="1">
      <x v="12"/>
      <x v="1"/>
      <x v="248"/>
      <x v="213"/>
      <x v="611"/>
    </i>
    <i r="4">
      <x v="352"/>
      <x v="611"/>
    </i>
    <i r="4">
      <x v="500"/>
      <x v="611"/>
    </i>
    <i r="4">
      <x v="607"/>
      <x v="611"/>
    </i>
    <i r="4">
      <x v="702"/>
      <x v="611"/>
    </i>
    <i r="4">
      <x v="771"/>
      <x v="611"/>
    </i>
    <i r="1">
      <x v="15"/>
      <x v="10"/>
      <x v="248"/>
      <x v="1807"/>
      <x v="611"/>
    </i>
    <i r="2">
      <x v="38"/>
      <x v="248"/>
      <x v="607"/>
      <x v="611"/>
    </i>
    <i r="1">
      <x v="19"/>
      <x v="6"/>
      <x v="248"/>
      <x v="902"/>
      <x v="611"/>
    </i>
    <i r="1">
      <x v="23"/>
      <x v="1"/>
      <x v="248"/>
      <x v="718"/>
      <x v="611"/>
    </i>
    <i r="1">
      <x v="24"/>
      <x v="6"/>
      <x v="248"/>
      <x v="1268"/>
      <x v="611"/>
    </i>
    <i r="1">
      <x v="35"/>
      <x v="1"/>
      <x v="248"/>
      <x v="80"/>
      <x v="611"/>
    </i>
    <i>
      <x v="159"/>
      <x/>
      <x v="6"/>
      <x v="250"/>
      <x v="469"/>
      <x v="611"/>
    </i>
    <i r="4">
      <x v="1345"/>
      <x v="611"/>
    </i>
    <i r="2">
      <x v="9"/>
      <x v="250"/>
      <x v="605"/>
      <x v="611"/>
    </i>
    <i r="4">
      <x v="909"/>
      <x v="611"/>
    </i>
    <i r="2">
      <x v="12"/>
      <x v="64"/>
      <x v="69"/>
      <x v="611"/>
    </i>
    <i r="1">
      <x v="12"/>
      <x v="1"/>
      <x v="250"/>
      <x v="80"/>
      <x v="611"/>
    </i>
    <i r="4">
      <x v="213"/>
      <x v="611"/>
    </i>
    <i r="4">
      <x v="500"/>
      <x v="611"/>
    </i>
    <i r="4">
      <x v="771"/>
      <x v="611"/>
    </i>
    <i r="2">
      <x v="8"/>
      <x v="250"/>
      <x/>
      <x v="599"/>
    </i>
    <i r="2">
      <x v="29"/>
      <x v="249"/>
      <x v="221"/>
      <x v="611"/>
    </i>
    <i r="1">
      <x v="15"/>
      <x v="10"/>
      <x v="250"/>
      <x v="1402"/>
      <x v="611"/>
    </i>
    <i r="1">
      <x v="19"/>
      <x v="6"/>
      <x v="250"/>
      <x v="840"/>
      <x v="611"/>
    </i>
    <i r="1">
      <x v="33"/>
      <x v="6"/>
      <x v="250"/>
      <x v="469"/>
      <x v="611"/>
    </i>
    <i r="2">
      <x v="38"/>
      <x v="250"/>
      <x v="82"/>
      <x v="611"/>
    </i>
    <i r="1">
      <x v="35"/>
      <x v="1"/>
      <x v="250"/>
      <x v="80"/>
      <x v="611"/>
    </i>
    <i r="4">
      <x v="213"/>
      <x v="611"/>
    </i>
    <i r="1">
      <x v="37"/>
      <x v="38"/>
      <x v="250"/>
      <x v="256"/>
      <x v="611"/>
    </i>
    <i>
      <x v="160"/>
      <x/>
      <x v="38"/>
      <x v="251"/>
      <x v="607"/>
      <x v="611"/>
    </i>
    <i r="1">
      <x v="12"/>
      <x v="1"/>
      <x v="251"/>
      <x v="80"/>
      <x v="611"/>
    </i>
    <i r="4">
      <x v="213"/>
      <x v="611"/>
    </i>
    <i r="4">
      <x v="352"/>
      <x v="611"/>
    </i>
    <i r="4">
      <x v="500"/>
      <x v="611"/>
    </i>
    <i r="1">
      <x v="15"/>
      <x v="38"/>
      <x v="251"/>
      <x v="213"/>
      <x v="611"/>
    </i>
    <i r="1">
      <x v="23"/>
      <x v="38"/>
      <x v="251"/>
      <x v="972"/>
      <x v="611"/>
    </i>
    <i r="1">
      <x v="35"/>
      <x v="1"/>
      <x v="251"/>
      <x v="80"/>
      <x v="611"/>
    </i>
    <i>
      <x v="161"/>
      <x/>
      <x v="12"/>
      <x v="12"/>
      <x v="199"/>
      <x v="611"/>
    </i>
    <i r="3">
      <x v="20"/>
      <x v="733"/>
      <x v="611"/>
    </i>
    <i r="3">
      <x v="30"/>
      <x v="6"/>
      <x v="611"/>
    </i>
    <i r="3">
      <x v="58"/>
      <x v="6"/>
      <x v="611"/>
    </i>
    <i r="1">
      <x v="12"/>
      <x v="1"/>
      <x v="252"/>
      <x v="80"/>
      <x v="611"/>
    </i>
    <i r="4">
      <x v="213"/>
      <x v="611"/>
    </i>
    <i r="1">
      <x v="14"/>
      <x v="6"/>
      <x v="252"/>
      <x v="1871"/>
      <x v="611"/>
    </i>
    <i r="1">
      <x v="35"/>
      <x v="1"/>
      <x v="252"/>
      <x v="213"/>
      <x v="611"/>
    </i>
    <i>
      <x v="162"/>
      <x/>
      <x v="6"/>
      <x v="253"/>
      <x v="334"/>
      <x v="611"/>
    </i>
    <i r="2">
      <x v="8"/>
      <x v="253"/>
      <x v="74"/>
      <x v="611"/>
    </i>
    <i r="4">
      <x v="846"/>
      <x v="611"/>
    </i>
    <i r="4">
      <x v="910"/>
      <x v="611"/>
    </i>
    <i r="2">
      <x v="9"/>
      <x v="253"/>
      <x v="125"/>
      <x v="611"/>
    </i>
    <i r="4">
      <x v="191"/>
      <x v="611"/>
    </i>
    <i r="4">
      <x v="203"/>
      <x v="611"/>
    </i>
    <i r="4">
      <x v="303"/>
      <x v="611"/>
    </i>
    <i r="4">
      <x v="504"/>
      <x v="611"/>
    </i>
    <i r="4">
      <x v="524"/>
      <x v="611"/>
    </i>
    <i r="4">
      <x v="543"/>
      <x v="611"/>
    </i>
    <i r="4">
      <x v="551"/>
      <x v="611"/>
    </i>
    <i r="4">
      <x v="1007"/>
      <x v="611"/>
    </i>
    <i r="4">
      <x v="1027"/>
      <x v="611"/>
    </i>
    <i r="1">
      <x v="3"/>
      <x v="8"/>
      <x v="253"/>
      <x v="865"/>
      <x v="611"/>
    </i>
    <i r="2">
      <x v="37"/>
      <x v="253"/>
      <x v="1069"/>
      <x v="611"/>
    </i>
    <i r="2">
      <x v="38"/>
      <x v="253"/>
      <x v="109"/>
      <x v="611"/>
    </i>
    <i r="1">
      <x v="5"/>
      <x v="37"/>
      <x v="253"/>
      <x v="1069"/>
      <x v="611"/>
    </i>
    <i r="1">
      <x v="7"/>
      <x v="38"/>
      <x v="253"/>
      <x v="304"/>
      <x v="611"/>
    </i>
    <i r="1">
      <x v="9"/>
      <x v="8"/>
      <x v="253"/>
      <x v="208"/>
      <x v="611"/>
    </i>
    <i r="1">
      <x v="11"/>
      <x v="9"/>
      <x v="253"/>
      <x v="410"/>
      <x v="611"/>
    </i>
    <i r="1">
      <x v="12"/>
      <x v="1"/>
      <x v="253"/>
      <x v="80"/>
      <x v="611"/>
    </i>
    <i r="4">
      <x v="213"/>
      <x v="611"/>
    </i>
    <i r="4">
      <x v="352"/>
      <x v="611"/>
    </i>
    <i r="1">
      <x v="14"/>
      <x v="38"/>
      <x v="253"/>
      <x v="177"/>
      <x v="611"/>
    </i>
    <i r="1">
      <x v="15"/>
      <x v="7"/>
      <x v="253"/>
      <x v="205"/>
      <x v="611"/>
    </i>
    <i r="2">
      <x v="8"/>
      <x v="253"/>
      <x v="356"/>
      <x v="611"/>
    </i>
    <i r="2">
      <x v="38"/>
      <x v="253"/>
      <x v="846"/>
      <x v="611"/>
    </i>
    <i r="1">
      <x v="17"/>
      <x v="7"/>
      <x v="253"/>
      <x v="275"/>
      <x v="611"/>
    </i>
    <i r="2">
      <x v="8"/>
      <x v="253"/>
      <x v="1071"/>
      <x v="611"/>
    </i>
    <i r="1">
      <x v="23"/>
      <x v="6"/>
      <x v="253"/>
      <x v="278"/>
      <x v="611"/>
    </i>
    <i r="1">
      <x v="29"/>
      <x v="37"/>
      <x v="253"/>
      <x v="721"/>
      <x v="611"/>
    </i>
    <i r="1">
      <x v="33"/>
      <x v="8"/>
      <x v="253"/>
      <x v="1080"/>
      <x v="611"/>
    </i>
    <i r="2">
      <x v="9"/>
      <x v="253"/>
      <x v="500"/>
      <x v="611"/>
    </i>
    <i r="1">
      <x v="35"/>
      <x v="1"/>
      <x v="253"/>
      <x v="80"/>
      <x v="611"/>
    </i>
    <i r="1">
      <x v="36"/>
      <x v="8"/>
      <x v="253"/>
      <x v="459"/>
      <x v="611"/>
    </i>
    <i>
      <x v="163"/>
      <x/>
      <x v="8"/>
      <x v="254"/>
      <x/>
      <x v="468"/>
    </i>
    <i r="2">
      <x v="12"/>
      <x v="23"/>
      <x v="24"/>
      <x v="611"/>
    </i>
    <i r="3">
      <x v="47"/>
      <x v="654"/>
      <x v="611"/>
    </i>
    <i r="3">
      <x v="58"/>
      <x v="6"/>
      <x v="611"/>
    </i>
    <i r="3">
      <x v="59"/>
      <x v="77"/>
      <x v="611"/>
    </i>
    <i r="1">
      <x v="6"/>
      <x v="38"/>
      <x v="254"/>
      <x v="971"/>
      <x v="611"/>
    </i>
    <i r="1">
      <x v="12"/>
      <x v="1"/>
      <x v="254"/>
      <x v="80"/>
      <x v="611"/>
    </i>
    <i r="4">
      <x v="352"/>
      <x v="611"/>
    </i>
    <i r="1">
      <x v="19"/>
      <x v="37"/>
      <x v="254"/>
      <x v="1464"/>
      <x v="611"/>
    </i>
    <i r="1">
      <x v="33"/>
      <x v="38"/>
      <x v="254"/>
      <x v="114"/>
      <x v="611"/>
    </i>
    <i>
      <x v="164"/>
      <x/>
      <x v="12"/>
      <x v="13"/>
      <x v="140"/>
      <x v="611"/>
    </i>
    <i r="3">
      <x v="18"/>
      <x v="92"/>
      <x v="611"/>
    </i>
    <i r="3">
      <x v="21"/>
      <x v="310"/>
      <x v="611"/>
    </i>
    <i r="3">
      <x v="40"/>
      <x v="219"/>
      <x v="611"/>
    </i>
    <i r="3">
      <x v="52"/>
      <x v="9"/>
      <x v="611"/>
    </i>
    <i r="3">
      <x v="55"/>
      <x v="92"/>
      <x v="611"/>
    </i>
    <i r="3">
      <x v="68"/>
      <x v="134"/>
      <x v="611"/>
    </i>
    <i r="3">
      <x v="71"/>
      <x v="11"/>
      <x v="611"/>
    </i>
    <i r="2">
      <x v="23"/>
      <x v="255"/>
      <x v="705"/>
      <x v="611"/>
    </i>
    <i r="4">
      <x v="735"/>
      <x v="611"/>
    </i>
    <i r="4">
      <x v="752"/>
      <x v="611"/>
    </i>
    <i r="4">
      <x v="842"/>
      <x v="611"/>
    </i>
    <i r="4">
      <x v="884"/>
      <x v="611"/>
    </i>
    <i r="4">
      <x v="922"/>
      <x v="611"/>
    </i>
    <i r="2">
      <x v="38"/>
      <x v="256"/>
      <x v="262"/>
      <x v="611"/>
    </i>
    <i r="1">
      <x v="2"/>
      <x v="23"/>
      <x v="255"/>
      <x v="1836"/>
      <x v="611"/>
    </i>
    <i r="1">
      <x v="3"/>
      <x v="6"/>
      <x v="256"/>
      <x v="387"/>
      <x v="611"/>
    </i>
    <i r="2">
      <x v="23"/>
      <x v="255"/>
      <x v="731"/>
      <x v="611"/>
    </i>
    <i r="2">
      <x v="38"/>
      <x v="256"/>
      <x v="176"/>
      <x v="611"/>
    </i>
    <i r="1">
      <x v="12"/>
      <x v="1"/>
      <x v="256"/>
      <x v="80"/>
      <x v="611"/>
    </i>
    <i r="2">
      <x v="23"/>
      <x v="255"/>
      <x v="171"/>
      <x v="611"/>
    </i>
    <i r="4">
      <x v="188"/>
      <x v="611"/>
    </i>
    <i r="4">
      <x v="189"/>
      <x v="611"/>
    </i>
    <i r="4">
      <x v="225"/>
      <x v="611"/>
    </i>
    <i r="4">
      <x v="339"/>
      <x v="611"/>
    </i>
    <i r="4">
      <x v="392"/>
      <x v="611"/>
    </i>
    <i r="4">
      <x v="607"/>
      <x v="611"/>
    </i>
    <i r="4">
      <x v="638"/>
      <x v="611"/>
    </i>
    <i r="4">
      <x v="995"/>
      <x v="611"/>
    </i>
    <i r="4">
      <x v="1015"/>
      <x v="611"/>
    </i>
    <i r="4">
      <x v="1331"/>
      <x v="611"/>
    </i>
    <i r="4">
      <x v="1428"/>
      <x v="611"/>
    </i>
    <i r="4">
      <x v="1437"/>
      <x v="611"/>
    </i>
    <i r="4">
      <x v="1439"/>
      <x v="611"/>
    </i>
    <i r="4">
      <x v="1447"/>
      <x v="611"/>
    </i>
    <i r="4">
      <x v="1458"/>
      <x v="611"/>
    </i>
    <i r="4">
      <x v="1478"/>
      <x v="611"/>
    </i>
    <i r="4">
      <x v="1586"/>
      <x v="611"/>
    </i>
    <i r="4">
      <x v="1602"/>
      <x v="611"/>
    </i>
    <i r="4">
      <x v="1605"/>
      <x v="611"/>
    </i>
    <i r="4">
      <x v="1632"/>
      <x v="611"/>
    </i>
    <i r="4">
      <x v="1638"/>
      <x v="611"/>
    </i>
    <i r="4">
      <x v="1646"/>
      <x v="611"/>
    </i>
    <i r="4">
      <x v="1679"/>
      <x v="611"/>
    </i>
    <i r="4">
      <x v="1692"/>
      <x v="611"/>
    </i>
    <i r="4">
      <x v="1716"/>
      <x v="611"/>
    </i>
    <i r="4">
      <x v="1762"/>
      <x v="611"/>
    </i>
    <i r="4">
      <x v="1767"/>
      <x v="611"/>
    </i>
    <i r="4">
      <x v="1774"/>
      <x v="611"/>
    </i>
    <i r="4">
      <x v="1809"/>
      <x v="611"/>
    </i>
    <i r="2">
      <x v="38"/>
      <x v="256"/>
      <x v="6"/>
      <x v="611"/>
    </i>
    <i r="1">
      <x v="14"/>
      <x v="1"/>
      <x v="256"/>
      <x v="602"/>
      <x v="611"/>
    </i>
    <i r="2">
      <x v="23"/>
      <x v="255"/>
      <x v="294"/>
      <x v="611"/>
    </i>
    <i r="1">
      <x v="15"/>
      <x v="23"/>
      <x v="255"/>
      <x v="1843"/>
      <x v="611"/>
    </i>
    <i r="2">
      <x v="38"/>
      <x v="256"/>
      <x v="1619"/>
      <x v="611"/>
    </i>
    <i r="1">
      <x v="23"/>
      <x v="23"/>
      <x v="255"/>
      <x v="1811"/>
      <x v="611"/>
    </i>
    <i r="2">
      <x v="38"/>
      <x v="256"/>
      <x v="165"/>
      <x v="611"/>
    </i>
    <i r="1">
      <x v="24"/>
      <x v="23"/>
      <x v="255"/>
      <x v="1432"/>
      <x v="611"/>
    </i>
    <i r="1">
      <x v="33"/>
      <x v="38"/>
      <x v="256"/>
      <x v="541"/>
      <x v="611"/>
    </i>
    <i r="1">
      <x v="35"/>
      <x v="23"/>
      <x v="255"/>
      <x v="47"/>
      <x v="611"/>
    </i>
    <i r="4">
      <x v="183"/>
      <x v="611"/>
    </i>
    <i r="4">
      <x v="268"/>
      <x v="611"/>
    </i>
    <i r="4">
      <x v="283"/>
      <x v="611"/>
    </i>
    <i r="4">
      <x v="336"/>
      <x v="611"/>
    </i>
    <i r="4">
      <x v="343"/>
      <x v="611"/>
    </i>
    <i r="4">
      <x v="384"/>
      <x v="611"/>
    </i>
    <i r="4">
      <x v="419"/>
      <x v="611"/>
    </i>
    <i r="4">
      <x v="656"/>
      <x v="611"/>
    </i>
    <i r="4">
      <x v="677"/>
      <x v="611"/>
    </i>
    <i r="4">
      <x v="709"/>
      <x v="611"/>
    </i>
    <i r="4">
      <x v="816"/>
      <x v="611"/>
    </i>
    <i r="4">
      <x v="843"/>
      <x v="611"/>
    </i>
    <i r="4">
      <x v="859"/>
      <x v="611"/>
    </i>
    <i r="4">
      <x v="969"/>
      <x v="611"/>
    </i>
    <i r="4">
      <x v="1016"/>
      <x v="611"/>
    </i>
    <i r="4">
      <x v="1129"/>
      <x v="611"/>
    </i>
    <i r="4">
      <x v="1209"/>
      <x v="611"/>
    </i>
    <i r="4">
      <x v="1217"/>
      <x v="611"/>
    </i>
    <i r="4">
      <x v="1257"/>
      <x v="611"/>
    </i>
    <i r="4">
      <x v="1590"/>
      <x v="611"/>
    </i>
    <i>
      <x v="165"/>
      <x/>
      <x v="1"/>
      <x v="257"/>
      <x v="213"/>
      <x v="611"/>
    </i>
    <i r="2">
      <x v="8"/>
      <x v="257"/>
      <x v="320"/>
      <x v="611"/>
    </i>
    <i r="4">
      <x v="397"/>
      <x v="611"/>
    </i>
    <i r="4">
      <x v="408"/>
      <x v="611"/>
    </i>
    <i r="4">
      <x v="550"/>
      <x v="611"/>
    </i>
    <i r="4">
      <x v="605"/>
      <x v="611"/>
    </i>
    <i r="4">
      <x v="1158"/>
      <x v="611"/>
    </i>
    <i r="2">
      <x v="9"/>
      <x v="257"/>
      <x v="248"/>
      <x v="611"/>
    </i>
    <i r="4">
      <x v="469"/>
      <x v="611"/>
    </i>
    <i r="4">
      <x v="866"/>
      <x v="611"/>
    </i>
    <i r="4">
      <x v="891"/>
      <x v="611"/>
    </i>
    <i r="4">
      <x v="945"/>
      <x v="611"/>
    </i>
    <i r="4">
      <x v="1036"/>
      <x v="611"/>
    </i>
    <i r="4">
      <x v="1126"/>
      <x v="611"/>
    </i>
    <i r="4">
      <x v="1234"/>
      <x v="611"/>
    </i>
    <i r="2">
      <x v="12"/>
      <x v="9"/>
      <x v="82"/>
      <x v="611"/>
    </i>
    <i r="3">
      <x v="11"/>
      <x v="138"/>
      <x v="611"/>
    </i>
    <i r="3">
      <x v="19"/>
      <x v="188"/>
      <x v="611"/>
    </i>
    <i r="3">
      <x v="42"/>
      <x v="69"/>
      <x v="611"/>
    </i>
    <i r="2">
      <x v="38"/>
      <x v="257"/>
      <x v="6"/>
      <x v="611"/>
    </i>
    <i r="4">
      <x v="138"/>
      <x v="611"/>
    </i>
    <i r="4">
      <x v="676"/>
      <x v="611"/>
    </i>
    <i r="4">
      <x v="1830"/>
      <x v="611"/>
    </i>
    <i r="1">
      <x v="2"/>
      <x v="6"/>
      <x v="257"/>
      <x v="661"/>
      <x v="611"/>
    </i>
    <i r="1">
      <x v="6"/>
      <x v="38"/>
      <x v="257"/>
      <x v="763"/>
      <x v="611"/>
    </i>
    <i r="1">
      <x v="12"/>
      <x v="1"/>
      <x v="257"/>
      <x v="80"/>
      <x v="611"/>
    </i>
    <i r="4">
      <x v="213"/>
      <x v="611"/>
    </i>
    <i r="4">
      <x v="500"/>
      <x v="611"/>
    </i>
    <i r="2">
      <x v="38"/>
      <x v="257"/>
      <x v="6"/>
      <x v="611"/>
    </i>
    <i r="4">
      <x v="49"/>
      <x v="611"/>
    </i>
    <i r="1">
      <x v="14"/>
      <x v="38"/>
      <x v="257"/>
      <x v="937"/>
      <x v="611"/>
    </i>
    <i r="1">
      <x v="15"/>
      <x v="6"/>
      <x v="257"/>
      <x v="410"/>
      <x v="611"/>
    </i>
    <i r="2">
      <x v="9"/>
      <x v="257"/>
      <x v="1044"/>
      <x v="611"/>
    </i>
    <i r="2">
      <x v="38"/>
      <x v="257"/>
      <x v="1122"/>
      <x v="611"/>
    </i>
    <i r="1">
      <x v="28"/>
      <x v="1"/>
      <x v="257"/>
      <x v="250"/>
      <x v="611"/>
    </i>
    <i r="1">
      <x v="35"/>
      <x v="1"/>
      <x v="257"/>
      <x v="213"/>
      <x v="611"/>
    </i>
    <i r="4">
      <x v="352"/>
      <x v="611"/>
    </i>
    <i>
      <x v="166"/>
      <x/>
      <x v="12"/>
      <x v="6"/>
      <x v="90"/>
      <x v="611"/>
    </i>
    <i r="3">
      <x v="56"/>
      <x v="69"/>
      <x v="611"/>
    </i>
    <i r="1">
      <x v="12"/>
      <x v="1"/>
      <x v="258"/>
      <x v="80"/>
      <x v="611"/>
    </i>
    <i r="4">
      <x v="213"/>
      <x v="611"/>
    </i>
    <i r="4">
      <x v="352"/>
      <x v="611"/>
    </i>
    <i r="1">
      <x v="35"/>
      <x v="1"/>
      <x v="258"/>
      <x v="80"/>
      <x v="611"/>
    </i>
    <i>
      <x v="167"/>
      <x/>
      <x v="8"/>
      <x v="260"/>
      <x v="1199"/>
      <x v="611"/>
    </i>
    <i r="2">
      <x v="10"/>
      <x v="260"/>
      <x/>
      <x v="519"/>
    </i>
    <i r="2">
      <x v="12"/>
      <x v="6"/>
      <x v="90"/>
      <x v="611"/>
    </i>
    <i r="3">
      <x v="16"/>
      <x v="138"/>
      <x v="611"/>
    </i>
    <i r="3">
      <x v="27"/>
      <x v="92"/>
      <x v="611"/>
    </i>
    <i r="3">
      <x v="30"/>
      <x v="6"/>
      <x v="611"/>
    </i>
    <i r="3">
      <x v="39"/>
      <x v="61"/>
      <x v="611"/>
    </i>
    <i r="3">
      <x v="57"/>
      <x v="69"/>
      <x v="611"/>
    </i>
    <i r="1">
      <x v="5"/>
      <x v="37"/>
      <x v="260"/>
      <x v="1270"/>
      <x v="611"/>
    </i>
    <i r="2">
      <x v="38"/>
      <x v="260"/>
      <x v="607"/>
      <x v="611"/>
    </i>
    <i r="1">
      <x v="6"/>
      <x v="38"/>
      <x v="260"/>
      <x v="551"/>
      <x v="611"/>
    </i>
    <i r="1">
      <x v="12"/>
      <x v="1"/>
      <x v="260"/>
      <x v="80"/>
      <x v="611"/>
    </i>
    <i r="1">
      <x v="14"/>
      <x v="6"/>
      <x v="260"/>
      <x v="1792"/>
      <x v="611"/>
    </i>
    <i r="2">
      <x v="29"/>
      <x v="259"/>
      <x v="1182"/>
      <x v="611"/>
    </i>
    <i r="1">
      <x v="15"/>
      <x v="10"/>
      <x v="260"/>
      <x/>
      <x v="519"/>
    </i>
    <i r="1">
      <x v="33"/>
      <x v="37"/>
      <x v="260"/>
      <x v="1208"/>
      <x v="611"/>
    </i>
    <i r="1">
      <x v="35"/>
      <x v="1"/>
      <x v="260"/>
      <x v="80"/>
      <x v="611"/>
    </i>
    <i>
      <x v="168"/>
      <x/>
      <x v="1"/>
      <x v="262"/>
      <x v="80"/>
      <x v="611"/>
    </i>
    <i r="2">
      <x v="11"/>
      <x v="51"/>
      <x v="633"/>
      <x v="611"/>
    </i>
    <i r="2">
      <x v="12"/>
      <x v="12"/>
      <x v="39"/>
      <x v="611"/>
    </i>
    <i r="3">
      <x v="38"/>
      <x v="114"/>
      <x v="611"/>
    </i>
    <i r="3">
      <x v="55"/>
      <x v="92"/>
      <x v="611"/>
    </i>
    <i r="3">
      <x v="57"/>
      <x v="192"/>
      <x v="611"/>
    </i>
    <i r="2">
      <x v="38"/>
      <x v="262"/>
      <x v="262"/>
      <x v="611"/>
    </i>
    <i r="4">
      <x v="1137"/>
      <x v="611"/>
    </i>
    <i r="4">
      <x v="1343"/>
      <x v="611"/>
    </i>
    <i r="1">
      <x v="3"/>
      <x v="38"/>
      <x v="262"/>
      <x v="1133"/>
      <x v="611"/>
    </i>
    <i r="1">
      <x v="12"/>
      <x v="1"/>
      <x v="262"/>
      <x v="80"/>
      <x v="611"/>
    </i>
    <i r="4">
      <x v="213"/>
      <x v="611"/>
    </i>
    <i r="4">
      <x v="352"/>
      <x v="611"/>
    </i>
    <i r="4">
      <x v="500"/>
      <x v="611"/>
    </i>
    <i r="4">
      <x v="607"/>
      <x v="611"/>
    </i>
    <i r="2">
      <x v="38"/>
      <x v="262"/>
      <x v="1697"/>
      <x v="611"/>
    </i>
    <i r="1">
      <x v="14"/>
      <x v="6"/>
      <x v="262"/>
      <x v="1792"/>
      <x v="611"/>
    </i>
    <i r="2">
      <x v="9"/>
      <x v="262"/>
      <x/>
      <x v="127"/>
    </i>
    <i r="2">
      <x v="29"/>
      <x v="261"/>
      <x v="1238"/>
      <x v="611"/>
    </i>
    <i r="1">
      <x v="15"/>
      <x v="33"/>
      <x v="262"/>
      <x v="981"/>
      <x v="611"/>
    </i>
    <i r="2">
      <x v="38"/>
      <x v="262"/>
      <x v="500"/>
      <x v="611"/>
    </i>
    <i r="1">
      <x v="26"/>
      <x v="38"/>
      <x v="262"/>
      <x v="719"/>
      <x v="611"/>
    </i>
    <i>
      <x v="169"/>
      <x/>
      <x v="12"/>
      <x v="6"/>
      <x v="32"/>
      <x v="611"/>
    </i>
    <i r="3">
      <x v="61"/>
      <x v="315"/>
      <x v="611"/>
    </i>
    <i r="3">
      <x v="62"/>
      <x v="81"/>
      <x v="611"/>
    </i>
    <i>
      <x v="170"/>
      <x/>
      <x v="6"/>
      <x v="408"/>
      <x v="2810"/>
      <x v="611"/>
    </i>
    <i r="2">
      <x v="8"/>
      <x v="408"/>
      <x v="2947"/>
      <x v="611"/>
    </i>
    <i r="4">
      <x v="2981"/>
      <x v="611"/>
    </i>
    <i r="2">
      <x v="9"/>
      <x v="408"/>
      <x v="1062"/>
      <x v="611"/>
    </i>
    <i r="4">
      <x v="3204"/>
      <x v="611"/>
    </i>
    <i r="4">
      <x v="3217"/>
      <x v="611"/>
    </i>
    <i r="4">
      <x v="3290"/>
      <x v="611"/>
    </i>
    <i r="4">
      <x v="3358"/>
      <x v="611"/>
    </i>
    <i r="4">
      <x v="3405"/>
      <x v="611"/>
    </i>
    <i r="4">
      <x v="3538"/>
      <x v="611"/>
    </i>
    <i r="4">
      <x v="3550"/>
      <x v="611"/>
    </i>
    <i r="2">
      <x v="12"/>
      <x v="18"/>
      <x v="11"/>
      <x v="611"/>
    </i>
    <i r="3">
      <x v="25"/>
      <x v="7"/>
      <x v="611"/>
    </i>
    <i r="2">
      <x v="39"/>
      <x v="263"/>
      <x v="1901"/>
      <x v="611"/>
    </i>
    <i r="4">
      <x v="2081"/>
      <x v="611"/>
    </i>
    <i r="4">
      <x v="2115"/>
      <x v="611"/>
    </i>
    <i r="1">
      <x v="2"/>
      <x v="39"/>
      <x v="263"/>
      <x v="2452"/>
      <x v="611"/>
    </i>
    <i r="1">
      <x v="7"/>
      <x v="8"/>
      <x v="408"/>
      <x v="3119"/>
      <x v="611"/>
    </i>
    <i r="2">
      <x v="10"/>
      <x v="408"/>
      <x v="2589"/>
      <x v="611"/>
    </i>
    <i r="1">
      <x v="11"/>
      <x v="37"/>
      <x v="408"/>
      <x v="295"/>
      <x v="611"/>
    </i>
    <i r="1">
      <x v="12"/>
      <x v="1"/>
      <x v="408"/>
      <x v="213"/>
      <x v="611"/>
    </i>
    <i r="4">
      <x v="500"/>
      <x v="611"/>
    </i>
    <i r="2">
      <x v="39"/>
      <x v="263"/>
      <x v="204"/>
      <x v="611"/>
    </i>
    <i r="4">
      <x v="373"/>
      <x v="611"/>
    </i>
    <i r="4">
      <x v="494"/>
      <x v="611"/>
    </i>
    <i r="4">
      <x v="1135"/>
      <x v="611"/>
    </i>
    <i r="4">
      <x v="1893"/>
      <x v="611"/>
    </i>
    <i r="4">
      <x v="1912"/>
      <x v="611"/>
    </i>
    <i r="4">
      <x v="1933"/>
      <x v="611"/>
    </i>
    <i r="4">
      <x v="1948"/>
      <x v="611"/>
    </i>
    <i r="4">
      <x v="1971"/>
      <x v="611"/>
    </i>
    <i r="4">
      <x v="1987"/>
      <x v="611"/>
    </i>
    <i r="4">
      <x v="2004"/>
      <x v="611"/>
    </i>
    <i r="4">
      <x v="2022"/>
      <x v="611"/>
    </i>
    <i r="4">
      <x v="2033"/>
      <x v="611"/>
    </i>
    <i r="4">
      <x v="2044"/>
      <x v="611"/>
    </i>
    <i r="4">
      <x v="2063"/>
      <x v="611"/>
    </i>
    <i r="4">
      <x v="2091"/>
      <x v="611"/>
    </i>
    <i r="4">
      <x v="2129"/>
      <x v="611"/>
    </i>
    <i r="4">
      <x v="2155"/>
      <x v="611"/>
    </i>
    <i r="4">
      <x v="2176"/>
      <x v="611"/>
    </i>
    <i r="4">
      <x v="2190"/>
      <x v="611"/>
    </i>
    <i r="4">
      <x v="2206"/>
      <x v="611"/>
    </i>
    <i r="4">
      <x v="2217"/>
      <x v="611"/>
    </i>
    <i r="4">
      <x v="2230"/>
      <x v="611"/>
    </i>
    <i r="4">
      <x v="2255"/>
      <x v="611"/>
    </i>
    <i r="4">
      <x v="2277"/>
      <x v="611"/>
    </i>
    <i r="4">
      <x v="2303"/>
      <x v="611"/>
    </i>
    <i r="4">
      <x v="2320"/>
      <x v="611"/>
    </i>
    <i r="4">
      <x v="2359"/>
      <x v="611"/>
    </i>
    <i r="4">
      <x v="2374"/>
      <x v="611"/>
    </i>
    <i r="4">
      <x v="2499"/>
      <x v="611"/>
    </i>
    <i r="4">
      <x v="2516"/>
      <x v="611"/>
    </i>
    <i r="4">
      <x v="2530"/>
      <x v="611"/>
    </i>
    <i r="4">
      <x v="2541"/>
      <x v="611"/>
    </i>
    <i r="4">
      <x v="2551"/>
      <x v="611"/>
    </i>
    <i r="1">
      <x v="14"/>
      <x v="6"/>
      <x v="408"/>
      <x v="3441"/>
      <x v="611"/>
    </i>
    <i r="2">
      <x v="37"/>
      <x v="408"/>
      <x v="2682"/>
      <x v="611"/>
    </i>
    <i r="1">
      <x v="15"/>
      <x v="6"/>
      <x v="408"/>
      <x v="3424"/>
      <x v="611"/>
    </i>
    <i r="1">
      <x v="17"/>
      <x v="39"/>
      <x v="263"/>
      <x v="2422"/>
      <x v="611"/>
    </i>
    <i r="1">
      <x v="23"/>
      <x v="39"/>
      <x v="263"/>
      <x v="2473"/>
      <x v="611"/>
    </i>
    <i r="1">
      <x v="24"/>
      <x v="39"/>
      <x v="263"/>
      <x v="2399"/>
      <x v="611"/>
    </i>
    <i r="1">
      <x v="35"/>
      <x v="1"/>
      <x v="408"/>
      <x v="80"/>
      <x v="611"/>
    </i>
    <i r="2">
      <x v="39"/>
      <x v="263"/>
      <x v="58"/>
      <x v="611"/>
    </i>
    <i r="4">
      <x v="357"/>
      <x v="611"/>
    </i>
    <i r="4">
      <x v="1884"/>
      <x v="611"/>
    </i>
    <i r="4">
      <x v="1931"/>
      <x v="611"/>
    </i>
    <i r="4">
      <x v="1957"/>
      <x v="611"/>
    </i>
    <i r="4">
      <x v="2052"/>
      <x v="611"/>
    </i>
    <i r="4">
      <x v="2100"/>
      <x v="611"/>
    </i>
    <i r="4">
      <x v="2107"/>
      <x v="611"/>
    </i>
    <i r="4">
      <x v="2109"/>
      <x v="611"/>
    </i>
    <i r="4">
      <x v="2140"/>
      <x v="611"/>
    </i>
    <i r="4">
      <x v="2169"/>
      <x v="611"/>
    </i>
    <i r="4">
      <x v="2181"/>
      <x v="611"/>
    </i>
    <i r="4">
      <x v="2238"/>
      <x v="611"/>
    </i>
    <i r="4">
      <x v="2289"/>
      <x v="611"/>
    </i>
    <i r="4">
      <x v="2330"/>
      <x v="611"/>
    </i>
    <i r="1">
      <x v="36"/>
      <x v="9"/>
      <x v="408"/>
      <x v="3452"/>
      <x v="611"/>
    </i>
    <i r="2">
      <x v="39"/>
      <x v="263"/>
      <x v="2434"/>
      <x v="611"/>
    </i>
    <i r="1">
      <x v="37"/>
      <x v="39"/>
      <x v="263"/>
      <x v="2461"/>
      <x v="611"/>
    </i>
    <i>
      <x v="171"/>
      <x/>
      <x v="12"/>
      <x v="36"/>
      <x v="85"/>
      <x v="611"/>
    </i>
    <i r="3">
      <x v="48"/>
      <x v="6"/>
      <x v="611"/>
    </i>
    <i r="2">
      <x v="40"/>
      <x v="264"/>
      <x/>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1">
      <x v="2"/>
      <x v="40"/>
      <x v="264"/>
      <x/>
      <x v="3"/>
    </i>
    <i r="5">
      <x v="24"/>
    </i>
    <i r="5">
      <x v="66"/>
    </i>
    <i r="5">
      <x v="83"/>
    </i>
    <i r="5">
      <x v="264"/>
    </i>
    <i r="1">
      <x v="3"/>
      <x v="40"/>
      <x v="264"/>
      <x/>
      <x v="40"/>
    </i>
    <i r="5">
      <x v="130"/>
    </i>
    <i r="5">
      <x v="188"/>
    </i>
    <i r="5">
      <x v="205"/>
    </i>
    <i r="1">
      <x v="4"/>
      <x v="40"/>
      <x v="264"/>
      <x/>
      <x v="352"/>
    </i>
    <i r="1">
      <x v="5"/>
      <x v="40"/>
      <x v="264"/>
      <x/>
      <x v="11"/>
    </i>
    <i r="5">
      <x v="68"/>
    </i>
    <i r="5">
      <x v="134"/>
    </i>
    <i r="5">
      <x v="374"/>
    </i>
    <i r="1">
      <x v="6"/>
      <x v="40"/>
      <x v="264"/>
      <x/>
      <x v="44"/>
    </i>
    <i r="5">
      <x v="590"/>
    </i>
    <i r="1">
      <x v="7"/>
      <x v="40"/>
      <x v="264"/>
      <x/>
      <x v="31"/>
    </i>
    <i r="5">
      <x v="61"/>
    </i>
    <i r="5">
      <x v="97"/>
    </i>
    <i r="5">
      <x v="211"/>
    </i>
    <i r="5">
      <x v="443"/>
    </i>
    <i r="1">
      <x v="8"/>
      <x v="40"/>
      <x v="264"/>
      <x/>
      <x v="18"/>
    </i>
    <i r="5">
      <x v="135"/>
    </i>
    <i r="5">
      <x v="256"/>
    </i>
    <i r="5">
      <x v="301"/>
    </i>
    <i r="1">
      <x v="9"/>
      <x v="40"/>
      <x v="264"/>
      <x/>
      <x v="74"/>
    </i>
    <i r="5">
      <x v="225"/>
    </i>
    <i r="5">
      <x v="261"/>
    </i>
    <i r="1">
      <x v="10"/>
      <x v="40"/>
      <x v="264"/>
      <x/>
      <x v="34"/>
    </i>
    <i r="5">
      <x v="38"/>
    </i>
    <i r="5">
      <x v="72"/>
    </i>
    <i r="5">
      <x v="154"/>
    </i>
    <i r="5">
      <x v="175"/>
    </i>
    <i r="1">
      <x v="11"/>
      <x v="40"/>
      <x v="264"/>
      <x/>
      <x v="25"/>
    </i>
    <i r="5">
      <x v="67"/>
    </i>
    <i r="5">
      <x v="70"/>
    </i>
    <i r="5">
      <x v="530"/>
    </i>
    <i r="1">
      <x v="12"/>
      <x v="40"/>
      <x v="264"/>
      <x/>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4">
      <x v="82"/>
      <x v="611"/>
    </i>
    <i r="1">
      <x v="13"/>
      <x v="40"/>
      <x v="264"/>
      <x/>
      <x v="415"/>
    </i>
    <i r="5">
      <x v="493"/>
    </i>
    <i r="5">
      <x v="502"/>
    </i>
    <i r="1">
      <x v="14"/>
      <x v="40"/>
      <x v="264"/>
      <x/>
      <x v="62"/>
    </i>
    <i r="5">
      <x v="88"/>
    </i>
    <i r="5">
      <x v="140"/>
    </i>
    <i r="5">
      <x v="174"/>
    </i>
    <i r="5">
      <x v="311"/>
    </i>
    <i r="1">
      <x v="15"/>
      <x v="40"/>
      <x v="264"/>
      <x/>
      <x/>
    </i>
    <i r="5">
      <x v="5"/>
    </i>
    <i r="5">
      <x v="7"/>
    </i>
    <i r="5">
      <x v="53"/>
    </i>
    <i r="5">
      <x v="86"/>
    </i>
    <i r="1">
      <x v="16"/>
      <x v="40"/>
      <x v="264"/>
      <x/>
      <x v="171"/>
    </i>
    <i r="5">
      <x v="351"/>
    </i>
    <i r="5">
      <x v="353"/>
    </i>
    <i r="5">
      <x v="564"/>
    </i>
    <i r="1">
      <x v="17"/>
      <x v="40"/>
      <x v="264"/>
      <x/>
      <x v="33"/>
    </i>
    <i r="5">
      <x v="54"/>
    </i>
    <i r="5">
      <x v="107"/>
    </i>
    <i r="5">
      <x v="121"/>
    </i>
    <i r="5">
      <x v="308"/>
    </i>
    <i r="1">
      <x v="18"/>
      <x v="40"/>
      <x v="264"/>
      <x/>
      <x v="442"/>
    </i>
    <i r="5">
      <x v="492"/>
    </i>
    <i r="1">
      <x v="19"/>
      <x v="40"/>
      <x v="264"/>
      <x/>
      <x v="26"/>
    </i>
    <i r="5">
      <x v="71"/>
    </i>
    <i r="5">
      <x v="114"/>
    </i>
    <i r="5">
      <x v="153"/>
    </i>
    <i r="5">
      <x v="155"/>
    </i>
    <i r="1">
      <x v="20"/>
      <x v="40"/>
      <x v="264"/>
      <x/>
      <x v="602"/>
    </i>
    <i r="1">
      <x v="21"/>
      <x v="40"/>
      <x v="264"/>
      <x/>
      <x v="8"/>
    </i>
    <i r="5">
      <x v="22"/>
    </i>
    <i r="5">
      <x v="210"/>
    </i>
    <i r="5">
      <x v="272"/>
    </i>
    <i r="5">
      <x v="444"/>
    </i>
    <i r="1">
      <x v="22"/>
      <x v="40"/>
      <x v="264"/>
      <x/>
      <x v="56"/>
    </i>
    <i r="5">
      <x v="214"/>
    </i>
    <i r="1">
      <x v="23"/>
      <x v="40"/>
      <x v="264"/>
      <x/>
      <x v="1"/>
    </i>
    <i r="5">
      <x v="2"/>
    </i>
    <i r="5">
      <x v="43"/>
    </i>
    <i r="5">
      <x v="79"/>
    </i>
    <i r="5">
      <x v="151"/>
    </i>
    <i r="1">
      <x v="24"/>
      <x v="40"/>
      <x v="264"/>
      <x/>
      <x v="10"/>
    </i>
    <i r="5">
      <x v="87"/>
    </i>
    <i r="5">
      <x v="273"/>
    </i>
    <i r="5">
      <x v="459"/>
    </i>
    <i r="5">
      <x v="517"/>
    </i>
    <i r="1">
      <x v="25"/>
      <x v="40"/>
      <x v="264"/>
      <x/>
      <x v="112"/>
    </i>
    <i r="5">
      <x v="392"/>
    </i>
    <i r="1">
      <x v="26"/>
      <x v="40"/>
      <x v="264"/>
      <x/>
      <x v="15"/>
    </i>
    <i r="5">
      <x v="235"/>
    </i>
    <i r="5">
      <x v="247"/>
    </i>
    <i r="5">
      <x v="257"/>
    </i>
    <i r="5">
      <x v="297"/>
    </i>
    <i r="1">
      <x v="27"/>
      <x v="40"/>
      <x v="264"/>
      <x/>
      <x v="27"/>
    </i>
    <i r="5">
      <x v="64"/>
    </i>
    <i r="5">
      <x v="111"/>
    </i>
    <i r="5">
      <x v="419"/>
    </i>
    <i r="1">
      <x v="28"/>
      <x v="40"/>
      <x v="264"/>
      <x/>
      <x v="181"/>
    </i>
    <i r="5">
      <x v="458"/>
    </i>
    <i r="1">
      <x v="29"/>
      <x v="40"/>
      <x v="264"/>
      <x/>
      <x v="122"/>
    </i>
    <i r="5">
      <x v="139"/>
    </i>
    <i r="5">
      <x v="350"/>
    </i>
    <i r="1">
      <x v="30"/>
      <x v="40"/>
      <x v="264"/>
      <x/>
      <x v="35"/>
    </i>
    <i r="1">
      <x v="33"/>
      <x v="40"/>
      <x v="264"/>
      <x/>
      <x v="63"/>
    </i>
    <i r="5">
      <x v="82"/>
    </i>
    <i r="5">
      <x v="158"/>
    </i>
    <i r="5">
      <x v="286"/>
    </i>
    <i r="1">
      <x v="34"/>
      <x v="40"/>
      <x v="264"/>
      <x/>
      <x v="282"/>
    </i>
    <i r="5">
      <x v="291"/>
    </i>
    <i r="5">
      <x v="422"/>
    </i>
    <i r="1">
      <x v="35"/>
      <x v="40"/>
      <x v="264"/>
      <x/>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36"/>
      <x v="40"/>
      <x v="264"/>
      <x/>
      <x v="36"/>
    </i>
    <i r="5">
      <x v="42"/>
    </i>
    <i r="5">
      <x v="49"/>
    </i>
    <i r="5">
      <x v="80"/>
    </i>
    <i r="5">
      <x v="108"/>
    </i>
    <i r="1">
      <x v="37"/>
      <x v="40"/>
      <x v="264"/>
      <x/>
      <x v="29"/>
    </i>
    <i r="5">
      <x v="46"/>
    </i>
    <i r="5">
      <x v="65"/>
    </i>
    <i r="5">
      <x v="274"/>
    </i>
    <i r="5">
      <x v="369"/>
    </i>
    <i r="1">
      <x v="38"/>
      <x v="40"/>
      <x v="264"/>
      <x/>
      <x v="95"/>
    </i>
    <i r="5">
      <x v="356"/>
    </i>
    <i r="1">
      <x v="39"/>
      <x v="40"/>
      <x v="264"/>
      <x/>
      <x v="39"/>
    </i>
    <i r="5">
      <x v="183"/>
    </i>
    <i r="5">
      <x v="466"/>
    </i>
    <i r="1">
      <x v="40"/>
      <x v="40"/>
      <x v="264"/>
      <x/>
      <x v="52"/>
    </i>
    <i r="5">
      <x v="85"/>
    </i>
    <i r="5">
      <x v="109"/>
    </i>
    <i r="5">
      <x v="123"/>
    </i>
    <i>
      <x v="172"/>
      <x/>
      <x v="12"/>
      <x v="27"/>
      <x v="252"/>
      <x v="611"/>
    </i>
    <i r="3">
      <x v="63"/>
      <x v="6"/>
      <x v="611"/>
    </i>
    <i r="2">
      <x v="41"/>
      <x v="265"/>
      <x v="1898"/>
      <x v="611"/>
    </i>
    <i r="4">
      <x v="2291"/>
      <x v="611"/>
    </i>
    <i r="1">
      <x v="2"/>
      <x v="41"/>
      <x v="265"/>
      <x v="2444"/>
      <x v="611"/>
    </i>
    <i r="1">
      <x v="4"/>
      <x v="37"/>
      <x v="351"/>
      <x v="2660"/>
      <x v="611"/>
    </i>
    <i r="1">
      <x v="9"/>
      <x v="10"/>
      <x v="351"/>
      <x v="176"/>
      <x v="611"/>
    </i>
    <i r="1">
      <x v="12"/>
      <x v="1"/>
      <x v="351"/>
      <x v="213"/>
      <x v="611"/>
    </i>
    <i r="2">
      <x v="41"/>
      <x v="265"/>
      <x v="307"/>
      <x v="611"/>
    </i>
    <i r="4">
      <x v="1905"/>
      <x v="611"/>
    </i>
    <i r="4">
      <x v="1940"/>
      <x v="611"/>
    </i>
    <i r="4">
      <x v="1964"/>
      <x v="611"/>
    </i>
    <i r="4">
      <x v="1997"/>
      <x v="611"/>
    </i>
    <i r="4">
      <x v="2014"/>
      <x v="611"/>
    </i>
    <i r="4">
      <x v="2037"/>
      <x v="611"/>
    </i>
    <i r="4">
      <x v="2056"/>
      <x v="611"/>
    </i>
    <i r="4">
      <x v="2085"/>
      <x v="611"/>
    </i>
    <i r="4">
      <x v="2122"/>
      <x v="611"/>
    </i>
    <i r="4">
      <x v="2148"/>
      <x v="611"/>
    </i>
    <i r="4">
      <x v="2183"/>
      <x v="611"/>
    </i>
    <i r="4">
      <x v="2200"/>
      <x v="611"/>
    </i>
    <i r="4">
      <x v="2222"/>
      <x v="611"/>
    </i>
    <i r="4">
      <x v="2249"/>
      <x v="611"/>
    </i>
    <i r="4">
      <x v="2269"/>
      <x v="611"/>
    </i>
    <i r="4">
      <x v="2296"/>
      <x v="611"/>
    </i>
    <i r="4">
      <x v="2313"/>
      <x v="611"/>
    </i>
    <i r="4">
      <x v="2352"/>
      <x v="611"/>
    </i>
    <i r="4">
      <x v="2377"/>
      <x v="611"/>
    </i>
    <i r="4">
      <x v="2492"/>
      <x v="611"/>
    </i>
    <i r="4">
      <x v="2509"/>
      <x v="611"/>
    </i>
    <i r="1">
      <x v="15"/>
      <x v="41"/>
      <x v="265"/>
      <x v="2407"/>
      <x v="611"/>
    </i>
    <i r="1">
      <x v="17"/>
      <x v="41"/>
      <x v="265"/>
      <x v="2417"/>
      <x v="611"/>
    </i>
    <i r="1">
      <x v="21"/>
      <x v="41"/>
      <x v="265"/>
      <x v="2480"/>
      <x v="611"/>
    </i>
    <i r="1">
      <x v="23"/>
      <x v="41"/>
      <x v="265"/>
      <x v="2465"/>
      <x v="611"/>
    </i>
    <i r="1">
      <x v="24"/>
      <x v="41"/>
      <x v="265"/>
      <x v="2393"/>
      <x v="611"/>
    </i>
    <i r="1">
      <x v="35"/>
      <x v="1"/>
      <x v="351"/>
      <x v="80"/>
      <x v="611"/>
    </i>
    <i r="2">
      <x v="41"/>
      <x v="265"/>
      <x v="161"/>
      <x v="611"/>
    </i>
    <i r="4">
      <x v="168"/>
      <x v="611"/>
    </i>
    <i r="4">
      <x v="185"/>
      <x v="611"/>
    </i>
    <i r="4">
      <x v="357"/>
      <x v="611"/>
    </i>
    <i r="4">
      <x v="441"/>
      <x v="611"/>
    </i>
    <i r="4">
      <x v="738"/>
      <x v="611"/>
    </i>
    <i r="4">
      <x v="1919"/>
      <x v="611"/>
    </i>
    <i r="4">
      <x v="1977"/>
      <x v="611"/>
    </i>
    <i r="4">
      <x v="2069"/>
      <x v="611"/>
    </i>
    <i r="4">
      <x v="2163"/>
      <x v="611"/>
    </i>
    <i r="4">
      <x v="2212"/>
      <x v="611"/>
    </i>
    <i r="4">
      <x v="2284"/>
      <x v="611"/>
    </i>
    <i r="4">
      <x v="2366"/>
      <x v="611"/>
    </i>
    <i>
      <x v="173"/>
      <x/>
      <x v="8"/>
      <x v="443"/>
      <x v="1114"/>
      <x v="611"/>
    </i>
    <i r="2">
      <x v="12"/>
      <x v="39"/>
      <x v="180"/>
      <x v="611"/>
    </i>
    <i r="3">
      <x v="64"/>
      <x v="192"/>
      <x v="611"/>
    </i>
    <i r="2">
      <x v="42"/>
      <x v="266"/>
      <x v="1887"/>
      <x v="611"/>
    </i>
    <i r="4">
      <x v="1927"/>
      <x v="611"/>
    </i>
    <i r="4">
      <x v="2079"/>
      <x v="611"/>
    </i>
    <i r="4">
      <x v="2244"/>
      <x v="611"/>
    </i>
    <i r="1">
      <x v="2"/>
      <x v="42"/>
      <x v="266"/>
      <x v="2449"/>
      <x v="611"/>
    </i>
    <i r="1">
      <x v="3"/>
      <x v="42"/>
      <x v="266"/>
      <x v="2438"/>
      <x v="611"/>
    </i>
    <i r="1">
      <x v="12"/>
      <x v="42"/>
      <x v="266"/>
      <x v="152"/>
      <x v="611"/>
    </i>
    <i r="4">
      <x v="374"/>
      <x v="611"/>
    </i>
    <i r="4">
      <x v="671"/>
      <x v="611"/>
    </i>
    <i r="4">
      <x v="673"/>
      <x v="611"/>
    </i>
    <i r="4">
      <x v="968"/>
      <x v="611"/>
    </i>
    <i r="4">
      <x v="1891"/>
      <x v="611"/>
    </i>
    <i r="4">
      <x v="1895"/>
      <x v="611"/>
    </i>
    <i r="4">
      <x v="1909"/>
      <x v="611"/>
    </i>
    <i r="4">
      <x v="1932"/>
      <x v="611"/>
    </i>
    <i r="4">
      <x v="1945"/>
      <x v="611"/>
    </i>
    <i r="4">
      <x v="1968"/>
      <x v="611"/>
    </i>
    <i r="4">
      <x v="1993"/>
      <x v="611"/>
    </i>
    <i r="4">
      <x v="2001"/>
      <x v="611"/>
    </i>
    <i r="4">
      <x v="2019"/>
      <x v="611"/>
    </i>
    <i r="4">
      <x v="2041"/>
      <x v="611"/>
    </i>
    <i r="4">
      <x v="2060"/>
      <x v="611"/>
    </i>
    <i r="4">
      <x v="2088"/>
      <x v="611"/>
    </i>
    <i r="4">
      <x v="2127"/>
      <x v="611"/>
    </i>
    <i r="4">
      <x v="2152"/>
      <x v="611"/>
    </i>
    <i r="4">
      <x v="2187"/>
      <x v="611"/>
    </i>
    <i r="4">
      <x v="2203"/>
      <x v="611"/>
    </i>
    <i r="4">
      <x v="2219"/>
      <x v="611"/>
    </i>
    <i r="4">
      <x v="2227"/>
      <x v="611"/>
    </i>
    <i r="4">
      <x v="2252"/>
      <x v="611"/>
    </i>
    <i r="4">
      <x v="2274"/>
      <x v="611"/>
    </i>
    <i r="4">
      <x v="2300"/>
      <x v="611"/>
    </i>
    <i r="4">
      <x v="2317"/>
      <x v="611"/>
    </i>
    <i r="4">
      <x v="2339"/>
      <x v="611"/>
    </i>
    <i r="4">
      <x v="2356"/>
      <x v="611"/>
    </i>
    <i r="4">
      <x v="2372"/>
      <x v="611"/>
    </i>
    <i r="4">
      <x v="2380"/>
      <x v="611"/>
    </i>
    <i r="4">
      <x v="2496"/>
      <x v="611"/>
    </i>
    <i r="4">
      <x v="2513"/>
      <x v="611"/>
    </i>
    <i r="4">
      <x v="2544"/>
      <x v="611"/>
    </i>
    <i r="1">
      <x v="17"/>
      <x v="42"/>
      <x v="266"/>
      <x v="2420"/>
      <x v="611"/>
    </i>
    <i r="1">
      <x v="23"/>
      <x v="42"/>
      <x v="266"/>
      <x v="2470"/>
      <x v="611"/>
    </i>
    <i r="1">
      <x v="24"/>
      <x v="42"/>
      <x v="266"/>
      <x v="2396"/>
      <x v="611"/>
    </i>
    <i r="1">
      <x v="35"/>
      <x v="42"/>
      <x v="266"/>
      <x v="455"/>
      <x v="611"/>
    </i>
    <i r="4">
      <x v="1883"/>
      <x v="611"/>
    </i>
    <i r="4">
      <x v="1921"/>
      <x v="611"/>
    </i>
    <i r="4">
      <x v="1955"/>
      <x v="611"/>
    </i>
    <i r="4">
      <x v="1980"/>
      <x v="611"/>
    </i>
    <i r="4">
      <x v="2098"/>
      <x v="611"/>
    </i>
    <i r="4">
      <x v="2140"/>
      <x v="611"/>
    </i>
    <i r="4">
      <x v="2286"/>
      <x v="611"/>
    </i>
    <i r="4">
      <x v="2342"/>
      <x v="611"/>
    </i>
    <i r="4">
      <x v="2391"/>
      <x v="611"/>
    </i>
    <i r="4">
      <x v="2523"/>
      <x v="611"/>
    </i>
    <i r="1">
      <x v="36"/>
      <x v="42"/>
      <x v="266"/>
      <x v="2431"/>
      <x v="611"/>
    </i>
    <i>
      <x v="174"/>
      <x/>
      <x v="12"/>
      <x v="8"/>
      <x v="125"/>
      <x v="611"/>
    </i>
    <i r="3">
      <x v="18"/>
      <x v="9"/>
      <x v="611"/>
    </i>
    <i r="3">
      <x v="56"/>
      <x v="9"/>
      <x v="611"/>
    </i>
    <i r="3">
      <x v="59"/>
      <x v="6"/>
      <x v="611"/>
    </i>
    <i r="2">
      <x v="43"/>
      <x v="267"/>
      <x v="2035"/>
      <x v="611"/>
    </i>
    <i r="4">
      <x v="2340"/>
      <x v="611"/>
    </i>
    <i r="4">
      <x v="2348"/>
      <x v="611"/>
    </i>
    <i r="1">
      <x v="2"/>
      <x v="43"/>
      <x v="267"/>
      <x v="2451"/>
      <x v="611"/>
    </i>
    <i r="1">
      <x v="3"/>
      <x v="43"/>
      <x v="267"/>
      <x v="2440"/>
      <x v="611"/>
    </i>
    <i r="1">
      <x v="12"/>
      <x v="1"/>
      <x v="410"/>
      <x v="80"/>
      <x v="611"/>
    </i>
    <i r="2">
      <x v="43"/>
      <x v="267"/>
      <x v="228"/>
      <x v="611"/>
    </i>
    <i r="4">
      <x v="359"/>
      <x v="611"/>
    </i>
    <i r="4">
      <x v="547"/>
      <x v="611"/>
    </i>
    <i r="4">
      <x v="553"/>
      <x v="611"/>
    </i>
    <i r="4">
      <x v="634"/>
      <x v="611"/>
    </i>
    <i r="4">
      <x v="1493"/>
      <x v="611"/>
    </i>
    <i r="4">
      <x v="1892"/>
      <x v="611"/>
    </i>
    <i r="4">
      <x v="1896"/>
      <x v="611"/>
    </i>
    <i r="4">
      <x v="1911"/>
      <x v="611"/>
    </i>
    <i r="4">
      <x v="1947"/>
      <x v="611"/>
    </i>
    <i r="4">
      <x v="1970"/>
      <x v="611"/>
    </i>
    <i r="4">
      <x v="1983"/>
      <x v="611"/>
    </i>
    <i r="4">
      <x v="2003"/>
      <x v="611"/>
    </i>
    <i r="4">
      <x v="2021"/>
      <x v="611"/>
    </i>
    <i r="4">
      <x v="2043"/>
      <x v="611"/>
    </i>
    <i r="4">
      <x v="2062"/>
      <x v="611"/>
    </i>
    <i r="4">
      <x v="2090"/>
      <x v="611"/>
    </i>
    <i r="4">
      <x v="2154"/>
      <x v="611"/>
    </i>
    <i r="4">
      <x v="2189"/>
      <x v="611"/>
    </i>
    <i r="4">
      <x v="2205"/>
      <x v="611"/>
    </i>
    <i r="4">
      <x v="2229"/>
      <x v="611"/>
    </i>
    <i r="4">
      <x v="2254"/>
      <x v="611"/>
    </i>
    <i r="4">
      <x v="2276"/>
      <x v="611"/>
    </i>
    <i r="4">
      <x v="2302"/>
      <x v="611"/>
    </i>
    <i r="4">
      <x v="2319"/>
      <x v="611"/>
    </i>
    <i r="4">
      <x v="2335"/>
      <x v="611"/>
    </i>
    <i r="4">
      <x v="2358"/>
      <x v="611"/>
    </i>
    <i r="4">
      <x v="2498"/>
      <x v="611"/>
    </i>
    <i r="4">
      <x v="2515"/>
      <x v="611"/>
    </i>
    <i r="4">
      <x v="2529"/>
      <x v="611"/>
    </i>
    <i r="4">
      <x v="2534"/>
      <x v="611"/>
    </i>
    <i r="4">
      <x v="2540"/>
      <x v="611"/>
    </i>
    <i r="4">
      <x v="2545"/>
      <x v="611"/>
    </i>
    <i r="1">
      <x v="14"/>
      <x v="33"/>
      <x v="410"/>
      <x v="3179"/>
      <x v="611"/>
    </i>
    <i r="1">
      <x v="15"/>
      <x v="43"/>
      <x v="267"/>
      <x v="2410"/>
      <x v="611"/>
    </i>
    <i r="1">
      <x v="17"/>
      <x v="43"/>
      <x v="267"/>
      <x v="854"/>
      <x v="611"/>
    </i>
    <i r="1">
      <x v="19"/>
      <x v="1"/>
      <x v="410"/>
      <x v="3083"/>
      <x v="611"/>
    </i>
    <i r="2">
      <x v="6"/>
      <x v="410"/>
      <x v="391"/>
      <x v="611"/>
    </i>
    <i r="2">
      <x v="33"/>
      <x v="410"/>
      <x v="3185"/>
      <x v="611"/>
    </i>
    <i r="2">
      <x v="43"/>
      <x v="267"/>
      <x v="2459"/>
      <x v="611"/>
    </i>
    <i r="1">
      <x v="21"/>
      <x v="43"/>
      <x v="267"/>
      <x v="2484"/>
      <x v="611"/>
    </i>
    <i r="1">
      <x v="23"/>
      <x v="43"/>
      <x v="267"/>
      <x v="2472"/>
      <x v="611"/>
    </i>
    <i r="1">
      <x v="24"/>
      <x v="43"/>
      <x v="267"/>
      <x v="2398"/>
      <x v="611"/>
    </i>
    <i r="1">
      <x v="26"/>
      <x v="1"/>
      <x v="410"/>
      <x v="199"/>
      <x v="611"/>
    </i>
    <i r="1">
      <x v="35"/>
      <x v="1"/>
      <x v="410"/>
      <x v="80"/>
      <x v="611"/>
    </i>
    <i r="2">
      <x v="43"/>
      <x v="267"/>
      <x v="167"/>
      <x v="611"/>
    </i>
    <i r="4">
      <x v="420"/>
      <x v="611"/>
    </i>
    <i r="4">
      <x v="1884"/>
      <x v="611"/>
    </i>
    <i r="4">
      <x v="1923"/>
      <x v="611"/>
    </i>
    <i r="4">
      <x v="2051"/>
      <x v="611"/>
    </i>
    <i r="4">
      <x v="2073"/>
      <x v="611"/>
    </i>
    <i r="4">
      <x v="2099"/>
      <x v="611"/>
    </i>
    <i r="4">
      <x v="2168"/>
      <x v="611"/>
    </i>
    <i r="4">
      <x v="2180"/>
      <x v="611"/>
    </i>
    <i r="4">
      <x v="2214"/>
      <x v="611"/>
    </i>
    <i r="4">
      <x v="2236"/>
      <x v="611"/>
    </i>
    <i r="4">
      <x v="2288"/>
      <x v="611"/>
    </i>
    <i r="4">
      <x v="2344"/>
      <x v="611"/>
    </i>
    <i r="4">
      <x v="2368"/>
      <x v="611"/>
    </i>
    <i r="4">
      <x v="2525"/>
      <x v="611"/>
    </i>
    <i r="1">
      <x v="36"/>
      <x v="37"/>
      <x v="410"/>
      <x v="2690"/>
      <x v="611"/>
    </i>
    <i r="2">
      <x v="43"/>
      <x v="267"/>
      <x v="2433"/>
      <x v="611"/>
    </i>
    <i>
      <x v="175"/>
      <x/>
      <x v="12"/>
      <x v="21"/>
      <x v="69"/>
      <x v="611"/>
    </i>
    <i r="3">
      <x v="35"/>
      <x v="2575"/>
      <x v="611"/>
    </i>
    <i r="3">
      <x v="50"/>
      <x v="248"/>
      <x v="611"/>
    </i>
    <i r="2">
      <x v="44"/>
      <x v="268"/>
      <x v="595"/>
      <x v="611"/>
    </i>
    <i r="4">
      <x v="1888"/>
      <x v="611"/>
    </i>
    <i r="4">
      <x v="1928"/>
      <x v="611"/>
    </i>
    <i r="4">
      <x v="1991"/>
      <x v="611"/>
    </i>
    <i r="4">
      <x v="2054"/>
      <x v="611"/>
    </i>
    <i r="4">
      <x v="2082"/>
      <x v="611"/>
    </i>
    <i r="4">
      <x v="2116"/>
      <x v="611"/>
    </i>
    <i r="4">
      <x v="2267"/>
      <x v="611"/>
    </i>
    <i r="4">
      <x v="2341"/>
      <x v="611"/>
    </i>
    <i r="4">
      <x v="2349"/>
      <x v="611"/>
    </i>
    <i r="4">
      <x v="2553"/>
      <x v="611"/>
    </i>
    <i r="1">
      <x v="2"/>
      <x v="44"/>
      <x v="268"/>
      <x v="2453"/>
      <x v="611"/>
    </i>
    <i r="1">
      <x v="3"/>
      <x v="44"/>
      <x v="268"/>
      <x v="2441"/>
      <x v="611"/>
    </i>
    <i r="1">
      <x v="12"/>
      <x v="44"/>
      <x v="268"/>
      <x v="581"/>
      <x v="611"/>
    </i>
    <i r="4">
      <x v="1474"/>
      <x v="611"/>
    </i>
    <i r="4">
      <x v="1897"/>
      <x v="611"/>
    </i>
    <i r="4">
      <x v="1913"/>
      <x v="611"/>
    </i>
    <i r="4">
      <x v="1934"/>
      <x v="611"/>
    </i>
    <i r="4">
      <x v="1949"/>
      <x v="611"/>
    </i>
    <i r="4">
      <x v="1972"/>
      <x v="611"/>
    </i>
    <i r="4">
      <x v="1984"/>
      <x v="611"/>
    </i>
    <i r="4">
      <x v="1994"/>
      <x v="611"/>
    </i>
    <i r="4">
      <x v="2005"/>
      <x v="611"/>
    </i>
    <i r="4">
      <x v="2023"/>
      <x v="611"/>
    </i>
    <i r="4">
      <x v="2045"/>
      <x v="611"/>
    </i>
    <i r="4">
      <x v="2064"/>
      <x v="611"/>
    </i>
    <i r="4">
      <x v="2092"/>
      <x v="611"/>
    </i>
    <i r="4">
      <x v="2105"/>
      <x v="611"/>
    </i>
    <i r="4">
      <x v="2130"/>
      <x v="611"/>
    </i>
    <i r="4">
      <x v="2156"/>
      <x v="611"/>
    </i>
    <i r="4">
      <x v="2191"/>
      <x v="611"/>
    </i>
    <i r="4">
      <x v="2207"/>
      <x v="611"/>
    </i>
    <i r="4">
      <x v="2218"/>
      <x v="611"/>
    </i>
    <i r="4">
      <x v="2231"/>
      <x v="611"/>
    </i>
    <i r="4">
      <x v="2256"/>
      <x v="611"/>
    </i>
    <i r="4">
      <x v="2278"/>
      <x v="611"/>
    </i>
    <i r="4">
      <x v="2304"/>
      <x v="611"/>
    </i>
    <i r="4">
      <x v="2360"/>
      <x v="611"/>
    </i>
    <i r="4">
      <x v="2382"/>
      <x v="611"/>
    </i>
    <i r="4">
      <x v="2500"/>
      <x v="611"/>
    </i>
    <i r="4">
      <x v="2517"/>
      <x v="611"/>
    </i>
    <i r="4">
      <x v="2542"/>
      <x v="611"/>
    </i>
    <i r="4">
      <x v="2545"/>
      <x v="611"/>
    </i>
    <i r="1">
      <x v="15"/>
      <x v="44"/>
      <x v="268"/>
      <x v="2411"/>
      <x v="611"/>
    </i>
    <i r="1">
      <x v="17"/>
      <x v="44"/>
      <x v="268"/>
      <x v="2423"/>
      <x v="611"/>
    </i>
    <i r="1">
      <x v="23"/>
      <x v="44"/>
      <x v="268"/>
      <x v="2474"/>
      <x v="611"/>
    </i>
    <i r="1">
      <x v="24"/>
      <x v="44"/>
      <x v="268"/>
      <x v="2394"/>
      <x v="611"/>
    </i>
    <i r="1">
      <x v="35"/>
      <x v="44"/>
      <x v="268"/>
      <x v="29"/>
      <x v="611"/>
    </i>
    <i r="4">
      <x v="478"/>
      <x v="611"/>
    </i>
    <i r="4">
      <x v="1000"/>
      <x v="611"/>
    </i>
    <i r="4">
      <x v="1937"/>
      <x v="611"/>
    </i>
    <i r="4">
      <x v="1981"/>
      <x v="611"/>
    </i>
    <i r="4">
      <x v="2029"/>
      <x v="611"/>
    </i>
    <i r="4">
      <x v="2074"/>
      <x v="611"/>
    </i>
    <i r="4">
      <x v="2101"/>
      <x v="611"/>
    </i>
    <i r="4">
      <x v="2110"/>
      <x v="611"/>
    </i>
    <i r="4">
      <x v="2137"/>
      <x v="611"/>
    </i>
    <i r="4">
      <x v="2143"/>
      <x v="611"/>
    </i>
    <i r="4">
      <x v="2170"/>
      <x v="611"/>
    </i>
    <i r="4">
      <x v="2239"/>
      <x v="611"/>
    </i>
    <i r="1">
      <x v="36"/>
      <x v="44"/>
      <x v="268"/>
      <x v="2435"/>
      <x v="611"/>
    </i>
    <i>
      <x v="176"/>
      <x/>
      <x v="45"/>
      <x v="269"/>
      <x v="1903"/>
      <x v="611"/>
    </i>
    <i r="4">
      <x v="2083"/>
      <x v="611"/>
    </i>
    <i r="4">
      <x v="2118"/>
      <x v="611"/>
    </i>
    <i r="1">
      <x v="2"/>
      <x v="45"/>
      <x v="269"/>
      <x v="2455"/>
      <x v="611"/>
    </i>
    <i r="1">
      <x v="12"/>
      <x v="45"/>
      <x v="269"/>
      <x v="1434"/>
      <x v="611"/>
    </i>
    <i r="4">
      <x v="1915"/>
      <x v="611"/>
    </i>
    <i r="4">
      <x v="1951"/>
      <x v="611"/>
    </i>
    <i r="4">
      <x v="1974"/>
      <x v="611"/>
    </i>
    <i r="4">
      <x v="1990"/>
      <x v="611"/>
    </i>
    <i r="4">
      <x v="2007"/>
      <x v="611"/>
    </i>
    <i r="4">
      <x v="2025"/>
      <x v="611"/>
    </i>
    <i r="4">
      <x v="2047"/>
      <x v="611"/>
    </i>
    <i r="4">
      <x v="2066"/>
      <x v="611"/>
    </i>
    <i r="4">
      <x v="2094"/>
      <x v="611"/>
    </i>
    <i r="4">
      <x v="2132"/>
      <x v="611"/>
    </i>
    <i r="4">
      <x v="2142"/>
      <x v="611"/>
    </i>
    <i r="4">
      <x v="2158"/>
      <x v="611"/>
    </i>
    <i r="4">
      <x v="2193"/>
      <x v="611"/>
    </i>
    <i r="4">
      <x v="2209"/>
      <x v="611"/>
    </i>
    <i r="4">
      <x v="2220"/>
      <x v="611"/>
    </i>
    <i r="4">
      <x v="2233"/>
      <x v="611"/>
    </i>
    <i r="4">
      <x v="2258"/>
      <x v="611"/>
    </i>
    <i r="4">
      <x v="2280"/>
      <x v="611"/>
    </i>
    <i r="4">
      <x v="2322"/>
      <x v="611"/>
    </i>
    <i r="4">
      <x v="2362"/>
      <x v="611"/>
    </i>
    <i r="4">
      <x v="2373"/>
      <x v="611"/>
    </i>
    <i r="4">
      <x v="2384"/>
      <x v="611"/>
    </i>
    <i r="4">
      <x v="2502"/>
      <x v="611"/>
    </i>
    <i r="4">
      <x v="2519"/>
      <x v="611"/>
    </i>
    <i r="4">
      <x v="2538"/>
      <x v="611"/>
    </i>
    <i r="1">
      <x v="14"/>
      <x v="37"/>
      <x v="404"/>
      <x v="109"/>
      <x v="611"/>
    </i>
    <i r="1">
      <x v="15"/>
      <x v="45"/>
      <x v="269"/>
      <x v="2413"/>
      <x v="611"/>
    </i>
    <i r="1">
      <x v="17"/>
      <x v="37"/>
      <x v="404"/>
      <x v="285"/>
      <x v="611"/>
    </i>
    <i r="2">
      <x v="45"/>
      <x v="269"/>
      <x v="2425"/>
      <x v="611"/>
    </i>
    <i r="1">
      <x v="19"/>
      <x v="6"/>
      <x v="404"/>
      <x v="3482"/>
      <x v="611"/>
    </i>
    <i r="1">
      <x v="23"/>
      <x v="37"/>
      <x v="404"/>
      <x v="2791"/>
      <x v="611"/>
    </i>
    <i r="2">
      <x v="45"/>
      <x v="269"/>
      <x v="2476"/>
      <x v="611"/>
    </i>
    <i r="1">
      <x v="24"/>
      <x v="45"/>
      <x v="269"/>
      <x v="2401"/>
      <x v="611"/>
    </i>
    <i r="1">
      <x v="35"/>
      <x v="45"/>
      <x v="269"/>
      <x v="167"/>
      <x v="611"/>
    </i>
    <i r="4">
      <x v="509"/>
      <x v="611"/>
    </i>
    <i r="4">
      <x v="894"/>
      <x v="611"/>
    </i>
    <i r="4">
      <x v="957"/>
      <x v="611"/>
    </i>
    <i r="4">
      <x v="1885"/>
      <x v="611"/>
    </i>
    <i r="4">
      <x v="1894"/>
      <x v="611"/>
    </i>
    <i r="4">
      <x v="1925"/>
      <x v="611"/>
    </i>
    <i r="4">
      <x v="1982"/>
      <x v="611"/>
    </i>
    <i r="4">
      <x v="2030"/>
      <x v="611"/>
    </i>
    <i r="4">
      <x v="2053"/>
      <x v="611"/>
    </i>
    <i r="4">
      <x v="2215"/>
      <x v="611"/>
    </i>
    <i r="4">
      <x v="2240"/>
      <x v="611"/>
    </i>
    <i r="4">
      <x v="2264"/>
      <x v="611"/>
    </i>
    <i r="4">
      <x v="2291"/>
      <x v="611"/>
    </i>
    <i r="4">
      <x v="2331"/>
      <x v="611"/>
    </i>
    <i r="4">
      <x v="2527"/>
      <x v="611"/>
    </i>
    <i>
      <x v="177"/>
      <x/>
      <x v="46"/>
      <x v="270"/>
      <x v="352"/>
      <x v="611"/>
    </i>
    <i r="4">
      <x v="868"/>
      <x v="611"/>
    </i>
    <i r="4">
      <x v="1886"/>
      <x v="611"/>
    </i>
    <i r="4">
      <x v="1960"/>
      <x v="611"/>
    </i>
    <i r="4">
      <x v="2077"/>
      <x v="611"/>
    </i>
    <i r="4">
      <x v="2111"/>
      <x v="611"/>
    </i>
    <i r="4">
      <x v="2266"/>
      <x v="611"/>
    </i>
    <i r="4">
      <x v="2310"/>
      <x v="611"/>
    </i>
    <i r="4">
      <x v="2345"/>
      <x v="611"/>
    </i>
    <i r="4">
      <x v="2490"/>
      <x v="611"/>
    </i>
    <i r="1">
      <x v="2"/>
      <x v="46"/>
      <x v="270"/>
      <x v="2443"/>
      <x v="611"/>
    </i>
    <i r="1">
      <x v="12"/>
      <x v="46"/>
      <x v="270"/>
      <x v="1904"/>
      <x v="611"/>
    </i>
    <i r="4">
      <x v="1939"/>
      <x v="611"/>
    </i>
    <i r="4">
      <x v="1963"/>
      <x v="611"/>
    </i>
    <i r="4">
      <x v="1996"/>
      <x v="611"/>
    </i>
    <i r="4">
      <x v="2013"/>
      <x v="611"/>
    </i>
    <i r="4">
      <x v="2036"/>
      <x v="611"/>
    </i>
    <i r="4">
      <x v="2055"/>
      <x v="611"/>
    </i>
    <i r="4">
      <x v="2084"/>
      <x v="611"/>
    </i>
    <i r="4">
      <x v="2121"/>
      <x v="611"/>
    </i>
    <i r="4">
      <x v="2147"/>
      <x v="611"/>
    </i>
    <i r="4">
      <x v="2199"/>
      <x v="611"/>
    </i>
    <i r="4">
      <x v="2221"/>
      <x v="611"/>
    </i>
    <i r="4">
      <x v="2248"/>
      <x v="611"/>
    </i>
    <i r="4">
      <x v="2268"/>
      <x v="611"/>
    </i>
    <i r="4">
      <x v="2295"/>
      <x v="611"/>
    </i>
    <i r="4">
      <x v="2312"/>
      <x v="611"/>
    </i>
    <i r="4">
      <x v="2351"/>
      <x v="611"/>
    </i>
    <i r="4">
      <x v="2376"/>
      <x v="611"/>
    </i>
    <i r="4">
      <x v="2491"/>
      <x v="611"/>
    </i>
    <i r="4">
      <x v="2508"/>
      <x v="611"/>
    </i>
    <i r="1">
      <x v="15"/>
      <x v="46"/>
      <x v="270"/>
      <x v="2406"/>
      <x v="611"/>
    </i>
    <i r="1">
      <x v="17"/>
      <x v="46"/>
      <x v="270"/>
      <x v="2416"/>
      <x v="611"/>
    </i>
    <i r="1">
      <x v="21"/>
      <x v="46"/>
      <x v="270"/>
      <x v="2479"/>
      <x v="611"/>
    </i>
    <i r="1">
      <x v="23"/>
      <x v="46"/>
      <x v="270"/>
      <x v="2464"/>
      <x v="611"/>
    </i>
    <i r="1">
      <x v="24"/>
      <x v="46"/>
      <x v="270"/>
      <x v="2392"/>
      <x v="611"/>
    </i>
    <i r="1">
      <x v="35"/>
      <x v="46"/>
      <x v="270"/>
      <x v="307"/>
      <x v="611"/>
    </i>
    <i r="4">
      <x v="441"/>
      <x v="611"/>
    </i>
    <i r="4">
      <x v="1918"/>
      <x v="611"/>
    </i>
    <i r="4">
      <x v="1957"/>
      <x v="611"/>
    </i>
    <i r="4">
      <x v="1988"/>
      <x v="611"/>
    </i>
    <i r="4">
      <x v="2162"/>
      <x v="611"/>
    </i>
    <i r="4">
      <x v="2178"/>
      <x v="611"/>
    </i>
    <i r="4">
      <x v="2261"/>
      <x v="611"/>
    </i>
    <i r="4">
      <x v="2283"/>
      <x v="611"/>
    </i>
    <i r="4">
      <x v="2308"/>
      <x v="611"/>
    </i>
    <i r="4">
      <x v="2325"/>
      <x v="611"/>
    </i>
    <i r="4">
      <x v="2365"/>
      <x v="611"/>
    </i>
    <i r="4">
      <x v="2504"/>
      <x v="611"/>
    </i>
    <i r="4">
      <x v="2547"/>
      <x v="611"/>
    </i>
    <i>
      <x v="178"/>
      <x/>
      <x v="12"/>
      <x v="18"/>
      <x v="59"/>
      <x v="611"/>
    </i>
    <i r="3">
      <x v="19"/>
      <x v="16"/>
      <x v="611"/>
    </i>
    <i r="3">
      <x v="34"/>
      <x v="199"/>
      <x v="611"/>
    </i>
    <i r="3">
      <x v="64"/>
      <x v="192"/>
      <x v="611"/>
    </i>
    <i r="2">
      <x v="47"/>
      <x v="271"/>
      <x v="344"/>
      <x v="611"/>
    </i>
    <i r="4">
      <x v="1889"/>
      <x v="611"/>
    </i>
    <i r="4">
      <x v="2120"/>
      <x v="611"/>
    </i>
    <i r="1">
      <x v="2"/>
      <x v="47"/>
      <x v="271"/>
      <x v="2457"/>
      <x v="611"/>
    </i>
    <i r="1">
      <x v="3"/>
      <x v="37"/>
      <x v="398"/>
      <x v="193"/>
      <x v="611"/>
    </i>
    <i r="1">
      <x v="9"/>
      <x v="1"/>
      <x v="398"/>
      <x v="3001"/>
      <x v="611"/>
    </i>
    <i r="1">
      <x v="10"/>
      <x v="47"/>
      <x v="271"/>
      <x v="2405"/>
      <x v="611"/>
    </i>
    <i r="1">
      <x v="12"/>
      <x v="1"/>
      <x v="398"/>
      <x v="80"/>
      <x v="611"/>
    </i>
    <i r="4">
      <x v="213"/>
      <x v="611"/>
    </i>
    <i r="4">
      <x v="911"/>
      <x v="611"/>
    </i>
    <i r="2">
      <x v="47"/>
      <x v="271"/>
      <x v="1917"/>
      <x v="611"/>
    </i>
    <i r="4">
      <x v="1929"/>
      <x v="611"/>
    </i>
    <i r="4">
      <x v="1953"/>
      <x v="611"/>
    </i>
    <i r="4">
      <x v="1976"/>
      <x v="611"/>
    </i>
    <i r="4">
      <x v="2009"/>
      <x v="611"/>
    </i>
    <i r="4">
      <x v="2027"/>
      <x v="611"/>
    </i>
    <i r="4">
      <x v="2049"/>
      <x v="611"/>
    </i>
    <i r="4">
      <x v="2068"/>
      <x v="611"/>
    </i>
    <i r="4">
      <x v="2096"/>
      <x v="611"/>
    </i>
    <i r="4">
      <x v="2134"/>
      <x v="611"/>
    </i>
    <i r="4">
      <x v="2161"/>
      <x v="611"/>
    </i>
    <i r="4">
      <x v="2195"/>
      <x v="611"/>
    </i>
    <i r="4">
      <x v="2211"/>
      <x v="611"/>
    </i>
    <i r="4">
      <x v="2235"/>
      <x v="611"/>
    </i>
    <i r="4">
      <x v="2260"/>
      <x v="611"/>
    </i>
    <i r="4">
      <x v="2282"/>
      <x v="611"/>
    </i>
    <i r="4">
      <x v="2307"/>
      <x v="611"/>
    </i>
    <i r="4">
      <x v="2324"/>
      <x v="611"/>
    </i>
    <i r="4">
      <x v="2336"/>
      <x v="611"/>
    </i>
    <i r="4">
      <x v="2364"/>
      <x v="611"/>
    </i>
    <i r="4">
      <x v="2386"/>
      <x v="611"/>
    </i>
    <i r="4">
      <x v="2503"/>
      <x v="611"/>
    </i>
    <i r="4">
      <x v="2521"/>
      <x v="611"/>
    </i>
    <i r="1">
      <x v="15"/>
      <x v="37"/>
      <x v="398"/>
      <x v="1007"/>
      <x v="611"/>
    </i>
    <i r="2">
      <x v="47"/>
      <x v="271"/>
      <x v="2415"/>
      <x v="611"/>
    </i>
    <i r="1">
      <x v="17"/>
      <x v="47"/>
      <x v="271"/>
      <x v="2427"/>
      <x v="611"/>
    </i>
    <i r="1">
      <x v="21"/>
      <x v="6"/>
      <x v="398"/>
      <x v="1256"/>
      <x v="611"/>
    </i>
    <i r="2">
      <x v="47"/>
      <x v="271"/>
      <x v="2487"/>
      <x v="611"/>
    </i>
    <i r="1">
      <x v="23"/>
      <x v="37"/>
      <x v="398"/>
      <x v="2798"/>
      <x v="611"/>
    </i>
    <i r="2">
      <x v="47"/>
      <x v="271"/>
      <x v="2478"/>
      <x v="611"/>
    </i>
    <i r="1">
      <x v="24"/>
      <x v="47"/>
      <x v="271"/>
      <x v="2403"/>
      <x v="611"/>
    </i>
    <i r="1">
      <x v="35"/>
      <x v="1"/>
      <x v="398"/>
      <x v="80"/>
      <x v="611"/>
    </i>
    <i r="2">
      <x v="47"/>
      <x v="271"/>
      <x v="427"/>
      <x v="611"/>
    </i>
    <i r="4">
      <x v="1959"/>
      <x v="611"/>
    </i>
    <i r="4">
      <x v="2076"/>
      <x v="611"/>
    </i>
    <i r="4">
      <x v="2104"/>
      <x v="611"/>
    </i>
    <i r="4">
      <x v="2139"/>
      <x v="611"/>
    </i>
    <i r="4">
      <x v="2144"/>
      <x v="611"/>
    </i>
    <i r="4">
      <x v="2173"/>
      <x v="611"/>
    </i>
    <i r="4">
      <x v="2181"/>
      <x v="611"/>
    </i>
    <i r="4">
      <x v="2216"/>
      <x v="611"/>
    </i>
    <i r="4">
      <x v="2241"/>
      <x v="611"/>
    </i>
    <i r="4">
      <x v="2265"/>
      <x v="611"/>
    </i>
    <i r="4">
      <x v="2293"/>
      <x v="611"/>
    </i>
    <i r="4">
      <x v="2332"/>
      <x v="611"/>
    </i>
    <i r="4">
      <x v="2528"/>
      <x v="611"/>
    </i>
    <i r="1">
      <x v="36"/>
      <x v="47"/>
      <x v="271"/>
      <x v="2437"/>
      <x v="611"/>
    </i>
    <i r="1">
      <x v="37"/>
      <x v="47"/>
      <x v="271"/>
      <x v="2463"/>
      <x v="611"/>
    </i>
    <i>
      <x v="179"/>
      <x/>
      <x v="12"/>
      <x v="10"/>
      <x v="90"/>
      <x v="611"/>
    </i>
    <i r="3">
      <x v="36"/>
      <x v="2051"/>
      <x v="611"/>
    </i>
    <i r="3">
      <x v="60"/>
      <x v="371"/>
      <x v="611"/>
    </i>
    <i r="2">
      <x v="48"/>
      <x v="272"/>
      <x v="2112"/>
      <x v="611"/>
    </i>
    <i r="4">
      <x v="2242"/>
      <x v="611"/>
    </i>
    <i r="4">
      <x v="2536"/>
      <x v="611"/>
    </i>
    <i r="1">
      <x v="2"/>
      <x v="48"/>
      <x v="272"/>
      <x v="2446"/>
      <x v="611"/>
    </i>
    <i r="1">
      <x v="12"/>
      <x v="48"/>
      <x v="272"/>
      <x v="520"/>
      <x v="611"/>
    </i>
    <i r="4">
      <x v="1190"/>
      <x v="611"/>
    </i>
    <i r="4">
      <x v="1890"/>
      <x v="611"/>
    </i>
    <i r="4">
      <x v="1906"/>
      <x v="611"/>
    </i>
    <i r="4">
      <x v="1941"/>
      <x v="611"/>
    </i>
    <i r="4">
      <x v="1958"/>
      <x v="611"/>
    </i>
    <i r="4">
      <x v="1965"/>
      <x v="611"/>
    </i>
    <i r="4">
      <x v="1998"/>
      <x v="611"/>
    </i>
    <i r="4">
      <x v="2016"/>
      <x v="611"/>
    </i>
    <i r="4">
      <x v="2038"/>
      <x v="611"/>
    </i>
    <i r="4">
      <x v="2057"/>
      <x v="611"/>
    </i>
    <i r="4">
      <x v="2123"/>
      <x v="611"/>
    </i>
    <i r="4">
      <x v="2149"/>
      <x v="611"/>
    </i>
    <i r="4">
      <x v="2184"/>
      <x v="611"/>
    </i>
    <i r="4">
      <x v="2223"/>
      <x v="611"/>
    </i>
    <i r="4">
      <x v="2270"/>
      <x v="611"/>
    </i>
    <i r="4">
      <x v="2297"/>
      <x v="611"/>
    </i>
    <i r="4">
      <x v="2314"/>
      <x v="611"/>
    </i>
    <i r="4">
      <x v="2353"/>
      <x v="611"/>
    </i>
    <i r="4">
      <x v="2378"/>
      <x v="611"/>
    </i>
    <i r="4">
      <x v="2387"/>
      <x v="611"/>
    </i>
    <i r="4">
      <x v="2493"/>
      <x v="611"/>
    </i>
    <i r="4">
      <x v="2510"/>
      <x v="611"/>
    </i>
    <i r="4">
      <x v="2537"/>
      <x v="611"/>
    </i>
    <i r="4">
      <x v="2549"/>
      <x v="611"/>
    </i>
    <i r="1">
      <x v="17"/>
      <x v="48"/>
      <x v="272"/>
      <x v="2418"/>
      <x v="611"/>
    </i>
    <i r="1">
      <x v="21"/>
      <x v="48"/>
      <x v="272"/>
      <x v="2481"/>
      <x v="611"/>
    </i>
    <i r="1">
      <x v="23"/>
      <x v="33"/>
      <x v="455"/>
      <x v="933"/>
      <x v="611"/>
    </i>
    <i r="2">
      <x v="48"/>
      <x v="272"/>
      <x v="2466"/>
      <x v="611"/>
    </i>
    <i r="1">
      <x v="24"/>
      <x v="48"/>
      <x v="272"/>
      <x v="2394"/>
      <x v="611"/>
    </i>
    <i r="1">
      <x v="35"/>
      <x v="48"/>
      <x v="272"/>
      <x v="1978"/>
      <x v="611"/>
    </i>
    <i r="4">
      <x v="2135"/>
      <x v="611"/>
    </i>
    <i r="4">
      <x v="2140"/>
      <x v="611"/>
    </i>
    <i r="4">
      <x v="2164"/>
      <x v="611"/>
    </i>
    <i r="4">
      <x v="2196"/>
      <x v="611"/>
    </i>
    <i r="4">
      <x v="2285"/>
      <x v="611"/>
    </i>
    <i r="4">
      <x v="2326"/>
      <x v="611"/>
    </i>
    <i r="4">
      <x v="2367"/>
      <x v="611"/>
    </i>
    <i r="4">
      <x v="2390"/>
      <x v="611"/>
    </i>
    <i r="4">
      <x v="2522"/>
      <x v="611"/>
    </i>
    <i r="4">
      <x v="2532"/>
      <x v="611"/>
    </i>
    <i r="4">
      <x v="2539"/>
      <x v="611"/>
    </i>
    <i>
      <x v="180"/>
      <x/>
      <x v="1"/>
      <x v="345"/>
      <x v="80"/>
      <x v="611"/>
    </i>
    <i r="4">
      <x v="467"/>
      <x v="611"/>
    </i>
    <i r="2">
      <x v="12"/>
      <x v="48"/>
      <x v="6"/>
      <x v="611"/>
    </i>
    <i r="2">
      <x v="37"/>
      <x v="345"/>
      <x v="895"/>
      <x v="611"/>
    </i>
    <i r="4">
      <x v="1044"/>
      <x v="611"/>
    </i>
    <i r="2">
      <x v="49"/>
      <x v="273"/>
      <x v="647"/>
      <x v="611"/>
    </i>
    <i r="4">
      <x v="672"/>
      <x v="611"/>
    </i>
    <i r="4">
      <x v="1961"/>
      <x v="611"/>
    </i>
    <i r="4">
      <x v="2078"/>
      <x v="611"/>
    </i>
    <i r="4">
      <x v="2174"/>
      <x v="611"/>
    </i>
    <i r="4">
      <x v="2243"/>
      <x v="611"/>
    </i>
    <i r="4">
      <x v="2311"/>
      <x v="611"/>
    </i>
    <i r="1">
      <x v="2"/>
      <x v="49"/>
      <x v="273"/>
      <x v="2448"/>
      <x v="611"/>
    </i>
    <i r="1">
      <x v="6"/>
      <x v="37"/>
      <x v="345"/>
      <x v="1052"/>
      <x v="611"/>
    </i>
    <i r="1">
      <x v="12"/>
      <x v="1"/>
      <x v="345"/>
      <x v="352"/>
      <x v="611"/>
    </i>
    <i r="2">
      <x v="49"/>
      <x v="273"/>
      <x v="373"/>
      <x v="611"/>
    </i>
    <i r="4">
      <x v="458"/>
      <x v="611"/>
    </i>
    <i r="4">
      <x v="1908"/>
      <x v="611"/>
    </i>
    <i r="4">
      <x v="1944"/>
      <x v="611"/>
    </i>
    <i r="4">
      <x v="1967"/>
      <x v="611"/>
    </i>
    <i r="4">
      <x v="1992"/>
      <x v="611"/>
    </i>
    <i r="4">
      <x v="2000"/>
      <x v="611"/>
    </i>
    <i r="4">
      <x v="2018"/>
      <x v="611"/>
    </i>
    <i r="4">
      <x v="2040"/>
      <x v="611"/>
    </i>
    <i r="4">
      <x v="2059"/>
      <x v="611"/>
    </i>
    <i r="4">
      <x v="2087"/>
      <x v="611"/>
    </i>
    <i r="4">
      <x v="2106"/>
      <x v="611"/>
    </i>
    <i r="4">
      <x v="2126"/>
      <x v="611"/>
    </i>
    <i r="4">
      <x v="2151"/>
      <x v="611"/>
    </i>
    <i r="4">
      <x v="2186"/>
      <x v="611"/>
    </i>
    <i r="4">
      <x v="2202"/>
      <x v="611"/>
    </i>
    <i r="4">
      <x v="2225"/>
      <x v="611"/>
    </i>
    <i r="4">
      <x v="2251"/>
      <x v="611"/>
    </i>
    <i r="4">
      <x v="2273"/>
      <x v="611"/>
    </i>
    <i r="4">
      <x v="2294"/>
      <x v="611"/>
    </i>
    <i r="4">
      <x v="2299"/>
      <x v="611"/>
    </i>
    <i r="4">
      <x v="2316"/>
      <x v="611"/>
    </i>
    <i r="4">
      <x v="2333"/>
      <x v="611"/>
    </i>
    <i r="4">
      <x v="2355"/>
      <x v="611"/>
    </i>
    <i r="4">
      <x v="2371"/>
      <x v="611"/>
    </i>
    <i r="4">
      <x v="2379"/>
      <x v="611"/>
    </i>
    <i r="4">
      <x v="2495"/>
      <x v="611"/>
    </i>
    <i r="4">
      <x v="2512"/>
      <x v="611"/>
    </i>
    <i r="4">
      <x v="2531"/>
      <x v="611"/>
    </i>
    <i r="1">
      <x v="15"/>
      <x v="49"/>
      <x v="273"/>
      <x v="2408"/>
      <x v="611"/>
    </i>
    <i r="1">
      <x v="17"/>
      <x v="49"/>
      <x v="273"/>
      <x v="2419"/>
      <x v="611"/>
    </i>
    <i r="1">
      <x v="21"/>
      <x v="49"/>
      <x v="273"/>
      <x v="2482"/>
      <x v="611"/>
    </i>
    <i r="1">
      <x v="23"/>
      <x v="37"/>
      <x v="345"/>
      <x v="204"/>
      <x v="611"/>
    </i>
    <i r="2">
      <x v="49"/>
      <x v="273"/>
      <x v="2469"/>
      <x v="611"/>
    </i>
    <i r="1">
      <x v="24"/>
      <x v="49"/>
      <x v="273"/>
      <x v="2395"/>
      <x v="611"/>
    </i>
    <i r="1">
      <x v="26"/>
      <x v="38"/>
      <x v="345"/>
      <x v="2614"/>
      <x v="611"/>
    </i>
    <i r="1">
      <x v="33"/>
      <x v="37"/>
      <x v="345"/>
      <x v="64"/>
      <x v="611"/>
    </i>
    <i r="1">
      <x v="35"/>
      <x v="49"/>
      <x v="273"/>
      <x v="433"/>
      <x v="611"/>
    </i>
    <i r="4">
      <x v="495"/>
      <x v="611"/>
    </i>
    <i r="4">
      <x v="673"/>
      <x v="611"/>
    </i>
    <i r="4">
      <x v="715"/>
      <x v="611"/>
    </i>
    <i r="4">
      <x v="750"/>
      <x v="611"/>
    </i>
    <i r="4">
      <x v="1954"/>
      <x v="611"/>
    </i>
    <i r="4">
      <x v="1979"/>
      <x v="611"/>
    </i>
    <i r="4">
      <x v="2070"/>
      <x v="611"/>
    </i>
    <i r="4">
      <x v="2097"/>
      <x v="611"/>
    </i>
    <i r="4">
      <x v="2108"/>
      <x v="611"/>
    </i>
    <i r="4">
      <x v="2166"/>
      <x v="611"/>
    </i>
    <i r="4">
      <x v="2198"/>
      <x v="611"/>
    </i>
    <i r="4">
      <x v="2236"/>
      <x v="611"/>
    </i>
    <i r="4">
      <x v="2262"/>
      <x v="611"/>
    </i>
    <i r="4">
      <x v="2309"/>
      <x v="611"/>
    </i>
    <i r="4">
      <x v="2328"/>
      <x v="611"/>
    </i>
    <i r="4">
      <x v="2387"/>
      <x v="611"/>
    </i>
    <i r="4">
      <x v="2505"/>
      <x v="611"/>
    </i>
    <i r="4">
      <x v="2548"/>
      <x v="611"/>
    </i>
    <i r="1">
      <x v="36"/>
      <x v="49"/>
      <x v="273"/>
      <x v="2430"/>
      <x v="611"/>
    </i>
    <i r="1">
      <x v="37"/>
      <x v="37"/>
      <x v="345"/>
      <x v="114"/>
      <x v="611"/>
    </i>
    <i>
      <x v="181"/>
      <x/>
      <x v="12"/>
      <x v="15"/>
      <x v="2941"/>
      <x v="611"/>
    </i>
    <i r="3">
      <x v="36"/>
      <x v="236"/>
      <x v="611"/>
    </i>
    <i r="3">
      <x v="59"/>
      <x v="11"/>
      <x v="611"/>
    </i>
    <i r="2">
      <x v="37"/>
      <x v="324"/>
      <x v="1528"/>
      <x v="611"/>
    </i>
    <i r="2">
      <x v="50"/>
      <x v="274"/>
      <x v="1899"/>
      <x v="611"/>
    </i>
    <i r="4">
      <x v="1987"/>
      <x v="611"/>
    </i>
    <i r="4">
      <x v="1995"/>
      <x v="611"/>
    </i>
    <i r="4">
      <x v="2113"/>
      <x v="611"/>
    </i>
    <i r="4">
      <x v="2346"/>
      <x v="611"/>
    </i>
    <i r="4">
      <x v="2507"/>
      <x v="611"/>
    </i>
    <i r="4">
      <x v="2552"/>
      <x v="611"/>
    </i>
    <i r="1">
      <x v="2"/>
      <x v="50"/>
      <x v="274"/>
      <x v="2447"/>
      <x v="611"/>
    </i>
    <i r="1">
      <x v="5"/>
      <x v="37"/>
      <x v="324"/>
      <x v="2843"/>
      <x v="611"/>
    </i>
    <i r="1">
      <x v="12"/>
      <x v="1"/>
      <x v="324"/>
      <x v="213"/>
      <x v="611"/>
    </i>
    <i r="4">
      <x v="352"/>
      <x v="611"/>
    </i>
    <i r="4">
      <x v="911"/>
      <x v="611"/>
    </i>
    <i r="2">
      <x v="37"/>
      <x v="324"/>
      <x v="1414"/>
      <x v="611"/>
    </i>
    <i r="2">
      <x v="50"/>
      <x v="274"/>
      <x v="1368"/>
      <x v="611"/>
    </i>
    <i r="4">
      <x v="1894"/>
      <x v="611"/>
    </i>
    <i r="4">
      <x v="1907"/>
      <x v="611"/>
    </i>
    <i r="4">
      <x v="1943"/>
      <x v="611"/>
    </i>
    <i r="4">
      <x v="1966"/>
      <x v="611"/>
    </i>
    <i r="4">
      <x v="1985"/>
      <x v="611"/>
    </i>
    <i r="4">
      <x v="1989"/>
      <x v="611"/>
    </i>
    <i r="4">
      <x v="1999"/>
      <x v="611"/>
    </i>
    <i r="4">
      <x v="2017"/>
      <x v="611"/>
    </i>
    <i r="4">
      <x v="2039"/>
      <x v="611"/>
    </i>
    <i r="4">
      <x v="2058"/>
      <x v="611"/>
    </i>
    <i r="4">
      <x v="2086"/>
      <x v="611"/>
    </i>
    <i r="4">
      <x v="2110"/>
      <x v="611"/>
    </i>
    <i r="4">
      <x v="2124"/>
      <x v="611"/>
    </i>
    <i r="4">
      <x v="2150"/>
      <x v="611"/>
    </i>
    <i r="4">
      <x v="2175"/>
      <x v="611"/>
    </i>
    <i r="4">
      <x v="2185"/>
      <x v="611"/>
    </i>
    <i r="4">
      <x v="2201"/>
      <x v="611"/>
    </i>
    <i r="4">
      <x v="2224"/>
      <x v="611"/>
    </i>
    <i r="4">
      <x v="2250"/>
      <x v="611"/>
    </i>
    <i r="4">
      <x v="2271"/>
      <x v="611"/>
    </i>
    <i r="4">
      <x v="2298"/>
      <x v="611"/>
    </i>
    <i r="4">
      <x v="2315"/>
      <x v="611"/>
    </i>
    <i r="4">
      <x v="2354"/>
      <x v="611"/>
    </i>
    <i r="4">
      <x v="2389"/>
      <x v="611"/>
    </i>
    <i r="4">
      <x v="2494"/>
      <x v="611"/>
    </i>
    <i r="4">
      <x v="2511"/>
      <x v="611"/>
    </i>
    <i r="4">
      <x v="2543"/>
      <x v="611"/>
    </i>
    <i r="1">
      <x v="14"/>
      <x v="6"/>
      <x v="324"/>
      <x v="3439"/>
      <x v="611"/>
    </i>
    <i r="1">
      <x v="15"/>
      <x v="1"/>
      <x v="324"/>
      <x v="500"/>
      <x v="611"/>
    </i>
    <i r="1">
      <x v="23"/>
      <x v="50"/>
      <x v="274"/>
      <x v="2467"/>
      <x v="611"/>
    </i>
    <i r="1">
      <x v="27"/>
      <x v="50"/>
      <x v="274"/>
      <x v="2488"/>
      <x v="611"/>
    </i>
    <i r="1">
      <x v="35"/>
      <x v="37"/>
      <x v="324"/>
      <x v="1226"/>
      <x v="611"/>
    </i>
    <i r="4">
      <x v="1343"/>
      <x v="611"/>
    </i>
    <i r="4">
      <x v="2599"/>
      <x v="611"/>
    </i>
    <i r="2">
      <x v="50"/>
      <x v="274"/>
      <x v="175"/>
      <x v="611"/>
    </i>
    <i r="4">
      <x v="377"/>
      <x v="611"/>
    </i>
    <i r="4">
      <x v="474"/>
      <x v="611"/>
    </i>
    <i r="4">
      <x v="710"/>
      <x v="611"/>
    </i>
    <i r="4">
      <x v="1048"/>
      <x v="611"/>
    </i>
    <i r="4">
      <x v="1920"/>
      <x v="611"/>
    </i>
    <i r="4">
      <x v="1930"/>
      <x v="611"/>
    </i>
    <i r="4">
      <x v="2010"/>
      <x v="611"/>
    </i>
    <i r="4">
      <x v="2107"/>
      <x v="611"/>
    </i>
    <i r="4">
      <x v="2136"/>
      <x v="611"/>
    </i>
    <i r="4">
      <x v="2165"/>
      <x v="611"/>
    </i>
    <i r="4">
      <x v="2197"/>
      <x v="611"/>
    </i>
    <i r="4">
      <x v="2327"/>
      <x v="611"/>
    </i>
    <i r="4">
      <x v="2533"/>
      <x v="611"/>
    </i>
    <i>
      <x v="182"/>
      <x/>
      <x v="12"/>
      <x v="52"/>
      <x v="9"/>
      <x v="611"/>
    </i>
    <i r="2">
      <x v="51"/>
      <x v="275"/>
      <x v="1900"/>
      <x v="611"/>
    </i>
    <i r="4">
      <x v="2080"/>
      <x v="611"/>
    </i>
    <i r="4">
      <x v="2114"/>
      <x v="611"/>
    </i>
    <i r="4">
      <x v="2145"/>
      <x v="611"/>
    </i>
    <i r="4">
      <x v="2245"/>
      <x v="611"/>
    </i>
    <i r="4">
      <x v="2347"/>
      <x v="611"/>
    </i>
    <i r="1">
      <x v="2"/>
      <x v="51"/>
      <x v="275"/>
      <x v="2450"/>
      <x v="611"/>
    </i>
    <i r="1">
      <x v="3"/>
      <x v="51"/>
      <x v="275"/>
      <x v="2439"/>
      <x v="611"/>
    </i>
    <i r="1">
      <x v="12"/>
      <x v="1"/>
      <x v="447"/>
      <x v="80"/>
      <x v="611"/>
    </i>
    <i r="4">
      <x v="500"/>
      <x v="611"/>
    </i>
    <i r="2">
      <x v="51"/>
      <x v="275"/>
      <x v="273"/>
      <x v="611"/>
    </i>
    <i r="4">
      <x v="1910"/>
      <x v="611"/>
    </i>
    <i r="4">
      <x v="1946"/>
      <x v="611"/>
    </i>
    <i r="4">
      <x v="1969"/>
      <x v="611"/>
    </i>
    <i r="4">
      <x v="1986"/>
      <x v="611"/>
    </i>
    <i r="4">
      <x v="2002"/>
      <x v="611"/>
    </i>
    <i r="4">
      <x v="2020"/>
      <x v="611"/>
    </i>
    <i r="4">
      <x v="2032"/>
      <x v="611"/>
    </i>
    <i r="4">
      <x v="2042"/>
      <x v="611"/>
    </i>
    <i r="4">
      <x v="2061"/>
      <x v="611"/>
    </i>
    <i r="4">
      <x v="2089"/>
      <x v="611"/>
    </i>
    <i r="4">
      <x v="2128"/>
      <x v="611"/>
    </i>
    <i r="4">
      <x v="2153"/>
      <x v="611"/>
    </i>
    <i r="4">
      <x v="2188"/>
      <x v="611"/>
    </i>
    <i r="4">
      <x v="2204"/>
      <x v="611"/>
    </i>
    <i r="4">
      <x v="2228"/>
      <x v="611"/>
    </i>
    <i r="4">
      <x v="2253"/>
      <x v="611"/>
    </i>
    <i r="4">
      <x v="2275"/>
      <x v="611"/>
    </i>
    <i r="4">
      <x v="2301"/>
      <x v="611"/>
    </i>
    <i r="4">
      <x v="2318"/>
      <x v="611"/>
    </i>
    <i r="4">
      <x v="2334"/>
      <x v="611"/>
    </i>
    <i r="4">
      <x v="2337"/>
      <x v="611"/>
    </i>
    <i r="4">
      <x v="2357"/>
      <x v="611"/>
    </i>
    <i r="4">
      <x v="2381"/>
      <x v="611"/>
    </i>
    <i r="4">
      <x v="2497"/>
      <x v="611"/>
    </i>
    <i r="4">
      <x v="2514"/>
      <x v="611"/>
    </i>
    <i r="4">
      <x v="2550"/>
      <x v="611"/>
    </i>
    <i r="1">
      <x v="15"/>
      <x v="51"/>
      <x v="275"/>
      <x v="2409"/>
      <x v="611"/>
    </i>
    <i r="1">
      <x v="17"/>
      <x v="51"/>
      <x v="275"/>
      <x v="2421"/>
      <x v="611"/>
    </i>
    <i r="1">
      <x v="19"/>
      <x v="51"/>
      <x v="275"/>
      <x v="2458"/>
      <x v="611"/>
    </i>
    <i r="1">
      <x v="21"/>
      <x v="51"/>
      <x v="275"/>
      <x v="2483"/>
      <x v="611"/>
    </i>
    <i r="1">
      <x v="23"/>
      <x v="51"/>
      <x v="275"/>
      <x v="2471"/>
      <x v="611"/>
    </i>
    <i r="1">
      <x v="24"/>
      <x v="51"/>
      <x v="275"/>
      <x v="2397"/>
      <x v="611"/>
    </i>
    <i r="1">
      <x v="27"/>
      <x v="51"/>
      <x v="275"/>
      <x v="2489"/>
      <x v="611"/>
    </i>
    <i r="1">
      <x v="35"/>
      <x v="51"/>
      <x v="275"/>
      <x v="1922"/>
      <x v="611"/>
    </i>
    <i r="4">
      <x v="1936"/>
      <x v="611"/>
    </i>
    <i r="4">
      <x v="1956"/>
      <x v="611"/>
    </i>
    <i r="4">
      <x v="2028"/>
      <x v="611"/>
    </i>
    <i r="4">
      <x v="2050"/>
      <x v="611"/>
    </i>
    <i r="4">
      <x v="2072"/>
      <x v="611"/>
    </i>
    <i r="4">
      <x v="2167"/>
      <x v="611"/>
    </i>
    <i r="4">
      <x v="2179"/>
      <x v="611"/>
    </i>
    <i r="4">
      <x v="2213"/>
      <x v="611"/>
    </i>
    <i r="4">
      <x v="2237"/>
      <x v="611"/>
    </i>
    <i r="4">
      <x v="2287"/>
      <x v="611"/>
    </i>
    <i r="4">
      <x v="2329"/>
      <x v="611"/>
    </i>
    <i r="4">
      <x v="2343"/>
      <x v="611"/>
    </i>
    <i r="4">
      <x v="2524"/>
      <x v="611"/>
    </i>
    <i r="1">
      <x v="36"/>
      <x v="51"/>
      <x v="275"/>
      <x v="2432"/>
      <x v="611"/>
    </i>
    <i r="1">
      <x v="37"/>
      <x v="51"/>
      <x v="275"/>
      <x v="2460"/>
      <x v="611"/>
    </i>
    <i>
      <x v="183"/>
      <x/>
      <x v="8"/>
      <x v="344"/>
      <x v="2946"/>
      <x v="611"/>
    </i>
    <i r="4">
      <x v="2967"/>
      <x v="611"/>
    </i>
    <i r="4">
      <x v="3147"/>
      <x v="611"/>
    </i>
    <i r="2">
      <x v="9"/>
      <x v="344"/>
      <x v="749"/>
      <x v="611"/>
    </i>
    <i r="4">
      <x v="2374"/>
      <x v="611"/>
    </i>
    <i r="4">
      <x v="2698"/>
      <x v="611"/>
    </i>
    <i r="4">
      <x v="2767"/>
      <x v="611"/>
    </i>
    <i r="4">
      <x v="3205"/>
      <x v="611"/>
    </i>
    <i r="4">
      <x v="3221"/>
      <x v="611"/>
    </i>
    <i r="4">
      <x v="3247"/>
      <x v="611"/>
    </i>
    <i r="4">
      <x v="3319"/>
      <x v="611"/>
    </i>
    <i r="4">
      <x v="3336"/>
      <x v="611"/>
    </i>
    <i r="4">
      <x v="3363"/>
      <x v="611"/>
    </i>
    <i r="4">
      <x v="3386"/>
      <x v="611"/>
    </i>
    <i r="4">
      <x v="3559"/>
      <x v="611"/>
    </i>
    <i r="2">
      <x v="12"/>
      <x v="34"/>
      <x v="199"/>
      <x v="611"/>
    </i>
    <i r="3">
      <x v="58"/>
      <x v="14"/>
      <x v="611"/>
    </i>
    <i r="3">
      <x v="66"/>
      <x v="2554"/>
      <x v="611"/>
    </i>
    <i r="2">
      <x v="52"/>
      <x v="276"/>
      <x v="1902"/>
      <x v="611"/>
    </i>
    <i r="4">
      <x v="1938"/>
      <x v="611"/>
    </i>
    <i r="4">
      <x v="2083"/>
      <x v="611"/>
    </i>
    <i r="4">
      <x v="2117"/>
      <x v="611"/>
    </i>
    <i r="4">
      <x v="2146"/>
      <x v="611"/>
    </i>
    <i r="4">
      <x v="2246"/>
      <x v="611"/>
    </i>
    <i r="4">
      <x v="2350"/>
      <x v="611"/>
    </i>
    <i r="1">
      <x v="2"/>
      <x v="52"/>
      <x v="276"/>
      <x v="2454"/>
      <x v="611"/>
    </i>
    <i r="1">
      <x v="3"/>
      <x v="37"/>
      <x v="344"/>
      <x v="109"/>
      <x v="611"/>
    </i>
    <i r="2">
      <x v="52"/>
      <x v="276"/>
      <x v="122"/>
      <x v="611"/>
    </i>
    <i r="1">
      <x v="7"/>
      <x v="8"/>
      <x v="344"/>
      <x v="3121"/>
      <x v="611"/>
    </i>
    <i r="2">
      <x v="9"/>
      <x v="344"/>
      <x v="3505"/>
      <x v="611"/>
    </i>
    <i r="2">
      <x v="10"/>
      <x v="344"/>
      <x v="2870"/>
      <x v="611"/>
    </i>
    <i r="1">
      <x v="12"/>
      <x v="1"/>
      <x v="344"/>
      <x v="80"/>
      <x v="611"/>
    </i>
    <i r="4">
      <x v="213"/>
      <x v="611"/>
    </i>
    <i r="4">
      <x v="607"/>
      <x v="611"/>
    </i>
    <i r="4">
      <x v="702"/>
      <x v="611"/>
    </i>
    <i r="4">
      <x v="911"/>
      <x v="611"/>
    </i>
    <i r="2">
      <x v="52"/>
      <x v="276"/>
      <x v="1914"/>
      <x v="611"/>
    </i>
    <i r="4">
      <x v="1935"/>
      <x v="611"/>
    </i>
    <i r="4">
      <x v="1950"/>
      <x v="611"/>
    </i>
    <i r="4">
      <x v="1973"/>
      <x v="611"/>
    </i>
    <i r="4">
      <x v="2006"/>
      <x v="611"/>
    </i>
    <i r="4">
      <x v="2024"/>
      <x v="611"/>
    </i>
    <i r="4">
      <x v="2031"/>
      <x v="611"/>
    </i>
    <i r="4">
      <x v="2046"/>
      <x v="611"/>
    </i>
    <i r="4">
      <x v="2065"/>
      <x v="611"/>
    </i>
    <i r="4">
      <x v="2093"/>
      <x v="611"/>
    </i>
    <i r="4">
      <x v="2131"/>
      <x v="611"/>
    </i>
    <i r="4">
      <x v="2141"/>
      <x v="611"/>
    </i>
    <i r="4">
      <x v="2157"/>
      <x v="611"/>
    </i>
    <i r="4">
      <x v="2192"/>
      <x v="611"/>
    </i>
    <i r="4">
      <x v="2208"/>
      <x v="611"/>
    </i>
    <i r="4">
      <x v="2232"/>
      <x v="611"/>
    </i>
    <i r="4">
      <x v="2257"/>
      <x v="611"/>
    </i>
    <i r="4">
      <x v="2279"/>
      <x v="611"/>
    </i>
    <i r="4">
      <x v="2305"/>
      <x v="611"/>
    </i>
    <i r="4">
      <x v="2321"/>
      <x v="611"/>
    </i>
    <i r="4">
      <x v="2361"/>
      <x v="611"/>
    </i>
    <i r="4">
      <x v="2383"/>
      <x v="611"/>
    </i>
    <i r="4">
      <x v="2501"/>
      <x v="611"/>
    </i>
    <i r="4">
      <x v="2518"/>
      <x v="611"/>
    </i>
    <i r="4">
      <x v="2535"/>
      <x v="611"/>
    </i>
    <i r="4">
      <x v="2546"/>
      <x v="611"/>
    </i>
    <i r="1">
      <x v="15"/>
      <x v="9"/>
      <x v="344"/>
      <x v="528"/>
      <x v="611"/>
    </i>
    <i r="2">
      <x v="52"/>
      <x v="276"/>
      <x v="2412"/>
      <x v="611"/>
    </i>
    <i r="1">
      <x v="17"/>
      <x v="52"/>
      <x v="276"/>
      <x v="2424"/>
      <x v="611"/>
    </i>
    <i r="1">
      <x v="19"/>
      <x v="37"/>
      <x v="344"/>
      <x v="115"/>
      <x v="611"/>
    </i>
    <i r="1">
      <x v="21"/>
      <x v="6"/>
      <x v="344"/>
      <x v="3497"/>
      <x v="611"/>
    </i>
    <i r="2">
      <x v="38"/>
      <x v="344"/>
      <x v="2807"/>
      <x v="611"/>
    </i>
    <i r="2">
      <x v="52"/>
      <x v="276"/>
      <x v="2485"/>
      <x v="611"/>
    </i>
    <i r="1">
      <x v="23"/>
      <x v="37"/>
      <x v="344"/>
      <x v="2790"/>
      <x v="611"/>
    </i>
    <i r="2">
      <x v="52"/>
      <x v="276"/>
      <x v="2475"/>
      <x v="611"/>
    </i>
    <i r="1">
      <x v="24"/>
      <x v="52"/>
      <x v="276"/>
      <x v="2400"/>
      <x v="611"/>
    </i>
    <i r="1">
      <x v="35"/>
      <x v="1"/>
      <x v="344"/>
      <x v="80"/>
      <x v="611"/>
    </i>
    <i r="2">
      <x v="37"/>
      <x v="344"/>
      <x v="51"/>
      <x v="611"/>
    </i>
    <i r="2">
      <x v="52"/>
      <x v="276"/>
      <x v="427"/>
      <x v="611"/>
    </i>
    <i r="4">
      <x v="593"/>
      <x v="611"/>
    </i>
    <i r="4">
      <x v="1924"/>
      <x v="611"/>
    </i>
    <i r="4">
      <x v="1958"/>
      <x v="611"/>
    </i>
    <i r="4">
      <x v="2011"/>
      <x v="611"/>
    </i>
    <i r="4">
      <x v="2034"/>
      <x v="611"/>
    </i>
    <i r="4">
      <x v="2075"/>
      <x v="611"/>
    </i>
    <i r="4">
      <x v="2102"/>
      <x v="611"/>
    </i>
    <i r="4">
      <x v="2138"/>
      <x v="611"/>
    </i>
    <i r="4">
      <x v="2171"/>
      <x v="611"/>
    </i>
    <i r="4">
      <x v="2263"/>
      <x v="611"/>
    </i>
    <i r="4">
      <x v="2290"/>
      <x v="611"/>
    </i>
    <i r="4">
      <x v="2338"/>
      <x v="611"/>
    </i>
    <i r="4">
      <x v="2369"/>
      <x v="611"/>
    </i>
    <i r="4">
      <x v="2388"/>
      <x v="611"/>
    </i>
    <i r="4">
      <x v="2506"/>
      <x v="611"/>
    </i>
    <i r="4">
      <x v="2526"/>
      <x v="611"/>
    </i>
    <i r="1">
      <x v="37"/>
      <x v="37"/>
      <x v="344"/>
      <x v="2748"/>
      <x v="611"/>
    </i>
    <i>
      <x v="184"/>
      <x/>
      <x v="8"/>
      <x v="337"/>
      <x v="1134"/>
      <x v="611"/>
    </i>
    <i r="4">
      <x v="2986"/>
      <x v="611"/>
    </i>
    <i r="2">
      <x v="9"/>
      <x v="337"/>
      <x v="1093"/>
      <x v="611"/>
    </i>
    <i r="4">
      <x v="3380"/>
      <x v="611"/>
    </i>
    <i r="2">
      <x v="12"/>
      <x v="42"/>
      <x v="59"/>
      <x v="611"/>
    </i>
    <i r="3">
      <x v="60"/>
      <x v="9"/>
      <x v="611"/>
    </i>
    <i r="2">
      <x v="38"/>
      <x v="337"/>
      <x v="2585"/>
      <x v="611"/>
    </i>
    <i r="2">
      <x v="53"/>
      <x v="277"/>
      <x v="1238"/>
      <x v="611"/>
    </i>
    <i r="4">
      <x v="1962"/>
      <x v="611"/>
    </i>
    <i r="4">
      <x v="2119"/>
      <x v="611"/>
    </i>
    <i r="4">
      <x v="2247"/>
      <x v="611"/>
    </i>
    <i r="1">
      <x v="2"/>
      <x v="53"/>
      <x v="277"/>
      <x v="2456"/>
      <x v="611"/>
    </i>
    <i r="1">
      <x v="3"/>
      <x v="53"/>
      <x v="277"/>
      <x v="2442"/>
      <x v="611"/>
    </i>
    <i r="1">
      <x v="5"/>
      <x v="38"/>
      <x v="337"/>
      <x v="2858"/>
      <x v="611"/>
    </i>
    <i r="1">
      <x v="10"/>
      <x v="53"/>
      <x v="277"/>
      <x v="2404"/>
      <x v="611"/>
    </i>
    <i r="1">
      <x v="12"/>
      <x v="1"/>
      <x v="337"/>
      <x v="352"/>
      <x v="611"/>
    </i>
    <i r="4">
      <x v="607"/>
      <x v="611"/>
    </i>
    <i r="2">
      <x v="53"/>
      <x v="277"/>
      <x v="392"/>
      <x v="611"/>
    </i>
    <i r="4">
      <x v="451"/>
      <x v="611"/>
    </i>
    <i r="4">
      <x v="1916"/>
      <x v="611"/>
    </i>
    <i r="4">
      <x v="1952"/>
      <x v="611"/>
    </i>
    <i r="4">
      <x v="1975"/>
      <x v="611"/>
    </i>
    <i r="4">
      <x v="2008"/>
      <x v="611"/>
    </i>
    <i r="4">
      <x v="2026"/>
      <x v="611"/>
    </i>
    <i r="4">
      <x v="2048"/>
      <x v="611"/>
    </i>
    <i r="4">
      <x v="2067"/>
      <x v="611"/>
    </i>
    <i r="4">
      <x v="2095"/>
      <x v="611"/>
    </i>
    <i r="4">
      <x v="2133"/>
      <x v="611"/>
    </i>
    <i r="4">
      <x v="2160"/>
      <x v="611"/>
    </i>
    <i r="4">
      <x v="2177"/>
      <x v="611"/>
    </i>
    <i r="4">
      <x v="2194"/>
      <x v="611"/>
    </i>
    <i r="4">
      <x v="2210"/>
      <x v="611"/>
    </i>
    <i r="4">
      <x v="2234"/>
      <x v="611"/>
    </i>
    <i r="4">
      <x v="2259"/>
      <x v="611"/>
    </i>
    <i r="4">
      <x v="2281"/>
      <x v="611"/>
    </i>
    <i r="4">
      <x v="2306"/>
      <x v="611"/>
    </i>
    <i r="4">
      <x v="2323"/>
      <x v="611"/>
    </i>
    <i r="4">
      <x v="2363"/>
      <x v="611"/>
    </i>
    <i r="4">
      <x v="2375"/>
      <x v="611"/>
    </i>
    <i r="4">
      <x v="2385"/>
      <x v="611"/>
    </i>
    <i r="4">
      <x v="2520"/>
      <x v="611"/>
    </i>
    <i r="1">
      <x v="14"/>
      <x v="53"/>
      <x v="277"/>
      <x v="2428"/>
      <x v="611"/>
    </i>
    <i r="1">
      <x v="15"/>
      <x v="33"/>
      <x v="337"/>
      <x v="3173"/>
      <x v="611"/>
    </i>
    <i r="2">
      <x v="37"/>
      <x v="337"/>
      <x v="2648"/>
      <x v="611"/>
    </i>
    <i r="2">
      <x v="38"/>
      <x v="337"/>
      <x v="2656"/>
      <x v="611"/>
    </i>
    <i r="2">
      <x v="53"/>
      <x v="277"/>
      <x v="2414"/>
      <x v="611"/>
    </i>
    <i r="1">
      <x v="17"/>
      <x v="53"/>
      <x v="277"/>
      <x v="2426"/>
      <x v="611"/>
    </i>
    <i r="1">
      <x v="21"/>
      <x v="53"/>
      <x v="277"/>
      <x v="2486"/>
      <x v="611"/>
    </i>
    <i r="1">
      <x v="23"/>
      <x v="38"/>
      <x v="337"/>
      <x v="2795"/>
      <x v="611"/>
    </i>
    <i r="2">
      <x v="53"/>
      <x v="277"/>
      <x v="2477"/>
      <x v="611"/>
    </i>
    <i r="1">
      <x v="24"/>
      <x v="53"/>
      <x v="277"/>
      <x v="2402"/>
      <x v="611"/>
    </i>
    <i r="1">
      <x v="29"/>
      <x v="38"/>
      <x v="337"/>
      <x v="2923"/>
      <x v="611"/>
    </i>
    <i r="1">
      <x v="35"/>
      <x v="1"/>
      <x v="337"/>
      <x v="80"/>
      <x v="611"/>
    </i>
    <i r="2">
      <x v="53"/>
      <x v="277"/>
      <x v="190"/>
      <x v="611"/>
    </i>
    <i r="4">
      <x v="1926"/>
      <x v="611"/>
    </i>
    <i r="4">
      <x v="2101"/>
      <x v="611"/>
    </i>
    <i r="4">
      <x v="2103"/>
      <x v="611"/>
    </i>
    <i r="4">
      <x v="2172"/>
      <x v="611"/>
    </i>
    <i r="4">
      <x v="2182"/>
      <x v="611"/>
    </i>
    <i r="4">
      <x v="2292"/>
      <x v="611"/>
    </i>
    <i r="4">
      <x v="2370"/>
      <x v="611"/>
    </i>
    <i r="1">
      <x v="36"/>
      <x v="53"/>
      <x v="277"/>
      <x v="2436"/>
      <x v="611"/>
    </i>
    <i r="1">
      <x v="37"/>
      <x v="53"/>
      <x v="277"/>
      <x v="2462"/>
      <x v="611"/>
    </i>
    <i>
      <x v="185"/>
      <x/>
      <x v="12"/>
      <x v="30"/>
      <x v="11"/>
      <x v="611"/>
    </i>
    <i r="3">
      <x v="37"/>
      <x v="39"/>
      <x v="611"/>
    </i>
    <i r="1">
      <x v="6"/>
      <x v="37"/>
      <x v="427"/>
      <x v="2877"/>
      <x v="611"/>
    </i>
    <i r="1">
      <x v="11"/>
      <x v="1"/>
      <x v="427"/>
      <x v="3099"/>
      <x v="611"/>
    </i>
    <i r="1">
      <x v="12"/>
      <x v="1"/>
      <x v="427"/>
      <x v="911"/>
      <x v="611"/>
    </i>
    <i r="2">
      <x v="54"/>
      <x v="278"/>
      <x v="1942"/>
      <x v="611"/>
    </i>
    <i r="1">
      <x v="33"/>
      <x v="37"/>
      <x v="427"/>
      <x v="553"/>
      <x v="611"/>
    </i>
    <i r="1">
      <x v="35"/>
      <x v="1"/>
      <x v="427"/>
      <x v="771"/>
      <x v="611"/>
    </i>
    <i r="1">
      <x v="36"/>
      <x v="1"/>
      <x v="427"/>
      <x v="3038"/>
      <x v="611"/>
    </i>
    <i>
      <x v="186"/>
      <x/>
      <x v="12"/>
      <x v="35"/>
      <x v="2573"/>
      <x v="611"/>
    </i>
    <i r="1">
      <x v="8"/>
      <x v="37"/>
      <x v="325"/>
      <x v="2891"/>
      <x v="611"/>
    </i>
    <i r="1">
      <x v="12"/>
      <x v="1"/>
      <x v="325"/>
      <x v="80"/>
      <x v="611"/>
    </i>
    <i r="4">
      <x v="213"/>
      <x v="611"/>
    </i>
    <i r="4">
      <x v="500"/>
      <x v="611"/>
    </i>
    <i r="4">
      <x v="607"/>
      <x v="611"/>
    </i>
    <i r="4">
      <x v="702"/>
      <x v="611"/>
    </i>
    <i r="4">
      <x v="1141"/>
      <x v="611"/>
    </i>
    <i r="2">
      <x v="37"/>
      <x v="325"/>
      <x v="2577"/>
      <x v="611"/>
    </i>
    <i r="2">
      <x v="55"/>
      <x v="279"/>
      <x v="2012"/>
      <x v="611"/>
    </i>
    <i r="1">
      <x v="16"/>
      <x v="37"/>
      <x v="325"/>
      <x v="2621"/>
      <x v="611"/>
    </i>
    <i r="1">
      <x v="23"/>
      <x v="37"/>
      <x v="325"/>
      <x v="2756"/>
      <x v="611"/>
    </i>
    <i r="1">
      <x v="27"/>
      <x v="6"/>
      <x v="325"/>
      <x v="3512"/>
      <x v="611"/>
    </i>
    <i>
      <x v="187"/>
      <x/>
      <x v="12"/>
      <x v="36"/>
      <x v="236"/>
      <x v="611"/>
    </i>
    <i r="3">
      <x v="47"/>
      <x v="314"/>
      <x v="611"/>
    </i>
    <i r="1">
      <x v="2"/>
      <x v="55"/>
      <x v="280"/>
      <x v="2445"/>
      <x v="611"/>
    </i>
    <i r="1">
      <x v="8"/>
      <x v="1"/>
      <x v="361"/>
      <x v="2002"/>
      <x v="611"/>
    </i>
    <i r="1">
      <x v="12"/>
      <x v="1"/>
      <x v="361"/>
      <x v="500"/>
      <x v="611"/>
    </i>
    <i r="4">
      <x v="1141"/>
      <x v="611"/>
    </i>
    <i r="2">
      <x v="55"/>
      <x v="280"/>
      <x v="2015"/>
      <x v="611"/>
    </i>
    <i r="1">
      <x v="19"/>
      <x v="6"/>
      <x v="361"/>
      <x v="881"/>
      <x v="611"/>
    </i>
    <i r="1">
      <x v="26"/>
      <x v="37"/>
      <x v="361"/>
      <x v="109"/>
      <x v="611"/>
    </i>
    <i r="2">
      <x v="38"/>
      <x v="361"/>
      <x v="1036"/>
      <x v="611"/>
    </i>
    <i>
      <x v="188"/>
      <x/>
      <x v="12"/>
      <x v="26"/>
      <x v="25"/>
      <x v="611"/>
    </i>
    <i r="3">
      <x v="42"/>
      <x v="69"/>
      <x v="611"/>
    </i>
    <i r="1">
      <x v="2"/>
      <x v="1"/>
      <x v="430"/>
      <x v="3069"/>
      <x v="611"/>
    </i>
    <i r="2">
      <x v="6"/>
      <x v="430"/>
      <x v="1093"/>
      <x v="611"/>
    </i>
    <i r="1">
      <x v="11"/>
      <x v="1"/>
      <x v="430"/>
      <x v="3101"/>
      <x v="611"/>
    </i>
    <i r="2">
      <x v="37"/>
      <x v="430"/>
      <x v="2830"/>
      <x v="611"/>
    </i>
    <i r="1">
      <x v="12"/>
      <x v="1"/>
      <x v="430"/>
      <x v="213"/>
      <x v="611"/>
    </i>
    <i r="2">
      <x v="56"/>
      <x v="281"/>
      <x v="2226"/>
      <x v="611"/>
    </i>
    <i r="1">
      <x v="23"/>
      <x v="6"/>
      <x v="430"/>
      <x v="607"/>
      <x v="611"/>
    </i>
    <i r="1">
      <x v="35"/>
      <x v="56"/>
      <x v="281"/>
      <x v="2071"/>
      <x v="611"/>
    </i>
    <i>
      <x v="189"/>
      <x/>
      <x v="12"/>
      <x v="30"/>
      <x v="92"/>
      <x v="611"/>
    </i>
    <i r="3">
      <x v="33"/>
      <x v="134"/>
      <x v="611"/>
    </i>
    <i r="3">
      <x v="48"/>
      <x v="92"/>
      <x v="611"/>
    </i>
    <i r="3">
      <x v="50"/>
      <x v="911"/>
      <x v="611"/>
    </i>
    <i r="2">
      <x v="37"/>
      <x v="300"/>
      <x v="2565"/>
      <x v="611"/>
    </i>
    <i r="1">
      <x v="2"/>
      <x v="1"/>
      <x v="300"/>
      <x v="3068"/>
      <x v="611"/>
    </i>
    <i r="1">
      <x v="12"/>
      <x v="1"/>
      <x v="300"/>
      <x v="80"/>
      <x v="611"/>
    </i>
    <i r="4">
      <x v="213"/>
      <x v="611"/>
    </i>
    <i r="4">
      <x v="352"/>
      <x v="611"/>
    </i>
    <i r="4">
      <x v="500"/>
      <x v="611"/>
    </i>
    <i r="4">
      <x v="771"/>
      <x v="611"/>
    </i>
    <i r="2">
      <x v="56"/>
      <x v="282"/>
      <x v="2125"/>
      <x v="611"/>
    </i>
    <i r="1">
      <x v="14"/>
      <x v="37"/>
      <x v="300"/>
      <x v="2053"/>
      <x v="611"/>
    </i>
    <i r="1">
      <x v="15"/>
      <x v="37"/>
      <x v="300"/>
      <x v="371"/>
      <x v="611"/>
    </i>
    <i r="1">
      <x v="17"/>
      <x v="37"/>
      <x v="300"/>
      <x v="2668"/>
      <x v="611"/>
    </i>
    <i r="1">
      <x v="23"/>
      <x v="37"/>
      <x v="300"/>
      <x v="2770"/>
      <x v="611"/>
    </i>
    <i r="1">
      <x v="35"/>
      <x v="1"/>
      <x v="300"/>
      <x v="80"/>
      <x v="611"/>
    </i>
    <i>
      <x v="190"/>
      <x/>
      <x v="1"/>
      <x v="295"/>
      <x v="213"/>
      <x v="611"/>
    </i>
    <i r="2">
      <x v="6"/>
      <x v="295"/>
      <x v="3132"/>
      <x v="611"/>
    </i>
    <i r="2">
      <x v="12"/>
      <x v="16"/>
      <x v="258"/>
      <x v="611"/>
    </i>
    <i r="3">
      <x v="46"/>
      <x v="325"/>
      <x v="611"/>
    </i>
    <i r="2">
      <x v="37"/>
      <x v="295"/>
      <x v="262"/>
      <x v="611"/>
    </i>
    <i r="1">
      <x v="10"/>
      <x v="10"/>
      <x v="295"/>
      <x v="2630"/>
      <x v="611"/>
    </i>
    <i r="1">
      <x v="11"/>
      <x v="37"/>
      <x v="295"/>
      <x v="737"/>
      <x v="611"/>
    </i>
    <i r="1">
      <x v="12"/>
      <x v="1"/>
      <x v="295"/>
      <x v="352"/>
      <x v="611"/>
    </i>
    <i r="4">
      <x v="500"/>
      <x v="611"/>
    </i>
    <i r="2">
      <x v="57"/>
      <x v="283"/>
      <x v="2159"/>
      <x v="611"/>
    </i>
    <i r="1">
      <x v="17"/>
      <x v="37"/>
      <x v="295"/>
      <x v="51"/>
      <x v="611"/>
    </i>
    <i r="1">
      <x v="20"/>
      <x v="1"/>
      <x v="295"/>
      <x v="3025"/>
      <x v="611"/>
    </i>
    <i r="1">
      <x v="33"/>
      <x v="1"/>
      <x v="295"/>
      <x v="3095"/>
      <x v="611"/>
    </i>
    <i>
      <x v="191"/>
      <x/>
      <x v="7"/>
      <x v="306"/>
      <x v="371"/>
      <x v="611"/>
    </i>
    <i r="2">
      <x v="8"/>
      <x v="306"/>
      <x v="2934"/>
      <x v="611"/>
    </i>
    <i r="2">
      <x v="9"/>
      <x v="306"/>
      <x v="1028"/>
      <x v="611"/>
    </i>
    <i r="4">
      <x v="3366"/>
      <x v="611"/>
    </i>
    <i r="4">
      <x v="3384"/>
      <x v="611"/>
    </i>
    <i r="4">
      <x v="3541"/>
      <x v="611"/>
    </i>
    <i r="2">
      <x v="12"/>
      <x v="32"/>
      <x v="391"/>
      <x v="611"/>
    </i>
    <i r="3">
      <x v="34"/>
      <x v="49"/>
      <x v="611"/>
    </i>
    <i r="3">
      <x v="48"/>
      <x v="252"/>
      <x v="611"/>
    </i>
    <i r="2">
      <x v="37"/>
      <x v="306"/>
      <x v="524"/>
      <x v="611"/>
    </i>
    <i r="1">
      <x v="2"/>
      <x v="8"/>
      <x v="306"/>
      <x v="3067"/>
      <x v="611"/>
    </i>
    <i r="1">
      <x v="7"/>
      <x v="8"/>
      <x v="306"/>
      <x v="3114"/>
      <x v="611"/>
    </i>
    <i r="1">
      <x v="8"/>
      <x v="7"/>
      <x v="306"/>
      <x v="3195"/>
      <x v="611"/>
    </i>
    <i r="2">
      <x v="8"/>
      <x v="306"/>
      <x v="3127"/>
      <x v="611"/>
    </i>
    <i r="1">
      <x v="11"/>
      <x v="37"/>
      <x v="306"/>
      <x v="410"/>
      <x v="611"/>
    </i>
    <i r="1">
      <x v="12"/>
      <x v="1"/>
      <x v="306"/>
      <x v="80"/>
      <x v="611"/>
    </i>
    <i r="4">
      <x v="352"/>
      <x v="611"/>
    </i>
    <i r="4">
      <x v="500"/>
      <x v="611"/>
    </i>
    <i r="2">
      <x v="54"/>
      <x v="284"/>
      <x v="2272"/>
      <x v="611"/>
    </i>
    <i r="2">
      <x v="68"/>
      <x v="453"/>
      <x v="500"/>
      <x v="611"/>
    </i>
    <i r="1">
      <x v="35"/>
      <x v="1"/>
      <x v="306"/>
      <x v="80"/>
      <x v="611"/>
    </i>
    <i r="1">
      <x v="36"/>
      <x v="8"/>
      <x v="306"/>
      <x v="3041"/>
      <x v="611"/>
    </i>
    <i r="2">
      <x v="9"/>
      <x v="306"/>
      <x v="3447"/>
      <x v="611"/>
    </i>
    <i r="1">
      <x v="40"/>
      <x v="37"/>
      <x v="306"/>
      <x v="2698"/>
      <x v="611"/>
    </i>
    <i>
      <x v="192"/>
      <x/>
      <x v="7"/>
      <x v="422"/>
      <x v="853"/>
      <x v="611"/>
    </i>
    <i r="4">
      <x v="3151"/>
      <x v="611"/>
    </i>
    <i r="2">
      <x v="9"/>
      <x v="422"/>
      <x v="497"/>
      <x v="611"/>
    </i>
    <i r="4">
      <x v="1036"/>
      <x v="611"/>
    </i>
    <i r="4">
      <x v="3276"/>
      <x v="611"/>
    </i>
    <i r="2">
      <x v="12"/>
      <x v="5"/>
      <x v="53"/>
      <x v="611"/>
    </i>
    <i r="3">
      <x v="10"/>
      <x v="9"/>
      <x v="611"/>
    </i>
    <i r="3">
      <x v="27"/>
      <x v="11"/>
      <x v="611"/>
    </i>
    <i r="3">
      <x v="47"/>
      <x v="314"/>
      <x v="611"/>
    </i>
    <i r="1">
      <x v="12"/>
      <x v="1"/>
      <x v="422"/>
      <x v="213"/>
      <x v="611"/>
    </i>
    <i r="4">
      <x v="352"/>
      <x v="611"/>
    </i>
    <i r="4">
      <x v="500"/>
      <x v="611"/>
    </i>
    <i r="1">
      <x v="14"/>
      <x v="1"/>
      <x v="422"/>
      <x v="3031"/>
      <x v="611"/>
    </i>
    <i r="2">
      <x v="58"/>
      <x v="285"/>
      <x v="2429"/>
      <x v="611"/>
    </i>
    <i r="1">
      <x v="15"/>
      <x v="7"/>
      <x v="422"/>
      <x v="3175"/>
      <x v="611"/>
    </i>
    <i r="2">
      <x v="8"/>
      <x v="422"/>
      <x v="3021"/>
      <x v="611"/>
    </i>
    <i r="2">
      <x v="9"/>
      <x v="422"/>
      <x v="3425"/>
      <x v="611"/>
    </i>
    <i r="1">
      <x v="23"/>
      <x v="9"/>
      <x v="422"/>
      <x v="3492"/>
      <x v="611"/>
    </i>
    <i r="2">
      <x v="37"/>
      <x v="422"/>
      <x v="633"/>
      <x v="611"/>
    </i>
    <i r="1">
      <x v="24"/>
      <x v="6"/>
      <x v="422"/>
      <x v="3418"/>
      <x v="611"/>
    </i>
    <i r="1">
      <x v="36"/>
      <x v="9"/>
      <x v="422"/>
      <x v="3455"/>
      <x v="611"/>
    </i>
    <i r="1">
      <x v="37"/>
      <x v="8"/>
      <x v="422"/>
      <x v="3089"/>
      <x v="611"/>
    </i>
    <i r="2">
      <x v="9"/>
      <x v="422"/>
      <x v="313"/>
      <x v="611"/>
    </i>
    <i r="2">
      <x v="10"/>
      <x v="422"/>
      <x v="2754"/>
      <x v="611"/>
    </i>
    <i r="2">
      <x v="37"/>
      <x v="422"/>
      <x v="2753"/>
      <x v="611"/>
    </i>
    <i>
      <x v="193"/>
      <x/>
      <x v="7"/>
      <x v="432"/>
      <x v="3197"/>
      <x v="611"/>
    </i>
    <i r="2">
      <x v="8"/>
      <x v="432"/>
      <x v="3133"/>
      <x v="611"/>
    </i>
    <i r="2">
      <x v="9"/>
      <x v="432"/>
      <x v="665"/>
      <x v="611"/>
    </i>
    <i r="4">
      <x v="1036"/>
      <x v="611"/>
    </i>
    <i r="4">
      <x v="3283"/>
      <x v="611"/>
    </i>
    <i r="4">
      <x v="3392"/>
      <x v="611"/>
    </i>
    <i r="4">
      <x v="3531"/>
      <x v="611"/>
    </i>
    <i r="2">
      <x v="12"/>
      <x v="47"/>
      <x v="314"/>
      <x v="611"/>
    </i>
    <i r="3">
      <x v="59"/>
      <x v="6"/>
      <x v="611"/>
    </i>
    <i r="1">
      <x v="7"/>
      <x v="8"/>
      <x v="432"/>
      <x v="3115"/>
      <x v="611"/>
    </i>
    <i r="2">
      <x v="10"/>
      <x v="432"/>
      <x v="278"/>
      <x v="611"/>
    </i>
    <i r="1">
      <x v="8"/>
      <x v="8"/>
      <x v="432"/>
      <x v="290"/>
      <x v="611"/>
    </i>
    <i r="1">
      <x v="12"/>
      <x v="1"/>
      <x v="432"/>
      <x v="80"/>
      <x v="611"/>
    </i>
    <i r="4">
      <x v="500"/>
      <x v="611"/>
    </i>
    <i r="4">
      <x v="911"/>
      <x v="611"/>
    </i>
    <i r="4">
      <x v="964"/>
      <x v="611"/>
    </i>
    <i r="1">
      <x v="15"/>
      <x v="1"/>
      <x v="432"/>
      <x v="3012"/>
      <x v="611"/>
    </i>
    <i r="2">
      <x v="8"/>
      <x v="432"/>
      <x v="3011"/>
      <x v="611"/>
    </i>
    <i r="2">
      <x v="9"/>
      <x v="432"/>
      <x v="3422"/>
      <x v="611"/>
    </i>
    <i r="1">
      <x v="17"/>
      <x v="8"/>
      <x v="432"/>
      <x v="3023"/>
      <x v="611"/>
    </i>
    <i r="1">
      <x v="23"/>
      <x v="7"/>
      <x v="432"/>
      <x v="398"/>
      <x v="611"/>
    </i>
    <i r="2">
      <x v="8"/>
      <x v="432"/>
      <x v="3090"/>
      <x v="611"/>
    </i>
    <i r="2">
      <x v="56"/>
      <x v="286"/>
      <x v="2468"/>
      <x v="611"/>
    </i>
    <i r="1">
      <x v="35"/>
      <x v="1"/>
      <x v="432"/>
      <x v="80"/>
      <x v="611"/>
    </i>
    <i r="4">
      <x v="352"/>
      <x v="611"/>
    </i>
    <i r="1">
      <x v="36"/>
      <x v="8"/>
      <x v="432"/>
      <x v="3043"/>
      <x v="611"/>
    </i>
    <i r="2">
      <x v="9"/>
      <x v="432"/>
      <x v="3448"/>
      <x v="611"/>
    </i>
    <i>
      <x v="194"/>
      <x/>
      <x v="12"/>
      <x v="2"/>
      <x v="39"/>
      <x v="611"/>
    </i>
    <i r="3">
      <x v="27"/>
      <x v="2560"/>
      <x v="611"/>
    </i>
    <i r="3">
      <x v="49"/>
      <x v="35"/>
      <x v="611"/>
    </i>
    <i r="1">
      <x v="3"/>
      <x v="37"/>
      <x v="413"/>
      <x v="39"/>
      <x v="611"/>
    </i>
    <i r="1">
      <x v="7"/>
      <x v="37"/>
      <x v="413"/>
      <x v="2860"/>
      <x v="611"/>
    </i>
    <i r="1">
      <x v="8"/>
      <x v="33"/>
      <x v="413"/>
      <x v="3193"/>
      <x v="611"/>
    </i>
    <i r="1">
      <x v="12"/>
      <x v="1"/>
      <x v="413"/>
      <x v="213"/>
      <x v="611"/>
    </i>
    <i r="1">
      <x v="21"/>
      <x v="37"/>
      <x v="413"/>
      <x v="2801"/>
      <x v="611"/>
    </i>
    <i r="1">
      <x v="23"/>
      <x v="37"/>
      <x v="413"/>
      <x v="2760"/>
      <x v="611"/>
    </i>
    <i r="1">
      <x v="33"/>
      <x v="37"/>
      <x v="413"/>
      <x v="2811"/>
      <x v="611"/>
    </i>
    <i r="1">
      <x v="35"/>
      <x v="1"/>
      <x v="413"/>
      <x v="213"/>
      <x v="611"/>
    </i>
    <i>
      <x v="195"/>
      <x/>
      <x v="8"/>
      <x v="380"/>
      <x v="964"/>
      <x v="611"/>
    </i>
    <i r="2">
      <x v="12"/>
      <x v="2"/>
      <x v="109"/>
      <x v="611"/>
    </i>
    <i r="3">
      <x v="10"/>
      <x v="9"/>
      <x v="611"/>
    </i>
    <i r="3">
      <x v="47"/>
      <x v="314"/>
      <x v="611"/>
    </i>
    <i r="1">
      <x v="12"/>
      <x v="1"/>
      <x v="380"/>
      <x v="80"/>
      <x v="611"/>
    </i>
    <i r="1">
      <x v="15"/>
      <x v="37"/>
      <x v="380"/>
      <x v="352"/>
      <x v="611"/>
    </i>
    <i r="1">
      <x v="16"/>
      <x v="6"/>
      <x v="380"/>
      <x v="1170"/>
      <x v="611"/>
    </i>
    <i r="1">
      <x v="17"/>
      <x v="6"/>
      <x v="380"/>
      <x v="527"/>
      <x v="611"/>
    </i>
    <i r="1">
      <x v="26"/>
      <x v="9"/>
      <x v="380"/>
      <x v="1434"/>
      <x v="611"/>
    </i>
    <i r="1">
      <x v="27"/>
      <x v="37"/>
      <x v="380"/>
      <x v="607"/>
      <x v="611"/>
    </i>
    <i r="1">
      <x v="33"/>
      <x v="33"/>
      <x v="380"/>
      <x v="3188"/>
      <x v="611"/>
    </i>
    <i r="1">
      <x v="36"/>
      <x v="6"/>
      <x v="380"/>
      <x v="3407"/>
      <x v="611"/>
    </i>
    <i>
      <x v="196"/>
      <x/>
      <x v="12"/>
      <x v="2"/>
      <x v="11"/>
      <x v="611"/>
    </i>
    <i r="3">
      <x v="21"/>
      <x v="24"/>
      <x v="611"/>
    </i>
    <i r="3">
      <x v="32"/>
      <x v="2567"/>
      <x v="611"/>
    </i>
    <i r="3">
      <x v="69"/>
      <x v="213"/>
      <x v="611"/>
    </i>
    <i r="2">
      <x v="37"/>
      <x v="339"/>
      <x v="2572"/>
      <x v="611"/>
    </i>
    <i r="1">
      <x v="8"/>
      <x v="37"/>
      <x v="339"/>
      <x v="2901"/>
      <x v="611"/>
    </i>
    <i r="1">
      <x v="9"/>
      <x v="1"/>
      <x v="339"/>
      <x v="2997"/>
      <x v="611"/>
    </i>
    <i r="1">
      <x v="11"/>
      <x v="37"/>
      <x v="339"/>
      <x v="371"/>
      <x v="611"/>
    </i>
    <i r="1">
      <x v="12"/>
      <x v="1"/>
      <x v="339"/>
      <x v="80"/>
      <x v="611"/>
    </i>
    <i r="4">
      <x v="213"/>
      <x v="611"/>
    </i>
    <i r="4">
      <x v="352"/>
      <x v="611"/>
    </i>
    <i r="4">
      <x v="771"/>
      <x v="611"/>
    </i>
    <i r="1">
      <x v="15"/>
      <x v="38"/>
      <x v="339"/>
      <x v="1274"/>
      <x v="611"/>
    </i>
    <i r="1">
      <x v="17"/>
      <x v="37"/>
      <x v="339"/>
      <x v="2667"/>
      <x v="611"/>
    </i>
    <i r="1">
      <x v="21"/>
      <x v="10"/>
      <x v="339"/>
      <x/>
      <x v="381"/>
    </i>
    <i r="2">
      <x v="38"/>
      <x v="339"/>
      <x v="2800"/>
      <x v="611"/>
    </i>
    <i r="1">
      <x v="23"/>
      <x v="1"/>
      <x v="339"/>
      <x v="109"/>
      <x v="611"/>
    </i>
    <i r="2">
      <x v="38"/>
      <x v="339"/>
      <x v="1865"/>
      <x v="611"/>
    </i>
    <i r="1">
      <x v="24"/>
      <x v="1"/>
      <x v="339"/>
      <x v="39"/>
      <x v="611"/>
    </i>
    <i r="2">
      <x v="37"/>
      <x v="339"/>
      <x v="49"/>
      <x v="611"/>
    </i>
    <i r="1">
      <x v="26"/>
      <x v="37"/>
      <x v="339"/>
      <x v="561"/>
      <x v="611"/>
    </i>
    <i>
      <x v="197"/>
      <x/>
      <x v="12"/>
      <x v="2"/>
      <x v="46"/>
      <x v="611"/>
    </i>
    <i r="3">
      <x v="35"/>
      <x v="8"/>
      <x v="611"/>
    </i>
    <i r="3">
      <x v="64"/>
      <x v="2601"/>
      <x v="611"/>
    </i>
    <i r="2">
      <x v="37"/>
      <x v="293"/>
      <x v="579"/>
      <x v="611"/>
    </i>
    <i r="1">
      <x v="6"/>
      <x v="37"/>
      <x v="293"/>
      <x v="2879"/>
      <x v="611"/>
    </i>
    <i r="1">
      <x v="11"/>
      <x v="1"/>
      <x v="293"/>
      <x v="3100"/>
      <x v="611"/>
    </i>
    <i r="2">
      <x v="37"/>
      <x v="293"/>
      <x v="2828"/>
      <x v="611"/>
    </i>
    <i r="1">
      <x v="12"/>
      <x v="1"/>
      <x v="293"/>
      <x v="80"/>
      <x v="611"/>
    </i>
    <i r="4">
      <x v="213"/>
      <x v="611"/>
    </i>
    <i r="4">
      <x v="500"/>
      <x v="611"/>
    </i>
    <i r="1">
      <x v="21"/>
      <x v="37"/>
      <x v="293"/>
      <x v="846"/>
      <x v="611"/>
    </i>
    <i r="1">
      <x v="35"/>
      <x v="1"/>
      <x v="293"/>
      <x v="80"/>
      <x v="611"/>
    </i>
    <i r="1">
      <x v="36"/>
      <x v="1"/>
      <x v="293"/>
      <x v="3044"/>
      <x v="611"/>
    </i>
    <i r="1">
      <x v="40"/>
      <x v="37"/>
      <x v="293"/>
      <x v="2198"/>
      <x v="611"/>
    </i>
    <i>
      <x v="198"/>
      <x/>
      <x v="6"/>
      <x v="445"/>
      <x v="3354"/>
      <x v="611"/>
    </i>
    <i r="2">
      <x v="12"/>
      <x v="2"/>
      <x v="11"/>
      <x v="611"/>
    </i>
    <i r="3">
      <x v="36"/>
      <x v="236"/>
      <x v="611"/>
    </i>
    <i r="3">
      <x v="59"/>
      <x v="11"/>
      <x v="611"/>
    </i>
    <i r="1">
      <x v="2"/>
      <x v="1"/>
      <x v="445"/>
      <x v="3071"/>
      <x v="611"/>
    </i>
    <i r="2">
      <x v="6"/>
      <x v="445"/>
      <x v="3467"/>
      <x v="611"/>
    </i>
    <i r="1">
      <x v="12"/>
      <x v="1"/>
      <x v="445"/>
      <x v="80"/>
      <x v="611"/>
    </i>
    <i r="4">
      <x v="213"/>
      <x v="611"/>
    </i>
    <i r="2">
      <x v="60"/>
      <x v="439"/>
      <x/>
      <x v="600"/>
    </i>
    <i r="1">
      <x v="35"/>
      <x v="1"/>
      <x v="445"/>
      <x v="80"/>
      <x v="611"/>
    </i>
    <i>
      <x v="199"/>
      <x/>
      <x v="12"/>
      <x v="2"/>
      <x v="49"/>
      <x v="611"/>
    </i>
    <i r="3">
      <x v="34"/>
      <x v="371"/>
      <x v="611"/>
    </i>
    <i r="3">
      <x v="66"/>
      <x v="25"/>
      <x v="611"/>
    </i>
    <i r="1">
      <x v="3"/>
      <x v="1"/>
      <x v="448"/>
      <x v="3059"/>
      <x v="611"/>
    </i>
    <i r="2">
      <x v="6"/>
      <x v="448"/>
      <x v="387"/>
      <x v="611"/>
    </i>
    <i r="1">
      <x v="12"/>
      <x v="1"/>
      <x v="448"/>
      <x v="80"/>
      <x v="611"/>
    </i>
    <i r="4">
      <x v="607"/>
      <x v="611"/>
    </i>
    <i r="1">
      <x v="35"/>
      <x v="1"/>
      <x v="448"/>
      <x v="80"/>
      <x v="611"/>
    </i>
    <i>
      <x v="200"/>
      <x/>
      <x v="6"/>
      <x v="370"/>
      <x v="3210"/>
      <x v="611"/>
    </i>
    <i r="2">
      <x v="8"/>
      <x v="370"/>
      <x v="1069"/>
      <x v="611"/>
    </i>
    <i r="2">
      <x v="12"/>
      <x v="2"/>
      <x v="27"/>
      <x v="611"/>
    </i>
    <i r="3">
      <x v="13"/>
      <x v="82"/>
      <x v="611"/>
    </i>
    <i r="3">
      <x v="20"/>
      <x v="46"/>
      <x v="611"/>
    </i>
    <i r="3">
      <x v="52"/>
      <x v="45"/>
      <x v="611"/>
    </i>
    <i r="1">
      <x v="3"/>
      <x v="37"/>
      <x v="370"/>
      <x v="1122"/>
      <x v="611"/>
    </i>
    <i r="1">
      <x v="5"/>
      <x v="37"/>
      <x v="370"/>
      <x v="2848"/>
      <x v="611"/>
    </i>
    <i r="1">
      <x v="6"/>
      <x v="37"/>
      <x v="370"/>
      <x v="983"/>
      <x v="611"/>
    </i>
    <i r="1">
      <x v="12"/>
      <x v="1"/>
      <x v="370"/>
      <x v="80"/>
      <x v="611"/>
    </i>
    <i r="4">
      <x v="352"/>
      <x v="611"/>
    </i>
    <i r="4">
      <x v="500"/>
      <x v="611"/>
    </i>
    <i r="4">
      <x v="771"/>
      <x v="611"/>
    </i>
    <i r="1">
      <x v="15"/>
      <x v="1"/>
      <x v="370"/>
      <x v="3013"/>
      <x v="611"/>
    </i>
    <i r="1">
      <x v="16"/>
      <x v="1"/>
      <x v="370"/>
      <x v="138"/>
      <x v="611"/>
    </i>
    <i r="2">
      <x v="37"/>
      <x v="370"/>
      <x v="109"/>
      <x v="611"/>
    </i>
    <i r="1">
      <x v="23"/>
      <x v="37"/>
      <x v="370"/>
      <x v="2780"/>
      <x v="611"/>
    </i>
    <i r="1">
      <x v="35"/>
      <x v="1"/>
      <x v="370"/>
      <x v="80"/>
      <x v="611"/>
    </i>
    <i>
      <x v="201"/>
      <x/>
      <x v="1"/>
      <x v="308"/>
      <x v="80"/>
      <x v="611"/>
    </i>
    <i r="2">
      <x v="8"/>
      <x v="308"/>
      <x v="2992"/>
      <x v="611"/>
    </i>
    <i r="2">
      <x v="9"/>
      <x v="308"/>
      <x v="3271"/>
      <x v="611"/>
    </i>
    <i r="4">
      <x v="3304"/>
      <x v="611"/>
    </i>
    <i r="2">
      <x v="10"/>
      <x v="308"/>
      <x/>
      <x v="566"/>
    </i>
    <i r="2">
      <x v="12"/>
      <x v="2"/>
      <x v="11"/>
      <x v="611"/>
    </i>
    <i r="3">
      <x v="10"/>
      <x v="9"/>
      <x v="611"/>
    </i>
    <i r="3">
      <x v="15"/>
      <x v="119"/>
      <x v="611"/>
    </i>
    <i r="3">
      <x v="30"/>
      <x v="18"/>
      <x v="611"/>
    </i>
    <i r="3">
      <x v="37"/>
      <x v="23"/>
      <x v="611"/>
    </i>
    <i r="3">
      <x v="71"/>
      <x v="18"/>
      <x v="611"/>
    </i>
    <i r="2">
      <x v="37"/>
      <x v="308"/>
      <x v="524"/>
      <x v="611"/>
    </i>
    <i r="1">
      <x v="9"/>
      <x v="10"/>
      <x v="308"/>
      <x v="137"/>
      <x v="611"/>
    </i>
    <i r="1">
      <x v="12"/>
      <x v="1"/>
      <x v="308"/>
      <x v="80"/>
      <x v="611"/>
    </i>
    <i r="4">
      <x v="213"/>
      <x v="611"/>
    </i>
    <i r="4">
      <x v="352"/>
      <x v="611"/>
    </i>
    <i r="1">
      <x v="15"/>
      <x v="1"/>
      <x v="308"/>
      <x v="3015"/>
      <x v="611"/>
    </i>
    <i r="2">
      <x v="8"/>
      <x v="308"/>
      <x v="3014"/>
      <x v="611"/>
    </i>
    <i r="1">
      <x v="23"/>
      <x v="37"/>
      <x v="308"/>
      <x v="2782"/>
      <x v="611"/>
    </i>
    <i r="1">
      <x v="35"/>
      <x v="1"/>
      <x v="308"/>
      <x v="80"/>
      <x v="611"/>
    </i>
    <i r="1">
      <x v="36"/>
      <x v="9"/>
      <x v="308"/>
      <x v="3451"/>
      <x v="611"/>
    </i>
    <i>
      <x v="202"/>
      <x/>
      <x v="8"/>
      <x v="317"/>
      <x v="964"/>
      <x v="611"/>
    </i>
    <i r="2">
      <x v="12"/>
      <x v="2"/>
      <x v="11"/>
      <x v="611"/>
    </i>
    <i r="3">
      <x v="32"/>
      <x v="61"/>
      <x v="611"/>
    </i>
    <i r="3">
      <x v="34"/>
      <x v="371"/>
      <x v="611"/>
    </i>
    <i r="1">
      <x v="3"/>
      <x v="1"/>
      <x v="317"/>
      <x v="3060"/>
      <x v="611"/>
    </i>
    <i r="2">
      <x v="37"/>
      <x v="317"/>
      <x v="2715"/>
      <x v="611"/>
    </i>
    <i r="1">
      <x v="5"/>
      <x v="37"/>
      <x v="317"/>
      <x v="2853"/>
      <x v="611"/>
    </i>
    <i r="1">
      <x v="7"/>
      <x v="37"/>
      <x v="317"/>
      <x v="2589"/>
      <x v="611"/>
    </i>
    <i r="1">
      <x v="8"/>
      <x v="37"/>
      <x v="317"/>
      <x v="1085"/>
      <x v="611"/>
    </i>
    <i r="1">
      <x v="11"/>
      <x v="37"/>
      <x v="317"/>
      <x v="278"/>
      <x v="611"/>
    </i>
    <i r="1">
      <x v="12"/>
      <x v="1"/>
      <x v="317"/>
      <x v="80"/>
      <x v="611"/>
    </i>
    <i r="4">
      <x v="352"/>
      <x v="611"/>
    </i>
    <i r="2">
      <x v="37"/>
      <x v="317"/>
      <x v="1036"/>
      <x v="611"/>
    </i>
    <i r="4">
      <x v="1337"/>
      <x v="611"/>
    </i>
    <i r="1">
      <x v="15"/>
      <x v="37"/>
      <x v="317"/>
      <x v="2650"/>
      <x v="611"/>
    </i>
    <i r="1">
      <x v="23"/>
      <x v="6"/>
      <x v="317"/>
      <x v="846"/>
      <x v="611"/>
    </i>
    <i r="2">
      <x v="37"/>
      <x v="317"/>
      <x v="2788"/>
      <x v="611"/>
    </i>
    <i r="1">
      <x v="24"/>
      <x v="6"/>
      <x v="317"/>
      <x v="3414"/>
      <x v="611"/>
    </i>
    <i r="2">
      <x v="37"/>
      <x v="317"/>
      <x v="2627"/>
      <x v="611"/>
    </i>
    <i>
      <x v="203"/>
      <x/>
      <x v="7"/>
      <x v="441"/>
      <x v="238"/>
      <x v="611"/>
    </i>
    <i r="2">
      <x v="8"/>
      <x v="441"/>
      <x v="1089"/>
      <x v="611"/>
    </i>
    <i r="2">
      <x v="9"/>
      <x v="441"/>
      <x v="1125"/>
      <x v="611"/>
    </i>
    <i r="4">
      <x v="1333"/>
      <x v="611"/>
    </i>
    <i r="4">
      <x v="3171"/>
      <x v="611"/>
    </i>
    <i r="4">
      <x v="3222"/>
      <x v="611"/>
    </i>
    <i r="4">
      <x v="3225"/>
      <x v="611"/>
    </i>
    <i r="4">
      <x v="3252"/>
      <x v="611"/>
    </i>
    <i r="4">
      <x v="3292"/>
      <x v="611"/>
    </i>
    <i r="4">
      <x v="3303"/>
      <x v="611"/>
    </i>
    <i r="4">
      <x v="3320"/>
      <x v="611"/>
    </i>
    <i r="4">
      <x v="3375"/>
      <x v="611"/>
    </i>
    <i r="4">
      <x v="3560"/>
      <x v="611"/>
    </i>
    <i r="2">
      <x v="12"/>
      <x v="2"/>
      <x v="7"/>
      <x v="611"/>
    </i>
    <i r="3">
      <x v="10"/>
      <x v="9"/>
      <x v="611"/>
    </i>
    <i r="3">
      <x v="31"/>
      <x v="192"/>
      <x v="611"/>
    </i>
    <i r="1">
      <x v="2"/>
      <x v="9"/>
      <x v="441"/>
      <x v="3474"/>
      <x v="611"/>
    </i>
    <i r="1">
      <x v="3"/>
      <x v="1"/>
      <x v="441"/>
      <x v="109"/>
      <x v="611"/>
    </i>
    <i r="1">
      <x v="9"/>
      <x v="8"/>
      <x v="441"/>
      <x v="3002"/>
      <x v="611"/>
    </i>
    <i r="1">
      <x v="11"/>
      <x v="9"/>
      <x v="441"/>
      <x v="3501"/>
      <x v="611"/>
    </i>
    <i r="1">
      <x v="12"/>
      <x v="1"/>
      <x v="441"/>
      <x v="80"/>
      <x v="611"/>
    </i>
    <i r="4">
      <x v="213"/>
      <x v="611"/>
    </i>
    <i r="4">
      <x v="352"/>
      <x v="611"/>
    </i>
    <i r="4">
      <x v="607"/>
      <x v="611"/>
    </i>
    <i r="4">
      <x v="771"/>
      <x v="611"/>
    </i>
    <i r="1">
      <x v="15"/>
      <x v="7"/>
      <x v="441"/>
      <x v="129"/>
      <x v="611"/>
    </i>
    <i r="2">
      <x v="9"/>
      <x v="441"/>
      <x v="3426"/>
      <x v="611"/>
    </i>
    <i r="1">
      <x v="25"/>
      <x v="9"/>
      <x v="441"/>
      <x v="2868"/>
      <x v="611"/>
    </i>
    <i r="1">
      <x v="29"/>
      <x v="9"/>
      <x v="441"/>
      <x v="3508"/>
      <x v="611"/>
    </i>
    <i r="1">
      <x v="34"/>
      <x v="33"/>
      <x v="441"/>
      <x v="3196"/>
      <x v="611"/>
    </i>
    <i r="1">
      <x v="35"/>
      <x v="1"/>
      <x v="441"/>
      <x v="80"/>
      <x v="611"/>
    </i>
    <i>
      <x v="204"/>
      <x/>
      <x v="12"/>
      <x v="22"/>
      <x v="18"/>
      <x v="611"/>
    </i>
    <i r="3">
      <x v="23"/>
      <x v="6"/>
      <x v="611"/>
    </i>
    <i r="1">
      <x v="5"/>
      <x v="38"/>
      <x v="395"/>
      <x v="2661"/>
      <x v="611"/>
    </i>
    <i r="1">
      <x v="12"/>
      <x v="1"/>
      <x v="395"/>
      <x v="213"/>
      <x v="611"/>
    </i>
    <i r="4">
      <x v="352"/>
      <x v="611"/>
    </i>
    <i r="1">
      <x v="15"/>
      <x v="38"/>
      <x v="395"/>
      <x v="2653"/>
      <x v="611"/>
    </i>
    <i r="1">
      <x v="37"/>
      <x v="38"/>
      <x v="395"/>
      <x v="2749"/>
      <x v="611"/>
    </i>
    <i r="1">
      <x v="40"/>
      <x v="8"/>
      <x v="395"/>
      <x v="3056"/>
      <x v="611"/>
    </i>
    <i>
      <x v="205"/>
      <x/>
      <x v="12"/>
      <x v="8"/>
      <x v="24"/>
      <x v="611"/>
    </i>
    <i r="3">
      <x v="30"/>
      <x v="23"/>
      <x v="611"/>
    </i>
    <i r="3">
      <x v="56"/>
      <x v="53"/>
      <x v="611"/>
    </i>
    <i r="1">
      <x v="3"/>
      <x v="37"/>
      <x v="381"/>
      <x v="2703"/>
      <x v="611"/>
    </i>
    <i r="1">
      <x v="5"/>
      <x v="37"/>
      <x v="381"/>
      <x v="2838"/>
      <x v="611"/>
    </i>
    <i r="1">
      <x v="8"/>
      <x v="37"/>
      <x v="381"/>
      <x v="1327"/>
      <x v="611"/>
    </i>
    <i r="1">
      <x v="12"/>
      <x v="1"/>
      <x v="381"/>
      <x v="80"/>
      <x v="611"/>
    </i>
    <i r="1">
      <x v="15"/>
      <x v="37"/>
      <x v="381"/>
      <x v="2634"/>
      <x v="611"/>
    </i>
    <i r="1">
      <x v="21"/>
      <x v="37"/>
      <x v="381"/>
      <x v="80"/>
      <x v="611"/>
    </i>
    <i r="1">
      <x v="23"/>
      <x v="37"/>
      <x v="381"/>
      <x v="2693"/>
      <x v="611"/>
    </i>
    <i r="1">
      <x v="27"/>
      <x v="37"/>
      <x v="381"/>
      <x v="2930"/>
      <x v="611"/>
    </i>
    <i r="1">
      <x v="36"/>
      <x v="6"/>
      <x v="381"/>
      <x v="943"/>
      <x v="611"/>
    </i>
    <i>
      <x v="206"/>
      <x/>
      <x v="1"/>
      <x v="326"/>
      <x v="80"/>
      <x v="611"/>
    </i>
    <i r="2">
      <x v="6"/>
      <x v="326"/>
      <x v="3209"/>
      <x v="611"/>
    </i>
    <i r="4">
      <x v="3331"/>
      <x v="611"/>
    </i>
    <i r="2">
      <x v="12"/>
      <x v="4"/>
      <x v="2940"/>
      <x v="611"/>
    </i>
    <i r="3">
      <x v="15"/>
      <x v="32"/>
      <x v="611"/>
    </i>
    <i r="3">
      <x v="30"/>
      <x v="6"/>
      <x v="611"/>
    </i>
    <i r="3">
      <x v="48"/>
      <x v="11"/>
      <x v="611"/>
    </i>
    <i r="3">
      <x v="58"/>
      <x v="92"/>
      <x v="611"/>
    </i>
    <i r="3">
      <x v="61"/>
      <x v="69"/>
      <x v="611"/>
    </i>
    <i r="1">
      <x v="3"/>
      <x v="37"/>
      <x v="326"/>
      <x v="2705"/>
      <x v="611"/>
    </i>
    <i r="1">
      <x v="8"/>
      <x v="37"/>
      <x v="326"/>
      <x v="2898"/>
      <x v="611"/>
    </i>
    <i r="1">
      <x v="11"/>
      <x v="1"/>
      <x v="326"/>
      <x v="3097"/>
      <x v="611"/>
    </i>
    <i r="2">
      <x v="37"/>
      <x v="326"/>
      <x v="2822"/>
      <x v="611"/>
    </i>
    <i r="1">
      <x v="12"/>
      <x v="1"/>
      <x v="326"/>
      <x v="80"/>
      <x v="611"/>
    </i>
    <i r="4">
      <x v="213"/>
      <x v="611"/>
    </i>
    <i r="4">
      <x v="352"/>
      <x v="611"/>
    </i>
    <i r="4">
      <x v="702"/>
      <x v="611"/>
    </i>
    <i r="4">
      <x v="964"/>
      <x v="611"/>
    </i>
    <i r="2">
      <x v="37"/>
      <x v="326"/>
      <x v="1265"/>
      <x v="611"/>
    </i>
    <i r="1">
      <x v="15"/>
      <x v="37"/>
      <x v="326"/>
      <x v="2637"/>
      <x v="611"/>
    </i>
    <i r="2">
      <x v="38"/>
      <x v="326"/>
      <x v="2636"/>
      <x v="611"/>
    </i>
    <i r="1">
      <x v="18"/>
      <x v="6"/>
      <x v="326"/>
      <x v="744"/>
      <x v="611"/>
    </i>
    <i r="1">
      <x v="26"/>
      <x v="37"/>
      <x v="326"/>
      <x v="2611"/>
      <x v="611"/>
    </i>
    <i r="2">
      <x v="38"/>
      <x v="326"/>
      <x v="2610"/>
      <x v="611"/>
    </i>
    <i r="1">
      <x v="27"/>
      <x v="38"/>
      <x v="326"/>
      <x v="2931"/>
      <x v="611"/>
    </i>
    <i r="1">
      <x v="33"/>
      <x v="1"/>
      <x v="326"/>
      <x v="502"/>
      <x v="611"/>
    </i>
    <i r="1">
      <x v="35"/>
      <x v="1"/>
      <x v="326"/>
      <x v="80"/>
      <x v="611"/>
    </i>
    <i>
      <x v="207"/>
      <x/>
      <x v="1"/>
      <x v="450"/>
      <x v="80"/>
      <x v="611"/>
    </i>
    <i r="2">
      <x v="12"/>
      <x v="30"/>
      <x v="92"/>
      <x v="611"/>
    </i>
    <i r="3">
      <x v="39"/>
      <x v="2567"/>
      <x v="611"/>
    </i>
    <i r="3">
      <x v="60"/>
      <x v="9"/>
      <x v="611"/>
    </i>
    <i>
      <x v="208"/>
      <x/>
      <x v="12"/>
      <x v="29"/>
      <x v="29"/>
      <x v="611"/>
    </i>
    <i r="3">
      <x v="30"/>
      <x v="18"/>
      <x v="611"/>
    </i>
    <i r="3">
      <x v="36"/>
      <x v="236"/>
      <x v="611"/>
    </i>
    <i r="3">
      <x v="71"/>
      <x v="18"/>
      <x v="611"/>
    </i>
    <i r="2">
      <x v="37"/>
      <x v="332"/>
      <x v="1216"/>
      <x v="611"/>
    </i>
    <i r="1">
      <x v="12"/>
      <x v="1"/>
      <x v="332"/>
      <x v="80"/>
      <x v="611"/>
    </i>
    <i r="4">
      <x v="213"/>
      <x v="611"/>
    </i>
    <i r="4">
      <x v="500"/>
      <x v="611"/>
    </i>
    <i r="1">
      <x v="14"/>
      <x v="37"/>
      <x v="332"/>
      <x v="2679"/>
      <x v="611"/>
    </i>
    <i r="1">
      <x v="23"/>
      <x v="1"/>
      <x v="332"/>
      <x v="371"/>
      <x v="611"/>
    </i>
    <i r="1">
      <x v="26"/>
      <x v="38"/>
      <x v="332"/>
      <x v="539"/>
      <x v="611"/>
    </i>
    <i>
      <x v="209"/>
      <x/>
      <x v="7"/>
      <x v="421"/>
      <x/>
      <x v="448"/>
    </i>
    <i r="2">
      <x v="12"/>
      <x v="30"/>
      <x v="11"/>
      <x v="611"/>
    </i>
    <i r="3">
      <x v="50"/>
      <x v="27"/>
      <x v="611"/>
    </i>
    <i r="3">
      <x v="69"/>
      <x v="13"/>
      <x v="611"/>
    </i>
    <i r="1">
      <x v="10"/>
      <x v="7"/>
      <x v="421"/>
      <x v="3154"/>
      <x v="611"/>
    </i>
    <i r="1">
      <x v="17"/>
      <x v="7"/>
      <x v="421"/>
      <x/>
      <x v="610"/>
    </i>
    <i r="4">
      <x v="3177"/>
      <x v="611"/>
    </i>
    <i r="1">
      <x v="19"/>
      <x v="10"/>
      <x v="421"/>
      <x/>
      <x v="380"/>
    </i>
    <i r="1">
      <x v="33"/>
      <x v="10"/>
      <x v="421"/>
      <x v="2813"/>
      <x v="611"/>
    </i>
    <i>
      <x v="210"/>
      <x/>
      <x v="7"/>
      <x v="347"/>
      <x v="3157"/>
      <x v="611"/>
    </i>
    <i r="4">
      <x v="3198"/>
      <x v="611"/>
    </i>
    <i r="2">
      <x v="8"/>
      <x v="347"/>
      <x v="410"/>
      <x v="611"/>
    </i>
    <i r="4">
      <x v="2960"/>
      <x v="611"/>
    </i>
    <i r="4">
      <x v="2970"/>
      <x v="611"/>
    </i>
    <i r="2">
      <x v="9"/>
      <x v="347"/>
      <x v="3263"/>
      <x v="611"/>
    </i>
    <i r="4">
      <x v="3279"/>
      <x v="611"/>
    </i>
    <i r="4">
      <x v="3317"/>
      <x v="611"/>
    </i>
    <i r="4">
      <x v="3356"/>
      <x v="611"/>
    </i>
    <i r="4">
      <x v="3551"/>
      <x v="611"/>
    </i>
    <i r="2">
      <x v="10"/>
      <x v="347"/>
      <x v="2937"/>
      <x v="611"/>
    </i>
    <i r="2">
      <x v="12"/>
      <x v="30"/>
      <x v="6"/>
      <x v="611"/>
    </i>
    <i r="2">
      <x v="37"/>
      <x v="347"/>
      <x v="2589"/>
      <x v="611"/>
    </i>
    <i r="1">
      <x v="2"/>
      <x v="6"/>
      <x v="347"/>
      <x v="3470"/>
      <x v="611"/>
    </i>
    <i r="2">
      <x v="8"/>
      <x v="347"/>
      <x v="3078"/>
      <x v="611"/>
    </i>
    <i r="2">
      <x v="9"/>
      <x v="347"/>
      <x v="3471"/>
      <x v="611"/>
    </i>
    <i r="1">
      <x v="3"/>
      <x v="37"/>
      <x v="347"/>
      <x v="633"/>
      <x v="611"/>
    </i>
    <i r="1">
      <x v="5"/>
      <x v="8"/>
      <x v="347"/>
      <x v="290"/>
      <x v="611"/>
    </i>
    <i r="2">
      <x v="37"/>
      <x v="347"/>
      <x v="1007"/>
      <x v="611"/>
    </i>
    <i r="1">
      <x v="7"/>
      <x v="37"/>
      <x v="347"/>
      <x v="633"/>
      <x v="611"/>
    </i>
    <i r="1">
      <x v="12"/>
      <x v="1"/>
      <x v="347"/>
      <x v="80"/>
      <x v="611"/>
    </i>
    <i r="4">
      <x v="213"/>
      <x v="611"/>
    </i>
    <i r="4">
      <x v="352"/>
      <x v="611"/>
    </i>
    <i r="4">
      <x v="607"/>
      <x v="611"/>
    </i>
    <i r="4">
      <x v="702"/>
      <x v="611"/>
    </i>
    <i r="4">
      <x v="846"/>
      <x v="611"/>
    </i>
    <i r="1">
      <x v="15"/>
      <x v="7"/>
      <x v="347"/>
      <x v="3172"/>
      <x v="611"/>
    </i>
    <i r="2">
      <x v="38"/>
      <x v="347"/>
      <x v="1274"/>
      <x v="611"/>
    </i>
    <i r="1">
      <x v="17"/>
      <x v="7"/>
      <x v="347"/>
      <x v="3178"/>
      <x v="611"/>
    </i>
    <i r="2">
      <x v="37"/>
      <x v="347"/>
      <x v="2675"/>
      <x v="611"/>
    </i>
    <i r="1">
      <x v="21"/>
      <x v="38"/>
      <x v="347"/>
      <x v="1274"/>
      <x v="611"/>
    </i>
    <i r="1">
      <x v="22"/>
      <x v="37"/>
      <x v="347"/>
      <x v="665"/>
      <x v="611"/>
    </i>
    <i r="1">
      <x v="23"/>
      <x v="7"/>
      <x v="347"/>
      <x v="371"/>
      <x v="611"/>
    </i>
    <i r="2">
      <x v="38"/>
      <x v="347"/>
      <x v="1857"/>
      <x v="611"/>
    </i>
    <i r="1">
      <x v="26"/>
      <x v="37"/>
      <x v="347"/>
      <x v="2620"/>
      <x v="611"/>
    </i>
    <i r="1">
      <x v="35"/>
      <x v="1"/>
      <x v="347"/>
      <x v="80"/>
      <x v="611"/>
    </i>
    <i r="4">
      <x v="213"/>
      <x v="611"/>
    </i>
    <i r="1">
      <x v="37"/>
      <x v="37"/>
      <x v="347"/>
      <x v="1321"/>
      <x v="611"/>
    </i>
    <i>
      <x v="211"/>
      <x/>
      <x v="7"/>
      <x v="338"/>
      <x v="3152"/>
      <x v="611"/>
    </i>
    <i r="4">
      <x v="3156"/>
      <x v="611"/>
    </i>
    <i r="4">
      <x v="3199"/>
      <x v="611"/>
    </i>
    <i r="2">
      <x v="8"/>
      <x v="338"/>
      <x v="2968"/>
      <x v="611"/>
    </i>
    <i r="4">
      <x v="2994"/>
      <x v="611"/>
    </i>
    <i r="4">
      <x v="3140"/>
      <x v="611"/>
    </i>
    <i r="2">
      <x v="9"/>
      <x v="338"/>
      <x v="277"/>
      <x v="611"/>
    </i>
    <i r="4">
      <x v="489"/>
      <x v="611"/>
    </i>
    <i r="4">
      <x v="3238"/>
      <x v="611"/>
    </i>
    <i r="4">
      <x v="3325"/>
      <x v="611"/>
    </i>
    <i r="4">
      <x v="3327"/>
      <x v="611"/>
    </i>
    <i r="4">
      <x v="3556"/>
      <x v="611"/>
    </i>
    <i r="2">
      <x v="12"/>
      <x v="18"/>
      <x v="6"/>
      <x v="611"/>
    </i>
    <i r="3">
      <x v="30"/>
      <x v="11"/>
      <x v="611"/>
    </i>
    <i r="3">
      <x v="47"/>
      <x v="314"/>
      <x v="611"/>
    </i>
    <i r="3">
      <x v="49"/>
      <x v="20"/>
      <x v="611"/>
    </i>
    <i r="3">
      <x v="50"/>
      <x v="49"/>
      <x v="611"/>
    </i>
    <i r="3">
      <x v="71"/>
      <x v="4"/>
      <x v="611"/>
    </i>
    <i r="2">
      <x v="37"/>
      <x v="338"/>
      <x v="20"/>
      <x v="611"/>
    </i>
    <i r="4">
      <x v="1348"/>
      <x v="611"/>
    </i>
    <i r="1">
      <x v="5"/>
      <x v="9"/>
      <x v="338"/>
      <x v="3503"/>
      <x v="611"/>
    </i>
    <i r="2">
      <x v="37"/>
      <x v="338"/>
      <x v="2859"/>
      <x v="611"/>
    </i>
    <i r="1">
      <x v="9"/>
      <x v="9"/>
      <x v="338"/>
      <x v="3408"/>
      <x v="611"/>
    </i>
    <i r="1">
      <x v="11"/>
      <x v="6"/>
      <x v="338"/>
      <x v="895"/>
      <x v="611"/>
    </i>
    <i r="1">
      <x v="12"/>
      <x v="1"/>
      <x v="338"/>
      <x v="352"/>
      <x v="611"/>
    </i>
    <i r="4">
      <x v="607"/>
      <x v="611"/>
    </i>
    <i r="1">
      <x v="15"/>
      <x v="1"/>
      <x v="338"/>
      <x v="3020"/>
      <x v="611"/>
    </i>
    <i r="2">
      <x v="7"/>
      <x v="338"/>
      <x v="3174"/>
      <x v="611"/>
    </i>
    <i r="2">
      <x v="8"/>
      <x v="338"/>
      <x v="1197"/>
      <x v="611"/>
    </i>
    <i r="1">
      <x v="23"/>
      <x v="6"/>
      <x v="338"/>
      <x v="3491"/>
      <x v="611"/>
    </i>
    <i r="1">
      <x v="36"/>
      <x v="6"/>
      <x v="338"/>
      <x v="3454"/>
      <x v="611"/>
    </i>
    <i>
      <x v="212"/>
      <x/>
      <x v="1"/>
      <x v="378"/>
      <x v="80"/>
      <x v="611"/>
    </i>
    <i r="2">
      <x v="6"/>
      <x v="378"/>
      <x v="212"/>
      <x v="611"/>
    </i>
    <i r="2">
      <x v="8"/>
      <x v="378"/>
      <x v="1069"/>
      <x v="611"/>
    </i>
    <i r="2">
      <x v="12"/>
      <x v="18"/>
      <x v="59"/>
      <x v="611"/>
    </i>
    <i r="3">
      <x v="30"/>
      <x v="18"/>
      <x v="611"/>
    </i>
    <i r="3">
      <x v="50"/>
      <x v="248"/>
      <x v="611"/>
    </i>
    <i r="3">
      <x v="70"/>
      <x v="24"/>
      <x v="611"/>
    </i>
    <i r="1">
      <x v="2"/>
      <x v="6"/>
      <x v="378"/>
      <x v="3473"/>
      <x v="611"/>
    </i>
    <i r="1">
      <x v="6"/>
      <x v="37"/>
      <x v="378"/>
      <x v="539"/>
      <x v="611"/>
    </i>
    <i r="1">
      <x v="8"/>
      <x v="37"/>
      <x v="378"/>
      <x v="689"/>
      <x v="611"/>
    </i>
    <i r="1">
      <x v="10"/>
      <x v="37"/>
      <x v="378"/>
      <x v="2632"/>
      <x v="611"/>
    </i>
    <i r="1">
      <x v="12"/>
      <x v="1"/>
      <x v="378"/>
      <x v="80"/>
      <x v="611"/>
    </i>
    <i r="4">
      <x v="500"/>
      <x v="611"/>
    </i>
    <i r="4">
      <x v="607"/>
      <x v="611"/>
    </i>
    <i r="4">
      <x v="771"/>
      <x v="611"/>
    </i>
    <i r="4">
      <x v="911"/>
      <x v="611"/>
    </i>
    <i r="4">
      <x v="1069"/>
      <x v="611"/>
    </i>
    <i r="1">
      <x v="23"/>
      <x v="37"/>
      <x v="378"/>
      <x v="2797"/>
      <x v="611"/>
    </i>
    <i r="1">
      <x v="34"/>
      <x v="37"/>
      <x v="378"/>
      <x v="277"/>
      <x v="611"/>
    </i>
    <i r="1">
      <x v="35"/>
      <x v="1"/>
      <x v="378"/>
      <x v="80"/>
      <x v="611"/>
    </i>
    <i>
      <x v="213"/>
      <x/>
      <x v="6"/>
      <x v="307"/>
      <x v="469"/>
      <x v="611"/>
    </i>
    <i r="2">
      <x v="8"/>
      <x v="307"/>
      <x v="179"/>
      <x v="611"/>
    </i>
    <i r="4">
      <x v="421"/>
      <x v="611"/>
    </i>
    <i r="4">
      <x v="2955"/>
      <x v="611"/>
    </i>
    <i r="4">
      <x v="2988"/>
      <x v="611"/>
    </i>
    <i r="4">
      <x v="3134"/>
      <x v="611"/>
    </i>
    <i r="2">
      <x v="9"/>
      <x v="307"/>
      <x v="463"/>
      <x v="611"/>
    </i>
    <i r="4">
      <x v="3257"/>
      <x v="611"/>
    </i>
    <i r="4">
      <x v="3545"/>
      <x v="611"/>
    </i>
    <i r="2">
      <x v="10"/>
      <x v="307"/>
      <x v="2586"/>
      <x v="611"/>
    </i>
    <i r="2">
      <x v="12"/>
      <x v="38"/>
      <x v="11"/>
      <x v="611"/>
    </i>
    <i r="3">
      <x v="57"/>
      <x v="11"/>
      <x v="611"/>
    </i>
    <i r="2">
      <x v="37"/>
      <x v="307"/>
      <x v="138"/>
      <x v="611"/>
    </i>
    <i r="4">
      <x v="391"/>
      <x v="611"/>
    </i>
    <i r="1">
      <x v="6"/>
      <x v="37"/>
      <x v="307"/>
      <x v="676"/>
      <x v="611"/>
    </i>
    <i r="1">
      <x v="12"/>
      <x v="1"/>
      <x v="307"/>
      <x v="80"/>
      <x v="611"/>
    </i>
    <i r="4">
      <x v="213"/>
      <x v="611"/>
    </i>
    <i r="4">
      <x v="352"/>
      <x v="611"/>
    </i>
    <i r="4">
      <x v="702"/>
      <x v="611"/>
    </i>
    <i r="4">
      <x v="964"/>
      <x v="611"/>
    </i>
    <i r="1">
      <x v="15"/>
      <x v="10"/>
      <x v="307"/>
      <x v="2639"/>
      <x v="611"/>
    </i>
    <i r="1">
      <x v="23"/>
      <x v="37"/>
      <x v="307"/>
      <x v="2768"/>
      <x v="611"/>
    </i>
    <i r="1">
      <x v="26"/>
      <x v="38"/>
      <x v="307"/>
      <x v="1150"/>
      <x v="611"/>
    </i>
    <i r="1">
      <x v="35"/>
      <x v="1"/>
      <x v="307"/>
      <x v="80"/>
      <x v="611"/>
    </i>
    <i>
      <x v="214"/>
      <x/>
      <x v="6"/>
      <x v="402"/>
      <x v="3277"/>
      <x v="611"/>
    </i>
    <i r="2">
      <x v="9"/>
      <x v="402"/>
      <x v="3323"/>
      <x v="611"/>
    </i>
    <i r="2">
      <x v="12"/>
      <x v="31"/>
      <x v="96"/>
      <x v="611"/>
    </i>
    <i r="3">
      <x v="38"/>
      <x v="6"/>
      <x v="611"/>
    </i>
    <i r="3">
      <x v="58"/>
      <x v="2597"/>
      <x v="611"/>
    </i>
    <i r="1">
      <x v="11"/>
      <x v="1"/>
      <x v="402"/>
      <x v="2600"/>
      <x v="611"/>
    </i>
    <i r="1">
      <x v="12"/>
      <x v="1"/>
      <x v="402"/>
      <x v="80"/>
      <x v="611"/>
    </i>
    <i r="2">
      <x v="65"/>
      <x v="440"/>
      <x v="59"/>
      <x v="611"/>
    </i>
    <i r="2">
      <x v="66"/>
      <x v="440"/>
      <x v="59"/>
      <x v="611"/>
    </i>
    <i r="1">
      <x v="15"/>
      <x v="6"/>
      <x v="402"/>
      <x v="561"/>
      <x v="611"/>
    </i>
    <i r="1">
      <x v="17"/>
      <x v="37"/>
      <x v="402"/>
      <x v="337"/>
      <x v="611"/>
    </i>
    <i r="1">
      <x v="33"/>
      <x v="37"/>
      <x v="402"/>
      <x v="2101"/>
      <x v="611"/>
    </i>
    <i r="1">
      <x v="35"/>
      <x v="1"/>
      <x v="402"/>
      <x v="80"/>
      <x v="611"/>
    </i>
    <i>
      <x v="215"/>
      <x/>
      <x v="6"/>
      <x v="391"/>
      <x v="660"/>
      <x v="611"/>
    </i>
    <i r="2">
      <x v="12"/>
      <x v="38"/>
      <x v="6"/>
      <x v="611"/>
    </i>
    <i r="1">
      <x v="12"/>
      <x v="1"/>
      <x v="391"/>
      <x v="80"/>
      <x v="611"/>
    </i>
    <i r="4">
      <x v="500"/>
      <x v="611"/>
    </i>
    <i r="4">
      <x v="607"/>
      <x v="611"/>
    </i>
    <i r="4">
      <x v="702"/>
      <x v="611"/>
    </i>
    <i r="4">
      <x v="846"/>
      <x v="611"/>
    </i>
    <i r="4">
      <x v="911"/>
      <x v="611"/>
    </i>
    <i r="1">
      <x v="14"/>
      <x v="1"/>
      <x v="391"/>
      <x v="3028"/>
      <x v="611"/>
    </i>
    <i r="1">
      <x v="15"/>
      <x v="38"/>
      <x v="391"/>
      <x v="2635"/>
      <x v="611"/>
    </i>
    <i r="1">
      <x v="33"/>
      <x v="37"/>
      <x v="391"/>
      <x v="1267"/>
      <x v="611"/>
    </i>
    <i r="1">
      <x v="35"/>
      <x v="1"/>
      <x v="391"/>
      <x v="80"/>
      <x v="611"/>
    </i>
    <i r="4">
      <x v="213"/>
      <x v="611"/>
    </i>
    <i r="1">
      <x v="36"/>
      <x v="6"/>
      <x v="391"/>
      <x v="714"/>
      <x v="611"/>
    </i>
    <i>
      <x v="216"/>
      <x/>
      <x v="1"/>
      <x v="366"/>
      <x v="80"/>
      <x v="611"/>
    </i>
    <i r="2">
      <x v="9"/>
      <x v="366"/>
      <x v="767"/>
      <x v="611"/>
    </i>
    <i r="4">
      <x v="791"/>
      <x v="611"/>
    </i>
    <i r="4">
      <x v="3395"/>
      <x v="611"/>
    </i>
    <i r="2">
      <x v="12"/>
      <x v="15"/>
      <x v="119"/>
      <x v="611"/>
    </i>
    <i r="3">
      <x v="38"/>
      <x v="6"/>
      <x v="611"/>
    </i>
    <i r="3">
      <x v="71"/>
      <x v="6"/>
      <x v="611"/>
    </i>
    <i r="1">
      <x v="3"/>
      <x v="37"/>
      <x v="366"/>
      <x v="109"/>
      <x v="611"/>
    </i>
    <i r="1">
      <x v="7"/>
      <x v="8"/>
      <x v="366"/>
      <x v="3120"/>
      <x v="611"/>
    </i>
    <i r="2">
      <x v="10"/>
      <x v="366"/>
      <x v="2869"/>
      <x v="611"/>
    </i>
    <i r="1">
      <x v="12"/>
      <x v="1"/>
      <x v="366"/>
      <x v="80"/>
      <x v="611"/>
    </i>
    <i r="4">
      <x v="213"/>
      <x v="611"/>
    </i>
    <i r="4">
      <x v="500"/>
      <x v="611"/>
    </i>
    <i r="1">
      <x v="15"/>
      <x v="37"/>
      <x v="366"/>
      <x v="2648"/>
      <x v="611"/>
    </i>
    <i r="1">
      <x v="23"/>
      <x v="37"/>
      <x v="366"/>
      <x v="2787"/>
      <x v="611"/>
    </i>
    <i r="1">
      <x v="26"/>
      <x v="38"/>
      <x v="366"/>
      <x v="895"/>
      <x v="611"/>
    </i>
    <i r="1">
      <x v="33"/>
      <x v="8"/>
      <x v="366"/>
      <x v="3094"/>
      <x v="611"/>
    </i>
    <i r="1">
      <x v="35"/>
      <x v="1"/>
      <x v="366"/>
      <x v="80"/>
      <x v="611"/>
    </i>
    <i>
      <x v="217"/>
      <x/>
      <x v="6"/>
      <x v="304"/>
      <x v="3557"/>
      <x v="611"/>
    </i>
    <i r="2">
      <x v="12"/>
      <x v="35"/>
      <x v="9"/>
      <x v="611"/>
    </i>
    <i r="3">
      <x v="48"/>
      <x v="92"/>
      <x v="611"/>
    </i>
    <i r="3">
      <x v="49"/>
      <x v="55"/>
      <x v="611"/>
    </i>
    <i r="2">
      <x v="37"/>
      <x v="304"/>
      <x v="262"/>
      <x v="611"/>
    </i>
    <i r="1">
      <x v="2"/>
      <x v="1"/>
      <x v="304"/>
      <x v="2791"/>
      <x v="611"/>
    </i>
    <i r="2">
      <x v="6"/>
      <x v="304"/>
      <x v="3465"/>
      <x v="611"/>
    </i>
    <i r="1">
      <x v="3"/>
      <x v="1"/>
      <x v="304"/>
      <x v="3057"/>
      <x v="611"/>
    </i>
    <i r="2">
      <x v="6"/>
      <x v="304"/>
      <x v="3460"/>
      <x v="611"/>
    </i>
    <i r="2">
      <x v="37"/>
      <x v="304"/>
      <x v="2701"/>
      <x v="611"/>
    </i>
    <i r="1">
      <x v="8"/>
      <x v="37"/>
      <x v="304"/>
      <x v="619"/>
      <x v="611"/>
    </i>
    <i r="1">
      <x v="12"/>
      <x v="1"/>
      <x v="304"/>
      <x v="80"/>
      <x v="611"/>
    </i>
    <i r="4">
      <x v="213"/>
      <x v="611"/>
    </i>
    <i r="4">
      <x v="500"/>
      <x v="611"/>
    </i>
    <i r="4">
      <x v="702"/>
      <x v="611"/>
    </i>
    <i r="1">
      <x v="19"/>
      <x v="37"/>
      <x v="304"/>
      <x v="2733"/>
      <x v="611"/>
    </i>
    <i r="1">
      <x v="23"/>
      <x v="37"/>
      <x v="304"/>
      <x v="2757"/>
      <x v="611"/>
    </i>
    <i>
      <x v="218"/>
      <x/>
      <x v="12"/>
      <x v="29"/>
      <x v="2559"/>
      <x v="611"/>
    </i>
    <i r="3">
      <x v="48"/>
      <x v="6"/>
      <x v="611"/>
    </i>
    <i>
      <x v="219"/>
      <x/>
      <x v="12"/>
      <x v="16"/>
      <x v="2567"/>
      <x v="611"/>
    </i>
    <i r="3">
      <x v="33"/>
      <x v="6"/>
      <x v="611"/>
    </i>
    <i r="3">
      <x v="48"/>
      <x v="92"/>
      <x v="611"/>
    </i>
    <i r="3">
      <x v="49"/>
      <x v="20"/>
      <x v="611"/>
    </i>
    <i r="3">
      <x v="50"/>
      <x v="248"/>
      <x v="611"/>
    </i>
    <i r="1">
      <x v="12"/>
      <x v="1"/>
      <x v="444"/>
      <x v="80"/>
      <x v="611"/>
    </i>
    <i r="4">
      <x v="213"/>
      <x v="611"/>
    </i>
    <i r="4">
      <x v="352"/>
      <x v="611"/>
    </i>
    <i r="4">
      <x v="500"/>
      <x v="611"/>
    </i>
    <i r="4">
      <x v="702"/>
      <x v="611"/>
    </i>
    <i r="1">
      <x v="17"/>
      <x v="6"/>
      <x v="444"/>
      <x v="3430"/>
      <x v="611"/>
    </i>
    <i r="1">
      <x v="35"/>
      <x v="1"/>
      <x v="444"/>
      <x v="80"/>
      <x v="611"/>
    </i>
    <i>
      <x v="220"/>
      <x/>
      <x v="7"/>
      <x v="313"/>
      <x v="3159"/>
      <x v="611"/>
    </i>
    <i r="2">
      <x v="8"/>
      <x v="313"/>
      <x v="2966"/>
      <x v="611"/>
    </i>
    <i r="4">
      <x v="2974"/>
      <x v="611"/>
    </i>
    <i r="4">
      <x v="3144"/>
      <x v="611"/>
    </i>
    <i r="2">
      <x v="9"/>
      <x v="313"/>
      <x v="592"/>
      <x v="611"/>
    </i>
    <i r="4">
      <x v="741"/>
      <x v="611"/>
    </i>
    <i r="4">
      <x v="937"/>
      <x v="611"/>
    </i>
    <i r="4">
      <x v="2326"/>
      <x v="611"/>
    </i>
    <i r="4">
      <x v="3235"/>
      <x v="611"/>
    </i>
    <i r="4">
      <x v="3243"/>
      <x v="611"/>
    </i>
    <i r="4">
      <x v="3278"/>
      <x v="611"/>
    </i>
    <i r="4">
      <x v="3303"/>
      <x v="611"/>
    </i>
    <i r="4">
      <x v="3316"/>
      <x v="611"/>
    </i>
    <i r="4">
      <x v="3333"/>
      <x v="611"/>
    </i>
    <i r="4">
      <x v="3385"/>
      <x v="611"/>
    </i>
    <i r="4">
      <x v="3524"/>
      <x v="611"/>
    </i>
    <i r="4">
      <x v="3528"/>
      <x v="611"/>
    </i>
    <i r="4">
      <x v="3553"/>
      <x v="611"/>
    </i>
    <i r="2">
      <x v="12"/>
      <x v="42"/>
      <x v="69"/>
      <x v="611"/>
    </i>
    <i r="3">
      <x v="48"/>
      <x v="6"/>
      <x v="611"/>
    </i>
    <i r="1">
      <x v="3"/>
      <x v="37"/>
      <x v="313"/>
      <x v="2711"/>
      <x v="611"/>
    </i>
    <i r="1">
      <x v="5"/>
      <x v="8"/>
      <x v="313"/>
      <x v="1141"/>
      <x v="611"/>
    </i>
    <i r="2">
      <x v="38"/>
      <x v="313"/>
      <x v="2846"/>
      <x v="611"/>
    </i>
    <i r="1">
      <x v="7"/>
      <x v="1"/>
      <x v="313"/>
      <x v="3117"/>
      <x v="611"/>
    </i>
    <i r="2">
      <x v="8"/>
      <x v="313"/>
      <x v="3116"/>
      <x v="611"/>
    </i>
    <i r="2">
      <x v="10"/>
      <x v="313"/>
      <x v="2865"/>
      <x v="611"/>
    </i>
    <i r="1">
      <x v="12"/>
      <x v="1"/>
      <x v="313"/>
      <x v="213"/>
      <x v="611"/>
    </i>
    <i r="4">
      <x v="352"/>
      <x v="611"/>
    </i>
    <i r="2">
      <x v="37"/>
      <x v="313"/>
      <x v="1206"/>
      <x v="611"/>
    </i>
    <i r="1">
      <x v="14"/>
      <x v="38"/>
      <x v="313"/>
      <x v="2661"/>
      <x v="611"/>
    </i>
    <i r="1">
      <x v="15"/>
      <x v="37"/>
      <x v="313"/>
      <x v="109"/>
      <x v="611"/>
    </i>
    <i r="1">
      <x v="17"/>
      <x v="7"/>
      <x v="313"/>
      <x v="3176"/>
      <x v="611"/>
    </i>
    <i r="2">
      <x v="8"/>
      <x v="313"/>
      <x v="351"/>
      <x v="611"/>
    </i>
    <i r="2">
      <x v="37"/>
      <x v="313"/>
      <x v="2671"/>
      <x v="611"/>
    </i>
    <i r="1">
      <x v="19"/>
      <x v="6"/>
      <x v="313"/>
      <x v="539"/>
      <x v="611"/>
    </i>
    <i r="1">
      <x v="23"/>
      <x v="1"/>
      <x v="313"/>
      <x v="352"/>
      <x v="611"/>
    </i>
    <i r="2">
      <x v="7"/>
      <x v="313"/>
      <x v="719"/>
      <x v="611"/>
    </i>
    <i r="2">
      <x v="37"/>
      <x v="313"/>
      <x v="29"/>
      <x v="611"/>
    </i>
    <i r="1">
      <x v="26"/>
      <x v="37"/>
      <x v="313"/>
      <x v="2617"/>
      <x v="611"/>
    </i>
    <i r="1">
      <x v="36"/>
      <x v="8"/>
      <x v="313"/>
      <x v="3049"/>
      <x v="611"/>
    </i>
    <i>
      <x v="221"/>
      <x/>
      <x v="6"/>
      <x v="288"/>
      <x v="3537"/>
      <x v="611"/>
    </i>
    <i r="2">
      <x v="12"/>
      <x v="8"/>
      <x v="59"/>
      <x v="611"/>
    </i>
    <i r="3">
      <x v="32"/>
      <x v="61"/>
      <x v="611"/>
    </i>
    <i r="3">
      <x v="48"/>
      <x v="24"/>
      <x v="611"/>
    </i>
    <i r="3">
      <x v="59"/>
      <x v="6"/>
      <x v="611"/>
    </i>
    <i r="2">
      <x v="37"/>
      <x v="288"/>
      <x v="1206"/>
      <x v="611"/>
    </i>
    <i r="1">
      <x v="12"/>
      <x v="1"/>
      <x v="288"/>
      <x v="352"/>
      <x v="611"/>
    </i>
    <i r="1">
      <x v="14"/>
      <x v="37"/>
      <x v="288"/>
      <x v="1069"/>
      <x v="611"/>
    </i>
    <i r="1">
      <x v="15"/>
      <x v="1"/>
      <x v="288"/>
      <x v="3016"/>
      <x v="611"/>
    </i>
    <i r="1">
      <x v="23"/>
      <x v="6"/>
      <x v="288"/>
      <x v="235"/>
      <x v="611"/>
    </i>
    <i r="2">
      <x v="37"/>
      <x v="288"/>
      <x v="2783"/>
      <x v="611"/>
    </i>
    <i r="1">
      <x v="24"/>
      <x v="37"/>
      <x v="288"/>
      <x v="2626"/>
      <x v="611"/>
    </i>
    <i r="1">
      <x v="26"/>
      <x v="38"/>
      <x v="288"/>
      <x v="855"/>
      <x v="611"/>
    </i>
    <i r="1">
      <x v="27"/>
      <x v="37"/>
      <x v="288"/>
      <x v="199"/>
      <x v="611"/>
    </i>
    <i r="1">
      <x v="33"/>
      <x v="37"/>
      <x v="288"/>
      <x v="2812"/>
      <x v="611"/>
    </i>
    <i r="1">
      <x v="35"/>
      <x v="1"/>
      <x v="288"/>
      <x v="80"/>
      <x v="611"/>
    </i>
    <i>
      <x v="222"/>
      <x/>
      <x v="1"/>
      <x v="333"/>
      <x v="80"/>
      <x v="611"/>
    </i>
    <i r="2">
      <x v="6"/>
      <x v="333"/>
      <x v="433"/>
      <x v="611"/>
    </i>
    <i r="2">
      <x v="12"/>
      <x v="6"/>
      <x v="32"/>
      <x v="611"/>
    </i>
    <i r="3">
      <x v="48"/>
      <x v="252"/>
      <x v="611"/>
    </i>
    <i r="2">
      <x v="38"/>
      <x v="333"/>
      <x v="2583"/>
      <x v="611"/>
    </i>
    <i r="1">
      <x v="6"/>
      <x v="37"/>
      <x v="333"/>
      <x v="1234"/>
      <x v="611"/>
    </i>
    <i r="1">
      <x v="12"/>
      <x v="1"/>
      <x v="333"/>
      <x v="80"/>
      <x v="611"/>
    </i>
    <i r="4">
      <x v="213"/>
      <x v="611"/>
    </i>
    <i r="1">
      <x v="14"/>
      <x v="37"/>
      <x v="333"/>
      <x v="2681"/>
      <x v="611"/>
    </i>
    <i r="1">
      <x v="15"/>
      <x v="37"/>
      <x v="333"/>
      <x v="2645"/>
      <x v="611"/>
    </i>
    <i r="2">
      <x v="38"/>
      <x v="333"/>
      <x v="2644"/>
      <x v="611"/>
    </i>
    <i r="1">
      <x v="19"/>
      <x v="6"/>
      <x v="333"/>
      <x v="3480"/>
      <x v="611"/>
    </i>
    <i r="1">
      <x v="23"/>
      <x v="37"/>
      <x v="333"/>
      <x v="313"/>
      <x v="611"/>
    </i>
    <i r="1">
      <x v="26"/>
      <x v="37"/>
      <x v="333"/>
      <x v="2619"/>
      <x v="611"/>
    </i>
    <i r="1">
      <x v="33"/>
      <x v="37"/>
      <x v="333"/>
      <x v="2815"/>
      <x v="611"/>
    </i>
    <i r="1">
      <x v="35"/>
      <x v="1"/>
      <x v="333"/>
      <x v="80"/>
      <x v="611"/>
    </i>
    <i r="1">
      <x v="36"/>
      <x v="1"/>
      <x v="333"/>
      <x v="3051"/>
      <x v="611"/>
    </i>
    <i r="1">
      <x v="40"/>
      <x v="1"/>
      <x v="333"/>
      <x v="1326"/>
      <x v="611"/>
    </i>
    <i>
      <x v="223"/>
      <x/>
      <x v="6"/>
      <x v="355"/>
      <x v="551"/>
      <x v="611"/>
    </i>
    <i r="2">
      <x v="12"/>
      <x v="48"/>
      <x v="11"/>
      <x v="611"/>
    </i>
    <i r="1">
      <x v="2"/>
      <x v="10"/>
      <x v="355"/>
      <x v="2730"/>
      <x v="611"/>
    </i>
    <i r="2">
      <x v="37"/>
      <x v="355"/>
      <x v="2729"/>
      <x v="611"/>
    </i>
    <i r="1">
      <x v="3"/>
      <x v="10"/>
      <x v="355"/>
      <x v="2714"/>
      <x v="611"/>
    </i>
    <i r="1">
      <x v="7"/>
      <x v="37"/>
      <x v="355"/>
      <x v="2868"/>
      <x v="611"/>
    </i>
    <i r="1">
      <x v="9"/>
      <x v="10"/>
      <x v="355"/>
      <x v="556"/>
      <x v="611"/>
    </i>
    <i r="1">
      <x v="11"/>
      <x v="6"/>
      <x v="355"/>
      <x v="3500"/>
      <x v="611"/>
    </i>
    <i r="2">
      <x v="10"/>
      <x v="355"/>
      <x v="2833"/>
      <x v="611"/>
    </i>
    <i r="1">
      <x v="12"/>
      <x v="1"/>
      <x v="355"/>
      <x v="80"/>
      <x v="611"/>
    </i>
    <i r="4">
      <x v="213"/>
      <x v="611"/>
    </i>
    <i r="4">
      <x v="352"/>
      <x v="611"/>
    </i>
    <i r="4">
      <x v="500"/>
      <x v="611"/>
    </i>
    <i r="4">
      <x v="607"/>
      <x v="611"/>
    </i>
    <i r="4">
      <x v="771"/>
      <x v="611"/>
    </i>
    <i r="1">
      <x v="14"/>
      <x v="37"/>
      <x v="355"/>
      <x v="2683"/>
      <x v="611"/>
    </i>
    <i r="1">
      <x v="15"/>
      <x v="37"/>
      <x v="355"/>
      <x v="710"/>
      <x v="611"/>
    </i>
    <i r="1">
      <x v="17"/>
      <x v="6"/>
      <x v="355"/>
      <x v="3432"/>
      <x v="611"/>
    </i>
    <i r="1">
      <x v="23"/>
      <x v="37"/>
      <x v="355"/>
      <x v="2786"/>
      <x v="611"/>
    </i>
    <i r="1">
      <x v="33"/>
      <x v="6"/>
      <x v="355"/>
      <x v="3498"/>
      <x v="611"/>
    </i>
    <i r="1">
      <x v="35"/>
      <x v="1"/>
      <x v="355"/>
      <x v="80"/>
      <x v="611"/>
    </i>
    <i r="1">
      <x v="36"/>
      <x v="1"/>
      <x v="355"/>
      <x v="517"/>
      <x v="611"/>
    </i>
    <i r="2">
      <x v="10"/>
      <x v="355"/>
      <x v="2691"/>
      <x v="611"/>
    </i>
    <i r="1">
      <x v="37"/>
      <x v="10"/>
      <x v="355"/>
      <x v="2747"/>
      <x v="611"/>
    </i>
    <i r="2">
      <x v="37"/>
      <x v="355"/>
      <x v="933"/>
      <x v="611"/>
    </i>
    <i r="1">
      <x v="38"/>
      <x v="10"/>
      <x v="355"/>
      <x v="2607"/>
      <x v="611"/>
    </i>
    <i>
      <x v="224"/>
      <x/>
      <x v="1"/>
      <x v="446"/>
      <x v="199"/>
      <x v="611"/>
    </i>
    <i r="2">
      <x v="12"/>
      <x v="7"/>
      <x v="14"/>
      <x v="611"/>
    </i>
    <i r="3">
      <x v="48"/>
      <x v="6"/>
      <x v="611"/>
    </i>
    <i r="1">
      <x v="12"/>
      <x v="1"/>
      <x v="446"/>
      <x v="213"/>
      <x v="611"/>
    </i>
    <i r="4">
      <x v="352"/>
      <x v="611"/>
    </i>
    <i r="4">
      <x v="702"/>
      <x v="611"/>
    </i>
    <i r="1">
      <x v="15"/>
      <x v="1"/>
      <x v="446"/>
      <x v="3019"/>
      <x v="611"/>
    </i>
    <i r="1">
      <x v="35"/>
      <x v="1"/>
      <x v="446"/>
      <x v="80"/>
      <x v="611"/>
    </i>
    <i r="1">
      <x v="37"/>
      <x v="6"/>
      <x v="446"/>
      <x v="3484"/>
      <x v="611"/>
    </i>
    <i>
      <x v="225"/>
      <x/>
      <x v="7"/>
      <x v="399"/>
      <x v="2803"/>
      <x v="611"/>
    </i>
    <i r="2">
      <x v="9"/>
      <x v="399"/>
      <x v="3254"/>
      <x v="611"/>
    </i>
    <i r="4">
      <x v="3313"/>
      <x v="611"/>
    </i>
    <i r="4">
      <x v="3321"/>
      <x v="611"/>
    </i>
    <i r="4">
      <x v="3529"/>
      <x v="611"/>
    </i>
    <i r="2">
      <x v="12"/>
      <x v="48"/>
      <x v="6"/>
      <x v="611"/>
    </i>
    <i r="3">
      <x v="64"/>
      <x v="24"/>
      <x v="611"/>
    </i>
    <i r="1">
      <x v="2"/>
      <x v="1"/>
      <x v="399"/>
      <x v="3080"/>
      <x v="611"/>
    </i>
    <i r="2">
      <x v="6"/>
      <x v="399"/>
      <x v="3475"/>
      <x v="611"/>
    </i>
    <i r="1">
      <x v="7"/>
      <x v="9"/>
      <x v="399"/>
      <x v="109"/>
      <x v="611"/>
    </i>
    <i r="2">
      <x v="10"/>
      <x v="399"/>
      <x v="517"/>
      <x v="611"/>
    </i>
    <i r="1">
      <x v="15"/>
      <x v="37"/>
      <x v="399"/>
      <x v="2657"/>
      <x v="611"/>
    </i>
    <i r="1">
      <x v="17"/>
      <x v="6"/>
      <x v="399"/>
      <x v="1788"/>
      <x v="611"/>
    </i>
    <i r="1">
      <x v="19"/>
      <x v="1"/>
      <x v="399"/>
      <x v="3087"/>
      <x v="611"/>
    </i>
    <i r="1">
      <x v="23"/>
      <x v="9"/>
      <x v="399"/>
      <x v="3495"/>
      <x v="611"/>
    </i>
    <i>
      <x v="226"/>
      <x/>
      <x v="6"/>
      <x v="364"/>
      <x v="453"/>
      <x v="611"/>
    </i>
    <i r="2">
      <x v="12"/>
      <x v="52"/>
      <x v="252"/>
      <x v="611"/>
    </i>
    <i r="2">
      <x v="37"/>
      <x v="364"/>
      <x v="138"/>
      <x v="611"/>
    </i>
    <i r="4">
      <x v="2658"/>
      <x v="611"/>
    </i>
    <i r="2">
      <x v="59"/>
      <x v="296"/>
      <x/>
      <x v="120"/>
    </i>
    <i r="2">
      <x v="61"/>
      <x v="75"/>
      <x/>
      <x v="101"/>
    </i>
    <i r="2">
      <x v="62"/>
      <x v="75"/>
      <x/>
      <x v="101"/>
    </i>
    <i r="2">
      <x v="63"/>
      <x v="75"/>
      <x/>
      <x v="115"/>
    </i>
    <i r="2">
      <x v="64"/>
      <x v="296"/>
      <x/>
      <x v="120"/>
    </i>
    <i r="1">
      <x v="3"/>
      <x v="37"/>
      <x v="364"/>
      <x v="2708"/>
      <x v="611"/>
    </i>
    <i r="1">
      <x v="8"/>
      <x v="37"/>
      <x v="364"/>
      <x v="2905"/>
      <x v="611"/>
    </i>
    <i r="1">
      <x v="12"/>
      <x v="1"/>
      <x v="364"/>
      <x v="80"/>
      <x v="611"/>
    </i>
    <i r="4">
      <x v="213"/>
      <x v="611"/>
    </i>
    <i r="4">
      <x v="352"/>
      <x v="611"/>
    </i>
    <i r="4">
      <x v="500"/>
      <x v="611"/>
    </i>
    <i r="4">
      <x v="846"/>
      <x v="611"/>
    </i>
    <i r="4">
      <x v="1141"/>
      <x v="611"/>
    </i>
    <i r="1">
      <x v="23"/>
      <x v="37"/>
      <x v="364"/>
      <x v="2774"/>
      <x v="611"/>
    </i>
    <i r="1">
      <x v="26"/>
      <x v="38"/>
      <x v="364"/>
      <x v="607"/>
      <x v="611"/>
    </i>
    <i r="1">
      <x v="35"/>
      <x v="1"/>
      <x v="364"/>
      <x v="80"/>
      <x v="611"/>
    </i>
    <i>
      <x v="227"/>
      <x/>
      <x v="9"/>
      <x v="294"/>
      <x v="539"/>
      <x v="611"/>
    </i>
    <i r="4">
      <x v="622"/>
      <x v="611"/>
    </i>
    <i r="4">
      <x v="3351"/>
      <x v="611"/>
    </i>
    <i r="4">
      <x v="3564"/>
      <x v="611"/>
    </i>
    <i r="2">
      <x v="12"/>
      <x v="15"/>
      <x v="32"/>
      <x v="611"/>
    </i>
    <i r="3">
      <x v="52"/>
      <x v="14"/>
      <x v="611"/>
    </i>
    <i r="2">
      <x v="37"/>
      <x v="294"/>
      <x v="262"/>
      <x v="611"/>
    </i>
    <i r="4">
      <x v="579"/>
      <x v="611"/>
    </i>
    <i r="1">
      <x v="5"/>
      <x v="37"/>
      <x v="294"/>
      <x v="702"/>
      <x v="611"/>
    </i>
    <i r="2">
      <x v="38"/>
      <x v="294"/>
      <x v="2850"/>
      <x v="611"/>
    </i>
    <i r="1">
      <x v="12"/>
      <x v="1"/>
      <x v="294"/>
      <x v="80"/>
      <x v="611"/>
    </i>
    <i r="4">
      <x v="213"/>
      <x v="611"/>
    </i>
    <i r="4">
      <x v="352"/>
      <x v="611"/>
    </i>
    <i r="4">
      <x v="702"/>
      <x v="611"/>
    </i>
    <i r="4">
      <x v="771"/>
      <x v="611"/>
    </i>
    <i r="2">
      <x v="37"/>
      <x v="294"/>
      <x v="1041"/>
      <x v="611"/>
    </i>
    <i r="4">
      <x v="1066"/>
      <x v="611"/>
    </i>
    <i r="1">
      <x v="14"/>
      <x v="37"/>
      <x v="294"/>
      <x v="2680"/>
      <x v="611"/>
    </i>
    <i r="1">
      <x v="15"/>
      <x v="38"/>
      <x v="294"/>
      <x v="2643"/>
      <x v="611"/>
    </i>
    <i r="1">
      <x v="23"/>
      <x v="6"/>
      <x v="294"/>
      <x v="208"/>
      <x v="611"/>
    </i>
    <i r="1">
      <x v="26"/>
      <x v="38"/>
      <x v="294"/>
      <x v="607"/>
      <x v="611"/>
    </i>
    <i r="1">
      <x v="34"/>
      <x v="9"/>
      <x v="294"/>
      <x v="749"/>
      <x v="611"/>
    </i>
    <i r="1">
      <x v="35"/>
      <x v="1"/>
      <x v="294"/>
      <x v="80"/>
      <x v="611"/>
    </i>
    <i r="1">
      <x v="36"/>
      <x v="37"/>
      <x v="294"/>
      <x v="53"/>
      <x v="611"/>
    </i>
    <i>
      <x v="228"/>
      <x/>
      <x v="7"/>
      <x v="320"/>
      <x v="3150"/>
      <x v="611"/>
    </i>
    <i r="4">
      <x v="3158"/>
      <x v="611"/>
    </i>
    <i r="2">
      <x v="8"/>
      <x v="320"/>
      <x v="351"/>
      <x v="611"/>
    </i>
    <i r="4">
      <x v="1069"/>
      <x v="611"/>
    </i>
    <i r="4">
      <x v="2989"/>
      <x v="611"/>
    </i>
    <i r="2">
      <x v="9"/>
      <x v="320"/>
      <x v="212"/>
      <x v="611"/>
    </i>
    <i r="4">
      <x v="1192"/>
      <x v="611"/>
    </i>
    <i r="4">
      <x v="3272"/>
      <x v="611"/>
    </i>
    <i r="4">
      <x v="3306"/>
      <x v="611"/>
    </i>
    <i r="2">
      <x v="12"/>
      <x v="10"/>
      <x v="9"/>
      <x v="611"/>
    </i>
    <i r="3">
      <x v="52"/>
      <x v="18"/>
      <x v="611"/>
    </i>
    <i r="2">
      <x v="37"/>
      <x v="320"/>
      <x v="1232"/>
      <x v="611"/>
    </i>
    <i r="1">
      <x v="9"/>
      <x v="8"/>
      <x v="320"/>
      <x v="3000"/>
      <x v="611"/>
    </i>
    <i r="1">
      <x v="26"/>
      <x v="38"/>
      <x v="320"/>
      <x v="539"/>
      <x v="611"/>
    </i>
    <i r="1">
      <x v="35"/>
      <x v="37"/>
      <x v="320"/>
      <x v="1508"/>
      <x v="611"/>
    </i>
    <i>
      <x v="229"/>
      <x/>
      <x v="12"/>
      <x v="42"/>
      <x v="6"/>
      <x v="611"/>
    </i>
    <i r="3">
      <x v="56"/>
      <x v="11"/>
      <x v="611"/>
    </i>
    <i r="3">
      <x v="60"/>
      <x v="90"/>
      <x v="611"/>
    </i>
    <i r="1">
      <x v="27"/>
      <x v="6"/>
      <x v="456"/>
      <x v="3515"/>
      <x v="611"/>
    </i>
    <i>
      <x v="230"/>
      <x/>
      <x v="6"/>
      <x v="298"/>
      <x v="3535"/>
      <x v="611"/>
    </i>
    <i r="2">
      <x v="12"/>
      <x v="10"/>
      <x v="32"/>
      <x v="611"/>
    </i>
    <i r="3">
      <x v="28"/>
      <x v="16"/>
      <x v="611"/>
    </i>
    <i r="3">
      <x v="40"/>
      <x v="96"/>
      <x v="611"/>
    </i>
    <i r="3">
      <x v="56"/>
      <x v="194"/>
      <x v="611"/>
    </i>
    <i r="3">
      <x v="61"/>
      <x v="69"/>
      <x v="611"/>
    </i>
    <i r="3">
      <x v="66"/>
      <x v="8"/>
      <x v="611"/>
    </i>
    <i r="2">
      <x v="37"/>
      <x v="298"/>
      <x v="628"/>
      <x v="611"/>
    </i>
    <i r="1">
      <x v="6"/>
      <x v="37"/>
      <x v="298"/>
      <x v="2878"/>
      <x v="611"/>
    </i>
    <i r="1">
      <x v="7"/>
      <x v="37"/>
      <x v="298"/>
      <x v="864"/>
      <x v="611"/>
    </i>
    <i r="1">
      <x v="8"/>
      <x v="37"/>
      <x v="298"/>
      <x v="2302"/>
      <x v="611"/>
    </i>
    <i r="1">
      <x v="11"/>
      <x v="37"/>
      <x v="298"/>
      <x v="2826"/>
      <x v="611"/>
    </i>
    <i r="1">
      <x v="12"/>
      <x v="1"/>
      <x v="298"/>
      <x v="80"/>
      <x v="611"/>
    </i>
    <i r="2">
      <x v="37"/>
      <x v="298"/>
      <x v="1265"/>
      <x v="611"/>
    </i>
    <i r="1">
      <x v="19"/>
      <x v="6"/>
      <x v="298"/>
      <x v="3479"/>
      <x v="611"/>
    </i>
    <i r="1">
      <x v="21"/>
      <x v="37"/>
      <x v="298"/>
      <x v="2804"/>
      <x v="611"/>
    </i>
    <i r="1">
      <x v="23"/>
      <x v="37"/>
      <x v="298"/>
      <x v="2771"/>
      <x v="611"/>
    </i>
    <i r="1">
      <x v="27"/>
      <x v="1"/>
      <x v="298"/>
      <x v="2417"/>
      <x v="611"/>
    </i>
    <i r="2">
      <x v="37"/>
      <x v="298"/>
      <x v="469"/>
      <x v="611"/>
    </i>
    <i>
      <x v="231"/>
      <x/>
      <x v="12"/>
      <x v="20"/>
      <x v="46"/>
      <x v="611"/>
    </i>
    <i r="3">
      <x v="56"/>
      <x v="53"/>
      <x v="611"/>
    </i>
    <i r="3">
      <x v="299"/>
      <x v="2561"/>
      <x v="611"/>
    </i>
    <i r="3">
      <x v="438"/>
      <x v="2558"/>
      <x v="611"/>
    </i>
    <i r="2">
      <x v="37"/>
      <x v="348"/>
      <x v="592"/>
      <x v="611"/>
    </i>
    <i r="1">
      <x v="12"/>
      <x v="1"/>
      <x v="348"/>
      <x v="80"/>
      <x v="611"/>
    </i>
    <i r="4">
      <x v="352"/>
      <x v="611"/>
    </i>
    <i r="4">
      <x v="607"/>
      <x v="611"/>
    </i>
    <i r="1">
      <x v="23"/>
      <x v="1"/>
      <x v="348"/>
      <x v="278"/>
      <x v="611"/>
    </i>
    <i r="2">
      <x v="37"/>
      <x v="348"/>
      <x v="2772"/>
      <x v="611"/>
    </i>
    <i r="1">
      <x v="35"/>
      <x v="1"/>
      <x v="348"/>
      <x v="80"/>
      <x v="611"/>
    </i>
    <i>
      <x v="232"/>
      <x/>
      <x v="9"/>
      <x v="387"/>
      <x v="187"/>
      <x v="611"/>
    </i>
    <i r="4">
      <x v="371"/>
      <x v="611"/>
    </i>
    <i r="4">
      <x v="3381"/>
      <x v="611"/>
    </i>
    <i r="4">
      <x v="3563"/>
      <x v="611"/>
    </i>
    <i r="2">
      <x v="12"/>
      <x v="56"/>
      <x v="18"/>
      <x v="611"/>
    </i>
    <i r="1">
      <x v="9"/>
      <x v="1"/>
      <x v="387"/>
      <x v="2998"/>
      <x v="611"/>
    </i>
    <i r="1">
      <x v="11"/>
      <x v="37"/>
      <x v="387"/>
      <x v="278"/>
      <x v="611"/>
    </i>
    <i r="1">
      <x v="12"/>
      <x v="1"/>
      <x v="387"/>
      <x v="80"/>
      <x v="611"/>
    </i>
    <i r="4">
      <x v="213"/>
      <x v="611"/>
    </i>
    <i r="4">
      <x v="352"/>
      <x v="611"/>
    </i>
    <i r="1">
      <x v="15"/>
      <x v="37"/>
      <x v="387"/>
      <x v="943"/>
      <x v="611"/>
    </i>
    <i r="1">
      <x v="19"/>
      <x v="33"/>
      <x v="387"/>
      <x v="3184"/>
      <x v="611"/>
    </i>
    <i r="1">
      <x v="23"/>
      <x v="7"/>
      <x v="387"/>
      <x v="933"/>
      <x v="611"/>
    </i>
    <i r="1">
      <x v="29"/>
      <x v="37"/>
      <x v="387"/>
      <x v="2922"/>
      <x v="611"/>
    </i>
    <i r="1">
      <x v="35"/>
      <x v="1"/>
      <x v="387"/>
      <x v="80"/>
      <x v="611"/>
    </i>
    <i r="1">
      <x v="36"/>
      <x v="33"/>
      <x v="387"/>
      <x v="2617"/>
      <x v="611"/>
    </i>
    <i>
      <x v="233"/>
      <x/>
      <x v="9"/>
      <x v="336"/>
      <x v="3296"/>
      <x v="611"/>
    </i>
    <i r="2">
      <x v="12"/>
      <x v="15"/>
      <x v="262"/>
      <x v="611"/>
    </i>
    <i r="3">
      <x v="25"/>
      <x v="180"/>
      <x v="611"/>
    </i>
    <i r="3">
      <x v="26"/>
      <x v="2559"/>
      <x v="611"/>
    </i>
    <i r="3">
      <x v="56"/>
      <x v="53"/>
      <x v="611"/>
    </i>
    <i r="2">
      <x v="37"/>
      <x v="336"/>
      <x v="1028"/>
      <x v="611"/>
    </i>
    <i r="1">
      <x v="2"/>
      <x v="10"/>
      <x v="336"/>
      <x v="2731"/>
      <x v="611"/>
    </i>
    <i r="1">
      <x v="3"/>
      <x v="10"/>
      <x v="336"/>
      <x v="2718"/>
      <x v="611"/>
    </i>
    <i r="2">
      <x v="37"/>
      <x v="336"/>
      <x v="314"/>
      <x v="611"/>
    </i>
    <i r="1">
      <x v="9"/>
      <x v="10"/>
      <x v="336"/>
      <x v="252"/>
      <x v="611"/>
    </i>
    <i r="1">
      <x v="10"/>
      <x v="1"/>
      <x v="336"/>
      <x v="3008"/>
      <x v="611"/>
    </i>
    <i r="1">
      <x v="11"/>
      <x v="10"/>
      <x v="336"/>
      <x v="986"/>
      <x v="611"/>
    </i>
    <i r="1">
      <x v="12"/>
      <x v="1"/>
      <x v="336"/>
      <x v="80"/>
      <x v="611"/>
    </i>
    <i r="4">
      <x v="213"/>
      <x v="611"/>
    </i>
    <i r="4">
      <x v="352"/>
      <x v="611"/>
    </i>
    <i r="4">
      <x v="500"/>
      <x v="611"/>
    </i>
    <i r="4">
      <x v="607"/>
      <x v="611"/>
    </i>
    <i r="4">
      <x v="702"/>
      <x v="611"/>
    </i>
    <i r="1">
      <x v="36"/>
      <x v="10"/>
      <x v="336"/>
      <x v="2692"/>
      <x v="611"/>
    </i>
    <i r="1">
      <x v="37"/>
      <x v="10"/>
      <x v="336"/>
      <x v="2751"/>
      <x v="611"/>
    </i>
    <i r="1">
      <x v="38"/>
      <x v="10"/>
      <x v="336"/>
      <x v="2608"/>
      <x v="611"/>
    </i>
    <i>
      <x v="234"/>
      <x/>
      <x v="8"/>
      <x v="350"/>
      <x v="313"/>
      <x v="611"/>
    </i>
    <i r="4">
      <x v="2335"/>
      <x v="611"/>
    </i>
    <i r="4">
      <x v="2948"/>
      <x v="611"/>
    </i>
    <i r="4">
      <x v="2957"/>
      <x v="611"/>
    </i>
    <i r="4">
      <x v="2963"/>
      <x v="611"/>
    </i>
    <i r="4">
      <x v="2973"/>
      <x v="611"/>
    </i>
    <i r="4">
      <x v="3132"/>
      <x v="611"/>
    </i>
    <i r="2">
      <x v="9"/>
      <x v="350"/>
      <x v="114"/>
      <x v="611"/>
    </i>
    <i r="4">
      <x v="539"/>
      <x v="611"/>
    </i>
    <i r="4">
      <x v="1027"/>
      <x v="611"/>
    </i>
    <i r="4">
      <x v="1897"/>
      <x v="611"/>
    </i>
    <i r="4">
      <x v="2887"/>
      <x v="611"/>
    </i>
    <i r="4">
      <x v="3228"/>
      <x v="611"/>
    </i>
    <i r="4">
      <x v="3260"/>
      <x v="611"/>
    </i>
    <i r="4">
      <x v="3297"/>
      <x v="611"/>
    </i>
    <i r="4">
      <x v="3315"/>
      <x v="611"/>
    </i>
    <i r="4">
      <x v="3365"/>
      <x v="611"/>
    </i>
    <i r="2">
      <x v="12"/>
      <x v="16"/>
      <x v="32"/>
      <x v="611"/>
    </i>
    <i r="3">
      <x v="66"/>
      <x v="96"/>
      <x v="611"/>
    </i>
    <i r="1">
      <x v="3"/>
      <x v="38"/>
      <x v="350"/>
      <x v="1380"/>
      <x v="611"/>
    </i>
    <i r="1">
      <x v="15"/>
      <x v="38"/>
      <x v="350"/>
      <x v="2633"/>
      <x v="611"/>
    </i>
    <i r="1">
      <x v="17"/>
      <x v="10"/>
      <x v="350"/>
      <x v="2662"/>
      <x v="611"/>
    </i>
    <i r="1">
      <x v="26"/>
      <x v="37"/>
      <x v="350"/>
      <x v="809"/>
      <x v="611"/>
    </i>
    <i r="1">
      <x v="27"/>
      <x v="38"/>
      <x v="350"/>
      <x v="2929"/>
      <x v="611"/>
    </i>
    <i r="1">
      <x v="39"/>
      <x v="38"/>
      <x v="350"/>
      <x v="2602"/>
      <x v="611"/>
    </i>
    <i>
      <x v="235"/>
      <x/>
      <x v="1"/>
      <x v="401"/>
      <x v="351"/>
      <x v="611"/>
    </i>
    <i r="2">
      <x v="6"/>
      <x v="401"/>
      <x v="3301"/>
      <x v="611"/>
    </i>
    <i r="2">
      <x v="8"/>
      <x v="401"/>
      <x v="95"/>
      <x v="611"/>
    </i>
    <i r="4">
      <x v="2947"/>
      <x v="611"/>
    </i>
    <i r="4">
      <x v="2983"/>
      <x v="611"/>
    </i>
    <i r="4">
      <x v="2990"/>
      <x v="611"/>
    </i>
    <i r="2">
      <x v="9"/>
      <x v="401"/>
      <x v="3300"/>
      <x v="611"/>
    </i>
    <i r="4">
      <x v="3322"/>
      <x v="611"/>
    </i>
    <i r="2">
      <x v="12"/>
      <x v="21"/>
      <x v="16"/>
      <x v="611"/>
    </i>
    <i r="3">
      <x v="34"/>
      <x v="199"/>
      <x v="611"/>
    </i>
    <i r="3">
      <x v="66"/>
      <x v="20"/>
      <x v="611"/>
    </i>
    <i r="1">
      <x v="2"/>
      <x v="37"/>
      <x v="401"/>
      <x v="2725"/>
      <x v="611"/>
    </i>
    <i r="1">
      <x v="12"/>
      <x v="1"/>
      <x v="401"/>
      <x v="80"/>
      <x v="611"/>
    </i>
    <i r="4">
      <x v="213"/>
      <x v="611"/>
    </i>
    <i r="4">
      <x v="352"/>
      <x v="611"/>
    </i>
    <i r="4">
      <x v="771"/>
      <x v="611"/>
    </i>
    <i r="1">
      <x v="17"/>
      <x v="10"/>
      <x v="401"/>
      <x v="2666"/>
      <x v="611"/>
    </i>
    <i r="1">
      <x v="19"/>
      <x v="37"/>
      <x v="401"/>
      <x v="2735"/>
      <x v="611"/>
    </i>
    <i r="1">
      <x v="27"/>
      <x v="6"/>
      <x v="401"/>
      <x v="3514"/>
      <x v="611"/>
    </i>
    <i r="2">
      <x v="9"/>
      <x v="401"/>
      <x/>
      <x v="391"/>
    </i>
    <i r="1">
      <x v="40"/>
      <x v="37"/>
      <x v="401"/>
      <x v="2696"/>
      <x v="611"/>
    </i>
    <i>
      <x v="236"/>
      <x/>
      <x v="12"/>
      <x v="66"/>
      <x v="25"/>
      <x v="611"/>
    </i>
    <i r="1">
      <x v="12"/>
      <x v="37"/>
      <x v="314"/>
      <x v="1206"/>
      <x v="611"/>
    </i>
    <i r="4">
      <x v="1394"/>
      <x v="611"/>
    </i>
    <i r="1">
      <x v="35"/>
      <x v="37"/>
      <x v="314"/>
      <x v="1319"/>
      <x v="611"/>
    </i>
    <i r="4">
      <x v="2594"/>
      <x v="611"/>
    </i>
    <i r="1">
      <x v="37"/>
      <x v="6"/>
      <x v="314"/>
      <x v="3483"/>
      <x v="611"/>
    </i>
    <i>
      <x v="237"/>
      <x/>
      <x v="12"/>
      <x v="18"/>
      <x v="92"/>
      <x v="611"/>
    </i>
    <i r="2">
      <x v="37"/>
      <x v="287"/>
      <x v="2555"/>
      <x v="611"/>
    </i>
    <i r="1">
      <x v="3"/>
      <x v="37"/>
      <x v="287"/>
      <x v="39"/>
      <x v="611"/>
    </i>
    <i r="1">
      <x v="12"/>
      <x v="1"/>
      <x v="287"/>
      <x v="80"/>
      <x v="611"/>
    </i>
    <i r="4">
      <x v="213"/>
      <x v="611"/>
    </i>
    <i r="1">
      <x v="35"/>
      <x v="1"/>
      <x v="287"/>
      <x v="80"/>
      <x v="611"/>
    </i>
    <i>
      <x v="238"/>
      <x/>
      <x v="8"/>
      <x v="433"/>
      <x v="78"/>
      <x v="611"/>
    </i>
    <i r="4">
      <x v="2137"/>
      <x v="611"/>
    </i>
    <i r="4">
      <x v="2984"/>
      <x v="611"/>
    </i>
    <i r="2">
      <x v="9"/>
      <x v="433"/>
      <x v="433"/>
      <x v="611"/>
    </i>
    <i r="4">
      <x v="809"/>
      <x v="611"/>
    </i>
    <i r="4">
      <x v="903"/>
      <x v="611"/>
    </i>
    <i r="4">
      <x v="2526"/>
      <x v="611"/>
    </i>
    <i r="4">
      <x v="2757"/>
      <x v="611"/>
    </i>
    <i r="4">
      <x v="3215"/>
      <x v="611"/>
    </i>
    <i r="4">
      <x v="3298"/>
      <x v="611"/>
    </i>
    <i r="4">
      <x v="3318"/>
      <x v="611"/>
    </i>
    <i r="4">
      <x v="3378"/>
      <x v="611"/>
    </i>
    <i r="4">
      <x v="3399"/>
      <x v="611"/>
    </i>
    <i r="4">
      <x v="3403"/>
      <x v="611"/>
    </i>
    <i r="2">
      <x v="12"/>
      <x v="6"/>
      <x v="371"/>
      <x v="611"/>
    </i>
    <i r="3">
      <x v="69"/>
      <x v="2556"/>
      <x v="611"/>
    </i>
    <i r="1">
      <x v="2"/>
      <x v="8"/>
      <x v="433"/>
      <x v="3072"/>
      <x v="611"/>
    </i>
    <i r="1">
      <x v="5"/>
      <x v="8"/>
      <x v="433"/>
      <x v="3110"/>
      <x v="611"/>
    </i>
    <i r="1">
      <x v="6"/>
      <x v="37"/>
      <x v="433"/>
      <x v="2881"/>
      <x v="611"/>
    </i>
    <i r="1">
      <x v="7"/>
      <x v="10"/>
      <x v="433"/>
      <x v="2863"/>
      <x v="611"/>
    </i>
    <i r="1">
      <x v="8"/>
      <x v="10"/>
      <x v="433"/>
      <x v="2908"/>
      <x v="611"/>
    </i>
    <i r="2">
      <x v="37"/>
      <x v="433"/>
      <x v="2907"/>
      <x v="611"/>
    </i>
    <i r="1">
      <x v="12"/>
      <x v="1"/>
      <x v="433"/>
      <x v="80"/>
      <x v="611"/>
    </i>
    <i r="4">
      <x v="352"/>
      <x v="611"/>
    </i>
    <i r="1">
      <x v="15"/>
      <x v="9"/>
      <x v="433"/>
      <x v="3423"/>
      <x v="611"/>
    </i>
    <i r="1">
      <x v="28"/>
      <x v="8"/>
      <x v="433"/>
      <x v="714"/>
      <x v="611"/>
    </i>
    <i r="1">
      <x v="35"/>
      <x v="1"/>
      <x v="433"/>
      <x v="80"/>
      <x v="611"/>
    </i>
    <i>
      <x v="239"/>
      <x/>
      <x v="12"/>
      <x v="3"/>
      <x v="114"/>
      <x v="611"/>
    </i>
    <i r="1">
      <x v="21"/>
      <x v="37"/>
      <x v="363"/>
      <x v="2805"/>
      <x v="611"/>
    </i>
    <i r="1">
      <x v="26"/>
      <x v="37"/>
      <x v="363"/>
      <x v="352"/>
      <x v="611"/>
    </i>
    <i r="1">
      <x v="40"/>
      <x v="37"/>
      <x v="363"/>
      <x v="2699"/>
      <x v="611"/>
    </i>
    <i>
      <x v="240"/>
      <x/>
      <x v="1"/>
      <x v="289"/>
      <x v="80"/>
      <x v="611"/>
    </i>
    <i r="2">
      <x v="6"/>
      <x v="289"/>
      <x v="1356"/>
      <x v="611"/>
    </i>
    <i r="2">
      <x v="7"/>
      <x v="289"/>
      <x v="568"/>
      <x v="611"/>
    </i>
    <i r="2">
      <x v="8"/>
      <x v="289"/>
      <x v="119"/>
      <x v="611"/>
    </i>
    <i r="4">
      <x v="258"/>
      <x v="611"/>
    </i>
    <i r="4">
      <x v="2375"/>
      <x v="611"/>
    </i>
    <i r="4">
      <x v="2952"/>
      <x v="611"/>
    </i>
    <i r="4">
      <x v="2953"/>
      <x v="611"/>
    </i>
    <i r="4">
      <x v="2971"/>
      <x v="611"/>
    </i>
    <i r="2">
      <x v="9"/>
      <x v="289"/>
      <x v="85"/>
      <x v="611"/>
    </i>
    <i r="4">
      <x v="2034"/>
      <x v="611"/>
    </i>
    <i r="4">
      <x v="3002"/>
      <x v="611"/>
    </i>
    <i r="4">
      <x v="3223"/>
      <x v="611"/>
    </i>
    <i r="4">
      <x v="3239"/>
      <x v="611"/>
    </i>
    <i r="4">
      <x v="3255"/>
      <x v="611"/>
    </i>
    <i r="4">
      <x v="3268"/>
      <x v="611"/>
    </i>
    <i r="4">
      <x v="3270"/>
      <x v="611"/>
    </i>
    <i r="4">
      <x v="3360"/>
      <x v="611"/>
    </i>
    <i r="4">
      <x v="3367"/>
      <x v="611"/>
    </i>
    <i r="4">
      <x v="3391"/>
      <x v="611"/>
    </i>
    <i r="4">
      <x v="3397"/>
      <x v="611"/>
    </i>
    <i r="2">
      <x v="10"/>
      <x v="289"/>
      <x v="689"/>
      <x v="611"/>
    </i>
    <i r="2">
      <x v="12"/>
      <x v="19"/>
      <x v="35"/>
      <x v="611"/>
    </i>
    <i r="3">
      <x v="32"/>
      <x v="391"/>
      <x v="611"/>
    </i>
    <i r="2">
      <x v="37"/>
      <x v="289"/>
      <x v="262"/>
      <x v="611"/>
    </i>
    <i r="4">
      <x v="469"/>
      <x v="611"/>
    </i>
    <i r="4">
      <x v="592"/>
      <x v="611"/>
    </i>
    <i r="4">
      <x v="1114"/>
      <x v="611"/>
    </i>
    <i r="1">
      <x v="2"/>
      <x v="1"/>
      <x v="289"/>
      <x v="3064"/>
      <x v="611"/>
    </i>
    <i r="2">
      <x v="6"/>
      <x v="289"/>
      <x v="3464"/>
      <x v="611"/>
    </i>
    <i r="2">
      <x v="8"/>
      <x v="289"/>
      <x v="3063"/>
      <x v="611"/>
    </i>
    <i r="2">
      <x v="9"/>
      <x v="289"/>
      <x v="964"/>
      <x v="611"/>
    </i>
    <i r="1">
      <x v="3"/>
      <x v="37"/>
      <x v="289"/>
      <x v="109"/>
      <x v="611"/>
    </i>
    <i r="1">
      <x v="8"/>
      <x v="37"/>
      <x v="289"/>
      <x v="2890"/>
      <x v="611"/>
    </i>
    <i r="1">
      <x v="12"/>
      <x v="1"/>
      <x v="289"/>
      <x v="213"/>
      <x v="611"/>
    </i>
    <i r="4">
      <x v="352"/>
      <x v="611"/>
    </i>
    <i r="4">
      <x v="771"/>
      <x v="611"/>
    </i>
    <i r="2">
      <x v="37"/>
      <x v="289"/>
      <x v="2566"/>
      <x v="611"/>
    </i>
    <i r="4">
      <x v="2576"/>
      <x v="611"/>
    </i>
    <i r="1">
      <x v="23"/>
      <x v="37"/>
      <x v="289"/>
      <x v="39"/>
      <x v="611"/>
    </i>
    <i r="1">
      <x v="26"/>
      <x v="7"/>
      <x v="289"/>
      <x v="3162"/>
      <x v="611"/>
    </i>
    <i r="2">
      <x v="38"/>
      <x v="289"/>
      <x v="809"/>
      <x v="611"/>
    </i>
    <i r="1">
      <x v="27"/>
      <x v="37"/>
      <x v="289"/>
      <x v="1279"/>
      <x v="611"/>
    </i>
    <i r="1">
      <x v="28"/>
      <x v="8"/>
      <x v="289"/>
      <x v="3003"/>
      <x v="611"/>
    </i>
    <i r="1">
      <x v="35"/>
      <x v="1"/>
      <x v="289"/>
      <x v="213"/>
      <x v="611"/>
    </i>
    <i r="1">
      <x v="40"/>
      <x v="1"/>
      <x v="289"/>
      <x v="3053"/>
      <x v="611"/>
    </i>
    <i>
      <x v="241"/>
      <x/>
      <x v="6"/>
      <x v="290"/>
      <x v="364"/>
      <x v="611"/>
    </i>
    <i r="4">
      <x v="469"/>
      <x v="611"/>
    </i>
    <i r="2">
      <x v="7"/>
      <x v="290"/>
      <x v="371"/>
      <x v="611"/>
    </i>
    <i r="2">
      <x v="8"/>
      <x v="290"/>
      <x v="186"/>
      <x v="611"/>
    </i>
    <i r="4">
      <x v="3131"/>
      <x v="611"/>
    </i>
    <i r="2">
      <x v="9"/>
      <x v="290"/>
      <x v="187"/>
      <x v="611"/>
    </i>
    <i r="4">
      <x v="300"/>
      <x v="611"/>
    </i>
    <i r="4">
      <x v="1303"/>
      <x v="611"/>
    </i>
    <i r="4">
      <x v="3241"/>
      <x v="611"/>
    </i>
    <i r="4">
      <x v="3256"/>
      <x v="611"/>
    </i>
    <i r="4">
      <x v="3264"/>
      <x v="611"/>
    </i>
    <i r="4">
      <x v="3274"/>
      <x v="611"/>
    </i>
    <i r="4">
      <x v="3288"/>
      <x v="611"/>
    </i>
    <i r="4">
      <x v="3295"/>
      <x v="611"/>
    </i>
    <i r="4">
      <x v="3349"/>
      <x v="611"/>
    </i>
    <i r="4">
      <x v="3523"/>
      <x v="611"/>
    </i>
    <i r="4">
      <x v="3530"/>
      <x v="611"/>
    </i>
    <i r="2">
      <x v="12"/>
      <x v="5"/>
      <x v="18"/>
      <x v="611"/>
    </i>
    <i r="3">
      <x v="34"/>
      <x v="199"/>
      <x v="611"/>
    </i>
    <i r="2">
      <x v="37"/>
      <x v="290"/>
      <x v="500"/>
      <x v="611"/>
    </i>
    <i r="4">
      <x v="1399"/>
      <x v="611"/>
    </i>
    <i r="4">
      <x v="1528"/>
      <x v="611"/>
    </i>
    <i r="4">
      <x v="2590"/>
      <x v="611"/>
    </i>
    <i r="1">
      <x v="2"/>
      <x v="37"/>
      <x v="290"/>
      <x v="193"/>
      <x v="611"/>
    </i>
    <i r="1">
      <x v="3"/>
      <x v="37"/>
      <x v="290"/>
      <x v="199"/>
      <x v="611"/>
    </i>
    <i r="1">
      <x v="7"/>
      <x v="8"/>
      <x v="290"/>
      <x v="3113"/>
      <x v="611"/>
    </i>
    <i r="2">
      <x v="9"/>
      <x v="290"/>
      <x v="3199"/>
      <x v="611"/>
    </i>
    <i r="2">
      <x v="10"/>
      <x v="290"/>
      <x v="2862"/>
      <x v="611"/>
    </i>
    <i r="2">
      <x v="37"/>
      <x v="290"/>
      <x v="883"/>
      <x v="611"/>
    </i>
    <i r="1">
      <x v="11"/>
      <x v="1"/>
      <x v="290"/>
      <x v="3098"/>
      <x v="611"/>
    </i>
    <i r="2">
      <x v="37"/>
      <x v="290"/>
      <x v="2824"/>
      <x v="611"/>
    </i>
    <i r="1">
      <x v="12"/>
      <x v="1"/>
      <x v="290"/>
      <x v="80"/>
      <x v="611"/>
    </i>
    <i r="4">
      <x v="213"/>
      <x v="611"/>
    </i>
    <i r="4">
      <x v="911"/>
      <x v="611"/>
    </i>
    <i r="1">
      <x v="23"/>
      <x v="37"/>
      <x v="290"/>
      <x v="2764"/>
      <x v="611"/>
    </i>
    <i r="1">
      <x v="26"/>
      <x v="7"/>
      <x v="290"/>
      <x v="3163"/>
      <x v="611"/>
    </i>
    <i r="1">
      <x v="33"/>
      <x v="6"/>
      <x v="290"/>
      <x v="469"/>
      <x v="611"/>
    </i>
    <i r="1">
      <x v="35"/>
      <x v="1"/>
      <x v="290"/>
      <x v="80"/>
      <x v="611"/>
    </i>
    <i r="4">
      <x v="352"/>
      <x v="611"/>
    </i>
    <i r="1">
      <x v="36"/>
      <x v="8"/>
      <x v="290"/>
      <x v="3037"/>
      <x v="611"/>
    </i>
    <i>
      <x v="242"/>
      <x/>
      <x v="6"/>
      <x v="291"/>
      <x v="3355"/>
      <x v="611"/>
    </i>
    <i r="2">
      <x v="12"/>
      <x v="18"/>
      <x v="59"/>
      <x v="611"/>
    </i>
    <i r="2">
      <x v="37"/>
      <x v="291"/>
      <x v="740"/>
      <x v="611"/>
    </i>
    <i r="1">
      <x v="2"/>
      <x v="1"/>
      <x v="291"/>
      <x v="3076"/>
      <x v="611"/>
    </i>
    <i r="2">
      <x v="6"/>
      <x v="291"/>
      <x v="3469"/>
      <x v="611"/>
    </i>
    <i r="1">
      <x v="5"/>
      <x v="37"/>
      <x v="291"/>
      <x v="2855"/>
      <x v="611"/>
    </i>
    <i r="1">
      <x v="6"/>
      <x v="37"/>
      <x v="291"/>
      <x v="2884"/>
      <x v="611"/>
    </i>
    <i r="1">
      <x v="7"/>
      <x v="37"/>
      <x v="291"/>
      <x v="228"/>
      <x v="611"/>
    </i>
    <i r="1">
      <x v="8"/>
      <x v="37"/>
      <x v="291"/>
      <x v="2555"/>
      <x v="611"/>
    </i>
    <i r="1">
      <x v="11"/>
      <x v="37"/>
      <x v="291"/>
      <x v="2834"/>
      <x v="611"/>
    </i>
    <i r="1">
      <x v="12"/>
      <x v="1"/>
      <x v="291"/>
      <x v="80"/>
      <x v="611"/>
    </i>
    <i r="4">
      <x v="213"/>
      <x v="611"/>
    </i>
    <i r="4">
      <x v="352"/>
      <x v="611"/>
    </i>
    <i r="4">
      <x v="771"/>
      <x v="611"/>
    </i>
    <i r="4">
      <x v="1303"/>
      <x v="611"/>
    </i>
    <i r="2">
      <x v="37"/>
      <x v="291"/>
      <x v="2562"/>
      <x v="611"/>
    </i>
    <i r="4">
      <x v="2578"/>
      <x v="611"/>
    </i>
    <i r="1">
      <x v="21"/>
      <x v="37"/>
      <x v="291"/>
      <x v="2808"/>
      <x v="611"/>
    </i>
    <i r="1">
      <x v="23"/>
      <x v="1"/>
      <x v="291"/>
      <x v="3091"/>
      <x v="611"/>
    </i>
    <i r="1">
      <x v="34"/>
      <x v="37"/>
      <x v="291"/>
      <x v="2928"/>
      <x v="611"/>
    </i>
    <i r="1">
      <x v="36"/>
      <x v="6"/>
      <x v="291"/>
      <x v="3453"/>
      <x v="611"/>
    </i>
    <i>
      <x v="243"/>
      <x/>
      <x v="6"/>
      <x v="292"/>
      <x v="2810"/>
      <x v="611"/>
    </i>
    <i r="2">
      <x v="12"/>
      <x v="9"/>
      <x v="11"/>
      <x v="611"/>
    </i>
    <i r="3">
      <x v="21"/>
      <x v="53"/>
      <x v="611"/>
    </i>
    <i r="3">
      <x v="71"/>
      <x v="6"/>
      <x v="611"/>
    </i>
    <i r="2">
      <x v="37"/>
      <x v="292"/>
      <x v="628"/>
      <x v="611"/>
    </i>
    <i r="4">
      <x v="2557"/>
      <x v="611"/>
    </i>
    <i r="1">
      <x v="2"/>
      <x v="1"/>
      <x v="292"/>
      <x v="3079"/>
      <x v="611"/>
    </i>
    <i r="1">
      <x v="3"/>
      <x v="37"/>
      <x v="292"/>
      <x v="2721"/>
      <x v="611"/>
    </i>
    <i r="1">
      <x v="5"/>
      <x v="37"/>
      <x v="292"/>
      <x v="607"/>
      <x v="611"/>
    </i>
    <i r="1">
      <x v="8"/>
      <x v="37"/>
      <x v="292"/>
      <x v="2921"/>
      <x v="611"/>
    </i>
    <i r="1">
      <x v="12"/>
      <x v="1"/>
      <x v="292"/>
      <x v="80"/>
      <x v="611"/>
    </i>
    <i r="1">
      <x v="24"/>
      <x v="37"/>
      <x v="292"/>
      <x v="2628"/>
      <x v="611"/>
    </i>
    <i r="1">
      <x v="33"/>
      <x v="6"/>
      <x v="292"/>
      <x v="469"/>
      <x v="611"/>
    </i>
    <i r="1">
      <x v="36"/>
      <x v="6"/>
      <x v="292"/>
      <x v="3456"/>
      <x v="611"/>
    </i>
    <i r="1">
      <x v="37"/>
      <x v="37"/>
      <x v="292"/>
      <x v="114"/>
      <x v="611"/>
    </i>
    <i>
      <x v="244"/>
      <x/>
      <x v="8"/>
      <x v="362"/>
      <x v="1114"/>
      <x v="611"/>
    </i>
    <i r="2">
      <x v="12"/>
      <x v="7"/>
      <x v="11"/>
      <x v="611"/>
    </i>
    <i r="3">
      <x v="15"/>
      <x v="32"/>
      <x v="611"/>
    </i>
    <i r="3">
      <x v="32"/>
      <x v="391"/>
      <x v="611"/>
    </i>
    <i r="3">
      <x v="49"/>
      <x v="25"/>
      <x v="611"/>
    </i>
    <i r="3">
      <x v="58"/>
      <x v="2561"/>
      <x v="611"/>
    </i>
    <i r="1">
      <x v="8"/>
      <x v="37"/>
      <x v="362"/>
      <x v="2900"/>
      <x v="611"/>
    </i>
    <i r="1">
      <x v="23"/>
      <x v="1"/>
      <x v="362"/>
      <x v="39"/>
      <x v="611"/>
    </i>
    <i r="1">
      <x v="26"/>
      <x v="38"/>
      <x v="362"/>
      <x v="2613"/>
      <x v="611"/>
    </i>
    <i>
      <x v="245"/>
      <x/>
      <x v="6"/>
      <x v="431"/>
      <x v="3211"/>
      <x v="611"/>
    </i>
    <i r="2">
      <x v="12"/>
      <x v="7"/>
      <x v="125"/>
      <x v="611"/>
    </i>
    <i r="3">
      <x v="23"/>
      <x v="2558"/>
      <x v="611"/>
    </i>
    <i r="3">
      <x v="28"/>
      <x v="52"/>
      <x v="611"/>
    </i>
    <i r="3">
      <x v="39"/>
      <x v="180"/>
      <x v="611"/>
    </i>
    <i r="1">
      <x v="5"/>
      <x v="37"/>
      <x v="431"/>
      <x v="702"/>
      <x v="611"/>
    </i>
    <i r="1">
      <x v="12"/>
      <x v="1"/>
      <x v="431"/>
      <x v="213"/>
      <x v="611"/>
    </i>
    <i r="4">
      <x v="500"/>
      <x v="611"/>
    </i>
    <i r="4">
      <x v="607"/>
      <x v="611"/>
    </i>
    <i r="4">
      <x v="702"/>
      <x v="611"/>
    </i>
    <i r="4">
      <x v="1141"/>
      <x v="611"/>
    </i>
    <i r="1">
      <x v="33"/>
      <x v="33"/>
      <x v="431"/>
      <x v="702"/>
      <x v="611"/>
    </i>
    <i r="1">
      <x v="35"/>
      <x v="1"/>
      <x v="431"/>
      <x v="352"/>
      <x v="611"/>
    </i>
    <i>
      <x v="246"/>
      <x/>
      <x v="6"/>
      <x v="393"/>
      <x v="1007"/>
      <x v="611"/>
    </i>
    <i r="4">
      <x v="3369"/>
      <x v="611"/>
    </i>
    <i r="2">
      <x v="12"/>
      <x v="7"/>
      <x v="11"/>
      <x v="611"/>
    </i>
    <i r="3">
      <x v="50"/>
      <x v="248"/>
      <x v="611"/>
    </i>
    <i r="3">
      <x v="61"/>
      <x v="6"/>
      <x v="611"/>
    </i>
    <i r="1">
      <x v="3"/>
      <x v="37"/>
      <x v="393"/>
      <x v="2716"/>
      <x v="611"/>
    </i>
    <i r="1">
      <x v="5"/>
      <x v="38"/>
      <x v="393"/>
      <x v="2854"/>
      <x v="611"/>
    </i>
    <i r="1">
      <x v="8"/>
      <x v="37"/>
      <x v="393"/>
      <x v="2917"/>
      <x v="611"/>
    </i>
    <i r="1">
      <x v="12"/>
      <x v="1"/>
      <x v="393"/>
      <x v="80"/>
      <x v="611"/>
    </i>
    <i r="4">
      <x v="213"/>
      <x v="611"/>
    </i>
    <i r="4">
      <x v="352"/>
      <x v="611"/>
    </i>
    <i r="4">
      <x v="500"/>
      <x v="611"/>
    </i>
    <i r="4">
      <x v="607"/>
      <x v="611"/>
    </i>
    <i r="4">
      <x v="1028"/>
      <x v="611"/>
    </i>
    <i r="1">
      <x v="15"/>
      <x v="38"/>
      <x v="393"/>
      <x v="1274"/>
      <x v="611"/>
    </i>
    <i r="1">
      <x v="17"/>
      <x v="6"/>
      <x v="393"/>
      <x v="3433"/>
      <x v="611"/>
    </i>
    <i r="1">
      <x v="21"/>
      <x v="38"/>
      <x v="393"/>
      <x v="2800"/>
      <x v="611"/>
    </i>
    <i r="1">
      <x v="23"/>
      <x v="37"/>
      <x v="393"/>
      <x v="44"/>
      <x v="611"/>
    </i>
    <i r="2">
      <x v="38"/>
      <x v="393"/>
      <x v="1858"/>
      <x v="611"/>
    </i>
    <i r="1">
      <x v="27"/>
      <x v="6"/>
      <x v="393"/>
      <x v="3518"/>
      <x v="611"/>
    </i>
    <i r="1">
      <x v="35"/>
      <x v="1"/>
      <x v="393"/>
      <x v="80"/>
      <x v="611"/>
    </i>
    <i>
      <x v="247"/>
      <x/>
      <x v="7"/>
      <x v="367"/>
      <x v="799"/>
      <x v="611"/>
    </i>
    <i r="4">
      <x v="3155"/>
      <x v="611"/>
    </i>
    <i r="2">
      <x v="8"/>
      <x v="367"/>
      <x v="1069"/>
      <x v="611"/>
    </i>
    <i r="4">
      <x v="2969"/>
      <x v="611"/>
    </i>
    <i r="4">
      <x v="3148"/>
      <x v="611"/>
    </i>
    <i r="2">
      <x v="9"/>
      <x v="367"/>
      <x v="469"/>
      <x v="611"/>
    </i>
    <i r="4">
      <x v="551"/>
      <x v="611"/>
    </i>
    <i r="4">
      <x v="2698"/>
      <x v="611"/>
    </i>
    <i r="4">
      <x v="3219"/>
      <x v="611"/>
    </i>
    <i r="4">
      <x v="3233"/>
      <x v="611"/>
    </i>
    <i r="4">
      <x v="3269"/>
      <x v="611"/>
    </i>
    <i r="4">
      <x v="3340"/>
      <x v="611"/>
    </i>
    <i r="4">
      <x v="3526"/>
      <x v="611"/>
    </i>
    <i r="4">
      <x v="3533"/>
      <x v="611"/>
    </i>
    <i r="4">
      <x v="3555"/>
      <x v="611"/>
    </i>
    <i r="2">
      <x v="12"/>
      <x v="6"/>
      <x v="32"/>
      <x v="611"/>
    </i>
    <i r="3">
      <x v="7"/>
      <x v="11"/>
      <x v="611"/>
    </i>
    <i r="3">
      <x v="26"/>
      <x v="25"/>
      <x v="611"/>
    </i>
    <i r="3">
      <x v="57"/>
      <x v="9"/>
      <x v="611"/>
    </i>
    <i r="1">
      <x v="3"/>
      <x v="37"/>
      <x v="367"/>
      <x v="2717"/>
      <x v="611"/>
    </i>
    <i r="1">
      <x v="5"/>
      <x v="37"/>
      <x v="367"/>
      <x v="2856"/>
      <x v="611"/>
    </i>
    <i r="2">
      <x v="38"/>
      <x v="367"/>
      <x v="2583"/>
      <x v="611"/>
    </i>
    <i r="1">
      <x v="6"/>
      <x v="37"/>
      <x v="367"/>
      <x v="2886"/>
      <x v="611"/>
    </i>
    <i r="1">
      <x v="11"/>
      <x v="1"/>
      <x v="367"/>
      <x v="3104"/>
      <x v="611"/>
    </i>
    <i r="1">
      <x v="12"/>
      <x v="1"/>
      <x v="367"/>
      <x v="80"/>
      <x v="611"/>
    </i>
    <i r="4">
      <x v="213"/>
      <x v="611"/>
    </i>
    <i r="4">
      <x v="352"/>
      <x v="611"/>
    </i>
    <i r="4">
      <x v="607"/>
      <x v="611"/>
    </i>
    <i r="1">
      <x v="15"/>
      <x v="38"/>
      <x v="367"/>
      <x v="2654"/>
      <x v="611"/>
    </i>
    <i r="1">
      <x v="16"/>
      <x v="37"/>
      <x v="367"/>
      <x v="2622"/>
      <x v="611"/>
    </i>
    <i r="1">
      <x v="22"/>
      <x v="37"/>
      <x v="367"/>
      <x v="2810"/>
      <x v="611"/>
    </i>
    <i r="2">
      <x v="38"/>
      <x v="367"/>
      <x v="2809"/>
      <x v="611"/>
    </i>
    <i r="1">
      <x v="23"/>
      <x v="37"/>
      <x v="367"/>
      <x v="2524"/>
      <x v="611"/>
    </i>
    <i r="1">
      <x v="26"/>
      <x v="38"/>
      <x v="367"/>
      <x v="665"/>
      <x v="611"/>
    </i>
    <i r="1">
      <x v="33"/>
      <x v="37"/>
      <x v="367"/>
      <x v="2816"/>
      <x v="611"/>
    </i>
    <i r="1">
      <x v="37"/>
      <x v="8"/>
      <x v="367"/>
      <x v="3088"/>
      <x v="611"/>
    </i>
    <i r="2">
      <x v="37"/>
      <x v="367"/>
      <x v="2750"/>
      <x v="611"/>
    </i>
    <i>
      <x v="248"/>
      <x/>
      <x v="12"/>
      <x v="9"/>
      <x v="11"/>
      <x v="611"/>
    </i>
    <i r="3">
      <x v="21"/>
      <x v="24"/>
      <x v="611"/>
    </i>
    <i r="3">
      <x v="26"/>
      <x v="20"/>
      <x v="611"/>
    </i>
    <i r="2">
      <x v="37"/>
      <x v="371"/>
      <x v="469"/>
      <x v="611"/>
    </i>
    <i r="1">
      <x v="8"/>
      <x v="37"/>
      <x v="371"/>
      <x v="2910"/>
      <x v="611"/>
    </i>
    <i r="1">
      <x v="12"/>
      <x v="1"/>
      <x v="371"/>
      <x v="80"/>
      <x v="611"/>
    </i>
    <i r="4">
      <x v="352"/>
      <x v="611"/>
    </i>
    <i r="1">
      <x v="16"/>
      <x v="37"/>
      <x v="371"/>
      <x v="2563"/>
      <x v="611"/>
    </i>
    <i r="1">
      <x v="23"/>
      <x v="6"/>
      <x v="371"/>
      <x v="3489"/>
      <x v="611"/>
    </i>
    <i r="2">
      <x v="37"/>
      <x v="371"/>
      <x v="109"/>
      <x v="611"/>
    </i>
    <i r="1">
      <x v="30"/>
      <x v="6"/>
      <x v="371"/>
      <x v="1713"/>
      <x v="611"/>
    </i>
    <i r="1">
      <x v="33"/>
      <x v="7"/>
      <x v="371"/>
      <x/>
      <x v="238"/>
    </i>
    <i>
      <x v="249"/>
      <x/>
      <x v="1"/>
      <x v="353"/>
      <x v="213"/>
      <x v="611"/>
    </i>
    <i r="2">
      <x v="8"/>
      <x v="353"/>
      <x v="186"/>
      <x v="611"/>
    </i>
    <i r="4">
      <x v="2942"/>
      <x v="611"/>
    </i>
    <i r="4">
      <x v="2945"/>
      <x v="611"/>
    </i>
    <i r="4">
      <x v="2979"/>
      <x v="611"/>
    </i>
    <i r="4">
      <x v="2991"/>
      <x v="611"/>
    </i>
    <i r="4">
      <x v="3143"/>
      <x v="611"/>
    </i>
    <i r="2">
      <x v="9"/>
      <x v="353"/>
      <x/>
      <x v="610"/>
    </i>
    <i r="4">
      <x v="212"/>
      <x v="611"/>
    </i>
    <i r="4">
      <x v="466"/>
      <x v="611"/>
    </i>
    <i r="4">
      <x v="689"/>
      <x v="611"/>
    </i>
    <i r="4">
      <x v="3177"/>
      <x v="611"/>
    </i>
    <i r="4">
      <x v="3220"/>
      <x v="611"/>
    </i>
    <i r="4">
      <x v="3224"/>
      <x v="611"/>
    </i>
    <i r="4">
      <x v="3232"/>
      <x v="611"/>
    </i>
    <i r="4">
      <x v="3353"/>
      <x v="611"/>
    </i>
    <i r="4">
      <x v="3372"/>
      <x v="611"/>
    </i>
    <i r="2">
      <x v="12"/>
      <x v="8"/>
      <x v="6"/>
      <x v="611"/>
    </i>
    <i r="3">
      <x v="10"/>
      <x v="32"/>
      <x v="611"/>
    </i>
    <i r="3">
      <x v="64"/>
      <x v="53"/>
      <x v="611"/>
    </i>
    <i r="1">
      <x v="2"/>
      <x v="1"/>
      <x v="353"/>
      <x v="3070"/>
      <x v="611"/>
    </i>
    <i r="1">
      <x v="3"/>
      <x v="6"/>
      <x v="353"/>
      <x v="3462"/>
      <x v="611"/>
    </i>
    <i r="1">
      <x v="7"/>
      <x v="37"/>
      <x v="353"/>
      <x v="765"/>
      <x v="611"/>
    </i>
    <i r="1">
      <x v="9"/>
      <x v="10"/>
      <x v="353"/>
      <x v="176"/>
      <x v="611"/>
    </i>
    <i r="1">
      <x v="12"/>
      <x v="1"/>
      <x v="353"/>
      <x v="80"/>
      <x v="611"/>
    </i>
    <i r="4">
      <x v="213"/>
      <x v="611"/>
    </i>
    <i r="4">
      <x v="702"/>
      <x v="611"/>
    </i>
    <i r="1">
      <x v="14"/>
      <x v="37"/>
      <x v="353"/>
      <x v="2678"/>
      <x v="611"/>
    </i>
    <i r="1">
      <x v="15"/>
      <x v="9"/>
      <x v="353"/>
      <x v="1001"/>
      <x v="611"/>
    </i>
    <i r="2">
      <x v="37"/>
      <x v="353"/>
      <x v="771"/>
      <x v="611"/>
    </i>
    <i r="1">
      <x v="19"/>
      <x v="33"/>
      <x v="353"/>
      <x v="3183"/>
      <x v="611"/>
    </i>
    <i r="1">
      <x v="23"/>
      <x v="7"/>
      <x v="353"/>
      <x v="371"/>
      <x v="611"/>
    </i>
    <i r="1">
      <x v="27"/>
      <x v="37"/>
      <x v="353"/>
      <x v="2932"/>
      <x v="611"/>
    </i>
    <i r="1">
      <x v="34"/>
      <x v="33"/>
      <x v="353"/>
      <x v="964"/>
      <x v="611"/>
    </i>
    <i r="1">
      <x v="35"/>
      <x v="1"/>
      <x v="353"/>
      <x v="80"/>
      <x v="611"/>
    </i>
    <i r="1">
      <x v="36"/>
      <x v="1"/>
      <x v="353"/>
      <x v="3046"/>
      <x v="611"/>
    </i>
    <i r="2">
      <x v="7"/>
      <x v="353"/>
      <x v="2796"/>
      <x v="611"/>
    </i>
    <i r="1">
      <x v="37"/>
      <x v="37"/>
      <x v="353"/>
      <x v="897"/>
      <x v="611"/>
    </i>
    <i>
      <x v="250"/>
      <x/>
      <x v="8"/>
      <x v="323"/>
      <x v="1114"/>
      <x v="611"/>
    </i>
    <i r="2">
      <x v="12"/>
      <x v="10"/>
      <x v="90"/>
      <x v="611"/>
    </i>
    <i r="2">
      <x v="37"/>
      <x v="323"/>
      <x v="1271"/>
      <x v="611"/>
    </i>
    <i r="4">
      <x v="1414"/>
      <x v="611"/>
    </i>
    <i r="4">
      <x v="2581"/>
      <x v="611"/>
    </i>
    <i r="4">
      <x v="2591"/>
      <x v="611"/>
    </i>
    <i r="1">
      <x v="11"/>
      <x v="38"/>
      <x v="323"/>
      <x v="2831"/>
      <x v="611"/>
    </i>
    <i r="1">
      <x v="15"/>
      <x v="38"/>
      <x v="323"/>
      <x v="2640"/>
      <x v="611"/>
    </i>
    <i r="1">
      <x v="26"/>
      <x v="37"/>
      <x v="323"/>
      <x v="719"/>
      <x v="611"/>
    </i>
    <i>
      <x v="251"/>
      <x/>
      <x v="6"/>
      <x v="386"/>
      <x v="3164"/>
      <x v="611"/>
    </i>
    <i r="2">
      <x v="12"/>
      <x v="10"/>
      <x v="9"/>
      <x v="611"/>
    </i>
    <i r="1">
      <x v="5"/>
      <x v="37"/>
      <x v="386"/>
      <x v="676"/>
      <x v="611"/>
    </i>
    <i r="1">
      <x v="6"/>
      <x v="37"/>
      <x v="386"/>
      <x v="2882"/>
      <x v="611"/>
    </i>
    <i r="1">
      <x v="7"/>
      <x v="37"/>
      <x v="386"/>
      <x v="278"/>
      <x v="611"/>
    </i>
    <i r="1">
      <x v="8"/>
      <x v="37"/>
      <x v="386"/>
      <x v="561"/>
      <x v="611"/>
    </i>
    <i r="1">
      <x v="12"/>
      <x v="1"/>
      <x v="386"/>
      <x v="80"/>
      <x v="611"/>
    </i>
    <i r="4">
      <x v="213"/>
      <x v="611"/>
    </i>
    <i r="4">
      <x v="352"/>
      <x v="611"/>
    </i>
    <i r="4">
      <x v="500"/>
      <x v="611"/>
    </i>
    <i r="4">
      <x v="607"/>
      <x v="611"/>
    </i>
    <i r="4">
      <x v="702"/>
      <x v="611"/>
    </i>
    <i r="4">
      <x v="771"/>
      <x v="611"/>
    </i>
    <i r="4">
      <x v="846"/>
      <x v="611"/>
    </i>
    <i r="1">
      <x v="15"/>
      <x v="37"/>
      <x v="386"/>
      <x v="710"/>
      <x v="611"/>
    </i>
    <i r="1">
      <x v="23"/>
      <x v="1"/>
      <x v="386"/>
      <x v="109"/>
      <x v="611"/>
    </i>
    <i r="2">
      <x v="6"/>
      <x v="386"/>
      <x v="314"/>
      <x v="611"/>
    </i>
    <i r="2">
      <x v="37"/>
      <x v="386"/>
      <x v="111"/>
      <x v="611"/>
    </i>
    <i r="1">
      <x v="34"/>
      <x v="37"/>
      <x v="386"/>
      <x v="2926"/>
      <x v="611"/>
    </i>
    <i r="1">
      <x v="35"/>
      <x v="1"/>
      <x v="386"/>
      <x v="213"/>
      <x v="611"/>
    </i>
    <i>
      <x v="252"/>
      <x/>
      <x v="12"/>
      <x v="10"/>
      <x v="153"/>
      <x v="611"/>
    </i>
    <i r="3">
      <x v="57"/>
      <x v="6"/>
      <x v="611"/>
    </i>
    <i r="1">
      <x v="15"/>
      <x v="37"/>
      <x v="389"/>
      <x v="579"/>
      <x v="611"/>
    </i>
    <i>
      <x v="253"/>
      <x/>
      <x v="8"/>
      <x v="426"/>
      <x v="2950"/>
      <x v="611"/>
    </i>
    <i r="2">
      <x v="10"/>
      <x v="426"/>
      <x/>
      <x v="489"/>
    </i>
    <i r="2">
      <x v="12"/>
      <x v="10"/>
      <x v="90"/>
      <x v="611"/>
    </i>
    <i r="3">
      <x v="25"/>
      <x v="27"/>
      <x v="611"/>
    </i>
    <i r="3">
      <x v="32"/>
      <x v="32"/>
      <x v="611"/>
    </i>
    <i r="3">
      <x v="49"/>
      <x v="20"/>
      <x v="611"/>
    </i>
    <i r="1">
      <x v="15"/>
      <x v="33"/>
      <x v="426"/>
      <x v="3171"/>
      <x v="611"/>
    </i>
    <i r="1">
      <x v="23"/>
      <x v="37"/>
      <x v="426"/>
      <x v="2793"/>
      <x v="611"/>
    </i>
    <i>
      <x v="254"/>
      <x/>
      <x v="1"/>
      <x v="414"/>
      <x v="57"/>
      <x v="611"/>
    </i>
    <i r="4">
      <x v="199"/>
      <x v="611"/>
    </i>
    <i r="2">
      <x v="12"/>
      <x v="13"/>
      <x v="82"/>
      <x v="611"/>
    </i>
    <i r="3">
      <x v="47"/>
      <x v="314"/>
      <x v="611"/>
    </i>
    <i r="1">
      <x v="3"/>
      <x v="37"/>
      <x v="414"/>
      <x v="314"/>
      <x v="611"/>
    </i>
    <i r="1">
      <x v="6"/>
      <x v="37"/>
      <x v="414"/>
      <x v="2874"/>
      <x v="611"/>
    </i>
    <i r="1">
      <x v="8"/>
      <x v="37"/>
      <x v="414"/>
      <x v="2894"/>
      <x v="611"/>
    </i>
    <i r="1">
      <x v="11"/>
      <x v="37"/>
      <x v="414"/>
      <x v="279"/>
      <x v="611"/>
    </i>
    <i r="1">
      <x v="12"/>
      <x v="1"/>
      <x v="414"/>
      <x v="80"/>
      <x v="611"/>
    </i>
    <i r="4">
      <x v="213"/>
      <x v="611"/>
    </i>
    <i r="4">
      <x v="500"/>
      <x v="611"/>
    </i>
    <i r="4">
      <x v="1069"/>
      <x v="611"/>
    </i>
    <i r="1">
      <x v="13"/>
      <x v="1"/>
      <x v="414"/>
      <x v="3106"/>
      <x v="611"/>
    </i>
    <i r="2">
      <x v="33"/>
      <x v="414"/>
      <x v="3192"/>
      <x v="611"/>
    </i>
    <i r="1">
      <x v="35"/>
      <x v="1"/>
      <x v="414"/>
      <x v="80"/>
      <x v="611"/>
    </i>
    <i r="4">
      <x v="213"/>
      <x v="611"/>
    </i>
    <i>
      <x v="255"/>
      <x/>
      <x v="6"/>
      <x v="372"/>
      <x v="425"/>
      <x v="611"/>
    </i>
    <i r="4">
      <x v="1007"/>
      <x v="611"/>
    </i>
    <i r="2">
      <x v="8"/>
      <x v="372"/>
      <x v="2982"/>
      <x v="611"/>
    </i>
    <i r="2">
      <x v="9"/>
      <x v="372"/>
      <x v="3213"/>
      <x v="611"/>
    </i>
    <i r="4">
      <x v="3377"/>
      <x v="611"/>
    </i>
    <i r="4">
      <x v="3540"/>
      <x v="611"/>
    </i>
    <i r="4">
      <x v="3549"/>
      <x v="611"/>
    </i>
    <i r="2">
      <x v="12"/>
      <x v="15"/>
      <x v="32"/>
      <x v="611"/>
    </i>
    <i r="3">
      <x v="18"/>
      <x v="20"/>
      <x v="611"/>
    </i>
    <i r="1">
      <x v="2"/>
      <x v="33"/>
      <x v="372"/>
      <x v="1001"/>
      <x v="611"/>
    </i>
    <i r="2">
      <x v="37"/>
      <x v="372"/>
      <x v="2723"/>
      <x v="611"/>
    </i>
    <i r="1">
      <x v="3"/>
      <x v="37"/>
      <x v="372"/>
      <x v="109"/>
      <x v="611"/>
    </i>
    <i r="1">
      <x v="5"/>
      <x v="7"/>
      <x v="372"/>
      <x v="3193"/>
      <x v="611"/>
    </i>
    <i r="1">
      <x v="7"/>
      <x v="37"/>
      <x v="372"/>
      <x v="710"/>
      <x v="611"/>
    </i>
    <i r="1">
      <x v="8"/>
      <x v="8"/>
      <x v="372"/>
      <x v="3125"/>
      <x v="611"/>
    </i>
    <i r="2">
      <x v="37"/>
      <x v="372"/>
      <x v="2893"/>
      <x v="611"/>
    </i>
    <i r="1">
      <x v="12"/>
      <x v="1"/>
      <x v="372"/>
      <x v="500"/>
      <x v="611"/>
    </i>
    <i r="4">
      <x v="846"/>
      <x v="611"/>
    </i>
    <i r="1">
      <x v="17"/>
      <x v="6"/>
      <x v="372"/>
      <x v="3428"/>
      <x v="611"/>
    </i>
    <i r="2">
      <x v="10"/>
      <x v="372"/>
      <x v="2663"/>
      <x v="611"/>
    </i>
    <i r="1">
      <x v="23"/>
      <x v="1"/>
      <x v="372"/>
      <x v="109"/>
      <x v="611"/>
    </i>
    <i r="2">
      <x v="33"/>
      <x v="372"/>
      <x v="3187"/>
      <x v="611"/>
    </i>
    <i r="2">
      <x v="37"/>
      <x v="372"/>
      <x v="2758"/>
      <x v="611"/>
    </i>
    <i r="1">
      <x v="24"/>
      <x v="1"/>
      <x v="372"/>
      <x v="199"/>
      <x v="611"/>
    </i>
    <i r="2">
      <x v="37"/>
      <x v="372"/>
      <x v="248"/>
      <x v="611"/>
    </i>
    <i r="1">
      <x v="35"/>
      <x v="1"/>
      <x v="372"/>
      <x v="80"/>
      <x v="611"/>
    </i>
    <i r="4">
      <x v="500"/>
      <x v="611"/>
    </i>
    <i r="1">
      <x v="36"/>
      <x v="1"/>
      <x v="372"/>
      <x v="3034"/>
      <x v="611"/>
    </i>
    <i r="2">
      <x v="8"/>
      <x v="372"/>
      <x v="3033"/>
      <x v="611"/>
    </i>
    <i r="1">
      <x v="40"/>
      <x v="6"/>
      <x v="372"/>
      <x v="1170"/>
      <x v="611"/>
    </i>
    <i>
      <x v="256"/>
      <x/>
      <x v="8"/>
      <x v="435"/>
      <x v="186"/>
      <x v="611"/>
    </i>
    <i r="4">
      <x v="1069"/>
      <x v="611"/>
    </i>
    <i r="2">
      <x v="9"/>
      <x v="435"/>
      <x v="559"/>
      <x v="611"/>
    </i>
    <i r="4">
      <x v="2335"/>
      <x v="611"/>
    </i>
    <i r="4">
      <x v="3000"/>
      <x v="611"/>
    </i>
    <i r="4">
      <x v="3201"/>
      <x v="611"/>
    </i>
    <i r="4">
      <x v="3309"/>
      <x v="611"/>
    </i>
    <i r="4">
      <x v="3311"/>
      <x v="611"/>
    </i>
    <i r="4">
      <x v="3342"/>
      <x v="611"/>
    </i>
    <i r="4">
      <x v="3370"/>
      <x v="611"/>
    </i>
    <i r="4">
      <x v="3522"/>
      <x v="611"/>
    </i>
    <i r="4">
      <x v="3544"/>
      <x v="611"/>
    </i>
    <i r="4">
      <x v="3554"/>
      <x v="611"/>
    </i>
    <i r="2">
      <x v="12"/>
      <x v="18"/>
      <x v="24"/>
      <x v="611"/>
    </i>
    <i r="3">
      <x v="27"/>
      <x v="252"/>
      <x v="611"/>
    </i>
    <i r="1">
      <x v="2"/>
      <x v="8"/>
      <x v="435"/>
      <x v="3066"/>
      <x v="611"/>
    </i>
    <i r="2">
      <x v="9"/>
      <x v="435"/>
      <x v="151"/>
      <x v="611"/>
    </i>
    <i r="1">
      <x v="5"/>
      <x v="8"/>
      <x v="435"/>
      <x v="3108"/>
      <x v="611"/>
    </i>
    <i r="1">
      <x v="8"/>
      <x v="37"/>
      <x v="435"/>
      <x v="2897"/>
      <x v="611"/>
    </i>
    <i r="1">
      <x v="12"/>
      <x v="1"/>
      <x v="435"/>
      <x v="213"/>
      <x v="611"/>
    </i>
    <i r="1">
      <x v="15"/>
      <x v="8"/>
      <x v="435"/>
      <x v="3010"/>
      <x v="611"/>
    </i>
    <i r="2">
      <x v="33"/>
      <x v="435"/>
      <x v="3165"/>
      <x v="611"/>
    </i>
    <i>
      <x v="257"/>
      <x/>
      <x v="6"/>
      <x v="400"/>
      <x v="3294"/>
      <x v="611"/>
    </i>
    <i r="2">
      <x v="12"/>
      <x v="18"/>
      <x v="18"/>
      <x v="611"/>
    </i>
    <i r="3">
      <x v="58"/>
      <x v="11"/>
      <x v="611"/>
    </i>
    <i r="1">
      <x v="4"/>
      <x v="10"/>
      <x v="400"/>
      <x/>
      <x v="408"/>
    </i>
    <i r="1">
      <x v="5"/>
      <x v="37"/>
      <x v="400"/>
      <x v="1188"/>
      <x v="611"/>
    </i>
    <i r="1">
      <x v="6"/>
      <x v="37"/>
      <x v="400"/>
      <x v="657"/>
      <x v="611"/>
    </i>
    <i r="1">
      <x v="11"/>
      <x v="37"/>
      <x v="400"/>
      <x v="2823"/>
      <x v="611"/>
    </i>
    <i r="1">
      <x v="12"/>
      <x v="1"/>
      <x v="400"/>
      <x v="80"/>
      <x v="611"/>
    </i>
    <i r="4">
      <x v="213"/>
      <x v="611"/>
    </i>
    <i r="4">
      <x v="352"/>
      <x v="611"/>
    </i>
    <i r="4">
      <x v="911"/>
      <x v="611"/>
    </i>
    <i r="1">
      <x v="17"/>
      <x v="37"/>
      <x v="400"/>
      <x v="2371"/>
      <x v="611"/>
    </i>
    <i r="1">
      <x v="19"/>
      <x v="37"/>
      <x v="400"/>
      <x v="458"/>
      <x v="611"/>
    </i>
    <i r="1">
      <x v="21"/>
      <x v="10"/>
      <x v="400"/>
      <x v="2660"/>
      <x v="611"/>
    </i>
    <i r="1">
      <x v="23"/>
      <x v="37"/>
      <x v="400"/>
      <x v="2763"/>
      <x v="611"/>
    </i>
    <i r="1">
      <x v="35"/>
      <x v="1"/>
      <x v="400"/>
      <x v="213"/>
      <x v="611"/>
    </i>
    <i r="4">
      <x v="352"/>
      <x v="611"/>
    </i>
    <i r="1">
      <x v="36"/>
      <x v="1"/>
      <x v="400"/>
      <x v="3036"/>
      <x v="611"/>
    </i>
    <i r="2">
      <x v="6"/>
      <x v="400"/>
      <x v="3446"/>
      <x v="611"/>
    </i>
    <i>
      <x v="258"/>
      <x/>
      <x v="6"/>
      <x v="442"/>
      <x v="248"/>
      <x v="611"/>
    </i>
    <i r="2">
      <x v="12"/>
      <x v="18"/>
      <x v="6"/>
      <x v="611"/>
    </i>
    <i r="3">
      <x v="19"/>
      <x v="8"/>
      <x v="611"/>
    </i>
    <i r="3">
      <x v="39"/>
      <x v="2579"/>
      <x v="611"/>
    </i>
    <i r="3">
      <x v="59"/>
      <x v="6"/>
      <x v="611"/>
    </i>
    <i r="3">
      <x v="71"/>
      <x v="2935"/>
      <x v="611"/>
    </i>
    <i r="1">
      <x v="12"/>
      <x v="1"/>
      <x v="442"/>
      <x v="80"/>
      <x v="611"/>
    </i>
    <i r="4">
      <x v="352"/>
      <x v="611"/>
    </i>
    <i>
      <x v="259"/>
      <x/>
      <x v="9"/>
      <x v="365"/>
      <x v="3229"/>
      <x v="611"/>
    </i>
    <i r="4">
      <x v="3362"/>
      <x v="611"/>
    </i>
    <i r="2">
      <x v="12"/>
      <x v="6"/>
      <x v="101"/>
      <x v="611"/>
    </i>
    <i r="3">
      <x v="18"/>
      <x v="9"/>
      <x v="611"/>
    </i>
    <i r="3">
      <x v="23"/>
      <x v="11"/>
      <x v="611"/>
    </i>
    <i r="1">
      <x v="5"/>
      <x v="37"/>
      <x v="365"/>
      <x v="2847"/>
      <x v="611"/>
    </i>
    <i r="1">
      <x v="7"/>
      <x v="8"/>
      <x v="365"/>
      <x v="3118"/>
      <x v="611"/>
    </i>
    <i r="2">
      <x v="10"/>
      <x v="365"/>
      <x v="607"/>
      <x v="611"/>
    </i>
    <i r="1">
      <x v="12"/>
      <x v="1"/>
      <x v="365"/>
      <x v="80"/>
      <x v="611"/>
    </i>
    <i r="4">
      <x v="500"/>
      <x v="611"/>
    </i>
    <i r="1">
      <x v="15"/>
      <x v="33"/>
      <x v="365"/>
      <x v="3167"/>
      <x v="611"/>
    </i>
    <i r="1">
      <x v="17"/>
      <x v="37"/>
      <x v="365"/>
      <x v="2672"/>
      <x v="611"/>
    </i>
    <i r="1">
      <x v="23"/>
      <x v="7"/>
      <x v="365"/>
      <x v="1093"/>
      <x v="611"/>
    </i>
    <i r="2">
      <x v="37"/>
      <x v="365"/>
      <x v="2779"/>
      <x v="611"/>
    </i>
    <i r="1">
      <x v="24"/>
      <x v="7"/>
      <x v="365"/>
      <x v="3164"/>
      <x v="611"/>
    </i>
    <i r="1">
      <x v="26"/>
      <x v="10"/>
      <x v="365"/>
      <x/>
      <x v="534"/>
    </i>
    <i r="2">
      <x v="38"/>
      <x v="365"/>
      <x v="2618"/>
      <x v="611"/>
    </i>
    <i r="1">
      <x v="27"/>
      <x v="37"/>
      <x v="365"/>
      <x v="109"/>
      <x v="611"/>
    </i>
    <i r="1">
      <x v="35"/>
      <x v="1"/>
      <x v="365"/>
      <x v="80"/>
      <x v="611"/>
    </i>
    <i r="4">
      <x v="213"/>
      <x v="611"/>
    </i>
    <i r="1">
      <x v="40"/>
      <x v="8"/>
      <x v="365"/>
      <x v="3054"/>
      <x v="611"/>
    </i>
    <i r="2">
      <x v="9"/>
      <x v="365"/>
      <x v="3459"/>
      <x v="611"/>
    </i>
    <i>
      <x v="260"/>
      <x/>
      <x v="6"/>
      <x v="315"/>
      <x v="724"/>
      <x v="611"/>
    </i>
    <i r="4">
      <x v="3350"/>
      <x v="611"/>
    </i>
    <i r="4">
      <x v="3368"/>
      <x v="611"/>
    </i>
    <i r="2">
      <x v="8"/>
      <x v="315"/>
      <x v="1114"/>
      <x v="611"/>
    </i>
    <i r="2">
      <x v="12"/>
      <x v="15"/>
      <x v="32"/>
      <x v="611"/>
    </i>
    <i r="3">
      <x v="18"/>
      <x v="18"/>
      <x v="611"/>
    </i>
    <i r="3">
      <x v="55"/>
      <x v="2596"/>
      <x v="611"/>
    </i>
    <i r="2">
      <x v="37"/>
      <x v="315"/>
      <x v="2572"/>
      <x v="611"/>
    </i>
    <i r="4">
      <x v="2589"/>
      <x v="611"/>
    </i>
    <i r="4">
      <x v="2673"/>
      <x v="611"/>
    </i>
    <i r="1">
      <x v="3"/>
      <x v="37"/>
      <x v="315"/>
      <x v="2713"/>
      <x v="611"/>
    </i>
    <i r="1">
      <x v="7"/>
      <x v="37"/>
      <x v="315"/>
      <x v="2866"/>
      <x v="611"/>
    </i>
    <i r="1">
      <x v="8"/>
      <x v="37"/>
      <x v="315"/>
      <x v="2911"/>
      <x v="611"/>
    </i>
    <i r="1">
      <x v="12"/>
      <x v="1"/>
      <x v="315"/>
      <x v="80"/>
      <x v="611"/>
    </i>
    <i r="4">
      <x v="213"/>
      <x v="611"/>
    </i>
    <i r="2">
      <x v="37"/>
      <x v="315"/>
      <x v="2569"/>
      <x v="611"/>
    </i>
    <i r="1">
      <x v="15"/>
      <x v="1"/>
      <x v="315"/>
      <x v="352"/>
      <x v="611"/>
    </i>
    <i r="2">
      <x v="37"/>
      <x v="315"/>
      <x v="2641"/>
      <x v="611"/>
    </i>
    <i r="1">
      <x v="23"/>
      <x v="1"/>
      <x v="315"/>
      <x v="39"/>
      <x v="611"/>
    </i>
    <i r="2">
      <x v="6"/>
      <x v="315"/>
      <x v="363"/>
      <x v="611"/>
    </i>
    <i r="2">
      <x v="37"/>
      <x v="315"/>
      <x v="2784"/>
      <x v="611"/>
    </i>
    <i r="1">
      <x v="27"/>
      <x v="37"/>
      <x v="315"/>
      <x v="2933"/>
      <x v="611"/>
    </i>
    <i r="1">
      <x v="33"/>
      <x v="37"/>
      <x v="315"/>
      <x v="2814"/>
      <x v="611"/>
    </i>
    <i r="1">
      <x v="34"/>
      <x v="7"/>
      <x v="315"/>
      <x/>
      <x v="260"/>
    </i>
    <i r="1">
      <x v="35"/>
      <x v="1"/>
      <x v="315"/>
      <x v="80"/>
      <x v="611"/>
    </i>
    <i r="2">
      <x v="37"/>
      <x v="315"/>
      <x v="2595"/>
      <x v="611"/>
    </i>
    <i r="1">
      <x v="36"/>
      <x v="1"/>
      <x v="315"/>
      <x v="457"/>
      <x v="611"/>
    </i>
    <i>
      <x v="261"/>
      <x/>
      <x v="12"/>
      <x v="17"/>
      <x v="188"/>
      <x v="611"/>
    </i>
    <i r="3">
      <x v="18"/>
      <x v="24"/>
      <x v="611"/>
    </i>
    <i r="3">
      <x v="50"/>
      <x v="39"/>
      <x v="611"/>
    </i>
    <i r="3">
      <x v="71"/>
      <x v="24"/>
      <x v="611"/>
    </i>
    <i r="2">
      <x v="37"/>
      <x v="342"/>
      <x v="1216"/>
      <x v="611"/>
    </i>
    <i r="4">
      <x v="2673"/>
      <x v="611"/>
    </i>
    <i r="1">
      <x v="12"/>
      <x v="1"/>
      <x v="342"/>
      <x v="352"/>
      <x v="611"/>
    </i>
    <i r="1">
      <x v="14"/>
      <x v="37"/>
      <x v="342"/>
      <x v="55"/>
      <x v="611"/>
    </i>
    <i r="1">
      <x v="15"/>
      <x v="37"/>
      <x v="342"/>
      <x v="2646"/>
      <x v="611"/>
    </i>
    <i r="1">
      <x v="19"/>
      <x v="6"/>
      <x v="342"/>
      <x v="1225"/>
      <x v="611"/>
    </i>
    <i r="1">
      <x v="26"/>
      <x v="37"/>
      <x v="342"/>
      <x v="285"/>
      <x v="611"/>
    </i>
    <i r="2">
      <x v="38"/>
      <x v="342"/>
      <x v="1007"/>
      <x v="611"/>
    </i>
    <i r="1">
      <x v="35"/>
      <x v="1"/>
      <x v="342"/>
      <x v="80"/>
      <x v="611"/>
    </i>
    <i>
      <x v="262"/>
      <x/>
      <x v="6"/>
      <x v="334"/>
      <x v="3230"/>
      <x v="611"/>
    </i>
    <i r="2">
      <x v="10"/>
      <x v="334"/>
      <x/>
      <x v="399"/>
    </i>
    <i r="2">
      <x v="12"/>
      <x v="18"/>
      <x v="11"/>
      <x v="611"/>
    </i>
    <i r="3">
      <x v="37"/>
      <x v="39"/>
      <x v="611"/>
    </i>
    <i r="3">
      <x v="57"/>
      <x v="11"/>
      <x v="611"/>
    </i>
    <i r="3">
      <x v="58"/>
      <x v="92"/>
      <x v="611"/>
    </i>
    <i r="2">
      <x v="37"/>
      <x v="334"/>
      <x v="1424"/>
      <x v="611"/>
    </i>
    <i r="1">
      <x v="8"/>
      <x v="37"/>
      <x v="334"/>
      <x v="2915"/>
      <x v="611"/>
    </i>
    <i r="1">
      <x v="12"/>
      <x v="1"/>
      <x v="334"/>
      <x v="80"/>
      <x v="611"/>
    </i>
    <i r="4">
      <x v="213"/>
      <x v="611"/>
    </i>
    <i r="4">
      <x v="352"/>
      <x v="611"/>
    </i>
    <i r="4">
      <x v="702"/>
      <x v="611"/>
    </i>
    <i r="1">
      <x v="14"/>
      <x v="37"/>
      <x v="334"/>
      <x v="2684"/>
      <x v="611"/>
    </i>
    <i r="1">
      <x v="15"/>
      <x v="1"/>
      <x v="334"/>
      <x v="80"/>
      <x v="611"/>
    </i>
    <i r="2">
      <x v="33"/>
      <x v="334"/>
      <x v="1647"/>
      <x v="611"/>
    </i>
    <i r="1">
      <x v="19"/>
      <x v="37"/>
      <x v="334"/>
      <x v="539"/>
      <x v="611"/>
    </i>
    <i r="1">
      <x v="23"/>
      <x v="1"/>
      <x v="334"/>
      <x v="109"/>
      <x v="611"/>
    </i>
    <i r="2">
      <x v="37"/>
      <x v="334"/>
      <x v="628"/>
      <x v="611"/>
    </i>
    <i r="1">
      <x v="24"/>
      <x v="10"/>
      <x v="334"/>
      <x/>
      <x v="496"/>
    </i>
    <i r="1">
      <x v="33"/>
      <x v="1"/>
      <x v="334"/>
      <x v="325"/>
      <x v="611"/>
    </i>
    <i r="1">
      <x v="35"/>
      <x v="1"/>
      <x v="334"/>
      <x v="80"/>
      <x v="611"/>
    </i>
    <i>
      <x v="263"/>
      <x/>
      <x v="12"/>
      <x v="15"/>
      <x v="119"/>
      <x v="611"/>
    </i>
    <i r="3">
      <x v="18"/>
      <x v="11"/>
      <x v="611"/>
    </i>
    <i r="3">
      <x v="47"/>
      <x v="314"/>
      <x v="611"/>
    </i>
    <i r="3">
      <x v="60"/>
      <x v="119"/>
      <x v="611"/>
    </i>
    <i>
      <x v="264"/>
      <x/>
      <x v="12"/>
      <x v="18"/>
      <x v="57"/>
      <x v="611"/>
    </i>
    <i>
      <x v="265"/>
      <x/>
      <x v="12"/>
      <x v="18"/>
      <x v="9"/>
      <x v="611"/>
    </i>
    <i r="3">
      <x v="26"/>
      <x v="20"/>
      <x v="611"/>
    </i>
    <i r="3">
      <x v="27"/>
      <x v="11"/>
      <x v="611"/>
    </i>
    <i r="3">
      <x v="42"/>
      <x v="59"/>
      <x v="611"/>
    </i>
    <i r="1">
      <x v="7"/>
      <x v="38"/>
      <x v="329"/>
      <x v="2872"/>
      <x v="611"/>
    </i>
    <i r="1">
      <x v="8"/>
      <x v="37"/>
      <x v="329"/>
      <x v="2920"/>
      <x v="611"/>
    </i>
    <i r="1">
      <x v="12"/>
      <x v="1"/>
      <x v="329"/>
      <x v="80"/>
      <x v="611"/>
    </i>
    <i r="4">
      <x v="213"/>
      <x v="611"/>
    </i>
    <i r="4">
      <x v="352"/>
      <x v="611"/>
    </i>
    <i r="4">
      <x v="607"/>
      <x v="611"/>
    </i>
    <i r="4">
      <x v="846"/>
      <x v="611"/>
    </i>
    <i r="4">
      <x v="911"/>
      <x v="611"/>
    </i>
    <i r="4">
      <x v="964"/>
      <x v="611"/>
    </i>
    <i r="2">
      <x v="37"/>
      <x v="329"/>
      <x v="1265"/>
      <x v="611"/>
    </i>
    <i r="1">
      <x v="15"/>
      <x v="38"/>
      <x v="329"/>
      <x v="1796"/>
      <x v="611"/>
    </i>
    <i r="1">
      <x v="19"/>
      <x v="37"/>
      <x v="329"/>
      <x v="61"/>
      <x v="611"/>
    </i>
    <i r="1">
      <x v="23"/>
      <x v="37"/>
      <x v="329"/>
      <x v="279"/>
      <x v="611"/>
    </i>
    <i r="1">
      <x v="26"/>
      <x v="10"/>
      <x v="329"/>
      <x/>
      <x v="603"/>
    </i>
    <i r="1">
      <x v="27"/>
      <x v="6"/>
      <x v="329"/>
      <x v="3519"/>
      <x v="611"/>
    </i>
    <i r="2">
      <x v="37"/>
      <x v="329"/>
      <x v="109"/>
      <x v="611"/>
    </i>
    <i r="1">
      <x v="35"/>
      <x v="1"/>
      <x v="329"/>
      <x v="80"/>
      <x v="611"/>
    </i>
    <i r="4">
      <x v="213"/>
      <x v="611"/>
    </i>
    <i r="2">
      <x v="37"/>
      <x v="329"/>
      <x v="20"/>
      <x v="611"/>
    </i>
    <i>
      <x v="266"/>
      <x/>
      <x v="12"/>
      <x v="19"/>
      <x v="16"/>
      <x v="611"/>
    </i>
    <i r="3">
      <x v="20"/>
      <x v="61"/>
      <x v="611"/>
    </i>
    <i r="3">
      <x v="21"/>
      <x v="6"/>
      <x v="611"/>
    </i>
    <i r="3">
      <x v="36"/>
      <x v="18"/>
      <x v="611"/>
    </i>
    <i r="3">
      <x v="59"/>
      <x v="6"/>
      <x v="611"/>
    </i>
    <i r="1">
      <x v="5"/>
      <x v="37"/>
      <x v="376"/>
      <x v="2844"/>
      <x v="611"/>
    </i>
    <i r="1">
      <x v="10"/>
      <x v="37"/>
      <x v="376"/>
      <x v="2629"/>
      <x v="611"/>
    </i>
    <i r="1">
      <x v="12"/>
      <x v="1"/>
      <x v="376"/>
      <x v="80"/>
      <x v="611"/>
    </i>
    <i r="4">
      <x v="213"/>
      <x v="611"/>
    </i>
    <i r="4">
      <x v="352"/>
      <x v="611"/>
    </i>
    <i r="1">
      <x v="15"/>
      <x v="6"/>
      <x v="376"/>
      <x v="824"/>
      <x v="611"/>
    </i>
    <i r="1">
      <x v="17"/>
      <x v="7"/>
      <x v="376"/>
      <x/>
      <x v="284"/>
    </i>
    <i r="1">
      <x v="23"/>
      <x v="37"/>
      <x v="376"/>
      <x v="2769"/>
      <x v="611"/>
    </i>
    <i r="1">
      <x v="26"/>
      <x v="1"/>
      <x v="376"/>
      <x v="765"/>
      <x v="611"/>
    </i>
    <i r="1">
      <x v="35"/>
      <x v="1"/>
      <x v="376"/>
      <x v="80"/>
      <x v="611"/>
    </i>
    <i r="1">
      <x v="36"/>
      <x v="1"/>
      <x v="376"/>
      <x v="3042"/>
      <x v="611"/>
    </i>
    <i r="2">
      <x v="6"/>
      <x v="376"/>
      <x v="12"/>
      <x v="611"/>
    </i>
    <i r="2">
      <x v="33"/>
      <x v="376"/>
      <x v="3180"/>
      <x v="611"/>
    </i>
    <i r="2">
      <x v="37"/>
      <x v="376"/>
      <x v="207"/>
      <x v="611"/>
    </i>
    <i r="1">
      <x v="37"/>
      <x v="7"/>
      <x v="376"/>
      <x v="3186"/>
      <x v="611"/>
    </i>
    <i>
      <x v="267"/>
      <x/>
      <x v="6"/>
      <x v="394"/>
      <x v="3312"/>
      <x v="611"/>
    </i>
    <i r="2">
      <x v="12"/>
      <x v="19"/>
      <x v="25"/>
      <x v="611"/>
    </i>
    <i r="3">
      <x v="32"/>
      <x v="391"/>
      <x v="611"/>
    </i>
    <i r="3">
      <x v="45"/>
      <x v="85"/>
      <x v="611"/>
    </i>
    <i r="1">
      <x v="12"/>
      <x v="1"/>
      <x v="394"/>
      <x v="80"/>
      <x v="611"/>
    </i>
    <i r="4">
      <x v="213"/>
      <x v="611"/>
    </i>
    <i r="4">
      <x v="352"/>
      <x v="611"/>
    </i>
    <i r="4">
      <x v="607"/>
      <x v="611"/>
    </i>
    <i r="4">
      <x v="846"/>
      <x v="611"/>
    </i>
    <i r="4">
      <x v="1069"/>
      <x v="611"/>
    </i>
    <i r="1">
      <x v="15"/>
      <x v="1"/>
      <x v="394"/>
      <x v="3018"/>
      <x v="611"/>
    </i>
    <i r="2">
      <x v="37"/>
      <x v="394"/>
      <x v="2651"/>
      <x v="611"/>
    </i>
    <i r="1">
      <x v="17"/>
      <x v="6"/>
      <x v="394"/>
      <x v="3434"/>
      <x v="611"/>
    </i>
    <i r="1">
      <x v="23"/>
      <x v="37"/>
      <x v="394"/>
      <x v="2789"/>
      <x v="611"/>
    </i>
    <i r="1">
      <x v="36"/>
      <x v="1"/>
      <x v="394"/>
      <x v="2309"/>
      <x v="611"/>
    </i>
    <i>
      <x v="268"/>
      <x/>
      <x v="7"/>
      <x v="409"/>
      <x v="607"/>
      <x v="611"/>
    </i>
    <i r="4">
      <x v="3161"/>
      <x v="611"/>
    </i>
    <i r="2">
      <x v="9"/>
      <x v="409"/>
      <x v="883"/>
      <x v="611"/>
    </i>
    <i r="4">
      <x v="1069"/>
      <x v="611"/>
    </i>
    <i r="4">
      <x v="3267"/>
      <x v="611"/>
    </i>
    <i r="4">
      <x v="3307"/>
      <x v="611"/>
    </i>
    <i r="4">
      <x v="3352"/>
      <x v="611"/>
    </i>
    <i r="4">
      <x v="3357"/>
      <x v="611"/>
    </i>
    <i r="4">
      <x v="3396"/>
      <x v="611"/>
    </i>
    <i r="4">
      <x v="3407"/>
      <x v="611"/>
    </i>
    <i r="4">
      <x v="3543"/>
      <x v="611"/>
    </i>
    <i r="4">
      <x v="3548"/>
      <x v="611"/>
    </i>
    <i r="2">
      <x v="12"/>
      <x v="8"/>
      <x v="219"/>
      <x v="611"/>
    </i>
    <i r="3">
      <x v="19"/>
      <x v="8"/>
      <x v="611"/>
    </i>
    <i r="1">
      <x v="2"/>
      <x v="1"/>
      <x v="409"/>
      <x v="3081"/>
      <x v="611"/>
    </i>
    <i r="1">
      <x v="6"/>
      <x v="37"/>
      <x v="409"/>
      <x v="2888"/>
      <x v="611"/>
    </i>
    <i r="1">
      <x v="7"/>
      <x v="8"/>
      <x v="409"/>
      <x v="3124"/>
      <x v="611"/>
    </i>
    <i r="2">
      <x v="9"/>
      <x v="409"/>
      <x v="3506"/>
      <x v="611"/>
    </i>
    <i r="1">
      <x v="10"/>
      <x v="6"/>
      <x v="409"/>
      <x v="3421"/>
      <x v="611"/>
    </i>
    <i r="1">
      <x v="11"/>
      <x v="6"/>
      <x v="409"/>
      <x v="1020"/>
      <x v="611"/>
    </i>
    <i r="2">
      <x v="8"/>
      <x v="409"/>
      <x v="3105"/>
      <x v="611"/>
    </i>
    <i r="2">
      <x v="9"/>
      <x v="409"/>
      <x v="3502"/>
      <x v="611"/>
    </i>
    <i r="2">
      <x v="10"/>
      <x v="409"/>
      <x/>
      <x v="372"/>
    </i>
    <i r="1">
      <x v="12"/>
      <x v="1"/>
      <x v="409"/>
      <x v="80"/>
      <x v="611"/>
    </i>
    <i r="4">
      <x v="352"/>
      <x v="611"/>
    </i>
    <i r="4">
      <x v="607"/>
      <x v="611"/>
    </i>
    <i r="1">
      <x v="14"/>
      <x v="1"/>
      <x v="409"/>
      <x v="3032"/>
      <x v="611"/>
    </i>
    <i r="2">
      <x v="37"/>
      <x v="409"/>
      <x v="405"/>
      <x v="611"/>
    </i>
    <i r="1">
      <x v="15"/>
      <x v="6"/>
      <x v="409"/>
      <x v="3427"/>
      <x v="611"/>
    </i>
    <i r="2">
      <x v="8"/>
      <x v="409"/>
      <x v="3022"/>
      <x v="611"/>
    </i>
    <i r="1">
      <x v="16"/>
      <x v="6"/>
      <x v="409"/>
      <x v="3411"/>
      <x v="611"/>
    </i>
    <i r="1">
      <x v="25"/>
      <x v="9"/>
      <x v="409"/>
      <x v="3477"/>
      <x v="611"/>
    </i>
    <i r="1">
      <x v="29"/>
      <x v="1"/>
      <x v="409"/>
      <x v="607"/>
      <x v="611"/>
    </i>
    <i r="1">
      <x v="33"/>
      <x v="9"/>
      <x v="409"/>
      <x v="3499"/>
      <x v="611"/>
    </i>
    <i r="1">
      <x v="35"/>
      <x v="1"/>
      <x v="409"/>
      <x v="80"/>
      <x v="611"/>
    </i>
    <i r="1">
      <x v="36"/>
      <x v="9"/>
      <x v="409"/>
      <x v="2613"/>
      <x v="611"/>
    </i>
    <i>
      <x v="269"/>
      <x/>
      <x v="10"/>
      <x v="340"/>
      <x/>
      <x v="569"/>
    </i>
    <i r="2">
      <x v="12"/>
      <x v="23"/>
      <x v="137"/>
      <x v="611"/>
    </i>
    <i r="3">
      <x v="34"/>
      <x v="199"/>
      <x v="611"/>
    </i>
    <i r="3">
      <x v="57"/>
      <x v="6"/>
      <x v="611"/>
    </i>
    <i r="3">
      <x v="58"/>
      <x v="2597"/>
      <x v="611"/>
    </i>
    <i r="1">
      <x v="2"/>
      <x v="1"/>
      <x v="340"/>
      <x v="3070"/>
      <x v="611"/>
    </i>
    <i r="1">
      <x v="8"/>
      <x v="1"/>
      <x v="340"/>
      <x v="3128"/>
      <x v="611"/>
    </i>
    <i r="2">
      <x v="37"/>
      <x v="340"/>
      <x v="2906"/>
      <x v="611"/>
    </i>
    <i r="1">
      <x v="12"/>
      <x v="1"/>
      <x v="340"/>
      <x v="80"/>
      <x v="611"/>
    </i>
    <i r="4">
      <x v="213"/>
      <x v="611"/>
    </i>
    <i r="4">
      <x v="500"/>
      <x v="611"/>
    </i>
    <i r="1">
      <x v="23"/>
      <x v="37"/>
      <x v="340"/>
      <x v="2775"/>
      <x v="611"/>
    </i>
    <i r="1">
      <x v="35"/>
      <x v="1"/>
      <x v="340"/>
      <x v="80"/>
      <x v="611"/>
    </i>
    <i>
      <x v="270"/>
      <x/>
      <x v="1"/>
      <x v="309"/>
      <x v="80"/>
      <x v="611"/>
    </i>
    <i r="2">
      <x v="12"/>
      <x v="15"/>
      <x v="119"/>
      <x v="611"/>
    </i>
    <i r="3">
      <x v="23"/>
      <x v="46"/>
      <x v="611"/>
    </i>
    <i r="3">
      <x v="33"/>
      <x v="18"/>
      <x v="611"/>
    </i>
    <i r="3">
      <x v="49"/>
      <x v="20"/>
      <x v="611"/>
    </i>
    <i r="2">
      <x v="37"/>
      <x v="309"/>
      <x v="2568"/>
      <x v="611"/>
    </i>
    <i r="4">
      <x v="2659"/>
      <x v="611"/>
    </i>
    <i r="1">
      <x v="3"/>
      <x v="37"/>
      <x v="309"/>
      <x v="897"/>
      <x v="611"/>
    </i>
    <i r="1">
      <x v="5"/>
      <x v="37"/>
      <x v="309"/>
      <x v="2851"/>
      <x v="611"/>
    </i>
    <i r="1">
      <x v="8"/>
      <x v="37"/>
      <x v="309"/>
      <x v="2914"/>
      <x v="611"/>
    </i>
    <i r="1">
      <x v="12"/>
      <x v="1"/>
      <x v="309"/>
      <x v="213"/>
      <x v="611"/>
    </i>
    <i r="4">
      <x v="500"/>
      <x v="611"/>
    </i>
    <i r="4">
      <x v="607"/>
      <x v="611"/>
    </i>
    <i r="1">
      <x v="14"/>
      <x v="1"/>
      <x v="309"/>
      <x v="3027"/>
      <x v="611"/>
    </i>
    <i r="1">
      <x v="15"/>
      <x v="37"/>
      <x v="309"/>
      <x v="2647"/>
      <x v="611"/>
    </i>
    <i r="1">
      <x v="35"/>
      <x v="1"/>
      <x v="309"/>
      <x v="80"/>
      <x v="611"/>
    </i>
    <i>
      <x v="271"/>
      <x/>
      <x v="1"/>
      <x v="418"/>
      <x v="80"/>
      <x v="611"/>
    </i>
    <i r="2">
      <x v="6"/>
      <x v="418"/>
      <x v="1319"/>
      <x v="611"/>
    </i>
    <i r="4">
      <x v="3394"/>
      <x v="611"/>
    </i>
    <i r="4">
      <x v="3406"/>
      <x v="611"/>
    </i>
    <i r="2">
      <x v="7"/>
      <x v="418"/>
      <x v="2967"/>
      <x v="611"/>
    </i>
    <i r="4">
      <x v="3160"/>
      <x v="611"/>
    </i>
    <i r="2">
      <x v="8"/>
      <x v="418"/>
      <x v="559"/>
      <x v="611"/>
    </i>
    <i r="4">
      <x v="2961"/>
      <x v="611"/>
    </i>
    <i r="2">
      <x v="9"/>
      <x v="418"/>
      <x v="654"/>
      <x v="611"/>
    </i>
    <i r="4">
      <x v="933"/>
      <x v="611"/>
    </i>
    <i r="2">
      <x v="12"/>
      <x v="23"/>
      <x v="11"/>
      <x v="611"/>
    </i>
    <i r="3">
      <x v="25"/>
      <x v="109"/>
      <x v="611"/>
    </i>
    <i r="3">
      <x v="50"/>
      <x v="352"/>
      <x v="611"/>
    </i>
    <i r="1">
      <x v="3"/>
      <x v="37"/>
      <x v="418"/>
      <x v="193"/>
      <x v="611"/>
    </i>
    <i r="1">
      <x v="9"/>
      <x v="9"/>
      <x v="418"/>
      <x v="3409"/>
      <x v="611"/>
    </i>
    <i r="1">
      <x v="11"/>
      <x v="37"/>
      <x v="418"/>
      <x v="2837"/>
      <x v="611"/>
    </i>
    <i r="1">
      <x v="12"/>
      <x v="1"/>
      <x v="418"/>
      <x v="80"/>
      <x v="611"/>
    </i>
    <i r="4">
      <x v="213"/>
      <x v="611"/>
    </i>
    <i r="4">
      <x v="846"/>
      <x v="611"/>
    </i>
    <i r="4">
      <x v="911"/>
      <x v="611"/>
    </i>
    <i r="1">
      <x v="15"/>
      <x v="7"/>
      <x v="418"/>
      <x v="3040"/>
      <x v="611"/>
    </i>
    <i r="1">
      <x v="16"/>
      <x v="6"/>
      <x v="418"/>
      <x v="3410"/>
      <x v="611"/>
    </i>
    <i r="1">
      <x v="17"/>
      <x v="9"/>
      <x v="418"/>
      <x/>
      <x v="206"/>
    </i>
    <i r="1">
      <x v="23"/>
      <x v="37"/>
      <x v="418"/>
      <x v="118"/>
      <x v="611"/>
    </i>
    <i r="1">
      <x v="33"/>
      <x v="10"/>
      <x v="418"/>
      <x v="2817"/>
      <x v="611"/>
    </i>
    <i r="1">
      <x v="35"/>
      <x v="1"/>
      <x v="418"/>
      <x v="80"/>
      <x v="611"/>
    </i>
    <i r="1">
      <x v="37"/>
      <x v="9"/>
      <x v="418"/>
      <x v="3431"/>
      <x v="611"/>
    </i>
    <i>
      <x v="272"/>
      <x/>
      <x v="1"/>
      <x v="352"/>
      <x v="80"/>
      <x v="611"/>
    </i>
    <i r="4">
      <x v="213"/>
      <x v="611"/>
    </i>
    <i r="2">
      <x v="8"/>
      <x v="352"/>
      <x v="390"/>
      <x v="611"/>
    </i>
    <i r="4">
      <x v="1069"/>
      <x v="611"/>
    </i>
    <i r="4">
      <x v="2972"/>
      <x v="611"/>
    </i>
    <i r="2">
      <x v="9"/>
      <x v="352"/>
      <x v="443"/>
      <x v="611"/>
    </i>
    <i r="4">
      <x v="700"/>
      <x v="611"/>
    </i>
    <i r="4">
      <x v="2811"/>
      <x v="611"/>
    </i>
    <i r="4">
      <x v="2856"/>
      <x v="611"/>
    </i>
    <i r="4">
      <x v="3214"/>
      <x v="611"/>
    </i>
    <i r="4">
      <x v="3282"/>
      <x v="611"/>
    </i>
    <i r="2">
      <x v="12"/>
      <x v="24"/>
      <x v="24"/>
      <x v="611"/>
    </i>
    <i r="3">
      <x v="29"/>
      <x v="25"/>
      <x v="611"/>
    </i>
    <i r="3">
      <x v="57"/>
      <x v="9"/>
      <x v="611"/>
    </i>
    <i r="1">
      <x v="7"/>
      <x v="7"/>
      <x v="352"/>
      <x v="3194"/>
      <x v="611"/>
    </i>
    <i r="1">
      <x v="8"/>
      <x v="8"/>
      <x v="352"/>
      <x v="3126"/>
      <x v="611"/>
    </i>
    <i r="1">
      <x v="9"/>
      <x v="10"/>
      <x v="352"/>
      <x v="2603"/>
      <x v="611"/>
    </i>
    <i r="1">
      <x v="12"/>
      <x v="1"/>
      <x v="352"/>
      <x v="80"/>
      <x v="611"/>
    </i>
    <i r="4">
      <x v="846"/>
      <x v="611"/>
    </i>
    <i r="1">
      <x v="19"/>
      <x v="10"/>
      <x v="352"/>
      <x v="2737"/>
      <x v="611"/>
    </i>
    <i r="2">
      <x v="37"/>
      <x v="352"/>
      <x v="2736"/>
      <x v="611"/>
    </i>
    <i r="1">
      <x v="23"/>
      <x v="37"/>
      <x v="352"/>
      <x v="2766"/>
      <x v="611"/>
    </i>
    <i r="1">
      <x v="35"/>
      <x v="1"/>
      <x v="352"/>
      <x v="80"/>
      <x v="611"/>
    </i>
    <i>
      <x v="273"/>
      <x/>
      <x v="12"/>
      <x v="25"/>
      <x v="418"/>
      <x v="611"/>
    </i>
    <i r="1">
      <x v="15"/>
      <x v="37"/>
      <x v="384"/>
      <x v="579"/>
      <x v="611"/>
    </i>
    <i>
      <x v="274"/>
      <x/>
      <x v="12"/>
      <x v="25"/>
      <x v="85"/>
      <x v="611"/>
    </i>
    <i r="1">
      <x v="14"/>
      <x v="37"/>
      <x v="407"/>
      <x v="109"/>
      <x v="611"/>
    </i>
    <i r="1">
      <x v="34"/>
      <x v="37"/>
      <x v="407"/>
      <x v="2925"/>
      <x v="611"/>
    </i>
    <i r="1">
      <x v="36"/>
      <x v="1"/>
      <x v="407"/>
      <x v="348"/>
      <x v="611"/>
    </i>
    <i>
      <x v="275"/>
      <x/>
      <x v="12"/>
      <x v="25"/>
      <x v="469"/>
      <x v="611"/>
    </i>
    <i>
      <x v="276"/>
      <x/>
      <x v="6"/>
      <x v="434"/>
      <x v="3208"/>
      <x v="611"/>
    </i>
    <i r="2">
      <x v="12"/>
      <x v="26"/>
      <x v="25"/>
      <x v="611"/>
    </i>
    <i r="2">
      <x v="37"/>
      <x v="434"/>
      <x v="469"/>
      <x v="611"/>
    </i>
    <i r="1">
      <x v="8"/>
      <x v="37"/>
      <x v="434"/>
      <x v="2892"/>
      <x v="611"/>
    </i>
    <i r="1">
      <x v="12"/>
      <x v="1"/>
      <x v="434"/>
      <x v="80"/>
      <x v="611"/>
    </i>
    <i r="4">
      <x v="213"/>
      <x v="611"/>
    </i>
    <i r="4">
      <x v="352"/>
      <x v="611"/>
    </i>
    <i r="4">
      <x v="702"/>
      <x v="611"/>
    </i>
    <i r="4">
      <x v="771"/>
      <x v="611"/>
    </i>
    <i r="1">
      <x v="19"/>
      <x v="6"/>
      <x v="434"/>
      <x v="2562"/>
      <x v="611"/>
    </i>
    <i r="1">
      <x v="35"/>
      <x v="1"/>
      <x v="434"/>
      <x v="80"/>
      <x v="611"/>
    </i>
    <i r="1">
      <x v="36"/>
      <x v="1"/>
      <x v="434"/>
      <x v="517"/>
      <x v="611"/>
    </i>
    <i>
      <x v="277"/>
      <x/>
      <x v="6"/>
      <x v="369"/>
      <x v="3234"/>
      <x v="611"/>
    </i>
    <i r="2">
      <x v="8"/>
      <x v="369"/>
      <x v="1141"/>
      <x v="611"/>
    </i>
    <i r="4">
      <x v="2951"/>
      <x v="611"/>
    </i>
    <i r="2">
      <x v="9"/>
      <x v="369"/>
      <x v="855"/>
      <x v="611"/>
    </i>
    <i r="4">
      <x v="2101"/>
      <x v="611"/>
    </i>
    <i r="4">
      <x v="3226"/>
      <x v="611"/>
    </i>
    <i r="4">
      <x v="3281"/>
      <x v="611"/>
    </i>
    <i r="4">
      <x v="3359"/>
      <x v="611"/>
    </i>
    <i r="4">
      <x v="3398"/>
      <x v="611"/>
    </i>
    <i r="4">
      <x v="3562"/>
      <x v="611"/>
    </i>
    <i r="2">
      <x v="12"/>
      <x v="16"/>
      <x v="551"/>
      <x v="611"/>
    </i>
    <i r="3">
      <x v="26"/>
      <x v="25"/>
      <x v="611"/>
    </i>
    <i r="3">
      <x v="27"/>
      <x v="556"/>
      <x v="611"/>
    </i>
    <i r="3">
      <x v="61"/>
      <x v="9"/>
      <x v="611"/>
    </i>
    <i r="3">
      <x v="64"/>
      <x v="9"/>
      <x v="611"/>
    </i>
    <i r="3">
      <x v="68"/>
      <x v="6"/>
      <x v="611"/>
    </i>
    <i r="1">
      <x v="5"/>
      <x v="7"/>
      <x v="369"/>
      <x v="910"/>
      <x v="611"/>
    </i>
    <i r="1">
      <x v="6"/>
      <x v="37"/>
      <x v="369"/>
      <x v="2873"/>
      <x v="611"/>
    </i>
    <i r="1">
      <x v="7"/>
      <x v="6"/>
      <x v="369"/>
      <x v="278"/>
      <x v="611"/>
    </i>
    <i r="1">
      <x v="12"/>
      <x v="1"/>
      <x v="369"/>
      <x v="80"/>
      <x v="611"/>
    </i>
    <i r="4">
      <x v="500"/>
      <x v="611"/>
    </i>
    <i r="1">
      <x v="14"/>
      <x v="37"/>
      <x v="369"/>
      <x v="2676"/>
      <x v="611"/>
    </i>
    <i r="1">
      <x v="16"/>
      <x v="37"/>
      <x v="369"/>
      <x v="39"/>
      <x v="611"/>
    </i>
    <i r="1">
      <x v="23"/>
      <x v="37"/>
      <x v="369"/>
      <x v="2761"/>
      <x v="611"/>
    </i>
    <i r="1">
      <x v="24"/>
      <x v="1"/>
      <x v="369"/>
      <x v="109"/>
      <x v="611"/>
    </i>
    <i r="2">
      <x v="37"/>
      <x v="369"/>
      <x v="138"/>
      <x v="611"/>
    </i>
    <i r="1">
      <x v="35"/>
      <x v="1"/>
      <x v="369"/>
      <x v="80"/>
      <x v="611"/>
    </i>
    <i r="4">
      <x v="213"/>
      <x v="611"/>
    </i>
    <i r="1">
      <x v="36"/>
      <x v="7"/>
      <x v="369"/>
      <x v="2620"/>
      <x v="611"/>
    </i>
    <i r="2">
      <x v="9"/>
      <x v="369"/>
      <x v="3444"/>
      <x v="611"/>
    </i>
    <i>
      <x v="278"/>
      <x/>
      <x v="6"/>
      <x v="301"/>
      <x v="3332"/>
      <x v="611"/>
    </i>
    <i r="2">
      <x v="8"/>
      <x v="301"/>
      <x v="83"/>
      <x v="611"/>
    </i>
    <i r="4">
      <x v="2980"/>
      <x v="611"/>
    </i>
    <i r="4">
      <x v="3142"/>
      <x v="611"/>
    </i>
    <i r="2">
      <x v="9"/>
      <x v="301"/>
      <x v="363"/>
      <x v="611"/>
    </i>
    <i r="4">
      <x v="517"/>
      <x v="611"/>
    </i>
    <i r="4">
      <x v="3202"/>
      <x v="611"/>
    </i>
    <i r="4">
      <x v="3242"/>
      <x v="611"/>
    </i>
    <i r="4">
      <x v="3249"/>
      <x v="611"/>
    </i>
    <i r="4">
      <x v="3251"/>
      <x v="611"/>
    </i>
    <i r="4">
      <x v="3289"/>
      <x v="611"/>
    </i>
    <i r="4">
      <x v="3371"/>
      <x v="611"/>
    </i>
    <i r="2">
      <x v="12"/>
      <x v="4"/>
      <x v="138"/>
      <x v="611"/>
    </i>
    <i r="3">
      <x v="26"/>
      <x v="70"/>
      <x v="611"/>
    </i>
    <i r="3">
      <x v="37"/>
      <x v="32"/>
      <x v="611"/>
    </i>
    <i r="3">
      <x v="60"/>
      <x v="90"/>
      <x v="611"/>
    </i>
    <i r="2">
      <x v="33"/>
      <x v="301"/>
      <x v="125"/>
      <x v="611"/>
    </i>
    <i r="2">
      <x v="38"/>
      <x v="301"/>
      <x v="1335"/>
      <x v="611"/>
    </i>
    <i r="1">
      <x v="3"/>
      <x v="37"/>
      <x v="301"/>
      <x v="109"/>
      <x v="611"/>
    </i>
    <i r="2">
      <x v="38"/>
      <x v="301"/>
      <x v="2636"/>
      <x v="611"/>
    </i>
    <i r="1">
      <x v="4"/>
      <x v="38"/>
      <x v="301"/>
      <x v="2661"/>
      <x v="611"/>
    </i>
    <i r="1">
      <x v="5"/>
      <x v="8"/>
      <x v="301"/>
      <x v="3109"/>
      <x v="611"/>
    </i>
    <i r="2">
      <x v="38"/>
      <x v="301"/>
      <x v="2845"/>
      <x v="611"/>
    </i>
    <i r="1">
      <x v="8"/>
      <x v="37"/>
      <x v="301"/>
      <x v="2903"/>
      <x v="611"/>
    </i>
    <i r="2">
      <x v="38"/>
      <x v="301"/>
      <x v="2902"/>
      <x v="611"/>
    </i>
    <i r="1">
      <x v="11"/>
      <x v="38"/>
      <x v="301"/>
      <x v="2827"/>
      <x v="611"/>
    </i>
    <i r="1">
      <x v="12"/>
      <x v="1"/>
      <x v="301"/>
      <x v="213"/>
      <x v="611"/>
    </i>
    <i r="4">
      <x v="702"/>
      <x v="611"/>
    </i>
    <i r="4">
      <x v="911"/>
      <x v="611"/>
    </i>
    <i r="4">
      <x v="964"/>
      <x v="611"/>
    </i>
    <i r="4">
      <x v="1141"/>
      <x v="611"/>
    </i>
    <i r="2">
      <x v="37"/>
      <x v="301"/>
      <x v="1192"/>
      <x v="611"/>
    </i>
    <i r="1">
      <x v="15"/>
      <x v="38"/>
      <x v="301"/>
      <x v="2638"/>
      <x v="611"/>
    </i>
    <i r="1">
      <x v="17"/>
      <x v="10"/>
      <x v="301"/>
      <x v="2669"/>
      <x v="611"/>
    </i>
    <i r="1">
      <x v="23"/>
      <x v="1"/>
      <x v="301"/>
      <x v="278"/>
      <x v="611"/>
    </i>
    <i r="2">
      <x v="9"/>
      <x v="301"/>
      <x v="3487"/>
      <x v="611"/>
    </i>
    <i r="2">
      <x v="37"/>
      <x v="301"/>
      <x v="109"/>
      <x v="611"/>
    </i>
    <i r="1">
      <x v="24"/>
      <x v="1"/>
      <x v="301"/>
      <x v="109"/>
      <x v="611"/>
    </i>
    <i r="2">
      <x v="37"/>
      <x v="301"/>
      <x v="138"/>
      <x v="611"/>
    </i>
    <i r="1">
      <x v="28"/>
      <x v="8"/>
      <x v="301"/>
      <x v="3005"/>
      <x v="611"/>
    </i>
    <i r="1">
      <x v="35"/>
      <x v="1"/>
      <x v="301"/>
      <x v="80"/>
      <x v="611"/>
    </i>
    <i r="4">
      <x v="213"/>
      <x v="611"/>
    </i>
    <i>
      <x v="279"/>
      <x/>
      <x v="12"/>
      <x v="26"/>
      <x v="20"/>
      <x v="611"/>
    </i>
    <i r="3">
      <x v="32"/>
      <x v="1114"/>
      <x v="611"/>
    </i>
    <i r="1">
      <x v="3"/>
      <x v="37"/>
      <x v="419"/>
      <x v="109"/>
      <x v="611"/>
    </i>
    <i r="1">
      <x v="12"/>
      <x v="1"/>
      <x v="419"/>
      <x v="213"/>
      <x v="611"/>
    </i>
    <i r="4">
      <x v="352"/>
      <x v="611"/>
    </i>
    <i r="4">
      <x v="500"/>
      <x v="611"/>
    </i>
    <i r="4">
      <x v="607"/>
      <x v="611"/>
    </i>
    <i r="1">
      <x v="35"/>
      <x v="1"/>
      <x v="419"/>
      <x v="80"/>
      <x v="611"/>
    </i>
    <i>
      <x v="280"/>
      <x/>
      <x v="12"/>
      <x v="27"/>
      <x v="92"/>
      <x v="611"/>
    </i>
    <i r="3">
      <x v="50"/>
      <x v="248"/>
      <x v="611"/>
    </i>
    <i r="1">
      <x v="3"/>
      <x v="37"/>
      <x v="382"/>
      <x v="2704"/>
      <x v="611"/>
    </i>
    <i r="1">
      <x v="5"/>
      <x v="38"/>
      <x v="382"/>
      <x v="2839"/>
      <x v="611"/>
    </i>
    <i r="1">
      <x v="8"/>
      <x v="37"/>
      <x v="382"/>
      <x v="2895"/>
      <x v="611"/>
    </i>
    <i r="1">
      <x v="11"/>
      <x v="37"/>
      <x v="382"/>
      <x v="1321"/>
      <x v="611"/>
    </i>
    <i r="1">
      <x v="12"/>
      <x v="1"/>
      <x v="382"/>
      <x v="80"/>
      <x v="611"/>
    </i>
    <i r="4">
      <x v="352"/>
      <x v="611"/>
    </i>
    <i r="4">
      <x v="500"/>
      <x v="611"/>
    </i>
    <i r="1">
      <x v="15"/>
      <x v="38"/>
      <x v="382"/>
      <x v="2635"/>
      <x v="611"/>
    </i>
    <i r="1">
      <x v="19"/>
      <x v="6"/>
      <x v="382"/>
      <x v="3478"/>
      <x v="611"/>
    </i>
    <i r="1">
      <x v="27"/>
      <x v="37"/>
      <x v="382"/>
      <x v="179"/>
      <x v="611"/>
    </i>
    <i r="2">
      <x v="38"/>
      <x v="382"/>
      <x v="1007"/>
      <x v="611"/>
    </i>
    <i r="1">
      <x v="35"/>
      <x v="1"/>
      <x v="382"/>
      <x v="80"/>
      <x v="611"/>
    </i>
    <i r="1">
      <x v="37"/>
      <x v="37"/>
      <x v="382"/>
      <x v="2743"/>
      <x v="611"/>
    </i>
    <i>
      <x v="281"/>
      <x/>
      <x v="6"/>
      <x v="311"/>
      <x v="314"/>
      <x v="611"/>
    </i>
    <i r="4">
      <x v="3316"/>
      <x v="611"/>
    </i>
    <i r="2">
      <x v="12"/>
      <x v="21"/>
      <x v="16"/>
      <x v="611"/>
    </i>
    <i r="3">
      <x v="27"/>
      <x v="9"/>
      <x v="611"/>
    </i>
    <i r="3">
      <x v="49"/>
      <x v="25"/>
      <x v="611"/>
    </i>
    <i r="3">
      <x v="60"/>
      <x v="32"/>
      <x v="611"/>
    </i>
    <i r="1">
      <x v="2"/>
      <x v="1"/>
      <x v="311"/>
      <x v="3065"/>
      <x v="611"/>
    </i>
    <i r="1">
      <x v="6"/>
      <x v="37"/>
      <x v="311"/>
      <x v="991"/>
      <x v="611"/>
    </i>
    <i r="1">
      <x v="8"/>
      <x v="37"/>
      <x v="311"/>
      <x v="2896"/>
      <x v="611"/>
    </i>
    <i r="1">
      <x v="12"/>
      <x v="1"/>
      <x v="311"/>
      <x v="80"/>
      <x v="611"/>
    </i>
    <i r="4">
      <x v="213"/>
      <x v="611"/>
    </i>
    <i r="4">
      <x v="702"/>
      <x v="611"/>
    </i>
    <i r="2">
      <x v="37"/>
      <x v="311"/>
      <x v="592"/>
      <x v="611"/>
    </i>
    <i r="4">
      <x v="1528"/>
      <x v="611"/>
    </i>
    <i r="1">
      <x v="19"/>
      <x v="37"/>
      <x v="311"/>
      <x v="2734"/>
      <x v="611"/>
    </i>
    <i r="1">
      <x v="24"/>
      <x v="6"/>
      <x v="311"/>
      <x v="3412"/>
      <x v="611"/>
    </i>
    <i r="2">
      <x v="37"/>
      <x v="311"/>
      <x v="2624"/>
      <x v="611"/>
    </i>
    <i r="1">
      <x v="27"/>
      <x v="1"/>
      <x v="311"/>
      <x v="109"/>
      <x v="611"/>
    </i>
    <i r="2">
      <x v="37"/>
      <x v="311"/>
      <x v="109"/>
      <x v="611"/>
    </i>
    <i r="1">
      <x v="35"/>
      <x v="37"/>
      <x v="311"/>
      <x v="1343"/>
      <x v="611"/>
    </i>
    <i r="4">
      <x v="2592"/>
      <x v="611"/>
    </i>
    <i>
      <x v="282"/>
      <x/>
      <x v="6"/>
      <x v="420"/>
      <x v="3341"/>
      <x v="611"/>
    </i>
    <i r="2">
      <x v="12"/>
      <x v="62"/>
      <x v="2600"/>
      <x v="611"/>
    </i>
    <i r="1">
      <x v="11"/>
      <x v="1"/>
      <x v="420"/>
      <x v="3096"/>
      <x v="611"/>
    </i>
    <i r="2">
      <x v="37"/>
      <x v="420"/>
      <x v="2819"/>
      <x v="611"/>
    </i>
    <i r="1">
      <x v="12"/>
      <x v="1"/>
      <x v="420"/>
      <x v="80"/>
      <x v="611"/>
    </i>
    <i r="4">
      <x v="352"/>
      <x v="611"/>
    </i>
    <i r="4">
      <x v="911"/>
      <x v="611"/>
    </i>
    <i r="2">
      <x v="60"/>
      <x v="297"/>
      <x/>
      <x v="598"/>
    </i>
    <i r="1">
      <x v="19"/>
      <x v="10"/>
      <x v="420"/>
      <x/>
      <x v="91"/>
    </i>
    <i r="1">
      <x v="35"/>
      <x v="1"/>
      <x v="420"/>
      <x v="80"/>
      <x v="611"/>
    </i>
    <i r="4">
      <x v="213"/>
      <x v="611"/>
    </i>
    <i r="1">
      <x v="36"/>
      <x v="1"/>
      <x v="420"/>
      <x v="701"/>
      <x v="611"/>
    </i>
    <i>
      <x v="283"/>
      <x/>
      <x v="12"/>
      <x v="21"/>
      <x v="69"/>
      <x v="611"/>
    </i>
    <i r="3">
      <x v="28"/>
      <x v="2563"/>
      <x v="611"/>
    </i>
    <i r="3">
      <x v="29"/>
      <x v="25"/>
      <x v="611"/>
    </i>
    <i r="3">
      <x v="58"/>
      <x v="6"/>
      <x v="611"/>
    </i>
    <i r="2">
      <x v="37"/>
      <x v="322"/>
      <x v="2574"/>
      <x v="611"/>
    </i>
    <i r="1">
      <x v="2"/>
      <x v="37"/>
      <x v="322"/>
      <x v="39"/>
      <x v="611"/>
    </i>
    <i r="1">
      <x v="3"/>
      <x v="37"/>
      <x v="322"/>
      <x v="469"/>
      <x v="611"/>
    </i>
    <i r="1">
      <x v="12"/>
      <x v="1"/>
      <x v="322"/>
      <x v="80"/>
      <x v="611"/>
    </i>
    <i r="4">
      <x v="213"/>
      <x v="611"/>
    </i>
    <i r="4">
      <x v="352"/>
      <x v="611"/>
    </i>
    <i r="2">
      <x v="67"/>
      <x v="322"/>
      <x v="80"/>
      <x v="611"/>
    </i>
    <i r="1">
      <x v="23"/>
      <x v="37"/>
      <x v="322"/>
      <x v="2767"/>
      <x v="611"/>
    </i>
    <i r="1">
      <x v="26"/>
      <x v="8"/>
      <x v="322"/>
      <x/>
      <x v="603"/>
    </i>
    <i r="2">
      <x v="37"/>
      <x v="322"/>
      <x v="2612"/>
      <x v="611"/>
    </i>
    <i r="1">
      <x v="35"/>
      <x v="1"/>
      <x v="322"/>
      <x v="80"/>
      <x v="611"/>
    </i>
    <i r="1">
      <x v="36"/>
      <x v="1"/>
      <x v="322"/>
      <x v="136"/>
      <x v="611"/>
    </i>
    <i r="1">
      <x v="40"/>
      <x v="6"/>
      <x v="322"/>
      <x v="3458"/>
      <x v="611"/>
    </i>
    <i>
      <x v="284"/>
      <x/>
      <x v="1"/>
      <x v="312"/>
      <x v="80"/>
      <x v="611"/>
    </i>
    <i r="2">
      <x v="6"/>
      <x v="312"/>
      <x v="3402"/>
      <x v="611"/>
    </i>
    <i r="2">
      <x v="8"/>
      <x v="312"/>
      <x v="1141"/>
      <x v="611"/>
    </i>
    <i r="2">
      <x v="12"/>
      <x v="6"/>
      <x v="32"/>
      <x v="611"/>
    </i>
    <i r="3">
      <x v="28"/>
      <x v="2564"/>
      <x v="611"/>
    </i>
    <i r="1">
      <x v="8"/>
      <x v="6"/>
      <x v="312"/>
      <x v="3507"/>
      <x v="611"/>
    </i>
    <i r="2">
      <x v="37"/>
      <x v="312"/>
      <x v="2904"/>
      <x v="611"/>
    </i>
    <i r="1">
      <x v="12"/>
      <x v="1"/>
      <x v="312"/>
      <x v="80"/>
      <x v="611"/>
    </i>
    <i r="4">
      <x v="846"/>
      <x v="611"/>
    </i>
    <i r="2">
      <x v="37"/>
      <x v="312"/>
      <x v="1508"/>
      <x v="611"/>
    </i>
    <i r="1">
      <x v="22"/>
      <x v="1"/>
      <x v="312"/>
      <x v="2809"/>
      <x v="611"/>
    </i>
    <i r="1">
      <x v="23"/>
      <x v="37"/>
      <x v="312"/>
      <x v="39"/>
      <x v="611"/>
    </i>
    <i r="1">
      <x v="35"/>
      <x v="1"/>
      <x v="312"/>
      <x v="80"/>
      <x v="611"/>
    </i>
    <i r="2">
      <x v="37"/>
      <x v="312"/>
      <x v="1226"/>
      <x v="611"/>
    </i>
    <i r="4">
      <x v="1343"/>
      <x v="611"/>
    </i>
    <i r="4">
      <x v="1528"/>
      <x v="611"/>
    </i>
    <i r="4">
      <x v="2593"/>
      <x v="611"/>
    </i>
    <i>
      <x v="285"/>
      <x/>
      <x v="8"/>
      <x v="424"/>
      <x v="440"/>
      <x v="611"/>
    </i>
    <i r="4">
      <x v="3146"/>
      <x v="611"/>
    </i>
    <i r="2">
      <x v="9"/>
      <x v="424"/>
      <x v="261"/>
      <x v="611"/>
    </i>
    <i r="4">
      <x v="300"/>
      <x v="611"/>
    </i>
    <i r="4">
      <x v="3227"/>
      <x v="611"/>
    </i>
    <i r="4">
      <x v="3231"/>
      <x v="611"/>
    </i>
    <i r="4">
      <x v="3246"/>
      <x v="611"/>
    </i>
    <i r="4">
      <x v="3250"/>
      <x v="611"/>
    </i>
    <i r="4">
      <x v="3335"/>
      <x v="611"/>
    </i>
    <i r="4">
      <x v="3347"/>
      <x v="611"/>
    </i>
    <i r="4">
      <x v="3383"/>
      <x v="611"/>
    </i>
    <i r="4">
      <x v="3393"/>
      <x v="611"/>
    </i>
    <i r="2">
      <x v="12"/>
      <x v="29"/>
      <x v="11"/>
      <x v="611"/>
    </i>
    <i r="1">
      <x v="5"/>
      <x v="8"/>
      <x v="424"/>
      <x v="3111"/>
      <x v="611"/>
    </i>
    <i r="1">
      <x v="12"/>
      <x v="1"/>
      <x v="424"/>
      <x v="80"/>
      <x v="611"/>
    </i>
    <i r="4">
      <x v="213"/>
      <x v="611"/>
    </i>
    <i r="4">
      <x v="500"/>
      <x v="611"/>
    </i>
    <i r="4">
      <x v="607"/>
      <x v="611"/>
    </i>
    <i r="4">
      <x v="1028"/>
      <x v="611"/>
    </i>
    <i r="1">
      <x v="14"/>
      <x v="1"/>
      <x v="424"/>
      <x v="3030"/>
      <x v="611"/>
    </i>
    <i r="1">
      <x v="15"/>
      <x v="8"/>
      <x v="424"/>
      <x v="2887"/>
      <x v="611"/>
    </i>
    <i r="1">
      <x v="19"/>
      <x v="1"/>
      <x v="424"/>
      <x v="3085"/>
      <x v="611"/>
    </i>
    <i r="1">
      <x v="21"/>
      <x v="10"/>
      <x v="424"/>
      <x/>
      <x v="381"/>
    </i>
    <i r="1">
      <x v="23"/>
      <x v="1"/>
      <x v="424"/>
      <x v="109"/>
      <x v="611"/>
    </i>
    <i r="2">
      <x v="37"/>
      <x v="424"/>
      <x v="236"/>
      <x v="611"/>
    </i>
    <i r="1">
      <x v="28"/>
      <x v="8"/>
      <x v="424"/>
      <x v="3006"/>
      <x v="611"/>
    </i>
    <i r="1">
      <x v="33"/>
      <x v="9"/>
      <x v="424"/>
      <x v="212"/>
      <x v="611"/>
    </i>
    <i r="1">
      <x v="35"/>
      <x v="1"/>
      <x v="424"/>
      <x v="80"/>
      <x v="611"/>
    </i>
    <i r="1">
      <x v="36"/>
      <x v="8"/>
      <x v="424"/>
      <x v="3052"/>
      <x v="611"/>
    </i>
    <i>
      <x v="286"/>
      <x/>
      <x v="1"/>
      <x v="302"/>
      <x v="80"/>
      <x v="611"/>
    </i>
    <i r="2">
      <x v="37"/>
      <x v="302"/>
      <x v="665"/>
      <x v="611"/>
    </i>
    <i r="1">
      <x v="3"/>
      <x v="37"/>
      <x v="302"/>
      <x v="109"/>
      <x v="611"/>
    </i>
    <i r="1">
      <x v="10"/>
      <x v="6"/>
      <x v="302"/>
      <x v="3420"/>
      <x v="611"/>
    </i>
    <i r="1">
      <x v="12"/>
      <x v="1"/>
      <x v="302"/>
      <x v="80"/>
      <x v="611"/>
    </i>
    <i r="4">
      <x v="213"/>
      <x v="611"/>
    </i>
    <i r="4">
      <x v="352"/>
      <x v="611"/>
    </i>
    <i r="4">
      <x v="964"/>
      <x v="611"/>
    </i>
    <i r="1">
      <x v="15"/>
      <x v="37"/>
      <x v="302"/>
      <x v="2642"/>
      <x v="611"/>
    </i>
    <i r="1">
      <x v="21"/>
      <x v="37"/>
      <x v="302"/>
      <x v="982"/>
      <x v="611"/>
    </i>
    <i r="1">
      <x v="26"/>
      <x v="37"/>
      <x v="302"/>
      <x v="352"/>
      <x v="611"/>
    </i>
    <i r="1">
      <x v="27"/>
      <x v="6"/>
      <x v="302"/>
      <x v="3517"/>
      <x v="611"/>
    </i>
    <i r="1">
      <x v="35"/>
      <x v="1"/>
      <x v="302"/>
      <x v="80"/>
      <x v="611"/>
    </i>
    <i>
      <x v="287"/>
      <x/>
      <x v="8"/>
      <x v="303"/>
      <x v="2954"/>
      <x v="611"/>
    </i>
    <i r="4">
      <x v="3135"/>
      <x v="611"/>
    </i>
    <i r="4">
      <x v="3145"/>
      <x v="611"/>
    </i>
    <i r="2">
      <x v="9"/>
      <x v="303"/>
      <x v="433"/>
      <x v="611"/>
    </i>
    <i r="4">
      <x v="3245"/>
      <x v="611"/>
    </i>
    <i r="4">
      <x v="3334"/>
      <x v="611"/>
    </i>
    <i r="4">
      <x v="3339"/>
      <x v="611"/>
    </i>
    <i r="4">
      <x v="3382"/>
      <x v="611"/>
    </i>
    <i r="4">
      <x v="3547"/>
      <x v="611"/>
    </i>
    <i r="2">
      <x v="12"/>
      <x v="43"/>
      <x v="92"/>
      <x v="611"/>
    </i>
    <i r="3">
      <x v="50"/>
      <x v="248"/>
      <x v="611"/>
    </i>
    <i r="3">
      <x v="70"/>
      <x v="14"/>
      <x v="611"/>
    </i>
    <i r="1">
      <x v="12"/>
      <x v="1"/>
      <x v="303"/>
      <x v="213"/>
      <x v="611"/>
    </i>
    <i r="2">
      <x v="37"/>
      <x v="303"/>
      <x v="1041"/>
      <x v="611"/>
    </i>
    <i r="1">
      <x v="15"/>
      <x v="1"/>
      <x v="303"/>
      <x v="80"/>
      <x v="611"/>
    </i>
    <i r="2">
      <x v="37"/>
      <x v="303"/>
      <x v="500"/>
      <x v="611"/>
    </i>
    <i r="1">
      <x v="23"/>
      <x v="37"/>
      <x v="303"/>
      <x v="181"/>
      <x v="611"/>
    </i>
    <i r="1">
      <x v="35"/>
      <x v="37"/>
      <x v="303"/>
      <x v="500"/>
      <x v="611"/>
    </i>
    <i>
      <x v="288"/>
      <x/>
      <x v="37"/>
      <x v="305"/>
      <x v="2566"/>
      <x v="611"/>
    </i>
    <i r="1">
      <x v="3"/>
      <x v="37"/>
      <x v="305"/>
      <x v="2702"/>
      <x v="611"/>
    </i>
    <i r="1">
      <x v="12"/>
      <x v="1"/>
      <x v="305"/>
      <x v="80"/>
      <x v="611"/>
    </i>
    <i r="4">
      <x v="213"/>
      <x v="611"/>
    </i>
    <i r="4">
      <x v="607"/>
      <x v="611"/>
    </i>
    <i r="4">
      <x v="846"/>
      <x v="611"/>
    </i>
    <i r="2">
      <x v="37"/>
      <x v="305"/>
      <x v="1394"/>
      <x v="611"/>
    </i>
    <i r="4">
      <x v="1508"/>
      <x v="611"/>
    </i>
    <i r="1">
      <x v="15"/>
      <x v="1"/>
      <x v="305"/>
      <x v="3009"/>
      <x v="611"/>
    </i>
    <i r="1">
      <x v="17"/>
      <x v="37"/>
      <x v="305"/>
      <x v="2664"/>
      <x v="611"/>
    </i>
    <i r="1">
      <x v="19"/>
      <x v="1"/>
      <x v="305"/>
      <x v="528"/>
      <x v="611"/>
    </i>
    <i r="1">
      <x v="23"/>
      <x v="37"/>
      <x v="305"/>
      <x v="2759"/>
      <x v="611"/>
    </i>
    <i r="1">
      <x v="34"/>
      <x v="6"/>
      <x v="305"/>
      <x v="3511"/>
      <x v="611"/>
    </i>
    <i r="1">
      <x v="35"/>
      <x v="1"/>
      <x v="305"/>
      <x v="80"/>
      <x v="611"/>
    </i>
    <i>
      <x v="289"/>
      <x/>
      <x v="1"/>
      <x v="328"/>
      <x v="2962"/>
      <x v="611"/>
    </i>
    <i r="2">
      <x v="12"/>
      <x v="32"/>
      <x v="90"/>
      <x v="611"/>
    </i>
    <i r="3">
      <x v="49"/>
      <x v="20"/>
      <x v="611"/>
    </i>
    <i r="3">
      <x v="60"/>
      <x v="90"/>
      <x v="611"/>
    </i>
    <i r="3">
      <x v="68"/>
      <x v="6"/>
      <x v="611"/>
    </i>
    <i r="1">
      <x v="3"/>
      <x v="37"/>
      <x v="328"/>
      <x v="109"/>
      <x v="611"/>
    </i>
    <i r="1">
      <x v="6"/>
      <x v="37"/>
      <x v="328"/>
      <x v="2883"/>
      <x v="611"/>
    </i>
    <i r="1">
      <x v="12"/>
      <x v="1"/>
      <x v="328"/>
      <x v="80"/>
      <x v="611"/>
    </i>
    <i r="4">
      <x v="213"/>
      <x v="611"/>
    </i>
    <i r="4">
      <x v="702"/>
      <x v="611"/>
    </i>
    <i r="4">
      <x v="846"/>
      <x v="611"/>
    </i>
    <i r="2">
      <x v="37"/>
      <x v="328"/>
      <x v="651"/>
      <x v="611"/>
    </i>
    <i r="1">
      <x v="23"/>
      <x v="37"/>
      <x v="328"/>
      <x v="2785"/>
      <x v="611"/>
    </i>
    <i r="1">
      <x v="35"/>
      <x v="1"/>
      <x v="328"/>
      <x v="80"/>
      <x v="611"/>
    </i>
    <i r="4">
      <x v="352"/>
      <x v="611"/>
    </i>
    <i r="2">
      <x v="37"/>
      <x v="328"/>
      <x v="2587"/>
      <x v="611"/>
    </i>
    <i r="1">
      <x v="38"/>
      <x v="37"/>
      <x v="328"/>
      <x v="988"/>
      <x v="611"/>
    </i>
    <i>
      <x v="290"/>
      <x/>
      <x v="12"/>
      <x v="6"/>
      <x v="101"/>
      <x v="611"/>
    </i>
    <i r="3">
      <x v="16"/>
      <x v="258"/>
      <x v="611"/>
    </i>
    <i r="3">
      <x v="32"/>
      <x v="90"/>
      <x v="611"/>
    </i>
    <i r="3">
      <x v="34"/>
      <x v="49"/>
      <x v="611"/>
    </i>
    <i r="3">
      <x v="40"/>
      <x v="188"/>
      <x v="611"/>
    </i>
    <i r="3">
      <x v="73"/>
      <x v="138"/>
      <x v="611"/>
    </i>
    <i r="1">
      <x v="8"/>
      <x v="37"/>
      <x v="423"/>
      <x v="2913"/>
      <x v="611"/>
    </i>
    <i r="1">
      <x v="12"/>
      <x v="1"/>
      <x v="423"/>
      <x v="80"/>
      <x v="611"/>
    </i>
    <i r="4">
      <x v="771"/>
      <x v="611"/>
    </i>
    <i r="1">
      <x v="23"/>
      <x v="37"/>
      <x v="423"/>
      <x v="278"/>
      <x v="611"/>
    </i>
    <i r="1">
      <x v="35"/>
      <x v="1"/>
      <x v="423"/>
      <x v="80"/>
      <x v="611"/>
    </i>
    <i>
      <x v="291"/>
      <x/>
      <x v="6"/>
      <x v="316"/>
      <x v="352"/>
      <x v="611"/>
    </i>
    <i r="4">
      <x v="1007"/>
      <x v="611"/>
    </i>
    <i r="2">
      <x v="12"/>
      <x v="32"/>
      <x v="391"/>
      <x v="611"/>
    </i>
    <i r="3">
      <x v="71"/>
      <x v="6"/>
      <x v="611"/>
    </i>
    <i r="1">
      <x v="3"/>
      <x v="37"/>
      <x v="316"/>
      <x v="109"/>
      <x v="611"/>
    </i>
    <i r="1">
      <x v="12"/>
      <x v="1"/>
      <x v="316"/>
      <x v="80"/>
      <x v="611"/>
    </i>
    <i r="4">
      <x v="213"/>
      <x v="611"/>
    </i>
    <i r="4">
      <x v="352"/>
      <x v="611"/>
    </i>
    <i r="2">
      <x v="37"/>
      <x v="316"/>
      <x v="262"/>
      <x v="611"/>
    </i>
    <i r="4">
      <x v="2570"/>
      <x v="611"/>
    </i>
    <i r="1">
      <x v="14"/>
      <x v="37"/>
      <x v="316"/>
      <x v="2681"/>
      <x v="611"/>
    </i>
    <i r="1">
      <x v="23"/>
      <x v="1"/>
      <x v="316"/>
      <x v="109"/>
      <x v="611"/>
    </i>
    <i r="1">
      <x v="33"/>
      <x v="6"/>
      <x v="316"/>
      <x v="3163"/>
      <x v="611"/>
    </i>
    <i r="2">
      <x v="37"/>
      <x v="316"/>
      <x v="2101"/>
      <x v="611"/>
    </i>
    <i r="1">
      <x v="35"/>
      <x v="1"/>
      <x v="316"/>
      <x v="80"/>
      <x v="611"/>
    </i>
    <i>
      <x v="292"/>
      <x/>
      <x v="1"/>
      <x v="392"/>
      <x v="80"/>
      <x v="611"/>
    </i>
    <i r="2">
      <x v="12"/>
      <x v="32"/>
      <x v="61"/>
      <x v="611"/>
    </i>
    <i r="1">
      <x v="12"/>
      <x v="1"/>
      <x v="392"/>
      <x v="80"/>
      <x v="611"/>
    </i>
    <i r="4">
      <x v="213"/>
      <x v="611"/>
    </i>
    <i r="1">
      <x v="14"/>
      <x v="37"/>
      <x v="392"/>
      <x v="500"/>
      <x v="611"/>
    </i>
    <i r="1">
      <x v="15"/>
      <x v="1"/>
      <x v="392"/>
      <x v="3017"/>
      <x v="611"/>
    </i>
    <i r="2">
      <x v="33"/>
      <x v="392"/>
      <x v="3168"/>
      <x v="611"/>
    </i>
    <i r="2">
      <x v="37"/>
      <x v="392"/>
      <x v="2649"/>
      <x v="611"/>
    </i>
    <i r="1">
      <x v="35"/>
      <x v="1"/>
      <x v="392"/>
      <x v="80"/>
      <x v="611"/>
    </i>
    <i>
      <x v="293"/>
      <x/>
      <x v="12"/>
      <x v="57"/>
      <x v="9"/>
      <x v="611"/>
    </i>
    <i r="2">
      <x v="37"/>
      <x v="310"/>
      <x v="524"/>
      <x v="611"/>
    </i>
    <i r="1">
      <x v="12"/>
      <x v="1"/>
      <x v="310"/>
      <x v="80"/>
      <x v="611"/>
    </i>
    <i r="4">
      <x v="213"/>
      <x v="611"/>
    </i>
    <i r="4">
      <x v="500"/>
      <x v="611"/>
    </i>
    <i r="1">
      <x v="15"/>
      <x v="37"/>
      <x v="310"/>
      <x v="1170"/>
      <x v="611"/>
    </i>
    <i>
      <x v="294"/>
      <x/>
      <x v="1"/>
      <x v="417"/>
      <x v="2965"/>
      <x v="611"/>
    </i>
    <i r="2">
      <x v="6"/>
      <x v="417"/>
      <x v="291"/>
      <x v="611"/>
    </i>
    <i r="2">
      <x v="12"/>
      <x v="32"/>
      <x v="90"/>
      <x v="611"/>
    </i>
    <i r="3">
      <x v="34"/>
      <x v="371"/>
      <x v="611"/>
    </i>
    <i r="3">
      <x v="63"/>
      <x v="11"/>
      <x v="611"/>
    </i>
    <i r="1">
      <x v="2"/>
      <x v="1"/>
      <x v="417"/>
      <x v="3077"/>
      <x v="611"/>
    </i>
    <i r="2">
      <x v="8"/>
      <x v="417"/>
      <x v="2729"/>
      <x v="611"/>
    </i>
    <i r="2">
      <x v="10"/>
      <x v="417"/>
      <x/>
      <x v="341"/>
    </i>
    <i r="1">
      <x v="3"/>
      <x v="37"/>
      <x v="417"/>
      <x v="2719"/>
      <x v="611"/>
    </i>
    <i r="1">
      <x v="8"/>
      <x v="37"/>
      <x v="417"/>
      <x v="2919"/>
      <x v="611"/>
    </i>
    <i r="1">
      <x v="12"/>
      <x v="1"/>
      <x v="417"/>
      <x v="80"/>
      <x v="611"/>
    </i>
    <i r="4">
      <x v="213"/>
      <x v="611"/>
    </i>
    <i r="4">
      <x v="352"/>
      <x v="611"/>
    </i>
    <i r="1">
      <x v="15"/>
      <x v="1"/>
      <x v="417"/>
      <x v="80"/>
      <x v="611"/>
    </i>
    <i r="1">
      <x v="24"/>
      <x v="6"/>
      <x v="417"/>
      <x v="3416"/>
      <x v="611"/>
    </i>
    <i r="1">
      <x v="35"/>
      <x v="1"/>
      <x v="417"/>
      <x v="80"/>
      <x v="611"/>
    </i>
    <i>
      <x v="295"/>
      <x/>
      <x v="6"/>
      <x v="318"/>
      <x v="3539"/>
      <x v="611"/>
    </i>
    <i r="2">
      <x v="7"/>
      <x v="318"/>
      <x v="278"/>
      <x v="611"/>
    </i>
    <i r="2">
      <x v="8"/>
      <x v="318"/>
      <x v="722"/>
      <x v="611"/>
    </i>
    <i r="2">
      <x v="9"/>
      <x v="318"/>
      <x v="539"/>
      <x v="611"/>
    </i>
    <i r="4">
      <x v="3236"/>
      <x v="611"/>
    </i>
    <i r="4">
      <x v="3284"/>
      <x v="611"/>
    </i>
    <i r="2">
      <x v="12"/>
      <x v="58"/>
      <x v="18"/>
      <x v="611"/>
    </i>
    <i r="3">
      <x v="60"/>
      <x v="9"/>
      <x v="611"/>
    </i>
    <i r="1">
      <x v="2"/>
      <x v="8"/>
      <x v="318"/>
      <x v="262"/>
      <x v="611"/>
    </i>
    <i r="1">
      <x v="6"/>
      <x v="37"/>
      <x v="318"/>
      <x v="2885"/>
      <x v="611"/>
    </i>
    <i r="1">
      <x v="12"/>
      <x v="1"/>
      <x v="318"/>
      <x v="80"/>
      <x v="611"/>
    </i>
    <i r="4">
      <x v="213"/>
      <x v="611"/>
    </i>
    <i r="4">
      <x v="352"/>
      <x v="611"/>
    </i>
    <i r="4">
      <x v="771"/>
      <x v="611"/>
    </i>
    <i r="2">
      <x v="37"/>
      <x v="318"/>
      <x v="1394"/>
      <x v="611"/>
    </i>
    <i r="4">
      <x v="2571"/>
      <x v="611"/>
    </i>
    <i r="1">
      <x v="19"/>
      <x v="37"/>
      <x v="318"/>
      <x v="2740"/>
      <x v="611"/>
    </i>
    <i r="1">
      <x v="23"/>
      <x v="9"/>
      <x v="318"/>
      <x v="3490"/>
      <x v="611"/>
    </i>
    <i r="1">
      <x v="35"/>
      <x v="1"/>
      <x v="318"/>
      <x v="80"/>
      <x v="611"/>
    </i>
    <i>
      <x v="296"/>
      <x/>
      <x v="12"/>
      <x v="37"/>
      <x v="49"/>
      <x v="611"/>
    </i>
    <i r="1">
      <x v="8"/>
      <x v="37"/>
      <x v="319"/>
      <x v="2909"/>
      <x v="611"/>
    </i>
    <i r="1">
      <x v="23"/>
      <x v="6"/>
      <x v="319"/>
      <x v="3488"/>
      <x v="611"/>
    </i>
    <i r="2">
      <x v="37"/>
      <x v="319"/>
      <x v="2781"/>
      <x v="611"/>
    </i>
    <i r="1">
      <x v="35"/>
      <x v="37"/>
      <x v="319"/>
      <x v="1206"/>
      <x v="611"/>
    </i>
    <i>
      <x v="297"/>
      <x/>
      <x v="6"/>
      <x v="321"/>
      <x v="248"/>
      <x v="611"/>
    </i>
    <i r="2">
      <x v="12"/>
      <x v="16"/>
      <x v="138"/>
      <x v="611"/>
    </i>
    <i r="2">
      <x v="37"/>
      <x v="321"/>
      <x v="1232"/>
      <x v="611"/>
    </i>
    <i r="1">
      <x v="2"/>
      <x v="6"/>
      <x v="321"/>
      <x v="3472"/>
      <x v="611"/>
    </i>
    <i r="1">
      <x v="3"/>
      <x v="1"/>
      <x v="321"/>
      <x v="3062"/>
      <x v="611"/>
    </i>
    <i r="2">
      <x v="37"/>
      <x v="321"/>
      <x v="530"/>
      <x v="611"/>
    </i>
    <i r="1">
      <x v="12"/>
      <x v="1"/>
      <x v="321"/>
      <x v="80"/>
      <x v="611"/>
    </i>
    <i r="4">
      <x v="213"/>
      <x v="611"/>
    </i>
    <i r="4">
      <x v="352"/>
      <x v="611"/>
    </i>
    <i r="4">
      <x v="500"/>
      <x v="611"/>
    </i>
    <i r="1">
      <x v="14"/>
      <x v="37"/>
      <x v="321"/>
      <x v="2685"/>
      <x v="611"/>
    </i>
    <i r="1">
      <x v="23"/>
      <x v="37"/>
      <x v="321"/>
      <x v="2796"/>
      <x v="611"/>
    </i>
    <i r="1">
      <x v="26"/>
      <x v="37"/>
      <x v="321"/>
      <x v="278"/>
      <x v="611"/>
    </i>
    <i r="1">
      <x v="35"/>
      <x v="1"/>
      <x v="321"/>
      <x v="213"/>
      <x v="611"/>
    </i>
    <i r="2">
      <x v="37"/>
      <x v="321"/>
      <x v="2572"/>
      <x v="611"/>
    </i>
    <i>
      <x v="298"/>
      <x/>
      <x v="1"/>
      <x v="375"/>
      <x v="80"/>
      <x v="611"/>
    </i>
    <i r="2">
      <x v="6"/>
      <x v="375"/>
      <x v="2808"/>
      <x v="611"/>
    </i>
    <i r="4">
      <x v="2876"/>
      <x v="611"/>
    </i>
    <i r="2">
      <x v="7"/>
      <x v="375"/>
      <x v="809"/>
      <x v="611"/>
    </i>
    <i r="4">
      <x v="3153"/>
      <x v="611"/>
    </i>
    <i r="2">
      <x v="8"/>
      <x v="375"/>
      <x v="3138"/>
      <x v="611"/>
    </i>
    <i r="2">
      <x v="9"/>
      <x v="375"/>
      <x v="619"/>
      <x v="611"/>
    </i>
    <i r="4">
      <x v="933"/>
      <x v="611"/>
    </i>
    <i r="4">
      <x v="1181"/>
      <x v="611"/>
    </i>
    <i r="4">
      <x v="3212"/>
      <x v="611"/>
    </i>
    <i r="4">
      <x v="3266"/>
      <x v="611"/>
    </i>
    <i r="4">
      <x v="3273"/>
      <x v="611"/>
    </i>
    <i r="4">
      <x v="3293"/>
      <x v="611"/>
    </i>
    <i r="4">
      <x v="3308"/>
      <x v="611"/>
    </i>
    <i r="4">
      <x v="3314"/>
      <x v="611"/>
    </i>
    <i r="4">
      <x v="3326"/>
      <x v="611"/>
    </i>
    <i r="4">
      <x v="3329"/>
      <x v="611"/>
    </i>
    <i r="4">
      <x v="3348"/>
      <x v="611"/>
    </i>
    <i r="4">
      <x v="3376"/>
      <x v="611"/>
    </i>
    <i r="4">
      <x v="3387"/>
      <x v="611"/>
    </i>
    <i r="4">
      <x v="3561"/>
      <x v="611"/>
    </i>
    <i r="2">
      <x v="12"/>
      <x v="8"/>
      <x v="24"/>
      <x v="611"/>
    </i>
    <i r="3">
      <x v="33"/>
      <x v="11"/>
      <x v="611"/>
    </i>
    <i r="1">
      <x v="2"/>
      <x v="6"/>
      <x v="375"/>
      <x v="3476"/>
      <x v="611"/>
    </i>
    <i r="1">
      <x v="6"/>
      <x v="37"/>
      <x v="375"/>
      <x v="2889"/>
      <x v="611"/>
    </i>
    <i r="1">
      <x v="7"/>
      <x v="9"/>
      <x v="375"/>
      <x v="2558"/>
      <x v="611"/>
    </i>
    <i r="1">
      <x v="8"/>
      <x v="37"/>
      <x v="375"/>
      <x v="500"/>
      <x v="611"/>
    </i>
    <i r="1">
      <x v="12"/>
      <x v="1"/>
      <x v="375"/>
      <x v="80"/>
      <x v="611"/>
    </i>
    <i r="4">
      <x v="213"/>
      <x v="611"/>
    </i>
    <i r="4">
      <x v="500"/>
      <x v="611"/>
    </i>
    <i r="4">
      <x v="607"/>
      <x v="611"/>
    </i>
    <i r="4">
      <x v="911"/>
      <x v="611"/>
    </i>
    <i r="1">
      <x v="14"/>
      <x v="6"/>
      <x v="375"/>
      <x v="3443"/>
      <x v="611"/>
    </i>
    <i r="1">
      <x v="17"/>
      <x v="6"/>
      <x v="375"/>
      <x v="3437"/>
      <x v="611"/>
    </i>
    <i r="1">
      <x v="21"/>
      <x v="6"/>
      <x v="375"/>
      <x v="1001"/>
      <x v="611"/>
    </i>
    <i r="1">
      <x v="23"/>
      <x v="6"/>
      <x v="375"/>
      <x v="3496"/>
      <x v="611"/>
    </i>
    <i r="1">
      <x v="24"/>
      <x v="6"/>
      <x v="375"/>
      <x v="3419"/>
      <x v="611"/>
    </i>
    <i r="2">
      <x v="37"/>
      <x v="375"/>
      <x v="338"/>
      <x v="611"/>
    </i>
    <i r="1">
      <x v="35"/>
      <x v="1"/>
      <x v="375"/>
      <x v="80"/>
      <x v="611"/>
    </i>
    <i r="1">
      <x v="36"/>
      <x v="6"/>
      <x v="375"/>
      <x v="3457"/>
      <x v="611"/>
    </i>
    <i r="2">
      <x v="9"/>
      <x v="375"/>
      <x v="2835"/>
      <x v="611"/>
    </i>
    <i r="1">
      <x v="37"/>
      <x v="6"/>
      <x v="375"/>
      <x v="895"/>
      <x v="611"/>
    </i>
    <i>
      <x v="299"/>
      <x/>
      <x v="6"/>
      <x v="415"/>
      <x v="3521"/>
      <x v="611"/>
    </i>
    <i r="2">
      <x v="12"/>
      <x v="15"/>
      <x v="32"/>
      <x v="611"/>
    </i>
    <i r="3">
      <x v="34"/>
      <x v="49"/>
      <x v="611"/>
    </i>
    <i r="2">
      <x v="33"/>
      <x v="415"/>
      <x v="3154"/>
      <x v="611"/>
    </i>
    <i r="1">
      <x v="3"/>
      <x v="37"/>
      <x v="415"/>
      <x v="109"/>
      <x v="611"/>
    </i>
    <i r="1">
      <x v="6"/>
      <x v="37"/>
      <x v="415"/>
      <x v="2875"/>
      <x v="611"/>
    </i>
    <i r="1">
      <x v="11"/>
      <x v="37"/>
      <x v="415"/>
      <x v="2820"/>
      <x v="611"/>
    </i>
    <i r="1">
      <x v="12"/>
      <x v="1"/>
      <x v="415"/>
      <x v="80"/>
      <x v="611"/>
    </i>
    <i r="4">
      <x v="213"/>
      <x v="611"/>
    </i>
    <i r="4">
      <x v="352"/>
      <x v="611"/>
    </i>
    <i r="4">
      <x v="500"/>
      <x v="611"/>
    </i>
    <i r="1">
      <x v="17"/>
      <x v="6"/>
      <x v="415"/>
      <x v="3429"/>
      <x v="611"/>
    </i>
    <i r="1">
      <x v="19"/>
      <x v="6"/>
      <x v="415"/>
      <x v="895"/>
      <x v="611"/>
    </i>
    <i r="2">
      <x v="37"/>
      <x v="415"/>
      <x v="95"/>
      <x v="611"/>
    </i>
    <i r="1">
      <x v="23"/>
      <x v="37"/>
      <x v="415"/>
      <x v="126"/>
      <x v="611"/>
    </i>
    <i r="1">
      <x v="33"/>
      <x v="6"/>
      <x v="415"/>
      <x v="469"/>
      <x v="611"/>
    </i>
    <i r="1">
      <x v="35"/>
      <x v="1"/>
      <x v="415"/>
      <x v="80"/>
      <x v="611"/>
    </i>
    <i>
      <x v="300"/>
      <x/>
      <x v="12"/>
      <x v="34"/>
      <x v="371"/>
      <x v="611"/>
    </i>
    <i r="3">
      <x v="39"/>
      <x v="633"/>
      <x v="611"/>
    </i>
    <i r="3">
      <x v="47"/>
      <x v="314"/>
      <x v="611"/>
    </i>
    <i>
      <x v="301"/>
      <x/>
      <x v="12"/>
      <x v="15"/>
      <x v="32"/>
      <x v="611"/>
    </i>
    <i r="3">
      <x v="36"/>
      <x v="6"/>
      <x v="611"/>
    </i>
    <i r="3">
      <x v="40"/>
      <x v="192"/>
      <x v="611"/>
    </i>
    <i r="3">
      <x v="60"/>
      <x v="90"/>
      <x v="611"/>
    </i>
    <i r="1">
      <x v="6"/>
      <x v="37"/>
      <x v="374"/>
      <x v="2880"/>
      <x v="611"/>
    </i>
    <i r="1">
      <x v="12"/>
      <x v="1"/>
      <x v="374"/>
      <x v="213"/>
      <x v="611"/>
    </i>
    <i r="1">
      <x v="24"/>
      <x v="6"/>
      <x v="374"/>
      <x v="3413"/>
      <x v="611"/>
    </i>
    <i r="2">
      <x v="37"/>
      <x v="374"/>
      <x v="2625"/>
      <x v="611"/>
    </i>
    <i r="1">
      <x v="35"/>
      <x v="1"/>
      <x v="374"/>
      <x v="80"/>
      <x v="611"/>
    </i>
    <i r="1">
      <x v="36"/>
      <x v="1"/>
      <x v="374"/>
      <x v="3047"/>
      <x v="611"/>
    </i>
    <i>
      <x v="302"/>
      <x/>
      <x v="1"/>
      <x v="327"/>
      <x v="80"/>
      <x v="611"/>
    </i>
    <i r="2">
      <x v="6"/>
      <x v="327"/>
      <x v="3350"/>
      <x v="611"/>
    </i>
    <i r="2">
      <x v="12"/>
      <x v="6"/>
      <x v="32"/>
      <x v="611"/>
    </i>
    <i r="3">
      <x v="49"/>
      <x v="20"/>
      <x v="611"/>
    </i>
    <i r="1">
      <x v="2"/>
      <x v="6"/>
      <x v="327"/>
      <x v="761"/>
      <x v="611"/>
    </i>
    <i r="1">
      <x v="3"/>
      <x v="6"/>
      <x v="327"/>
      <x v="387"/>
      <x v="611"/>
    </i>
    <i r="2">
      <x v="37"/>
      <x v="327"/>
      <x v="2710"/>
      <x v="611"/>
    </i>
    <i r="1">
      <x v="5"/>
      <x v="38"/>
      <x v="327"/>
      <x v="2657"/>
      <x v="611"/>
    </i>
    <i r="1">
      <x v="11"/>
      <x v="1"/>
      <x v="327"/>
      <x v="3102"/>
      <x v="611"/>
    </i>
    <i r="1">
      <x v="12"/>
      <x v="1"/>
      <x v="327"/>
      <x v="80"/>
      <x v="611"/>
    </i>
    <i r="4">
      <x v="213"/>
      <x v="611"/>
    </i>
    <i r="4">
      <x v="352"/>
      <x v="611"/>
    </i>
    <i r="4">
      <x v="500"/>
      <x v="611"/>
    </i>
    <i r="4">
      <x v="702"/>
      <x v="611"/>
    </i>
    <i r="4">
      <x v="771"/>
      <x v="611"/>
    </i>
    <i r="2">
      <x v="37"/>
      <x v="327"/>
      <x v="2578"/>
      <x v="611"/>
    </i>
    <i r="1">
      <x v="15"/>
      <x v="37"/>
      <x v="327"/>
      <x v="943"/>
      <x v="611"/>
    </i>
    <i r="1">
      <x v="23"/>
      <x v="1"/>
      <x v="327"/>
      <x v="39"/>
      <x v="611"/>
    </i>
    <i r="2">
      <x v="37"/>
      <x v="327"/>
      <x v="2777"/>
      <x v="611"/>
    </i>
    <i r="1">
      <x v="26"/>
      <x v="37"/>
      <x v="327"/>
      <x v="213"/>
      <x v="611"/>
    </i>
    <i r="1">
      <x v="30"/>
      <x v="6"/>
      <x v="327"/>
      <x v="3510"/>
      <x v="611"/>
    </i>
    <i>
      <x v="303"/>
      <x/>
      <x v="9"/>
      <x v="454"/>
      <x v="352"/>
      <x v="611"/>
    </i>
    <i r="4">
      <x v="428"/>
      <x v="611"/>
    </i>
    <i r="4">
      <x v="3253"/>
      <x v="611"/>
    </i>
    <i r="4">
      <x v="3273"/>
      <x v="611"/>
    </i>
    <i r="2">
      <x v="12"/>
      <x v="39"/>
      <x v="180"/>
      <x v="611"/>
    </i>
    <i r="1">
      <x v="5"/>
      <x v="8"/>
      <x v="454"/>
      <x v="224"/>
      <x v="611"/>
    </i>
    <i>
      <x v="304"/>
      <x/>
      <x v="6"/>
      <x v="437"/>
      <x v="1271"/>
      <x v="611"/>
    </i>
    <i r="2">
      <x v="12"/>
      <x v="39"/>
      <x v="2580"/>
      <x v="611"/>
    </i>
    <i r="1">
      <x v="2"/>
      <x v="1"/>
      <x v="437"/>
      <x v="365"/>
      <x v="611"/>
    </i>
    <i r="2">
      <x v="6"/>
      <x v="437"/>
      <x v="3466"/>
      <x v="611"/>
    </i>
    <i r="1">
      <x v="12"/>
      <x v="1"/>
      <x v="437"/>
      <x v="80"/>
      <x v="611"/>
    </i>
    <i r="4">
      <x v="213"/>
      <x v="611"/>
    </i>
    <i r="4">
      <x v="500"/>
      <x v="611"/>
    </i>
    <i r="4">
      <x v="607"/>
      <x v="611"/>
    </i>
    <i r="1">
      <x v="34"/>
      <x v="37"/>
      <x v="437"/>
      <x v="2924"/>
      <x v="611"/>
    </i>
    <i r="1">
      <x v="35"/>
      <x v="1"/>
      <x v="437"/>
      <x v="80"/>
      <x v="611"/>
    </i>
    <i r="1">
      <x v="36"/>
      <x v="1"/>
      <x v="437"/>
      <x v="3039"/>
      <x v="611"/>
    </i>
    <i>
      <x v="305"/>
      <x/>
      <x v="8"/>
      <x v="360"/>
      <x v="467"/>
      <x v="611"/>
    </i>
    <i r="4">
      <x v="2266"/>
      <x v="611"/>
    </i>
    <i r="4">
      <x v="2958"/>
      <x v="611"/>
    </i>
    <i r="4">
      <x v="2987"/>
      <x v="611"/>
    </i>
    <i r="2">
      <x v="9"/>
      <x v="360"/>
      <x v="186"/>
      <x v="611"/>
    </i>
    <i r="4">
      <x v="371"/>
      <x v="611"/>
    </i>
    <i r="4">
      <x v="839"/>
      <x v="611"/>
    </i>
    <i r="4">
      <x v="3203"/>
      <x v="611"/>
    </i>
    <i r="4">
      <x v="3261"/>
      <x v="611"/>
    </i>
    <i r="4">
      <x v="3275"/>
      <x v="611"/>
    </i>
    <i r="4">
      <x v="3286"/>
      <x v="611"/>
    </i>
    <i r="4">
      <x v="3302"/>
      <x v="611"/>
    </i>
    <i r="4">
      <x v="3343"/>
      <x v="611"/>
    </i>
    <i r="4">
      <x v="3542"/>
      <x v="611"/>
    </i>
    <i r="4">
      <x v="3552"/>
      <x v="611"/>
    </i>
    <i r="2">
      <x v="12"/>
      <x v="39"/>
      <x v="18"/>
      <x v="611"/>
    </i>
    <i r="3">
      <x v="61"/>
      <x v="9"/>
      <x v="611"/>
    </i>
    <i r="2">
      <x v="37"/>
      <x v="360"/>
      <x v="95"/>
      <x v="611"/>
    </i>
    <i r="1">
      <x v="2"/>
      <x v="10"/>
      <x v="360"/>
      <x v="2727"/>
      <x v="611"/>
    </i>
    <i r="1">
      <x v="3"/>
      <x v="10"/>
      <x v="360"/>
      <x v="2707"/>
      <x v="611"/>
    </i>
    <i r="1">
      <x v="8"/>
      <x v="37"/>
      <x v="360"/>
      <x v="2604"/>
      <x v="611"/>
    </i>
    <i r="1">
      <x v="11"/>
      <x v="10"/>
      <x v="360"/>
      <x v="2829"/>
      <x v="611"/>
    </i>
    <i r="1">
      <x v="12"/>
      <x v="1"/>
      <x v="360"/>
      <x v="80"/>
      <x v="611"/>
    </i>
    <i r="4">
      <x v="213"/>
      <x v="611"/>
    </i>
    <i r="4">
      <x v="352"/>
      <x v="611"/>
    </i>
    <i r="4">
      <x v="500"/>
      <x v="611"/>
    </i>
    <i r="1">
      <x v="15"/>
      <x v="33"/>
      <x v="360"/>
      <x v="3166"/>
      <x v="611"/>
    </i>
    <i r="1">
      <x v="21"/>
      <x v="38"/>
      <x v="360"/>
      <x v="2806"/>
      <x v="611"/>
    </i>
    <i r="1">
      <x v="28"/>
      <x v="8"/>
      <x v="360"/>
      <x v="1062"/>
      <x v="611"/>
    </i>
    <i r="1">
      <x v="36"/>
      <x v="8"/>
      <x v="360"/>
      <x v="3045"/>
      <x v="611"/>
    </i>
    <i r="2">
      <x v="9"/>
      <x v="360"/>
      <x v="3449"/>
      <x v="611"/>
    </i>
    <i r="2">
      <x v="10"/>
      <x v="360"/>
      <x v="2688"/>
      <x v="611"/>
    </i>
    <i r="1">
      <x v="37"/>
      <x v="10"/>
      <x v="360"/>
      <x v="2745"/>
      <x v="611"/>
    </i>
    <i r="1">
      <x v="38"/>
      <x v="10"/>
      <x v="360"/>
      <x v="1079"/>
      <x v="611"/>
    </i>
    <i r="1">
      <x v="40"/>
      <x v="1"/>
      <x v="360"/>
      <x v="1279"/>
      <x v="611"/>
    </i>
    <i r="2">
      <x v="37"/>
      <x v="360"/>
      <x v="2700"/>
      <x v="611"/>
    </i>
    <i>
      <x v="306"/>
      <x/>
      <x v="37"/>
      <x v="330"/>
      <x v="689"/>
      <x v="611"/>
    </i>
    <i r="4">
      <x v="2582"/>
      <x v="611"/>
    </i>
    <i r="1">
      <x v="3"/>
      <x v="1"/>
      <x v="330"/>
      <x v="109"/>
      <x v="611"/>
    </i>
    <i r="2">
      <x v="37"/>
      <x v="330"/>
      <x v="2710"/>
      <x v="611"/>
    </i>
    <i r="1">
      <x v="5"/>
      <x v="37"/>
      <x v="330"/>
      <x v="2852"/>
      <x v="611"/>
    </i>
    <i r="1">
      <x v="6"/>
      <x v="37"/>
      <x v="330"/>
      <x v="2856"/>
      <x v="611"/>
    </i>
    <i r="1">
      <x v="8"/>
      <x v="37"/>
      <x v="330"/>
      <x v="2916"/>
      <x v="611"/>
    </i>
    <i r="1">
      <x v="12"/>
      <x v="1"/>
      <x v="330"/>
      <x v="80"/>
      <x v="611"/>
    </i>
    <i r="4">
      <x v="213"/>
      <x v="611"/>
    </i>
    <i r="4">
      <x v="352"/>
      <x v="611"/>
    </i>
    <i r="1">
      <x v="14"/>
      <x v="1"/>
      <x v="330"/>
      <x v="3029"/>
      <x v="611"/>
    </i>
    <i r="1">
      <x v="15"/>
      <x v="1"/>
      <x v="330"/>
      <x v="213"/>
      <x v="611"/>
    </i>
    <i r="1">
      <x v="19"/>
      <x v="10"/>
      <x v="330"/>
      <x/>
      <x v="173"/>
    </i>
    <i r="2">
      <x v="37"/>
      <x v="330"/>
      <x v="2739"/>
      <x v="611"/>
    </i>
    <i r="1">
      <x v="23"/>
      <x v="1"/>
      <x v="330"/>
      <x v="109"/>
      <x v="611"/>
    </i>
    <i r="1">
      <x v="26"/>
      <x v="38"/>
      <x v="330"/>
      <x v="895"/>
      <x v="611"/>
    </i>
    <i r="1">
      <x v="35"/>
      <x v="1"/>
      <x v="330"/>
      <x v="80"/>
      <x v="611"/>
    </i>
    <i r="4">
      <x v="352"/>
      <x v="611"/>
    </i>
    <i>
      <x v="307"/>
      <x/>
      <x v="37"/>
      <x v="331"/>
      <x v="371"/>
      <x v="611"/>
    </i>
    <i r="1">
      <x v="7"/>
      <x v="37"/>
      <x v="331"/>
      <x v="864"/>
      <x v="611"/>
    </i>
    <i r="1">
      <x v="8"/>
      <x v="37"/>
      <x v="331"/>
      <x v="1125"/>
      <x v="611"/>
    </i>
    <i r="1">
      <x v="12"/>
      <x v="1"/>
      <x v="331"/>
      <x v="213"/>
      <x v="611"/>
    </i>
    <i r="4">
      <x v="352"/>
      <x v="611"/>
    </i>
    <i r="4">
      <x v="771"/>
      <x v="611"/>
    </i>
    <i r="1">
      <x v="17"/>
      <x v="10"/>
      <x v="331"/>
      <x/>
      <x v="92"/>
    </i>
    <i r="2">
      <x v="37"/>
      <x v="331"/>
      <x v="456"/>
      <x v="611"/>
    </i>
    <i r="1">
      <x v="19"/>
      <x v="6"/>
      <x v="331"/>
      <x v="469"/>
      <x v="611"/>
    </i>
    <i r="2">
      <x v="10"/>
      <x v="331"/>
      <x/>
      <x v="119"/>
    </i>
    <i r="1">
      <x v="21"/>
      <x v="37"/>
      <x v="331"/>
      <x v="2803"/>
      <x v="611"/>
    </i>
    <i r="1">
      <x v="23"/>
      <x v="37"/>
      <x v="331"/>
      <x v="352"/>
      <x v="611"/>
    </i>
    <i r="1">
      <x v="27"/>
      <x v="37"/>
      <x v="331"/>
      <x v="109"/>
      <x v="611"/>
    </i>
    <i r="1">
      <x v="35"/>
      <x v="1"/>
      <x v="331"/>
      <x v="352"/>
      <x v="611"/>
    </i>
    <i>
      <x v="308"/>
      <x/>
      <x v="12"/>
      <x v="46"/>
      <x v="2584"/>
      <x v="611"/>
    </i>
    <i>
      <x v="309"/>
      <x/>
      <x v="1"/>
      <x v="335"/>
      <x v="80"/>
      <x v="611"/>
    </i>
    <i r="4">
      <x v="469"/>
      <x v="611"/>
    </i>
    <i r="2">
      <x v="8"/>
      <x v="335"/>
      <x v="2995"/>
      <x v="611"/>
    </i>
    <i r="2">
      <x v="9"/>
      <x v="335"/>
      <x v="3206"/>
      <x v="611"/>
    </i>
    <i r="4">
      <x v="3324"/>
      <x v="611"/>
    </i>
    <i r="2">
      <x v="37"/>
      <x v="335"/>
      <x v="855"/>
      <x v="611"/>
    </i>
    <i r="1">
      <x v="6"/>
      <x v="37"/>
      <x v="335"/>
      <x v="633"/>
      <x v="611"/>
    </i>
    <i r="1">
      <x v="12"/>
      <x v="1"/>
      <x v="335"/>
      <x v="80"/>
      <x v="611"/>
    </i>
    <i r="4">
      <x v="213"/>
      <x v="611"/>
    </i>
    <i r="4">
      <x v="352"/>
      <x v="611"/>
    </i>
    <i r="4">
      <x v="607"/>
      <x v="611"/>
    </i>
    <i r="4">
      <x v="771"/>
      <x v="611"/>
    </i>
    <i r="4">
      <x v="1141"/>
      <x v="611"/>
    </i>
    <i r="1">
      <x v="15"/>
      <x v="33"/>
      <x v="335"/>
      <x v="3169"/>
      <x v="611"/>
    </i>
    <i r="1">
      <x v="27"/>
      <x v="37"/>
      <x v="335"/>
      <x v="39"/>
      <x v="611"/>
    </i>
    <i r="1">
      <x v="35"/>
      <x v="1"/>
      <x v="335"/>
      <x v="80"/>
      <x v="611"/>
    </i>
    <i>
      <x v="310"/>
      <x/>
      <x v="37"/>
      <x v="341"/>
      <x v="2572"/>
      <x v="611"/>
    </i>
    <i r="1">
      <x v="15"/>
      <x v="38"/>
      <x v="341"/>
      <x v="1274"/>
      <x v="611"/>
    </i>
    <i r="1">
      <x v="21"/>
      <x v="38"/>
      <x v="341"/>
      <x v="2800"/>
      <x v="611"/>
    </i>
    <i r="1">
      <x v="23"/>
      <x v="38"/>
      <x v="341"/>
      <x v="2776"/>
      <x v="611"/>
    </i>
    <i r="1">
      <x v="26"/>
      <x v="37"/>
      <x v="341"/>
      <x v="2615"/>
      <x v="611"/>
    </i>
    <i r="2">
      <x v="38"/>
      <x v="341"/>
      <x v="2616"/>
      <x v="611"/>
    </i>
    <i>
      <x v="311"/>
      <x/>
      <x v="12"/>
      <x v="47"/>
      <x v="314"/>
      <x v="611"/>
    </i>
    <i r="3">
      <x v="49"/>
      <x v="35"/>
      <x v="611"/>
    </i>
    <i r="1">
      <x v="7"/>
      <x v="8"/>
      <x v="396"/>
      <x v="3122"/>
      <x v="611"/>
    </i>
    <i r="2">
      <x v="10"/>
      <x v="396"/>
      <x v="517"/>
      <x v="611"/>
    </i>
    <i r="2">
      <x v="37"/>
      <x v="396"/>
      <x v="1335"/>
      <x v="611"/>
    </i>
    <i r="1">
      <x v="12"/>
      <x v="1"/>
      <x v="396"/>
      <x v="80"/>
      <x v="611"/>
    </i>
    <i r="4">
      <x v="1069"/>
      <x v="611"/>
    </i>
    <i r="1">
      <x v="15"/>
      <x v="37"/>
      <x v="396"/>
      <x v="809"/>
      <x v="611"/>
    </i>
    <i r="1">
      <x v="17"/>
      <x v="37"/>
      <x v="396"/>
      <x v="424"/>
      <x v="611"/>
    </i>
    <i r="1">
      <x v="23"/>
      <x v="37"/>
      <x v="396"/>
      <x v="964"/>
      <x v="611"/>
    </i>
    <i r="1">
      <x v="33"/>
      <x v="33"/>
      <x v="396"/>
      <x v="3190"/>
      <x v="611"/>
    </i>
    <i r="1">
      <x v="36"/>
      <x v="37"/>
      <x v="396"/>
      <x v="2693"/>
      <x v="611"/>
    </i>
    <i>
      <x v="312"/>
      <x/>
      <x v="8"/>
      <x v="343"/>
      <x v="2978"/>
      <x v="611"/>
    </i>
    <i r="2">
      <x v="9"/>
      <x v="343"/>
      <x v="690"/>
      <x v="611"/>
    </i>
    <i r="2">
      <x v="12"/>
      <x v="49"/>
      <x v="51"/>
      <x v="611"/>
    </i>
    <i r="1">
      <x v="2"/>
      <x v="1"/>
      <x v="343"/>
      <x v="3075"/>
      <x v="611"/>
    </i>
    <i r="2">
      <x v="6"/>
      <x v="343"/>
      <x v="371"/>
      <x v="611"/>
    </i>
    <i r="1">
      <x v="3"/>
      <x v="6"/>
      <x v="343"/>
      <x v="387"/>
      <x v="611"/>
    </i>
    <i r="2">
      <x v="37"/>
      <x v="343"/>
      <x v="228"/>
      <x v="611"/>
    </i>
    <i r="1">
      <x v="12"/>
      <x v="1"/>
      <x v="343"/>
      <x v="80"/>
      <x v="611"/>
    </i>
    <i r="4">
      <x v="213"/>
      <x v="611"/>
    </i>
    <i r="4">
      <x v="500"/>
      <x v="611"/>
    </i>
    <i r="1">
      <x v="13"/>
      <x v="1"/>
      <x v="343"/>
      <x v="3107"/>
      <x v="611"/>
    </i>
    <i r="1">
      <x v="15"/>
      <x v="1"/>
      <x v="343"/>
      <x v="213"/>
      <x v="611"/>
    </i>
    <i r="1">
      <x v="16"/>
      <x v="1"/>
      <x v="343"/>
      <x v="109"/>
      <x v="611"/>
    </i>
    <i r="1">
      <x v="23"/>
      <x v="37"/>
      <x v="343"/>
      <x v="710"/>
      <x v="611"/>
    </i>
    <i r="1">
      <x v="33"/>
      <x v="7"/>
      <x v="343"/>
      <x v="3189"/>
      <x v="611"/>
    </i>
    <i r="1">
      <x v="35"/>
      <x v="1"/>
      <x v="343"/>
      <x v="80"/>
      <x v="611"/>
    </i>
    <i r="2">
      <x v="37"/>
      <x v="343"/>
      <x v="2588"/>
      <x v="611"/>
    </i>
    <i>
      <x v="313"/>
      <x/>
      <x v="12"/>
      <x v="4"/>
      <x v="2938"/>
      <x v="611"/>
    </i>
    <i r="3">
      <x v="49"/>
      <x v="20"/>
      <x v="611"/>
    </i>
    <i r="1">
      <x v="3"/>
      <x v="37"/>
      <x v="412"/>
      <x v="314"/>
      <x v="611"/>
    </i>
    <i>
      <x v="314"/>
      <x/>
      <x v="1"/>
      <x v="373"/>
      <x v="80"/>
      <x v="611"/>
    </i>
    <i r="4">
      <x v="3141"/>
      <x v="611"/>
    </i>
    <i r="2">
      <x v="8"/>
      <x v="373"/>
      <x v="2944"/>
      <x v="611"/>
    </i>
    <i r="4">
      <x v="2976"/>
      <x v="611"/>
    </i>
    <i r="2">
      <x v="9"/>
      <x v="373"/>
      <x v="248"/>
      <x v="611"/>
    </i>
    <i r="4">
      <x v="3200"/>
      <x v="611"/>
    </i>
    <i r="4">
      <x v="3220"/>
      <x v="611"/>
    </i>
    <i r="4">
      <x v="3240"/>
      <x v="611"/>
    </i>
    <i r="4">
      <x v="3330"/>
      <x v="611"/>
    </i>
    <i r="4">
      <x v="3361"/>
      <x v="611"/>
    </i>
    <i r="4">
      <x v="3401"/>
      <x v="611"/>
    </i>
    <i r="4">
      <x v="3534"/>
      <x v="611"/>
    </i>
    <i r="2">
      <x v="12"/>
      <x v="50"/>
      <x v="248"/>
      <x v="611"/>
    </i>
    <i r="1">
      <x v="3"/>
      <x v="6"/>
      <x v="373"/>
      <x v="3461"/>
      <x v="611"/>
    </i>
    <i r="2">
      <x v="37"/>
      <x v="373"/>
      <x v="94"/>
      <x v="611"/>
    </i>
    <i r="1">
      <x v="7"/>
      <x v="8"/>
      <x v="373"/>
      <x v="3112"/>
      <x v="611"/>
    </i>
    <i r="2">
      <x v="9"/>
      <x v="373"/>
      <x v="3504"/>
      <x v="611"/>
    </i>
    <i r="2">
      <x v="10"/>
      <x v="373"/>
      <x v="2861"/>
      <x v="611"/>
    </i>
    <i r="1">
      <x v="12"/>
      <x v="1"/>
      <x v="373"/>
      <x v="80"/>
      <x v="611"/>
    </i>
    <i r="4">
      <x v="213"/>
      <x v="611"/>
    </i>
    <i r="4">
      <x v="352"/>
      <x v="611"/>
    </i>
    <i r="4">
      <x v="500"/>
      <x v="611"/>
    </i>
    <i r="4">
      <x v="607"/>
      <x v="611"/>
    </i>
    <i r="4">
      <x v="702"/>
      <x v="611"/>
    </i>
    <i r="4">
      <x v="771"/>
      <x v="611"/>
    </i>
    <i r="4">
      <x v="911"/>
      <x v="611"/>
    </i>
    <i r="1">
      <x v="23"/>
      <x v="6"/>
      <x v="373"/>
      <x v="3486"/>
      <x v="611"/>
    </i>
    <i r="2">
      <x v="8"/>
      <x v="373"/>
      <x v="3022"/>
      <x v="611"/>
    </i>
    <i r="2">
      <x v="33"/>
      <x v="373"/>
      <x v="371"/>
      <x v="611"/>
    </i>
    <i r="1">
      <x v="24"/>
      <x v="6"/>
      <x v="373"/>
      <x v="688"/>
      <x v="611"/>
    </i>
    <i r="2">
      <x v="37"/>
      <x v="373"/>
      <x v="2623"/>
      <x v="611"/>
    </i>
    <i r="1">
      <x v="26"/>
      <x v="8"/>
      <x v="373"/>
      <x v="3007"/>
      <x v="611"/>
    </i>
    <i r="1">
      <x v="28"/>
      <x v="8"/>
      <x v="373"/>
      <x v="3004"/>
      <x v="611"/>
    </i>
    <i r="1">
      <x v="35"/>
      <x v="1"/>
      <x v="373"/>
      <x v="213"/>
      <x v="611"/>
    </i>
    <i r="1">
      <x v="36"/>
      <x v="1"/>
      <x v="373"/>
      <x v="3035"/>
      <x v="611"/>
    </i>
    <i r="2">
      <x v="6"/>
      <x v="373"/>
      <x v="371"/>
      <x v="611"/>
    </i>
    <i r="2">
      <x v="9"/>
      <x v="373"/>
      <x v="3445"/>
      <x v="611"/>
    </i>
    <i>
      <x v="315"/>
      <x/>
      <x v="8"/>
      <x v="346"/>
      <x v="300"/>
      <x v="611"/>
    </i>
    <i r="4">
      <x v="431"/>
      <x v="611"/>
    </i>
    <i r="4">
      <x v="1076"/>
      <x v="611"/>
    </i>
    <i r="4">
      <x v="2949"/>
      <x v="611"/>
    </i>
    <i r="2">
      <x v="9"/>
      <x v="346"/>
      <x v="528"/>
      <x v="611"/>
    </i>
    <i r="4">
      <x v="1036"/>
      <x v="611"/>
    </i>
    <i r="4">
      <x v="3218"/>
      <x v="611"/>
    </i>
    <i r="4">
      <x v="3265"/>
      <x v="611"/>
    </i>
    <i r="4">
      <x v="3291"/>
      <x v="611"/>
    </i>
    <i r="4">
      <x v="3299"/>
      <x v="611"/>
    </i>
    <i r="4">
      <x v="3374"/>
      <x v="611"/>
    </i>
    <i r="4">
      <x v="3390"/>
      <x v="611"/>
    </i>
    <i r="4">
      <x v="3525"/>
      <x v="611"/>
    </i>
    <i r="2">
      <x v="10"/>
      <x v="346"/>
      <x/>
      <x v="427"/>
    </i>
    <i r="2">
      <x v="12"/>
      <x v="59"/>
      <x v="6"/>
      <x v="611"/>
    </i>
    <i r="3">
      <x v="62"/>
      <x v="85"/>
      <x v="611"/>
    </i>
    <i r="3">
      <x v="65"/>
      <x v="6"/>
      <x v="611"/>
    </i>
    <i r="1">
      <x v="12"/>
      <x v="1"/>
      <x v="346"/>
      <x v="352"/>
      <x v="611"/>
    </i>
    <i r="4">
      <x v="500"/>
      <x v="611"/>
    </i>
    <i r="4">
      <x v="1028"/>
      <x v="611"/>
    </i>
    <i r="1">
      <x v="15"/>
      <x v="9"/>
      <x v="346"/>
      <x v="422"/>
      <x v="611"/>
    </i>
    <i r="2">
      <x v="10"/>
      <x v="346"/>
      <x/>
      <x v="302"/>
    </i>
    <i r="2">
      <x v="38"/>
      <x v="346"/>
      <x v="2652"/>
      <x v="611"/>
    </i>
    <i r="1">
      <x v="19"/>
      <x v="1"/>
      <x v="346"/>
      <x v="3086"/>
      <x v="611"/>
    </i>
    <i r="1">
      <x v="23"/>
      <x v="7"/>
      <x v="346"/>
      <x v="371"/>
      <x v="611"/>
    </i>
    <i r="1">
      <x v="36"/>
      <x v="33"/>
      <x v="346"/>
      <x v="3181"/>
      <x v="611"/>
    </i>
    <i r="1">
      <x v="37"/>
      <x v="33"/>
      <x v="346"/>
      <x v="371"/>
      <x v="611"/>
    </i>
    <i>
      <x v="316"/>
      <x/>
      <x v="12"/>
      <x v="16"/>
      <x v="262"/>
      <x v="611"/>
    </i>
    <i r="3">
      <x v="57"/>
      <x v="59"/>
      <x v="611"/>
    </i>
    <i r="1">
      <x v="3"/>
      <x v="1"/>
      <x v="383"/>
      <x v="734"/>
      <x v="611"/>
    </i>
    <i r="2">
      <x v="37"/>
      <x v="383"/>
      <x v="193"/>
      <x v="611"/>
    </i>
    <i r="1">
      <x v="6"/>
      <x v="37"/>
      <x v="383"/>
      <x v="1125"/>
      <x v="611"/>
    </i>
    <i r="1">
      <x v="11"/>
      <x v="37"/>
      <x v="383"/>
      <x v="2820"/>
      <x v="611"/>
    </i>
    <i r="1">
      <x v="12"/>
      <x v="1"/>
      <x v="383"/>
      <x v="80"/>
      <x v="611"/>
    </i>
    <i r="4">
      <x v="213"/>
      <x v="611"/>
    </i>
    <i r="4">
      <x v="352"/>
      <x v="611"/>
    </i>
    <i r="4">
      <x v="500"/>
      <x v="611"/>
    </i>
    <i r="4">
      <x v="771"/>
      <x v="611"/>
    </i>
    <i r="1">
      <x v="15"/>
      <x v="38"/>
      <x v="383"/>
      <x v="1274"/>
      <x v="611"/>
    </i>
    <i r="1">
      <x v="17"/>
      <x v="37"/>
      <x v="383"/>
      <x v="2665"/>
      <x v="611"/>
    </i>
    <i r="1">
      <x v="21"/>
      <x v="38"/>
      <x v="383"/>
      <x v="2800"/>
      <x v="611"/>
    </i>
    <i r="1">
      <x v="23"/>
      <x v="38"/>
      <x v="383"/>
      <x v="2755"/>
      <x v="611"/>
    </i>
    <i r="1">
      <x v="27"/>
      <x v="6"/>
      <x v="383"/>
      <x v="3513"/>
      <x v="611"/>
    </i>
    <i r="1">
      <x v="35"/>
      <x v="1"/>
      <x v="383"/>
      <x v="213"/>
      <x v="611"/>
    </i>
    <i r="1">
      <x v="40"/>
      <x v="37"/>
      <x v="383"/>
      <x v="2695"/>
      <x v="611"/>
    </i>
    <i>
      <x v="317"/>
      <x/>
      <x v="9"/>
      <x v="349"/>
      <x v="3338"/>
      <x v="611"/>
    </i>
    <i r="4">
      <x v="3388"/>
      <x v="611"/>
    </i>
    <i r="2">
      <x v="12"/>
      <x v="4"/>
      <x v="125"/>
      <x v="611"/>
    </i>
    <i r="3">
      <x v="59"/>
      <x v="6"/>
      <x v="611"/>
    </i>
    <i r="3">
      <x v="68"/>
      <x v="6"/>
      <x v="611"/>
    </i>
    <i r="1">
      <x v="8"/>
      <x v="37"/>
      <x v="349"/>
      <x v="2899"/>
      <x v="611"/>
    </i>
    <i r="1">
      <x v="12"/>
      <x v="1"/>
      <x v="349"/>
      <x v="80"/>
      <x v="611"/>
    </i>
    <i r="4">
      <x v="213"/>
      <x v="611"/>
    </i>
    <i r="2">
      <x v="37"/>
      <x v="349"/>
      <x v="80"/>
      <x v="611"/>
    </i>
    <i r="1">
      <x v="15"/>
      <x v="6"/>
      <x v="349"/>
      <x v="2991"/>
      <x v="611"/>
    </i>
    <i r="1">
      <x v="19"/>
      <x v="1"/>
      <x v="349"/>
      <x v="3082"/>
      <x v="611"/>
    </i>
    <i r="1">
      <x v="34"/>
      <x v="37"/>
      <x v="349"/>
      <x v="315"/>
      <x v="611"/>
    </i>
    <i r="1">
      <x v="36"/>
      <x v="1"/>
      <x v="349"/>
      <x v="3040"/>
      <x v="611"/>
    </i>
    <i>
      <x v="318"/>
      <x/>
      <x v="12"/>
      <x v="21"/>
      <x v="24"/>
      <x v="611"/>
    </i>
    <i r="3">
      <x v="59"/>
      <x v="2598"/>
      <x v="611"/>
    </i>
    <i r="1">
      <x v="3"/>
      <x v="37"/>
      <x v="385"/>
      <x v="109"/>
      <x v="611"/>
    </i>
    <i r="2">
      <x v="38"/>
      <x v="385"/>
      <x v="1007"/>
      <x v="611"/>
    </i>
    <i r="1">
      <x v="5"/>
      <x v="38"/>
      <x v="385"/>
      <x v="2657"/>
      <x v="611"/>
    </i>
    <i r="1">
      <x v="7"/>
      <x v="37"/>
      <x v="385"/>
      <x v="2500"/>
      <x v="611"/>
    </i>
    <i r="2">
      <x v="38"/>
      <x v="385"/>
      <x v="1007"/>
      <x v="611"/>
    </i>
    <i r="1">
      <x v="11"/>
      <x v="38"/>
      <x v="385"/>
      <x v="2657"/>
      <x v="611"/>
    </i>
    <i r="1">
      <x v="12"/>
      <x v="1"/>
      <x v="385"/>
      <x v="80"/>
      <x v="611"/>
    </i>
    <i r="4">
      <x v="213"/>
      <x v="611"/>
    </i>
    <i r="4">
      <x v="352"/>
      <x v="611"/>
    </i>
    <i r="4">
      <x v="607"/>
      <x v="611"/>
    </i>
    <i r="4">
      <x v="702"/>
      <x v="611"/>
    </i>
    <i r="4">
      <x v="911"/>
      <x v="611"/>
    </i>
    <i r="4">
      <x v="1028"/>
      <x v="611"/>
    </i>
    <i r="1">
      <x v="15"/>
      <x v="37"/>
      <x v="385"/>
      <x v="1199"/>
      <x v="611"/>
    </i>
    <i r="1">
      <x v="23"/>
      <x v="37"/>
      <x v="385"/>
      <x v="2773"/>
      <x v="611"/>
    </i>
    <i r="1">
      <x v="35"/>
      <x v="1"/>
      <x v="385"/>
      <x v="80"/>
      <x v="611"/>
    </i>
    <i>
      <x v="319"/>
      <x/>
      <x v="12"/>
      <x v="60"/>
      <x v="32"/>
      <x v="611"/>
    </i>
    <i r="1">
      <x v="2"/>
      <x v="10"/>
      <x v="359"/>
      <x v="2726"/>
      <x v="611"/>
    </i>
    <i r="1">
      <x v="3"/>
      <x v="10"/>
      <x v="359"/>
      <x v="2706"/>
      <x v="611"/>
    </i>
    <i r="2">
      <x v="37"/>
      <x v="359"/>
      <x v="109"/>
      <x v="611"/>
    </i>
    <i r="1">
      <x v="11"/>
      <x v="10"/>
      <x v="359"/>
      <x v="2825"/>
      <x v="611"/>
    </i>
    <i r="1">
      <x v="21"/>
      <x v="37"/>
      <x v="359"/>
      <x v="2802"/>
      <x v="611"/>
    </i>
    <i r="1">
      <x v="26"/>
      <x v="37"/>
      <x v="359"/>
      <x v="469"/>
      <x v="611"/>
    </i>
    <i r="1">
      <x v="36"/>
      <x v="10"/>
      <x v="359"/>
      <x v="2687"/>
      <x v="611"/>
    </i>
    <i r="1">
      <x v="37"/>
      <x v="10"/>
      <x v="359"/>
      <x v="2744"/>
      <x v="611"/>
    </i>
    <i r="1">
      <x v="38"/>
      <x v="10"/>
      <x v="359"/>
      <x v="1045"/>
      <x v="611"/>
    </i>
    <i>
      <x v="320"/>
      <x/>
      <x v="8"/>
      <x v="425"/>
      <x v="3137"/>
      <x v="611"/>
    </i>
    <i r="2">
      <x v="9"/>
      <x v="425"/>
      <x v="2568"/>
      <x v="611"/>
    </i>
    <i r="4">
      <x v="3379"/>
      <x v="611"/>
    </i>
    <i r="2">
      <x v="12"/>
      <x v="60"/>
      <x v="9"/>
      <x v="611"/>
    </i>
    <i r="1">
      <x v="3"/>
      <x v="1"/>
      <x v="425"/>
      <x v="3061"/>
      <x v="611"/>
    </i>
    <i r="1">
      <x v="12"/>
      <x v="1"/>
      <x v="425"/>
      <x v="80"/>
      <x v="611"/>
    </i>
    <i r="4">
      <x v="213"/>
      <x v="611"/>
    </i>
    <i r="4">
      <x v="352"/>
      <x v="611"/>
    </i>
    <i r="1">
      <x v="15"/>
      <x v="7"/>
      <x v="425"/>
      <x v="3170"/>
      <x v="611"/>
    </i>
    <i r="1">
      <x v="17"/>
      <x v="6"/>
      <x v="425"/>
      <x v="3435"/>
      <x v="611"/>
    </i>
    <i r="1">
      <x v="21"/>
      <x v="1"/>
      <x v="425"/>
      <x v="3092"/>
      <x v="611"/>
    </i>
    <i r="1">
      <x v="23"/>
      <x v="7"/>
      <x v="425"/>
      <x v="933"/>
      <x v="611"/>
    </i>
    <i r="2">
      <x v="37"/>
      <x v="425"/>
      <x v="2792"/>
      <x v="611"/>
    </i>
    <i r="1">
      <x v="24"/>
      <x v="6"/>
      <x v="425"/>
      <x v="3415"/>
      <x v="611"/>
    </i>
    <i>
      <x v="321"/>
      <x/>
      <x v="12"/>
      <x v="60"/>
      <x v="32"/>
      <x v="611"/>
    </i>
    <i r="1">
      <x v="6"/>
      <x v="37"/>
      <x v="377"/>
      <x v="561"/>
      <x v="611"/>
    </i>
    <i r="1">
      <x v="10"/>
      <x v="38"/>
      <x v="377"/>
      <x v="2631"/>
      <x v="611"/>
    </i>
    <i r="1">
      <x v="12"/>
      <x v="1"/>
      <x v="377"/>
      <x v="80"/>
      <x v="611"/>
    </i>
    <i r="4">
      <x v="352"/>
      <x v="611"/>
    </i>
    <i r="4">
      <x v="500"/>
      <x v="611"/>
    </i>
    <i r="4">
      <x v="607"/>
      <x v="611"/>
    </i>
    <i r="4">
      <x v="702"/>
      <x v="611"/>
    </i>
    <i r="1">
      <x v="33"/>
      <x v="33"/>
      <x v="377"/>
      <x v="3191"/>
      <x v="611"/>
    </i>
    <i r="1">
      <x v="35"/>
      <x v="1"/>
      <x v="377"/>
      <x v="80"/>
      <x v="611"/>
    </i>
    <i>
      <x v="322"/>
      <x/>
      <x v="6"/>
      <x v="405"/>
      <x v="3287"/>
      <x v="611"/>
    </i>
    <i r="2">
      <x v="9"/>
      <x v="405"/>
      <x v="3280"/>
      <x v="611"/>
    </i>
    <i r="4">
      <x v="3328"/>
      <x v="611"/>
    </i>
    <i r="4">
      <x v="3337"/>
      <x v="611"/>
    </i>
    <i r="2">
      <x v="12"/>
      <x v="64"/>
      <x v="371"/>
      <x v="611"/>
    </i>
    <i r="1">
      <x v="6"/>
      <x v="37"/>
      <x v="405"/>
      <x v="2887"/>
      <x v="611"/>
    </i>
    <i r="1">
      <x v="12"/>
      <x v="1"/>
      <x v="405"/>
      <x v="80"/>
      <x v="611"/>
    </i>
    <i r="4">
      <x v="213"/>
      <x v="611"/>
    </i>
    <i r="4">
      <x v="352"/>
      <x v="611"/>
    </i>
    <i r="4">
      <x v="607"/>
      <x v="611"/>
    </i>
    <i r="1">
      <x v="14"/>
      <x v="6"/>
      <x v="405"/>
      <x v="3442"/>
      <x v="611"/>
    </i>
    <i r="1">
      <x v="17"/>
      <x v="6"/>
      <x v="405"/>
      <x v="3436"/>
      <x v="611"/>
    </i>
    <i r="2">
      <x v="10"/>
      <x v="405"/>
      <x/>
      <x v="105"/>
    </i>
    <i r="1">
      <x v="23"/>
      <x v="6"/>
      <x v="405"/>
      <x v="3493"/>
      <x v="611"/>
    </i>
    <i r="2">
      <x v="9"/>
      <x v="405"/>
      <x v="3494"/>
      <x v="611"/>
    </i>
    <i r="2">
      <x v="37"/>
      <x v="405"/>
      <x v="2799"/>
      <x v="611"/>
    </i>
    <i r="1">
      <x v="25"/>
      <x v="9"/>
      <x v="405"/>
      <x v="1631"/>
      <x v="611"/>
    </i>
    <i r="1">
      <x v="35"/>
      <x v="1"/>
      <x v="405"/>
      <x v="80"/>
      <x v="611"/>
    </i>
    <i r="1">
      <x v="37"/>
      <x v="9"/>
      <x v="405"/>
      <x v="3485"/>
      <x v="611"/>
    </i>
    <i>
      <x v="323"/>
      <x/>
      <x v="1"/>
      <x v="368"/>
      <x v="80"/>
      <x v="611"/>
    </i>
    <i r="2">
      <x v="9"/>
      <x v="368"/>
      <x v="371"/>
      <x v="611"/>
    </i>
    <i r="4">
      <x v="2708"/>
      <x v="611"/>
    </i>
    <i r="4">
      <x v="3207"/>
      <x v="611"/>
    </i>
    <i r="4">
      <x v="3259"/>
      <x v="611"/>
    </i>
    <i r="4">
      <x v="3400"/>
      <x v="611"/>
    </i>
    <i r="2">
      <x v="12"/>
      <x v="65"/>
      <x v="180"/>
      <x v="611"/>
    </i>
    <i r="1">
      <x v="3"/>
      <x v="1"/>
      <x v="368"/>
      <x v="109"/>
      <x v="611"/>
    </i>
    <i r="2">
      <x v="37"/>
      <x v="368"/>
      <x v="109"/>
      <x v="611"/>
    </i>
    <i r="1">
      <x v="5"/>
      <x v="8"/>
      <x v="368"/>
      <x v="694"/>
      <x v="611"/>
    </i>
    <i r="1">
      <x v="8"/>
      <x v="37"/>
      <x v="368"/>
      <x v="2918"/>
      <x v="611"/>
    </i>
    <i r="1">
      <x v="9"/>
      <x v="8"/>
      <x v="368"/>
      <x v="2999"/>
      <x v="611"/>
    </i>
    <i r="1">
      <x v="11"/>
      <x v="37"/>
      <x v="368"/>
      <x v="2835"/>
      <x v="611"/>
    </i>
    <i r="1">
      <x v="12"/>
      <x v="1"/>
      <x v="368"/>
      <x v="80"/>
      <x v="611"/>
    </i>
    <i r="4">
      <x v="607"/>
      <x v="611"/>
    </i>
    <i r="1">
      <x v="17"/>
      <x v="37"/>
      <x v="368"/>
      <x v="2674"/>
      <x v="611"/>
    </i>
    <i r="1">
      <x v="19"/>
      <x v="6"/>
      <x v="368"/>
      <x v="3481"/>
      <x v="611"/>
    </i>
    <i r="1">
      <x v="26"/>
      <x v="38"/>
      <x v="368"/>
      <x v="539"/>
      <x v="611"/>
    </i>
    <i>
      <x v="324"/>
      <x/>
      <x v="9"/>
      <x v="354"/>
      <x v="261"/>
      <x v="611"/>
    </i>
    <i r="4">
      <x v="469"/>
      <x v="611"/>
    </i>
    <i r="4">
      <x v="2419"/>
      <x v="611"/>
    </i>
    <i r="4">
      <x v="3237"/>
      <x v="611"/>
    </i>
    <i r="4">
      <x v="3345"/>
      <x v="611"/>
    </i>
    <i r="4">
      <x v="3536"/>
      <x v="611"/>
    </i>
    <i r="1">
      <x v="2"/>
      <x v="10"/>
      <x v="354"/>
      <x v="2728"/>
      <x v="611"/>
    </i>
    <i r="1">
      <x v="3"/>
      <x v="10"/>
      <x v="354"/>
      <x v="2712"/>
      <x v="611"/>
    </i>
    <i r="1">
      <x v="9"/>
      <x v="10"/>
      <x v="354"/>
      <x v="329"/>
      <x v="611"/>
    </i>
    <i r="1">
      <x v="11"/>
      <x v="1"/>
      <x v="354"/>
      <x v="3103"/>
      <x v="611"/>
    </i>
    <i r="2">
      <x v="10"/>
      <x v="354"/>
      <x v="2832"/>
      <x v="611"/>
    </i>
    <i r="1">
      <x v="12"/>
      <x v="1"/>
      <x v="354"/>
      <x v="80"/>
      <x v="611"/>
    </i>
    <i r="4">
      <x v="213"/>
      <x v="611"/>
    </i>
    <i r="4">
      <x v="500"/>
      <x v="611"/>
    </i>
    <i r="4">
      <x v="702"/>
      <x v="611"/>
    </i>
    <i r="1">
      <x v="36"/>
      <x v="1"/>
      <x v="354"/>
      <x v="3050"/>
      <x v="611"/>
    </i>
    <i r="2">
      <x v="6"/>
      <x v="354"/>
      <x v="3450"/>
      <x v="611"/>
    </i>
    <i r="2">
      <x v="10"/>
      <x v="354"/>
      <x v="2689"/>
      <x v="611"/>
    </i>
    <i r="1">
      <x v="37"/>
      <x v="10"/>
      <x v="354"/>
      <x v="2746"/>
      <x v="611"/>
    </i>
    <i r="1">
      <x v="38"/>
      <x v="10"/>
      <x v="354"/>
      <x v="2606"/>
      <x v="611"/>
    </i>
    <i>
      <x v="325"/>
      <x/>
      <x v="8"/>
      <x v="356"/>
      <x v="3136"/>
      <x v="611"/>
    </i>
    <i r="2">
      <x v="9"/>
      <x v="356"/>
      <x v="275"/>
      <x v="611"/>
    </i>
    <i r="4">
      <x v="2432"/>
      <x v="611"/>
    </i>
    <i r="4">
      <x v="3248"/>
      <x v="611"/>
    </i>
    <i r="4">
      <x v="3285"/>
      <x v="611"/>
    </i>
    <i r="4">
      <x v="3310"/>
      <x v="611"/>
    </i>
    <i r="4">
      <x v="3364"/>
      <x v="611"/>
    </i>
    <i r="4">
      <x v="3527"/>
      <x v="611"/>
    </i>
    <i r="2">
      <x v="37"/>
      <x v="356"/>
      <x v="262"/>
      <x v="611"/>
    </i>
    <i r="1">
      <x v="2"/>
      <x v="10"/>
      <x v="356"/>
      <x v="2732"/>
      <x v="611"/>
    </i>
    <i r="1">
      <x v="3"/>
      <x v="9"/>
      <x v="356"/>
      <x v="3463"/>
      <x v="611"/>
    </i>
    <i r="2">
      <x v="10"/>
      <x v="356"/>
      <x v="2720"/>
      <x v="611"/>
    </i>
    <i r="1">
      <x v="5"/>
      <x v="37"/>
      <x v="356"/>
      <x v="2857"/>
      <x v="611"/>
    </i>
    <i r="1">
      <x v="7"/>
      <x v="8"/>
      <x v="356"/>
      <x v="3123"/>
      <x v="611"/>
    </i>
    <i r="2">
      <x v="10"/>
      <x v="356"/>
      <x v="314"/>
      <x v="611"/>
    </i>
    <i r="1">
      <x v="9"/>
      <x v="10"/>
      <x v="356"/>
      <x v="329"/>
      <x v="611"/>
    </i>
    <i r="1">
      <x v="11"/>
      <x v="10"/>
      <x v="356"/>
      <x v="2836"/>
      <x v="611"/>
    </i>
    <i r="1">
      <x v="14"/>
      <x v="1"/>
      <x v="356"/>
      <x v="819"/>
      <x v="611"/>
    </i>
    <i r="1">
      <x v="15"/>
      <x v="37"/>
      <x v="356"/>
      <x v="2655"/>
      <x v="611"/>
    </i>
    <i r="1">
      <x v="19"/>
      <x v="37"/>
      <x v="356"/>
      <x v="2741"/>
      <x v="611"/>
    </i>
    <i r="1">
      <x v="27"/>
      <x v="6"/>
      <x v="356"/>
      <x v="3520"/>
      <x v="611"/>
    </i>
    <i r="2">
      <x v="37"/>
      <x v="356"/>
      <x v="2934"/>
      <x v="611"/>
    </i>
    <i r="1">
      <x v="34"/>
      <x v="33"/>
      <x v="356"/>
      <x v="1093"/>
      <x v="611"/>
    </i>
    <i r="1">
      <x v="36"/>
      <x v="10"/>
      <x v="356"/>
      <x v="2694"/>
      <x v="611"/>
    </i>
    <i r="1">
      <x v="37"/>
      <x v="10"/>
      <x v="356"/>
      <x v="2752"/>
      <x v="611"/>
    </i>
    <i r="1">
      <x v="38"/>
      <x v="10"/>
      <x v="356"/>
      <x v="2609"/>
      <x v="611"/>
    </i>
    <i>
      <x v="326"/>
      <x/>
      <x v="9"/>
      <x v="357"/>
      <x v="2887"/>
      <x v="611"/>
    </i>
    <i r="4">
      <x v="3305"/>
      <x v="611"/>
    </i>
    <i r="4">
      <x v="3344"/>
      <x v="611"/>
    </i>
    <i r="4">
      <x v="3389"/>
      <x v="611"/>
    </i>
    <i r="1">
      <x v="3"/>
      <x v="37"/>
      <x v="357"/>
      <x v="2709"/>
      <x v="611"/>
    </i>
    <i r="1">
      <x v="12"/>
      <x v="1"/>
      <x v="357"/>
      <x v="352"/>
      <x v="611"/>
    </i>
    <i r="4">
      <x v="500"/>
      <x v="611"/>
    </i>
    <i r="4">
      <x v="607"/>
      <x v="611"/>
    </i>
    <i r="4">
      <x v="846"/>
      <x v="611"/>
    </i>
    <i r="4">
      <x v="1028"/>
      <x v="611"/>
    </i>
    <i r="1">
      <x v="14"/>
      <x v="1"/>
      <x v="357"/>
      <x v="3026"/>
      <x v="611"/>
    </i>
    <i r="1">
      <x v="15"/>
      <x v="9"/>
      <x v="357"/>
      <x v="2101"/>
      <x v="611"/>
    </i>
    <i r="1">
      <x v="19"/>
      <x v="37"/>
      <x v="357"/>
      <x v="2738"/>
      <x v="611"/>
    </i>
    <i r="1">
      <x v="23"/>
      <x v="6"/>
      <x v="357"/>
      <x v="1199"/>
      <x v="611"/>
    </i>
    <i r="1">
      <x v="26"/>
      <x v="10"/>
      <x v="357"/>
      <x/>
      <x v="563"/>
    </i>
    <i r="2">
      <x v="37"/>
      <x v="357"/>
      <x v="2569"/>
      <x v="611"/>
    </i>
    <i r="1">
      <x v="27"/>
      <x v="6"/>
      <x v="357"/>
      <x v="3516"/>
      <x v="611"/>
    </i>
    <i r="1">
      <x v="28"/>
      <x v="37"/>
      <x v="357"/>
      <x v="2604"/>
      <x v="611"/>
    </i>
    <i r="1">
      <x v="29"/>
      <x v="8"/>
      <x v="357"/>
      <x v="3129"/>
      <x v="611"/>
    </i>
    <i r="1">
      <x v="36"/>
      <x v="8"/>
      <x v="357"/>
      <x v="3048"/>
      <x v="611"/>
    </i>
    <i r="2">
      <x v="9"/>
      <x v="357"/>
      <x v="1977"/>
      <x v="611"/>
    </i>
    <i>
      <x v="327"/>
      <x/>
      <x v="12"/>
      <x v="4"/>
      <x v="2939"/>
      <x v="611"/>
    </i>
    <i r="1">
      <x v="2"/>
      <x v="10"/>
      <x v="358"/>
      <x v="2724"/>
      <x v="611"/>
    </i>
    <i r="1">
      <x v="11"/>
      <x v="10"/>
      <x v="358"/>
      <x v="2818"/>
      <x v="611"/>
    </i>
    <i r="1">
      <x v="14"/>
      <x v="6"/>
      <x v="358"/>
      <x v="3438"/>
      <x v="611"/>
    </i>
    <i r="1">
      <x v="23"/>
      <x v="37"/>
      <x v="358"/>
      <x v="2762"/>
      <x v="611"/>
    </i>
    <i r="1">
      <x v="30"/>
      <x v="6"/>
      <x v="358"/>
      <x v="3509"/>
      <x v="611"/>
    </i>
    <i r="1">
      <x v="36"/>
      <x v="10"/>
      <x v="358"/>
      <x v="2686"/>
      <x v="611"/>
    </i>
    <i r="1">
      <x v="37"/>
      <x v="10"/>
      <x v="358"/>
      <x v="2742"/>
      <x v="611"/>
    </i>
    <i r="1">
      <x v="38"/>
      <x v="10"/>
      <x v="358"/>
      <x v="2605"/>
      <x v="611"/>
    </i>
    <i r="1">
      <x v="39"/>
      <x v="1"/>
      <x v="358"/>
      <x v="2996"/>
      <x v="611"/>
    </i>
    <i>
      <x v="328"/>
      <x v="2"/>
      <x v="37"/>
      <x v="379"/>
      <x v="2722"/>
      <x v="611"/>
    </i>
    <i r="1">
      <x v="3"/>
      <x v="37"/>
      <x v="379"/>
      <x v="109"/>
      <x v="611"/>
    </i>
    <i r="1">
      <x v="6"/>
      <x v="37"/>
      <x v="379"/>
      <x v="1141"/>
      <x v="611"/>
    </i>
    <i r="1">
      <x v="12"/>
      <x v="1"/>
      <x v="379"/>
      <x v="80"/>
      <x v="611"/>
    </i>
    <i r="1">
      <x v="15"/>
      <x v="38"/>
      <x v="379"/>
      <x v="1274"/>
      <x v="611"/>
    </i>
    <i r="1">
      <x v="21"/>
      <x v="38"/>
      <x v="379"/>
      <x v="2800"/>
      <x v="611"/>
    </i>
    <i r="1">
      <x v="23"/>
      <x v="38"/>
      <x v="379"/>
      <x v="2755"/>
      <x v="611"/>
    </i>
    <i r="1">
      <x v="35"/>
      <x v="1"/>
      <x v="379"/>
      <x v="80"/>
      <x v="611"/>
    </i>
    <i>
      <x v="329"/>
      <x/>
      <x v="1"/>
      <x v="388"/>
      <x v="80"/>
      <x v="611"/>
    </i>
    <i r="2">
      <x v="8"/>
      <x v="388"/>
      <x v="217"/>
      <x v="611"/>
    </i>
    <i r="4">
      <x v="533"/>
      <x v="611"/>
    </i>
    <i r="4">
      <x v="2965"/>
      <x v="611"/>
    </i>
    <i r="2">
      <x v="9"/>
      <x v="388"/>
      <x v="895"/>
      <x v="611"/>
    </i>
    <i r="4">
      <x v="3216"/>
      <x v="611"/>
    </i>
    <i r="4">
      <x v="3244"/>
      <x v="611"/>
    </i>
    <i r="4">
      <x v="3373"/>
      <x v="611"/>
    </i>
    <i r="4">
      <x v="3404"/>
      <x v="611"/>
    </i>
    <i r="4">
      <x v="3546"/>
      <x v="611"/>
    </i>
    <i r="4">
      <x v="3558"/>
      <x v="611"/>
    </i>
    <i r="2">
      <x v="12"/>
      <x v="71"/>
      <x v="11"/>
      <x v="611"/>
    </i>
    <i r="1">
      <x v="3"/>
      <x v="37"/>
      <x v="388"/>
      <x v="2710"/>
      <x v="611"/>
    </i>
    <i r="1">
      <x v="5"/>
      <x v="38"/>
      <x v="388"/>
      <x v="2849"/>
      <x v="611"/>
    </i>
    <i r="1">
      <x v="7"/>
      <x v="10"/>
      <x v="388"/>
      <x v="2867"/>
      <x v="611"/>
    </i>
    <i r="2">
      <x v="37"/>
      <x v="388"/>
      <x v="329"/>
      <x v="611"/>
    </i>
    <i r="1">
      <x v="8"/>
      <x v="37"/>
      <x v="388"/>
      <x v="2912"/>
      <x v="611"/>
    </i>
    <i r="1">
      <x v="12"/>
      <x v="1"/>
      <x v="388"/>
      <x v="80"/>
      <x v="611"/>
    </i>
    <i r="4">
      <x v="213"/>
      <x v="611"/>
    </i>
    <i r="4">
      <x v="352"/>
      <x v="611"/>
    </i>
    <i r="4">
      <x v="500"/>
      <x v="611"/>
    </i>
    <i r="1">
      <x v="15"/>
      <x v="8"/>
      <x v="388"/>
      <x/>
      <x v="294"/>
    </i>
    <i r="4">
      <x v="809"/>
      <x v="611"/>
    </i>
    <i r="2">
      <x v="9"/>
      <x v="388"/>
      <x v="387"/>
      <x v="611"/>
    </i>
    <i r="2">
      <x v="38"/>
      <x v="388"/>
      <x v="1274"/>
      <x v="611"/>
    </i>
    <i r="1">
      <x v="17"/>
      <x v="8"/>
      <x v="388"/>
      <x v="3024"/>
      <x v="611"/>
    </i>
    <i r="2">
      <x v="9"/>
      <x v="388"/>
      <x v="3431"/>
      <x v="611"/>
    </i>
    <i r="2">
      <x v="10"/>
      <x v="388"/>
      <x v="2673"/>
      <x v="611"/>
    </i>
    <i r="1">
      <x v="19"/>
      <x v="1"/>
      <x v="388"/>
      <x v="3084"/>
      <x v="611"/>
    </i>
    <i r="1">
      <x v="21"/>
      <x v="33"/>
      <x v="388"/>
      <x v="933"/>
      <x v="611"/>
    </i>
    <i r="2">
      <x v="38"/>
      <x v="388"/>
      <x v="2800"/>
      <x v="611"/>
    </i>
    <i r="1">
      <x v="23"/>
      <x v="7"/>
      <x v="388"/>
      <x v="1093"/>
      <x v="611"/>
    </i>
    <i r="2">
      <x v="38"/>
      <x v="388"/>
      <x v="1857"/>
      <x v="611"/>
    </i>
    <i r="1">
      <x v="33"/>
      <x v="8"/>
      <x v="388"/>
      <x/>
      <x v="533"/>
    </i>
    <i r="2">
      <x v="9"/>
      <x v="388"/>
      <x v="502"/>
      <x v="611"/>
    </i>
    <i r="1">
      <x v="34"/>
      <x v="37"/>
      <x v="388"/>
      <x v="2927"/>
      <x v="611"/>
    </i>
    <i r="1">
      <x v="35"/>
      <x v="1"/>
      <x v="388"/>
      <x v="213"/>
      <x v="611"/>
    </i>
    <i r="4">
      <x v="607"/>
      <x v="611"/>
    </i>
    <i>
      <x v="330"/>
      <x/>
      <x v="7"/>
      <x v="390"/>
      <x v="3149"/>
      <x v="611"/>
    </i>
    <i r="2">
      <x v="8"/>
      <x v="390"/>
      <x v="152"/>
      <x v="611"/>
    </i>
    <i r="4">
      <x v="351"/>
      <x v="611"/>
    </i>
    <i r="4">
      <x v="601"/>
      <x v="611"/>
    </i>
    <i r="4">
      <x v="825"/>
      <x v="611"/>
    </i>
    <i r="4">
      <x v="1141"/>
      <x v="611"/>
    </i>
    <i r="4">
      <x v="1893"/>
      <x v="611"/>
    </i>
    <i r="4">
      <x v="2943"/>
      <x v="611"/>
    </i>
    <i r="4">
      <x v="2956"/>
      <x v="611"/>
    </i>
    <i r="4">
      <x v="2959"/>
      <x v="611"/>
    </i>
    <i r="4">
      <x v="2964"/>
      <x v="611"/>
    </i>
    <i r="4">
      <x v="2975"/>
      <x v="611"/>
    </i>
    <i r="4">
      <x v="2977"/>
      <x v="611"/>
    </i>
    <i r="4">
      <x v="2985"/>
      <x v="611"/>
    </i>
    <i r="4">
      <x v="2993"/>
      <x v="611"/>
    </i>
    <i r="4">
      <x v="3139"/>
      <x v="611"/>
    </i>
    <i r="2">
      <x v="9"/>
      <x v="390"/>
      <x v="108"/>
      <x v="611"/>
    </i>
    <i r="4">
      <x v="719"/>
      <x v="611"/>
    </i>
    <i r="4">
      <x v="761"/>
      <x v="611"/>
    </i>
    <i r="4">
      <x v="823"/>
      <x v="611"/>
    </i>
    <i r="4">
      <x v="1188"/>
      <x v="611"/>
    </i>
    <i r="4">
      <x v="1205"/>
      <x v="611"/>
    </i>
    <i r="4">
      <x v="2267"/>
      <x v="611"/>
    </i>
    <i r="4">
      <x v="2604"/>
      <x v="611"/>
    </i>
    <i r="4">
      <x v="3144"/>
      <x v="611"/>
    </i>
    <i r="4">
      <x v="3175"/>
      <x v="611"/>
    </i>
    <i r="4">
      <x v="3258"/>
      <x v="611"/>
    </i>
    <i r="4">
      <x v="3262"/>
      <x v="611"/>
    </i>
    <i r="4">
      <x v="3346"/>
      <x v="611"/>
    </i>
    <i r="4">
      <x v="3532"/>
      <x v="611"/>
    </i>
    <i r="2">
      <x v="10"/>
      <x v="390"/>
      <x v="2936"/>
      <x v="611"/>
    </i>
    <i r="1">
      <x v="2"/>
      <x v="8"/>
      <x v="390"/>
      <x v="3074"/>
      <x v="611"/>
    </i>
    <i r="1">
      <x v="15"/>
      <x v="8"/>
      <x v="390"/>
      <x v="278"/>
      <x v="611"/>
    </i>
    <i r="2">
      <x v="9"/>
      <x v="390"/>
      <x v="278"/>
      <x v="611"/>
    </i>
    <i r="2">
      <x v="37"/>
      <x v="390"/>
      <x v="633"/>
      <x v="611"/>
    </i>
    <i r="1">
      <x v="40"/>
      <x v="8"/>
      <x v="390"/>
      <x v="3055"/>
      <x v="611"/>
    </i>
    <i>
      <x v="331"/>
      <x v="3"/>
      <x v="37"/>
      <x v="397"/>
      <x v="2491"/>
      <x v="611"/>
    </i>
    <i r="1">
      <x v="7"/>
      <x v="37"/>
      <x v="397"/>
      <x v="2871"/>
      <x v="611"/>
    </i>
    <i r="1">
      <x v="12"/>
      <x v="1"/>
      <x v="397"/>
      <x v="80"/>
      <x v="611"/>
    </i>
    <i r="4">
      <x v="213"/>
      <x v="611"/>
    </i>
    <i r="4">
      <x v="352"/>
      <x v="611"/>
    </i>
    <i r="4">
      <x v="607"/>
      <x v="611"/>
    </i>
    <i r="1">
      <x v="14"/>
      <x v="37"/>
      <x v="397"/>
      <x v="1333"/>
      <x v="611"/>
    </i>
    <i r="1">
      <x v="15"/>
      <x v="37"/>
      <x v="397"/>
      <x v="964"/>
      <x v="611"/>
    </i>
    <i r="1">
      <x v="23"/>
      <x v="37"/>
      <x v="397"/>
      <x v="2794"/>
      <x v="611"/>
    </i>
    <i r="1">
      <x v="24"/>
      <x v="6"/>
      <x v="397"/>
      <x v="3417"/>
      <x v="611"/>
    </i>
    <i r="1">
      <x v="27"/>
      <x v="1"/>
      <x v="397"/>
      <x v="3130"/>
      <x v="611"/>
    </i>
    <i r="2">
      <x v="37"/>
      <x v="397"/>
      <x v="109"/>
      <x v="611"/>
    </i>
    <i>
      <x v="332"/>
      <x/>
      <x v="6"/>
      <x v="403"/>
      <x v="689"/>
      <x v="611"/>
    </i>
    <i r="1">
      <x v="2"/>
      <x v="1"/>
      <x v="403"/>
      <x v="3073"/>
      <x v="611"/>
    </i>
    <i r="2">
      <x v="6"/>
      <x v="403"/>
      <x v="3468"/>
      <x v="611"/>
    </i>
    <i r="1">
      <x v="7"/>
      <x v="37"/>
      <x v="403"/>
      <x v="2864"/>
      <x v="611"/>
    </i>
    <i r="1">
      <x v="12"/>
      <x v="1"/>
      <x v="403"/>
      <x v="80"/>
      <x v="611"/>
    </i>
    <i r="4">
      <x v="213"/>
      <x v="611"/>
    </i>
    <i r="1">
      <x v="17"/>
      <x v="37"/>
      <x v="403"/>
      <x v="2670"/>
      <x v="611"/>
    </i>
    <i r="1">
      <x v="23"/>
      <x v="1"/>
      <x v="403"/>
      <x v="199"/>
      <x v="611"/>
    </i>
    <i r="2">
      <x v="6"/>
      <x v="403"/>
      <x v="2395"/>
      <x v="611"/>
    </i>
    <i r="2">
      <x v="37"/>
      <x v="403"/>
      <x v="2778"/>
      <x v="611"/>
    </i>
    <i r="1">
      <x v="33"/>
      <x v="6"/>
      <x v="403"/>
      <x v="456"/>
      <x v="611"/>
    </i>
    <i>
      <x v="333"/>
      <x v="3"/>
      <x v="37"/>
      <x v="406"/>
      <x v="9"/>
      <x v="611"/>
    </i>
    <i r="1">
      <x v="6"/>
      <x v="37"/>
      <x v="406"/>
      <x v="2876"/>
      <x v="611"/>
    </i>
    <i r="1">
      <x v="12"/>
      <x v="1"/>
      <x v="406"/>
      <x v="80"/>
      <x v="611"/>
    </i>
    <i r="4">
      <x v="213"/>
      <x v="611"/>
    </i>
    <i r="1">
      <x v="14"/>
      <x v="37"/>
      <x v="406"/>
      <x v="2677"/>
      <x v="611"/>
    </i>
    <i r="1">
      <x v="19"/>
      <x v="37"/>
      <x v="406"/>
      <x v="352"/>
      <x v="611"/>
    </i>
    <i r="1">
      <x v="23"/>
      <x v="1"/>
      <x v="406"/>
      <x v="278"/>
      <x v="611"/>
    </i>
    <i r="2">
      <x v="37"/>
      <x v="406"/>
      <x v="2765"/>
      <x v="611"/>
    </i>
    <i r="1">
      <x v="35"/>
      <x v="1"/>
      <x v="406"/>
      <x v="80"/>
      <x v="611"/>
    </i>
    <i>
      <x v="334"/>
      <x/>
      <x v="1"/>
      <x v="411"/>
      <x v="80"/>
      <x v="611"/>
    </i>
    <i r="2">
      <x v="37"/>
      <x v="411"/>
      <x v="1206"/>
      <x v="611"/>
    </i>
    <i r="1">
      <x v="5"/>
      <x v="37"/>
      <x v="411"/>
      <x v="2842"/>
      <x v="611"/>
    </i>
    <i r="2">
      <x v="38"/>
      <x v="411"/>
      <x v="2841"/>
      <x v="611"/>
    </i>
    <i r="1">
      <x v="11"/>
      <x v="37"/>
      <x v="411"/>
      <x v="1062"/>
      <x v="611"/>
    </i>
    <i r="1">
      <x v="12"/>
      <x v="1"/>
      <x v="411"/>
      <x v="80"/>
      <x v="611"/>
    </i>
    <i r="4">
      <x v="352"/>
      <x v="611"/>
    </i>
    <i r="4">
      <x v="500"/>
      <x v="611"/>
    </i>
    <i r="1">
      <x v="23"/>
      <x v="37"/>
      <x v="411"/>
      <x v="2768"/>
      <x v="611"/>
    </i>
    <i r="1">
      <x v="27"/>
      <x v="38"/>
      <x v="411"/>
      <x v="834"/>
      <x v="611"/>
    </i>
    <i r="1">
      <x v="40"/>
      <x v="37"/>
      <x v="411"/>
      <x v="2697"/>
      <x v="611"/>
    </i>
    <i>
      <x v="335"/>
      <x v="3"/>
      <x v="37"/>
      <x v="416"/>
      <x v="2710"/>
      <x v="611"/>
    </i>
    <i r="1">
      <x v="12"/>
      <x v="1"/>
      <x v="416"/>
      <x v="352"/>
      <x v="611"/>
    </i>
    <i r="4">
      <x v="500"/>
      <x v="611"/>
    </i>
    <i r="4">
      <x v="702"/>
      <x v="611"/>
    </i>
    <i r="4">
      <x v="771"/>
      <x v="611"/>
    </i>
    <i r="1">
      <x v="14"/>
      <x v="6"/>
      <x v="416"/>
      <x v="3440"/>
      <x v="611"/>
    </i>
    <i r="1">
      <x v="35"/>
      <x v="1"/>
      <x v="416"/>
      <x v="500"/>
      <x v="611"/>
    </i>
    <i>
      <x v="336"/>
      <x v="6"/>
      <x v="37"/>
      <x v="428"/>
      <x v="1170"/>
      <x v="611"/>
    </i>
    <i r="1">
      <x v="12"/>
      <x v="1"/>
      <x v="428"/>
      <x v="80"/>
      <x v="611"/>
    </i>
    <i r="4">
      <x v="352"/>
      <x v="611"/>
    </i>
    <i r="1">
      <x v="15"/>
      <x v="1"/>
      <x v="428"/>
      <x v="702"/>
      <x v="611"/>
    </i>
    <i r="1">
      <x v="33"/>
      <x v="37"/>
      <x v="428"/>
      <x v="895"/>
      <x v="611"/>
    </i>
    <i r="1">
      <x v="35"/>
      <x v="1"/>
      <x v="428"/>
      <x v="80"/>
      <x v="611"/>
    </i>
    <i>
      <x v="337"/>
      <x/>
      <x v="12"/>
      <x v="15"/>
      <x v="32"/>
      <x v="611"/>
    </i>
    <i r="1">
      <x v="5"/>
      <x v="38"/>
      <x v="429"/>
      <x v="2840"/>
      <x v="611"/>
    </i>
    <i r="1">
      <x v="11"/>
      <x v="38"/>
      <x v="429"/>
      <x v="2821"/>
      <x v="611"/>
    </i>
    <i r="1">
      <x v="22"/>
      <x v="1"/>
      <x v="429"/>
      <x v="3093"/>
      <x v="611"/>
    </i>
    <i r="1">
      <x v="25"/>
      <x v="6"/>
      <x v="429"/>
      <x v="371"/>
      <x v="611"/>
    </i>
    <i>
      <x v="338"/>
      <x v="8"/>
      <x v="37"/>
      <x v="436"/>
      <x v="410"/>
      <x v="611"/>
    </i>
    <i r="1">
      <x v="12"/>
      <x v="1"/>
      <x v="436"/>
      <x v="80"/>
      <x v="611"/>
    </i>
    <i r="4">
      <x v="213"/>
      <x v="611"/>
    </i>
    <i r="4">
      <x v="500"/>
      <x v="611"/>
    </i>
    <i r="4">
      <x v="607"/>
      <x v="611"/>
    </i>
    <i r="1">
      <x v="27"/>
      <x v="37"/>
      <x v="436"/>
      <x v="109"/>
      <x v="611"/>
    </i>
    <i>
      <x v="339"/>
      <x/>
      <x v="1"/>
      <x v="449"/>
      <x v="80"/>
      <x v="611"/>
    </i>
    <i r="2">
      <x v="6"/>
      <x v="449"/>
      <x v="1007"/>
      <x v="611"/>
    </i>
    <i r="2">
      <x v="8"/>
      <x v="449"/>
      <x v="1141"/>
      <x v="611"/>
    </i>
    <i r="2">
      <x v="11"/>
      <x v="451"/>
      <x v="37"/>
      <x v="611"/>
    </i>
    <i r="1">
      <x v="3"/>
      <x v="1"/>
      <x v="449"/>
      <x v="3058"/>
      <x v="611"/>
    </i>
    <i r="2">
      <x v="6"/>
      <x v="449"/>
      <x v="387"/>
      <x v="611"/>
    </i>
    <i r="1">
      <x v="12"/>
      <x v="1"/>
      <x v="449"/>
      <x v="80"/>
      <x v="611"/>
    </i>
    <i r="4">
      <x v="213"/>
      <x v="611"/>
    </i>
    <i r="4">
      <x v="771"/>
      <x v="611"/>
    </i>
    <i r="1">
      <x v="14"/>
      <x v="33"/>
      <x v="449"/>
      <x v="1308"/>
      <x v="611"/>
    </i>
    <i r="1">
      <x v="19"/>
      <x v="33"/>
      <x v="449"/>
      <x v="3182"/>
      <x v="611"/>
    </i>
    <i r="1">
      <x v="23"/>
      <x v="6"/>
      <x v="449"/>
      <x v="3316"/>
      <x v="611"/>
    </i>
    <i r="1">
      <x v="35"/>
      <x v="1"/>
      <x v="449"/>
      <x v="80"/>
      <x v="611"/>
    </i>
    <i r="1">
      <x v="36"/>
      <x v="6"/>
      <x v="449"/>
      <x v="80"/>
      <x v="611"/>
    </i>
    <i>
      <x v="340"/>
      <x/>
      <x v="6"/>
      <x v="452"/>
      <x v="248"/>
      <x v="611"/>
    </i>
    <i r="2">
      <x v="8"/>
      <x v="452"/>
      <x v="1069"/>
      <x v="611"/>
    </i>
  </rowItems>
  <colItems count="1">
    <i/>
  </colItems>
  <pageFields count="3">
    <pageField fld="4" hier="-1"/>
    <pageField fld="3" hier="-1"/>
    <pageField fld="0" hier="-1"/>
  </pageFields>
  <formats count="5496">
    <format dxfId="5495">
      <pivotArea dataOnly="0" labelOnly="1" fieldPosition="0">
        <references count="5">
          <reference field="1" count="1" selected="0">
            <x v="0"/>
          </reference>
          <reference field="5" count="1" selected="0">
            <x v="0"/>
          </reference>
          <reference field="6" count="1" selected="0">
            <x v="1"/>
          </reference>
          <reference field="7" count="1" selected="0">
            <x v="77"/>
          </reference>
          <reference field="8" count="1">
            <x v="213"/>
          </reference>
        </references>
      </pivotArea>
    </format>
    <format dxfId="5494">
      <pivotArea dataOnly="0" labelOnly="1" fieldPosition="0">
        <references count="5">
          <reference field="1" count="1" selected="0">
            <x v="0"/>
          </reference>
          <reference field="5" count="1" selected="0">
            <x v="0"/>
          </reference>
          <reference field="6" count="1" selected="0">
            <x v="8"/>
          </reference>
          <reference field="7" count="1" selected="0">
            <x v="77"/>
          </reference>
          <reference field="8" count="1">
            <x v="964"/>
          </reference>
        </references>
      </pivotArea>
    </format>
    <format dxfId="5493">
      <pivotArea dataOnly="0" labelOnly="1" fieldPosition="0">
        <references count="5">
          <reference field="1" count="1" selected="0">
            <x v="0"/>
          </reference>
          <reference field="5" count="1" selected="0">
            <x v="0"/>
          </reference>
          <reference field="6" count="1" selected="0">
            <x v="12"/>
          </reference>
          <reference field="7" count="1" selected="0">
            <x v="21"/>
          </reference>
          <reference field="8" count="1">
            <x v="24"/>
          </reference>
        </references>
      </pivotArea>
    </format>
    <format dxfId="5492">
      <pivotArea dataOnly="0" labelOnly="1" fieldPosition="0">
        <references count="5">
          <reference field="1" count="1" selected="0">
            <x v="0"/>
          </reference>
          <reference field="5" count="1" selected="0">
            <x v="0"/>
          </reference>
          <reference field="6" count="1" selected="0">
            <x v="37"/>
          </reference>
          <reference field="7" count="1" selected="0">
            <x v="77"/>
          </reference>
          <reference field="8" count="1">
            <x v="1421"/>
          </reference>
        </references>
      </pivotArea>
    </format>
    <format dxfId="5491">
      <pivotArea dataOnly="0" labelOnly="1" fieldPosition="0">
        <references count="5">
          <reference field="1" count="1" selected="0">
            <x v="0"/>
          </reference>
          <reference field="5" count="1" selected="0">
            <x v="10"/>
          </reference>
          <reference field="6" count="1" selected="0">
            <x v="37"/>
          </reference>
          <reference field="7" count="1" selected="0">
            <x v="77"/>
          </reference>
          <reference field="8" count="1">
            <x v="1361"/>
          </reference>
        </references>
      </pivotArea>
    </format>
    <format dxfId="5490">
      <pivotArea dataOnly="0" labelOnly="1" fieldPosition="0">
        <references count="5">
          <reference field="1" count="1" selected="0">
            <x v="0"/>
          </reference>
          <reference field="5" count="1" selected="0">
            <x v="11"/>
          </reference>
          <reference field="6" count="1" selected="0">
            <x v="37"/>
          </reference>
          <reference field="7" count="1" selected="0">
            <x v="77"/>
          </reference>
          <reference field="8" count="1">
            <x v="490"/>
          </reference>
        </references>
      </pivotArea>
    </format>
    <format dxfId="5489">
      <pivotArea dataOnly="0" labelOnly="1" fieldPosition="0">
        <references count="5">
          <reference field="1" count="1" selected="0">
            <x v="0"/>
          </reference>
          <reference field="5" count="1" selected="0">
            <x v="12"/>
          </reference>
          <reference field="6" count="1" selected="0">
            <x v="1"/>
          </reference>
          <reference field="7" count="1" selected="0">
            <x v="77"/>
          </reference>
          <reference field="8" count="5">
            <x v="80"/>
            <x v="213"/>
            <x v="352"/>
            <x v="500"/>
            <x v="1028"/>
          </reference>
        </references>
      </pivotArea>
    </format>
    <format dxfId="5488">
      <pivotArea dataOnly="0" labelOnly="1" fieldPosition="0">
        <references count="5">
          <reference field="1" count="1" selected="0">
            <x v="0"/>
          </reference>
          <reference field="5" count="1" selected="0">
            <x v="12"/>
          </reference>
          <reference field="6" count="1" selected="0">
            <x v="37"/>
          </reference>
          <reference field="7" count="1" selected="0">
            <x v="77"/>
          </reference>
          <reference field="8" count="2">
            <x v="947"/>
            <x v="1421"/>
          </reference>
        </references>
      </pivotArea>
    </format>
    <format dxfId="5487">
      <pivotArea dataOnly="0" labelOnly="1" fieldPosition="0">
        <references count="5">
          <reference field="1" count="1" selected="0">
            <x v="0"/>
          </reference>
          <reference field="5" count="1" selected="0">
            <x v="19"/>
          </reference>
          <reference field="6" count="1" selected="0">
            <x v="1"/>
          </reference>
          <reference field="7" count="1" selected="0">
            <x v="77"/>
          </reference>
          <reference field="8" count="1">
            <x v="440"/>
          </reference>
        </references>
      </pivotArea>
    </format>
    <format dxfId="5486">
      <pivotArea dataOnly="0" labelOnly="1" fieldPosition="0">
        <references count="5">
          <reference field="1" count="1" selected="0">
            <x v="0"/>
          </reference>
          <reference field="5" count="1" selected="0">
            <x v="35"/>
          </reference>
          <reference field="6" count="1" selected="0">
            <x v="1"/>
          </reference>
          <reference field="7" count="1" selected="0">
            <x v="77"/>
          </reference>
          <reference field="8" count="1">
            <x v="80"/>
          </reference>
        </references>
      </pivotArea>
    </format>
    <format dxfId="5485">
      <pivotArea dataOnly="0" labelOnly="1" fieldPosition="0">
        <references count="5">
          <reference field="1" count="1" selected="0">
            <x v="0"/>
          </reference>
          <reference field="5" count="1" selected="0">
            <x v="35"/>
          </reference>
          <reference field="6" count="1" selected="0">
            <x v="37"/>
          </reference>
          <reference field="7" count="1" selected="0">
            <x v="77"/>
          </reference>
          <reference field="8" count="1">
            <x v="1194"/>
          </reference>
        </references>
      </pivotArea>
    </format>
    <format dxfId="5484">
      <pivotArea dataOnly="0" labelOnly="1" fieldPosition="0">
        <references count="5">
          <reference field="1" count="1" selected="0">
            <x v="1"/>
          </reference>
          <reference field="5" count="1" selected="0">
            <x v="0"/>
          </reference>
          <reference field="6" count="1" selected="0">
            <x v="1"/>
          </reference>
          <reference field="7" count="1" selected="0">
            <x v="78"/>
          </reference>
          <reference field="8" count="1">
            <x v="80"/>
          </reference>
        </references>
      </pivotArea>
    </format>
    <format dxfId="5483">
      <pivotArea dataOnly="0" labelOnly="1" fieldPosition="0">
        <references count="5">
          <reference field="1" count="1" selected="0">
            <x v="1"/>
          </reference>
          <reference field="5" count="1" selected="0">
            <x v="0"/>
          </reference>
          <reference field="6" count="1" selected="0">
            <x v="7"/>
          </reference>
          <reference field="7" count="1" selected="0">
            <x v="78"/>
          </reference>
          <reference field="8" count="3">
            <x v="231"/>
            <x v="665"/>
            <x v="754"/>
          </reference>
        </references>
      </pivotArea>
    </format>
    <format dxfId="5482">
      <pivotArea dataOnly="0" labelOnly="1" fieldPosition="0">
        <references count="5">
          <reference field="1" count="1" selected="0">
            <x v="1"/>
          </reference>
          <reference field="5" count="1" selected="0">
            <x v="0"/>
          </reference>
          <reference field="6" count="1" selected="0">
            <x v="8"/>
          </reference>
          <reference field="7" count="1" selected="0">
            <x v="78"/>
          </reference>
          <reference field="8" count="2">
            <x v="667"/>
            <x v="1156"/>
          </reference>
        </references>
      </pivotArea>
    </format>
    <format dxfId="5481">
      <pivotArea dataOnly="0" labelOnly="1" fieldPosition="0">
        <references count="5">
          <reference field="1" count="1" selected="0">
            <x v="1"/>
          </reference>
          <reference field="5" count="1" selected="0">
            <x v="0"/>
          </reference>
          <reference field="6" count="1" selected="0">
            <x v="12"/>
          </reference>
          <reference field="7" count="1" selected="0">
            <x v="25"/>
          </reference>
          <reference field="8" count="1">
            <x v="180"/>
          </reference>
        </references>
      </pivotArea>
    </format>
    <format dxfId="5480">
      <pivotArea dataOnly="0" labelOnly="1" fieldPosition="0">
        <references count="5">
          <reference field="1" count="1" selected="0">
            <x v="1"/>
          </reference>
          <reference field="5" count="1" selected="0">
            <x v="0"/>
          </reference>
          <reference field="6" count="1" selected="0">
            <x v="12"/>
          </reference>
          <reference field="7" count="1" selected="0">
            <x v="37"/>
          </reference>
          <reference field="8" count="1">
            <x v="199"/>
          </reference>
        </references>
      </pivotArea>
    </format>
    <format dxfId="5479">
      <pivotArea dataOnly="0" labelOnly="1" fieldPosition="0">
        <references count="5">
          <reference field="1" count="1" selected="0">
            <x v="1"/>
          </reference>
          <reference field="5" count="1" selected="0">
            <x v="3"/>
          </reference>
          <reference field="6" count="1" selected="0">
            <x v="37"/>
          </reference>
          <reference field="7" count="1" selected="0">
            <x v="78"/>
          </reference>
          <reference field="8" count="1">
            <x v="109"/>
          </reference>
        </references>
      </pivotArea>
    </format>
    <format dxfId="5478">
      <pivotArea dataOnly="0" labelOnly="1" fieldPosition="0">
        <references count="5">
          <reference field="1" count="1" selected="0">
            <x v="1"/>
          </reference>
          <reference field="5" count="1" selected="0">
            <x v="7"/>
          </reference>
          <reference field="6" count="1" selected="0">
            <x v="8"/>
          </reference>
          <reference field="7" count="1" selected="0">
            <x v="78"/>
          </reference>
          <reference field="8" count="1">
            <x v="1148"/>
          </reference>
        </references>
      </pivotArea>
    </format>
    <format dxfId="5477">
      <pivotArea dataOnly="0" labelOnly="1" fieldPosition="0">
        <references count="5">
          <reference field="1" count="1" selected="0">
            <x v="1"/>
          </reference>
          <reference field="5" count="1" selected="0">
            <x v="12"/>
          </reference>
          <reference field="6" count="1" selected="0">
            <x v="1"/>
          </reference>
          <reference field="7" count="1" selected="0">
            <x v="78"/>
          </reference>
          <reference field="8" count="3">
            <x v="80"/>
            <x v="352"/>
            <x v="771"/>
          </reference>
        </references>
      </pivotArea>
    </format>
    <format dxfId="5476">
      <pivotArea dataOnly="0" labelOnly="1" fieldPosition="0">
        <references count="5">
          <reference field="1" count="1" selected="0">
            <x v="1"/>
          </reference>
          <reference field="5" count="1" selected="0">
            <x v="12"/>
          </reference>
          <reference field="6" count="1" selected="0">
            <x v="37"/>
          </reference>
          <reference field="7" count="1" selected="0">
            <x v="78"/>
          </reference>
          <reference field="8" count="1">
            <x v="1244"/>
          </reference>
        </references>
      </pivotArea>
    </format>
    <format dxfId="5475">
      <pivotArea dataOnly="0" labelOnly="1" fieldPosition="0">
        <references count="5">
          <reference field="1" count="1" selected="0">
            <x v="1"/>
          </reference>
          <reference field="5" count="1" selected="0">
            <x v="15"/>
          </reference>
          <reference field="6" count="1" selected="0">
            <x v="7"/>
          </reference>
          <reference field="7" count="1" selected="0">
            <x v="78"/>
          </reference>
          <reference field="8" count="1">
            <x v="469"/>
          </reference>
        </references>
      </pivotArea>
    </format>
    <format dxfId="5474">
      <pivotArea dataOnly="0" labelOnly="1" fieldPosition="0">
        <references count="5">
          <reference field="1" count="1" selected="0">
            <x v="1"/>
          </reference>
          <reference field="5" count="1" selected="0">
            <x v="15"/>
          </reference>
          <reference field="6" count="1" selected="0">
            <x v="38"/>
          </reference>
          <reference field="7" count="1" selected="0">
            <x v="78"/>
          </reference>
          <reference field="8" count="1">
            <x v="1274"/>
          </reference>
        </references>
      </pivotArea>
    </format>
    <format dxfId="5473">
      <pivotArea dataOnly="0" labelOnly="1" fieldPosition="0">
        <references count="5">
          <reference field="1" count="1" selected="0">
            <x v="1"/>
          </reference>
          <reference field="5" count="1" selected="0">
            <x v="21"/>
          </reference>
          <reference field="6" count="1" selected="0">
            <x v="37"/>
          </reference>
          <reference field="7" count="1" selected="0">
            <x v="78"/>
          </reference>
          <reference field="8" count="1">
            <x v="352"/>
          </reference>
        </references>
      </pivotArea>
    </format>
    <format dxfId="5472">
      <pivotArea dataOnly="0" labelOnly="1" fieldPosition="0">
        <references count="5">
          <reference field="1" count="1" selected="0">
            <x v="1"/>
          </reference>
          <reference field="5" count="1" selected="0">
            <x v="21"/>
          </reference>
          <reference field="6" count="1" selected="0">
            <x v="38"/>
          </reference>
          <reference field="7" count="1" selected="0">
            <x v="78"/>
          </reference>
          <reference field="8" count="1">
            <x v="1274"/>
          </reference>
        </references>
      </pivotArea>
    </format>
    <format dxfId="5471">
      <pivotArea dataOnly="0" labelOnly="1" fieldPosition="0">
        <references count="5">
          <reference field="1" count="1" selected="0">
            <x v="1"/>
          </reference>
          <reference field="5" count="1" selected="0">
            <x v="23"/>
          </reference>
          <reference field="6" count="1" selected="0">
            <x v="38"/>
          </reference>
          <reference field="7" count="1" selected="0">
            <x v="78"/>
          </reference>
          <reference field="8" count="1">
            <x v="1857"/>
          </reference>
        </references>
      </pivotArea>
    </format>
    <format dxfId="5470">
      <pivotArea dataOnly="0" labelOnly="1" fieldPosition="0">
        <references count="5">
          <reference field="1" count="1" selected="0">
            <x v="1"/>
          </reference>
          <reference field="5" count="1" selected="0">
            <x v="35"/>
          </reference>
          <reference field="6" count="1" selected="0">
            <x v="1"/>
          </reference>
          <reference field="7" count="1" selected="0">
            <x v="78"/>
          </reference>
          <reference field="8" count="1">
            <x v="80"/>
          </reference>
        </references>
      </pivotArea>
    </format>
    <format dxfId="5469">
      <pivotArea dataOnly="0" labelOnly="1" fieldPosition="0">
        <references count="5">
          <reference field="1" count="1" selected="0">
            <x v="2"/>
          </reference>
          <reference field="5" count="1" selected="0">
            <x v="0"/>
          </reference>
          <reference field="6" count="1" selected="0">
            <x v="6"/>
          </reference>
          <reference field="7" count="1" selected="0">
            <x v="79"/>
          </reference>
          <reference field="8" count="1">
            <x v="212"/>
          </reference>
        </references>
      </pivotArea>
    </format>
    <format dxfId="5468">
      <pivotArea dataOnly="0" labelOnly="1" fieldPosition="0">
        <references count="5">
          <reference field="1" count="1" selected="0">
            <x v="2"/>
          </reference>
          <reference field="5" count="1" selected="0">
            <x v="0"/>
          </reference>
          <reference field="6" count="1" selected="0">
            <x v="7"/>
          </reference>
          <reference field="7" count="1" selected="0">
            <x v="79"/>
          </reference>
          <reference field="8" count="1">
            <x v="255"/>
          </reference>
        </references>
      </pivotArea>
    </format>
    <format dxfId="5467">
      <pivotArea dataOnly="0" labelOnly="1" fieldPosition="0">
        <references count="5">
          <reference field="1" count="1" selected="0">
            <x v="2"/>
          </reference>
          <reference field="5" count="1" selected="0">
            <x v="0"/>
          </reference>
          <reference field="6" count="1" selected="0">
            <x v="12"/>
          </reference>
          <reference field="7" count="1" selected="0">
            <x v="68"/>
          </reference>
          <reference field="8" count="1">
            <x v="4"/>
          </reference>
        </references>
      </pivotArea>
    </format>
    <format dxfId="5466">
      <pivotArea dataOnly="0" labelOnly="1" fieldPosition="0">
        <references count="5">
          <reference field="1" count="1" selected="0">
            <x v="2"/>
          </reference>
          <reference field="5" count="1" selected="0">
            <x v="0"/>
          </reference>
          <reference field="6" count="1" selected="0">
            <x v="12"/>
          </reference>
          <reference field="7" count="1" selected="0">
            <x v="70"/>
          </reference>
          <reference field="8" count="1">
            <x v="11"/>
          </reference>
        </references>
      </pivotArea>
    </format>
    <format dxfId="5465">
      <pivotArea dataOnly="0" labelOnly="1" fieldPosition="0">
        <references count="5">
          <reference field="1" count="1" selected="0">
            <x v="2"/>
          </reference>
          <reference field="5" count="1" selected="0">
            <x v="3"/>
          </reference>
          <reference field="6" count="1" selected="0">
            <x v="38"/>
          </reference>
          <reference field="7" count="1" selected="0">
            <x v="79"/>
          </reference>
          <reference field="8" count="1">
            <x v="33"/>
          </reference>
        </references>
      </pivotArea>
    </format>
    <format dxfId="5464">
      <pivotArea dataOnly="0" labelOnly="1" fieldPosition="0">
        <references count="5">
          <reference field="1" count="1" selected="0">
            <x v="2"/>
          </reference>
          <reference field="5" count="1" selected="0">
            <x v="8"/>
          </reference>
          <reference field="6" count="1" selected="0">
            <x v="37"/>
          </reference>
          <reference field="7" count="1" selected="0">
            <x v="79"/>
          </reference>
          <reference field="8" count="1">
            <x v="988"/>
          </reference>
        </references>
      </pivotArea>
    </format>
    <format dxfId="5463">
      <pivotArea dataOnly="0" labelOnly="1" fieldPosition="0">
        <references count="5">
          <reference field="1" count="1" selected="0">
            <x v="2"/>
          </reference>
          <reference field="5" count="1" selected="0">
            <x v="12"/>
          </reference>
          <reference field="6" count="1" selected="0">
            <x v="1"/>
          </reference>
          <reference field="7" count="1" selected="0">
            <x v="79"/>
          </reference>
          <reference field="8" count="5">
            <x v="80"/>
            <x v="213"/>
            <x v="352"/>
            <x v="500"/>
            <x v="846"/>
          </reference>
        </references>
      </pivotArea>
    </format>
    <format dxfId="5462">
      <pivotArea dataOnly="0" labelOnly="1" fieldPosition="0">
        <references count="5">
          <reference field="1" count="1" selected="0">
            <x v="2"/>
          </reference>
          <reference field="5" count="1" selected="0">
            <x v="21"/>
          </reference>
          <reference field="6" count="1" selected="0">
            <x v="37"/>
          </reference>
          <reference field="7" count="1" selected="0">
            <x v="79"/>
          </reference>
          <reference field="8" count="1">
            <x v="352"/>
          </reference>
        </references>
      </pivotArea>
    </format>
    <format dxfId="5461">
      <pivotArea dataOnly="0" labelOnly="1" fieldPosition="0">
        <references count="5">
          <reference field="1" count="1" selected="0">
            <x v="2"/>
          </reference>
          <reference field="5" count="1" selected="0">
            <x v="23"/>
          </reference>
          <reference field="6" count="1" selected="0">
            <x v="6"/>
          </reference>
          <reference field="7" count="1" selected="0">
            <x v="79"/>
          </reference>
          <reference field="8" count="1">
            <x v="86"/>
          </reference>
        </references>
      </pivotArea>
    </format>
    <format dxfId="5460">
      <pivotArea dataOnly="0" labelOnly="1" fieldPosition="0">
        <references count="5">
          <reference field="1" count="1" selected="0">
            <x v="2"/>
          </reference>
          <reference field="5" count="1" selected="0">
            <x v="24"/>
          </reference>
          <reference field="6" count="1" selected="0">
            <x v="37"/>
          </reference>
          <reference field="7" count="1" selected="0">
            <x v="79"/>
          </reference>
          <reference field="8" count="1">
            <x v="352"/>
          </reference>
        </references>
      </pivotArea>
    </format>
    <format dxfId="5459">
      <pivotArea dataOnly="0" labelOnly="1" fieldPosition="0">
        <references count="5">
          <reference field="1" count="1" selected="0">
            <x v="2"/>
          </reference>
          <reference field="5" count="1" selected="0">
            <x v="27"/>
          </reference>
          <reference field="6" count="1" selected="0">
            <x v="6"/>
          </reference>
          <reference field="7" count="1" selected="0">
            <x v="79"/>
          </reference>
          <reference field="8" count="1">
            <x v="1495"/>
          </reference>
        </references>
      </pivotArea>
    </format>
    <format dxfId="5458">
      <pivotArea dataOnly="0" labelOnly="1" fieldPosition="0">
        <references count="5">
          <reference field="1" count="1" selected="0">
            <x v="2"/>
          </reference>
          <reference field="5" count="1" selected="0">
            <x v="35"/>
          </reference>
          <reference field="6" count="1" selected="0">
            <x v="1"/>
          </reference>
          <reference field="7" count="1" selected="0">
            <x v="79"/>
          </reference>
          <reference field="8" count="1">
            <x v="80"/>
          </reference>
        </references>
      </pivotArea>
    </format>
    <format dxfId="5457">
      <pivotArea dataOnly="0" labelOnly="1" fieldPosition="0">
        <references count="5">
          <reference field="1" count="1" selected="0">
            <x v="3"/>
          </reference>
          <reference field="5" count="1" selected="0">
            <x v="0"/>
          </reference>
          <reference field="6" count="1" selected="0">
            <x v="6"/>
          </reference>
          <reference field="7" count="1" selected="0">
            <x v="80"/>
          </reference>
          <reference field="8" count="1">
            <x v="795"/>
          </reference>
        </references>
      </pivotArea>
    </format>
    <format dxfId="5456">
      <pivotArea dataOnly="0" labelOnly="1" fieldPosition="0">
        <references count="5">
          <reference field="1" count="1" selected="0">
            <x v="3"/>
          </reference>
          <reference field="5" count="1" selected="0">
            <x v="0"/>
          </reference>
          <reference field="6" count="1" selected="0">
            <x v="12"/>
          </reference>
          <reference field="7" count="1" selected="0">
            <x v="25"/>
          </reference>
          <reference field="8" count="1">
            <x v="895"/>
          </reference>
        </references>
      </pivotArea>
    </format>
    <format dxfId="5455">
      <pivotArea dataOnly="0" labelOnly="1" fieldPosition="0">
        <references count="5">
          <reference field="1" count="1" selected="0">
            <x v="3"/>
          </reference>
          <reference field="5" count="1" selected="0">
            <x v="12"/>
          </reference>
          <reference field="6" count="1" selected="0">
            <x v="1"/>
          </reference>
          <reference field="7" count="1" selected="0">
            <x v="80"/>
          </reference>
          <reference field="8" count="3">
            <x v="80"/>
            <x v="500"/>
            <x v="911"/>
          </reference>
        </references>
      </pivotArea>
    </format>
    <format dxfId="5454">
      <pivotArea dataOnly="0" labelOnly="1" fieldPosition="0">
        <references count="5">
          <reference field="1" count="1" selected="0">
            <x v="3"/>
          </reference>
          <reference field="5" count="1" selected="0">
            <x v="35"/>
          </reference>
          <reference field="6" count="1" selected="0">
            <x v="1"/>
          </reference>
          <reference field="7" count="1" selected="0">
            <x v="80"/>
          </reference>
          <reference field="8" count="1">
            <x v="80"/>
          </reference>
        </references>
      </pivotArea>
    </format>
    <format dxfId="5453">
      <pivotArea dataOnly="0" labelOnly="1" fieldPosition="0">
        <references count="5">
          <reference field="1" count="1" selected="0">
            <x v="4"/>
          </reference>
          <reference field="5" count="1" selected="0">
            <x v="0"/>
          </reference>
          <reference field="6" count="1" selected="0">
            <x v="7"/>
          </reference>
          <reference field="7" count="1" selected="0">
            <x v="81"/>
          </reference>
          <reference field="8" count="1">
            <x v="1163"/>
          </reference>
        </references>
      </pivotArea>
    </format>
    <format dxfId="5452">
      <pivotArea dataOnly="0" labelOnly="1" fieldPosition="0">
        <references count="5">
          <reference field="1" count="1" selected="0">
            <x v="4"/>
          </reference>
          <reference field="5" count="1" selected="0">
            <x v="0"/>
          </reference>
          <reference field="6" count="1" selected="0">
            <x v="8"/>
          </reference>
          <reference field="7" count="1" selected="0">
            <x v="81"/>
          </reference>
          <reference field="8" count="1">
            <x v="854"/>
          </reference>
        </references>
      </pivotArea>
    </format>
    <format dxfId="5451">
      <pivotArea dataOnly="0" labelOnly="1" fieldPosition="0">
        <references count="5">
          <reference field="1" count="1" selected="0">
            <x v="4"/>
          </reference>
          <reference field="5" count="1" selected="0">
            <x v="0"/>
          </reference>
          <reference field="6" count="1" selected="0">
            <x v="12"/>
          </reference>
          <reference field="7" count="1" selected="0">
            <x v="29"/>
          </reference>
          <reference field="8" count="1">
            <x v="98"/>
          </reference>
        </references>
      </pivotArea>
    </format>
    <format dxfId="5450">
      <pivotArea dataOnly="0" labelOnly="1" fieldPosition="0">
        <references count="5">
          <reference field="1" count="1" selected="0">
            <x v="4"/>
          </reference>
          <reference field="5" count="1" selected="0">
            <x v="0"/>
          </reference>
          <reference field="6" count="1" selected="0">
            <x v="12"/>
          </reference>
          <reference field="7" count="1" selected="0">
            <x v="59"/>
          </reference>
          <reference field="8" count="1">
            <x v="6"/>
          </reference>
        </references>
      </pivotArea>
    </format>
    <format dxfId="5449">
      <pivotArea dataOnly="0" labelOnly="1" fieldPosition="0">
        <references count="5">
          <reference field="1" count="1" selected="0">
            <x v="4"/>
          </reference>
          <reference field="5" count="1" selected="0">
            <x v="0"/>
          </reference>
          <reference field="6" count="1" selected="0">
            <x v="12"/>
          </reference>
          <reference field="7" count="1" selected="0">
            <x v="68"/>
          </reference>
          <reference field="8" count="1">
            <x v="11"/>
          </reference>
        </references>
      </pivotArea>
    </format>
    <format dxfId="5448">
      <pivotArea dataOnly="0" labelOnly="1" fieldPosition="0">
        <references count="5">
          <reference field="1" count="1" selected="0">
            <x v="4"/>
          </reference>
          <reference field="5" count="1" selected="0">
            <x v="0"/>
          </reference>
          <reference field="6" count="1" selected="0">
            <x v="12"/>
          </reference>
          <reference field="7" count="1" selected="0">
            <x v="71"/>
          </reference>
          <reference field="8" count="1">
            <x v="55"/>
          </reference>
        </references>
      </pivotArea>
    </format>
    <format dxfId="5447">
      <pivotArea dataOnly="0" labelOnly="1" fieldPosition="0">
        <references count="5">
          <reference field="1" count="1" selected="0">
            <x v="4"/>
          </reference>
          <reference field="5" count="1" selected="0">
            <x v="8"/>
          </reference>
          <reference field="6" count="1" selected="0">
            <x v="37"/>
          </reference>
          <reference field="7" count="1" selected="0">
            <x v="81"/>
          </reference>
          <reference field="8" count="1">
            <x v="1022"/>
          </reference>
        </references>
      </pivotArea>
    </format>
    <format dxfId="5446">
      <pivotArea dataOnly="0" labelOnly="1" fieldPosition="0">
        <references count="5">
          <reference field="1" count="1" selected="0">
            <x v="4"/>
          </reference>
          <reference field="5" count="1" selected="0">
            <x v="12"/>
          </reference>
          <reference field="6" count="1" selected="0">
            <x v="1"/>
          </reference>
          <reference field="7" count="1" selected="0">
            <x v="81"/>
          </reference>
          <reference field="8" count="2">
            <x v="213"/>
            <x v="607"/>
          </reference>
        </references>
      </pivotArea>
    </format>
    <format dxfId="5445">
      <pivotArea dataOnly="0" labelOnly="1" fieldPosition="0">
        <references count="5">
          <reference field="1" count="1" selected="0">
            <x v="4"/>
          </reference>
          <reference field="5" count="1" selected="0">
            <x v="27"/>
          </reference>
          <reference field="6" count="1" selected="0">
            <x v="37"/>
          </reference>
          <reference field="7" count="1" selected="0">
            <x v="81"/>
          </reference>
          <reference field="8" count="1">
            <x v="1587"/>
          </reference>
        </references>
      </pivotArea>
    </format>
    <format dxfId="5444">
      <pivotArea dataOnly="0" labelOnly="1" fieldPosition="0">
        <references count="5">
          <reference field="1" count="1" selected="0">
            <x v="5"/>
          </reference>
          <reference field="5" count="1" selected="0">
            <x v="0"/>
          </reference>
          <reference field="6" count="1" selected="0">
            <x v="10"/>
          </reference>
          <reference field="7" count="1" selected="0">
            <x v="82"/>
          </reference>
          <reference field="8" count="1">
            <x v="0"/>
          </reference>
        </references>
      </pivotArea>
    </format>
    <format dxfId="5443">
      <pivotArea dataOnly="0" labelOnly="1" fieldPosition="0">
        <references count="5">
          <reference field="1" count="1" selected="0">
            <x v="5"/>
          </reference>
          <reference field="5" count="1" selected="0">
            <x v="0"/>
          </reference>
          <reference field="6" count="1" selected="0">
            <x v="12"/>
          </reference>
          <reference field="7" count="1" selected="0">
            <x v="18"/>
          </reference>
          <reference field="8" count="1">
            <x v="11"/>
          </reference>
        </references>
      </pivotArea>
    </format>
    <format dxfId="5442">
      <pivotArea dataOnly="0" labelOnly="1" fieldPosition="0">
        <references count="5">
          <reference field="1" count="1" selected="0">
            <x v="5"/>
          </reference>
          <reference field="5" count="1" selected="0">
            <x v="0"/>
          </reference>
          <reference field="6" count="1" selected="0">
            <x v="12"/>
          </reference>
          <reference field="7" count="1" selected="0">
            <x v="59"/>
          </reference>
          <reference field="8" count="1">
            <x v="6"/>
          </reference>
        </references>
      </pivotArea>
    </format>
    <format dxfId="5441">
      <pivotArea dataOnly="0" labelOnly="1" fieldPosition="0">
        <references count="5">
          <reference field="1" count="1" selected="0">
            <x v="5"/>
          </reference>
          <reference field="5" count="1" selected="0">
            <x v="3"/>
          </reference>
          <reference field="6" count="1" selected="0">
            <x v="1"/>
          </reference>
          <reference field="7" count="1" selected="0">
            <x v="82"/>
          </reference>
          <reference field="8" count="1">
            <x v="956"/>
          </reference>
        </references>
      </pivotArea>
    </format>
    <format dxfId="5440">
      <pivotArea dataOnly="0" labelOnly="1" fieldPosition="0">
        <references count="5">
          <reference field="1" count="1" selected="0">
            <x v="5"/>
          </reference>
          <reference field="5" count="1" selected="0">
            <x v="3"/>
          </reference>
          <reference field="6" count="1" selected="0">
            <x v="6"/>
          </reference>
          <reference field="7" count="1" selected="0">
            <x v="82"/>
          </reference>
          <reference field="8" count="1">
            <x v="387"/>
          </reference>
        </references>
      </pivotArea>
    </format>
    <format dxfId="5439">
      <pivotArea dataOnly="0" labelOnly="1" fieldPosition="0">
        <references count="5">
          <reference field="1" count="1" selected="0">
            <x v="5"/>
          </reference>
          <reference field="5" count="1" selected="0">
            <x v="10"/>
          </reference>
          <reference field="6" count="1" selected="0">
            <x v="37"/>
          </reference>
          <reference field="7" count="1" selected="0">
            <x v="82"/>
          </reference>
          <reference field="8" count="1">
            <x v="1398"/>
          </reference>
        </references>
      </pivotArea>
    </format>
    <format dxfId="5438">
      <pivotArea dataOnly="0" labelOnly="1" fieldPosition="0">
        <references count="5">
          <reference field="1" count="1" selected="0">
            <x v="5"/>
          </reference>
          <reference field="5" count="1" selected="0">
            <x v="12"/>
          </reference>
          <reference field="6" count="1" selected="0">
            <x v="1"/>
          </reference>
          <reference field="7" count="1" selected="0">
            <x v="82"/>
          </reference>
          <reference field="8" count="3">
            <x v="80"/>
            <x v="213"/>
            <x v="771"/>
          </reference>
        </references>
      </pivotArea>
    </format>
    <format dxfId="5437">
      <pivotArea dataOnly="0" labelOnly="1" fieldPosition="0">
        <references count="5">
          <reference field="1" count="1" selected="0">
            <x v="5"/>
          </reference>
          <reference field="5" count="1" selected="0">
            <x v="19"/>
          </reference>
          <reference field="6" count="1" selected="0">
            <x v="37"/>
          </reference>
          <reference field="7" count="1" selected="0">
            <x v="82"/>
          </reference>
          <reference field="8" count="1">
            <x v="1427"/>
          </reference>
        </references>
      </pivotArea>
    </format>
    <format dxfId="5436">
      <pivotArea dataOnly="0" labelOnly="1" fieldPosition="0">
        <references count="5">
          <reference field="1" count="1" selected="0">
            <x v="6"/>
          </reference>
          <reference field="5" count="1" selected="0">
            <x v="0"/>
          </reference>
          <reference field="6" count="1" selected="0">
            <x v="8"/>
          </reference>
          <reference field="7" count="1" selected="0">
            <x v="84"/>
          </reference>
          <reference field="8" count="2">
            <x v="113"/>
            <x v="854"/>
          </reference>
        </references>
      </pivotArea>
    </format>
    <format dxfId="5435">
      <pivotArea dataOnly="0" labelOnly="1" fieldPosition="0">
        <references count="5">
          <reference field="1" count="1" selected="0">
            <x v="6"/>
          </reference>
          <reference field="5" count="1" selected="0">
            <x v="0"/>
          </reference>
          <reference field="6" count="1" selected="0">
            <x v="9"/>
          </reference>
          <reference field="7" count="1" selected="0">
            <x v="84"/>
          </reference>
          <reference field="8" count="4">
            <x v="387"/>
            <x v="517"/>
            <x v="645"/>
            <x v="741"/>
          </reference>
        </references>
      </pivotArea>
    </format>
    <format dxfId="5434">
      <pivotArea dataOnly="0" labelOnly="1" fieldPosition="0">
        <references count="5">
          <reference field="1" count="1" selected="0">
            <x v="6"/>
          </reference>
          <reference field="5" count="1" selected="0">
            <x v="0"/>
          </reference>
          <reference field="6" count="1" selected="0">
            <x v="12"/>
          </reference>
          <reference field="7" count="1" selected="0">
            <x v="16"/>
          </reference>
          <reference field="8" count="1">
            <x v="258"/>
          </reference>
        </references>
      </pivotArea>
    </format>
    <format dxfId="5433">
      <pivotArea dataOnly="0" labelOnly="1" fieldPosition="0">
        <references count="5">
          <reference field="1" count="1" selected="0">
            <x v="6"/>
          </reference>
          <reference field="5" count="1" selected="0">
            <x v="0"/>
          </reference>
          <reference field="6" count="1" selected="0">
            <x v="12"/>
          </reference>
          <reference field="7" count="1" selected="0">
            <x v="30"/>
          </reference>
          <reference field="8" count="1">
            <x v="59"/>
          </reference>
        </references>
      </pivotArea>
    </format>
    <format dxfId="5432">
      <pivotArea dataOnly="0" labelOnly="1" fieldPosition="0">
        <references count="5">
          <reference field="1" count="1" selected="0">
            <x v="6"/>
          </reference>
          <reference field="5" count="1" selected="0">
            <x v="0"/>
          </reference>
          <reference field="6" count="1" selected="0">
            <x v="12"/>
          </reference>
          <reference field="7" count="1" selected="0">
            <x v="48"/>
          </reference>
          <reference field="8" count="1">
            <x v="6"/>
          </reference>
        </references>
      </pivotArea>
    </format>
    <format dxfId="5431">
      <pivotArea dataOnly="0" labelOnly="1" fieldPosition="0">
        <references count="5">
          <reference field="1" count="1" selected="0">
            <x v="6"/>
          </reference>
          <reference field="5" count="1" selected="0">
            <x v="0"/>
          </reference>
          <reference field="6" count="1" selected="0">
            <x v="12"/>
          </reference>
          <reference field="7" count="1" selected="0">
            <x v="58"/>
          </reference>
          <reference field="8" count="1">
            <x v="18"/>
          </reference>
        </references>
      </pivotArea>
    </format>
    <format dxfId="5430">
      <pivotArea dataOnly="0" labelOnly="1" fieldPosition="0">
        <references count="5">
          <reference field="1" count="1" selected="0">
            <x v="6"/>
          </reference>
          <reference field="5" count="1" selected="0">
            <x v="0"/>
          </reference>
          <reference field="6" count="1" selected="0">
            <x v="14"/>
          </reference>
          <reference field="7" count="1" selected="0">
            <x v="83"/>
          </reference>
          <reference field="8" count="4">
            <x v="546"/>
            <x v="668"/>
            <x v="821"/>
            <x v="829"/>
          </reference>
        </references>
      </pivotArea>
    </format>
    <format dxfId="5429">
      <pivotArea dataOnly="0" labelOnly="1" fieldPosition="0">
        <references count="5">
          <reference field="1" count="1" selected="0">
            <x v="6"/>
          </reference>
          <reference field="5" count="1" selected="0">
            <x v="2"/>
          </reference>
          <reference field="6" count="1" selected="0">
            <x v="14"/>
          </reference>
          <reference field="7" count="1" selected="0">
            <x v="83"/>
          </reference>
          <reference field="8" count="1">
            <x v="1867"/>
          </reference>
        </references>
      </pivotArea>
    </format>
    <format dxfId="5428">
      <pivotArea dataOnly="0" labelOnly="1" fieldPosition="0">
        <references count="5">
          <reference field="1" count="1" selected="0">
            <x v="6"/>
          </reference>
          <reference field="5" count="1" selected="0">
            <x v="3"/>
          </reference>
          <reference field="6" count="1" selected="0">
            <x v="14"/>
          </reference>
          <reference field="7" count="1" selected="0">
            <x v="83"/>
          </reference>
          <reference field="8" count="1">
            <x v="1313"/>
          </reference>
        </references>
      </pivotArea>
    </format>
    <format dxfId="5427">
      <pivotArea dataOnly="0" labelOnly="1" fieldPosition="0">
        <references count="5">
          <reference field="1" count="1" selected="0">
            <x v="6"/>
          </reference>
          <reference field="5" count="1" selected="0">
            <x v="3"/>
          </reference>
          <reference field="6" count="1" selected="0">
            <x v="37"/>
          </reference>
          <reference field="7" count="1" selected="0">
            <x v="84"/>
          </reference>
          <reference field="8" count="1">
            <x v="410"/>
          </reference>
        </references>
      </pivotArea>
    </format>
    <format dxfId="5426">
      <pivotArea dataOnly="0" labelOnly="1" fieldPosition="0">
        <references count="5">
          <reference field="1" count="1" selected="0">
            <x v="6"/>
          </reference>
          <reference field="5" count="1" selected="0">
            <x v="12"/>
          </reference>
          <reference field="6" count="1" selected="0">
            <x v="1"/>
          </reference>
          <reference field="7" count="1" selected="0">
            <x v="84"/>
          </reference>
          <reference field="8" count="3">
            <x v="80"/>
            <x v="352"/>
            <x v="771"/>
          </reference>
        </references>
      </pivotArea>
    </format>
    <format dxfId="5425">
      <pivotArea dataOnly="0" labelOnly="1" fieldPosition="0">
        <references count="5">
          <reference field="1" count="1" selected="0">
            <x v="6"/>
          </reference>
          <reference field="5" count="1" selected="0">
            <x v="12"/>
          </reference>
          <reference field="6" count="1" selected="0">
            <x v="14"/>
          </reference>
          <reference field="7" count="1" selected="0">
            <x v="83"/>
          </reference>
          <reference field="8" count="27">
            <x v="164"/>
            <x v="242"/>
            <x v="254"/>
            <x v="417"/>
            <x v="548"/>
            <x v="568"/>
            <x v="949"/>
            <x v="1298"/>
            <x v="1440"/>
            <x v="1499"/>
            <x v="1567"/>
            <x v="1569"/>
            <x v="1618"/>
            <x v="1626"/>
            <x v="1639"/>
            <x v="1655"/>
            <x v="1671"/>
            <x v="1681"/>
            <x v="1688"/>
            <x v="1693"/>
            <x v="1714"/>
            <x v="1745"/>
            <x v="1748"/>
            <x v="1757"/>
            <x v="1794"/>
            <x v="1829"/>
            <x v="1841"/>
          </reference>
        </references>
      </pivotArea>
    </format>
    <format dxfId="5424">
      <pivotArea dataOnly="0" labelOnly="1" fieldPosition="0">
        <references count="5">
          <reference field="1" count="1" selected="0">
            <x v="6"/>
          </reference>
          <reference field="5" count="1" selected="0">
            <x v="15"/>
          </reference>
          <reference field="6" count="1" selected="0">
            <x v="7"/>
          </reference>
          <reference field="7" count="1" selected="0">
            <x v="84"/>
          </reference>
          <reference field="8" count="1">
            <x v="882"/>
          </reference>
        </references>
      </pivotArea>
    </format>
    <format dxfId="5423">
      <pivotArea dataOnly="0" labelOnly="1" fieldPosition="0">
        <references count="5">
          <reference field="1" count="1" selected="0">
            <x v="6"/>
          </reference>
          <reference field="5" count="1" selected="0">
            <x v="17"/>
          </reference>
          <reference field="6" count="1" selected="0">
            <x v="14"/>
          </reference>
          <reference field="7" count="1" selected="0">
            <x v="83"/>
          </reference>
          <reference field="8" count="1">
            <x v="1471"/>
          </reference>
        </references>
      </pivotArea>
    </format>
    <format dxfId="5422">
      <pivotArea dataOnly="0" labelOnly="1" fieldPosition="0">
        <references count="5">
          <reference field="1" count="1" selected="0">
            <x v="6"/>
          </reference>
          <reference field="5" count="1" selected="0">
            <x v="21"/>
          </reference>
          <reference field="6" count="1" selected="0">
            <x v="14"/>
          </reference>
          <reference field="7" count="1" selected="0">
            <x v="83"/>
          </reference>
          <reference field="8" count="1">
            <x v="1185"/>
          </reference>
        </references>
      </pivotArea>
    </format>
    <format dxfId="5421">
      <pivotArea dataOnly="0" labelOnly="1" fieldPosition="0">
        <references count="5">
          <reference field="1" count="1" selected="0">
            <x v="6"/>
          </reference>
          <reference field="5" count="1" selected="0">
            <x v="21"/>
          </reference>
          <reference field="6" count="1" selected="0">
            <x v="37"/>
          </reference>
          <reference field="7" count="1" selected="0">
            <x v="84"/>
          </reference>
          <reference field="8" count="1">
            <x v="1068"/>
          </reference>
        </references>
      </pivotArea>
    </format>
    <format dxfId="5420">
      <pivotArea dataOnly="0" labelOnly="1" fieldPosition="0">
        <references count="5">
          <reference field="1" count="1" selected="0">
            <x v="6"/>
          </reference>
          <reference field="5" count="1" selected="0">
            <x v="23"/>
          </reference>
          <reference field="6" count="1" selected="0">
            <x v="14"/>
          </reference>
          <reference field="7" count="1" selected="0">
            <x v="83"/>
          </reference>
          <reference field="8" count="1">
            <x v="1728"/>
          </reference>
        </references>
      </pivotArea>
    </format>
    <format dxfId="5419">
      <pivotArea dataOnly="0" labelOnly="1" fieldPosition="0">
        <references count="5">
          <reference field="1" count="1" selected="0">
            <x v="6"/>
          </reference>
          <reference field="5" count="1" selected="0">
            <x v="24"/>
          </reference>
          <reference field="6" count="1" selected="0">
            <x v="14"/>
          </reference>
          <reference field="7" count="1" selected="0">
            <x v="83"/>
          </reference>
          <reference field="8" count="1">
            <x v="885"/>
          </reference>
        </references>
      </pivotArea>
    </format>
    <format dxfId="5418">
      <pivotArea dataOnly="0" labelOnly="1" fieldPosition="0">
        <references count="5">
          <reference field="1" count="1" selected="0">
            <x v="6"/>
          </reference>
          <reference field="5" count="1" selected="0">
            <x v="27"/>
          </reference>
          <reference field="6" count="1" selected="0">
            <x v="14"/>
          </reference>
          <reference field="7" count="1" selected="0">
            <x v="83"/>
          </reference>
          <reference field="8" count="1">
            <x v="599"/>
          </reference>
        </references>
      </pivotArea>
    </format>
    <format dxfId="5417">
      <pivotArea dataOnly="0" labelOnly="1" fieldPosition="0">
        <references count="5">
          <reference field="1" count="1" selected="0">
            <x v="6"/>
          </reference>
          <reference field="5" count="1" selected="0">
            <x v="35"/>
          </reference>
          <reference field="6" count="1" selected="0">
            <x v="1"/>
          </reference>
          <reference field="7" count="1" selected="0">
            <x v="84"/>
          </reference>
          <reference field="8" count="2">
            <x v="80"/>
            <x v="213"/>
          </reference>
        </references>
      </pivotArea>
    </format>
    <format dxfId="5416">
      <pivotArea dataOnly="0" labelOnly="1" fieldPosition="0">
        <references count="5">
          <reference field="1" count="1" selected="0">
            <x v="6"/>
          </reference>
          <reference field="5" count="1" selected="0">
            <x v="35"/>
          </reference>
          <reference field="6" count="1" selected="0">
            <x v="14"/>
          </reference>
          <reference field="7" count="1" selected="0">
            <x v="83"/>
          </reference>
          <reference field="8" count="10">
            <x v="154"/>
            <x v="259"/>
            <x v="264"/>
            <x v="478"/>
            <x v="525"/>
            <x v="527"/>
            <x v="618"/>
            <x v="730"/>
            <x v="746"/>
            <x v="1131"/>
          </reference>
        </references>
      </pivotArea>
    </format>
    <format dxfId="5415">
      <pivotArea dataOnly="0" labelOnly="1" fieldPosition="0">
        <references count="5">
          <reference field="1" count="1" selected="0">
            <x v="7"/>
          </reference>
          <reference field="5" count="1" selected="0">
            <x v="0"/>
          </reference>
          <reference field="6" count="1" selected="0">
            <x v="1"/>
          </reference>
          <reference field="7" count="1" selected="0">
            <x v="85"/>
          </reference>
          <reference field="8" count="1">
            <x v="80"/>
          </reference>
        </references>
      </pivotArea>
    </format>
    <format dxfId="5414">
      <pivotArea dataOnly="0" labelOnly="1" fieldPosition="0">
        <references count="5">
          <reference field="1" count="1" selected="0">
            <x v="7"/>
          </reference>
          <reference field="5" count="1" selected="0">
            <x v="0"/>
          </reference>
          <reference field="6" count="1" selected="0">
            <x v="12"/>
          </reference>
          <reference field="7" count="1" selected="0">
            <x v="16"/>
          </reference>
          <reference field="8" count="1">
            <x v="258"/>
          </reference>
        </references>
      </pivotArea>
    </format>
    <format dxfId="5413">
      <pivotArea dataOnly="0" labelOnly="1" fieldPosition="0">
        <references count="5">
          <reference field="1" count="1" selected="0">
            <x v="7"/>
          </reference>
          <reference field="5" count="1" selected="0">
            <x v="0"/>
          </reference>
          <reference field="6" count="1" selected="0">
            <x v="12"/>
          </reference>
          <reference field="7" count="1" selected="0">
            <x v="18"/>
          </reference>
          <reference field="8" count="1">
            <x v="18"/>
          </reference>
        </references>
      </pivotArea>
    </format>
    <format dxfId="5412">
      <pivotArea dataOnly="0" labelOnly="1" fieldPosition="0">
        <references count="5">
          <reference field="1" count="1" selected="0">
            <x v="7"/>
          </reference>
          <reference field="5" count="1" selected="0">
            <x v="6"/>
          </reference>
          <reference field="6" count="1" selected="0">
            <x v="37"/>
          </reference>
          <reference field="7" count="1" selected="0">
            <x v="85"/>
          </reference>
          <reference field="8" count="1">
            <x v="1234"/>
          </reference>
        </references>
      </pivotArea>
    </format>
    <format dxfId="5411">
      <pivotArea dataOnly="0" labelOnly="1" fieldPosition="0">
        <references count="5">
          <reference field="1" count="1" selected="0">
            <x v="7"/>
          </reference>
          <reference field="5" count="1" selected="0">
            <x v="9"/>
          </reference>
          <reference field="6" count="1" selected="0">
            <x v="1"/>
          </reference>
          <reference field="7" count="1" selected="0">
            <x v="85"/>
          </reference>
          <reference field="8" count="1">
            <x v="1019"/>
          </reference>
        </references>
      </pivotArea>
    </format>
    <format dxfId="5410">
      <pivotArea dataOnly="0" labelOnly="1" fieldPosition="0">
        <references count="5">
          <reference field="1" count="1" selected="0">
            <x v="7"/>
          </reference>
          <reference field="5" count="1" selected="0">
            <x v="12"/>
          </reference>
          <reference field="6" count="1" selected="0">
            <x v="1"/>
          </reference>
          <reference field="7" count="1" selected="0">
            <x v="85"/>
          </reference>
          <reference field="8" count="2">
            <x v="80"/>
            <x v="213"/>
          </reference>
        </references>
      </pivotArea>
    </format>
    <format dxfId="5409">
      <pivotArea dataOnly="0" labelOnly="1" fieldPosition="0">
        <references count="5">
          <reference field="1" count="1" selected="0">
            <x v="7"/>
          </reference>
          <reference field="5" count="1" selected="0">
            <x v="12"/>
          </reference>
          <reference field="6" count="1" selected="0">
            <x v="37"/>
          </reference>
          <reference field="7" count="1" selected="0">
            <x v="85"/>
          </reference>
          <reference field="8" count="1">
            <x v="800"/>
          </reference>
        </references>
      </pivotArea>
    </format>
    <format dxfId="5408">
      <pivotArea dataOnly="0" labelOnly="1" fieldPosition="0">
        <references count="5">
          <reference field="1" count="1" selected="0">
            <x v="7"/>
          </reference>
          <reference field="5" count="1" selected="0">
            <x v="15"/>
          </reference>
          <reference field="6" count="1" selected="0">
            <x v="37"/>
          </reference>
          <reference field="7" count="1" selected="0">
            <x v="85"/>
          </reference>
          <reference field="8" count="1">
            <x v="456"/>
          </reference>
        </references>
      </pivotArea>
    </format>
    <format dxfId="5407">
      <pivotArea dataOnly="0" labelOnly="1" fieldPosition="0">
        <references count="5">
          <reference field="1" count="1" selected="0">
            <x v="7"/>
          </reference>
          <reference field="5" count="1" selected="0">
            <x v="19"/>
          </reference>
          <reference field="6" count="1" selected="0">
            <x v="37"/>
          </reference>
          <reference field="7" count="1" selected="0">
            <x v="85"/>
          </reference>
          <reference field="8" count="1">
            <x v="137"/>
          </reference>
        </references>
      </pivotArea>
    </format>
    <format dxfId="5406">
      <pivotArea dataOnly="0" labelOnly="1" fieldPosition="0">
        <references count="5">
          <reference field="1" count="1" selected="0">
            <x v="7"/>
          </reference>
          <reference field="5" count="1" selected="0">
            <x v="21"/>
          </reference>
          <reference field="6" count="1" selected="0">
            <x v="37"/>
          </reference>
          <reference field="7" count="1" selected="0">
            <x v="85"/>
          </reference>
          <reference field="8" count="1">
            <x v="352"/>
          </reference>
        </references>
      </pivotArea>
    </format>
    <format dxfId="5405">
      <pivotArea dataOnly="0" labelOnly="1" fieldPosition="0">
        <references count="5">
          <reference field="1" count="1" selected="0">
            <x v="7"/>
          </reference>
          <reference field="5" count="1" selected="0">
            <x v="26"/>
          </reference>
          <reference field="6" count="1" selected="0">
            <x v="38"/>
          </reference>
          <reference field="7" count="1" selected="0">
            <x v="85"/>
          </reference>
          <reference field="8" count="1">
            <x v="371"/>
          </reference>
        </references>
      </pivotArea>
    </format>
    <format dxfId="5404">
      <pivotArea dataOnly="0" labelOnly="1" fieldPosition="0">
        <references count="5">
          <reference field="1" count="1" selected="0">
            <x v="7"/>
          </reference>
          <reference field="5" count="1" selected="0">
            <x v="35"/>
          </reference>
          <reference field="6" count="1" selected="0">
            <x v="1"/>
          </reference>
          <reference field="7" count="1" selected="0">
            <x v="85"/>
          </reference>
          <reference field="8" count="3">
            <x v="80"/>
            <x v="213"/>
            <x v="352"/>
          </reference>
        </references>
      </pivotArea>
    </format>
    <format dxfId="5403">
      <pivotArea dataOnly="0" labelOnly="1" fieldPosition="0">
        <references count="5">
          <reference field="1" count="1" selected="0">
            <x v="8"/>
          </reference>
          <reference field="5" count="1" selected="0">
            <x v="0"/>
          </reference>
          <reference field="6" count="1" selected="0">
            <x v="8"/>
          </reference>
          <reference field="7" count="1" selected="0">
            <x v="86"/>
          </reference>
          <reference field="8" count="1">
            <x v="585"/>
          </reference>
        </references>
      </pivotArea>
    </format>
    <format dxfId="5402">
      <pivotArea dataOnly="0" labelOnly="1" fieldPosition="0">
        <references count="5">
          <reference field="1" count="1" selected="0">
            <x v="8"/>
          </reference>
          <reference field="5" count="1" selected="0">
            <x v="0"/>
          </reference>
          <reference field="6" count="1" selected="0">
            <x v="9"/>
          </reference>
          <reference field="7" count="1" selected="0">
            <x v="86"/>
          </reference>
          <reference field="8" count="1">
            <x v="559"/>
          </reference>
        </references>
      </pivotArea>
    </format>
    <format dxfId="5401">
      <pivotArea dataOnly="0" labelOnly="1" fieldPosition="0">
        <references count="5">
          <reference field="1" count="1" selected="0">
            <x v="8"/>
          </reference>
          <reference field="5" count="1" selected="0">
            <x v="0"/>
          </reference>
          <reference field="6" count="1" selected="0">
            <x v="12"/>
          </reference>
          <reference field="7" count="1" selected="0">
            <x v="4"/>
          </reference>
          <reference field="8" count="1">
            <x v="197"/>
          </reference>
        </references>
      </pivotArea>
    </format>
    <format dxfId="5400">
      <pivotArea dataOnly="0" labelOnly="1" fieldPosition="0">
        <references count="5">
          <reference field="1" count="1" selected="0">
            <x v="8"/>
          </reference>
          <reference field="5" count="1" selected="0">
            <x v="0"/>
          </reference>
          <reference field="6" count="1" selected="0">
            <x v="12"/>
          </reference>
          <reference field="7" count="1" selected="0">
            <x v="48"/>
          </reference>
          <reference field="8" count="1">
            <x v="6"/>
          </reference>
        </references>
      </pivotArea>
    </format>
    <format dxfId="5399">
      <pivotArea dataOnly="0" labelOnly="1" fieldPosition="0">
        <references count="5">
          <reference field="1" count="1" selected="0">
            <x v="8"/>
          </reference>
          <reference field="5" count="1" selected="0">
            <x v="3"/>
          </reference>
          <reference field="6" count="1" selected="0">
            <x v="38"/>
          </reference>
          <reference field="7" count="1" selected="0">
            <x v="86"/>
          </reference>
          <reference field="8" count="1">
            <x v="278"/>
          </reference>
        </references>
      </pivotArea>
    </format>
    <format dxfId="5398">
      <pivotArea dataOnly="0" labelOnly="1" fieldPosition="0">
        <references count="5">
          <reference field="1" count="1" selected="0">
            <x v="8"/>
          </reference>
          <reference field="5" count="1" selected="0">
            <x v="5"/>
          </reference>
          <reference field="6" count="1" selected="0">
            <x v="37"/>
          </reference>
          <reference field="7" count="1" selected="0">
            <x v="86"/>
          </reference>
          <reference field="8" count="1">
            <x v="834"/>
          </reference>
        </references>
      </pivotArea>
    </format>
    <format dxfId="5397">
      <pivotArea dataOnly="0" labelOnly="1" fieldPosition="0">
        <references count="5">
          <reference field="1" count="1" selected="0">
            <x v="8"/>
          </reference>
          <reference field="5" count="1" selected="0">
            <x v="5"/>
          </reference>
          <reference field="6" count="1" selected="0">
            <x v="38"/>
          </reference>
          <reference field="7" count="1" selected="0">
            <x v="86"/>
          </reference>
          <reference field="8" count="1">
            <x v="1723"/>
          </reference>
        </references>
      </pivotArea>
    </format>
    <format dxfId="5396">
      <pivotArea dataOnly="0" labelOnly="1" fieldPosition="0">
        <references count="5">
          <reference field="1" count="1" selected="0">
            <x v="8"/>
          </reference>
          <reference field="5" count="1" selected="0">
            <x v="9"/>
          </reference>
          <reference field="6" count="1" selected="0">
            <x v="8"/>
          </reference>
          <reference field="7" count="1" selected="0">
            <x v="86"/>
          </reference>
          <reference field="8" count="1">
            <x v="1035"/>
          </reference>
        </references>
      </pivotArea>
    </format>
    <format dxfId="5395">
      <pivotArea dataOnly="0" labelOnly="1" fieldPosition="0">
        <references count="5">
          <reference field="1" count="1" selected="0">
            <x v="8"/>
          </reference>
          <reference field="5" count="1" selected="0">
            <x v="12"/>
          </reference>
          <reference field="6" count="1" selected="0">
            <x v="1"/>
          </reference>
          <reference field="7" count="1" selected="0">
            <x v="86"/>
          </reference>
          <reference field="8" count="3">
            <x v="80"/>
            <x v="352"/>
            <x v="500"/>
          </reference>
        </references>
      </pivotArea>
    </format>
    <format dxfId="5394">
      <pivotArea dataOnly="0" labelOnly="1" fieldPosition="0">
        <references count="5">
          <reference field="1" count="1" selected="0">
            <x v="8"/>
          </reference>
          <reference field="5" count="1" selected="0">
            <x v="23"/>
          </reference>
          <reference field="6" count="1" selected="0">
            <x v="37"/>
          </reference>
          <reference field="7" count="1" selected="0">
            <x v="86"/>
          </reference>
          <reference field="8" count="1">
            <x v="653"/>
          </reference>
        </references>
      </pivotArea>
    </format>
    <format dxfId="5393">
      <pivotArea dataOnly="0" labelOnly="1" fieldPosition="0">
        <references count="5">
          <reference field="1" count="1" selected="0">
            <x v="9"/>
          </reference>
          <reference field="5" count="1" selected="0">
            <x v="0"/>
          </reference>
          <reference field="6" count="1" selected="0">
            <x v="37"/>
          </reference>
          <reference field="7" count="1" selected="0">
            <x v="87"/>
          </reference>
          <reference field="8" count="1">
            <x v="744"/>
          </reference>
        </references>
      </pivotArea>
    </format>
    <format dxfId="5392">
      <pivotArea dataOnly="0" labelOnly="1" fieldPosition="0">
        <references count="5">
          <reference field="1" count="1" selected="0">
            <x v="9"/>
          </reference>
          <reference field="5" count="1" selected="0">
            <x v="8"/>
          </reference>
          <reference field="6" count="1" selected="0">
            <x v="37"/>
          </reference>
          <reference field="7" count="1" selected="0">
            <x v="87"/>
          </reference>
          <reference field="8" count="1">
            <x v="1341"/>
          </reference>
        </references>
      </pivotArea>
    </format>
    <format dxfId="5391">
      <pivotArea dataOnly="0" labelOnly="1" fieldPosition="0">
        <references count="5">
          <reference field="1" count="1" selected="0">
            <x v="9"/>
          </reference>
          <reference field="5" count="1" selected="0">
            <x v="12"/>
          </reference>
          <reference field="6" count="1" selected="0">
            <x v="1"/>
          </reference>
          <reference field="7" count="1" selected="0">
            <x v="87"/>
          </reference>
          <reference field="8" count="4">
            <x v="80"/>
            <x v="213"/>
            <x v="352"/>
            <x v="500"/>
          </reference>
        </references>
      </pivotArea>
    </format>
    <format dxfId="5390">
      <pivotArea dataOnly="0" labelOnly="1" fieldPosition="0">
        <references count="5">
          <reference field="1" count="1" selected="0">
            <x v="9"/>
          </reference>
          <reference field="5" count="1" selected="0">
            <x v="12"/>
          </reference>
          <reference field="6" count="1" selected="0">
            <x v="37"/>
          </reference>
          <reference field="7" count="1" selected="0">
            <x v="87"/>
          </reference>
          <reference field="8" count="2">
            <x v="1028"/>
            <x v="1079"/>
          </reference>
        </references>
      </pivotArea>
    </format>
    <format dxfId="5389">
      <pivotArea dataOnly="0" labelOnly="1" fieldPosition="0">
        <references count="5">
          <reference field="1" count="1" selected="0">
            <x v="9"/>
          </reference>
          <reference field="5" count="1" selected="0">
            <x v="23"/>
          </reference>
          <reference field="6" count="1" selected="0">
            <x v="1"/>
          </reference>
          <reference field="7" count="1" selected="0">
            <x v="87"/>
          </reference>
          <reference field="8" count="1">
            <x v="278"/>
          </reference>
        </references>
      </pivotArea>
    </format>
    <format dxfId="5388">
      <pivotArea dataOnly="0" labelOnly="1" fieldPosition="0">
        <references count="5">
          <reference field="1" count="1" selected="0">
            <x v="9"/>
          </reference>
          <reference field="5" count="1" selected="0">
            <x v="23"/>
          </reference>
          <reference field="6" count="1" selected="0">
            <x v="37"/>
          </reference>
          <reference field="7" count="1" selected="0">
            <x v="87"/>
          </reference>
          <reference field="8" count="1">
            <x v="294"/>
          </reference>
        </references>
      </pivotArea>
    </format>
    <format dxfId="5387">
      <pivotArea dataOnly="0" labelOnly="1" fieldPosition="0">
        <references count="5">
          <reference field="1" count="1" selected="0">
            <x v="9"/>
          </reference>
          <reference field="5" count="1" selected="0">
            <x v="26"/>
          </reference>
          <reference field="6" count="1" selected="0">
            <x v="37"/>
          </reference>
          <reference field="7" count="1" selected="0">
            <x v="87"/>
          </reference>
          <reference field="8" count="1">
            <x v="352"/>
          </reference>
        </references>
      </pivotArea>
    </format>
    <format dxfId="5386">
      <pivotArea dataOnly="0" labelOnly="1" fieldPosition="0">
        <references count="5">
          <reference field="1" count="1" selected="0">
            <x v="9"/>
          </reference>
          <reference field="5" count="1" selected="0">
            <x v="35"/>
          </reference>
          <reference field="6" count="1" selected="0">
            <x v="1"/>
          </reference>
          <reference field="7" count="1" selected="0">
            <x v="87"/>
          </reference>
          <reference field="8" count="1">
            <x v="80"/>
          </reference>
        </references>
      </pivotArea>
    </format>
    <format dxfId="5385">
      <pivotArea dataOnly="0" labelOnly="1" fieldPosition="0">
        <references count="5">
          <reference field="1" count="1" selected="0">
            <x v="10"/>
          </reference>
          <reference field="5" count="1" selected="0">
            <x v="0"/>
          </reference>
          <reference field="6" count="1" selected="0">
            <x v="8"/>
          </reference>
          <reference field="7" count="1" selected="0">
            <x v="88"/>
          </reference>
          <reference field="8" count="1">
            <x v="1114"/>
          </reference>
        </references>
      </pivotArea>
    </format>
    <format dxfId="5384">
      <pivotArea dataOnly="0" labelOnly="1" fieldPosition="0">
        <references count="5">
          <reference field="1" count="1" selected="0">
            <x v="10"/>
          </reference>
          <reference field="5" count="1" selected="0">
            <x v="0"/>
          </reference>
          <reference field="6" count="1" selected="0">
            <x v="9"/>
          </reference>
          <reference field="7" count="1" selected="0">
            <x v="88"/>
          </reference>
          <reference field="8" count="3">
            <x v="212"/>
            <x v="220"/>
            <x v="240"/>
          </reference>
        </references>
      </pivotArea>
    </format>
    <format dxfId="5383">
      <pivotArea dataOnly="0" labelOnly="1" fieldPosition="0">
        <references count="5">
          <reference field="1" count="1" selected="0">
            <x v="10"/>
          </reference>
          <reference field="5" count="1" selected="0">
            <x v="0"/>
          </reference>
          <reference field="6" count="1" selected="0">
            <x v="12"/>
          </reference>
          <reference field="7" count="1" selected="0">
            <x v="22"/>
          </reference>
          <reference field="8" count="1">
            <x v="18"/>
          </reference>
        </references>
      </pivotArea>
    </format>
    <format dxfId="5382">
      <pivotArea dataOnly="0" labelOnly="1" fieldPosition="0">
        <references count="5">
          <reference field="1" count="1" selected="0">
            <x v="10"/>
          </reference>
          <reference field="5" count="1" selected="0">
            <x v="0"/>
          </reference>
          <reference field="6" count="1" selected="0">
            <x v="37"/>
          </reference>
          <reference field="7" count="1" selected="0">
            <x v="88"/>
          </reference>
          <reference field="8" count="1">
            <x v="273"/>
          </reference>
        </references>
      </pivotArea>
    </format>
    <format dxfId="5381">
      <pivotArea dataOnly="0" labelOnly="1" fieldPosition="0">
        <references count="5">
          <reference field="1" count="1" selected="0">
            <x v="10"/>
          </reference>
          <reference field="5" count="1" selected="0">
            <x v="12"/>
          </reference>
          <reference field="6" count="1" selected="0">
            <x v="1"/>
          </reference>
          <reference field="7" count="1" selected="0">
            <x v="88"/>
          </reference>
          <reference field="8" count="4">
            <x v="80"/>
            <x v="213"/>
            <x v="771"/>
            <x v="846"/>
          </reference>
        </references>
      </pivotArea>
    </format>
    <format dxfId="5380">
      <pivotArea dataOnly="0" labelOnly="1" fieldPosition="0">
        <references count="5">
          <reference field="1" count="1" selected="0">
            <x v="10"/>
          </reference>
          <reference field="5" count="1" selected="0">
            <x v="24"/>
          </reference>
          <reference field="6" count="1" selected="0">
            <x v="1"/>
          </reference>
          <reference field="7" count="1" selected="0">
            <x v="88"/>
          </reference>
          <reference field="8" count="1">
            <x v="213"/>
          </reference>
        </references>
      </pivotArea>
    </format>
    <format dxfId="5379">
      <pivotArea dataOnly="0" labelOnly="1" fieldPosition="0">
        <references count="5">
          <reference field="1" count="1" selected="0">
            <x v="10"/>
          </reference>
          <reference field="5" count="1" selected="0">
            <x v="35"/>
          </reference>
          <reference field="6" count="1" selected="0">
            <x v="1"/>
          </reference>
          <reference field="7" count="1" selected="0">
            <x v="88"/>
          </reference>
          <reference field="8" count="1">
            <x v="80"/>
          </reference>
        </references>
      </pivotArea>
    </format>
    <format dxfId="5378">
      <pivotArea dataOnly="0" labelOnly="1" fieldPosition="0">
        <references count="5">
          <reference field="1" count="1" selected="0">
            <x v="11"/>
          </reference>
          <reference field="5" count="1" selected="0">
            <x v="0"/>
          </reference>
          <reference field="6" count="1" selected="0">
            <x v="12"/>
          </reference>
          <reference field="7" count="1" selected="0">
            <x v="10"/>
          </reference>
          <reference field="8" count="1">
            <x v="248"/>
          </reference>
        </references>
      </pivotArea>
    </format>
    <format dxfId="5377">
      <pivotArea dataOnly="0" labelOnly="1" fieldPosition="0">
        <references count="5">
          <reference field="1" count="1" selected="0">
            <x v="11"/>
          </reference>
          <reference field="5" count="1" selected="0">
            <x v="0"/>
          </reference>
          <reference field="6" count="1" selected="0">
            <x v="12"/>
          </reference>
          <reference field="7" count="1" selected="0">
            <x v="33"/>
          </reference>
          <reference field="8" count="1">
            <x v="18"/>
          </reference>
        </references>
      </pivotArea>
    </format>
    <format dxfId="5376">
      <pivotArea dataOnly="0" labelOnly="1" fieldPosition="0">
        <references count="5">
          <reference field="1" count="1" selected="0">
            <x v="11"/>
          </reference>
          <reference field="5" count="1" selected="0">
            <x v="0"/>
          </reference>
          <reference field="6" count="1" selected="0">
            <x v="12"/>
          </reference>
          <reference field="7" count="1" selected="0">
            <x v="39"/>
          </reference>
          <reference field="8" count="1">
            <x v="180"/>
          </reference>
        </references>
      </pivotArea>
    </format>
    <format dxfId="5375">
      <pivotArea dataOnly="0" labelOnly="1" fieldPosition="0">
        <references count="5">
          <reference field="1" count="1" selected="0">
            <x v="11"/>
          </reference>
          <reference field="5" count="1" selected="0">
            <x v="0"/>
          </reference>
          <reference field="6" count="1" selected="0">
            <x v="12"/>
          </reference>
          <reference field="7" count="1" selected="0">
            <x v="59"/>
          </reference>
          <reference field="8" count="1">
            <x v="6"/>
          </reference>
        </references>
      </pivotArea>
    </format>
    <format dxfId="5374">
      <pivotArea dataOnly="0" labelOnly="1" fieldPosition="0">
        <references count="5">
          <reference field="1" count="1" selected="0">
            <x v="11"/>
          </reference>
          <reference field="5" count="1" selected="0">
            <x v="0"/>
          </reference>
          <reference field="6" count="1" selected="0">
            <x v="12"/>
          </reference>
          <reference field="7" count="1" selected="0">
            <x v="70"/>
          </reference>
          <reference field="8" count="1">
            <x v="14"/>
          </reference>
        </references>
      </pivotArea>
    </format>
    <format dxfId="5373">
      <pivotArea dataOnly="0" labelOnly="1" fieldPosition="0">
        <references count="5">
          <reference field="1" count="1" selected="0">
            <x v="11"/>
          </reference>
          <reference field="5" count="1" selected="0">
            <x v="5"/>
          </reference>
          <reference field="6" count="1" selected="0">
            <x v="37"/>
          </reference>
          <reference field="7" count="1" selected="0">
            <x v="89"/>
          </reference>
          <reference field="8" count="1">
            <x v="1403"/>
          </reference>
        </references>
      </pivotArea>
    </format>
    <format dxfId="5372">
      <pivotArea dataOnly="0" labelOnly="1" fieldPosition="0">
        <references count="5">
          <reference field="1" count="1" selected="0">
            <x v="11"/>
          </reference>
          <reference field="5" count="1" selected="0">
            <x v="12"/>
          </reference>
          <reference field="6" count="1" selected="0">
            <x v="1"/>
          </reference>
          <reference field="7" count="1" selected="0">
            <x v="89"/>
          </reference>
          <reference field="8" count="1">
            <x v="352"/>
          </reference>
        </references>
      </pivotArea>
    </format>
    <format dxfId="5371">
      <pivotArea dataOnly="0" labelOnly="1" fieldPosition="0">
        <references count="5">
          <reference field="1" count="1" selected="0">
            <x v="11"/>
          </reference>
          <reference field="5" count="1" selected="0">
            <x v="15"/>
          </reference>
          <reference field="6" count="1" selected="0">
            <x v="1"/>
          </reference>
          <reference field="7" count="1" selected="0">
            <x v="89"/>
          </reference>
          <reference field="8" count="1">
            <x v="607"/>
          </reference>
        </references>
      </pivotArea>
    </format>
    <format dxfId="5370">
      <pivotArea dataOnly="0" labelOnly="1" fieldPosition="0">
        <references count="5">
          <reference field="1" count="1" selected="0">
            <x v="11"/>
          </reference>
          <reference field="5" count="1" selected="0">
            <x v="15"/>
          </reference>
          <reference field="6" count="1" selected="0">
            <x v="37"/>
          </reference>
          <reference field="7" count="1" selected="0">
            <x v="89"/>
          </reference>
          <reference field="8" count="1">
            <x v="213"/>
          </reference>
        </references>
      </pivotArea>
    </format>
    <format dxfId="5369">
      <pivotArea dataOnly="0" labelOnly="1" fieldPosition="0">
        <references count="5">
          <reference field="1" count="1" selected="0">
            <x v="11"/>
          </reference>
          <reference field="5" count="1" selected="0">
            <x v="23"/>
          </reference>
          <reference field="6" count="1" selected="0">
            <x v="37"/>
          </reference>
          <reference field="7" count="1" selected="0">
            <x v="89"/>
          </reference>
          <reference field="8" count="1">
            <x v="111"/>
          </reference>
        </references>
      </pivotArea>
    </format>
    <format dxfId="5368">
      <pivotArea dataOnly="0" labelOnly="1" fieldPosition="0">
        <references count="5">
          <reference field="1" count="1" selected="0">
            <x v="12"/>
          </reference>
          <reference field="5" count="1" selected="0">
            <x v="0"/>
          </reference>
          <reference field="6" count="1" selected="0">
            <x v="9"/>
          </reference>
          <reference field="7" count="1" selected="0">
            <x v="90"/>
          </reference>
          <reference field="8" count="3">
            <x v="300"/>
            <x v="623"/>
            <x v="1009"/>
          </reference>
        </references>
      </pivotArea>
    </format>
    <format dxfId="5367">
      <pivotArea dataOnly="0" labelOnly="1" fieldPosition="0">
        <references count="5">
          <reference field="1" count="1" selected="0">
            <x v="12"/>
          </reference>
          <reference field="5" count="1" selected="0">
            <x v="0"/>
          </reference>
          <reference field="6" count="1" selected="0">
            <x v="12"/>
          </reference>
          <reference field="7" count="1" selected="0">
            <x v="22"/>
          </reference>
          <reference field="8" count="1">
            <x v="18"/>
          </reference>
        </references>
      </pivotArea>
    </format>
    <format dxfId="5366">
      <pivotArea dataOnly="0" labelOnly="1" fieldPosition="0">
        <references count="5">
          <reference field="1" count="1" selected="0">
            <x v="12"/>
          </reference>
          <reference field="5" count="1" selected="0">
            <x v="0"/>
          </reference>
          <reference field="6" count="1" selected="0">
            <x v="12"/>
          </reference>
          <reference field="7" count="1" selected="0">
            <x v="26"/>
          </reference>
          <reference field="8" count="1">
            <x v="123"/>
          </reference>
        </references>
      </pivotArea>
    </format>
    <format dxfId="5365">
      <pivotArea dataOnly="0" labelOnly="1" fieldPosition="0">
        <references count="5">
          <reference field="1" count="1" selected="0">
            <x v="12"/>
          </reference>
          <reference field="5" count="1" selected="0">
            <x v="0"/>
          </reference>
          <reference field="6" count="1" selected="0">
            <x v="12"/>
          </reference>
          <reference field="7" count="1" selected="0">
            <x v="48"/>
          </reference>
          <reference field="8" count="1">
            <x v="35"/>
          </reference>
        </references>
      </pivotArea>
    </format>
    <format dxfId="5364">
      <pivotArea dataOnly="0" labelOnly="1" fieldPosition="0">
        <references count="5">
          <reference field="1" count="1" selected="0">
            <x v="12"/>
          </reference>
          <reference field="5" count="1" selected="0">
            <x v="0"/>
          </reference>
          <reference field="6" count="1" selected="0">
            <x v="12"/>
          </reference>
          <reference field="7" count="1" selected="0">
            <x v="60"/>
          </reference>
          <reference field="8" count="1">
            <x v="138"/>
          </reference>
        </references>
      </pivotArea>
    </format>
    <format dxfId="5363">
      <pivotArea dataOnly="0" labelOnly="1" fieldPosition="0">
        <references count="5">
          <reference field="1" count="1" selected="0">
            <x v="12"/>
          </reference>
          <reference field="5" count="1" selected="0">
            <x v="0"/>
          </reference>
          <reference field="6" count="1" selected="0">
            <x v="12"/>
          </reference>
          <reference field="7" count="1" selected="0">
            <x v="65"/>
          </reference>
          <reference field="8" count="1">
            <x v="2"/>
          </reference>
        </references>
      </pivotArea>
    </format>
    <format dxfId="5362">
      <pivotArea dataOnly="0" labelOnly="1" fieldPosition="0">
        <references count="5">
          <reference field="1" count="1" selected="0">
            <x v="12"/>
          </reference>
          <reference field="5" count="1" selected="0">
            <x v="0"/>
          </reference>
          <reference field="6" count="1" selected="0">
            <x v="12"/>
          </reference>
          <reference field="7" count="1" selected="0">
            <x v="70"/>
          </reference>
          <reference field="8" count="1">
            <x v="23"/>
          </reference>
        </references>
      </pivotArea>
    </format>
    <format dxfId="5361">
      <pivotArea dataOnly="0" labelOnly="1" fieldPosition="0">
        <references count="5">
          <reference field="1" count="1" selected="0">
            <x v="12"/>
          </reference>
          <reference field="5" count="1" selected="0">
            <x v="0"/>
          </reference>
          <reference field="6" count="1" selected="0">
            <x v="37"/>
          </reference>
          <reference field="7" count="1" selected="0">
            <x v="90"/>
          </reference>
          <reference field="8" count="1">
            <x v="1206"/>
          </reference>
        </references>
      </pivotArea>
    </format>
    <format dxfId="5360">
      <pivotArea dataOnly="0" labelOnly="1" fieldPosition="0">
        <references count="5">
          <reference field="1" count="1" selected="0">
            <x v="12"/>
          </reference>
          <reference field="5" count="1" selected="0">
            <x v="3"/>
          </reference>
          <reference field="6" count="1" selected="0">
            <x v="37"/>
          </reference>
          <reference field="7" count="1" selected="0">
            <x v="90"/>
          </reference>
          <reference field="8" count="1">
            <x v="1104"/>
          </reference>
        </references>
      </pivotArea>
    </format>
    <format dxfId="5359">
      <pivotArea dataOnly="0" labelOnly="1" fieldPosition="0">
        <references count="5">
          <reference field="1" count="1" selected="0">
            <x v="12"/>
          </reference>
          <reference field="5" count="1" selected="0">
            <x v="5"/>
          </reference>
          <reference field="6" count="1" selected="0">
            <x v="37"/>
          </reference>
          <reference field="7" count="1" selected="0">
            <x v="90"/>
          </reference>
          <reference field="8" count="1">
            <x v="1600"/>
          </reference>
        </references>
      </pivotArea>
    </format>
    <format dxfId="5358">
      <pivotArea dataOnly="0" labelOnly="1" fieldPosition="0">
        <references count="5">
          <reference field="1" count="1" selected="0">
            <x v="12"/>
          </reference>
          <reference field="5" count="1" selected="0">
            <x v="8"/>
          </reference>
          <reference field="6" count="1" selected="0">
            <x v="37"/>
          </reference>
          <reference field="7" count="1" selected="0">
            <x v="90"/>
          </reference>
          <reference field="8" count="1">
            <x v="1085"/>
          </reference>
        </references>
      </pivotArea>
    </format>
    <format dxfId="5357">
      <pivotArea dataOnly="0" labelOnly="1" fieldPosition="0">
        <references count="5">
          <reference field="1" count="1" selected="0">
            <x v="12"/>
          </reference>
          <reference field="5" count="1" selected="0">
            <x v="12"/>
          </reference>
          <reference field="6" count="1" selected="0">
            <x v="1"/>
          </reference>
          <reference field="7" count="1" selected="0">
            <x v="90"/>
          </reference>
          <reference field="8" count="4">
            <x v="80"/>
            <x v="213"/>
            <x v="500"/>
            <x v="702"/>
          </reference>
        </references>
      </pivotArea>
    </format>
    <format dxfId="5356">
      <pivotArea dataOnly="0" labelOnly="1" fieldPosition="0">
        <references count="5">
          <reference field="1" count="1" selected="0">
            <x v="12"/>
          </reference>
          <reference field="5" count="1" selected="0">
            <x v="17"/>
          </reference>
          <reference field="6" count="1" selected="0">
            <x v="7"/>
          </reference>
          <reference field="7" count="1" selected="0">
            <x v="90"/>
          </reference>
          <reference field="8" count="1">
            <x v="758"/>
          </reference>
        </references>
      </pivotArea>
    </format>
    <format dxfId="5355">
      <pivotArea dataOnly="0" labelOnly="1" fieldPosition="0">
        <references count="5">
          <reference field="1" count="1" selected="0">
            <x v="12"/>
          </reference>
          <reference field="5" count="1" selected="0">
            <x v="24"/>
          </reference>
          <reference field="6" count="1" selected="0">
            <x v="1"/>
          </reference>
          <reference field="7" count="1" selected="0">
            <x v="90"/>
          </reference>
          <reference field="8" count="1">
            <x v="109"/>
          </reference>
        </references>
      </pivotArea>
    </format>
    <format dxfId="5354">
      <pivotArea dataOnly="0" labelOnly="1" fieldPosition="0">
        <references count="5">
          <reference field="1" count="1" selected="0">
            <x v="12"/>
          </reference>
          <reference field="5" count="1" selected="0">
            <x v="24"/>
          </reference>
          <reference field="6" count="1" selected="0">
            <x v="37"/>
          </reference>
          <reference field="7" count="1" selected="0">
            <x v="90"/>
          </reference>
          <reference field="8" count="1">
            <x v="138"/>
          </reference>
        </references>
      </pivotArea>
    </format>
    <format dxfId="5353">
      <pivotArea dataOnly="0" labelOnly="1" fieldPosition="0">
        <references count="5">
          <reference field="1" count="1" selected="0">
            <x v="12"/>
          </reference>
          <reference field="5" count="1" selected="0">
            <x v="26"/>
          </reference>
          <reference field="6" count="1" selected="0">
            <x v="37"/>
          </reference>
          <reference field="7" count="1" selected="0">
            <x v="90"/>
          </reference>
          <reference field="8" count="1">
            <x v="278"/>
          </reference>
        </references>
      </pivotArea>
    </format>
    <format dxfId="5352">
      <pivotArea dataOnly="0" labelOnly="1" fieldPosition="0">
        <references count="5">
          <reference field="1" count="1" selected="0">
            <x v="12"/>
          </reference>
          <reference field="5" count="1" selected="0">
            <x v="27"/>
          </reference>
          <reference field="6" count="1" selected="0">
            <x v="37"/>
          </reference>
          <reference field="7" count="1" selected="0">
            <x v="90"/>
          </reference>
          <reference field="8" count="1">
            <x v="1445"/>
          </reference>
        </references>
      </pivotArea>
    </format>
    <format dxfId="5351">
      <pivotArea dataOnly="0" labelOnly="1" fieldPosition="0">
        <references count="5">
          <reference field="1" count="1" selected="0">
            <x v="12"/>
          </reference>
          <reference field="5" count="1" selected="0">
            <x v="36"/>
          </reference>
          <reference field="6" count="1" selected="0">
            <x v="8"/>
          </reference>
          <reference field="7" count="1" selected="0">
            <x v="90"/>
          </reference>
          <reference field="8" count="1">
            <x v="1518"/>
          </reference>
        </references>
      </pivotArea>
    </format>
    <format dxfId="5350">
      <pivotArea dataOnly="0" labelOnly="1" fieldPosition="0">
        <references count="5">
          <reference field="1" count="1" selected="0">
            <x v="13"/>
          </reference>
          <reference field="5" count="1" selected="0">
            <x v="2"/>
          </reference>
          <reference field="6" count="1" selected="0">
            <x v="10"/>
          </reference>
          <reference field="7" count="1" selected="0">
            <x v="91"/>
          </reference>
          <reference field="8" count="1">
            <x v="1706"/>
          </reference>
        </references>
      </pivotArea>
    </format>
    <format dxfId="5349">
      <pivotArea dataOnly="0" labelOnly="1" fieldPosition="0">
        <references count="5">
          <reference field="1" count="1" selected="0">
            <x v="13"/>
          </reference>
          <reference field="5" count="1" selected="0">
            <x v="3"/>
          </reference>
          <reference field="6" count="1" selected="0">
            <x v="10"/>
          </reference>
          <reference field="7" count="1" selected="0">
            <x v="91"/>
          </reference>
          <reference field="8" count="1">
            <x v="1466"/>
          </reference>
        </references>
      </pivotArea>
    </format>
    <format dxfId="5348">
      <pivotArea dataOnly="0" labelOnly="1" fieldPosition="0">
        <references count="5">
          <reference field="1" count="1" selected="0">
            <x v="13"/>
          </reference>
          <reference field="5" count="1" selected="0">
            <x v="9"/>
          </reference>
          <reference field="6" count="1" selected="0">
            <x v="10"/>
          </reference>
          <reference field="7" count="1" selected="0">
            <x v="91"/>
          </reference>
          <reference field="8" count="1">
            <x v="346"/>
          </reference>
        </references>
      </pivotArea>
    </format>
    <format dxfId="5347">
      <pivotArea dataOnly="0" labelOnly="1" fieldPosition="0">
        <references count="5">
          <reference field="1" count="1" selected="0">
            <x v="13"/>
          </reference>
          <reference field="5" count="1" selected="0">
            <x v="11"/>
          </reference>
          <reference field="6" count="1" selected="0">
            <x v="10"/>
          </reference>
          <reference field="7" count="1" selected="0">
            <x v="91"/>
          </reference>
          <reference field="8" count="1">
            <x v="845"/>
          </reference>
        </references>
      </pivotArea>
    </format>
    <format dxfId="5346">
      <pivotArea dataOnly="0" labelOnly="1" fieldPosition="0">
        <references count="5">
          <reference field="1" count="1" selected="0">
            <x v="13"/>
          </reference>
          <reference field="5" count="1" selected="0">
            <x v="36"/>
          </reference>
          <reference field="6" count="1" selected="0">
            <x v="10"/>
          </reference>
          <reference field="7" count="1" selected="0">
            <x v="91"/>
          </reference>
          <reference field="8" count="1">
            <x v="1611"/>
          </reference>
        </references>
      </pivotArea>
    </format>
    <format dxfId="5345">
      <pivotArea dataOnly="0" labelOnly="1" fieldPosition="0">
        <references count="5">
          <reference field="1" count="1" selected="0">
            <x v="13"/>
          </reference>
          <reference field="5" count="1" selected="0">
            <x v="37"/>
          </reference>
          <reference field="6" count="1" selected="0">
            <x v="10"/>
          </reference>
          <reference field="7" count="1" selected="0">
            <x v="91"/>
          </reference>
          <reference field="8" count="1">
            <x v="1673"/>
          </reference>
        </references>
      </pivotArea>
    </format>
    <format dxfId="5344">
      <pivotArea dataOnly="0" labelOnly="1" fieldPosition="0">
        <references count="5">
          <reference field="1" count="1" selected="0">
            <x v="13"/>
          </reference>
          <reference field="5" count="1" selected="0">
            <x v="38"/>
          </reference>
          <reference field="6" count="1" selected="0">
            <x v="10"/>
          </reference>
          <reference field="7" count="1" selected="0">
            <x v="91"/>
          </reference>
          <reference field="8" count="1">
            <x v="954"/>
          </reference>
        </references>
      </pivotArea>
    </format>
    <format dxfId="5343">
      <pivotArea dataOnly="0" labelOnly="1" fieldPosition="0">
        <references count="5">
          <reference field="1" count="1" selected="0">
            <x v="14"/>
          </reference>
          <reference field="5" count="1" selected="0">
            <x v="0"/>
          </reference>
          <reference field="6" count="1" selected="0">
            <x v="1"/>
          </reference>
          <reference field="7" count="1" selected="0">
            <x v="92"/>
          </reference>
          <reference field="8" count="2">
            <x v="80"/>
            <x v="213"/>
          </reference>
        </references>
      </pivotArea>
    </format>
    <format dxfId="5342">
      <pivotArea dataOnly="0" labelOnly="1" fieldPosition="0">
        <references count="5">
          <reference field="1" count="1" selected="0">
            <x v="14"/>
          </reference>
          <reference field="5" count="1" selected="0">
            <x v="0"/>
          </reference>
          <reference field="6" count="1" selected="0">
            <x v="12"/>
          </reference>
          <reference field="7" count="1" selected="0">
            <x v="30"/>
          </reference>
          <reference field="8" count="1">
            <x v="32"/>
          </reference>
        </references>
      </pivotArea>
    </format>
    <format dxfId="5341">
      <pivotArea dataOnly="0" labelOnly="1" fieldPosition="0">
        <references count="5">
          <reference field="1" count="1" selected="0">
            <x v="14"/>
          </reference>
          <reference field="5" count="1" selected="0">
            <x v="0"/>
          </reference>
          <reference field="6" count="1" selected="0">
            <x v="12"/>
          </reference>
          <reference field="7" count="1" selected="0">
            <x v="42"/>
          </reference>
          <reference field="8" count="1">
            <x v="9"/>
          </reference>
        </references>
      </pivotArea>
    </format>
    <format dxfId="5340">
      <pivotArea dataOnly="0" labelOnly="1" fieldPosition="0">
        <references count="5">
          <reference field="1" count="1" selected="0">
            <x v="14"/>
          </reference>
          <reference field="5" count="1" selected="0">
            <x v="12"/>
          </reference>
          <reference field="6" count="1" selected="0">
            <x v="1"/>
          </reference>
          <reference field="7" count="1" selected="0">
            <x v="92"/>
          </reference>
          <reference field="8" count="6">
            <x v="80"/>
            <x v="213"/>
            <x v="352"/>
            <x v="500"/>
            <x v="964"/>
            <x v="1028"/>
          </reference>
        </references>
      </pivotArea>
    </format>
    <format dxfId="5339">
      <pivotArea dataOnly="0" labelOnly="1" fieldPosition="0">
        <references count="5">
          <reference field="1" count="1" selected="0">
            <x v="14"/>
          </reference>
          <reference field="5" count="1" selected="0">
            <x v="23"/>
          </reference>
          <reference field="6" count="1" selected="0">
            <x v="37"/>
          </reference>
          <reference field="7" count="1" selected="0">
            <x v="92"/>
          </reference>
          <reference field="8" count="1">
            <x v="1031"/>
          </reference>
        </references>
      </pivotArea>
    </format>
    <format dxfId="5338">
      <pivotArea dataOnly="0" labelOnly="1" fieldPosition="0">
        <references count="5">
          <reference field="1" count="1" selected="0">
            <x v="14"/>
          </reference>
          <reference field="5" count="1" selected="0">
            <x v="28"/>
          </reference>
          <reference field="6" count="1" selected="0">
            <x v="1"/>
          </reference>
          <reference field="7" count="1" selected="0">
            <x v="92"/>
          </reference>
          <reference field="8" count="1">
            <x v="1086"/>
          </reference>
        </references>
      </pivotArea>
    </format>
    <format dxfId="5337">
      <pivotArea dataOnly="0" labelOnly="1" fieldPosition="0">
        <references count="5">
          <reference field="1" count="1" selected="0">
            <x v="14"/>
          </reference>
          <reference field="5" count="1" selected="0">
            <x v="35"/>
          </reference>
          <reference field="6" count="1" selected="0">
            <x v="1"/>
          </reference>
          <reference field="7" count="1" selected="0">
            <x v="92"/>
          </reference>
          <reference field="8" count="2">
            <x v="80"/>
            <x v="213"/>
          </reference>
        </references>
      </pivotArea>
    </format>
    <format dxfId="5336">
      <pivotArea dataOnly="0" labelOnly="1" fieldPosition="0">
        <references count="5">
          <reference field="1" count="1" selected="0">
            <x v="15"/>
          </reference>
          <reference field="5" count="1" selected="0">
            <x v="0"/>
          </reference>
          <reference field="6" count="1" selected="0">
            <x v="9"/>
          </reference>
          <reference field="7" count="1" selected="0">
            <x v="93"/>
          </reference>
          <reference field="8" count="2">
            <x v="291"/>
            <x v="587"/>
          </reference>
        </references>
      </pivotArea>
    </format>
    <format dxfId="5335">
      <pivotArea dataOnly="0" labelOnly="1" fieldPosition="0">
        <references count="5">
          <reference field="1" count="1" selected="0">
            <x v="15"/>
          </reference>
          <reference field="5" count="1" selected="0">
            <x v="3"/>
          </reference>
          <reference field="6" count="1" selected="0">
            <x v="37"/>
          </reference>
          <reference field="7" count="1" selected="0">
            <x v="93"/>
          </reference>
          <reference field="8" count="1">
            <x v="109"/>
          </reference>
        </references>
      </pivotArea>
    </format>
    <format dxfId="5334">
      <pivotArea dataOnly="0" labelOnly="1" fieldPosition="0">
        <references count="5">
          <reference field="1" count="1" selected="0">
            <x v="15"/>
          </reference>
          <reference field="5" count="1" selected="0">
            <x v="5"/>
          </reference>
          <reference field="6" count="1" selected="0">
            <x v="8"/>
          </reference>
          <reference field="7" count="1" selected="0">
            <x v="93"/>
          </reference>
          <reference field="8" count="1">
            <x v="673"/>
          </reference>
        </references>
      </pivotArea>
    </format>
    <format dxfId="5333">
      <pivotArea dataOnly="0" labelOnly="1" fieldPosition="0">
        <references count="5">
          <reference field="1" count="1" selected="0">
            <x v="15"/>
          </reference>
          <reference field="5" count="1" selected="0">
            <x v="5"/>
          </reference>
          <reference field="6" count="1" selected="0">
            <x v="37"/>
          </reference>
          <reference field="7" count="1" selected="0">
            <x v="93"/>
          </reference>
          <reference field="8" count="1">
            <x v="1321"/>
          </reference>
        </references>
      </pivotArea>
    </format>
    <format dxfId="5332">
      <pivotArea dataOnly="0" labelOnly="1" fieldPosition="0">
        <references count="5">
          <reference field="1" count="1" selected="0">
            <x v="15"/>
          </reference>
          <reference field="5" count="1" selected="0">
            <x v="7"/>
          </reference>
          <reference field="6" count="1" selected="0">
            <x v="8"/>
          </reference>
          <reference field="7" count="1" selected="0">
            <x v="93"/>
          </reference>
          <reference field="8" count="1">
            <x v="723"/>
          </reference>
        </references>
      </pivotArea>
    </format>
    <format dxfId="5331">
      <pivotArea dataOnly="0" labelOnly="1" fieldPosition="0">
        <references count="5">
          <reference field="1" count="1" selected="0">
            <x v="15"/>
          </reference>
          <reference field="5" count="1" selected="0">
            <x v="7"/>
          </reference>
          <reference field="6" count="1" selected="0">
            <x v="10"/>
          </reference>
          <reference field="7" count="1" selected="0">
            <x v="93"/>
          </reference>
          <reference field="8" count="1">
            <x v="1554"/>
          </reference>
        </references>
      </pivotArea>
    </format>
    <format dxfId="5330">
      <pivotArea dataOnly="0" labelOnly="1" fieldPosition="0">
        <references count="5">
          <reference field="1" count="1" selected="0">
            <x v="15"/>
          </reference>
          <reference field="5" count="1" selected="0">
            <x v="12"/>
          </reference>
          <reference field="6" count="1" selected="0">
            <x v="1"/>
          </reference>
          <reference field="7" count="1" selected="0">
            <x v="93"/>
          </reference>
          <reference field="8" count="5">
            <x v="80"/>
            <x v="213"/>
            <x v="352"/>
            <x v="771"/>
            <x v="964"/>
          </reference>
        </references>
      </pivotArea>
    </format>
    <format dxfId="5329">
      <pivotArea dataOnly="0" labelOnly="1" fieldPosition="0">
        <references count="5">
          <reference field="1" count="1" selected="0">
            <x v="15"/>
          </reference>
          <reference field="5" count="1" selected="0">
            <x v="15"/>
          </reference>
          <reference field="6" count="1" selected="0">
            <x v="37"/>
          </reference>
          <reference field="7" count="1" selected="0">
            <x v="93"/>
          </reference>
          <reference field="8" count="1">
            <x v="1007"/>
          </reference>
        </references>
      </pivotArea>
    </format>
    <format dxfId="5328">
      <pivotArea dataOnly="0" labelOnly="1" fieldPosition="0">
        <references count="5">
          <reference field="1" count="1" selected="0">
            <x v="15"/>
          </reference>
          <reference field="5" count="1" selected="0">
            <x v="23"/>
          </reference>
          <reference field="6" count="1" selected="0">
            <x v="7"/>
          </reference>
          <reference field="7" count="1" selected="0">
            <x v="93"/>
          </reference>
          <reference field="8" count="1">
            <x v="1188"/>
          </reference>
        </references>
      </pivotArea>
    </format>
    <format dxfId="5327">
      <pivotArea dataOnly="0" labelOnly="1" fieldPosition="0">
        <references count="5">
          <reference field="1" count="1" selected="0">
            <x v="15"/>
          </reference>
          <reference field="5" count="1" selected="0">
            <x v="35"/>
          </reference>
          <reference field="6" count="1" selected="0">
            <x v="1"/>
          </reference>
          <reference field="7" count="1" selected="0">
            <x v="93"/>
          </reference>
          <reference field="8" count="1">
            <x v="80"/>
          </reference>
        </references>
      </pivotArea>
    </format>
    <format dxfId="5326">
      <pivotArea dataOnly="0" labelOnly="1" fieldPosition="0">
        <references count="5">
          <reference field="1" count="1" selected="0">
            <x v="15"/>
          </reference>
          <reference field="5" count="1" selected="0">
            <x v="36"/>
          </reference>
          <reference field="6" count="1" selected="0">
            <x v="8"/>
          </reference>
          <reference field="7" count="1" selected="0">
            <x v="93"/>
          </reference>
          <reference field="8" count="1">
            <x v="1111"/>
          </reference>
        </references>
      </pivotArea>
    </format>
    <format dxfId="5325">
      <pivotArea dataOnly="0" labelOnly="1" fieldPosition="0">
        <references count="5">
          <reference field="1" count="1" selected="0">
            <x v="16"/>
          </reference>
          <reference field="5" count="1" selected="0">
            <x v="0"/>
          </reference>
          <reference field="6" count="1" selected="0">
            <x v="9"/>
          </reference>
          <reference field="7" count="1" selected="0">
            <x v="94"/>
          </reference>
          <reference field="8" count="2">
            <x v="0"/>
            <x v="220"/>
          </reference>
        </references>
      </pivotArea>
    </format>
    <format dxfId="5324">
      <pivotArea dataOnly="0" labelOnly="1" fieldPosition="0">
        <references count="5">
          <reference field="1" count="1" selected="0">
            <x v="16"/>
          </reference>
          <reference field="5" count="1" selected="0">
            <x v="0"/>
          </reference>
          <reference field="6" count="1" selected="0">
            <x v="12"/>
          </reference>
          <reference field="7" count="1" selected="0">
            <x v="60"/>
          </reference>
          <reference field="8" count="1">
            <x v="32"/>
          </reference>
        </references>
      </pivotArea>
    </format>
    <format dxfId="5323">
      <pivotArea dataOnly="0" labelOnly="1" fieldPosition="0">
        <references count="5">
          <reference field="1" count="1" selected="0">
            <x v="16"/>
          </reference>
          <reference field="5" count="1" selected="0">
            <x v="12"/>
          </reference>
          <reference field="6" count="1" selected="0">
            <x v="1"/>
          </reference>
          <reference field="7" count="1" selected="0">
            <x v="94"/>
          </reference>
          <reference field="8" count="1">
            <x v="702"/>
          </reference>
        </references>
      </pivotArea>
    </format>
    <format dxfId="5322">
      <pivotArea dataOnly="0" labelOnly="1" fieldPosition="0">
        <references count="5">
          <reference field="1" count="1" selected="0">
            <x v="17"/>
          </reference>
          <reference field="5" count="1" selected="0">
            <x v="0"/>
          </reference>
          <reference field="6" count="1" selected="0">
            <x v="12"/>
          </reference>
          <reference field="7" count="1" selected="0">
            <x v="36"/>
          </reference>
          <reference field="8" count="1">
            <x v="236"/>
          </reference>
        </references>
      </pivotArea>
    </format>
    <format dxfId="5321">
      <pivotArea dataOnly="0" labelOnly="1" fieldPosition="0">
        <references count="5">
          <reference field="1" count="1" selected="0">
            <x v="17"/>
          </reference>
          <reference field="5" count="1" selected="0">
            <x v="0"/>
          </reference>
          <reference field="6" count="1" selected="0">
            <x v="37"/>
          </reference>
          <reference field="7" count="1" selected="0">
            <x v="95"/>
          </reference>
          <reference field="8" count="2">
            <x v="51"/>
            <x v="262"/>
          </reference>
        </references>
      </pivotArea>
    </format>
    <format dxfId="5320">
      <pivotArea dataOnly="0" labelOnly="1" fieldPosition="0">
        <references count="5">
          <reference field="1" count="1" selected="0">
            <x v="17"/>
          </reference>
          <reference field="5" count="1" selected="0">
            <x v="3"/>
          </reference>
          <reference field="6" count="1" selected="0">
            <x v="37"/>
          </reference>
          <reference field="7" count="1" selected="0">
            <x v="95"/>
          </reference>
          <reference field="8" count="1">
            <x v="846"/>
          </reference>
        </references>
      </pivotArea>
    </format>
    <format dxfId="5319">
      <pivotArea dataOnly="0" labelOnly="1" fieldPosition="0">
        <references count="5">
          <reference field="1" count="1" selected="0">
            <x v="17"/>
          </reference>
          <reference field="5" count="1" selected="0">
            <x v="12"/>
          </reference>
          <reference field="6" count="1" selected="0">
            <x v="1"/>
          </reference>
          <reference field="7" count="1" selected="0">
            <x v="95"/>
          </reference>
          <reference field="8" count="1">
            <x v="213"/>
          </reference>
        </references>
      </pivotArea>
    </format>
    <format dxfId="5318">
      <pivotArea dataOnly="0" labelOnly="1" fieldPosition="0">
        <references count="5">
          <reference field="1" count="1" selected="0">
            <x v="17"/>
          </reference>
          <reference field="5" count="1" selected="0">
            <x v="23"/>
          </reference>
          <reference field="6" count="1" selected="0">
            <x v="37"/>
          </reference>
          <reference field="7" count="1" selected="0">
            <x v="95"/>
          </reference>
          <reference field="8" count="1">
            <x v="299"/>
          </reference>
        </references>
      </pivotArea>
    </format>
    <format dxfId="5317">
      <pivotArea dataOnly="0" labelOnly="1" fieldPosition="0">
        <references count="5">
          <reference field="1" count="1" selected="0">
            <x v="18"/>
          </reference>
          <reference field="5" count="1" selected="0">
            <x v="0"/>
          </reference>
          <reference field="6" count="1" selected="0">
            <x v="7"/>
          </reference>
          <reference field="7" count="1" selected="0">
            <x v="97"/>
          </reference>
          <reference field="8" count="1">
            <x v="102"/>
          </reference>
        </references>
      </pivotArea>
    </format>
    <format dxfId="5316">
      <pivotArea dataOnly="0" labelOnly="1" fieldPosition="0">
        <references count="5">
          <reference field="1" count="1" selected="0">
            <x v="18"/>
          </reference>
          <reference field="5" count="1" selected="0">
            <x v="0"/>
          </reference>
          <reference field="6" count="1" selected="0">
            <x v="9"/>
          </reference>
          <reference field="7" count="1" selected="0">
            <x v="97"/>
          </reference>
          <reference field="8" count="4">
            <x v="0"/>
            <x v="212"/>
            <x v="617"/>
            <x v="702"/>
          </reference>
        </references>
      </pivotArea>
    </format>
    <format dxfId="5315">
      <pivotArea dataOnly="0" labelOnly="1" fieldPosition="0">
        <references count="5">
          <reference field="1" count="1" selected="0">
            <x v="18"/>
          </reference>
          <reference field="5" count="1" selected="0">
            <x v="0"/>
          </reference>
          <reference field="6" count="1" selected="0">
            <x v="12"/>
          </reference>
          <reference field="7" count="1" selected="0">
            <x v="50"/>
          </reference>
          <reference field="8" count="1">
            <x v="551"/>
          </reference>
        </references>
      </pivotArea>
    </format>
    <format dxfId="5314">
      <pivotArea dataOnly="0" labelOnly="1" fieldPosition="0">
        <references count="5">
          <reference field="1" count="1" selected="0">
            <x v="18"/>
          </reference>
          <reference field="5" count="1" selected="0">
            <x v="0"/>
          </reference>
          <reference field="6" count="1" selected="0">
            <x v="21"/>
          </reference>
          <reference field="7" count="1" selected="0">
            <x v="96"/>
          </reference>
          <reference field="8" count="4">
            <x v="557"/>
            <x v="651"/>
            <x v="698"/>
            <x v="1262"/>
          </reference>
        </references>
      </pivotArea>
    </format>
    <format dxfId="5313">
      <pivotArea dataOnly="0" labelOnly="1" fieldPosition="0">
        <references count="5">
          <reference field="1" count="1" selected="0">
            <x v="18"/>
          </reference>
          <reference field="5" count="1" selected="0">
            <x v="0"/>
          </reference>
          <reference field="6" count="1" selected="0">
            <x v="37"/>
          </reference>
          <reference field="7" count="1" selected="0">
            <x v="97"/>
          </reference>
          <reference field="8" count="1">
            <x v="262"/>
          </reference>
        </references>
      </pivotArea>
    </format>
    <format dxfId="5312">
      <pivotArea dataOnly="0" labelOnly="1" fieldPosition="0">
        <references count="5">
          <reference field="1" count="1" selected="0">
            <x v="18"/>
          </reference>
          <reference field="5" count="1" selected="0">
            <x v="2"/>
          </reference>
          <reference field="6" count="1" selected="0">
            <x v="21"/>
          </reference>
          <reference field="7" count="1" selected="0">
            <x v="96"/>
          </reference>
          <reference field="8" count="1">
            <x v="1768"/>
          </reference>
        </references>
      </pivotArea>
    </format>
    <format dxfId="5311">
      <pivotArea dataOnly="0" labelOnly="1" fieldPosition="0">
        <references count="5">
          <reference field="1" count="1" selected="0">
            <x v="18"/>
          </reference>
          <reference field="5" count="1" selected="0">
            <x v="8"/>
          </reference>
          <reference field="6" count="1" selected="0">
            <x v="37"/>
          </reference>
          <reference field="7" count="1" selected="0">
            <x v="97"/>
          </reference>
          <reference field="8" count="1">
            <x v="1143"/>
          </reference>
        </references>
      </pivotArea>
    </format>
    <format dxfId="5310">
      <pivotArea dataOnly="0" labelOnly="1" fieldPosition="0">
        <references count="5">
          <reference field="1" count="1" selected="0">
            <x v="18"/>
          </reference>
          <reference field="5" count="1" selected="0">
            <x v="12"/>
          </reference>
          <reference field="6" count="1" selected="0">
            <x v="1"/>
          </reference>
          <reference field="7" count="1" selected="0">
            <x v="97"/>
          </reference>
          <reference field="8" count="1">
            <x v="80"/>
          </reference>
        </references>
      </pivotArea>
    </format>
    <format dxfId="5309">
      <pivotArea dataOnly="0" labelOnly="1" fieldPosition="0">
        <references count="5">
          <reference field="1" count="1" selected="0">
            <x v="18"/>
          </reference>
          <reference field="5" count="1" selected="0">
            <x v="12"/>
          </reference>
          <reference field="6" count="1" selected="0">
            <x v="21"/>
          </reference>
          <reference field="7" count="1" selected="0">
            <x v="96"/>
          </reference>
          <reference field="8" count="45">
            <x v="161"/>
            <x v="176"/>
            <x v="196"/>
            <x v="237"/>
            <x v="348"/>
            <x v="367"/>
            <x v="399"/>
            <x v="417"/>
            <x v="426"/>
            <x v="531"/>
            <x v="566"/>
            <x v="586"/>
            <x v="597"/>
            <x v="625"/>
            <x v="660"/>
            <x v="724"/>
            <x v="861"/>
            <x v="968"/>
            <x v="999"/>
            <x v="1023"/>
            <x v="1063"/>
            <x v="1072"/>
            <x v="1096"/>
            <x v="1112"/>
            <x v="1113"/>
            <x v="1142"/>
            <x v="1223"/>
            <x v="1329"/>
            <x v="1426"/>
            <x v="1446"/>
            <x v="1461"/>
            <x v="1490"/>
            <x v="1540"/>
            <x v="1545"/>
            <x v="1579"/>
            <x v="1593"/>
            <x v="1597"/>
            <x v="1623"/>
            <x v="1625"/>
            <x v="1683"/>
            <x v="1726"/>
            <x v="1784"/>
            <x v="1798"/>
            <x v="1802"/>
            <x v="1814"/>
          </reference>
        </references>
      </pivotArea>
    </format>
    <format dxfId="5308">
      <pivotArea dataOnly="0" labelOnly="1" fieldPosition="0">
        <references count="5">
          <reference field="1" count="1" selected="0">
            <x v="18"/>
          </reference>
          <reference field="5" count="1" selected="0">
            <x v="15"/>
          </reference>
          <reference field="6" count="1" selected="0">
            <x v="21"/>
          </reference>
          <reference field="7" count="1" selected="0">
            <x v="96"/>
          </reference>
          <reference field="8" count="1">
            <x v="1709"/>
          </reference>
        </references>
      </pivotArea>
    </format>
    <format dxfId="5307">
      <pivotArea dataOnly="0" labelOnly="1" fieldPosition="0">
        <references count="5">
          <reference field="1" count="1" selected="0">
            <x v="18"/>
          </reference>
          <reference field="5" count="1" selected="0">
            <x v="17"/>
          </reference>
          <reference field="6" count="1" selected="0">
            <x v="21"/>
          </reference>
          <reference field="7" count="1" selected="0">
            <x v="96"/>
          </reference>
          <reference field="8" count="1">
            <x v="402"/>
          </reference>
        </references>
      </pivotArea>
    </format>
    <format dxfId="5306">
      <pivotArea dataOnly="0" labelOnly="1" fieldPosition="0">
        <references count="5">
          <reference field="1" count="1" selected="0">
            <x v="18"/>
          </reference>
          <reference field="5" count="1" selected="0">
            <x v="23"/>
          </reference>
          <reference field="6" count="1" selected="0">
            <x v="21"/>
          </reference>
          <reference field="7" count="1" selected="0">
            <x v="96"/>
          </reference>
          <reference field="8" count="1">
            <x v="1278"/>
          </reference>
        </references>
      </pivotArea>
    </format>
    <format dxfId="5305">
      <pivotArea dataOnly="0" labelOnly="1" fieldPosition="0">
        <references count="5">
          <reference field="1" count="1" selected="0">
            <x v="18"/>
          </reference>
          <reference field="5" count="1" selected="0">
            <x v="23"/>
          </reference>
          <reference field="6" count="1" selected="0">
            <x v="37"/>
          </reference>
          <reference field="7" count="1" selected="0">
            <x v="97"/>
          </reference>
          <reference field="8" count="1">
            <x v="50"/>
          </reference>
        </references>
      </pivotArea>
    </format>
    <format dxfId="5304">
      <pivotArea dataOnly="0" labelOnly="1" fieldPosition="0">
        <references count="5">
          <reference field="1" count="1" selected="0">
            <x v="18"/>
          </reference>
          <reference field="5" count="1" selected="0">
            <x v="24"/>
          </reference>
          <reference field="6" count="1" selected="0">
            <x v="21"/>
          </reference>
          <reference field="7" count="1" selected="0">
            <x v="96"/>
          </reference>
          <reference field="8" count="1">
            <x v="1118"/>
          </reference>
        </references>
      </pivotArea>
    </format>
    <format dxfId="5303">
      <pivotArea dataOnly="0" labelOnly="1" fieldPosition="0">
        <references count="5">
          <reference field="1" count="1" selected="0">
            <x v="18"/>
          </reference>
          <reference field="5" count="1" selected="0">
            <x v="35"/>
          </reference>
          <reference field="6" count="1" selected="0">
            <x v="21"/>
          </reference>
          <reference field="7" count="1" selected="0">
            <x v="96"/>
          </reference>
          <reference field="8" count="5">
            <x v="56"/>
            <x v="409"/>
            <x v="457"/>
            <x v="786"/>
            <x v="950"/>
          </reference>
        </references>
      </pivotArea>
    </format>
    <format dxfId="5302">
      <pivotArea dataOnly="0" labelOnly="1" fieldPosition="0">
        <references count="5">
          <reference field="1" count="1" selected="0">
            <x v="19"/>
          </reference>
          <reference field="5" count="1" selected="0">
            <x v="0"/>
          </reference>
          <reference field="6" count="1" selected="0">
            <x v="8"/>
          </reference>
          <reference field="7" count="1" selected="0">
            <x v="98"/>
          </reference>
          <reference field="8" count="1">
            <x v="351"/>
          </reference>
        </references>
      </pivotArea>
    </format>
    <format dxfId="5301">
      <pivotArea dataOnly="0" labelOnly="1" fieldPosition="0">
        <references count="5">
          <reference field="1" count="1" selected="0">
            <x v="19"/>
          </reference>
          <reference field="5" count="1" selected="0">
            <x v="0"/>
          </reference>
          <reference field="6" count="1" selected="0">
            <x v="9"/>
          </reference>
          <reference field="7" count="1" selected="0">
            <x v="98"/>
          </reference>
          <reference field="8" count="3">
            <x v="702"/>
            <x v="958"/>
            <x v="1417"/>
          </reference>
        </references>
      </pivotArea>
    </format>
    <format dxfId="5300">
      <pivotArea dataOnly="0" labelOnly="1" fieldPosition="0">
        <references count="5">
          <reference field="1" count="1" selected="0">
            <x v="19"/>
          </reference>
          <reference field="5" count="1" selected="0">
            <x v="0"/>
          </reference>
          <reference field="6" count="1" selected="0">
            <x v="12"/>
          </reference>
          <reference field="7" count="1" selected="0">
            <x v="18"/>
          </reference>
          <reference field="8" count="1">
            <x v="44"/>
          </reference>
        </references>
      </pivotArea>
    </format>
    <format dxfId="5299">
      <pivotArea dataOnly="0" labelOnly="1" fieldPosition="0">
        <references count="5">
          <reference field="1" count="1" selected="0">
            <x v="19"/>
          </reference>
          <reference field="5" count="1" selected="0">
            <x v="0"/>
          </reference>
          <reference field="6" count="1" selected="0">
            <x v="12"/>
          </reference>
          <reference field="7" count="1" selected="0">
            <x v="68"/>
          </reference>
          <reference field="8" count="1">
            <x v="18"/>
          </reference>
        </references>
      </pivotArea>
    </format>
    <format dxfId="5298">
      <pivotArea dataOnly="0" labelOnly="1" fieldPosition="0">
        <references count="5">
          <reference field="1" count="1" selected="0">
            <x v="19"/>
          </reference>
          <reference field="5" count="1" selected="0">
            <x v="6"/>
          </reference>
          <reference field="6" count="1" selected="0">
            <x v="37"/>
          </reference>
          <reference field="7" count="1" selected="0">
            <x v="98"/>
          </reference>
          <reference field="8" count="1">
            <x v="1025"/>
          </reference>
        </references>
      </pivotArea>
    </format>
    <format dxfId="5297">
      <pivotArea dataOnly="0" labelOnly="1" fieldPosition="0">
        <references count="5">
          <reference field="1" count="1" selected="0">
            <x v="19"/>
          </reference>
          <reference field="5" count="1" selected="0">
            <x v="15"/>
          </reference>
          <reference field="6" count="1" selected="0">
            <x v="7"/>
          </reference>
          <reference field="7" count="1" selected="0">
            <x v="98"/>
          </reference>
          <reference field="8" count="1">
            <x v="711"/>
          </reference>
        </references>
      </pivotArea>
    </format>
    <format dxfId="5296">
      <pivotArea dataOnly="0" labelOnly="1" fieldPosition="0">
        <references count="5">
          <reference field="1" count="1" selected="0">
            <x v="19"/>
          </reference>
          <reference field="5" count="1" selected="0">
            <x v="15"/>
          </reference>
          <reference field="6" count="1" selected="0">
            <x v="8"/>
          </reference>
          <reference field="7" count="1" selected="0">
            <x v="98"/>
          </reference>
          <reference field="8" count="1">
            <x v="794"/>
          </reference>
        </references>
      </pivotArea>
    </format>
    <format dxfId="5295">
      <pivotArea dataOnly="0" labelOnly="1" fieldPosition="0">
        <references count="5">
          <reference field="1" count="1" selected="0">
            <x v="19"/>
          </reference>
          <reference field="5" count="1" selected="0">
            <x v="15"/>
          </reference>
          <reference field="6" count="1" selected="0">
            <x v="9"/>
          </reference>
          <reference field="7" count="1" selected="0">
            <x v="98"/>
          </reference>
          <reference field="8" count="1">
            <x v="1213"/>
          </reference>
        </references>
      </pivotArea>
    </format>
    <format dxfId="5294">
      <pivotArea dataOnly="0" labelOnly="1" fieldPosition="0">
        <references count="5">
          <reference field="1" count="1" selected="0">
            <x v="20"/>
          </reference>
          <reference field="5" count="1" selected="0">
            <x v="0"/>
          </reference>
          <reference field="6" count="1" selected="0">
            <x v="9"/>
          </reference>
          <reference field="7" count="1" selected="0">
            <x v="99"/>
          </reference>
          <reference field="8" count="1">
            <x v="412"/>
          </reference>
        </references>
      </pivotArea>
    </format>
    <format dxfId="5293">
      <pivotArea dataOnly="0" labelOnly="1" fieldPosition="0">
        <references count="5">
          <reference field="1" count="1" selected="0">
            <x v="20"/>
          </reference>
          <reference field="5" count="1" selected="0">
            <x v="0"/>
          </reference>
          <reference field="6" count="1" selected="0">
            <x v="12"/>
          </reference>
          <reference field="7" count="1" selected="0">
            <x v="46"/>
          </reference>
          <reference field="8" count="1">
            <x v="325"/>
          </reference>
        </references>
      </pivotArea>
    </format>
    <format dxfId="5292">
      <pivotArea dataOnly="0" labelOnly="1" fieldPosition="0">
        <references count="5">
          <reference field="1" count="1" selected="0">
            <x v="20"/>
          </reference>
          <reference field="5" count="1" selected="0">
            <x v="0"/>
          </reference>
          <reference field="6" count="1" selected="0">
            <x v="12"/>
          </reference>
          <reference field="7" count="1" selected="0">
            <x v="50"/>
          </reference>
          <reference field="8" count="1">
            <x v="137"/>
          </reference>
        </references>
      </pivotArea>
    </format>
    <format dxfId="5291">
      <pivotArea dataOnly="0" labelOnly="1" fieldPosition="0">
        <references count="5">
          <reference field="1" count="1" selected="0">
            <x v="20"/>
          </reference>
          <reference field="5" count="1" selected="0">
            <x v="0"/>
          </reference>
          <reference field="6" count="1" selected="0">
            <x v="12"/>
          </reference>
          <reference field="7" count="1" selected="0">
            <x v="56"/>
          </reference>
          <reference field="8" count="1">
            <x v="194"/>
          </reference>
        </references>
      </pivotArea>
    </format>
    <format dxfId="5290">
      <pivotArea dataOnly="0" labelOnly="1" fieldPosition="0">
        <references count="5">
          <reference field="1" count="1" selected="0">
            <x v="20"/>
          </reference>
          <reference field="5" count="1" selected="0">
            <x v="0"/>
          </reference>
          <reference field="6" count="1" selected="0">
            <x v="12"/>
          </reference>
          <reference field="7" count="1" selected="0">
            <x v="65"/>
          </reference>
          <reference field="8" count="1">
            <x v="18"/>
          </reference>
        </references>
      </pivotArea>
    </format>
    <format dxfId="5289">
      <pivotArea dataOnly="0" labelOnly="1" fieldPosition="0">
        <references count="5">
          <reference field="1" count="1" selected="0">
            <x v="20"/>
          </reference>
          <reference field="5" count="1" selected="0">
            <x v="3"/>
          </reference>
          <reference field="6" count="1" selected="0">
            <x v="37"/>
          </reference>
          <reference field="7" count="1" selected="0">
            <x v="99"/>
          </reference>
          <reference field="8" count="1">
            <x v="143"/>
          </reference>
        </references>
      </pivotArea>
    </format>
    <format dxfId="5288">
      <pivotArea dataOnly="0" labelOnly="1" fieldPosition="0">
        <references count="5">
          <reference field="1" count="1" selected="0">
            <x v="20"/>
          </reference>
          <reference field="5" count="1" selected="0">
            <x v="11"/>
          </reference>
          <reference field="6" count="1" selected="0">
            <x v="1"/>
          </reference>
          <reference field="7" count="1" selected="0">
            <x v="99"/>
          </reference>
          <reference field="8" count="1">
            <x v="528"/>
          </reference>
        </references>
      </pivotArea>
    </format>
    <format dxfId="5287">
      <pivotArea dataOnly="0" labelOnly="1" fieldPosition="0">
        <references count="5">
          <reference field="1" count="1" selected="0">
            <x v="20"/>
          </reference>
          <reference field="5" count="1" selected="0">
            <x v="15"/>
          </reference>
          <reference field="6" count="1" selected="0">
            <x v="32"/>
          </reference>
          <reference field="7" count="1" selected="0">
            <x v="74"/>
          </reference>
          <reference field="8" count="1">
            <x v="1882"/>
          </reference>
        </references>
      </pivotArea>
    </format>
    <format dxfId="5286">
      <pivotArea dataOnly="0" labelOnly="1" fieldPosition="0">
        <references count="5">
          <reference field="1" count="1" selected="0">
            <x v="20"/>
          </reference>
          <reference field="5" count="1" selected="0">
            <x v="17"/>
          </reference>
          <reference field="6" count="1" selected="0">
            <x v="6"/>
          </reference>
          <reference field="7" count="1" selected="0">
            <x v="99"/>
          </reference>
          <reference field="8" count="1">
            <x v="1249"/>
          </reference>
        </references>
      </pivotArea>
    </format>
    <format dxfId="5285">
      <pivotArea dataOnly="0" labelOnly="1" fieldPosition="0">
        <references count="5">
          <reference field="1" count="1" selected="0">
            <x v="20"/>
          </reference>
          <reference field="5" count="1" selected="0">
            <x v="23"/>
          </reference>
          <reference field="6" count="1" selected="0">
            <x v="9"/>
          </reference>
          <reference field="7" count="1" selected="0">
            <x v="99"/>
          </reference>
          <reference field="8" count="1">
            <x v="1344"/>
          </reference>
        </references>
      </pivotArea>
    </format>
    <format dxfId="5284">
      <pivotArea dataOnly="0" labelOnly="1" fieldPosition="0">
        <references count="5">
          <reference field="1" count="1" selected="0">
            <x v="21"/>
          </reference>
          <reference field="5" count="1" selected="0">
            <x v="0"/>
          </reference>
          <reference field="6" count="1" selected="0">
            <x v="9"/>
          </reference>
          <reference field="7" count="1" selected="0">
            <x v="100"/>
          </reference>
          <reference field="8" count="1">
            <x v="1543"/>
          </reference>
        </references>
      </pivotArea>
    </format>
    <format dxfId="5283">
      <pivotArea dataOnly="0" labelOnly="1" fieldPosition="0">
        <references count="5">
          <reference field="1" count="1" selected="0">
            <x v="21"/>
          </reference>
          <reference field="5" count="1" selected="0">
            <x v="0"/>
          </reference>
          <reference field="6" count="1" selected="0">
            <x v="12"/>
          </reference>
          <reference field="7" count="1" selected="0">
            <x v="10"/>
          </reference>
          <reference field="8" count="1">
            <x v="90"/>
          </reference>
        </references>
      </pivotArea>
    </format>
    <format dxfId="5282">
      <pivotArea dataOnly="0" labelOnly="1" fieldPosition="0">
        <references count="5">
          <reference field="1" count="1" selected="0">
            <x v="21"/>
          </reference>
          <reference field="5" count="1" selected="0">
            <x v="0"/>
          </reference>
          <reference field="6" count="1" selected="0">
            <x v="12"/>
          </reference>
          <reference field="7" count="1" selected="0">
            <x v="19"/>
          </reference>
          <reference field="8" count="1">
            <x v="39"/>
          </reference>
        </references>
      </pivotArea>
    </format>
    <format dxfId="5281">
      <pivotArea dataOnly="0" labelOnly="1" fieldPosition="0">
        <references count="5">
          <reference field="1" count="1" selected="0">
            <x v="21"/>
          </reference>
          <reference field="5" count="1" selected="0">
            <x v="0"/>
          </reference>
          <reference field="6" count="1" selected="0">
            <x v="12"/>
          </reference>
          <reference field="7" count="1" selected="0">
            <x v="30"/>
          </reference>
          <reference field="8" count="1">
            <x v="92"/>
          </reference>
        </references>
      </pivotArea>
    </format>
    <format dxfId="5280">
      <pivotArea dataOnly="0" labelOnly="1" fieldPosition="0">
        <references count="5">
          <reference field="1" count="1" selected="0">
            <x v="21"/>
          </reference>
          <reference field="5" count="1" selected="0">
            <x v="3"/>
          </reference>
          <reference field="6" count="1" selected="0">
            <x v="1"/>
          </reference>
          <reference field="7" count="1" selected="0">
            <x v="100"/>
          </reference>
          <reference field="8" count="1">
            <x v="935"/>
          </reference>
        </references>
      </pivotArea>
    </format>
    <format dxfId="5279">
      <pivotArea dataOnly="0" labelOnly="1" fieldPosition="0">
        <references count="5">
          <reference field="1" count="1" selected="0">
            <x v="21"/>
          </reference>
          <reference field="5" count="1" selected="0">
            <x v="3"/>
          </reference>
          <reference field="6" count="1" selected="0">
            <x v="6"/>
          </reference>
          <reference field="7" count="1" selected="0">
            <x v="100"/>
          </reference>
          <reference field="8" count="1">
            <x v="387"/>
          </reference>
        </references>
      </pivotArea>
    </format>
    <format dxfId="5278">
      <pivotArea dataOnly="0" labelOnly="1" fieldPosition="0">
        <references count="5">
          <reference field="1" count="1" selected="0">
            <x v="21"/>
          </reference>
          <reference field="5" count="1" selected="0">
            <x v="3"/>
          </reference>
          <reference field="6" count="1" selected="0">
            <x v="37"/>
          </reference>
          <reference field="7" count="1" selected="0">
            <x v="100"/>
          </reference>
          <reference field="8" count="1">
            <x v="737"/>
          </reference>
        </references>
      </pivotArea>
    </format>
    <format dxfId="5277">
      <pivotArea dataOnly="0" labelOnly="1" fieldPosition="0">
        <references count="5">
          <reference field="1" count="1" selected="0">
            <x v="21"/>
          </reference>
          <reference field="5" count="1" selected="0">
            <x v="9"/>
          </reference>
          <reference field="6" count="1" selected="0">
            <x v="8"/>
          </reference>
          <reference field="7" count="1" selected="0">
            <x v="100"/>
          </reference>
          <reference field="8" count="1">
            <x v="490"/>
          </reference>
        </references>
      </pivotArea>
    </format>
    <format dxfId="5276">
      <pivotArea dataOnly="0" labelOnly="1" fieldPosition="0">
        <references count="5">
          <reference field="1" count="1" selected="0">
            <x v="21"/>
          </reference>
          <reference field="5" count="1" selected="0">
            <x v="12"/>
          </reference>
          <reference field="6" count="1" selected="0">
            <x v="1"/>
          </reference>
          <reference field="7" count="1" selected="0">
            <x v="100"/>
          </reference>
          <reference field="8" count="2">
            <x v="80"/>
            <x v="702"/>
          </reference>
        </references>
      </pivotArea>
    </format>
    <format dxfId="5275">
      <pivotArea dataOnly="0" labelOnly="1" fieldPosition="0">
        <references count="5">
          <reference field="1" count="1" selected="0">
            <x v="22"/>
          </reference>
          <reference field="5" count="1" selected="0">
            <x v="0"/>
          </reference>
          <reference field="6" count="1" selected="0">
            <x v="12"/>
          </reference>
          <reference field="7" count="1" selected="0">
            <x v="8"/>
          </reference>
          <reference field="8" count="1">
            <x v="92"/>
          </reference>
        </references>
      </pivotArea>
    </format>
    <format dxfId="5274">
      <pivotArea dataOnly="0" labelOnly="1" fieldPosition="0">
        <references count="5">
          <reference field="1" count="1" selected="0">
            <x v="22"/>
          </reference>
          <reference field="5" count="1" selected="0">
            <x v="0"/>
          </reference>
          <reference field="6" count="1" selected="0">
            <x v="12"/>
          </reference>
          <reference field="7" count="1" selected="0">
            <x v="25"/>
          </reference>
          <reference field="8" count="1">
            <x v="180"/>
          </reference>
        </references>
      </pivotArea>
    </format>
    <format dxfId="5273">
      <pivotArea dataOnly="0" labelOnly="1" fieldPosition="0">
        <references count="5">
          <reference field="1" count="1" selected="0">
            <x v="22"/>
          </reference>
          <reference field="5" count="1" selected="0">
            <x v="0"/>
          </reference>
          <reference field="6" count="1" selected="0">
            <x v="12"/>
          </reference>
          <reference field="7" count="1" selected="0">
            <x v="26"/>
          </reference>
          <reference field="8" count="1">
            <x v="53"/>
          </reference>
        </references>
      </pivotArea>
    </format>
    <format dxfId="5272">
      <pivotArea dataOnly="0" labelOnly="1" fieldPosition="0">
        <references count="5">
          <reference field="1" count="1" selected="0">
            <x v="22"/>
          </reference>
          <reference field="5" count="1" selected="0">
            <x v="0"/>
          </reference>
          <reference field="6" count="1" selected="0">
            <x v="12"/>
          </reference>
          <reference field="7" count="1" selected="0">
            <x v="70"/>
          </reference>
          <reference field="8" count="1">
            <x v="18"/>
          </reference>
        </references>
      </pivotArea>
    </format>
    <format dxfId="5271">
      <pivotArea dataOnly="0" labelOnly="1" fieldPosition="0">
        <references count="5">
          <reference field="1" count="1" selected="0">
            <x v="22"/>
          </reference>
          <reference field="5" count="1" selected="0">
            <x v="12"/>
          </reference>
          <reference field="6" count="1" selected="0">
            <x v="1"/>
          </reference>
          <reference field="7" count="1" selected="0">
            <x v="101"/>
          </reference>
          <reference field="8" count="1">
            <x v="213"/>
          </reference>
        </references>
      </pivotArea>
    </format>
    <format dxfId="5270">
      <pivotArea dataOnly="0" labelOnly="1" fieldPosition="0">
        <references count="5">
          <reference field="1" count="1" selected="0">
            <x v="22"/>
          </reference>
          <reference field="5" count="1" selected="0">
            <x v="23"/>
          </reference>
          <reference field="6" count="1" selected="0">
            <x v="6"/>
          </reference>
          <reference field="7" count="1" selected="0">
            <x v="101"/>
          </reference>
          <reference field="8" count="1">
            <x v="701"/>
          </reference>
        </references>
      </pivotArea>
    </format>
    <format dxfId="5269">
      <pivotArea dataOnly="0" labelOnly="1" fieldPosition="0">
        <references count="5">
          <reference field="1" count="1" selected="0">
            <x v="22"/>
          </reference>
          <reference field="5" count="1" selected="0">
            <x v="35"/>
          </reference>
          <reference field="6" count="1" selected="0">
            <x v="1"/>
          </reference>
          <reference field="7" count="1" selected="0">
            <x v="101"/>
          </reference>
          <reference field="8" count="1">
            <x v="80"/>
          </reference>
        </references>
      </pivotArea>
    </format>
    <format dxfId="5268">
      <pivotArea dataOnly="0" labelOnly="1" fieldPosition="0">
        <references count="5">
          <reference field="1" count="1" selected="0">
            <x v="23"/>
          </reference>
          <reference field="5" count="1" selected="0">
            <x v="0"/>
          </reference>
          <reference field="6" count="1" selected="0">
            <x v="8"/>
          </reference>
          <reference field="7" count="1" selected="0">
            <x v="102"/>
          </reference>
          <reference field="8" count="1">
            <x v="1114"/>
          </reference>
        </references>
      </pivotArea>
    </format>
    <format dxfId="5267">
      <pivotArea dataOnly="0" labelOnly="1" fieldPosition="0">
        <references count="5">
          <reference field="1" count="1" selected="0">
            <x v="23"/>
          </reference>
          <reference field="5" count="1" selected="0">
            <x v="0"/>
          </reference>
          <reference field="6" count="1" selected="0">
            <x v="9"/>
          </reference>
          <reference field="7" count="1" selected="0">
            <x v="102"/>
          </reference>
          <reference field="8" count="3">
            <x v="170"/>
            <x v="255"/>
            <x v="1106"/>
          </reference>
        </references>
      </pivotArea>
    </format>
    <format dxfId="5266">
      <pivotArea dataOnly="0" labelOnly="1" fieldPosition="0">
        <references count="5">
          <reference field="1" count="1" selected="0">
            <x v="23"/>
          </reference>
          <reference field="5" count="1" selected="0">
            <x v="0"/>
          </reference>
          <reference field="6" count="1" selected="0">
            <x v="12"/>
          </reference>
          <reference field="7" count="1" selected="0">
            <x v="31"/>
          </reference>
          <reference field="8" count="1">
            <x v="488"/>
          </reference>
        </references>
      </pivotArea>
    </format>
    <format dxfId="5265">
      <pivotArea dataOnly="0" labelOnly="1" fieldPosition="0">
        <references count="5">
          <reference field="1" count="1" selected="0">
            <x v="23"/>
          </reference>
          <reference field="5" count="1" selected="0">
            <x v="0"/>
          </reference>
          <reference field="6" count="1" selected="0">
            <x v="12"/>
          </reference>
          <reference field="7" count="1" selected="0">
            <x v="39"/>
          </reference>
          <reference field="8" count="1">
            <x v="61"/>
          </reference>
        </references>
      </pivotArea>
    </format>
    <format dxfId="5264">
      <pivotArea dataOnly="0" labelOnly="1" fieldPosition="0">
        <references count="5">
          <reference field="1" count="1" selected="0">
            <x v="23"/>
          </reference>
          <reference field="5" count="1" selected="0">
            <x v="0"/>
          </reference>
          <reference field="6" count="1" selected="0">
            <x v="12"/>
          </reference>
          <reference field="7" count="1" selected="0">
            <x v="70"/>
          </reference>
          <reference field="8" count="1">
            <x v="18"/>
          </reference>
        </references>
      </pivotArea>
    </format>
    <format dxfId="5263">
      <pivotArea dataOnly="0" labelOnly="1" fieldPosition="0">
        <references count="5">
          <reference field="1" count="1" selected="0">
            <x v="23"/>
          </reference>
          <reference field="5" count="1" selected="0">
            <x v="0"/>
          </reference>
          <reference field="6" count="1" selected="0">
            <x v="37"/>
          </reference>
          <reference field="7" count="1" selected="0">
            <x v="102"/>
          </reference>
          <reference field="8" count="1">
            <x v="1137"/>
          </reference>
        </references>
      </pivotArea>
    </format>
    <format dxfId="5262">
      <pivotArea dataOnly="0" labelOnly="1" fieldPosition="0">
        <references count="5">
          <reference field="1" count="1" selected="0">
            <x v="23"/>
          </reference>
          <reference field="5" count="1" selected="0">
            <x v="6"/>
          </reference>
          <reference field="6" count="1" selected="0">
            <x v="37"/>
          </reference>
          <reference field="7" count="1" selected="0">
            <x v="102"/>
          </reference>
          <reference field="8" count="1">
            <x v="469"/>
          </reference>
        </references>
      </pivotArea>
    </format>
    <format dxfId="5261">
      <pivotArea dataOnly="0" labelOnly="1" fieldPosition="0">
        <references count="5">
          <reference field="1" count="1" selected="0">
            <x v="23"/>
          </reference>
          <reference field="5" count="1" selected="0">
            <x v="9"/>
          </reference>
          <reference field="6" count="1" selected="0">
            <x v="8"/>
          </reference>
          <reference field="7" count="1" selected="0">
            <x v="102"/>
          </reference>
          <reference field="8" count="1">
            <x v="592"/>
          </reference>
        </references>
      </pivotArea>
    </format>
    <format dxfId="5260">
      <pivotArea dataOnly="0" labelOnly="1" fieldPosition="0">
        <references count="5">
          <reference field="1" count="1" selected="0">
            <x v="23"/>
          </reference>
          <reference field="5" count="1" selected="0">
            <x v="12"/>
          </reference>
          <reference field="6" count="1" selected="0">
            <x v="1"/>
          </reference>
          <reference field="7" count="1" selected="0">
            <x v="102"/>
          </reference>
          <reference field="8" count="5">
            <x v="80"/>
            <x v="213"/>
            <x v="352"/>
            <x v="607"/>
            <x v="911"/>
          </reference>
        </references>
      </pivotArea>
    </format>
    <format dxfId="5259">
      <pivotArea dataOnly="0" labelOnly="1" fieldPosition="0">
        <references count="5">
          <reference field="1" count="1" selected="0">
            <x v="23"/>
          </reference>
          <reference field="5" count="1" selected="0">
            <x v="12"/>
          </reference>
          <reference field="6" count="1" selected="0">
            <x v="37"/>
          </reference>
          <reference field="7" count="1" selected="0">
            <x v="102"/>
          </reference>
          <reference field="8" count="2">
            <x v="248"/>
            <x v="1192"/>
          </reference>
        </references>
      </pivotArea>
    </format>
    <format dxfId="5258">
      <pivotArea dataOnly="0" labelOnly="1" fieldPosition="0">
        <references count="5">
          <reference field="1" count="1" selected="0">
            <x v="23"/>
          </reference>
          <reference field="5" count="1" selected="0">
            <x v="16"/>
          </reference>
          <reference field="6" count="1" selected="0">
            <x v="37"/>
          </reference>
          <reference field="7" count="1" selected="0">
            <x v="102"/>
          </reference>
          <reference field="8" count="1">
            <x v="39"/>
          </reference>
        </references>
      </pivotArea>
    </format>
    <format dxfId="5257">
      <pivotArea dataOnly="0" labelOnly="1" fieldPosition="0">
        <references count="5">
          <reference field="1" count="1" selected="0">
            <x v="23"/>
          </reference>
          <reference field="5" count="1" selected="0">
            <x v="19"/>
          </reference>
          <reference field="6" count="1" selected="0">
            <x v="6"/>
          </reference>
          <reference field="7" count="1" selected="0">
            <x v="102"/>
          </reference>
          <reference field="8" count="1">
            <x v="872"/>
          </reference>
        </references>
      </pivotArea>
    </format>
    <format dxfId="5256">
      <pivotArea dataOnly="0" labelOnly="1" fieldPosition="0">
        <references count="5">
          <reference field="1" count="1" selected="0">
            <x v="23"/>
          </reference>
          <reference field="5" count="1" selected="0">
            <x v="23"/>
          </reference>
          <reference field="6" count="1" selected="0">
            <x v="6"/>
          </reference>
          <reference field="7" count="1" selected="0">
            <x v="102"/>
          </reference>
          <reference field="8" count="1">
            <x v="1149"/>
          </reference>
        </references>
      </pivotArea>
    </format>
    <format dxfId="5255">
      <pivotArea dataOnly="0" labelOnly="1" fieldPosition="0">
        <references count="5">
          <reference field="1" count="1" selected="0">
            <x v="23"/>
          </reference>
          <reference field="5" count="1" selected="0">
            <x v="23"/>
          </reference>
          <reference field="6" count="1" selected="0">
            <x v="7"/>
          </reference>
          <reference field="7" count="1" selected="0">
            <x v="102"/>
          </reference>
          <reference field="8" count="1">
            <x v="371"/>
          </reference>
        </references>
      </pivotArea>
    </format>
    <format dxfId="5254">
      <pivotArea dataOnly="0" labelOnly="1" fieldPosition="0">
        <references count="5">
          <reference field="1" count="1" selected="0">
            <x v="23"/>
          </reference>
          <reference field="5" count="1" selected="0">
            <x v="35"/>
          </reference>
          <reference field="6" count="1" selected="0">
            <x v="1"/>
          </reference>
          <reference field="7" count="1" selected="0">
            <x v="102"/>
          </reference>
          <reference field="8" count="1">
            <x v="80"/>
          </reference>
        </references>
      </pivotArea>
    </format>
    <format dxfId="5253">
      <pivotArea dataOnly="0" labelOnly="1" fieldPosition="0">
        <references count="5">
          <reference field="1" count="1" selected="0">
            <x v="24"/>
          </reference>
          <reference field="5" count="1" selected="0">
            <x v="0"/>
          </reference>
          <reference field="6" count="1" selected="0">
            <x v="6"/>
          </reference>
          <reference field="7" count="1" selected="0">
            <x v="103"/>
          </reference>
          <reference field="8" count="1">
            <x v="469"/>
          </reference>
        </references>
      </pivotArea>
    </format>
    <format dxfId="5252">
      <pivotArea dataOnly="0" labelOnly="1" fieldPosition="0">
        <references count="5">
          <reference field="1" count="1" selected="0">
            <x v="24"/>
          </reference>
          <reference field="5" count="1" selected="0">
            <x v="0"/>
          </reference>
          <reference field="6" count="1" selected="0">
            <x v="12"/>
          </reference>
          <reference field="7" count="1" selected="0">
            <x v="6"/>
          </reference>
          <reference field="8" count="1">
            <x v="101"/>
          </reference>
        </references>
      </pivotArea>
    </format>
    <format dxfId="5251">
      <pivotArea dataOnly="0" labelOnly="1" fieldPosition="0">
        <references count="5">
          <reference field="1" count="1" selected="0">
            <x v="24"/>
          </reference>
          <reference field="5" count="1" selected="0">
            <x v="0"/>
          </reference>
          <reference field="6" count="1" selected="0">
            <x v="12"/>
          </reference>
          <reference field="7" count="1" selected="0">
            <x v="57"/>
          </reference>
          <reference field="8" count="1">
            <x v="9"/>
          </reference>
        </references>
      </pivotArea>
    </format>
    <format dxfId="5250">
      <pivotArea dataOnly="0" labelOnly="1" fieldPosition="0">
        <references count="5">
          <reference field="1" count="1" selected="0">
            <x v="24"/>
          </reference>
          <reference field="5" count="1" selected="0">
            <x v="6"/>
          </reference>
          <reference field="6" count="1" selected="0">
            <x v="37"/>
          </reference>
          <reference field="7" count="1" selected="0">
            <x v="103"/>
          </reference>
          <reference field="8" count="1">
            <x v="607"/>
          </reference>
        </references>
      </pivotArea>
    </format>
    <format dxfId="5249">
      <pivotArea dataOnly="0" labelOnly="1" fieldPosition="0">
        <references count="5">
          <reference field="1" count="1" selected="0">
            <x v="24"/>
          </reference>
          <reference field="5" count="1" selected="0">
            <x v="15"/>
          </reference>
          <reference field="6" count="1" selected="0">
            <x v="33"/>
          </reference>
          <reference field="7" count="1" selected="0">
            <x v="103"/>
          </reference>
          <reference field="8" count="1">
            <x v="1879"/>
          </reference>
        </references>
      </pivotArea>
    </format>
    <format dxfId="5248">
      <pivotArea dataOnly="0" labelOnly="1" fieldPosition="0">
        <references count="5">
          <reference field="1" count="1" selected="0">
            <x v="24"/>
          </reference>
          <reference field="5" count="1" selected="0">
            <x v="19"/>
          </reference>
          <reference field="6" count="1" selected="0">
            <x v="6"/>
          </reference>
          <reference field="7" count="1" selected="0">
            <x v="103"/>
          </reference>
          <reference field="8" count="1">
            <x v="371"/>
          </reference>
        </references>
      </pivotArea>
    </format>
    <format dxfId="5247">
      <pivotArea dataOnly="0" labelOnly="1" fieldPosition="0">
        <references count="5">
          <reference field="1" count="1" selected="0">
            <x v="24"/>
          </reference>
          <reference field="5" count="1" selected="0">
            <x v="23"/>
          </reference>
          <reference field="6" count="1" selected="0">
            <x v="37"/>
          </reference>
          <reference field="7" count="1" selected="0">
            <x v="103"/>
          </reference>
          <reference field="8" count="1">
            <x v="562"/>
          </reference>
        </references>
      </pivotArea>
    </format>
    <format dxfId="5246">
      <pivotArea dataOnly="0" labelOnly="1" fieldPosition="0">
        <references count="5">
          <reference field="1" count="1" selected="0">
            <x v="25"/>
          </reference>
          <reference field="5" count="1" selected="0">
            <x v="0"/>
          </reference>
          <reference field="6" count="1" selected="0">
            <x v="10"/>
          </reference>
          <reference field="7" count="1" selected="0">
            <x v="105"/>
          </reference>
          <reference field="8" count="1">
            <x v="0"/>
          </reference>
        </references>
      </pivotArea>
    </format>
    <format dxfId="5245">
      <pivotArea dataOnly="0" labelOnly="1" fieldPosition="0">
        <references count="5">
          <reference field="1" count="1" selected="0">
            <x v="25"/>
          </reference>
          <reference field="5" count="1" selected="0">
            <x v="0"/>
          </reference>
          <reference field="6" count="1" selected="0">
            <x v="12"/>
          </reference>
          <reference field="7" count="1" selected="0">
            <x v="26"/>
          </reference>
          <reference field="8" count="1">
            <x v="52"/>
          </reference>
        </references>
      </pivotArea>
    </format>
    <format dxfId="5244">
      <pivotArea dataOnly="0" labelOnly="1" fieldPosition="0">
        <references count="5">
          <reference field="1" count="1" selected="0">
            <x v="25"/>
          </reference>
          <reference field="5" count="1" selected="0">
            <x v="0"/>
          </reference>
          <reference field="6" count="1" selected="0">
            <x v="12"/>
          </reference>
          <reference field="7" count="1" selected="0">
            <x v="29"/>
          </reference>
          <reference field="8" count="1">
            <x v="11"/>
          </reference>
        </references>
      </pivotArea>
    </format>
    <format dxfId="5243">
      <pivotArea dataOnly="0" labelOnly="1" fieldPosition="0">
        <references count="5">
          <reference field="1" count="1" selected="0">
            <x v="25"/>
          </reference>
          <reference field="5" count="1" selected="0">
            <x v="0"/>
          </reference>
          <reference field="6" count="1" selected="0">
            <x v="12"/>
          </reference>
          <reference field="7" count="1" selected="0">
            <x v="53"/>
          </reference>
          <reference field="8" count="1">
            <x v="52"/>
          </reference>
        </references>
      </pivotArea>
    </format>
    <format dxfId="5242">
      <pivotArea dataOnly="0" labelOnly="1" fieldPosition="0">
        <references count="5">
          <reference field="1" count="1" selected="0">
            <x v="25"/>
          </reference>
          <reference field="5" count="1" selected="0">
            <x v="0"/>
          </reference>
          <reference field="6" count="1" selected="0">
            <x v="37"/>
          </reference>
          <reference field="7" count="1" selected="0">
            <x v="105"/>
          </reference>
          <reference field="8" count="2">
            <x v="1348"/>
            <x v="1674"/>
          </reference>
        </references>
      </pivotArea>
    </format>
    <format dxfId="5241">
      <pivotArea dataOnly="0" labelOnly="1" fieldPosition="0">
        <references count="5">
          <reference field="1" count="1" selected="0">
            <x v="25"/>
          </reference>
          <reference field="5" count="1" selected="0">
            <x v="2"/>
          </reference>
          <reference field="6" count="1" selected="0">
            <x v="28"/>
          </reference>
          <reference field="7" count="1" selected="0">
            <x v="104"/>
          </reference>
          <reference field="8" count="1">
            <x v="34"/>
          </reference>
        </references>
      </pivotArea>
    </format>
    <format dxfId="5240">
      <pivotArea dataOnly="0" labelOnly="1" fieldPosition="0">
        <references count="5">
          <reference field="1" count="1" selected="0">
            <x v="25"/>
          </reference>
          <reference field="5" count="1" selected="0">
            <x v="8"/>
          </reference>
          <reference field="6" count="1" selected="0">
            <x v="37"/>
          </reference>
          <reference field="7" count="1" selected="0">
            <x v="105"/>
          </reference>
          <reference field="8" count="1">
            <x v="1165"/>
          </reference>
        </references>
      </pivotArea>
    </format>
    <format dxfId="5239">
      <pivotArea dataOnly="0" labelOnly="1" fieldPosition="0">
        <references count="5">
          <reference field="1" count="1" selected="0">
            <x v="25"/>
          </reference>
          <reference field="5" count="1" selected="0">
            <x v="10"/>
          </reference>
          <reference field="6" count="1" selected="0">
            <x v="38"/>
          </reference>
          <reference field="7" count="1" selected="0">
            <x v="105"/>
          </reference>
          <reference field="8" count="1">
            <x v="1500"/>
          </reference>
        </references>
      </pivotArea>
    </format>
    <format dxfId="5238">
      <pivotArea dataOnly="0" labelOnly="1" fieldPosition="0">
        <references count="5">
          <reference field="1" count="1" selected="0">
            <x v="25"/>
          </reference>
          <reference field="5" count="1" selected="0">
            <x v="12"/>
          </reference>
          <reference field="6" count="1" selected="0">
            <x v="1"/>
          </reference>
          <reference field="7" count="1" selected="0">
            <x v="105"/>
          </reference>
          <reference field="8" count="6">
            <x v="80"/>
            <x v="213"/>
            <x v="352"/>
            <x v="500"/>
            <x v="964"/>
            <x v="1069"/>
          </reference>
        </references>
      </pivotArea>
    </format>
    <format dxfId="5237">
      <pivotArea dataOnly="0" labelOnly="1" fieldPosition="0">
        <references count="5">
          <reference field="1" count="1" selected="0">
            <x v="25"/>
          </reference>
          <reference field="5" count="1" selected="0">
            <x v="15"/>
          </reference>
          <reference field="6" count="1" selected="0">
            <x v="38"/>
          </reference>
          <reference field="7" count="1" selected="0">
            <x v="105"/>
          </reference>
          <reference field="8" count="1">
            <x v="1274"/>
          </reference>
        </references>
      </pivotArea>
    </format>
    <format dxfId="5236">
      <pivotArea dataOnly="0" labelOnly="1" fieldPosition="0">
        <references count="5">
          <reference field="1" count="1" selected="0">
            <x v="25"/>
          </reference>
          <reference field="5" count="1" selected="0">
            <x v="23"/>
          </reference>
          <reference field="6" count="1" selected="0">
            <x v="38"/>
          </reference>
          <reference field="7" count="1" selected="0">
            <x v="105"/>
          </reference>
          <reference field="8" count="1">
            <x v="1858"/>
          </reference>
        </references>
      </pivotArea>
    </format>
    <format dxfId="5235">
      <pivotArea dataOnly="0" labelOnly="1" fieldPosition="0">
        <references count="5">
          <reference field="1" count="1" selected="0">
            <x v="25"/>
          </reference>
          <reference field="5" count="1" selected="0">
            <x v="36"/>
          </reference>
          <reference field="6" count="1" selected="0">
            <x v="1"/>
          </reference>
          <reference field="7" count="1" selected="0">
            <x v="105"/>
          </reference>
          <reference field="8" count="1">
            <x v="351"/>
          </reference>
        </references>
      </pivotArea>
    </format>
    <format dxfId="5234">
      <pivotArea dataOnly="0" labelOnly="1" fieldPosition="0">
        <references count="5">
          <reference field="1" count="1" selected="0">
            <x v="26"/>
          </reference>
          <reference field="5" count="1" selected="0">
            <x v="0"/>
          </reference>
          <reference field="6" count="1" selected="0">
            <x v="6"/>
          </reference>
          <reference field="7" count="1" selected="0">
            <x v="106"/>
          </reference>
          <reference field="8" count="1">
            <x v="248"/>
          </reference>
        </references>
      </pivotArea>
    </format>
    <format dxfId="5233">
      <pivotArea dataOnly="0" labelOnly="1" fieldPosition="0">
        <references count="5">
          <reference field="1" count="1" selected="0">
            <x v="26"/>
          </reference>
          <reference field="5" count="1" selected="0">
            <x v="0"/>
          </reference>
          <reference field="6" count="1" selected="0">
            <x v="9"/>
          </reference>
          <reference field="7" count="1" selected="0">
            <x v="106"/>
          </reference>
          <reference field="8" count="7">
            <x v="212"/>
            <x v="350"/>
            <x v="510"/>
            <x v="572"/>
            <x v="664"/>
            <x v="867"/>
            <x v="963"/>
          </reference>
        </references>
      </pivotArea>
    </format>
    <format dxfId="5232">
      <pivotArea dataOnly="0" labelOnly="1" fieldPosition="0">
        <references count="5">
          <reference field="1" count="1" selected="0">
            <x v="26"/>
          </reference>
          <reference field="5" count="1" selected="0">
            <x v="0"/>
          </reference>
          <reference field="6" count="1" selected="0">
            <x v="12"/>
          </reference>
          <reference field="7" count="1" selected="0">
            <x v="26"/>
          </reference>
          <reference field="8" count="1">
            <x v="52"/>
          </reference>
        </references>
      </pivotArea>
    </format>
    <format dxfId="5231">
      <pivotArea dataOnly="0" labelOnly="1" fieldPosition="0">
        <references count="5">
          <reference field="1" count="1" selected="0">
            <x v="26"/>
          </reference>
          <reference field="5" count="1" selected="0">
            <x v="0"/>
          </reference>
          <reference field="6" count="1" selected="0">
            <x v="12"/>
          </reference>
          <reference field="7" count="1" selected="0">
            <x v="50"/>
          </reference>
          <reference field="8" count="1">
            <x v="248"/>
          </reference>
        </references>
      </pivotArea>
    </format>
    <format dxfId="5230">
      <pivotArea dataOnly="0" labelOnly="1" fieldPosition="0">
        <references count="5">
          <reference field="1" count="1" selected="0">
            <x v="26"/>
          </reference>
          <reference field="5" count="1" selected="0">
            <x v="0"/>
          </reference>
          <reference field="6" count="1" selected="0">
            <x v="37"/>
          </reference>
          <reference field="7" count="1" selected="0">
            <x v="106"/>
          </reference>
          <reference field="8" count="2">
            <x v="685"/>
            <x v="1547"/>
          </reference>
        </references>
      </pivotArea>
    </format>
    <format dxfId="5229">
      <pivotArea dataOnly="0" labelOnly="1" fieldPosition="0">
        <references count="5">
          <reference field="1" count="1" selected="0">
            <x v="26"/>
          </reference>
          <reference field="5" count="1" selected="0">
            <x v="5"/>
          </reference>
          <reference field="6" count="1" selected="0">
            <x v="37"/>
          </reference>
          <reference field="7" count="1" selected="0">
            <x v="106"/>
          </reference>
          <reference field="8" count="1">
            <x v="1334"/>
          </reference>
        </references>
      </pivotArea>
    </format>
    <format dxfId="5228">
      <pivotArea dataOnly="0" labelOnly="1" fieldPosition="0">
        <references count="5">
          <reference field="1" count="1" selected="0">
            <x v="26"/>
          </reference>
          <reference field="5" count="1" selected="0">
            <x v="9"/>
          </reference>
          <reference field="6" count="1" selected="0">
            <x v="8"/>
          </reference>
          <reference field="7" count="1" selected="0">
            <x v="106"/>
          </reference>
          <reference field="8" count="1">
            <x v="428"/>
          </reference>
        </references>
      </pivotArea>
    </format>
    <format dxfId="5227">
      <pivotArea dataOnly="0" labelOnly="1" fieldPosition="0">
        <references count="5">
          <reference field="1" count="1" selected="0">
            <x v="26"/>
          </reference>
          <reference field="5" count="1" selected="0">
            <x v="12"/>
          </reference>
          <reference field="6" count="1" selected="0">
            <x v="0"/>
          </reference>
          <reference field="7" count="1" selected="0">
            <x v="106"/>
          </reference>
          <reference field="8" count="1">
            <x v="80"/>
          </reference>
        </references>
      </pivotArea>
    </format>
    <format dxfId="5226">
      <pivotArea dataOnly="0" labelOnly="1" fieldPosition="0">
        <references count="5">
          <reference field="1" count="1" selected="0">
            <x v="26"/>
          </reference>
          <reference field="5" count="1" selected="0">
            <x v="12"/>
          </reference>
          <reference field="6" count="1" selected="0">
            <x v="1"/>
          </reference>
          <reference field="7" count="1" selected="0">
            <x v="106"/>
          </reference>
          <reference field="8" count="2">
            <x v="352"/>
            <x v="500"/>
          </reference>
        </references>
      </pivotArea>
    </format>
    <format dxfId="5225">
      <pivotArea dataOnly="0" labelOnly="1" fieldPosition="0">
        <references count="5">
          <reference field="1" count="1" selected="0">
            <x v="26"/>
          </reference>
          <reference field="5" count="1" selected="0">
            <x v="15"/>
          </reference>
          <reference field="6" count="1" selected="0">
            <x v="9"/>
          </reference>
          <reference field="7" count="1" selected="0">
            <x v="106"/>
          </reference>
          <reference field="8" count="1">
            <x v="466"/>
          </reference>
        </references>
      </pivotArea>
    </format>
    <format dxfId="5224">
      <pivotArea dataOnly="0" labelOnly="1" fieldPosition="0">
        <references count="5">
          <reference field="1" count="1" selected="0">
            <x v="26"/>
          </reference>
          <reference field="5" count="1" selected="0">
            <x v="19"/>
          </reference>
          <reference field="6" count="1" selected="0">
            <x v="37"/>
          </reference>
          <reference field="7" count="1" selected="0">
            <x v="106"/>
          </reference>
          <reference field="8" count="1">
            <x v="633"/>
          </reference>
        </references>
      </pivotArea>
    </format>
    <format dxfId="5223">
      <pivotArea dataOnly="0" labelOnly="1" fieldPosition="0">
        <references count="5">
          <reference field="1" count="1" selected="0">
            <x v="26"/>
          </reference>
          <reference field="5" count="1" selected="0">
            <x v="27"/>
          </reference>
          <reference field="6" count="1" selected="0">
            <x v="6"/>
          </reference>
          <reference field="7" count="1" selected="0">
            <x v="106"/>
          </reference>
          <reference field="8" count="1">
            <x v="1459"/>
          </reference>
        </references>
      </pivotArea>
    </format>
    <format dxfId="5222">
      <pivotArea dataOnly="0" labelOnly="1" fieldPosition="0">
        <references count="5">
          <reference field="1" count="1" selected="0">
            <x v="27"/>
          </reference>
          <reference field="5" count="1" selected="0">
            <x v="0"/>
          </reference>
          <reference field="6" count="1" selected="0">
            <x v="12"/>
          </reference>
          <reference field="7" count="1" selected="0">
            <x v="60"/>
          </reference>
          <reference field="8" count="1">
            <x v="9"/>
          </reference>
        </references>
      </pivotArea>
    </format>
    <format dxfId="5221">
      <pivotArea dataOnly="0" labelOnly="1" fieldPosition="0">
        <references count="5">
          <reference field="1" count="1" selected="0">
            <x v="27"/>
          </reference>
          <reference field="5" count="1" selected="0">
            <x v="0"/>
          </reference>
          <reference field="6" count="1" selected="0">
            <x v="37"/>
          </reference>
          <reference field="7" count="1" selected="0">
            <x v="107"/>
          </reference>
          <reference field="8" count="1">
            <x v="371"/>
          </reference>
        </references>
      </pivotArea>
    </format>
    <format dxfId="5220">
      <pivotArea dataOnly="0" labelOnly="1" fieldPosition="0">
        <references count="5">
          <reference field="1" count="1" selected="0">
            <x v="27"/>
          </reference>
          <reference field="5" count="1" selected="0">
            <x v="8"/>
          </reference>
          <reference field="6" count="1" selected="0">
            <x v="37"/>
          </reference>
          <reference field="7" count="1" selected="0">
            <x v="107"/>
          </reference>
          <reference field="8" count="1">
            <x v="1525"/>
          </reference>
        </references>
      </pivotArea>
    </format>
    <format dxfId="5219">
      <pivotArea dataOnly="0" labelOnly="1" fieldPosition="0">
        <references count="5">
          <reference field="1" count="1" selected="0">
            <x v="27"/>
          </reference>
          <reference field="5" count="1" selected="0">
            <x v="12"/>
          </reference>
          <reference field="6" count="1" selected="0">
            <x v="1"/>
          </reference>
          <reference field="7" count="1" selected="0">
            <x v="107"/>
          </reference>
          <reference field="8" count="1">
            <x v="213"/>
          </reference>
        </references>
      </pivotArea>
    </format>
    <format dxfId="5218">
      <pivotArea dataOnly="0" labelOnly="1" fieldPosition="0">
        <references count="5">
          <reference field="1" count="1" selected="0">
            <x v="27"/>
          </reference>
          <reference field="5" count="1" selected="0">
            <x v="23"/>
          </reference>
          <reference field="6" count="1" selected="0">
            <x v="37"/>
          </reference>
          <reference field="7" count="1" selected="0">
            <x v="107"/>
          </reference>
          <reference field="8" count="1">
            <x v="121"/>
          </reference>
        </references>
      </pivotArea>
    </format>
    <format dxfId="5217">
      <pivotArea dataOnly="0" labelOnly="1" fieldPosition="0">
        <references count="5">
          <reference field="1" count="1" selected="0">
            <x v="28"/>
          </reference>
          <reference field="5" count="1" selected="0">
            <x v="0"/>
          </reference>
          <reference field="6" count="1" selected="0">
            <x v="7"/>
          </reference>
          <reference field="7" count="1" selected="0">
            <x v="108"/>
          </reference>
          <reference field="8" count="1">
            <x v="503"/>
          </reference>
        </references>
      </pivotArea>
    </format>
    <format dxfId="5216">
      <pivotArea dataOnly="0" labelOnly="1" fieldPosition="0">
        <references count="5">
          <reference field="1" count="1" selected="0">
            <x v="28"/>
          </reference>
          <reference field="5" count="1" selected="0">
            <x v="0"/>
          </reference>
          <reference field="6" count="1" selected="0">
            <x v="9"/>
          </reference>
          <reference field="7" count="1" selected="0">
            <x v="108"/>
          </reference>
          <reference field="8" count="6">
            <x v="230"/>
            <x v="248"/>
            <x v="485"/>
            <x v="712"/>
            <x v="871"/>
            <x v="1103"/>
          </reference>
        </references>
      </pivotArea>
    </format>
    <format dxfId="5215">
      <pivotArea dataOnly="0" labelOnly="1" fieldPosition="0">
        <references count="5">
          <reference field="1" count="1" selected="0">
            <x v="28"/>
          </reference>
          <reference field="5" count="1" selected="0">
            <x v="0"/>
          </reference>
          <reference field="6" count="1" selected="0">
            <x v="10"/>
          </reference>
          <reference field="7" count="1" selected="0">
            <x v="108"/>
          </reference>
          <reference field="8" count="1">
            <x v="433"/>
          </reference>
        </references>
      </pivotArea>
    </format>
    <format dxfId="5214">
      <pivotArea dataOnly="0" labelOnly="1" fieldPosition="0">
        <references count="5">
          <reference field="1" count="1" selected="0">
            <x v="28"/>
          </reference>
          <reference field="5" count="1" selected="0">
            <x v="0"/>
          </reference>
          <reference field="6" count="1" selected="0">
            <x v="12"/>
          </reference>
          <reference field="7" count="1" selected="0">
            <x v="65"/>
          </reference>
          <reference field="8" count="1">
            <x v="11"/>
          </reference>
        </references>
      </pivotArea>
    </format>
    <format dxfId="5213">
      <pivotArea dataOnly="0" labelOnly="1" fieldPosition="0">
        <references count="5">
          <reference field="1" count="1" selected="0">
            <x v="28"/>
          </reference>
          <reference field="5" count="1" selected="0">
            <x v="12"/>
          </reference>
          <reference field="6" count="1" selected="0">
            <x v="1"/>
          </reference>
          <reference field="7" count="1" selected="0">
            <x v="108"/>
          </reference>
          <reference field="8" count="3">
            <x v="80"/>
            <x v="213"/>
            <x v="846"/>
          </reference>
        </references>
      </pivotArea>
    </format>
    <format dxfId="5212">
      <pivotArea dataOnly="0" labelOnly="1" fieldPosition="0">
        <references count="5">
          <reference field="1" count="1" selected="0">
            <x v="28"/>
          </reference>
          <reference field="5" count="1" selected="0">
            <x v="19"/>
          </reference>
          <reference field="6" count="1" selected="0">
            <x v="10"/>
          </reference>
          <reference field="7" count="1" selected="0">
            <x v="108"/>
          </reference>
          <reference field="8" count="1">
            <x v="1659"/>
          </reference>
        </references>
      </pivotArea>
    </format>
    <format dxfId="5211">
      <pivotArea dataOnly="0" labelOnly="1" fieldPosition="0">
        <references count="5">
          <reference field="1" count="1" selected="0">
            <x v="28"/>
          </reference>
          <reference field="5" count="1" selected="0">
            <x v="21"/>
          </reference>
          <reference field="6" count="1" selected="0">
            <x v="37"/>
          </reference>
          <reference field="7" count="1" selected="0">
            <x v="108"/>
          </reference>
          <reference field="8" count="1">
            <x v="947"/>
          </reference>
        </references>
      </pivotArea>
    </format>
    <format dxfId="5210">
      <pivotArea dataOnly="0" labelOnly="1" fieldPosition="0">
        <references count="5">
          <reference field="1" count="1" selected="0">
            <x v="28"/>
          </reference>
          <reference field="5" count="1" selected="0">
            <x v="35"/>
          </reference>
          <reference field="6" count="1" selected="0">
            <x v="1"/>
          </reference>
          <reference field="7" count="1" selected="0">
            <x v="108"/>
          </reference>
          <reference field="8" count="1">
            <x v="80"/>
          </reference>
        </references>
      </pivotArea>
    </format>
    <format dxfId="5209">
      <pivotArea dataOnly="0" labelOnly="1" fieldPosition="0">
        <references count="5">
          <reference field="1" count="1" selected="0">
            <x v="29"/>
          </reference>
          <reference field="5" count="1" selected="0">
            <x v="0"/>
          </reference>
          <reference field="6" count="1" selected="0">
            <x v="6"/>
          </reference>
          <reference field="7" count="1" selected="0">
            <x v="109"/>
          </reference>
          <reference field="8" count="2">
            <x v="228"/>
            <x v="321"/>
          </reference>
        </references>
      </pivotArea>
    </format>
    <format dxfId="5208">
      <pivotArea dataOnly="0" labelOnly="1" fieldPosition="0">
        <references count="5">
          <reference field="1" count="1" selected="0">
            <x v="29"/>
          </reference>
          <reference field="5" count="1" selected="0">
            <x v="0"/>
          </reference>
          <reference field="6" count="1" selected="0">
            <x v="12"/>
          </reference>
          <reference field="7" count="1" selected="0">
            <x v="10"/>
          </reference>
          <reference field="8" count="1">
            <x v="9"/>
          </reference>
        </references>
      </pivotArea>
    </format>
    <format dxfId="5207">
      <pivotArea dataOnly="0" labelOnly="1" fieldPosition="0">
        <references count="5">
          <reference field="1" count="1" selected="0">
            <x v="29"/>
          </reference>
          <reference field="5" count="1" selected="0">
            <x v="0"/>
          </reference>
          <reference field="6" count="1" selected="0">
            <x v="12"/>
          </reference>
          <reference field="7" count="1" selected="0">
            <x v="58"/>
          </reference>
          <reference field="8" count="1">
            <x v="11"/>
          </reference>
        </references>
      </pivotArea>
    </format>
    <format dxfId="5206">
      <pivotArea dataOnly="0" labelOnly="1" fieldPosition="0">
        <references count="5">
          <reference field="1" count="1" selected="0">
            <x v="29"/>
          </reference>
          <reference field="5" count="1" selected="0">
            <x v="0"/>
          </reference>
          <reference field="6" count="1" selected="0">
            <x v="12"/>
          </reference>
          <reference field="7" count="1" selected="0">
            <x v="64"/>
          </reference>
          <reference field="8" count="1">
            <x v="64"/>
          </reference>
        </references>
      </pivotArea>
    </format>
    <format dxfId="5205">
      <pivotArea dataOnly="0" labelOnly="1" fieldPosition="0">
        <references count="5">
          <reference field="1" count="1" selected="0">
            <x v="29"/>
          </reference>
          <reference field="5" count="1" selected="0">
            <x v="3"/>
          </reference>
          <reference field="6" count="1" selected="0">
            <x v="37"/>
          </reference>
          <reference field="7" count="1" selected="0">
            <x v="109"/>
          </reference>
          <reference field="8" count="1">
            <x v="187"/>
          </reference>
        </references>
      </pivotArea>
    </format>
    <format dxfId="5204">
      <pivotArea dataOnly="0" labelOnly="1" fieldPosition="0">
        <references count="5">
          <reference field="1" count="1" selected="0">
            <x v="29"/>
          </reference>
          <reference field="5" count="1" selected="0">
            <x v="5"/>
          </reference>
          <reference field="6" count="1" selected="0">
            <x v="37"/>
          </reference>
          <reference field="7" count="1" selected="0">
            <x v="109"/>
          </reference>
          <reference field="8" count="1">
            <x v="592"/>
          </reference>
        </references>
      </pivotArea>
    </format>
    <format dxfId="5203">
      <pivotArea dataOnly="0" labelOnly="1" fieldPosition="0">
        <references count="5">
          <reference field="1" count="1" selected="0">
            <x v="29"/>
          </reference>
          <reference field="5" count="1" selected="0">
            <x v="7"/>
          </reference>
          <reference field="6" count="1" selected="0">
            <x v="37"/>
          </reference>
          <reference field="7" count="1" selected="0">
            <x v="109"/>
          </reference>
          <reference field="8" count="1">
            <x v="314"/>
          </reference>
        </references>
      </pivotArea>
    </format>
    <format dxfId="5202">
      <pivotArea dataOnly="0" labelOnly="1" fieldPosition="0">
        <references count="5">
          <reference field="1" count="1" selected="0">
            <x v="29"/>
          </reference>
          <reference field="5" count="1" selected="0">
            <x v="8"/>
          </reference>
          <reference field="6" count="1" selected="0">
            <x v="37"/>
          </reference>
          <reference field="7" count="1" selected="0">
            <x v="109"/>
          </reference>
          <reference field="8" count="1">
            <x v="697"/>
          </reference>
        </references>
      </pivotArea>
    </format>
    <format dxfId="5201">
      <pivotArea dataOnly="0" labelOnly="1" fieldPosition="0">
        <references count="5">
          <reference field="1" count="1" selected="0">
            <x v="29"/>
          </reference>
          <reference field="5" count="1" selected="0">
            <x v="9"/>
          </reference>
          <reference field="6" count="1" selected="0">
            <x v="8"/>
          </reference>
          <reference field="7" count="1" selected="0">
            <x v="109"/>
          </reference>
          <reference field="8" count="1">
            <x v="1297"/>
          </reference>
        </references>
      </pivotArea>
    </format>
    <format dxfId="5200">
      <pivotArea dataOnly="0" labelOnly="1" fieldPosition="0">
        <references count="5">
          <reference field="1" count="1" selected="0">
            <x v="29"/>
          </reference>
          <reference field="5" count="1" selected="0">
            <x v="12"/>
          </reference>
          <reference field="6" count="1" selected="0">
            <x v="1"/>
          </reference>
          <reference field="7" count="1" selected="0">
            <x v="109"/>
          </reference>
          <reference field="8" count="6">
            <x v="80"/>
            <x v="213"/>
            <x v="352"/>
            <x v="500"/>
            <x v="607"/>
            <x v="911"/>
          </reference>
        </references>
      </pivotArea>
    </format>
    <format dxfId="5199">
      <pivotArea dataOnly="0" labelOnly="1" fieldPosition="0">
        <references count="5">
          <reference field="1" count="1" selected="0">
            <x v="29"/>
          </reference>
          <reference field="5" count="1" selected="0">
            <x v="12"/>
          </reference>
          <reference field="6" count="1" selected="0">
            <x v="37"/>
          </reference>
          <reference field="7" count="1" selected="0">
            <x v="109"/>
          </reference>
          <reference field="8" count="1">
            <x v="1244"/>
          </reference>
        </references>
      </pivotArea>
    </format>
    <format dxfId="5198">
      <pivotArea dataOnly="0" labelOnly="1" fieldPosition="0">
        <references count="5">
          <reference field="1" count="1" selected="0">
            <x v="29"/>
          </reference>
          <reference field="5" count="1" selected="0">
            <x v="15"/>
          </reference>
          <reference field="6" count="1" selected="0">
            <x v="1"/>
          </reference>
          <reference field="7" count="1" selected="0">
            <x v="109"/>
          </reference>
          <reference field="8" count="1">
            <x v="1698"/>
          </reference>
        </references>
      </pivotArea>
    </format>
    <format dxfId="5197">
      <pivotArea dataOnly="0" labelOnly="1" fieldPosition="0">
        <references count="5">
          <reference field="1" count="1" selected="0">
            <x v="29"/>
          </reference>
          <reference field="5" count="1" selected="0">
            <x v="21"/>
          </reference>
          <reference field="6" count="1" selected="0">
            <x v="6"/>
          </reference>
          <reference field="7" count="1" selected="0">
            <x v="109"/>
          </reference>
          <reference field="8" count="1">
            <x v="551"/>
          </reference>
        </references>
      </pivotArea>
    </format>
    <format dxfId="5196">
      <pivotArea dataOnly="0" labelOnly="1" fieldPosition="0">
        <references count="5">
          <reference field="1" count="1" selected="0">
            <x v="29"/>
          </reference>
          <reference field="5" count="1" selected="0">
            <x v="21"/>
          </reference>
          <reference field="6" count="1" selected="0">
            <x v="37"/>
          </reference>
          <reference field="7" count="1" selected="0">
            <x v="109"/>
          </reference>
          <reference field="8" count="1">
            <x v="352"/>
          </reference>
        </references>
      </pivotArea>
    </format>
    <format dxfId="5195">
      <pivotArea dataOnly="0" labelOnly="1" fieldPosition="0">
        <references count="5">
          <reference field="1" count="1" selected="0">
            <x v="29"/>
          </reference>
          <reference field="5" count="1" selected="0">
            <x v="23"/>
          </reference>
          <reference field="6" count="1" selected="0">
            <x v="1"/>
          </reference>
          <reference field="7" count="1" selected="0">
            <x v="109"/>
          </reference>
          <reference field="8" count="1">
            <x v="109"/>
          </reference>
        </references>
      </pivotArea>
    </format>
    <format dxfId="5194">
      <pivotArea dataOnly="0" labelOnly="1" fieldPosition="0">
        <references count="5">
          <reference field="1" count="1" selected="0">
            <x v="29"/>
          </reference>
          <reference field="5" count="1" selected="0">
            <x v="23"/>
          </reference>
          <reference field="6" count="1" selected="0">
            <x v="37"/>
          </reference>
          <reference field="7" count="1" selected="0">
            <x v="109"/>
          </reference>
          <reference field="8" count="1">
            <x v="286"/>
          </reference>
        </references>
      </pivotArea>
    </format>
    <format dxfId="5193">
      <pivotArea dataOnly="0" labelOnly="1" fieldPosition="0">
        <references count="5">
          <reference field="1" count="1" selected="0">
            <x v="29"/>
          </reference>
          <reference field="5" count="1" selected="0">
            <x v="24"/>
          </reference>
          <reference field="6" count="1" selected="0">
            <x v="37"/>
          </reference>
          <reference field="7" count="1" selected="0">
            <x v="109"/>
          </reference>
          <reference field="8" count="1">
            <x v="80"/>
          </reference>
        </references>
      </pivotArea>
    </format>
    <format dxfId="5192">
      <pivotArea dataOnly="0" labelOnly="1" fieldPosition="0">
        <references count="5">
          <reference field="1" count="1" selected="0">
            <x v="29"/>
          </reference>
          <reference field="5" count="1" selected="0">
            <x v="26"/>
          </reference>
          <reference field="6" count="1" selected="0">
            <x v="37"/>
          </reference>
          <reference field="7" count="1" selected="0">
            <x v="109"/>
          </reference>
          <reference field="8" count="1">
            <x v="109"/>
          </reference>
        </references>
      </pivotArea>
    </format>
    <format dxfId="5191">
      <pivotArea dataOnly="0" labelOnly="1" fieldPosition="0">
        <references count="5">
          <reference field="1" count="1" selected="0">
            <x v="29"/>
          </reference>
          <reference field="5" count="1" selected="0">
            <x v="28"/>
          </reference>
          <reference field="6" count="1" selected="0">
            <x v="8"/>
          </reference>
          <reference field="7" count="1" selected="0">
            <x v="109"/>
          </reference>
          <reference field="8" count="1">
            <x v="669"/>
          </reference>
        </references>
      </pivotArea>
    </format>
    <format dxfId="5190">
      <pivotArea dataOnly="0" labelOnly="1" fieldPosition="0">
        <references count="5">
          <reference field="1" count="1" selected="0">
            <x v="29"/>
          </reference>
          <reference field="5" count="1" selected="0">
            <x v="33"/>
          </reference>
          <reference field="6" count="1" selected="0">
            <x v="6"/>
          </reference>
          <reference field="7" count="1" selected="0">
            <x v="109"/>
          </reference>
          <reference field="8" count="1">
            <x v="469"/>
          </reference>
        </references>
      </pivotArea>
    </format>
    <format dxfId="5189">
      <pivotArea dataOnly="0" labelOnly="1" fieldPosition="0">
        <references count="5">
          <reference field="1" count="1" selected="0">
            <x v="29"/>
          </reference>
          <reference field="5" count="1" selected="0">
            <x v="35"/>
          </reference>
          <reference field="6" count="1" selected="0">
            <x v="1"/>
          </reference>
          <reference field="7" count="1" selected="0">
            <x v="109"/>
          </reference>
          <reference field="8" count="1">
            <x v="80"/>
          </reference>
        </references>
      </pivotArea>
    </format>
    <format dxfId="5188">
      <pivotArea dataOnly="0" labelOnly="1" fieldPosition="0">
        <references count="5">
          <reference field="1" count="1" selected="0">
            <x v="30"/>
          </reference>
          <reference field="5" count="1" selected="0">
            <x v="0"/>
          </reference>
          <reference field="6" count="1" selected="0">
            <x v="15"/>
          </reference>
          <reference field="7" count="1" selected="0">
            <x v="110"/>
          </reference>
          <reference field="8" count="9">
            <x v="643"/>
            <x v="646"/>
            <x v="651"/>
            <x v="655"/>
            <x v="820"/>
            <x v="873"/>
            <x v="948"/>
            <x v="1135"/>
            <x v="1140"/>
          </reference>
        </references>
      </pivotArea>
    </format>
    <format dxfId="5187">
      <pivotArea dataOnly="0" labelOnly="1" fieldPosition="0">
        <references count="5">
          <reference field="1" count="1" selected="0">
            <x v="30"/>
          </reference>
          <reference field="5" count="1" selected="0">
            <x v="2"/>
          </reference>
          <reference field="6" count="1" selected="0">
            <x v="15"/>
          </reference>
          <reference field="7" count="1" selected="0">
            <x v="110"/>
          </reference>
          <reference field="8" count="1">
            <x v="1876"/>
          </reference>
        </references>
      </pivotArea>
    </format>
    <format dxfId="5186">
      <pivotArea dataOnly="0" labelOnly="1" fieldPosition="0">
        <references count="5">
          <reference field="1" count="1" selected="0">
            <x v="30"/>
          </reference>
          <reference field="5" count="1" selected="0">
            <x v="3"/>
          </reference>
          <reference field="6" count="1" selected="0">
            <x v="15"/>
          </reference>
          <reference field="7" count="1" selected="0">
            <x v="110"/>
          </reference>
          <reference field="8" count="1">
            <x v="1277"/>
          </reference>
        </references>
      </pivotArea>
    </format>
    <format dxfId="5185">
      <pivotArea dataOnly="0" labelOnly="1" fieldPosition="0">
        <references count="5">
          <reference field="1" count="1" selected="0">
            <x v="30"/>
          </reference>
          <reference field="5" count="1" selected="0">
            <x v="12"/>
          </reference>
          <reference field="6" count="1" selected="0">
            <x v="15"/>
          </reference>
          <reference field="7" count="1" selected="0">
            <x v="110"/>
          </reference>
          <reference field="8" count="23">
            <x v="222"/>
            <x v="324"/>
            <x v="594"/>
            <x v="1006"/>
            <x v="1010"/>
            <x v="1184"/>
            <x v="1373"/>
            <x v="1383"/>
            <x v="1386"/>
            <x v="1397"/>
            <x v="1462"/>
            <x v="1489"/>
            <x v="1506"/>
            <x v="1570"/>
            <x v="1591"/>
            <x v="1595"/>
            <x v="1635"/>
            <x v="1742"/>
            <x v="1746"/>
            <x v="1763"/>
            <x v="1771"/>
            <x v="1785"/>
            <x v="1789"/>
          </reference>
        </references>
      </pivotArea>
    </format>
    <format dxfId="5184">
      <pivotArea dataOnly="0" labelOnly="1" fieldPosition="0">
        <references count="5">
          <reference field="1" count="1" selected="0">
            <x v="30"/>
          </reference>
          <reference field="5" count="1" selected="0">
            <x v="15"/>
          </reference>
          <reference field="6" count="1" selected="0">
            <x v="15"/>
          </reference>
          <reference field="7" count="1" selected="0">
            <x v="110"/>
          </reference>
          <reference field="8" count="1">
            <x v="1138"/>
          </reference>
        </references>
      </pivotArea>
    </format>
    <format dxfId="5183">
      <pivotArea dataOnly="0" labelOnly="1" fieldPosition="0">
        <references count="5">
          <reference field="1" count="1" selected="0">
            <x v="30"/>
          </reference>
          <reference field="5" count="1" selected="0">
            <x v="17"/>
          </reference>
          <reference field="6" count="1" selected="0">
            <x v="15"/>
          </reference>
          <reference field="7" count="1" selected="0">
            <x v="110"/>
          </reference>
          <reference field="8" count="1">
            <x v="742"/>
          </reference>
        </references>
      </pivotArea>
    </format>
    <format dxfId="5182">
      <pivotArea dataOnly="0" labelOnly="1" fieldPosition="0">
        <references count="5">
          <reference field="1" count="1" selected="0">
            <x v="30"/>
          </reference>
          <reference field="5" count="1" selected="0">
            <x v="21"/>
          </reference>
          <reference field="6" count="1" selected="0">
            <x v="15"/>
          </reference>
          <reference field="7" count="1" selected="0">
            <x v="110"/>
          </reference>
          <reference field="8" count="1">
            <x v="1810"/>
          </reference>
        </references>
      </pivotArea>
    </format>
    <format dxfId="5181">
      <pivotArea dataOnly="0" labelOnly="1" fieldPosition="0">
        <references count="5">
          <reference field="1" count="1" selected="0">
            <x v="30"/>
          </reference>
          <reference field="5" count="1" selected="0">
            <x v="23"/>
          </reference>
          <reference field="6" count="1" selected="0">
            <x v="15"/>
          </reference>
          <reference field="7" count="1" selected="0">
            <x v="110"/>
          </reference>
          <reference field="8" count="1">
            <x v="1650"/>
          </reference>
        </references>
      </pivotArea>
    </format>
    <format dxfId="5180">
      <pivotArea dataOnly="0" labelOnly="1" fieldPosition="0">
        <references count="5">
          <reference field="1" count="1" selected="0">
            <x v="30"/>
          </reference>
          <reference field="5" count="1" selected="0">
            <x v="23"/>
          </reference>
          <reference field="6" count="1" selected="0">
            <x v="37"/>
          </reference>
          <reference field="7" count="1" selected="0">
            <x v="111"/>
          </reference>
          <reference field="8" count="1">
            <x v="1285"/>
          </reference>
        </references>
      </pivotArea>
    </format>
    <format dxfId="5179">
      <pivotArea dataOnly="0" labelOnly="1" fieldPosition="0">
        <references count="5">
          <reference field="1" count="1" selected="0">
            <x v="30"/>
          </reference>
          <reference field="5" count="1" selected="0">
            <x v="24"/>
          </reference>
          <reference field="6" count="1" selected="0">
            <x v="15"/>
          </reference>
          <reference field="7" count="1" selected="0">
            <x v="110"/>
          </reference>
          <reference field="8" count="1">
            <x v="1510"/>
          </reference>
        </references>
      </pivotArea>
    </format>
    <format dxfId="5178">
      <pivotArea dataOnly="0" labelOnly="1" fieldPosition="0">
        <references count="5">
          <reference field="1" count="1" selected="0">
            <x v="30"/>
          </reference>
          <reference field="5" count="1" selected="0">
            <x v="27"/>
          </reference>
          <reference field="6" count="1" selected="0">
            <x v="15"/>
          </reference>
          <reference field="7" count="1" selected="0">
            <x v="110"/>
          </reference>
          <reference field="8" count="1">
            <x v="1469"/>
          </reference>
        </references>
      </pivotArea>
    </format>
    <format dxfId="5177">
      <pivotArea dataOnly="0" labelOnly="1" fieldPosition="0">
        <references count="5">
          <reference field="1" count="1" selected="0">
            <x v="30"/>
          </reference>
          <reference field="5" count="1" selected="0">
            <x v="35"/>
          </reference>
          <reference field="6" count="1" selected="0">
            <x v="15"/>
          </reference>
          <reference field="7" count="1" selected="0">
            <x v="110"/>
          </reference>
          <reference field="8" count="11">
            <x v="253"/>
            <x v="332"/>
            <x v="362"/>
            <x v="377"/>
            <x v="415"/>
            <x v="446"/>
            <x v="554"/>
            <x v="735"/>
            <x v="952"/>
            <x v="1040"/>
            <x v="1154"/>
          </reference>
        </references>
      </pivotArea>
    </format>
    <format dxfId="5176">
      <pivotArea dataOnly="0" labelOnly="1" fieldPosition="0">
        <references count="5">
          <reference field="1" count="1" selected="0">
            <x v="30"/>
          </reference>
          <reference field="5" count="1" selected="0">
            <x v="36"/>
          </reference>
          <reference field="6" count="1" selected="0">
            <x v="6"/>
          </reference>
          <reference field="7" count="1" selected="0">
            <x v="111"/>
          </reference>
          <reference field="8" count="1">
            <x v="279"/>
          </reference>
        </references>
      </pivotArea>
    </format>
    <format dxfId="5175">
      <pivotArea dataOnly="0" labelOnly="1" fieldPosition="0">
        <references count="5">
          <reference field="1" count="1" selected="0">
            <x v="31"/>
          </reference>
          <reference field="5" count="1" selected="0">
            <x v="0"/>
          </reference>
          <reference field="6" count="1" selected="0">
            <x v="12"/>
          </reference>
          <reference field="7" count="1" selected="0">
            <x v="50"/>
          </reference>
          <reference field="8" count="1">
            <x v="248"/>
          </reference>
        </references>
      </pivotArea>
    </format>
    <format dxfId="5174">
      <pivotArea dataOnly="0" labelOnly="1" fieldPosition="0">
        <references count="5">
          <reference field="1" count="1" selected="0">
            <x v="31"/>
          </reference>
          <reference field="5" count="1" selected="0">
            <x v="0"/>
          </reference>
          <reference field="6" count="1" selected="0">
            <x v="12"/>
          </reference>
          <reference field="7" count="1" selected="0">
            <x v="60"/>
          </reference>
          <reference field="8" count="1">
            <x v="32"/>
          </reference>
        </references>
      </pivotArea>
    </format>
    <format dxfId="5173">
      <pivotArea dataOnly="0" labelOnly="1" fieldPosition="0">
        <references count="5">
          <reference field="1" count="1" selected="0">
            <x v="31"/>
          </reference>
          <reference field="5" count="1" selected="0">
            <x v="12"/>
          </reference>
          <reference field="6" count="1" selected="0">
            <x v="1"/>
          </reference>
          <reference field="7" count="1" selected="0">
            <x v="112"/>
          </reference>
          <reference field="8" count="2">
            <x v="80"/>
            <x v="500"/>
          </reference>
        </references>
      </pivotArea>
    </format>
    <format dxfId="5172">
      <pivotArea dataOnly="0" labelOnly="1" fieldPosition="0">
        <references count="5">
          <reference field="1" count="1" selected="0">
            <x v="31"/>
          </reference>
          <reference field="5" count="1" selected="0">
            <x v="15"/>
          </reference>
          <reference field="6" count="1" selected="0">
            <x v="38"/>
          </reference>
          <reference field="7" count="1" selected="0">
            <x v="112"/>
          </reference>
          <reference field="8" count="1">
            <x v="1799"/>
          </reference>
        </references>
      </pivotArea>
    </format>
    <format dxfId="5171">
      <pivotArea dataOnly="0" labelOnly="1" fieldPosition="0">
        <references count="5">
          <reference field="1" count="1" selected="0">
            <x v="31"/>
          </reference>
          <reference field="5" count="1" selected="0">
            <x v="19"/>
          </reference>
          <reference field="6" count="1" selected="0">
            <x v="37"/>
          </reference>
          <reference field="7" count="1" selected="0">
            <x v="112"/>
          </reference>
          <reference field="8" count="1">
            <x v="156"/>
          </reference>
        </references>
      </pivotArea>
    </format>
    <format dxfId="5170">
      <pivotArea dataOnly="0" labelOnly="1" fieldPosition="0">
        <references count="5">
          <reference field="1" count="1" selected="0">
            <x v="31"/>
          </reference>
          <reference field="5" count="1" selected="0">
            <x v="35"/>
          </reference>
          <reference field="6" count="1" selected="0">
            <x v="1"/>
          </reference>
          <reference field="7" count="1" selected="0">
            <x v="112"/>
          </reference>
          <reference field="8" count="1">
            <x v="80"/>
          </reference>
        </references>
      </pivotArea>
    </format>
    <format dxfId="5169">
      <pivotArea dataOnly="0" labelOnly="1" fieldPosition="0">
        <references count="5">
          <reference field="1" count="1" selected="0">
            <x v="32"/>
          </reference>
          <reference field="5" count="1" selected="0">
            <x v="0"/>
          </reference>
          <reference field="6" count="1" selected="0">
            <x v="12"/>
          </reference>
          <reference field="7" count="1" selected="0">
            <x v="47"/>
          </reference>
          <reference field="8" count="1">
            <x v="314"/>
          </reference>
        </references>
      </pivotArea>
    </format>
    <format dxfId="5168">
      <pivotArea dataOnly="0" labelOnly="1" fieldPosition="0">
        <references count="5">
          <reference field="1" count="1" selected="0">
            <x v="32"/>
          </reference>
          <reference field="5" count="1" selected="0">
            <x v="0"/>
          </reference>
          <reference field="6" count="1" selected="0">
            <x v="12"/>
          </reference>
          <reference field="7" count="1" selected="0">
            <x v="70"/>
          </reference>
          <reference field="8" count="1">
            <x v="18"/>
          </reference>
        </references>
      </pivotArea>
    </format>
    <format dxfId="5167">
      <pivotArea dataOnly="0" labelOnly="1" fieldPosition="0">
        <references count="5">
          <reference field="1" count="1" selected="0">
            <x v="32"/>
          </reference>
          <reference field="5" count="1" selected="0">
            <x v="5"/>
          </reference>
          <reference field="6" count="1" selected="0">
            <x v="37"/>
          </reference>
          <reference field="7" count="1" selected="0">
            <x v="113"/>
          </reference>
          <reference field="8" count="1">
            <x v="1043"/>
          </reference>
        </references>
      </pivotArea>
    </format>
    <format dxfId="5166">
      <pivotArea dataOnly="0" labelOnly="1" fieldPosition="0">
        <references count="5">
          <reference field="1" count="1" selected="0">
            <x v="32"/>
          </reference>
          <reference field="5" count="1" selected="0">
            <x v="24"/>
          </reference>
          <reference field="6" count="1" selected="0">
            <x v="37"/>
          </reference>
          <reference field="7" count="1" selected="0">
            <x v="113"/>
          </reference>
          <reference field="8" count="1">
            <x v="352"/>
          </reference>
        </references>
      </pivotArea>
    </format>
    <format dxfId="5165">
      <pivotArea dataOnly="0" labelOnly="1" fieldPosition="0">
        <references count="5">
          <reference field="1" count="1" selected="0">
            <x v="33"/>
          </reference>
          <reference field="5" count="1" selected="0">
            <x v="0"/>
          </reference>
          <reference field="6" count="1" selected="0">
            <x v="1"/>
          </reference>
          <reference field="7" count="1" selected="0">
            <x v="114"/>
          </reference>
          <reference field="8" count="1">
            <x v="213"/>
          </reference>
        </references>
      </pivotArea>
    </format>
    <format dxfId="5164">
      <pivotArea dataOnly="0" labelOnly="1" fieldPosition="0">
        <references count="5">
          <reference field="1" count="1" selected="0">
            <x v="33"/>
          </reference>
          <reference field="5" count="1" selected="0">
            <x v="0"/>
          </reference>
          <reference field="6" count="1" selected="0">
            <x v="6"/>
          </reference>
          <reference field="7" count="1" selected="0">
            <x v="114"/>
          </reference>
          <reference field="8" count="1">
            <x v="248"/>
          </reference>
        </references>
      </pivotArea>
    </format>
    <format dxfId="5163">
      <pivotArea dataOnly="0" labelOnly="1" fieldPosition="0">
        <references count="5">
          <reference field="1" count="1" selected="0">
            <x v="33"/>
          </reference>
          <reference field="5" count="1" selected="0">
            <x v="0"/>
          </reference>
          <reference field="6" count="1" selected="0">
            <x v="8"/>
          </reference>
          <reference field="7" count="1" selected="0">
            <x v="114"/>
          </reference>
          <reference field="8" count="1">
            <x v="996"/>
          </reference>
        </references>
      </pivotArea>
    </format>
    <format dxfId="5162">
      <pivotArea dataOnly="0" labelOnly="1" fieldPosition="0">
        <references count="5">
          <reference field="1" count="1" selected="0">
            <x v="33"/>
          </reference>
          <reference field="5" count="1" selected="0">
            <x v="0"/>
          </reference>
          <reference field="6" count="1" selected="0">
            <x v="9"/>
          </reference>
          <reference field="7" count="1" selected="0">
            <x v="114"/>
          </reference>
          <reference field="8" count="7">
            <x v="337"/>
            <x v="338"/>
            <x v="649"/>
            <x v="865"/>
            <x v="980"/>
            <x v="1116"/>
            <x v="1434"/>
          </reference>
        </references>
      </pivotArea>
    </format>
    <format dxfId="5161">
      <pivotArea dataOnly="0" labelOnly="1" fieldPosition="0">
        <references count="5">
          <reference field="1" count="1" selected="0">
            <x v="33"/>
          </reference>
          <reference field="5" count="1" selected="0">
            <x v="0"/>
          </reference>
          <reference field="6" count="1" selected="0">
            <x v="12"/>
          </reference>
          <reference field="7" count="1" selected="0">
            <x v="5"/>
          </reference>
          <reference field="8" count="1">
            <x v="69"/>
          </reference>
        </references>
      </pivotArea>
    </format>
    <format dxfId="5160">
      <pivotArea dataOnly="0" labelOnly="1" fieldPosition="0">
        <references count="5">
          <reference field="1" count="1" selected="0">
            <x v="33"/>
          </reference>
          <reference field="5" count="1" selected="0">
            <x v="0"/>
          </reference>
          <reference field="6" count="1" selected="0">
            <x v="12"/>
          </reference>
          <reference field="7" count="1" selected="0">
            <x v="18"/>
          </reference>
          <reference field="8" count="1">
            <x v="11"/>
          </reference>
        </references>
      </pivotArea>
    </format>
    <format dxfId="5159">
      <pivotArea dataOnly="0" labelOnly="1" fieldPosition="0">
        <references count="5">
          <reference field="1" count="1" selected="0">
            <x v="33"/>
          </reference>
          <reference field="5" count="1" selected="0">
            <x v="0"/>
          </reference>
          <reference field="6" count="1" selected="0">
            <x v="12"/>
          </reference>
          <reference field="7" count="1" selected="0">
            <x v="32"/>
          </reference>
          <reference field="8" count="1">
            <x v="90"/>
          </reference>
        </references>
      </pivotArea>
    </format>
    <format dxfId="5158">
      <pivotArea dataOnly="0" labelOnly="1" fieldPosition="0">
        <references count="5">
          <reference field="1" count="1" selected="0">
            <x v="33"/>
          </reference>
          <reference field="5" count="1" selected="0">
            <x v="0"/>
          </reference>
          <reference field="6" count="1" selected="0">
            <x v="12"/>
          </reference>
          <reference field="7" count="1" selected="0">
            <x v="47"/>
          </reference>
          <reference field="8" count="1">
            <x v="314"/>
          </reference>
        </references>
      </pivotArea>
    </format>
    <format dxfId="5157">
      <pivotArea dataOnly="0" labelOnly="1" fieldPosition="0">
        <references count="5">
          <reference field="1" count="1" selected="0">
            <x v="33"/>
          </reference>
          <reference field="5" count="1" selected="0">
            <x v="0"/>
          </reference>
          <reference field="6" count="1" selected="0">
            <x v="12"/>
          </reference>
          <reference field="7" count="1" selected="0">
            <x v="64"/>
          </reference>
          <reference field="8" count="1">
            <x v="9"/>
          </reference>
        </references>
      </pivotArea>
    </format>
    <format dxfId="5156">
      <pivotArea dataOnly="0" labelOnly="1" fieldPosition="0">
        <references count="5">
          <reference field="1" count="1" selected="0">
            <x v="33"/>
          </reference>
          <reference field="5" count="1" selected="0">
            <x v="0"/>
          </reference>
          <reference field="6" count="1" selected="0">
            <x v="12"/>
          </reference>
          <reference field="7" count="1" selected="0">
            <x v="67"/>
          </reference>
          <reference field="8" count="1">
            <x v="92"/>
          </reference>
        </references>
      </pivotArea>
    </format>
    <format dxfId="5155">
      <pivotArea dataOnly="0" labelOnly="1" fieldPosition="0">
        <references count="5">
          <reference field="1" count="1" selected="0">
            <x v="33"/>
          </reference>
          <reference field="5" count="1" selected="0">
            <x v="0"/>
          </reference>
          <reference field="6" count="1" selected="0">
            <x v="37"/>
          </reference>
          <reference field="7" count="1" selected="0">
            <x v="114"/>
          </reference>
          <reference field="8" count="1">
            <x v="138"/>
          </reference>
        </references>
      </pivotArea>
    </format>
    <format dxfId="5154">
      <pivotArea dataOnly="0" labelOnly="1" fieldPosition="0">
        <references count="5">
          <reference field="1" count="1" selected="0">
            <x v="33"/>
          </reference>
          <reference field="5" count="1" selected="0">
            <x v="3"/>
          </reference>
          <reference field="6" count="1" selected="0">
            <x v="37"/>
          </reference>
          <reference field="7" count="1" selected="0">
            <x v="114"/>
          </reference>
          <reference field="8" count="1">
            <x v="278"/>
          </reference>
        </references>
      </pivotArea>
    </format>
    <format dxfId="5153">
      <pivotArea dataOnly="0" labelOnly="1" fieldPosition="0">
        <references count="5">
          <reference field="1" count="1" selected="0">
            <x v="33"/>
          </reference>
          <reference field="5" count="1" selected="0">
            <x v="5"/>
          </reference>
          <reference field="6" count="1" selected="0">
            <x v="8"/>
          </reference>
          <reference field="7" count="1" selected="0">
            <x v="114"/>
          </reference>
          <reference field="8" count="1">
            <x v="1295"/>
          </reference>
        </references>
      </pivotArea>
    </format>
    <format dxfId="5152">
      <pivotArea dataOnly="0" labelOnly="1" fieldPosition="0">
        <references count="5">
          <reference field="1" count="1" selected="0">
            <x v="33"/>
          </reference>
          <reference field="5" count="1" selected="0">
            <x v="7"/>
          </reference>
          <reference field="6" count="1" selected="0">
            <x v="8"/>
          </reference>
          <reference field="7" count="1" selected="0">
            <x v="114"/>
          </reference>
          <reference field="8" count="1">
            <x v="1258"/>
          </reference>
        </references>
      </pivotArea>
    </format>
    <format dxfId="5151">
      <pivotArea dataOnly="0" labelOnly="1" fieldPosition="0">
        <references count="5">
          <reference field="1" count="1" selected="0">
            <x v="33"/>
          </reference>
          <reference field="5" count="1" selected="0">
            <x v="7"/>
          </reference>
          <reference field="6" count="1" selected="0">
            <x v="10"/>
          </reference>
          <reference field="7" count="1" selected="0">
            <x v="114"/>
          </reference>
          <reference field="8" count="1">
            <x v="214"/>
          </reference>
        </references>
      </pivotArea>
    </format>
    <format dxfId="5150">
      <pivotArea dataOnly="0" labelOnly="1" fieldPosition="0">
        <references count="5">
          <reference field="1" count="1" selected="0">
            <x v="33"/>
          </reference>
          <reference field="5" count="1" selected="0">
            <x v="12"/>
          </reference>
          <reference field="6" count="1" selected="0">
            <x v="1"/>
          </reference>
          <reference field="7" count="1" selected="0">
            <x v="114"/>
          </reference>
          <reference field="8" count="5">
            <x v="80"/>
            <x v="352"/>
            <x v="500"/>
            <x v="607"/>
            <x v="702"/>
          </reference>
        </references>
      </pivotArea>
    </format>
    <format dxfId="5149">
      <pivotArea dataOnly="0" labelOnly="1" fieldPosition="0">
        <references count="5">
          <reference field="1" count="1" selected="0">
            <x v="33"/>
          </reference>
          <reference field="5" count="1" selected="0">
            <x v="14"/>
          </reference>
          <reference field="6" count="1" selected="0">
            <x v="1"/>
          </reference>
          <reference field="7" count="1" selected="0">
            <x v="114"/>
          </reference>
          <reference field="8" count="1">
            <x v="1497"/>
          </reference>
        </references>
      </pivotArea>
    </format>
    <format dxfId="5148">
      <pivotArea dataOnly="0" labelOnly="1" fieldPosition="0">
        <references count="5">
          <reference field="1" count="1" selected="0">
            <x v="33"/>
          </reference>
          <reference field="5" count="1" selected="0">
            <x v="19"/>
          </reference>
          <reference field="6" count="1" selected="0">
            <x v="37"/>
          </reference>
          <reference field="7" count="1" selected="0">
            <x v="114"/>
          </reference>
          <reference field="8" count="1">
            <x v="1199"/>
          </reference>
        </references>
      </pivotArea>
    </format>
    <format dxfId="5147">
      <pivotArea dataOnly="0" labelOnly="1" fieldPosition="0">
        <references count="5">
          <reference field="1" count="1" selected="0">
            <x v="33"/>
          </reference>
          <reference field="5" count="1" selected="0">
            <x v="21"/>
          </reference>
          <reference field="6" count="1" selected="0">
            <x v="33"/>
          </reference>
          <reference field="7" count="1" selected="0">
            <x v="114"/>
          </reference>
          <reference field="8" count="1">
            <x v="1093"/>
          </reference>
        </references>
      </pivotArea>
    </format>
    <format dxfId="5146">
      <pivotArea dataOnly="0" labelOnly="1" fieldPosition="0">
        <references count="5">
          <reference field="1" count="1" selected="0">
            <x v="33"/>
          </reference>
          <reference field="5" count="1" selected="0">
            <x v="35"/>
          </reference>
          <reference field="6" count="1" selected="0">
            <x v="1"/>
          </reference>
          <reference field="7" count="1" selected="0">
            <x v="114"/>
          </reference>
          <reference field="8" count="1">
            <x v="80"/>
          </reference>
        </references>
      </pivotArea>
    </format>
    <format dxfId="5145">
      <pivotArea dataOnly="0" labelOnly="1" fieldPosition="0">
        <references count="5">
          <reference field="1" count="1" selected="0">
            <x v="34"/>
          </reference>
          <reference field="5" count="1" selected="0">
            <x v="0"/>
          </reference>
          <reference field="6" count="1" selected="0">
            <x v="12"/>
          </reference>
          <reference field="7" count="1" selected="0">
            <x v="2"/>
          </reference>
          <reference field="8" count="1">
            <x v="134"/>
          </reference>
        </references>
      </pivotArea>
    </format>
    <format dxfId="5144">
      <pivotArea dataOnly="0" labelOnly="1" fieldPosition="0">
        <references count="5">
          <reference field="1" count="1" selected="0">
            <x v="34"/>
          </reference>
          <reference field="5" count="1" selected="0">
            <x v="0"/>
          </reference>
          <reference field="6" count="1" selected="0">
            <x v="12"/>
          </reference>
          <reference field="7" count="1" selected="0">
            <x v="19"/>
          </reference>
          <reference field="8" count="1">
            <x v="73"/>
          </reference>
        </references>
      </pivotArea>
    </format>
    <format dxfId="5143">
      <pivotArea dataOnly="0" labelOnly="1" fieldPosition="0">
        <references count="5">
          <reference field="1" count="1" selected="0">
            <x v="34"/>
          </reference>
          <reference field="5" count="1" selected="0">
            <x v="0"/>
          </reference>
          <reference field="6" count="1" selected="0">
            <x v="12"/>
          </reference>
          <reference field="7" count="1" selected="0">
            <x v="27"/>
          </reference>
          <reference field="8" count="1">
            <x v="92"/>
          </reference>
        </references>
      </pivotArea>
    </format>
    <format dxfId="5142">
      <pivotArea dataOnly="0" labelOnly="1" fieldPosition="0">
        <references count="5">
          <reference field="1" count="1" selected="0">
            <x v="34"/>
          </reference>
          <reference field="5" count="1" selected="0">
            <x v="0"/>
          </reference>
          <reference field="6" count="1" selected="0">
            <x v="12"/>
          </reference>
          <reference field="7" count="1" selected="0">
            <x v="42"/>
          </reference>
          <reference field="8" count="1">
            <x v="69"/>
          </reference>
        </references>
      </pivotArea>
    </format>
    <format dxfId="5141">
      <pivotArea dataOnly="0" labelOnly="1" fieldPosition="0">
        <references count="5">
          <reference field="1" count="1" selected="0">
            <x v="34"/>
          </reference>
          <reference field="5" count="1" selected="0">
            <x v="0"/>
          </reference>
          <reference field="6" count="1" selected="0">
            <x v="12"/>
          </reference>
          <reference field="7" count="1" selected="0">
            <x v="62"/>
          </reference>
          <reference field="8" count="1">
            <x v="52"/>
          </reference>
        </references>
      </pivotArea>
    </format>
    <format dxfId="5140">
      <pivotArea dataOnly="0" labelOnly="1" fieldPosition="0">
        <references count="5">
          <reference field="1" count="1" selected="0">
            <x v="34"/>
          </reference>
          <reference field="5" count="1" selected="0">
            <x v="12"/>
          </reference>
          <reference field="6" count="1" selected="0">
            <x v="1"/>
          </reference>
          <reference field="7" count="1" selected="0">
            <x v="115"/>
          </reference>
          <reference field="8" count="1">
            <x v="80"/>
          </reference>
        </references>
      </pivotArea>
    </format>
    <format dxfId="5139">
      <pivotArea dataOnly="0" labelOnly="1" fieldPosition="0">
        <references count="5">
          <reference field="1" count="1" selected="0">
            <x v="34"/>
          </reference>
          <reference field="5" count="1" selected="0">
            <x v="26"/>
          </reference>
          <reference field="6" count="1" selected="0">
            <x v="37"/>
          </reference>
          <reference field="7" count="1" selected="0">
            <x v="115"/>
          </reference>
          <reference field="8" count="1">
            <x v="109"/>
          </reference>
        </references>
      </pivotArea>
    </format>
    <format dxfId="5138">
      <pivotArea dataOnly="0" labelOnly="1" fieldPosition="0">
        <references count="5">
          <reference field="1" count="1" selected="0">
            <x v="34"/>
          </reference>
          <reference field="5" count="1" selected="0">
            <x v="27"/>
          </reference>
          <reference field="6" count="1" selected="0">
            <x v="37"/>
          </reference>
          <reference field="7" count="1" selected="0">
            <x v="115"/>
          </reference>
          <reference field="8" count="1">
            <x v="39"/>
          </reference>
        </references>
      </pivotArea>
    </format>
    <format dxfId="5137">
      <pivotArea dataOnly="0" labelOnly="1" fieldPosition="0">
        <references count="5">
          <reference field="1" count="1" selected="0">
            <x v="35"/>
          </reference>
          <reference field="5" count="1" selected="0">
            <x v="0"/>
          </reference>
          <reference field="6" count="1" selected="0">
            <x v="1"/>
          </reference>
          <reference field="7" count="1" selected="0">
            <x v="116"/>
          </reference>
          <reference field="8" count="1">
            <x v="352"/>
          </reference>
        </references>
      </pivotArea>
    </format>
    <format dxfId="5136">
      <pivotArea dataOnly="0" labelOnly="1" fieldPosition="0">
        <references count="5">
          <reference field="1" count="1" selected="0">
            <x v="35"/>
          </reference>
          <reference field="5" count="1" selected="0">
            <x v="0"/>
          </reference>
          <reference field="6" count="1" selected="0">
            <x v="8"/>
          </reference>
          <reference field="7" count="1" selected="0">
            <x v="116"/>
          </reference>
          <reference field="8" count="2">
            <x v="376"/>
            <x v="773"/>
          </reference>
        </references>
      </pivotArea>
    </format>
    <format dxfId="5135">
      <pivotArea dataOnly="0" labelOnly="1" fieldPosition="0">
        <references count="5">
          <reference field="1" count="1" selected="0">
            <x v="35"/>
          </reference>
          <reference field="5" count="1" selected="0">
            <x v="0"/>
          </reference>
          <reference field="6" count="1" selected="0">
            <x v="9"/>
          </reference>
          <reference field="7" count="1" selected="0">
            <x v="116"/>
          </reference>
          <reference field="8" count="4">
            <x v="345"/>
            <x v="589"/>
            <x v="681"/>
            <x v="1253"/>
          </reference>
        </references>
      </pivotArea>
    </format>
    <format dxfId="5134">
      <pivotArea dataOnly="0" labelOnly="1" fieldPosition="0">
        <references count="5">
          <reference field="1" count="1" selected="0">
            <x v="35"/>
          </reference>
          <reference field="5" count="1" selected="0">
            <x v="0"/>
          </reference>
          <reference field="6" count="1" selected="0">
            <x v="12"/>
          </reference>
          <reference field="7" count="1" selected="0">
            <x v="21"/>
          </reference>
          <reference field="8" count="1">
            <x v="69"/>
          </reference>
        </references>
      </pivotArea>
    </format>
    <format dxfId="5133">
      <pivotArea dataOnly="0" labelOnly="1" fieldPosition="0">
        <references count="5">
          <reference field="1" count="1" selected="0">
            <x v="35"/>
          </reference>
          <reference field="5" count="1" selected="0">
            <x v="0"/>
          </reference>
          <reference field="6" count="1" selected="0">
            <x v="12"/>
          </reference>
          <reference field="7" count="1" selected="0">
            <x v="62"/>
          </reference>
          <reference field="8" count="1">
            <x v="85"/>
          </reference>
        </references>
      </pivotArea>
    </format>
    <format dxfId="5132">
      <pivotArea dataOnly="0" labelOnly="1" fieldPosition="0">
        <references count="5">
          <reference field="1" count="1" selected="0">
            <x v="35"/>
          </reference>
          <reference field="5" count="1" selected="0">
            <x v="0"/>
          </reference>
          <reference field="6" count="1" selected="0">
            <x v="12"/>
          </reference>
          <reference field="7" count="1" selected="0">
            <x v="64"/>
          </reference>
          <reference field="8" count="1">
            <x v="69"/>
          </reference>
        </references>
      </pivotArea>
    </format>
    <format dxfId="5131">
      <pivotArea dataOnly="0" labelOnly="1" fieldPosition="0">
        <references count="5">
          <reference field="1" count="1" selected="0">
            <x v="35"/>
          </reference>
          <reference field="5" count="1" selected="0">
            <x v="2"/>
          </reference>
          <reference field="6" count="1" selected="0">
            <x v="10"/>
          </reference>
          <reference field="7" count="1" selected="0">
            <x v="116"/>
          </reference>
          <reference field="8" count="1">
            <x v="1669"/>
          </reference>
        </references>
      </pivotArea>
    </format>
    <format dxfId="5130">
      <pivotArea dataOnly="0" labelOnly="1" fieldPosition="0">
        <references count="5">
          <reference field="1" count="1" selected="0">
            <x v="35"/>
          </reference>
          <reference field="5" count="1" selected="0">
            <x v="3"/>
          </reference>
          <reference field="6" count="1" selected="0">
            <x v="10"/>
          </reference>
          <reference field="7" count="1" selected="0">
            <x v="116"/>
          </reference>
          <reference field="8" count="1">
            <x v="1365"/>
          </reference>
        </references>
      </pivotArea>
    </format>
    <format dxfId="5129">
      <pivotArea dataOnly="0" labelOnly="1" fieldPosition="0">
        <references count="5">
          <reference field="1" count="1" selected="0">
            <x v="35"/>
          </reference>
          <reference field="5" count="1" selected="0">
            <x v="7"/>
          </reference>
          <reference field="6" count="1" selected="0">
            <x v="8"/>
          </reference>
          <reference field="7" count="1" selected="0">
            <x v="116"/>
          </reference>
          <reference field="8" count="1">
            <x v="216"/>
          </reference>
        </references>
      </pivotArea>
    </format>
    <format dxfId="5128">
      <pivotArea dataOnly="0" labelOnly="1" fieldPosition="0">
        <references count="5">
          <reference field="1" count="1" selected="0">
            <x v="35"/>
          </reference>
          <reference field="5" count="1" selected="0">
            <x v="7"/>
          </reference>
          <reference field="6" count="1" selected="0">
            <x v="10"/>
          </reference>
          <reference field="7" count="1" selected="0">
            <x v="116"/>
          </reference>
          <reference field="8" count="1">
            <x v="692"/>
          </reference>
        </references>
      </pivotArea>
    </format>
    <format dxfId="5127">
      <pivotArea dataOnly="0" labelOnly="1" fieldPosition="0">
        <references count="5">
          <reference field="1" count="1" selected="0">
            <x v="35"/>
          </reference>
          <reference field="5" count="1" selected="0">
            <x v="9"/>
          </reference>
          <reference field="6" count="1" selected="0">
            <x v="10"/>
          </reference>
          <reference field="7" count="1" selected="0">
            <x v="116"/>
          </reference>
          <reference field="8" count="1">
            <x v="329"/>
          </reference>
        </references>
      </pivotArea>
    </format>
    <format dxfId="5126">
      <pivotArea dataOnly="0" labelOnly="1" fieldPosition="0">
        <references count="5">
          <reference field="1" count="1" selected="0">
            <x v="35"/>
          </reference>
          <reference field="5" count="1" selected="0">
            <x v="11"/>
          </reference>
          <reference field="6" count="1" selected="0">
            <x v="10"/>
          </reference>
          <reference field="7" count="1" selected="0">
            <x v="116"/>
          </reference>
          <reference field="8" count="1">
            <x v="819"/>
          </reference>
        </references>
      </pivotArea>
    </format>
    <format dxfId="5125">
      <pivotArea dataOnly="0" labelOnly="1" fieldPosition="0">
        <references count="5">
          <reference field="1" count="1" selected="0">
            <x v="35"/>
          </reference>
          <reference field="5" count="1" selected="0">
            <x v="12"/>
          </reference>
          <reference field="6" count="1" selected="0">
            <x v="1"/>
          </reference>
          <reference field="7" count="1" selected="0">
            <x v="116"/>
          </reference>
          <reference field="8" count="2">
            <x v="213"/>
            <x v="500"/>
          </reference>
        </references>
      </pivotArea>
    </format>
    <format dxfId="5124">
      <pivotArea dataOnly="0" labelOnly="1" fieldPosition="0">
        <references count="5">
          <reference field="1" count="1" selected="0">
            <x v="35"/>
          </reference>
          <reference field="5" count="1" selected="0">
            <x v="21"/>
          </reference>
          <reference field="6" count="1" selected="0">
            <x v="37"/>
          </reference>
          <reference field="7" count="1" selected="0">
            <x v="116"/>
          </reference>
          <reference field="8" count="1">
            <x v="1050"/>
          </reference>
        </references>
      </pivotArea>
    </format>
    <format dxfId="5123">
      <pivotArea dataOnly="0" labelOnly="1" fieldPosition="0">
        <references count="5">
          <reference field="1" count="1" selected="0">
            <x v="35"/>
          </reference>
          <reference field="5" count="1" selected="0">
            <x v="23"/>
          </reference>
          <reference field="6" count="1" selected="0">
            <x v="37"/>
          </reference>
          <reference field="7" count="1" selected="0">
            <x v="116"/>
          </reference>
          <reference field="8" count="1">
            <x v="288"/>
          </reference>
        </references>
      </pivotArea>
    </format>
    <format dxfId="5122">
      <pivotArea dataOnly="0" labelOnly="1" fieldPosition="0">
        <references count="5">
          <reference field="1" count="1" selected="0">
            <x v="35"/>
          </reference>
          <reference field="5" count="1" selected="0">
            <x v="26"/>
          </reference>
          <reference field="6" count="1" selected="0">
            <x v="37"/>
          </reference>
          <reference field="7" count="1" selected="0">
            <x v="116"/>
          </reference>
          <reference field="8" count="1">
            <x v="920"/>
          </reference>
        </references>
      </pivotArea>
    </format>
    <format dxfId="5121">
      <pivotArea dataOnly="0" labelOnly="1" fieldPosition="0">
        <references count="5">
          <reference field="1" count="1" selected="0">
            <x v="35"/>
          </reference>
          <reference field="5" count="1" selected="0">
            <x v="27"/>
          </reference>
          <reference field="6" count="1" selected="0">
            <x v="37"/>
          </reference>
          <reference field="7" count="1" selected="0">
            <x v="116"/>
          </reference>
          <reference field="8" count="1">
            <x v="39"/>
          </reference>
        </references>
      </pivotArea>
    </format>
    <format dxfId="5120">
      <pivotArea dataOnly="0" labelOnly="1" fieldPosition="0">
        <references count="5">
          <reference field="1" count="1" selected="0">
            <x v="35"/>
          </reference>
          <reference field="5" count="1" selected="0">
            <x v="35"/>
          </reference>
          <reference field="6" count="1" selected="0">
            <x v="1"/>
          </reference>
          <reference field="7" count="1" selected="0">
            <x v="116"/>
          </reference>
          <reference field="8" count="1">
            <x v="80"/>
          </reference>
        </references>
      </pivotArea>
    </format>
    <format dxfId="5119">
      <pivotArea dataOnly="0" labelOnly="1" fieldPosition="0">
        <references count="5">
          <reference field="1" count="1" selected="0">
            <x v="35"/>
          </reference>
          <reference field="5" count="1" selected="0">
            <x v="36"/>
          </reference>
          <reference field="6" count="1" selected="0">
            <x v="8"/>
          </reference>
          <reference field="7" count="1" selected="0">
            <x v="116"/>
          </reference>
          <reference field="8" count="1">
            <x v="832"/>
          </reference>
        </references>
      </pivotArea>
    </format>
    <format dxfId="5118">
      <pivotArea dataOnly="0" labelOnly="1" fieldPosition="0">
        <references count="5">
          <reference field="1" count="1" selected="0">
            <x v="35"/>
          </reference>
          <reference field="5" count="1" selected="0">
            <x v="36"/>
          </reference>
          <reference field="6" count="1" selected="0">
            <x v="10"/>
          </reference>
          <reference field="7" count="1" selected="0">
            <x v="116"/>
          </reference>
          <reference field="8" count="1">
            <x v="1616"/>
          </reference>
        </references>
      </pivotArea>
    </format>
    <format dxfId="5117">
      <pivotArea dataOnly="0" labelOnly="1" fieldPosition="0">
        <references count="5">
          <reference field="1" count="1" selected="0">
            <x v="35"/>
          </reference>
          <reference field="5" count="1" selected="0">
            <x v="37"/>
          </reference>
          <reference field="6" count="1" selected="0">
            <x v="10"/>
          </reference>
          <reference field="7" count="1" selected="0">
            <x v="116"/>
          </reference>
          <reference field="8" count="1">
            <x v="1712"/>
          </reference>
        </references>
      </pivotArea>
    </format>
    <format dxfId="5116">
      <pivotArea dataOnly="0" labelOnly="1" fieldPosition="0">
        <references count="5">
          <reference field="1" count="1" selected="0">
            <x v="35"/>
          </reference>
          <reference field="5" count="1" selected="0">
            <x v="38"/>
          </reference>
          <reference field="6" count="1" selected="0">
            <x v="10"/>
          </reference>
          <reference field="7" count="1" selected="0">
            <x v="116"/>
          </reference>
          <reference field="8" count="1">
            <x v="1152"/>
          </reference>
        </references>
      </pivotArea>
    </format>
    <format dxfId="5115">
      <pivotArea dataOnly="0" labelOnly="1" fieldPosition="0">
        <references count="5">
          <reference field="1" count="1" selected="0">
            <x v="36"/>
          </reference>
          <reference field="5" count="1" selected="0">
            <x v="0"/>
          </reference>
          <reference field="6" count="1" selected="0">
            <x v="12"/>
          </reference>
          <reference field="7" count="1" selected="0">
            <x v="20"/>
          </reference>
          <reference field="8" count="1">
            <x v="119"/>
          </reference>
        </references>
      </pivotArea>
    </format>
    <format dxfId="5114">
      <pivotArea dataOnly="0" labelOnly="1" fieldPosition="0">
        <references count="5">
          <reference field="1" count="1" selected="0">
            <x v="36"/>
          </reference>
          <reference field="5" count="1" selected="0">
            <x v="0"/>
          </reference>
          <reference field="6" count="1" selected="0">
            <x v="12"/>
          </reference>
          <reference field="7" count="1" selected="0">
            <x v="70"/>
          </reference>
          <reference field="8" count="1">
            <x v="9"/>
          </reference>
        </references>
      </pivotArea>
    </format>
    <format dxfId="5113">
      <pivotArea dataOnly="0" labelOnly="1" fieldPosition="0">
        <references count="5">
          <reference field="1" count="1" selected="0">
            <x v="36"/>
          </reference>
          <reference field="5" count="1" selected="0">
            <x v="6"/>
          </reference>
          <reference field="6" count="1" selected="0">
            <x v="37"/>
          </reference>
          <reference field="7" count="1" selected="0">
            <x v="117"/>
          </reference>
          <reference field="8" count="1">
            <x v="517"/>
          </reference>
        </references>
      </pivotArea>
    </format>
    <format dxfId="5112">
      <pivotArea dataOnly="0" labelOnly="1" fieldPosition="0">
        <references count="5">
          <reference field="1" count="1" selected="0">
            <x v="36"/>
          </reference>
          <reference field="5" count="1" selected="0">
            <x v="32"/>
          </reference>
          <reference field="6" count="1" selected="0">
            <x v="6"/>
          </reference>
          <reference field="7" count="1" selected="0">
            <x v="117"/>
          </reference>
          <reference field="8" count="1">
            <x v="1793"/>
          </reference>
        </references>
      </pivotArea>
    </format>
    <format dxfId="5111">
      <pivotArea dataOnly="0" labelOnly="1" fieldPosition="0">
        <references count="5">
          <reference field="1" count="1" selected="0">
            <x v="37"/>
          </reference>
          <reference field="5" count="1" selected="0">
            <x v="0"/>
          </reference>
          <reference field="6" count="1" selected="0">
            <x v="8"/>
          </reference>
          <reference field="7" count="1" selected="0">
            <x v="118"/>
          </reference>
          <reference field="8" count="1">
            <x v="964"/>
          </reference>
        </references>
      </pivotArea>
    </format>
    <format dxfId="5110">
      <pivotArea dataOnly="0" labelOnly="1" fieldPosition="0">
        <references count="5">
          <reference field="1" count="1" selected="0">
            <x v="37"/>
          </reference>
          <reference field="5" count="1" selected="0">
            <x v="0"/>
          </reference>
          <reference field="6" count="1" selected="0">
            <x v="12"/>
          </reference>
          <reference field="7" count="1" selected="0">
            <x v="13"/>
          </reference>
          <reference field="8" count="1">
            <x v="140"/>
          </reference>
        </references>
      </pivotArea>
    </format>
    <format dxfId="5109">
      <pivotArea dataOnly="0" labelOnly="1" fieldPosition="0">
        <references count="5">
          <reference field="1" count="1" selected="0">
            <x v="37"/>
          </reference>
          <reference field="5" count="1" selected="0">
            <x v="0"/>
          </reference>
          <reference field="6" count="1" selected="0">
            <x v="12"/>
          </reference>
          <reference field="7" count="1" selected="0">
            <x v="17"/>
          </reference>
          <reference field="8" count="1">
            <x v="96"/>
          </reference>
        </references>
      </pivotArea>
    </format>
    <format dxfId="5108">
      <pivotArea dataOnly="0" labelOnly="1" fieldPosition="0">
        <references count="5">
          <reference field="1" count="1" selected="0">
            <x v="37"/>
          </reference>
          <reference field="5" count="1" selected="0">
            <x v="0"/>
          </reference>
          <reference field="6" count="1" selected="0">
            <x v="12"/>
          </reference>
          <reference field="7" count="1" selected="0">
            <x v="28"/>
          </reference>
          <reference field="8" count="1">
            <x v="73"/>
          </reference>
        </references>
      </pivotArea>
    </format>
    <format dxfId="5107">
      <pivotArea dataOnly="0" labelOnly="1" fieldPosition="0">
        <references count="5">
          <reference field="1" count="1" selected="0">
            <x v="37"/>
          </reference>
          <reference field="5" count="1" selected="0">
            <x v="0"/>
          </reference>
          <reference field="6" count="1" selected="0">
            <x v="12"/>
          </reference>
          <reference field="7" count="1" selected="0">
            <x v="32"/>
          </reference>
          <reference field="8" count="1">
            <x v="391"/>
          </reference>
        </references>
      </pivotArea>
    </format>
    <format dxfId="5106">
      <pivotArea dataOnly="0" labelOnly="1" fieldPosition="0">
        <references count="5">
          <reference field="1" count="1" selected="0">
            <x v="37"/>
          </reference>
          <reference field="5" count="1" selected="0">
            <x v="0"/>
          </reference>
          <reference field="6" count="1" selected="0">
            <x v="12"/>
          </reference>
          <reference field="7" count="1" selected="0">
            <x v="69"/>
          </reference>
          <reference field="8" count="1">
            <x v="248"/>
          </reference>
        </references>
      </pivotArea>
    </format>
    <format dxfId="5105">
      <pivotArea dataOnly="0" labelOnly="1" fieldPosition="0">
        <references count="5">
          <reference field="1" count="1" selected="0">
            <x v="37"/>
          </reference>
          <reference field="5" count="1" selected="0">
            <x v="0"/>
          </reference>
          <reference field="6" count="1" selected="0">
            <x v="12"/>
          </reference>
          <reference field="7" count="1" selected="0">
            <x v="70"/>
          </reference>
          <reference field="8" count="1">
            <x v="92"/>
          </reference>
        </references>
      </pivotArea>
    </format>
    <format dxfId="5104">
      <pivotArea dataOnly="0" labelOnly="1" fieldPosition="0">
        <references count="5">
          <reference field="1" count="1" selected="0">
            <x v="37"/>
          </reference>
          <reference field="5" count="1" selected="0">
            <x v="0"/>
          </reference>
          <reference field="6" count="1" selected="0">
            <x v="37"/>
          </reference>
          <reference field="7" count="1" selected="0">
            <x v="118"/>
          </reference>
          <reference field="8" count="3">
            <x v="138"/>
            <x v="453"/>
            <x v="1232"/>
          </reference>
        </references>
      </pivotArea>
    </format>
    <format dxfId="5103">
      <pivotArea dataOnly="0" labelOnly="1" fieldPosition="0">
        <references count="5">
          <reference field="1" count="1" selected="0">
            <x v="37"/>
          </reference>
          <reference field="5" count="1" selected="0">
            <x v="5"/>
          </reference>
          <reference field="6" count="1" selected="0">
            <x v="37"/>
          </reference>
          <reference field="7" count="1" selected="0">
            <x v="118"/>
          </reference>
          <reference field="8" count="1">
            <x v="501"/>
          </reference>
        </references>
      </pivotArea>
    </format>
    <format dxfId="5102">
      <pivotArea dataOnly="0" labelOnly="1" fieldPosition="0">
        <references count="5">
          <reference field="1" count="1" selected="0">
            <x v="37"/>
          </reference>
          <reference field="5" count="1" selected="0">
            <x v="5"/>
          </reference>
          <reference field="6" count="1" selected="0">
            <x v="38"/>
          </reference>
          <reference field="7" count="1" selected="0">
            <x v="118"/>
          </reference>
          <reference field="8" count="1">
            <x v="1450"/>
          </reference>
        </references>
      </pivotArea>
    </format>
    <format dxfId="5101">
      <pivotArea dataOnly="0" labelOnly="1" fieldPosition="0">
        <references count="5">
          <reference field="1" count="1" selected="0">
            <x v="37"/>
          </reference>
          <reference field="5" count="1" selected="0">
            <x v="6"/>
          </reference>
          <reference field="6" count="1" selected="0">
            <x v="37"/>
          </reference>
          <reference field="7" count="1" selected="0">
            <x v="118"/>
          </reference>
          <reference field="8" count="1">
            <x v="774"/>
          </reference>
        </references>
      </pivotArea>
    </format>
    <format dxfId="5100">
      <pivotArea dataOnly="0" labelOnly="1" fieldPosition="0">
        <references count="5">
          <reference field="1" count="1" selected="0">
            <x v="37"/>
          </reference>
          <reference field="5" count="1" selected="0">
            <x v="12"/>
          </reference>
          <reference field="6" count="1" selected="0">
            <x v="1"/>
          </reference>
          <reference field="7" count="1" selected="0">
            <x v="118"/>
          </reference>
          <reference field="8" count="6">
            <x v="80"/>
            <x v="213"/>
            <x v="500"/>
            <x v="607"/>
            <x v="702"/>
            <x v="846"/>
          </reference>
        </references>
      </pivotArea>
    </format>
    <format dxfId="5099">
      <pivotArea dataOnly="0" labelOnly="1" fieldPosition="0">
        <references count="5">
          <reference field="1" count="1" selected="0">
            <x v="37"/>
          </reference>
          <reference field="5" count="1" selected="0">
            <x v="19"/>
          </reference>
          <reference field="6" count="1" selected="0">
            <x v="38"/>
          </reference>
          <reference field="7" count="1" selected="0">
            <x v="118"/>
          </reference>
          <reference field="8" count="1">
            <x v="702"/>
          </reference>
        </references>
      </pivotArea>
    </format>
    <format dxfId="5098">
      <pivotArea dataOnly="0" labelOnly="1" fieldPosition="0">
        <references count="5">
          <reference field="1" count="1" selected="0">
            <x v="37"/>
          </reference>
          <reference field="5" count="1" selected="0">
            <x v="23"/>
          </reference>
          <reference field="6" count="1" selected="0">
            <x v="37"/>
          </reference>
          <reference field="7" count="1" selected="0">
            <x v="118"/>
          </reference>
          <reference field="8" count="1">
            <x v="48"/>
          </reference>
        </references>
      </pivotArea>
    </format>
    <format dxfId="5097">
      <pivotArea dataOnly="0" labelOnly="1" fieldPosition="0">
        <references count="5">
          <reference field="1" count="1" selected="0">
            <x v="37"/>
          </reference>
          <reference field="5" count="1" selected="0">
            <x v="27"/>
          </reference>
          <reference field="6" count="1" selected="0">
            <x v="37"/>
          </reference>
          <reference field="7" count="1" selected="0">
            <x v="118"/>
          </reference>
          <reference field="8" count="1">
            <x v="437"/>
          </reference>
        </references>
      </pivotArea>
    </format>
    <format dxfId="5096">
      <pivotArea dataOnly="0" labelOnly="1" fieldPosition="0">
        <references count="5">
          <reference field="1" count="1" selected="0">
            <x v="37"/>
          </reference>
          <reference field="5" count="1" selected="0">
            <x v="35"/>
          </reference>
          <reference field="6" count="1" selected="0">
            <x v="1"/>
          </reference>
          <reference field="7" count="1" selected="0">
            <x v="118"/>
          </reference>
          <reference field="8" count="1">
            <x v="80"/>
          </reference>
        </references>
      </pivotArea>
    </format>
    <format dxfId="5095">
      <pivotArea dataOnly="0" labelOnly="1" fieldPosition="0">
        <references count="5">
          <reference field="1" count="1" selected="0">
            <x v="37"/>
          </reference>
          <reference field="5" count="1" selected="0">
            <x v="36"/>
          </reference>
          <reference field="6" count="1" selected="0">
            <x v="6"/>
          </reference>
          <reference field="7" count="1" selected="0">
            <x v="118"/>
          </reference>
          <reference field="8" count="1">
            <x v="793"/>
          </reference>
        </references>
      </pivotArea>
    </format>
    <format dxfId="5094">
      <pivotArea dataOnly="0" labelOnly="1" fieldPosition="0">
        <references count="5">
          <reference field="1" count="1" selected="0">
            <x v="38"/>
          </reference>
          <reference field="5" count="1" selected="0">
            <x v="0"/>
          </reference>
          <reference field="6" count="1" selected="0">
            <x v="8"/>
          </reference>
          <reference field="7" count="1" selected="0">
            <x v="119"/>
          </reference>
          <reference field="8" count="1">
            <x v="188"/>
          </reference>
        </references>
      </pivotArea>
    </format>
    <format dxfId="5093">
      <pivotArea dataOnly="0" labelOnly="1" fieldPosition="0">
        <references count="5">
          <reference field="1" count="1" selected="0">
            <x v="38"/>
          </reference>
          <reference field="5" count="1" selected="0">
            <x v="0"/>
          </reference>
          <reference field="6" count="1" selected="0">
            <x v="9"/>
          </reference>
          <reference field="7" count="1" selected="0">
            <x v="119"/>
          </reference>
          <reference field="8" count="6">
            <x v="117"/>
            <x v="363"/>
            <x v="716"/>
            <x v="1095"/>
            <x v="1359"/>
            <x v="1360"/>
          </reference>
        </references>
      </pivotArea>
    </format>
    <format dxfId="5092">
      <pivotArea dataOnly="0" labelOnly="1" fieldPosition="0">
        <references count="5">
          <reference field="1" count="1" selected="0">
            <x v="38"/>
          </reference>
          <reference field="5" count="1" selected="0">
            <x v="0"/>
          </reference>
          <reference field="6" count="1" selected="0">
            <x v="12"/>
          </reference>
          <reference field="7" count="1" selected="0">
            <x v="3"/>
          </reference>
          <reference field="8" count="1">
            <x v="114"/>
          </reference>
        </references>
      </pivotArea>
    </format>
    <format dxfId="5091">
      <pivotArea dataOnly="0" labelOnly="1" fieldPosition="0">
        <references count="5">
          <reference field="1" count="1" selected="0">
            <x v="38"/>
          </reference>
          <reference field="5" count="1" selected="0">
            <x v="0"/>
          </reference>
          <reference field="6" count="1" selected="0">
            <x v="12"/>
          </reference>
          <reference field="7" count="1" selected="0">
            <x v="7"/>
          </reference>
          <reference field="8" count="1">
            <x v="386"/>
          </reference>
        </references>
      </pivotArea>
    </format>
    <format dxfId="5090">
      <pivotArea dataOnly="0" labelOnly="1" fieldPosition="0">
        <references count="5">
          <reference field="1" count="1" selected="0">
            <x v="38"/>
          </reference>
          <reference field="5" count="1" selected="0">
            <x v="0"/>
          </reference>
          <reference field="6" count="1" selected="0">
            <x v="12"/>
          </reference>
          <reference field="7" count="1" selected="0">
            <x v="10"/>
          </reference>
          <reference field="8" count="1">
            <x v="371"/>
          </reference>
        </references>
      </pivotArea>
    </format>
    <format dxfId="5089">
      <pivotArea dataOnly="0" labelOnly="1" fieldPosition="0">
        <references count="5">
          <reference field="1" count="1" selected="0">
            <x v="38"/>
          </reference>
          <reference field="5" count="1" selected="0">
            <x v="0"/>
          </reference>
          <reference field="6" count="1" selected="0">
            <x v="12"/>
          </reference>
          <reference field="7" count="1" selected="0">
            <x v="21"/>
          </reference>
          <reference field="8" count="1">
            <x v="11"/>
          </reference>
        </references>
      </pivotArea>
    </format>
    <format dxfId="5088">
      <pivotArea dataOnly="0" labelOnly="1" fieldPosition="0">
        <references count="5">
          <reference field="1" count="1" selected="0">
            <x v="38"/>
          </reference>
          <reference field="5" count="1" selected="0">
            <x v="0"/>
          </reference>
          <reference field="6" count="1" selected="0">
            <x v="12"/>
          </reference>
          <reference field="7" count="1" selected="0">
            <x v="22"/>
          </reference>
          <reference field="8" count="1">
            <x v="285"/>
          </reference>
        </references>
      </pivotArea>
    </format>
    <format dxfId="5087">
      <pivotArea dataOnly="0" labelOnly="1" fieldPosition="0">
        <references count="5">
          <reference field="1" count="1" selected="0">
            <x v="38"/>
          </reference>
          <reference field="5" count="1" selected="0">
            <x v="0"/>
          </reference>
          <reference field="6" count="1" selected="0">
            <x v="12"/>
          </reference>
          <reference field="7" count="1" selected="0">
            <x v="34"/>
          </reference>
          <reference field="8" count="1">
            <x v="607"/>
          </reference>
        </references>
      </pivotArea>
    </format>
    <format dxfId="5086">
      <pivotArea dataOnly="0" labelOnly="1" fieldPosition="0">
        <references count="5">
          <reference field="1" count="1" selected="0">
            <x v="38"/>
          </reference>
          <reference field="5" count="1" selected="0">
            <x v="0"/>
          </reference>
          <reference field="6" count="1" selected="0">
            <x v="12"/>
          </reference>
          <reference field="7" count="1" selected="0">
            <x v="43"/>
          </reference>
          <reference field="8" count="1">
            <x v="92"/>
          </reference>
        </references>
      </pivotArea>
    </format>
    <format dxfId="5085">
      <pivotArea dataOnly="0" labelOnly="1" fieldPosition="0">
        <references count="5">
          <reference field="1" count="1" selected="0">
            <x v="38"/>
          </reference>
          <reference field="5" count="1" selected="0">
            <x v="0"/>
          </reference>
          <reference field="6" count="1" selected="0">
            <x v="12"/>
          </reference>
          <reference field="7" count="1" selected="0">
            <x v="64"/>
          </reference>
          <reference field="8" count="1">
            <x v="69"/>
          </reference>
        </references>
      </pivotArea>
    </format>
    <format dxfId="5084">
      <pivotArea dataOnly="0" labelOnly="1" fieldPosition="0">
        <references count="5">
          <reference field="1" count="1" selected="0">
            <x v="38"/>
          </reference>
          <reference field="5" count="1" selected="0">
            <x v="0"/>
          </reference>
          <reference field="6" count="1" selected="0">
            <x v="12"/>
          </reference>
          <reference field="7" count="1" selected="0">
            <x v="68"/>
          </reference>
          <reference field="8" count="1">
            <x v="134"/>
          </reference>
        </references>
      </pivotArea>
    </format>
    <format dxfId="5083">
      <pivotArea dataOnly="0" labelOnly="1" fieldPosition="0">
        <references count="5">
          <reference field="1" count="1" selected="0">
            <x v="38"/>
          </reference>
          <reference field="5" count="1" selected="0">
            <x v="0"/>
          </reference>
          <reference field="6" count="1" selected="0">
            <x v="12"/>
          </reference>
          <reference field="7" count="1" selected="0">
            <x v="71"/>
          </reference>
          <reference field="8" count="1">
            <x v="114"/>
          </reference>
        </references>
      </pivotArea>
    </format>
    <format dxfId="5082">
      <pivotArea dataOnly="0" labelOnly="1" fieldPosition="0">
        <references count="5">
          <reference field="1" count="1" selected="0">
            <x v="38"/>
          </reference>
          <reference field="5" count="1" selected="0">
            <x v="5"/>
          </reference>
          <reference field="6" count="1" selected="0">
            <x v="8"/>
          </reference>
          <reference field="7" count="1" selected="0">
            <x v="119"/>
          </reference>
          <reference field="8" count="1">
            <x v="290"/>
          </reference>
        </references>
      </pivotArea>
    </format>
    <format dxfId="5081">
      <pivotArea dataOnly="0" labelOnly="1" fieldPosition="0">
        <references count="5">
          <reference field="1" count="1" selected="0">
            <x v="38"/>
          </reference>
          <reference field="5" count="1" selected="0">
            <x v="8"/>
          </reference>
          <reference field="6" count="1" selected="0">
            <x v="37"/>
          </reference>
          <reference field="7" count="1" selected="0">
            <x v="119"/>
          </reference>
          <reference field="8" count="1">
            <x v="1289"/>
          </reference>
        </references>
      </pivotArea>
    </format>
    <format dxfId="5080">
      <pivotArea dataOnly="0" labelOnly="1" fieldPosition="0">
        <references count="5">
          <reference field="1" count="1" selected="0">
            <x v="38"/>
          </reference>
          <reference field="5" count="1" selected="0">
            <x v="12"/>
          </reference>
          <reference field="6" count="1" selected="0">
            <x v="1"/>
          </reference>
          <reference field="7" count="1" selected="0">
            <x v="119"/>
          </reference>
          <reference field="8" count="2">
            <x v="213"/>
            <x v="500"/>
          </reference>
        </references>
      </pivotArea>
    </format>
    <format dxfId="5079">
      <pivotArea dataOnly="0" labelOnly="1" fieldPosition="0">
        <references count="5">
          <reference field="1" count="1" selected="0">
            <x v="38"/>
          </reference>
          <reference field="5" count="1" selected="0">
            <x v="15"/>
          </reference>
          <reference field="6" count="1" selected="0">
            <x v="10"/>
          </reference>
          <reference field="7" count="1" selected="0">
            <x v="119"/>
          </reference>
          <reference field="8" count="1">
            <x v="604"/>
          </reference>
        </references>
      </pivotArea>
    </format>
    <format dxfId="5078">
      <pivotArea dataOnly="0" labelOnly="1" fieldPosition="0">
        <references count="5">
          <reference field="1" count="1" selected="0">
            <x v="38"/>
          </reference>
          <reference field="5" count="1" selected="0">
            <x v="23"/>
          </reference>
          <reference field="6" count="1" selected="0">
            <x v="9"/>
          </reference>
          <reference field="7" count="1" selected="0">
            <x v="119"/>
          </reference>
          <reference field="8" count="1">
            <x v="696"/>
          </reference>
        </references>
      </pivotArea>
    </format>
    <format dxfId="5077">
      <pivotArea dataOnly="0" labelOnly="1" fieldPosition="0">
        <references count="5">
          <reference field="1" count="1" selected="0">
            <x v="38"/>
          </reference>
          <reference field="5" count="1" selected="0">
            <x v="26"/>
          </reference>
          <reference field="6" count="1" selected="0">
            <x v="37"/>
          </reference>
          <reference field="7" count="1" selected="0">
            <x v="119"/>
          </reference>
          <reference field="8" count="1">
            <x v="846"/>
          </reference>
        </references>
      </pivotArea>
    </format>
    <format dxfId="5076">
      <pivotArea dataOnly="0" labelOnly="1" fieldPosition="0">
        <references count="5">
          <reference field="1" count="1" selected="0">
            <x v="38"/>
          </reference>
          <reference field="5" count="1" selected="0">
            <x v="26"/>
          </reference>
          <reference field="6" count="1" selected="0">
            <x v="38"/>
          </reference>
          <reference field="7" count="1" selected="0">
            <x v="119"/>
          </reference>
          <reference field="8" count="1">
            <x v="1845"/>
          </reference>
        </references>
      </pivotArea>
    </format>
    <format dxfId="5075">
      <pivotArea dataOnly="0" labelOnly="1" fieldPosition="0">
        <references count="5">
          <reference field="1" count="1" selected="0">
            <x v="38"/>
          </reference>
          <reference field="5" count="1" selected="0">
            <x v="35"/>
          </reference>
          <reference field="6" count="1" selected="0">
            <x v="1"/>
          </reference>
          <reference field="7" count="1" selected="0">
            <x v="119"/>
          </reference>
          <reference field="8" count="1">
            <x v="80"/>
          </reference>
        </references>
      </pivotArea>
    </format>
    <format dxfId="5074">
      <pivotArea dataOnly="0" labelOnly="1" fieldPosition="0">
        <references count="5">
          <reference field="1" count="1" selected="0">
            <x v="39"/>
          </reference>
          <reference field="5" count="1" selected="0">
            <x v="0"/>
          </reference>
          <reference field="6" count="1" selected="0">
            <x v="12"/>
          </reference>
          <reference field="7" count="1" selected="0">
            <x v="2"/>
          </reference>
          <reference field="8" count="1">
            <x v="39"/>
          </reference>
        </references>
      </pivotArea>
    </format>
    <format dxfId="5073">
      <pivotArea dataOnly="0" labelOnly="1" fieldPosition="0">
        <references count="5">
          <reference field="1" count="1" selected="0">
            <x v="39"/>
          </reference>
          <reference field="5" count="1" selected="0">
            <x v="0"/>
          </reference>
          <reference field="6" count="1" selected="0">
            <x v="12"/>
          </reference>
          <reference field="7" count="1" selected="0">
            <x v="3"/>
          </reference>
          <reference field="8" count="1">
            <x v="114"/>
          </reference>
        </references>
      </pivotArea>
    </format>
    <format dxfId="5072">
      <pivotArea dataOnly="0" labelOnly="1" fieldPosition="0">
        <references count="5">
          <reference field="1" count="1" selected="0">
            <x v="39"/>
          </reference>
          <reference field="5" count="1" selected="0">
            <x v="0"/>
          </reference>
          <reference field="6" count="1" selected="0">
            <x v="12"/>
          </reference>
          <reference field="7" count="1" selected="0">
            <x v="8"/>
          </reference>
          <reference field="8" count="1">
            <x v="92"/>
          </reference>
        </references>
      </pivotArea>
    </format>
    <format dxfId="5071">
      <pivotArea dataOnly="0" labelOnly="1" fieldPosition="0">
        <references count="5">
          <reference field="1" count="1" selected="0">
            <x v="39"/>
          </reference>
          <reference field="5" count="1" selected="0">
            <x v="0"/>
          </reference>
          <reference field="6" count="1" selected="0">
            <x v="12"/>
          </reference>
          <reference field="7" count="1" selected="0">
            <x v="53"/>
          </reference>
          <reference field="8" count="1">
            <x v="70"/>
          </reference>
        </references>
      </pivotArea>
    </format>
    <format dxfId="5070">
      <pivotArea dataOnly="0" labelOnly="1" fieldPosition="0">
        <references count="5">
          <reference field="1" count="1" selected="0">
            <x v="39"/>
          </reference>
          <reference field="5" count="1" selected="0">
            <x v="0"/>
          </reference>
          <reference field="6" count="1" selected="0">
            <x v="12"/>
          </reference>
          <reference field="7" count="1" selected="0">
            <x v="56"/>
          </reference>
          <reference field="8" count="1">
            <x v="69"/>
          </reference>
        </references>
      </pivotArea>
    </format>
    <format dxfId="5069">
      <pivotArea dataOnly="0" labelOnly="1" fieldPosition="0">
        <references count="5">
          <reference field="1" count="1" selected="0">
            <x v="39"/>
          </reference>
          <reference field="5" count="1" selected="0">
            <x v="12"/>
          </reference>
          <reference field="6" count="1" selected="0">
            <x v="1"/>
          </reference>
          <reference field="7" count="1" selected="0">
            <x v="120"/>
          </reference>
          <reference field="8" count="3">
            <x v="80"/>
            <x v="607"/>
            <x v="702"/>
          </reference>
        </references>
      </pivotArea>
    </format>
    <format dxfId="5068">
      <pivotArea dataOnly="0" labelOnly="1" fieldPosition="0">
        <references count="5">
          <reference field="1" count="1" selected="0">
            <x v="39"/>
          </reference>
          <reference field="5" count="1" selected="0">
            <x v="14"/>
          </reference>
          <reference field="6" count="1" selected="0">
            <x v="1"/>
          </reference>
          <reference field="7" count="1" selected="0">
            <x v="120"/>
          </reference>
          <reference field="8" count="1">
            <x v="887"/>
          </reference>
        </references>
      </pivotArea>
    </format>
    <format dxfId="5067">
      <pivotArea dataOnly="0" labelOnly="1" fieldPosition="0">
        <references count="5">
          <reference field="1" count="1" selected="0">
            <x v="39"/>
          </reference>
          <reference field="5" count="1" selected="0">
            <x v="15"/>
          </reference>
          <reference field="6" count="1" selected="0">
            <x v="37"/>
          </reference>
          <reference field="7" count="1" selected="0">
            <x v="120"/>
          </reference>
          <reference field="8" count="1">
            <x v="295"/>
          </reference>
        </references>
      </pivotArea>
    </format>
    <format dxfId="5066">
      <pivotArea dataOnly="0" labelOnly="1" fieldPosition="0">
        <references count="5">
          <reference field="1" count="1" selected="0">
            <x v="39"/>
          </reference>
          <reference field="5" count="1" selected="0">
            <x v="19"/>
          </reference>
          <reference field="6" count="1" selected="0">
            <x v="6"/>
          </reference>
          <reference field="7" count="1" selected="0">
            <x v="120"/>
          </reference>
          <reference field="8" count="1">
            <x v="371"/>
          </reference>
        </references>
      </pivotArea>
    </format>
    <format dxfId="5065">
      <pivotArea dataOnly="0" labelOnly="1" fieldPosition="0">
        <references count="5">
          <reference field="1" count="1" selected="0">
            <x v="39"/>
          </reference>
          <reference field="5" count="1" selected="0">
            <x v="24"/>
          </reference>
          <reference field="6" count="1" selected="0">
            <x v="37"/>
          </reference>
          <reference field="7" count="1" selected="0">
            <x v="120"/>
          </reference>
          <reference field="8" count="1">
            <x v="37"/>
          </reference>
        </references>
      </pivotArea>
    </format>
    <format dxfId="5064">
      <pivotArea dataOnly="0" labelOnly="1" fieldPosition="0">
        <references count="5">
          <reference field="1" count="1" selected="0">
            <x v="39"/>
          </reference>
          <reference field="5" count="1" selected="0">
            <x v="26"/>
          </reference>
          <reference field="6" count="1" selected="0">
            <x v="37"/>
          </reference>
          <reference field="7" count="1" selected="0">
            <x v="120"/>
          </reference>
          <reference field="8" count="1">
            <x v="80"/>
          </reference>
        </references>
      </pivotArea>
    </format>
    <format dxfId="5063">
      <pivotArea dataOnly="0" labelOnly="1" fieldPosition="0">
        <references count="5">
          <reference field="1" count="1" selected="0">
            <x v="39"/>
          </reference>
          <reference field="5" count="1" selected="0">
            <x v="26"/>
          </reference>
          <reference field="6" count="1" selected="0">
            <x v="38"/>
          </reference>
          <reference field="7" count="1" selected="0">
            <x v="120"/>
          </reference>
          <reference field="8" count="1">
            <x v="1542"/>
          </reference>
        </references>
      </pivotArea>
    </format>
    <format dxfId="5062">
      <pivotArea dataOnly="0" labelOnly="1" fieldPosition="0">
        <references count="5">
          <reference field="1" count="1" selected="0">
            <x v="39"/>
          </reference>
          <reference field="5" count="1" selected="0">
            <x v="30"/>
          </reference>
          <reference field="6" count="1" selected="0">
            <x v="6"/>
          </reference>
          <reference field="7" count="1" selected="0">
            <x v="120"/>
          </reference>
          <reference field="8" count="1">
            <x v="1713"/>
          </reference>
        </references>
      </pivotArea>
    </format>
    <format dxfId="5061">
      <pivotArea dataOnly="0" labelOnly="1" fieldPosition="0">
        <references count="5">
          <reference field="1" count="1" selected="0">
            <x v="40"/>
          </reference>
          <reference field="5" count="1" selected="0">
            <x v="0"/>
          </reference>
          <reference field="6" count="1" selected="0">
            <x v="12"/>
          </reference>
          <reference field="7" count="1" selected="0">
            <x v="17"/>
          </reference>
          <reference field="8" count="1">
            <x v="1136"/>
          </reference>
        </references>
      </pivotArea>
    </format>
    <format dxfId="5060">
      <pivotArea dataOnly="0" labelOnly="1" fieldPosition="0">
        <references count="5">
          <reference field="1" count="1" selected="0">
            <x v="40"/>
          </reference>
          <reference field="5" count="1" selected="0">
            <x v="0"/>
          </reference>
          <reference field="6" count="1" selected="0">
            <x v="12"/>
          </reference>
          <reference field="7" count="1" selected="0">
            <x v="19"/>
          </reference>
          <reference field="8" count="1">
            <x v="73"/>
          </reference>
        </references>
      </pivotArea>
    </format>
    <format dxfId="5059">
      <pivotArea dataOnly="0" labelOnly="1" fieldPosition="0">
        <references count="5">
          <reference field="1" count="1" selected="0">
            <x v="40"/>
          </reference>
          <reference field="5" count="1" selected="0">
            <x v="0"/>
          </reference>
          <reference field="6" count="1" selected="0">
            <x v="12"/>
          </reference>
          <reference field="7" count="1" selected="0">
            <x v="24"/>
          </reference>
          <reference field="8" count="1">
            <x v="18"/>
          </reference>
        </references>
      </pivotArea>
    </format>
    <format dxfId="5058">
      <pivotArea dataOnly="0" labelOnly="1" fieldPosition="0">
        <references count="5">
          <reference field="1" count="1" selected="0">
            <x v="40"/>
          </reference>
          <reference field="5" count="1" selected="0">
            <x v="0"/>
          </reference>
          <reference field="6" count="1" selected="0">
            <x v="12"/>
          </reference>
          <reference field="7" count="1" selected="0">
            <x v="29"/>
          </reference>
          <reference field="8" count="1">
            <x v="11"/>
          </reference>
        </references>
      </pivotArea>
    </format>
    <format dxfId="5057">
      <pivotArea dataOnly="0" labelOnly="1" fieldPosition="0">
        <references count="5">
          <reference field="1" count="1" selected="0">
            <x v="40"/>
          </reference>
          <reference field="5" count="1" selected="0">
            <x v="0"/>
          </reference>
          <reference field="6" count="1" selected="0">
            <x v="12"/>
          </reference>
          <reference field="7" count="1" selected="0">
            <x v="43"/>
          </reference>
          <reference field="8" count="1">
            <x v="92"/>
          </reference>
        </references>
      </pivotArea>
    </format>
    <format dxfId="5056">
      <pivotArea dataOnly="0" labelOnly="1" fieldPosition="0">
        <references count="5">
          <reference field="1" count="1" selected="0">
            <x v="40"/>
          </reference>
          <reference field="5" count="1" selected="0">
            <x v="0"/>
          </reference>
          <reference field="6" count="1" selected="0">
            <x v="12"/>
          </reference>
          <reference field="7" count="1" selected="0">
            <x v="48"/>
          </reference>
          <reference field="8" count="1">
            <x v="63"/>
          </reference>
        </references>
      </pivotArea>
    </format>
    <format dxfId="5055">
      <pivotArea dataOnly="0" labelOnly="1" fieldPosition="0">
        <references count="5">
          <reference field="1" count="1" selected="0">
            <x v="40"/>
          </reference>
          <reference field="5" count="1" selected="0">
            <x v="0"/>
          </reference>
          <reference field="6" count="1" selected="0">
            <x v="12"/>
          </reference>
          <reference field="7" count="1" selected="0">
            <x v="52"/>
          </reference>
          <reference field="8" count="1">
            <x v="252"/>
          </reference>
        </references>
      </pivotArea>
    </format>
    <format dxfId="5054">
      <pivotArea dataOnly="0" labelOnly="1" fieldPosition="0">
        <references count="5">
          <reference field="1" count="1" selected="0">
            <x v="40"/>
          </reference>
          <reference field="5" count="1" selected="0">
            <x v="12"/>
          </reference>
          <reference field="6" count="1" selected="0">
            <x v="1"/>
          </reference>
          <reference field="7" count="1" selected="0">
            <x v="121"/>
          </reference>
          <reference field="8" count="2">
            <x v="80"/>
            <x v="213"/>
          </reference>
        </references>
      </pivotArea>
    </format>
    <format dxfId="5053">
      <pivotArea dataOnly="0" labelOnly="1" fieldPosition="0">
        <references count="5">
          <reference field="1" count="1" selected="0">
            <x v="40"/>
          </reference>
          <reference field="5" count="1" selected="0">
            <x v="26"/>
          </reference>
          <reference field="6" count="1" selected="0">
            <x v="10"/>
          </reference>
          <reference field="7" count="1" selected="0">
            <x v="121"/>
          </reference>
          <reference field="8" count="1">
            <x v="0"/>
          </reference>
        </references>
      </pivotArea>
    </format>
    <format dxfId="5052">
      <pivotArea dataOnly="0" labelOnly="1" fieldPosition="0">
        <references count="5">
          <reference field="1" count="1" selected="0">
            <x v="41"/>
          </reference>
          <reference field="5" count="1" selected="0">
            <x v="0"/>
          </reference>
          <reference field="6" count="1" selected="0">
            <x v="8"/>
          </reference>
          <reference field="7" count="1" selected="0">
            <x v="122"/>
          </reference>
          <reference field="8" count="1">
            <x v="630"/>
          </reference>
        </references>
      </pivotArea>
    </format>
    <format dxfId="5051">
      <pivotArea dataOnly="0" labelOnly="1" fieldPosition="0">
        <references count="5">
          <reference field="1" count="1" selected="0">
            <x v="41"/>
          </reference>
          <reference field="5" count="1" selected="0">
            <x v="0"/>
          </reference>
          <reference field="6" count="1" selected="0">
            <x v="9"/>
          </reference>
          <reference field="7" count="1" selected="0">
            <x v="122"/>
          </reference>
          <reference field="8" count="4">
            <x v="243"/>
            <x v="335"/>
            <x v="595"/>
            <x v="662"/>
          </reference>
        </references>
      </pivotArea>
    </format>
    <format dxfId="5050">
      <pivotArea dataOnly="0" labelOnly="1" fieldPosition="0">
        <references count="5">
          <reference field="1" count="1" selected="0">
            <x v="41"/>
          </reference>
          <reference field="5" count="1" selected="0">
            <x v="0"/>
          </reference>
          <reference field="6" count="1" selected="0">
            <x v="12"/>
          </reference>
          <reference field="7" count="1" selected="0">
            <x v="22"/>
          </reference>
          <reference field="8" count="1">
            <x v="114"/>
          </reference>
        </references>
      </pivotArea>
    </format>
    <format dxfId="5049">
      <pivotArea dataOnly="0" labelOnly="1" fieldPosition="0">
        <references count="5">
          <reference field="1" count="1" selected="0">
            <x v="41"/>
          </reference>
          <reference field="5" count="1" selected="0">
            <x v="0"/>
          </reference>
          <reference field="6" count="1" selected="0">
            <x v="12"/>
          </reference>
          <reference field="7" count="1" selected="0">
            <x v="23"/>
          </reference>
          <reference field="8" count="1">
            <x v="152"/>
          </reference>
        </references>
      </pivotArea>
    </format>
    <format dxfId="5048">
      <pivotArea dataOnly="0" labelOnly="1" fieldPosition="0">
        <references count="5">
          <reference field="1" count="1" selected="0">
            <x v="41"/>
          </reference>
          <reference field="5" count="1" selected="0">
            <x v="0"/>
          </reference>
          <reference field="6" count="1" selected="0">
            <x v="12"/>
          </reference>
          <reference field="7" count="1" selected="0">
            <x v="36"/>
          </reference>
          <reference field="8" count="1">
            <x v="330"/>
          </reference>
        </references>
      </pivotArea>
    </format>
    <format dxfId="5047">
      <pivotArea dataOnly="0" labelOnly="1" fieldPosition="0">
        <references count="5">
          <reference field="1" count="1" selected="0">
            <x v="41"/>
          </reference>
          <reference field="5" count="1" selected="0">
            <x v="0"/>
          </reference>
          <reference field="6" count="1" selected="0">
            <x v="12"/>
          </reference>
          <reference field="7" count="1" selected="0">
            <x v="45"/>
          </reference>
          <reference field="8" count="1">
            <x v="18"/>
          </reference>
        </references>
      </pivotArea>
    </format>
    <format dxfId="5046">
      <pivotArea dataOnly="0" labelOnly="1" fieldPosition="0">
        <references count="5">
          <reference field="1" count="1" selected="0">
            <x v="41"/>
          </reference>
          <reference field="5" count="1" selected="0">
            <x v="0"/>
          </reference>
          <reference field="6" count="1" selected="0">
            <x v="12"/>
          </reference>
          <reference field="7" count="1" selected="0">
            <x v="48"/>
          </reference>
          <reference field="8" count="1">
            <x v="92"/>
          </reference>
        </references>
      </pivotArea>
    </format>
    <format dxfId="5045">
      <pivotArea dataOnly="0" labelOnly="1" fieldPosition="0">
        <references count="5">
          <reference field="1" count="1" selected="0">
            <x v="41"/>
          </reference>
          <reference field="5" count="1" selected="0">
            <x v="0"/>
          </reference>
          <reference field="6" count="1" selected="0">
            <x v="12"/>
          </reference>
          <reference field="7" count="1" selected="0">
            <x v="57"/>
          </reference>
          <reference field="8" count="1">
            <x v="24"/>
          </reference>
        </references>
      </pivotArea>
    </format>
    <format dxfId="5044">
      <pivotArea dataOnly="0" labelOnly="1" fieldPosition="0">
        <references count="5">
          <reference field="1" count="1" selected="0">
            <x v="41"/>
          </reference>
          <reference field="5" count="1" selected="0">
            <x v="0"/>
          </reference>
          <reference field="6" count="1" selected="0">
            <x v="12"/>
          </reference>
          <reference field="7" count="1" selected="0">
            <x v="61"/>
          </reference>
          <reference field="8" count="1">
            <x v="16"/>
          </reference>
        </references>
      </pivotArea>
    </format>
    <format dxfId="5043">
      <pivotArea dataOnly="0" labelOnly="1" fieldPosition="0">
        <references count="5">
          <reference field="1" count="1" selected="0">
            <x v="41"/>
          </reference>
          <reference field="5" count="1" selected="0">
            <x v="0"/>
          </reference>
          <reference field="6" count="1" selected="0">
            <x v="12"/>
          </reference>
          <reference field="7" count="1" selected="0">
            <x v="73"/>
          </reference>
          <reference field="8" count="1">
            <x v="132"/>
          </reference>
        </references>
      </pivotArea>
    </format>
    <format dxfId="5042">
      <pivotArea dataOnly="0" labelOnly="1" fieldPosition="0">
        <references count="5">
          <reference field="1" count="1" selected="0">
            <x v="41"/>
          </reference>
          <reference field="5" count="1" selected="0">
            <x v="5"/>
          </reference>
          <reference field="6" count="1" selected="0">
            <x v="37"/>
          </reference>
          <reference field="7" count="1" selected="0">
            <x v="122"/>
          </reference>
          <reference field="8" count="1">
            <x v="1011"/>
          </reference>
        </references>
      </pivotArea>
    </format>
    <format dxfId="5041">
      <pivotArea dataOnly="0" labelOnly="1" fieldPosition="0">
        <references count="5">
          <reference field="1" count="1" selected="0">
            <x v="41"/>
          </reference>
          <reference field="5" count="1" selected="0">
            <x v="7"/>
          </reference>
          <reference field="6" count="1" selected="0">
            <x v="8"/>
          </reference>
          <reference field="7" count="1" selected="0">
            <x v="122"/>
          </reference>
          <reference field="8" count="1">
            <x v="1324"/>
          </reference>
        </references>
      </pivotArea>
    </format>
    <format dxfId="5040">
      <pivotArea dataOnly="0" labelOnly="1" fieldPosition="0">
        <references count="5">
          <reference field="1" count="1" selected="0">
            <x v="41"/>
          </reference>
          <reference field="5" count="1" selected="0">
            <x v="8"/>
          </reference>
          <reference field="6" count="1" selected="0">
            <x v="37"/>
          </reference>
          <reference field="7" count="1" selected="0">
            <x v="122"/>
          </reference>
          <reference field="8" count="1">
            <x v="1412"/>
          </reference>
        </references>
      </pivotArea>
    </format>
    <format dxfId="5039">
      <pivotArea dataOnly="0" labelOnly="1" fieldPosition="0">
        <references count="5">
          <reference field="1" count="1" selected="0">
            <x v="41"/>
          </reference>
          <reference field="5" count="1" selected="0">
            <x v="12"/>
          </reference>
          <reference field="6" count="1" selected="0">
            <x v="1"/>
          </reference>
          <reference field="7" count="1" selected="0">
            <x v="122"/>
          </reference>
          <reference field="8" count="1">
            <x v="213"/>
          </reference>
        </references>
      </pivotArea>
    </format>
    <format dxfId="5038">
      <pivotArea dataOnly="0" labelOnly="1" fieldPosition="0">
        <references count="5">
          <reference field="1" count="1" selected="0">
            <x v="41"/>
          </reference>
          <reference field="5" count="1" selected="0">
            <x v="15"/>
          </reference>
          <reference field="6" count="1" selected="0">
            <x v="9"/>
          </reference>
          <reference field="7" count="1" selected="0">
            <x v="122"/>
          </reference>
          <reference field="8" count="1">
            <x v="779"/>
          </reference>
        </references>
      </pivotArea>
    </format>
    <format dxfId="5037">
      <pivotArea dataOnly="0" labelOnly="1" fieldPosition="0">
        <references count="5">
          <reference field="1" count="1" selected="0">
            <x v="41"/>
          </reference>
          <reference field="5" count="1" selected="0">
            <x v="15"/>
          </reference>
          <reference field="6" count="1" selected="0">
            <x v="38"/>
          </reference>
          <reference field="7" count="1" selected="0">
            <x v="122"/>
          </reference>
          <reference field="8" count="1">
            <x v="1796"/>
          </reference>
        </references>
      </pivotArea>
    </format>
    <format dxfId="5036">
      <pivotArea dataOnly="0" labelOnly="1" fieldPosition="0">
        <references count="5">
          <reference field="1" count="1" selected="0">
            <x v="41"/>
          </reference>
          <reference field="5" count="1" selected="0">
            <x v="23"/>
          </reference>
          <reference field="6" count="1" selected="0">
            <x v="8"/>
          </reference>
          <reference field="7" count="1" selected="0">
            <x v="122"/>
          </reference>
          <reference field="8" count="1">
            <x v="422"/>
          </reference>
        </references>
      </pivotArea>
    </format>
    <format dxfId="5035">
      <pivotArea dataOnly="0" labelOnly="1" fieldPosition="0">
        <references count="5">
          <reference field="1" count="1" selected="0">
            <x v="41"/>
          </reference>
          <reference field="5" count="1" selected="0">
            <x v="26"/>
          </reference>
          <reference field="6" count="1" selected="0">
            <x v="6"/>
          </reference>
          <reference field="7" count="1" selected="0">
            <x v="122"/>
          </reference>
          <reference field="8" count="1">
            <x v="201"/>
          </reference>
        </references>
      </pivotArea>
    </format>
    <format dxfId="5034">
      <pivotArea dataOnly="0" labelOnly="1" fieldPosition="0">
        <references count="5">
          <reference field="1" count="1" selected="0">
            <x v="41"/>
          </reference>
          <reference field="5" count="1" selected="0">
            <x v="26"/>
          </reference>
          <reference field="6" count="1" selected="0">
            <x v="37"/>
          </reference>
          <reference field="7" count="1" selected="0">
            <x v="122"/>
          </reference>
          <reference field="8" count="1">
            <x v="291"/>
          </reference>
        </references>
      </pivotArea>
    </format>
    <format dxfId="5033">
      <pivotArea dataOnly="0" labelOnly="1" fieldPosition="0">
        <references count="5">
          <reference field="1" count="1" selected="0">
            <x v="41"/>
          </reference>
          <reference field="5" count="1" selected="0">
            <x v="27"/>
          </reference>
          <reference field="6" count="1" selected="0">
            <x v="37"/>
          </reference>
          <reference field="7" count="1" selected="0">
            <x v="122"/>
          </reference>
          <reference field="8" count="1">
            <x v="109"/>
          </reference>
        </references>
      </pivotArea>
    </format>
    <format dxfId="5032">
      <pivotArea dataOnly="0" labelOnly="1" fieldPosition="0">
        <references count="5">
          <reference field="1" count="1" selected="0">
            <x v="41"/>
          </reference>
          <reference field="5" count="1" selected="0">
            <x v="37"/>
          </reference>
          <reference field="6" count="1" selected="0">
            <x v="8"/>
          </reference>
          <reference field="7" count="1" selected="0">
            <x v="122"/>
          </reference>
          <reference field="8" count="1">
            <x v="1002"/>
          </reference>
        </references>
      </pivotArea>
    </format>
    <format dxfId="5031">
      <pivotArea dataOnly="0" labelOnly="1" fieldPosition="0">
        <references count="5">
          <reference field="1" count="1" selected="0">
            <x v="41"/>
          </reference>
          <reference field="5" count="1" selected="0">
            <x v="37"/>
          </reference>
          <reference field="6" count="1" selected="0">
            <x v="10"/>
          </reference>
          <reference field="7" count="1" selected="0">
            <x v="122"/>
          </reference>
          <reference field="8" count="1">
            <x v="1293"/>
          </reference>
        </references>
      </pivotArea>
    </format>
    <format dxfId="5030">
      <pivotArea dataOnly="0" labelOnly="1" fieldPosition="0">
        <references count="5">
          <reference field="1" count="1" selected="0">
            <x v="42"/>
          </reference>
          <reference field="5" count="1" selected="0">
            <x v="0"/>
          </reference>
          <reference field="6" count="1" selected="0">
            <x v="1"/>
          </reference>
          <reference field="7" count="1" selected="0">
            <x v="124"/>
          </reference>
          <reference field="8" count="1">
            <x v="80"/>
          </reference>
        </references>
      </pivotArea>
    </format>
    <format dxfId="5029">
      <pivotArea dataOnly="0" labelOnly="1" fieldPosition="0">
        <references count="5">
          <reference field="1" count="1" selected="0">
            <x v="42"/>
          </reference>
          <reference field="5" count="1" selected="0">
            <x v="0"/>
          </reference>
          <reference field="6" count="1" selected="0">
            <x v="12"/>
          </reference>
          <reference field="7" count="1" selected="0">
            <x v="10"/>
          </reference>
          <reference field="8" count="1">
            <x v="371"/>
          </reference>
        </references>
      </pivotArea>
    </format>
    <format dxfId="5028">
      <pivotArea dataOnly="0" labelOnly="1" fieldPosition="0">
        <references count="5">
          <reference field="1" count="1" selected="0">
            <x v="42"/>
          </reference>
          <reference field="5" count="1" selected="0">
            <x v="0"/>
          </reference>
          <reference field="6" count="1" selected="0">
            <x v="12"/>
          </reference>
          <reference field="7" count="1" selected="0">
            <x v="50"/>
          </reference>
          <reference field="8" count="1">
            <x v="21"/>
          </reference>
        </references>
      </pivotArea>
    </format>
    <format dxfId="5027">
      <pivotArea dataOnly="0" labelOnly="1" fieldPosition="0">
        <references count="5">
          <reference field="1" count="1" selected="0">
            <x v="42"/>
          </reference>
          <reference field="5" count="1" selected="0">
            <x v="0"/>
          </reference>
          <reference field="6" count="1" selected="0">
            <x v="12"/>
          </reference>
          <reference field="7" count="1" selected="0">
            <x v="61"/>
          </reference>
          <reference field="8" count="1">
            <x v="28"/>
          </reference>
        </references>
      </pivotArea>
    </format>
    <format dxfId="5026">
      <pivotArea dataOnly="0" labelOnly="1" fieldPosition="0">
        <references count="5">
          <reference field="1" count="1" selected="0">
            <x v="42"/>
          </reference>
          <reference field="5" count="1" selected="0">
            <x v="0"/>
          </reference>
          <reference field="6" count="1" selected="0">
            <x v="22"/>
          </reference>
          <reference field="7" count="1" selected="0">
            <x v="123"/>
          </reference>
          <reference field="8" count="3">
            <x v="298"/>
            <x v="651"/>
            <x v="661"/>
          </reference>
        </references>
      </pivotArea>
    </format>
    <format dxfId="5025">
      <pivotArea dataOnly="0" labelOnly="1" fieldPosition="0">
        <references count="5">
          <reference field="1" count="1" selected="0">
            <x v="42"/>
          </reference>
          <reference field="5" count="1" selected="0">
            <x v="2"/>
          </reference>
          <reference field="6" count="1" selected="0">
            <x v="22"/>
          </reference>
          <reference field="7" count="1" selected="0">
            <x v="123"/>
          </reference>
          <reference field="8" count="1">
            <x v="1790"/>
          </reference>
        </references>
      </pivotArea>
    </format>
    <format dxfId="5024">
      <pivotArea dataOnly="0" labelOnly="1" fieldPosition="0">
        <references count="5">
          <reference field="1" count="1" selected="0">
            <x v="42"/>
          </reference>
          <reference field="5" count="1" selected="0">
            <x v="3"/>
          </reference>
          <reference field="6" count="1" selected="0">
            <x v="22"/>
          </reference>
          <reference field="7" count="1" selected="0">
            <x v="123"/>
          </reference>
          <reference field="8" count="1">
            <x v="1092"/>
          </reference>
        </references>
      </pivotArea>
    </format>
    <format dxfId="5023">
      <pivotArea dataOnly="0" labelOnly="1" fieldPosition="0">
        <references count="5">
          <reference field="1" count="1" selected="0">
            <x v="42"/>
          </reference>
          <reference field="5" count="1" selected="0">
            <x v="6"/>
          </reference>
          <reference field="6" count="1" selected="0">
            <x v="37"/>
          </reference>
          <reference field="7" count="1" selected="0">
            <x v="124"/>
          </reference>
          <reference field="8" count="1">
            <x v="539"/>
          </reference>
        </references>
      </pivotArea>
    </format>
    <format dxfId="5022">
      <pivotArea dataOnly="0" labelOnly="1" fieldPosition="0">
        <references count="5">
          <reference field="1" count="1" selected="0">
            <x v="42"/>
          </reference>
          <reference field="5" count="1" selected="0">
            <x v="12"/>
          </reference>
          <reference field="6" count="1" selected="0">
            <x v="1"/>
          </reference>
          <reference field="7" count="1" selected="0">
            <x v="124"/>
          </reference>
          <reference field="8" count="5">
            <x v="80"/>
            <x v="213"/>
            <x v="352"/>
            <x v="500"/>
            <x v="702"/>
          </reference>
        </references>
      </pivotArea>
    </format>
    <format dxfId="5021">
      <pivotArea dataOnly="0" labelOnly="1" fieldPosition="0">
        <references count="5">
          <reference field="1" count="1" selected="0">
            <x v="42"/>
          </reference>
          <reference field="5" count="1" selected="0">
            <x v="12"/>
          </reference>
          <reference field="6" count="1" selected="0">
            <x v="22"/>
          </reference>
          <reference field="7" count="1" selected="0">
            <x v="123"/>
          </reference>
          <reference field="8" count="25">
            <x v="116"/>
            <x v="149"/>
            <x v="666"/>
            <x v="674"/>
            <x v="690"/>
            <x v="1088"/>
            <x v="1100"/>
            <x v="1198"/>
            <x v="1202"/>
            <x v="1247"/>
            <x v="1307"/>
            <x v="1393"/>
            <x v="1410"/>
            <x v="1423"/>
            <x v="1479"/>
            <x v="1507"/>
            <x v="1514"/>
            <x v="1558"/>
            <x v="1577"/>
            <x v="1643"/>
            <x v="1675"/>
            <x v="1719"/>
            <x v="1722"/>
            <x v="1743"/>
            <x v="1749"/>
          </reference>
        </references>
      </pivotArea>
    </format>
    <format dxfId="5020">
      <pivotArea dataOnly="0" labelOnly="1" fieldPosition="0">
        <references count="5">
          <reference field="1" count="1" selected="0">
            <x v="42"/>
          </reference>
          <reference field="5" count="1" selected="0">
            <x v="17"/>
          </reference>
          <reference field="6" count="1" selected="0">
            <x v="22"/>
          </reference>
          <reference field="7" count="1" selected="0">
            <x v="123"/>
          </reference>
          <reference field="8" count="1">
            <x v="1039"/>
          </reference>
        </references>
      </pivotArea>
    </format>
    <format dxfId="5019">
      <pivotArea dataOnly="0" labelOnly="1" fieldPosition="0">
        <references count="5">
          <reference field="1" count="1" selected="0">
            <x v="42"/>
          </reference>
          <reference field="5" count="1" selected="0">
            <x v="19"/>
          </reference>
          <reference field="6" count="1" selected="0">
            <x v="1"/>
          </reference>
          <reference field="7" count="1" selected="0">
            <x v="124"/>
          </reference>
          <reference field="8" count="1">
            <x v="352"/>
          </reference>
        </references>
      </pivotArea>
    </format>
    <format dxfId="5018">
      <pivotArea dataOnly="0" labelOnly="1" fieldPosition="0">
        <references count="5">
          <reference field="1" count="1" selected="0">
            <x v="42"/>
          </reference>
          <reference field="5" count="1" selected="0">
            <x v="19"/>
          </reference>
          <reference field="6" count="1" selected="0">
            <x v="37"/>
          </reference>
          <reference field="7" count="1" selected="0">
            <x v="124"/>
          </reference>
          <reference field="8" count="1">
            <x v="104"/>
          </reference>
        </references>
      </pivotArea>
    </format>
    <format dxfId="5017">
      <pivotArea dataOnly="0" labelOnly="1" fieldPosition="0">
        <references count="5">
          <reference field="1" count="1" selected="0">
            <x v="42"/>
          </reference>
          <reference field="5" count="1" selected="0">
            <x v="21"/>
          </reference>
          <reference field="6" count="1" selected="0">
            <x v="22"/>
          </reference>
          <reference field="7" count="1" selected="0">
            <x v="123"/>
          </reference>
          <reference field="8" count="1">
            <x v="1363"/>
          </reference>
        </references>
      </pivotArea>
    </format>
    <format dxfId="5016">
      <pivotArea dataOnly="0" labelOnly="1" fieldPosition="0">
        <references count="5">
          <reference field="1" count="1" selected="0">
            <x v="42"/>
          </reference>
          <reference field="5" count="1" selected="0">
            <x v="23"/>
          </reference>
          <reference field="6" count="1" selected="0">
            <x v="22"/>
          </reference>
          <reference field="7" count="1" selected="0">
            <x v="123"/>
          </reference>
          <reference field="8" count="1">
            <x v="1290"/>
          </reference>
        </references>
      </pivotArea>
    </format>
    <format dxfId="5015">
      <pivotArea dataOnly="0" labelOnly="1" fieldPosition="0">
        <references count="5">
          <reference field="1" count="1" selected="0">
            <x v="42"/>
          </reference>
          <reference field="5" count="1" selected="0">
            <x v="23"/>
          </reference>
          <reference field="6" count="1" selected="0">
            <x v="37"/>
          </reference>
          <reference field="7" count="1" selected="0">
            <x v="124"/>
          </reference>
          <reference field="8" count="1">
            <x v="1483"/>
          </reference>
        </references>
      </pivotArea>
    </format>
    <format dxfId="5014">
      <pivotArea dataOnly="0" labelOnly="1" fieldPosition="0">
        <references count="5">
          <reference field="1" count="1" selected="0">
            <x v="42"/>
          </reference>
          <reference field="5" count="1" selected="0">
            <x v="26"/>
          </reference>
          <reference field="6" count="1" selected="0">
            <x v="37"/>
          </reference>
          <reference field="7" count="1" selected="0">
            <x v="124"/>
          </reference>
          <reference field="8" count="1">
            <x v="930"/>
          </reference>
        </references>
      </pivotArea>
    </format>
    <format dxfId="5013">
      <pivotArea dataOnly="0" labelOnly="1" fieldPosition="0">
        <references count="5">
          <reference field="1" count="1" selected="0">
            <x v="42"/>
          </reference>
          <reference field="5" count="1" selected="0">
            <x v="33"/>
          </reference>
          <reference field="6" count="1" selected="0">
            <x v="6"/>
          </reference>
          <reference field="7" count="1" selected="0">
            <x v="124"/>
          </reference>
          <reference field="8" count="1">
            <x v="466"/>
          </reference>
        </references>
      </pivotArea>
    </format>
    <format dxfId="5012">
      <pivotArea dataOnly="0" labelOnly="1" fieldPosition="0">
        <references count="5">
          <reference field="1" count="1" selected="0">
            <x v="42"/>
          </reference>
          <reference field="5" count="1" selected="0">
            <x v="35"/>
          </reference>
          <reference field="6" count="1" selected="0">
            <x v="1"/>
          </reference>
          <reference field="7" count="1" selected="0">
            <x v="124"/>
          </reference>
          <reference field="8" count="1">
            <x v="80"/>
          </reference>
        </references>
      </pivotArea>
    </format>
    <format dxfId="5011">
      <pivotArea dataOnly="0" labelOnly="1" fieldPosition="0">
        <references count="5">
          <reference field="1" count="1" selected="0">
            <x v="42"/>
          </reference>
          <reference field="5" count="1" selected="0">
            <x v="35"/>
          </reference>
          <reference field="6" count="1" selected="0">
            <x v="22"/>
          </reference>
          <reference field="7" count="1" selected="0">
            <x v="123"/>
          </reference>
          <reference field="8" count="12">
            <x v="123"/>
            <x v="126"/>
            <x v="130"/>
            <x v="239"/>
            <x v="308"/>
            <x v="427"/>
            <x v="441"/>
            <x v="766"/>
            <x v="775"/>
            <x v="814"/>
            <x v="826"/>
            <x v="1299"/>
          </reference>
        </references>
      </pivotArea>
    </format>
    <format dxfId="5010">
      <pivotArea dataOnly="0" labelOnly="1" fieldPosition="0">
        <references count="5">
          <reference field="1" count="1" selected="0">
            <x v="42"/>
          </reference>
          <reference field="5" count="1" selected="0">
            <x v="36"/>
          </reference>
          <reference field="6" count="1" selected="0">
            <x v="22"/>
          </reference>
          <reference field="7" count="1" selected="0">
            <x v="123"/>
          </reference>
          <reference field="8" count="1">
            <x v="1519"/>
          </reference>
        </references>
      </pivotArea>
    </format>
    <format dxfId="5009">
      <pivotArea dataOnly="0" labelOnly="1" fieldPosition="0">
        <references count="5">
          <reference field="1" count="1" selected="0">
            <x v="43"/>
          </reference>
          <reference field="5" count="1" selected="0">
            <x v="0"/>
          </reference>
          <reference field="6" count="1" selected="0">
            <x v="8"/>
          </reference>
          <reference field="7" count="1" selected="0">
            <x v="125"/>
          </reference>
          <reference field="8" count="2">
            <x v="1157"/>
            <x v="1292"/>
          </reference>
        </references>
      </pivotArea>
    </format>
    <format dxfId="5008">
      <pivotArea dataOnly="0" labelOnly="1" fieldPosition="0">
        <references count="5">
          <reference field="1" count="1" selected="0">
            <x v="43"/>
          </reference>
          <reference field="5" count="1" selected="0">
            <x v="0"/>
          </reference>
          <reference field="6" count="1" selected="0">
            <x v="9"/>
          </reference>
          <reference field="7" count="1" selected="0">
            <x v="125"/>
          </reference>
          <reference field="8" count="7">
            <x v="128"/>
            <x v="218"/>
            <x v="529"/>
            <x v="760"/>
            <x v="863"/>
            <x v="964"/>
            <x v="989"/>
          </reference>
        </references>
      </pivotArea>
    </format>
    <format dxfId="5007">
      <pivotArea dataOnly="0" labelOnly="1" fieldPosition="0">
        <references count="5">
          <reference field="1" count="1" selected="0">
            <x v="43"/>
          </reference>
          <reference field="5" count="1" selected="0">
            <x v="0"/>
          </reference>
          <reference field="6" count="1" selected="0">
            <x v="12"/>
          </reference>
          <reference field="7" count="1" selected="0">
            <x v="6"/>
          </reference>
          <reference field="8" count="1">
            <x v="101"/>
          </reference>
        </references>
      </pivotArea>
    </format>
    <format dxfId="5006">
      <pivotArea dataOnly="0" labelOnly="1" fieldPosition="0">
        <references count="5">
          <reference field="1" count="1" selected="0">
            <x v="43"/>
          </reference>
          <reference field="5" count="1" selected="0">
            <x v="0"/>
          </reference>
          <reference field="6" count="1" selected="0">
            <x v="37"/>
          </reference>
          <reference field="7" count="1" selected="0">
            <x v="125"/>
          </reference>
          <reference field="8" count="2">
            <x v="592"/>
            <x v="1348"/>
          </reference>
        </references>
      </pivotArea>
    </format>
    <format dxfId="5005">
      <pivotArea dataOnly="0" labelOnly="1" fieldPosition="0">
        <references count="5">
          <reference field="1" count="1" selected="0">
            <x v="43"/>
          </reference>
          <reference field="5" count="1" selected="0">
            <x v="2"/>
          </reference>
          <reference field="6" count="1" selected="0">
            <x v="6"/>
          </reference>
          <reference field="7" count="1" selected="0">
            <x v="125"/>
          </reference>
          <reference field="8" count="1">
            <x v="433"/>
          </reference>
        </references>
      </pivotArea>
    </format>
    <format dxfId="5004">
      <pivotArea dataOnly="0" labelOnly="1" fieldPosition="0">
        <references count="5">
          <reference field="1" count="1" selected="0">
            <x v="43"/>
          </reference>
          <reference field="5" count="1" selected="0">
            <x v="5"/>
          </reference>
          <reference field="6" count="1" selected="0">
            <x v="37"/>
          </reference>
          <reference field="7" count="1" selected="0">
            <x v="125"/>
          </reference>
          <reference field="8" count="1">
            <x v="1701"/>
          </reference>
        </references>
      </pivotArea>
    </format>
    <format dxfId="5003">
      <pivotArea dataOnly="0" labelOnly="1" fieldPosition="0">
        <references count="5">
          <reference field="1" count="1" selected="0">
            <x v="43"/>
          </reference>
          <reference field="5" count="1" selected="0">
            <x v="9"/>
          </reference>
          <reference field="6" count="1" selected="0">
            <x v="9"/>
          </reference>
          <reference field="7" count="1" selected="0">
            <x v="125"/>
          </reference>
          <reference field="8" count="1">
            <x v="855"/>
          </reference>
        </references>
      </pivotArea>
    </format>
    <format dxfId="5002">
      <pivotArea dataOnly="0" labelOnly="1" fieldPosition="0">
        <references count="5">
          <reference field="1" count="1" selected="0">
            <x v="43"/>
          </reference>
          <reference field="5" count="1" selected="0">
            <x v="12"/>
          </reference>
          <reference field="6" count="1" selected="0">
            <x v="1"/>
          </reference>
          <reference field="7" count="1" selected="0">
            <x v="125"/>
          </reference>
          <reference field="8" count="1">
            <x v="80"/>
          </reference>
        </references>
      </pivotArea>
    </format>
    <format dxfId="5001">
      <pivotArea dataOnly="0" labelOnly="1" fieldPosition="0">
        <references count="5">
          <reference field="1" count="1" selected="0">
            <x v="43"/>
          </reference>
          <reference field="5" count="1" selected="0">
            <x v="15"/>
          </reference>
          <reference field="6" count="1" selected="0">
            <x v="9"/>
          </reference>
          <reference field="7" count="1" selected="0">
            <x v="125"/>
          </reference>
          <reference field="8" count="1">
            <x v="398"/>
          </reference>
        </references>
      </pivotArea>
    </format>
    <format dxfId="5000">
      <pivotArea dataOnly="0" labelOnly="1" fieldPosition="0">
        <references count="5">
          <reference field="1" count="1" selected="0">
            <x v="43"/>
          </reference>
          <reference field="5" count="1" selected="0">
            <x v="15"/>
          </reference>
          <reference field="6" count="1" selected="0">
            <x v="10"/>
          </reference>
          <reference field="7" count="1" selected="0">
            <x v="125"/>
          </reference>
          <reference field="8" count="1">
            <x v="781"/>
          </reference>
        </references>
      </pivotArea>
    </format>
    <format dxfId="4999">
      <pivotArea dataOnly="0" labelOnly="1" fieldPosition="0">
        <references count="5">
          <reference field="1" count="1" selected="0">
            <x v="43"/>
          </reference>
          <reference field="5" count="1" selected="0">
            <x v="15"/>
          </reference>
          <reference field="6" count="1" selected="0">
            <x v="34"/>
          </reference>
          <reference field="7" count="1" selected="0">
            <x v="76"/>
          </reference>
          <reference field="8" count="1">
            <x v="0"/>
          </reference>
        </references>
      </pivotArea>
    </format>
    <format dxfId="4998">
      <pivotArea dataOnly="0" labelOnly="1" fieldPosition="0">
        <references count="5">
          <reference field="1" count="1" selected="0">
            <x v="43"/>
          </reference>
          <reference field="5" count="1" selected="0">
            <x v="15"/>
          </reference>
          <reference field="6" count="1" selected="0">
            <x v="37"/>
          </reference>
          <reference field="7" count="1" selected="0">
            <x v="125"/>
          </reference>
          <reference field="8" count="1">
            <x v="1553"/>
          </reference>
        </references>
      </pivotArea>
    </format>
    <format dxfId="4997">
      <pivotArea dataOnly="0" labelOnly="1" fieldPosition="0">
        <references count="5">
          <reference field="1" count="1" selected="0">
            <x v="43"/>
          </reference>
          <reference field="5" count="1" selected="0">
            <x v="19"/>
          </reference>
          <reference field="6" count="1" selected="0">
            <x v="37"/>
          </reference>
          <reference field="7" count="1" selected="0">
            <x v="125"/>
          </reference>
          <reference field="8" count="1">
            <x v="114"/>
          </reference>
        </references>
      </pivotArea>
    </format>
    <format dxfId="4996">
      <pivotArea dataOnly="0" labelOnly="1" fieldPosition="0">
        <references count="5">
          <reference field="1" count="1" selected="0">
            <x v="43"/>
          </reference>
          <reference field="5" count="1" selected="0">
            <x v="25"/>
          </reference>
          <reference field="6" count="1" selected="0">
            <x v="9"/>
          </reference>
          <reference field="7" count="1" selected="0">
            <x v="125"/>
          </reference>
          <reference field="8" count="1">
            <x v="894"/>
          </reference>
        </references>
      </pivotArea>
    </format>
    <format dxfId="4995">
      <pivotArea dataOnly="0" labelOnly="1" fieldPosition="0">
        <references count="5">
          <reference field="1" count="1" selected="0">
            <x v="43"/>
          </reference>
          <reference field="5" count="1" selected="0">
            <x v="27"/>
          </reference>
          <reference field="6" count="1" selected="0">
            <x v="37"/>
          </reference>
          <reference field="7" count="1" selected="0">
            <x v="125"/>
          </reference>
          <reference field="8" count="1">
            <x v="1338"/>
          </reference>
        </references>
      </pivotArea>
    </format>
    <format dxfId="4994">
      <pivotArea dataOnly="0" labelOnly="1" fieldPosition="0">
        <references count="5">
          <reference field="1" count="1" selected="0">
            <x v="43"/>
          </reference>
          <reference field="5" count="1" selected="0">
            <x v="36"/>
          </reference>
          <reference field="6" count="1" selected="0">
            <x v="1"/>
          </reference>
          <reference field="7" count="1" selected="0">
            <x v="125"/>
          </reference>
          <reference field="8" count="1">
            <x v="936"/>
          </reference>
        </references>
      </pivotArea>
    </format>
    <format dxfId="4993">
      <pivotArea dataOnly="0" labelOnly="1" fieldPosition="0">
        <references count="5">
          <reference field="1" count="1" selected="0">
            <x v="44"/>
          </reference>
          <reference field="5" count="1" selected="0">
            <x v="0"/>
          </reference>
          <reference field="6" count="1" selected="0">
            <x v="6"/>
          </reference>
          <reference field="7" count="1" selected="0">
            <x v="127"/>
          </reference>
          <reference field="8" count="1">
            <x v="693"/>
          </reference>
        </references>
      </pivotArea>
    </format>
    <format dxfId="4992">
      <pivotArea dataOnly="0" labelOnly="1" fieldPosition="0">
        <references count="5">
          <reference field="1" count="1" selected="0">
            <x v="44"/>
          </reference>
          <reference field="5" count="1" selected="0">
            <x v="0"/>
          </reference>
          <reference field="6" count="1" selected="0">
            <x v="8"/>
          </reference>
          <reference field="7" count="1" selected="0">
            <x v="127"/>
          </reference>
          <reference field="8" count="1">
            <x v="596"/>
          </reference>
        </references>
      </pivotArea>
    </format>
    <format dxfId="4991">
      <pivotArea dataOnly="0" labelOnly="1" fieldPosition="0">
        <references count="5">
          <reference field="1" count="1" selected="0">
            <x v="44"/>
          </reference>
          <reference field="5" count="1" selected="0">
            <x v="0"/>
          </reference>
          <reference field="6" count="1" selected="0">
            <x v="9"/>
          </reference>
          <reference field="7" count="1" selected="0">
            <x v="127"/>
          </reference>
          <reference field="8" count="1">
            <x v="350"/>
          </reference>
        </references>
      </pivotArea>
    </format>
    <format dxfId="4990">
      <pivotArea dataOnly="0" labelOnly="1" fieldPosition="0">
        <references count="5">
          <reference field="1" count="1" selected="0">
            <x v="44"/>
          </reference>
          <reference field="5" count="1" selected="0">
            <x v="0"/>
          </reference>
          <reference field="6" count="1" selected="0">
            <x v="12"/>
          </reference>
          <reference field="7" count="1" selected="0">
            <x v="39"/>
          </reference>
          <reference field="8" count="1">
            <x v="433"/>
          </reference>
        </references>
      </pivotArea>
    </format>
    <format dxfId="4989">
      <pivotArea dataOnly="0" labelOnly="1" fieldPosition="0">
        <references count="5">
          <reference field="1" count="1" selected="0">
            <x v="44"/>
          </reference>
          <reference field="5" count="1" selected="0">
            <x v="0"/>
          </reference>
          <reference field="6" count="1" selected="0">
            <x v="37"/>
          </reference>
          <reference field="7" count="1" selected="0">
            <x v="127"/>
          </reference>
          <reference field="8" count="1">
            <x v="740"/>
          </reference>
        </references>
      </pivotArea>
    </format>
    <format dxfId="4988">
      <pivotArea dataOnly="0" labelOnly="1" fieldPosition="0">
        <references count="5">
          <reference field="1" count="1" selected="0">
            <x v="44"/>
          </reference>
          <reference field="5" count="1" selected="0">
            <x v="12"/>
          </reference>
          <reference field="6" count="1" selected="0">
            <x v="1"/>
          </reference>
          <reference field="7" count="1" selected="0">
            <x v="127"/>
          </reference>
          <reference field="8" count="2">
            <x v="352"/>
            <x v="500"/>
          </reference>
        </references>
      </pivotArea>
    </format>
    <format dxfId="4987">
      <pivotArea dataOnly="0" labelOnly="1" fieldPosition="0">
        <references count="5">
          <reference field="1" count="1" selected="0">
            <x v="44"/>
          </reference>
          <reference field="5" count="1" selected="0">
            <x v="12"/>
          </reference>
          <reference field="6" count="1" selected="0">
            <x v="28"/>
          </reference>
          <reference field="7" count="1" selected="0">
            <x v="126"/>
          </reference>
          <reference field="8" count="1">
            <x v="941"/>
          </reference>
        </references>
      </pivotArea>
    </format>
    <format dxfId="4986">
      <pivotArea dataOnly="0" labelOnly="1" fieldPosition="0">
        <references count="5">
          <reference field="1" count="1" selected="0">
            <x v="44"/>
          </reference>
          <reference field="5" count="1" selected="0">
            <x v="15"/>
          </reference>
          <reference field="6" count="1" selected="0">
            <x v="8"/>
          </reference>
          <reference field="7" count="1" selected="0">
            <x v="127"/>
          </reference>
          <reference field="8" count="1">
            <x v="654"/>
          </reference>
        </references>
      </pivotArea>
    </format>
    <format dxfId="4985">
      <pivotArea dataOnly="0" labelOnly="1" fieldPosition="0">
        <references count="5">
          <reference field="1" count="1" selected="0">
            <x v="44"/>
          </reference>
          <reference field="5" count="1" selected="0">
            <x v="19"/>
          </reference>
          <reference field="6" count="1" selected="0">
            <x v="6"/>
          </reference>
          <reference field="7" count="1" selected="0">
            <x v="127"/>
          </reference>
          <reference field="8" count="1">
            <x v="911"/>
          </reference>
        </references>
      </pivotArea>
    </format>
    <format dxfId="4984">
      <pivotArea dataOnly="0" labelOnly="1" fieldPosition="0">
        <references count="5">
          <reference field="1" count="1" selected="0">
            <x v="44"/>
          </reference>
          <reference field="5" count="1" selected="0">
            <x v="35"/>
          </reference>
          <reference field="6" count="1" selected="0">
            <x v="1"/>
          </reference>
          <reference field="7" count="1" selected="0">
            <x v="127"/>
          </reference>
          <reference field="8" count="2">
            <x v="80"/>
            <x v="213"/>
          </reference>
        </references>
      </pivotArea>
    </format>
    <format dxfId="4983">
      <pivotArea dataOnly="0" labelOnly="1" fieldPosition="0">
        <references count="5">
          <reference field="1" count="1" selected="0">
            <x v="45"/>
          </reference>
          <reference field="5" count="1" selected="0">
            <x v="0"/>
          </reference>
          <reference field="6" count="1" selected="0">
            <x v="12"/>
          </reference>
          <reference field="7" count="1" selected="0">
            <x v="21"/>
          </reference>
          <reference field="8" count="1">
            <x v="69"/>
          </reference>
        </references>
      </pivotArea>
    </format>
    <format dxfId="4982">
      <pivotArea dataOnly="0" labelOnly="1" fieldPosition="0">
        <references count="5">
          <reference field="1" count="1" selected="0">
            <x v="46"/>
          </reference>
          <reference field="5" count="1" selected="0">
            <x v="0"/>
          </reference>
          <reference field="6" count="1" selected="0">
            <x v="8"/>
          </reference>
          <reference field="7" count="1" selected="0">
            <x v="128"/>
          </reference>
          <reference field="8" count="3">
            <x v="156"/>
            <x v="700"/>
            <x v="964"/>
          </reference>
        </references>
      </pivotArea>
    </format>
    <format dxfId="4981">
      <pivotArea dataOnly="0" labelOnly="1" fieldPosition="0">
        <references count="5">
          <reference field="1" count="1" selected="0">
            <x v="46"/>
          </reference>
          <reference field="5" count="1" selected="0">
            <x v="0"/>
          </reference>
          <reference field="6" count="1" selected="0">
            <x v="9"/>
          </reference>
          <reference field="7" count="1" selected="0">
            <x v="128"/>
          </reference>
          <reference field="8" count="5">
            <x v="210"/>
            <x v="396"/>
            <x v="798"/>
            <x v="818"/>
            <x v="858"/>
          </reference>
        </references>
      </pivotArea>
    </format>
    <format dxfId="4980">
      <pivotArea dataOnly="0" labelOnly="1" fieldPosition="0">
        <references count="5">
          <reference field="1" count="1" selected="0">
            <x v="46"/>
          </reference>
          <reference field="5" count="1" selected="0">
            <x v="0"/>
          </reference>
          <reference field="6" count="1" selected="0">
            <x v="12"/>
          </reference>
          <reference field="7" count="1" selected="0">
            <x v="39"/>
          </reference>
          <reference field="8" count="1">
            <x v="180"/>
          </reference>
        </references>
      </pivotArea>
    </format>
    <format dxfId="4979">
      <pivotArea dataOnly="0" labelOnly="1" fieldPosition="0">
        <references count="5">
          <reference field="1" count="1" selected="0">
            <x v="46"/>
          </reference>
          <reference field="5" count="1" selected="0">
            <x v="0"/>
          </reference>
          <reference field="6" count="1" selected="0">
            <x v="12"/>
          </reference>
          <reference field="7" count="1" selected="0">
            <x v="50"/>
          </reference>
          <reference field="8" count="1">
            <x v="248"/>
          </reference>
        </references>
      </pivotArea>
    </format>
    <format dxfId="4978">
      <pivotArea dataOnly="0" labelOnly="1" fieldPosition="0">
        <references count="5">
          <reference field="1" count="1" selected="0">
            <x v="46"/>
          </reference>
          <reference field="5" count="1" selected="0">
            <x v="2"/>
          </reference>
          <reference field="6" count="1" selected="0">
            <x v="8"/>
          </reference>
          <reference field="7" count="1" selected="0">
            <x v="128"/>
          </reference>
          <reference field="8" count="1">
            <x v="910"/>
          </reference>
        </references>
      </pivotArea>
    </format>
    <format dxfId="4977">
      <pivotArea dataOnly="0" labelOnly="1" fieldPosition="0">
        <references count="5">
          <reference field="1" count="1" selected="0">
            <x v="46"/>
          </reference>
          <reference field="5" count="1" selected="0">
            <x v="11"/>
          </reference>
          <reference field="6" count="1" selected="0">
            <x v="8"/>
          </reference>
          <reference field="7" count="1" selected="0">
            <x v="128"/>
          </reference>
          <reference field="8" count="1">
            <x v="591"/>
          </reference>
        </references>
      </pivotArea>
    </format>
    <format dxfId="4976">
      <pivotArea dataOnly="0" labelOnly="1" fieldPosition="0">
        <references count="5">
          <reference field="1" count="1" selected="0">
            <x v="46"/>
          </reference>
          <reference field="5" count="1" selected="0">
            <x v="15"/>
          </reference>
          <reference field="6" count="1" selected="0">
            <x v="38"/>
          </reference>
          <reference field="7" count="1" selected="0">
            <x v="128"/>
          </reference>
          <reference field="8" count="1">
            <x v="1274"/>
          </reference>
        </references>
      </pivotArea>
    </format>
    <format dxfId="4975">
      <pivotArea dataOnly="0" labelOnly="1" fieldPosition="0">
        <references count="5">
          <reference field="1" count="1" selected="0">
            <x v="46"/>
          </reference>
          <reference field="5" count="1" selected="0">
            <x v="19"/>
          </reference>
          <reference field="6" count="1" selected="0">
            <x v="37"/>
          </reference>
          <reference field="7" count="1" selected="0">
            <x v="128"/>
          </reference>
          <reference field="8" count="1">
            <x v="445"/>
          </reference>
        </references>
      </pivotArea>
    </format>
    <format dxfId="4974">
      <pivotArea dataOnly="0" labelOnly="1" fieldPosition="0">
        <references count="5">
          <reference field="1" count="1" selected="0">
            <x v="46"/>
          </reference>
          <reference field="5" count="1" selected="0">
            <x v="21"/>
          </reference>
          <reference field="6" count="1" selected="0">
            <x v="38"/>
          </reference>
          <reference field="7" count="1" selected="0">
            <x v="128"/>
          </reference>
          <reference field="8" count="1">
            <x v="1274"/>
          </reference>
        </references>
      </pivotArea>
    </format>
    <format dxfId="4973">
      <pivotArea dataOnly="0" labelOnly="1" fieldPosition="0">
        <references count="5">
          <reference field="1" count="1" selected="0">
            <x v="46"/>
          </reference>
          <reference field="5" count="1" selected="0">
            <x v="23"/>
          </reference>
          <reference field="6" count="1" selected="0">
            <x v="38"/>
          </reference>
          <reference field="7" count="1" selected="0">
            <x v="128"/>
          </reference>
          <reference field="8" count="1">
            <x v="1853"/>
          </reference>
        </references>
      </pivotArea>
    </format>
    <format dxfId="4972">
      <pivotArea dataOnly="0" labelOnly="1" fieldPosition="0">
        <references count="5">
          <reference field="1" count="1" selected="0">
            <x v="46"/>
          </reference>
          <reference field="5" count="1" selected="0">
            <x v="35"/>
          </reference>
          <reference field="6" count="1" selected="0">
            <x v="37"/>
          </reference>
          <reference field="7" count="1" selected="0">
            <x v="128"/>
          </reference>
          <reference field="8" count="2">
            <x v="1245"/>
            <x v="1325"/>
          </reference>
        </references>
      </pivotArea>
    </format>
    <format dxfId="4971">
      <pivotArea dataOnly="0" labelOnly="1" fieldPosition="0">
        <references count="5">
          <reference field="1" count="1" selected="0">
            <x v="47"/>
          </reference>
          <reference field="5" count="1" selected="0">
            <x v="0"/>
          </reference>
          <reference field="6" count="1" selected="0">
            <x v="12"/>
          </reference>
          <reference field="7" count="1" selected="0">
            <x v="36"/>
          </reference>
          <reference field="8" count="1">
            <x v="748"/>
          </reference>
        </references>
      </pivotArea>
    </format>
    <format dxfId="4970">
      <pivotArea dataOnly="0" labelOnly="1" fieldPosition="0">
        <references count="5">
          <reference field="1" count="1" selected="0">
            <x v="48"/>
          </reference>
          <reference field="5" count="1" selected="0">
            <x v="6"/>
          </reference>
          <reference field="6" count="1" selected="0">
            <x v="37"/>
          </reference>
          <reference field="7" count="1" selected="0">
            <x v="129"/>
          </reference>
          <reference field="8" count="1">
            <x v="1369"/>
          </reference>
        </references>
      </pivotArea>
    </format>
    <format dxfId="4969">
      <pivotArea dataOnly="0" labelOnly="1" fieldPosition="0">
        <references count="5">
          <reference field="1" count="1" selected="0">
            <x v="48"/>
          </reference>
          <reference field="5" count="1" selected="0">
            <x v="8"/>
          </reference>
          <reference field="6" count="1" selected="0">
            <x v="37"/>
          </reference>
          <reference field="7" count="1" selected="0">
            <x v="129"/>
          </reference>
          <reference field="8" count="1">
            <x v="1306"/>
          </reference>
        </references>
      </pivotArea>
    </format>
    <format dxfId="4968">
      <pivotArea dataOnly="0" labelOnly="1" fieldPosition="0">
        <references count="5">
          <reference field="1" count="1" selected="0">
            <x v="48"/>
          </reference>
          <reference field="5" count="1" selected="0">
            <x v="12"/>
          </reference>
          <reference field="6" count="1" selected="0">
            <x v="1"/>
          </reference>
          <reference field="7" count="1" selected="0">
            <x v="129"/>
          </reference>
          <reference field="8" count="7">
            <x v="80"/>
            <x v="213"/>
            <x v="352"/>
            <x v="607"/>
            <x v="702"/>
            <x v="846"/>
            <x v="1199"/>
          </reference>
        </references>
      </pivotArea>
    </format>
    <format dxfId="4967">
      <pivotArea dataOnly="0" labelOnly="1" fieldPosition="0">
        <references count="5">
          <reference field="1" count="1" selected="0">
            <x v="48"/>
          </reference>
          <reference field="5" count="1" selected="0">
            <x v="19"/>
          </reference>
          <reference field="6" count="1" selected="0">
            <x v="37"/>
          </reference>
          <reference field="7" count="1" selected="0">
            <x v="129"/>
          </reference>
          <reference field="8" count="1">
            <x v="641"/>
          </reference>
        </references>
      </pivotArea>
    </format>
    <format dxfId="4966">
      <pivotArea dataOnly="0" labelOnly="1" fieldPosition="0">
        <references count="5">
          <reference field="1" count="1" selected="0">
            <x v="48"/>
          </reference>
          <reference field="5" count="1" selected="0">
            <x v="23"/>
          </reference>
          <reference field="6" count="1" selected="0">
            <x v="6"/>
          </reference>
          <reference field="7" count="1" selected="0">
            <x v="129"/>
          </reference>
          <reference field="8" count="1">
            <x v="1028"/>
          </reference>
        </references>
      </pivotArea>
    </format>
    <format dxfId="4965">
      <pivotArea dataOnly="0" labelOnly="1" fieldPosition="0">
        <references count="5">
          <reference field="1" count="1" selected="0">
            <x v="48"/>
          </reference>
          <reference field="5" count="1" selected="0">
            <x v="23"/>
          </reference>
          <reference field="6" count="1" selected="0">
            <x v="37"/>
          </reference>
          <reference field="7" count="1" selected="0">
            <x v="129"/>
          </reference>
          <reference field="8" count="1">
            <x v="301"/>
          </reference>
        </references>
      </pivotArea>
    </format>
    <format dxfId="4964">
      <pivotArea dataOnly="0" labelOnly="1" fieldPosition="0">
        <references count="5">
          <reference field="1" count="1" selected="0">
            <x v="48"/>
          </reference>
          <reference field="5" count="1" selected="0">
            <x v="35"/>
          </reference>
          <reference field="6" count="1" selected="0">
            <x v="1"/>
          </reference>
          <reference field="7" count="1" selected="0">
            <x v="129"/>
          </reference>
          <reference field="8" count="1">
            <x v="213"/>
          </reference>
        </references>
      </pivotArea>
    </format>
    <format dxfId="4963">
      <pivotArea dataOnly="0" labelOnly="1" fieldPosition="0">
        <references count="5">
          <reference field="1" count="1" selected="0">
            <x v="48"/>
          </reference>
          <reference field="5" count="1" selected="0">
            <x v="36"/>
          </reference>
          <reference field="6" count="1" selected="0">
            <x v="6"/>
          </reference>
          <reference field="7" count="1" selected="0">
            <x v="129"/>
          </reference>
          <reference field="8" count="1">
            <x v="274"/>
          </reference>
        </references>
      </pivotArea>
    </format>
    <format dxfId="4962">
      <pivotArea dataOnly="0" labelOnly="1" fieldPosition="0">
        <references count="5">
          <reference field="1" count="1" selected="0">
            <x v="49"/>
          </reference>
          <reference field="5" count="1" selected="0">
            <x v="0"/>
          </reference>
          <reference field="6" count="1" selected="0">
            <x v="6"/>
          </reference>
          <reference field="7" count="1" selected="0">
            <x v="130"/>
          </reference>
          <reference field="8" count="1">
            <x v="248"/>
          </reference>
        </references>
      </pivotArea>
    </format>
    <format dxfId="4961">
      <pivotArea dataOnly="0" labelOnly="1" fieldPosition="0">
        <references count="5">
          <reference field="1" count="1" selected="0">
            <x v="49"/>
          </reference>
          <reference field="5" count="1" selected="0">
            <x v="0"/>
          </reference>
          <reference field="6" count="1" selected="0">
            <x v="8"/>
          </reference>
          <reference field="7" count="1" selected="0">
            <x v="130"/>
          </reference>
          <reference field="8" count="2">
            <x v="351"/>
            <x v="809"/>
          </reference>
        </references>
      </pivotArea>
    </format>
    <format dxfId="4960">
      <pivotArea dataOnly="0" labelOnly="1" fieldPosition="0">
        <references count="5">
          <reference field="1" count="1" selected="0">
            <x v="49"/>
          </reference>
          <reference field="5" count="1" selected="0">
            <x v="0"/>
          </reference>
          <reference field="6" count="1" selected="0">
            <x v="9"/>
          </reference>
          <reference field="7" count="1" selected="0">
            <x v="130"/>
          </reference>
          <reference field="8" count="4">
            <x v="552"/>
            <x v="576"/>
            <x v="836"/>
            <x v="1018"/>
          </reference>
        </references>
      </pivotArea>
    </format>
    <format dxfId="4959">
      <pivotArea dataOnly="0" labelOnly="1" fieldPosition="0">
        <references count="5">
          <reference field="1" count="1" selected="0">
            <x v="49"/>
          </reference>
          <reference field="5" count="1" selected="0">
            <x v="0"/>
          </reference>
          <reference field="6" count="1" selected="0">
            <x v="12"/>
          </reference>
          <reference field="7" count="1" selected="0">
            <x v="18"/>
          </reference>
          <reference field="8" count="1">
            <x v="20"/>
          </reference>
        </references>
      </pivotArea>
    </format>
    <format dxfId="4958">
      <pivotArea dataOnly="0" labelOnly="1" fieldPosition="0">
        <references count="5">
          <reference field="1" count="1" selected="0">
            <x v="49"/>
          </reference>
          <reference field="5" count="1" selected="0">
            <x v="0"/>
          </reference>
          <reference field="6" count="1" selected="0">
            <x v="12"/>
          </reference>
          <reference field="7" count="1" selected="0">
            <x v="48"/>
          </reference>
          <reference field="8" count="1">
            <x v="18"/>
          </reference>
        </references>
      </pivotArea>
    </format>
    <format dxfId="4957">
      <pivotArea dataOnly="0" labelOnly="1" fieldPosition="0">
        <references count="5">
          <reference field="1" count="1" selected="0">
            <x v="49"/>
          </reference>
          <reference field="5" count="1" selected="0">
            <x v="0"/>
          </reference>
          <reference field="6" count="1" selected="0">
            <x v="12"/>
          </reference>
          <reference field="7" count="1" selected="0">
            <x v="58"/>
          </reference>
          <reference field="8" count="1">
            <x v="6"/>
          </reference>
        </references>
      </pivotArea>
    </format>
    <format dxfId="4956">
      <pivotArea dataOnly="0" labelOnly="1" fieldPosition="0">
        <references count="5">
          <reference field="1" count="1" selected="0">
            <x v="49"/>
          </reference>
          <reference field="5" count="1" selected="0">
            <x v="7"/>
          </reference>
          <reference field="6" count="1" selected="0">
            <x v="8"/>
          </reference>
          <reference field="7" count="1" selected="0">
            <x v="130"/>
          </reference>
          <reference field="8" count="1">
            <x v="782"/>
          </reference>
        </references>
      </pivotArea>
    </format>
    <format dxfId="4955">
      <pivotArea dataOnly="0" labelOnly="1" fieldPosition="0">
        <references count="5">
          <reference field="1" count="1" selected="0">
            <x v="49"/>
          </reference>
          <reference field="5" count="1" selected="0">
            <x v="7"/>
          </reference>
          <reference field="6" count="1" selected="0">
            <x v="10"/>
          </reference>
          <reference field="7" count="1" selected="0">
            <x v="130"/>
          </reference>
          <reference field="8" count="1">
            <x v="607"/>
          </reference>
        </references>
      </pivotArea>
    </format>
    <format dxfId="4954">
      <pivotArea dataOnly="0" labelOnly="1" fieldPosition="0">
        <references count="5">
          <reference field="1" count="1" selected="0">
            <x v="49"/>
          </reference>
          <reference field="5" count="1" selected="0">
            <x v="12"/>
          </reference>
          <reference field="6" count="1" selected="0">
            <x v="1"/>
          </reference>
          <reference field="7" count="1" selected="0">
            <x v="130"/>
          </reference>
          <reference field="8" count="3">
            <x v="500"/>
            <x v="846"/>
            <x v="964"/>
          </reference>
        </references>
      </pivotArea>
    </format>
    <format dxfId="4953">
      <pivotArea dataOnly="0" labelOnly="1" fieldPosition="0">
        <references count="5">
          <reference field="1" count="1" selected="0">
            <x v="49"/>
          </reference>
          <reference field="5" count="1" selected="0">
            <x v="15"/>
          </reference>
          <reference field="6" count="1" selected="0">
            <x v="37"/>
          </reference>
          <reference field="7" count="1" selected="0">
            <x v="130"/>
          </reference>
          <reference field="8" count="1">
            <x v="1367"/>
          </reference>
        </references>
      </pivotArea>
    </format>
    <format dxfId="4952">
      <pivotArea dataOnly="0" labelOnly="1" fieldPosition="0">
        <references count="5">
          <reference field="1" count="1" selected="0">
            <x v="49"/>
          </reference>
          <reference field="5" count="1" selected="0">
            <x v="21"/>
          </reference>
          <reference field="6" count="1" selected="0">
            <x v="37"/>
          </reference>
          <reference field="7" count="1" selected="0">
            <x v="130"/>
          </reference>
          <reference field="8" count="1">
            <x v="755"/>
          </reference>
        </references>
      </pivotArea>
    </format>
    <format dxfId="4951">
      <pivotArea dataOnly="0" labelOnly="1" fieldPosition="0">
        <references count="5">
          <reference field="1" count="1" selected="0">
            <x v="49"/>
          </reference>
          <reference field="5" count="1" selected="0">
            <x v="27"/>
          </reference>
          <reference field="6" count="1" selected="0">
            <x v="6"/>
          </reference>
          <reference field="7" count="1" selected="0">
            <x v="130"/>
          </reference>
          <reference field="8" count="1">
            <x v="1442"/>
          </reference>
        </references>
      </pivotArea>
    </format>
    <format dxfId="4950">
      <pivotArea dataOnly="0" labelOnly="1" fieldPosition="0">
        <references count="5">
          <reference field="1" count="1" selected="0">
            <x v="49"/>
          </reference>
          <reference field="5" count="1" selected="0">
            <x v="27"/>
          </reference>
          <reference field="6" count="1" selected="0">
            <x v="37"/>
          </reference>
          <reference field="7" count="1" selected="0">
            <x v="130"/>
          </reference>
          <reference field="8" count="1">
            <x v="1335"/>
          </reference>
        </references>
      </pivotArea>
    </format>
    <format dxfId="4949">
      <pivotArea dataOnly="0" labelOnly="1" fieldPosition="0">
        <references count="5">
          <reference field="1" count="1" selected="0">
            <x v="49"/>
          </reference>
          <reference field="5" count="1" selected="0">
            <x v="35"/>
          </reference>
          <reference field="6" count="1" selected="0">
            <x v="1"/>
          </reference>
          <reference field="7" count="1" selected="0">
            <x v="130"/>
          </reference>
          <reference field="8" count="1">
            <x v="80"/>
          </reference>
        </references>
      </pivotArea>
    </format>
    <format dxfId="4948">
      <pivotArea dataOnly="0" labelOnly="1" fieldPosition="0">
        <references count="5">
          <reference field="1" count="1" selected="0">
            <x v="50"/>
          </reference>
          <reference field="5" count="1" selected="0">
            <x v="0"/>
          </reference>
          <reference field="6" count="1" selected="0">
            <x v="6"/>
          </reference>
          <reference field="7" count="1" selected="0">
            <x v="131"/>
          </reference>
          <reference field="8" count="1">
            <x v="366"/>
          </reference>
        </references>
      </pivotArea>
    </format>
    <format dxfId="4947">
      <pivotArea dataOnly="0" labelOnly="1" fieldPosition="0">
        <references count="5">
          <reference field="1" count="1" selected="0">
            <x v="50"/>
          </reference>
          <reference field="5" count="1" selected="0">
            <x v="0"/>
          </reference>
          <reference field="6" count="1" selected="0">
            <x v="12"/>
          </reference>
          <reference field="7" count="1" selected="0">
            <x v="21"/>
          </reference>
          <reference field="8" count="1">
            <x v="194"/>
          </reference>
        </references>
      </pivotArea>
    </format>
    <format dxfId="4946">
      <pivotArea dataOnly="0" labelOnly="1" fieldPosition="0">
        <references count="5">
          <reference field="1" count="1" selected="0">
            <x v="50"/>
          </reference>
          <reference field="5" count="1" selected="0">
            <x v="0"/>
          </reference>
          <reference field="6" count="1" selected="0">
            <x v="12"/>
          </reference>
          <reference field="7" count="1" selected="0">
            <x v="32"/>
          </reference>
          <reference field="8" count="1">
            <x v="391"/>
          </reference>
        </references>
      </pivotArea>
    </format>
    <format dxfId="4945">
      <pivotArea dataOnly="0" labelOnly="1" fieldPosition="0">
        <references count="5">
          <reference field="1" count="1" selected="0">
            <x v="50"/>
          </reference>
          <reference field="5" count="1" selected="0">
            <x v="0"/>
          </reference>
          <reference field="6" count="1" selected="0">
            <x v="12"/>
          </reference>
          <reference field="7" count="1" selected="0">
            <x v="47"/>
          </reference>
          <reference field="8" count="1">
            <x v="23"/>
          </reference>
        </references>
      </pivotArea>
    </format>
    <format dxfId="4944">
      <pivotArea dataOnly="0" labelOnly="1" fieldPosition="0">
        <references count="5">
          <reference field="1" count="1" selected="0">
            <x v="50"/>
          </reference>
          <reference field="5" count="1" selected="0">
            <x v="0"/>
          </reference>
          <reference field="6" count="1" selected="0">
            <x v="37"/>
          </reference>
          <reference field="7" count="1" selected="0">
            <x v="131"/>
          </reference>
          <reference field="8" count="1">
            <x v="633"/>
          </reference>
        </references>
      </pivotArea>
    </format>
    <format dxfId="4943">
      <pivotArea dataOnly="0" labelOnly="1" fieldPosition="0">
        <references count="5">
          <reference field="1" count="1" selected="0">
            <x v="50"/>
          </reference>
          <reference field="5" count="1" selected="0">
            <x v="3"/>
          </reference>
          <reference field="6" count="1" selected="0">
            <x v="37"/>
          </reference>
          <reference field="7" count="1" selected="0">
            <x v="131"/>
          </reference>
          <reference field="8" count="1">
            <x v="92"/>
          </reference>
        </references>
      </pivotArea>
    </format>
    <format dxfId="4942">
      <pivotArea dataOnly="0" labelOnly="1" fieldPosition="0">
        <references count="5">
          <reference field="1" count="1" selected="0">
            <x v="50"/>
          </reference>
          <reference field="5" count="1" selected="0">
            <x v="8"/>
          </reference>
          <reference field="6" count="1" selected="0">
            <x v="37"/>
          </reference>
          <reference field="7" count="1" selected="0">
            <x v="131"/>
          </reference>
          <reference field="8" count="1">
            <x v="1081"/>
          </reference>
        </references>
      </pivotArea>
    </format>
    <format dxfId="4941">
      <pivotArea dataOnly="0" labelOnly="1" fieldPosition="0">
        <references count="5">
          <reference field="1" count="1" selected="0">
            <x v="50"/>
          </reference>
          <reference field="5" count="1" selected="0">
            <x v="12"/>
          </reference>
          <reference field="6" count="1" selected="0">
            <x v="1"/>
          </reference>
          <reference field="7" count="1" selected="0">
            <x v="131"/>
          </reference>
          <reference field="8" count="3">
            <x v="213"/>
            <x v="352"/>
            <x v="1069"/>
          </reference>
        </references>
      </pivotArea>
    </format>
    <format dxfId="4940">
      <pivotArea dataOnly="0" labelOnly="1" fieldPosition="0">
        <references count="5">
          <reference field="1" count="1" selected="0">
            <x v="50"/>
          </reference>
          <reference field="5" count="1" selected="0">
            <x v="14"/>
          </reference>
          <reference field="6" count="1" selected="0">
            <x v="37"/>
          </reference>
          <reference field="7" count="1" selected="0">
            <x v="131"/>
          </reference>
          <reference field="8" count="1">
            <x v="352"/>
          </reference>
        </references>
      </pivotArea>
    </format>
    <format dxfId="4939">
      <pivotArea dataOnly="0" labelOnly="1" fieldPosition="0">
        <references count="5">
          <reference field="1" count="1" selected="0">
            <x v="50"/>
          </reference>
          <reference field="5" count="1" selected="0">
            <x v="35"/>
          </reference>
          <reference field="6" count="1" selected="0">
            <x v="1"/>
          </reference>
          <reference field="7" count="1" selected="0">
            <x v="131"/>
          </reference>
          <reference field="8" count="1">
            <x v="213"/>
          </reference>
        </references>
      </pivotArea>
    </format>
    <format dxfId="4938">
      <pivotArea dataOnly="0" labelOnly="1" fieldPosition="0">
        <references count="5">
          <reference field="1" count="1" selected="0">
            <x v="51"/>
          </reference>
          <reference field="5" count="1" selected="0">
            <x v="0"/>
          </reference>
          <reference field="6" count="1" selected="0">
            <x v="8"/>
          </reference>
          <reference field="7" count="1" selected="0">
            <x v="133"/>
          </reference>
          <reference field="8" count="2">
            <x v="351"/>
            <x v="616"/>
          </reference>
        </references>
      </pivotArea>
    </format>
    <format dxfId="4937">
      <pivotArea dataOnly="0" labelOnly="1" fieldPosition="0">
        <references count="5">
          <reference field="1" count="1" selected="0">
            <x v="51"/>
          </reference>
          <reference field="5" count="1" selected="0">
            <x v="0"/>
          </reference>
          <reference field="6" count="1" selected="0">
            <x v="9"/>
          </reference>
          <reference field="7" count="1" selected="0">
            <x v="133"/>
          </reference>
          <reference field="8" count="3">
            <x v="300"/>
            <x v="502"/>
            <x v="553"/>
          </reference>
        </references>
      </pivotArea>
    </format>
    <format dxfId="4936">
      <pivotArea dataOnly="0" labelOnly="1" fieldPosition="0">
        <references count="5">
          <reference field="1" count="1" selected="0">
            <x v="51"/>
          </reference>
          <reference field="5" count="1" selected="0">
            <x v="0"/>
          </reference>
          <reference field="6" count="1" selected="0">
            <x v="12"/>
          </reference>
          <reference field="7" count="1" selected="0">
            <x v="50"/>
          </reference>
          <reference field="8" count="1">
            <x v="248"/>
          </reference>
        </references>
      </pivotArea>
    </format>
    <format dxfId="4935">
      <pivotArea dataOnly="0" labelOnly="1" fieldPosition="0">
        <references count="5">
          <reference field="1" count="1" selected="0">
            <x v="51"/>
          </reference>
          <reference field="5" count="1" selected="0">
            <x v="0"/>
          </reference>
          <reference field="6" count="1" selected="0">
            <x v="12"/>
          </reference>
          <reference field="7" count="1" selected="0">
            <x v="58"/>
          </reference>
          <reference field="8" count="1">
            <x v="11"/>
          </reference>
        </references>
      </pivotArea>
    </format>
    <format dxfId="4934">
      <pivotArea dataOnly="0" labelOnly="1" fieldPosition="0">
        <references count="5">
          <reference field="1" count="1" selected="0">
            <x v="51"/>
          </reference>
          <reference field="5" count="1" selected="0">
            <x v="0"/>
          </reference>
          <reference field="6" count="1" selected="0">
            <x v="18"/>
          </reference>
          <reference field="7" count="1" selected="0">
            <x v="132"/>
          </reference>
          <reference field="8" count="7">
            <x v="302"/>
            <x v="507"/>
            <x v="573"/>
            <x v="626"/>
            <x v="637"/>
            <x v="1030"/>
            <x v="1196"/>
          </reference>
        </references>
      </pivotArea>
    </format>
    <format dxfId="4933">
      <pivotArea dataOnly="0" labelOnly="1" fieldPosition="0">
        <references count="5">
          <reference field="1" count="1" selected="0">
            <x v="51"/>
          </reference>
          <reference field="5" count="1" selected="0">
            <x v="2"/>
          </reference>
          <reference field="6" count="1" selected="0">
            <x v="18"/>
          </reference>
          <reference field="7" count="1" selected="0">
            <x v="132"/>
          </reference>
          <reference field="8" count="1">
            <x v="1821"/>
          </reference>
        </references>
      </pivotArea>
    </format>
    <format dxfId="4932">
      <pivotArea dataOnly="0" labelOnly="1" fieldPosition="0">
        <references count="5">
          <reference field="1" count="1" selected="0">
            <x v="51"/>
          </reference>
          <reference field="5" count="1" selected="0">
            <x v="10"/>
          </reference>
          <reference field="6" count="1" selected="0">
            <x v="10"/>
          </reference>
          <reference field="7" count="1" selected="0">
            <x v="133"/>
          </reference>
          <reference field="8" count="1">
            <x v="1758"/>
          </reference>
        </references>
      </pivotArea>
    </format>
    <format dxfId="4931">
      <pivotArea dataOnly="0" labelOnly="1" fieldPosition="0">
        <references count="5">
          <reference field="1" count="1" selected="0">
            <x v="51"/>
          </reference>
          <reference field="5" count="1" selected="0">
            <x v="12"/>
          </reference>
          <reference field="6" count="1" selected="0">
            <x v="18"/>
          </reference>
          <reference field="7" count="1" selected="0">
            <x v="132"/>
          </reference>
          <reference field="8" count="25">
            <x v="54"/>
            <x v="95"/>
            <x v="367"/>
            <x v="468"/>
            <x v="808"/>
            <x v="1082"/>
            <x v="1120"/>
            <x v="1215"/>
            <x v="1222"/>
            <x v="1340"/>
            <x v="1371"/>
            <x v="1431"/>
            <x v="1444"/>
            <x v="1449"/>
            <x v="1457"/>
            <x v="1475"/>
            <x v="1493"/>
            <x v="1559"/>
            <x v="1630"/>
            <x v="1637"/>
            <x v="1741"/>
            <x v="1764"/>
            <x v="1786"/>
            <x v="1808"/>
            <x v="1816"/>
          </reference>
        </references>
      </pivotArea>
    </format>
    <format dxfId="4930">
      <pivotArea dataOnly="0" labelOnly="1" fieldPosition="0">
        <references count="5">
          <reference field="1" count="1" selected="0">
            <x v="51"/>
          </reference>
          <reference field="5" count="1" selected="0">
            <x v="21"/>
          </reference>
          <reference field="6" count="1" selected="0">
            <x v="18"/>
          </reference>
          <reference field="7" count="1" selected="0">
            <x v="132"/>
          </reference>
          <reference field="8" count="1">
            <x v="1501"/>
          </reference>
        </references>
      </pivotArea>
    </format>
    <format dxfId="4929">
      <pivotArea dataOnly="0" labelOnly="1" fieldPosition="0">
        <references count="5">
          <reference field="1" count="1" selected="0">
            <x v="51"/>
          </reference>
          <reference field="5" count="1" selected="0">
            <x v="23"/>
          </reference>
          <reference field="6" count="1" selected="0">
            <x v="9"/>
          </reference>
          <reference field="7" count="1" selected="0">
            <x v="133"/>
          </reference>
          <reference field="8" count="1">
            <x v="1318"/>
          </reference>
        </references>
      </pivotArea>
    </format>
    <format dxfId="4928">
      <pivotArea dataOnly="0" labelOnly="1" fieldPosition="0">
        <references count="5">
          <reference field="1" count="1" selected="0">
            <x v="51"/>
          </reference>
          <reference field="5" count="1" selected="0">
            <x v="23"/>
          </reference>
          <reference field="6" count="1" selected="0">
            <x v="18"/>
          </reference>
          <reference field="7" count="1" selected="0">
            <x v="132"/>
          </reference>
          <reference field="8" count="1">
            <x v="1613"/>
          </reference>
        </references>
      </pivotArea>
    </format>
    <format dxfId="4927">
      <pivotArea dataOnly="0" labelOnly="1" fieldPosition="0">
        <references count="5">
          <reference field="1" count="1" selected="0">
            <x v="51"/>
          </reference>
          <reference field="5" count="1" selected="0">
            <x v="24"/>
          </reference>
          <reference field="6" count="1" selected="0">
            <x v="18"/>
          </reference>
          <reference field="7" count="1" selected="0">
            <x v="132"/>
          </reference>
          <reference field="8" count="1">
            <x v="1451"/>
          </reference>
        </references>
      </pivotArea>
    </format>
    <format dxfId="4926">
      <pivotArea dataOnly="0" labelOnly="1" fieldPosition="0">
        <references count="5">
          <reference field="1" count="1" selected="0">
            <x v="51"/>
          </reference>
          <reference field="5" count="1" selected="0">
            <x v="27"/>
          </reference>
          <reference field="6" count="1" selected="0">
            <x v="18"/>
          </reference>
          <reference field="7" count="1" selected="0">
            <x v="132"/>
          </reference>
          <reference field="8" count="1">
            <x v="1020"/>
          </reference>
        </references>
      </pivotArea>
    </format>
    <format dxfId="4925">
      <pivotArea dataOnly="0" labelOnly="1" fieldPosition="0">
        <references count="5">
          <reference field="1" count="1" selected="0">
            <x v="51"/>
          </reference>
          <reference field="5" count="1" selected="0">
            <x v="32"/>
          </reference>
          <reference field="6" count="1" selected="0">
            <x v="37"/>
          </reference>
          <reference field="7" count="1" selected="0">
            <x v="133"/>
          </reference>
          <reference field="8" count="1">
            <x v="1274"/>
          </reference>
        </references>
      </pivotArea>
    </format>
    <format dxfId="4924">
      <pivotArea dataOnly="0" labelOnly="1" fieldPosition="0">
        <references count="5">
          <reference field="1" count="1" selected="0">
            <x v="51"/>
          </reference>
          <reference field="5" count="1" selected="0">
            <x v="35"/>
          </reference>
          <reference field="6" count="1" selected="0">
            <x v="18"/>
          </reference>
          <reference field="7" count="1" selected="0">
            <x v="132"/>
          </reference>
          <reference field="8" count="12">
            <x v="142"/>
            <x v="146"/>
            <x v="184"/>
            <x v="211"/>
            <x v="246"/>
            <x v="290"/>
            <x v="407"/>
            <x v="436"/>
            <x v="590"/>
            <x v="703"/>
            <x v="713"/>
            <x v="822"/>
          </reference>
        </references>
      </pivotArea>
    </format>
    <format dxfId="4923">
      <pivotArea dataOnly="0" labelOnly="1" fieldPosition="0">
        <references count="5">
          <reference field="1" count="1" selected="0">
            <x v="52"/>
          </reference>
          <reference field="5" count="1" selected="0">
            <x v="0"/>
          </reference>
          <reference field="6" count="1" selected="0">
            <x v="8"/>
          </reference>
          <reference field="7" count="1" selected="0">
            <x v="134"/>
          </reference>
          <reference field="8" count="1">
            <x v="0"/>
          </reference>
        </references>
      </pivotArea>
    </format>
    <format dxfId="4922">
      <pivotArea dataOnly="0" labelOnly="1" fieldPosition="0">
        <references count="5">
          <reference field="1" count="1" selected="0">
            <x v="52"/>
          </reference>
          <reference field="5" count="1" selected="0">
            <x v="0"/>
          </reference>
          <reference field="6" count="1" selected="0">
            <x v="12"/>
          </reference>
          <reference field="7" count="1" selected="0">
            <x v="17"/>
          </reference>
          <reference field="8" count="1">
            <x v="29"/>
          </reference>
        </references>
      </pivotArea>
    </format>
    <format dxfId="4921">
      <pivotArea dataOnly="0" labelOnly="1" fieldPosition="0">
        <references count="5">
          <reference field="1" count="1" selected="0">
            <x v="52"/>
          </reference>
          <reference field="5" count="1" selected="0">
            <x v="0"/>
          </reference>
          <reference field="6" count="1" selected="0">
            <x v="12"/>
          </reference>
          <reference field="7" count="1" selected="0">
            <x v="50"/>
          </reference>
          <reference field="8" count="1">
            <x v="248"/>
          </reference>
        </references>
      </pivotArea>
    </format>
    <format dxfId="4920">
      <pivotArea dataOnly="0" labelOnly="1" fieldPosition="0">
        <references count="5">
          <reference field="1" count="1" selected="0">
            <x v="52"/>
          </reference>
          <reference field="5" count="1" selected="0">
            <x v="0"/>
          </reference>
          <reference field="6" count="1" selected="0">
            <x v="12"/>
          </reference>
          <reference field="7" count="1" selected="0">
            <x v="58"/>
          </reference>
          <reference field="8" count="1">
            <x v="6"/>
          </reference>
        </references>
      </pivotArea>
    </format>
    <format dxfId="4919">
      <pivotArea dataOnly="0" labelOnly="1" fieldPosition="0">
        <references count="5">
          <reference field="1" count="1" selected="0">
            <x v="52"/>
          </reference>
          <reference field="5" count="1" selected="0">
            <x v="0"/>
          </reference>
          <reference field="6" count="1" selected="0">
            <x v="12"/>
          </reference>
          <reference field="7" count="1" selected="0">
            <x v="60"/>
          </reference>
          <reference field="8" count="1">
            <x v="9"/>
          </reference>
        </references>
      </pivotArea>
    </format>
    <format dxfId="4918">
      <pivotArea dataOnly="0" labelOnly="1" fieldPosition="0">
        <references count="5">
          <reference field="1" count="1" selected="0">
            <x v="52"/>
          </reference>
          <reference field="5" count="1" selected="0">
            <x v="3"/>
          </reference>
          <reference field="6" count="1" selected="0">
            <x v="37"/>
          </reference>
          <reference field="7" count="1" selected="0">
            <x v="134"/>
          </reference>
          <reference field="8" count="1">
            <x v="322"/>
          </reference>
        </references>
      </pivotArea>
    </format>
    <format dxfId="4917">
      <pivotArea dataOnly="0" labelOnly="1" fieldPosition="0">
        <references count="5">
          <reference field="1" count="1" selected="0">
            <x v="52"/>
          </reference>
          <reference field="5" count="1" selected="0">
            <x v="6"/>
          </reference>
          <reference field="6" count="1" selected="0">
            <x v="37"/>
          </reference>
          <reference field="7" count="1" selected="0">
            <x v="134"/>
          </reference>
          <reference field="8" count="1">
            <x v="1051"/>
          </reference>
        </references>
      </pivotArea>
    </format>
    <format dxfId="4916">
      <pivotArea dataOnly="0" labelOnly="1" fieldPosition="0">
        <references count="5">
          <reference field="1" count="1" selected="0">
            <x v="52"/>
          </reference>
          <reference field="5" count="1" selected="0">
            <x v="10"/>
          </reference>
          <reference field="6" count="1" selected="0">
            <x v="33"/>
          </reference>
          <reference field="7" count="1" selected="0">
            <x v="134"/>
          </reference>
          <reference field="8" count="1">
            <x v="1197"/>
          </reference>
        </references>
      </pivotArea>
    </format>
    <format dxfId="4915">
      <pivotArea dataOnly="0" labelOnly="1" fieldPosition="0">
        <references count="5">
          <reference field="1" count="1" selected="0">
            <x v="52"/>
          </reference>
          <reference field="5" count="1" selected="0">
            <x v="12"/>
          </reference>
          <reference field="6" count="1" selected="0">
            <x v="1"/>
          </reference>
          <reference field="7" count="1" selected="0">
            <x v="134"/>
          </reference>
          <reference field="8" count="6">
            <x v="80"/>
            <x v="213"/>
            <x v="352"/>
            <x v="607"/>
            <x v="771"/>
            <x v="964"/>
          </reference>
        </references>
      </pivotArea>
    </format>
    <format dxfId="4914">
      <pivotArea dataOnly="0" labelOnly="1" fieldPosition="0">
        <references count="5">
          <reference field="1" count="1" selected="0">
            <x v="52"/>
          </reference>
          <reference field="5" count="1" selected="0">
            <x v="12"/>
          </reference>
          <reference field="6" count="1" selected="0">
            <x v="37"/>
          </reference>
          <reference field="7" count="1" selected="0">
            <x v="134"/>
          </reference>
          <reference field="8" count="1">
            <x v="1244"/>
          </reference>
        </references>
      </pivotArea>
    </format>
    <format dxfId="4913">
      <pivotArea dataOnly="0" labelOnly="1" fieldPosition="0">
        <references count="5">
          <reference field="1" count="1" selected="0">
            <x v="52"/>
          </reference>
          <reference field="5" count="1" selected="0">
            <x v="21"/>
          </reference>
          <reference field="6" count="1" selected="0">
            <x v="37"/>
          </reference>
          <reference field="7" count="1" selected="0">
            <x v="134"/>
          </reference>
          <reference field="8" count="1">
            <x v="80"/>
          </reference>
        </references>
      </pivotArea>
    </format>
    <format dxfId="4912">
      <pivotArea dataOnly="0" labelOnly="1" fieldPosition="0">
        <references count="5">
          <reference field="1" count="1" selected="0">
            <x v="52"/>
          </reference>
          <reference field="5" count="1" selected="0">
            <x v="23"/>
          </reference>
          <reference field="6" count="1" selected="0">
            <x v="37"/>
          </reference>
          <reference field="7" count="1" selected="0">
            <x v="134"/>
          </reference>
          <reference field="8" count="1">
            <x v="43"/>
          </reference>
        </references>
      </pivotArea>
    </format>
    <format dxfId="4911">
      <pivotArea dataOnly="0" labelOnly="1" fieldPosition="0">
        <references count="5">
          <reference field="1" count="1" selected="0">
            <x v="52"/>
          </reference>
          <reference field="5" count="1" selected="0">
            <x v="35"/>
          </reference>
          <reference field="6" count="1" selected="0">
            <x v="1"/>
          </reference>
          <reference field="7" count="1" selected="0">
            <x v="134"/>
          </reference>
          <reference field="8" count="1">
            <x v="80"/>
          </reference>
        </references>
      </pivotArea>
    </format>
    <format dxfId="4910">
      <pivotArea dataOnly="0" labelOnly="1" fieldPosition="0">
        <references count="5">
          <reference field="1" count="1" selected="0">
            <x v="52"/>
          </reference>
          <reference field="5" count="1" selected="0">
            <x v="35"/>
          </reference>
          <reference field="6" count="1" selected="0">
            <x v="37"/>
          </reference>
          <reference field="7" count="1" selected="0">
            <x v="134"/>
          </reference>
          <reference field="8" count="1">
            <x v="51"/>
          </reference>
        </references>
      </pivotArea>
    </format>
    <format dxfId="4909">
      <pivotArea dataOnly="0" labelOnly="1" fieldPosition="0">
        <references count="5">
          <reference field="1" count="1" selected="0">
            <x v="53"/>
          </reference>
          <reference field="5" count="1" selected="0">
            <x v="0"/>
          </reference>
          <reference field="6" count="1" selected="0">
            <x v="1"/>
          </reference>
          <reference field="7" count="1" selected="0">
            <x v="136"/>
          </reference>
          <reference field="8" count="1">
            <x v="80"/>
          </reference>
        </references>
      </pivotArea>
    </format>
    <format dxfId="4908">
      <pivotArea dataOnly="0" labelOnly="1" fieldPosition="0">
        <references count="5">
          <reference field="1" count="1" selected="0">
            <x v="53"/>
          </reference>
          <reference field="5" count="1" selected="0">
            <x v="0"/>
          </reference>
          <reference field="6" count="1" selected="0">
            <x v="8"/>
          </reference>
          <reference field="7" count="1" selected="0">
            <x v="136"/>
          </reference>
          <reference field="8" count="5">
            <x v="209"/>
            <x v="578"/>
            <x v="694"/>
            <x v="1289"/>
            <x v="1470"/>
          </reference>
        </references>
      </pivotArea>
    </format>
    <format dxfId="4907">
      <pivotArea dataOnly="0" labelOnly="1" fieldPosition="0">
        <references count="5">
          <reference field="1" count="1" selected="0">
            <x v="53"/>
          </reference>
          <reference field="5" count="1" selected="0">
            <x v="0"/>
          </reference>
          <reference field="6" count="1" selected="0">
            <x v="9"/>
          </reference>
          <reference field="7" count="1" selected="0">
            <x v="136"/>
          </reference>
          <reference field="8" count="5">
            <x v="248"/>
            <x v="277"/>
            <x v="404"/>
            <x v="726"/>
            <x v="1145"/>
          </reference>
        </references>
      </pivotArea>
    </format>
    <format dxfId="4906">
      <pivotArea dataOnly="0" labelOnly="1" fieldPosition="0">
        <references count="5">
          <reference field="1" count="1" selected="0">
            <x v="53"/>
          </reference>
          <reference field="5" count="1" selected="0">
            <x v="0"/>
          </reference>
          <reference field="6" count="1" selected="0">
            <x v="12"/>
          </reference>
          <reference field="7" count="1" selected="0">
            <x v="48"/>
          </reference>
          <reference field="8" count="1">
            <x v="6"/>
          </reference>
        </references>
      </pivotArea>
    </format>
    <format dxfId="4905">
      <pivotArea dataOnly="0" labelOnly="1" fieldPosition="0">
        <references count="5">
          <reference field="1" count="1" selected="0">
            <x v="53"/>
          </reference>
          <reference field="5" count="1" selected="0">
            <x v="0"/>
          </reference>
          <reference field="6" count="1" selected="0">
            <x v="12"/>
          </reference>
          <reference field="7" count="1" selected="0">
            <x v="55"/>
          </reference>
          <reference field="8" count="1">
            <x v="8"/>
          </reference>
        </references>
      </pivotArea>
    </format>
    <format dxfId="4904">
      <pivotArea dataOnly="0" labelOnly="1" fieldPosition="0">
        <references count="5">
          <reference field="1" count="1" selected="0">
            <x v="53"/>
          </reference>
          <reference field="5" count="1" selected="0">
            <x v="0"/>
          </reference>
          <reference field="6" count="1" selected="0">
            <x v="12"/>
          </reference>
          <reference field="7" count="1" selected="0">
            <x v="62"/>
          </reference>
          <reference field="8" count="1">
            <x v="20"/>
          </reference>
        </references>
      </pivotArea>
    </format>
    <format dxfId="4903">
      <pivotArea dataOnly="0" labelOnly="1" fieldPosition="0">
        <references count="5">
          <reference field="1" count="1" selected="0">
            <x v="53"/>
          </reference>
          <reference field="5" count="1" selected="0">
            <x v="0"/>
          </reference>
          <reference field="6" count="1" selected="0">
            <x v="12"/>
          </reference>
          <reference field="7" count="1" selected="0">
            <x v="68"/>
          </reference>
          <reference field="8" count="1">
            <x v="18"/>
          </reference>
        </references>
      </pivotArea>
    </format>
    <format dxfId="4902">
      <pivotArea dataOnly="0" labelOnly="1" fieldPosition="0">
        <references count="5">
          <reference field="1" count="1" selected="0">
            <x v="53"/>
          </reference>
          <reference field="5" count="1" selected="0">
            <x v="2"/>
          </reference>
          <reference field="6" count="1" selected="0">
            <x v="1"/>
          </reference>
          <reference field="7" count="1" selected="0">
            <x v="136"/>
          </reference>
          <reference field="8" count="1">
            <x v="621"/>
          </reference>
        </references>
      </pivotArea>
    </format>
    <format dxfId="4901">
      <pivotArea dataOnly="0" labelOnly="1" fieldPosition="0">
        <references count="5">
          <reference field="1" count="1" selected="0">
            <x v="53"/>
          </reference>
          <reference field="5" count="1" selected="0">
            <x v="2"/>
          </reference>
          <reference field="6" count="1" selected="0">
            <x v="6"/>
          </reference>
          <reference field="7" count="1" selected="0">
            <x v="136"/>
          </reference>
          <reference field="8" count="1">
            <x v="632"/>
          </reference>
        </references>
      </pivotArea>
    </format>
    <format dxfId="4900">
      <pivotArea dataOnly="0" labelOnly="1" fieldPosition="0">
        <references count="5">
          <reference field="1" count="1" selected="0">
            <x v="53"/>
          </reference>
          <reference field="5" count="1" selected="0">
            <x v="2"/>
          </reference>
          <reference field="6" count="1" selected="0">
            <x v="8"/>
          </reference>
          <reference field="7" count="1" selected="0">
            <x v="136"/>
          </reference>
          <reference field="8" count="1">
            <x v="1294"/>
          </reference>
        </references>
      </pivotArea>
    </format>
    <format dxfId="4899">
      <pivotArea dataOnly="0" labelOnly="1" fieldPosition="0">
        <references count="5">
          <reference field="1" count="1" selected="0">
            <x v="53"/>
          </reference>
          <reference field="5" count="1" selected="0">
            <x v="5"/>
          </reference>
          <reference field="6" count="1" selected="0">
            <x v="1"/>
          </reference>
          <reference field="7" count="1" selected="0">
            <x v="136"/>
          </reference>
          <reference field="8" count="1">
            <x v="1176"/>
          </reference>
        </references>
      </pivotArea>
    </format>
    <format dxfId="4898">
      <pivotArea dataOnly="0" labelOnly="1" fieldPosition="0">
        <references count="5">
          <reference field="1" count="1" selected="0">
            <x v="53"/>
          </reference>
          <reference field="5" count="1" selected="0">
            <x v="6"/>
          </reference>
          <reference field="6" count="1" selected="0">
            <x v="37"/>
          </reference>
          <reference field="7" count="1" selected="0">
            <x v="136"/>
          </reference>
          <reference field="8" count="1">
            <x v="500"/>
          </reference>
        </references>
      </pivotArea>
    </format>
    <format dxfId="4897">
      <pivotArea dataOnly="0" labelOnly="1" fieldPosition="0">
        <references count="5">
          <reference field="1" count="1" selected="0">
            <x v="53"/>
          </reference>
          <reference field="5" count="1" selected="0">
            <x v="7"/>
          </reference>
          <reference field="6" count="1" selected="0">
            <x v="10"/>
          </reference>
          <reference field="7" count="1" selected="0">
            <x v="136"/>
          </reference>
          <reference field="8" count="1">
            <x v="1715"/>
          </reference>
        </references>
      </pivotArea>
    </format>
    <format dxfId="4896">
      <pivotArea dataOnly="0" labelOnly="1" fieldPosition="0">
        <references count="5">
          <reference field="1" count="1" selected="0">
            <x v="53"/>
          </reference>
          <reference field="5" count="1" selected="0">
            <x v="10"/>
          </reference>
          <reference field="6" count="1" selected="0">
            <x v="37"/>
          </reference>
          <reference field="7" count="1" selected="0">
            <x v="136"/>
          </reference>
          <reference field="8" count="1">
            <x v="1563"/>
          </reference>
        </references>
      </pivotArea>
    </format>
    <format dxfId="4895">
      <pivotArea dataOnly="0" labelOnly="1" fieldPosition="0">
        <references count="5">
          <reference field="1" count="1" selected="0">
            <x v="53"/>
          </reference>
          <reference field="5" count="1" selected="0">
            <x v="12"/>
          </reference>
          <reference field="6" count="1" selected="0">
            <x v="1"/>
          </reference>
          <reference field="7" count="1" selected="0">
            <x v="136"/>
          </reference>
          <reference field="8" count="5">
            <x v="80"/>
            <x v="213"/>
            <x v="352"/>
            <x v="500"/>
            <x v="771"/>
          </reference>
        </references>
      </pivotArea>
    </format>
    <format dxfId="4894">
      <pivotArea dataOnly="0" labelOnly="1" fieldPosition="0">
        <references count="5">
          <reference field="1" count="1" selected="0">
            <x v="53"/>
          </reference>
          <reference field="5" count="1" selected="0">
            <x v="15"/>
          </reference>
          <reference field="6" count="1" selected="0">
            <x v="1"/>
          </reference>
          <reference field="7" count="1" selected="0">
            <x v="136"/>
          </reference>
          <reference field="8" count="1">
            <x v="607"/>
          </reference>
        </references>
      </pivotArea>
    </format>
    <format dxfId="4893">
      <pivotArea dataOnly="0" labelOnly="1" fieldPosition="0">
        <references count="5">
          <reference field="1" count="1" selected="0">
            <x v="53"/>
          </reference>
          <reference field="5" count="1" selected="0">
            <x v="19"/>
          </reference>
          <reference field="6" count="1" selected="0">
            <x v="37"/>
          </reference>
          <reference field="7" count="1" selected="0">
            <x v="136"/>
          </reference>
          <reference field="8" count="1">
            <x v="1609"/>
          </reference>
        </references>
      </pivotArea>
    </format>
    <format dxfId="4892">
      <pivotArea dataOnly="0" labelOnly="1" fieldPosition="0">
        <references count="5">
          <reference field="1" count="1" selected="0">
            <x v="53"/>
          </reference>
          <reference field="5" count="1" selected="0">
            <x v="21"/>
          </reference>
          <reference field="6" count="1" selected="0">
            <x v="30"/>
          </reference>
          <reference field="7" count="1" selected="0">
            <x v="135"/>
          </reference>
          <reference field="8" count="1">
            <x v="1296"/>
          </reference>
        </references>
      </pivotArea>
    </format>
    <format dxfId="4891">
      <pivotArea dataOnly="0" labelOnly="1" fieldPosition="0">
        <references count="5">
          <reference field="1" count="1" selected="0">
            <x v="53"/>
          </reference>
          <reference field="5" count="1" selected="0">
            <x v="23"/>
          </reference>
          <reference field="6" count="1" selected="0">
            <x v="6"/>
          </reference>
          <reference field="7" count="1" selected="0">
            <x v="136"/>
          </reference>
          <reference field="8" count="1">
            <x v="158"/>
          </reference>
        </references>
      </pivotArea>
    </format>
    <format dxfId="4890">
      <pivotArea dataOnly="0" labelOnly="1" fieldPosition="0">
        <references count="5">
          <reference field="1" count="1" selected="0">
            <x v="53"/>
          </reference>
          <reference field="5" count="1" selected="0">
            <x v="26"/>
          </reference>
          <reference field="6" count="1" selected="0">
            <x v="1"/>
          </reference>
          <reference field="7" count="1" selected="0">
            <x v="136"/>
          </reference>
          <reference field="8" count="1">
            <x v="109"/>
          </reference>
        </references>
      </pivotArea>
    </format>
    <format dxfId="4889">
      <pivotArea dataOnly="0" labelOnly="1" fieldPosition="0">
        <references count="5">
          <reference field="1" count="1" selected="0">
            <x v="53"/>
          </reference>
          <reference field="5" count="1" selected="0">
            <x v="35"/>
          </reference>
          <reference field="6" count="1" selected="0">
            <x v="1"/>
          </reference>
          <reference field="7" count="1" selected="0">
            <x v="136"/>
          </reference>
          <reference field="8" count="1">
            <x v="80"/>
          </reference>
        </references>
      </pivotArea>
    </format>
    <format dxfId="4888">
      <pivotArea dataOnly="0" labelOnly="1" fieldPosition="0">
        <references count="5">
          <reference field="1" count="1" selected="0">
            <x v="54"/>
          </reference>
          <reference field="5" count="1" selected="0">
            <x v="0"/>
          </reference>
          <reference field="6" count="1" selected="0">
            <x v="8"/>
          </reference>
          <reference field="7" count="1" selected="0">
            <x v="137"/>
          </reference>
          <reference field="8" count="1">
            <x v="878"/>
          </reference>
        </references>
      </pivotArea>
    </format>
    <format dxfId="4887">
      <pivotArea dataOnly="0" labelOnly="1" fieldPosition="0">
        <references count="5">
          <reference field="1" count="1" selected="0">
            <x v="54"/>
          </reference>
          <reference field="5" count="1" selected="0">
            <x v="0"/>
          </reference>
          <reference field="6" count="1" selected="0">
            <x v="9"/>
          </reference>
          <reference field="7" count="1" selected="0">
            <x v="137"/>
          </reference>
          <reference field="8" count="2">
            <x v="513"/>
            <x v="1151"/>
          </reference>
        </references>
      </pivotArea>
    </format>
    <format dxfId="4886">
      <pivotArea dataOnly="0" labelOnly="1" fieldPosition="0">
        <references count="5">
          <reference field="1" count="1" selected="0">
            <x v="54"/>
          </reference>
          <reference field="5" count="1" selected="0">
            <x v="0"/>
          </reference>
          <reference field="6" count="1" selected="0">
            <x v="12"/>
          </reference>
          <reference field="7" count="1" selected="0">
            <x v="35"/>
          </reference>
          <reference field="8" count="1">
            <x v="9"/>
          </reference>
        </references>
      </pivotArea>
    </format>
    <format dxfId="4885">
      <pivotArea dataOnly="0" labelOnly="1" fieldPosition="0">
        <references count="5">
          <reference field="1" count="1" selected="0">
            <x v="54"/>
          </reference>
          <reference field="5" count="1" selected="0">
            <x v="0"/>
          </reference>
          <reference field="6" count="1" selected="0">
            <x v="12"/>
          </reference>
          <reference field="7" count="1" selected="0">
            <x v="47"/>
          </reference>
          <reference field="8" count="1">
            <x v="61"/>
          </reference>
        </references>
      </pivotArea>
    </format>
    <format dxfId="4884">
      <pivotArea dataOnly="0" labelOnly="1" fieldPosition="0">
        <references count="5">
          <reference field="1" count="1" selected="0">
            <x v="54"/>
          </reference>
          <reference field="5" count="1" selected="0">
            <x v="0"/>
          </reference>
          <reference field="6" count="1" selected="0">
            <x v="12"/>
          </reference>
          <reference field="7" count="1" selected="0">
            <x v="49"/>
          </reference>
          <reference field="8" count="1">
            <x v="20"/>
          </reference>
        </references>
      </pivotArea>
    </format>
    <format dxfId="4883">
      <pivotArea dataOnly="0" labelOnly="1" fieldPosition="0">
        <references count="5">
          <reference field="1" count="1" selected="0">
            <x v="54"/>
          </reference>
          <reference field="5" count="1" selected="0">
            <x v="0"/>
          </reference>
          <reference field="6" count="1" selected="0">
            <x v="12"/>
          </reference>
          <reference field="7" count="1" selected="0">
            <x v="60"/>
          </reference>
          <reference field="8" count="1">
            <x v="138"/>
          </reference>
        </references>
      </pivotArea>
    </format>
    <format dxfId="4882">
      <pivotArea dataOnly="0" labelOnly="1" fieldPosition="0">
        <references count="5">
          <reference field="1" count="1" selected="0">
            <x v="54"/>
          </reference>
          <reference field="5" count="1" selected="0">
            <x v="0"/>
          </reference>
          <reference field="6" count="1" selected="0">
            <x v="12"/>
          </reference>
          <reference field="7" count="1" selected="0">
            <x v="68"/>
          </reference>
          <reference field="8" count="1">
            <x v="18"/>
          </reference>
        </references>
      </pivotArea>
    </format>
    <format dxfId="4881">
      <pivotArea dataOnly="0" labelOnly="1" fieldPosition="0">
        <references count="5">
          <reference field="1" count="1" selected="0">
            <x v="54"/>
          </reference>
          <reference field="5" count="1" selected="0">
            <x v="0"/>
          </reference>
          <reference field="6" count="1" selected="0">
            <x v="38"/>
          </reference>
          <reference field="7" count="1" selected="0">
            <x v="137"/>
          </reference>
          <reference field="8" count="2">
            <x v="1170"/>
            <x v="1216"/>
          </reference>
        </references>
      </pivotArea>
    </format>
    <format dxfId="4880">
      <pivotArea dataOnly="0" labelOnly="1" fieldPosition="0">
        <references count="5">
          <reference field="1" count="1" selected="0">
            <x v="54"/>
          </reference>
          <reference field="5" count="1" selected="0">
            <x v="6"/>
          </reference>
          <reference field="6" count="1" selected="0">
            <x v="37"/>
          </reference>
          <reference field="7" count="1" selected="0">
            <x v="137"/>
          </reference>
          <reference field="8" count="1">
            <x v="817"/>
          </reference>
        </references>
      </pivotArea>
    </format>
    <format dxfId="4879">
      <pivotArea dataOnly="0" labelOnly="1" fieldPosition="0">
        <references count="5">
          <reference field="1" count="1" selected="0">
            <x v="54"/>
          </reference>
          <reference field="5" count="1" selected="0">
            <x v="8"/>
          </reference>
          <reference field="6" count="1" selected="0">
            <x v="37"/>
          </reference>
          <reference field="7" count="1" selected="0">
            <x v="137"/>
          </reference>
          <reference field="8" count="1">
            <x v="1094"/>
          </reference>
        </references>
      </pivotArea>
    </format>
    <format dxfId="4878">
      <pivotArea dataOnly="0" labelOnly="1" fieldPosition="0">
        <references count="5">
          <reference field="1" count="1" selected="0">
            <x v="54"/>
          </reference>
          <reference field="5" count="1" selected="0">
            <x v="12"/>
          </reference>
          <reference field="6" count="1" selected="0">
            <x v="1"/>
          </reference>
          <reference field="7" count="1" selected="0">
            <x v="137"/>
          </reference>
          <reference field="8" count="1">
            <x v="213"/>
          </reference>
        </references>
      </pivotArea>
    </format>
    <format dxfId="4877">
      <pivotArea dataOnly="0" labelOnly="1" fieldPosition="0">
        <references count="5">
          <reference field="1" count="1" selected="0">
            <x v="54"/>
          </reference>
          <reference field="5" count="1" selected="0">
            <x v="17"/>
          </reference>
          <reference field="6" count="1" selected="0">
            <x v="8"/>
          </reference>
          <reference field="7" count="1" selected="0">
            <x v="137"/>
          </reference>
          <reference field="8" count="1">
            <x v="1530"/>
          </reference>
        </references>
      </pivotArea>
    </format>
    <format dxfId="4876">
      <pivotArea dataOnly="0" labelOnly="1" fieldPosition="0">
        <references count="5">
          <reference field="1" count="1" selected="0">
            <x v="54"/>
          </reference>
          <reference field="5" count="1" selected="0">
            <x v="17"/>
          </reference>
          <reference field="6" count="1" selected="0">
            <x v="9"/>
          </reference>
          <reference field="7" count="1" selected="0">
            <x v="137"/>
          </reference>
          <reference field="8" count="1">
            <x v="526"/>
          </reference>
        </references>
      </pivotArea>
    </format>
    <format dxfId="4875">
      <pivotArea dataOnly="0" labelOnly="1" fieldPosition="0">
        <references count="5">
          <reference field="1" count="1" selected="0">
            <x v="54"/>
          </reference>
          <reference field="5" count="1" selected="0">
            <x v="19"/>
          </reference>
          <reference field="6" count="1" selected="0">
            <x v="7"/>
          </reference>
          <reference field="7" count="1" selected="0">
            <x v="137"/>
          </reference>
          <reference field="8" count="1">
            <x v="1872"/>
          </reference>
        </references>
      </pivotArea>
    </format>
    <format dxfId="4874">
      <pivotArea dataOnly="0" labelOnly="1" fieldPosition="0">
        <references count="5">
          <reference field="1" count="1" selected="0">
            <x v="54"/>
          </reference>
          <reference field="5" count="1" selected="0">
            <x v="22"/>
          </reference>
          <reference field="6" count="1" selected="0">
            <x v="38"/>
          </reference>
          <reference field="7" count="1" selected="0">
            <x v="137"/>
          </reference>
          <reference field="8" count="1">
            <x v="1825"/>
          </reference>
        </references>
      </pivotArea>
    </format>
    <format dxfId="4873">
      <pivotArea dataOnly="0" labelOnly="1" fieldPosition="0">
        <references count="5">
          <reference field="1" count="1" selected="0">
            <x v="54"/>
          </reference>
          <reference field="5" count="1" selected="0">
            <x v="27"/>
          </reference>
          <reference field="6" count="1" selected="0">
            <x v="37"/>
          </reference>
          <reference field="7" count="1" selected="0">
            <x v="137"/>
          </reference>
          <reference field="8" count="1">
            <x v="903"/>
          </reference>
        </references>
      </pivotArea>
    </format>
    <format dxfId="4872">
      <pivotArea dataOnly="0" labelOnly="1" fieldPosition="0">
        <references count="5">
          <reference field="1" count="1" selected="0">
            <x v="54"/>
          </reference>
          <reference field="5" count="1" selected="0">
            <x v="35"/>
          </reference>
          <reference field="6" count="1" selected="0">
            <x v="1"/>
          </reference>
          <reference field="7" count="1" selected="0">
            <x v="137"/>
          </reference>
          <reference field="8" count="1">
            <x v="80"/>
          </reference>
        </references>
      </pivotArea>
    </format>
    <format dxfId="4871">
      <pivotArea dataOnly="0" labelOnly="1" fieldPosition="0">
        <references count="5">
          <reference field="1" count="1" selected="0">
            <x v="54"/>
          </reference>
          <reference field="5" count="1" selected="0">
            <x v="35"/>
          </reference>
          <reference field="6" count="1" selected="0">
            <x v="38"/>
          </reference>
          <reference field="7" count="1" selected="0">
            <x v="137"/>
          </reference>
          <reference field="8" count="2">
            <x v="1069"/>
            <x v="1656"/>
          </reference>
        </references>
      </pivotArea>
    </format>
    <format dxfId="4870">
      <pivotArea dataOnly="0" labelOnly="1" fieldPosition="0">
        <references count="5">
          <reference field="1" count="1" selected="0">
            <x v="55"/>
          </reference>
          <reference field="5" count="1" selected="0">
            <x v="0"/>
          </reference>
          <reference field="6" count="1" selected="0">
            <x v="12"/>
          </reference>
          <reference field="7" count="1" selected="0">
            <x v="32"/>
          </reference>
          <reference field="8" count="1">
            <x v="391"/>
          </reference>
        </references>
      </pivotArea>
    </format>
    <format dxfId="4869">
      <pivotArea dataOnly="0" labelOnly="1" fieldPosition="0">
        <references count="5">
          <reference field="1" count="1" selected="0">
            <x v="55"/>
          </reference>
          <reference field="5" count="1" selected="0">
            <x v="0"/>
          </reference>
          <reference field="6" count="1" selected="0">
            <x v="12"/>
          </reference>
          <reference field="7" count="1" selected="0">
            <x v="39"/>
          </reference>
          <reference field="8" count="1">
            <x v="180"/>
          </reference>
        </references>
      </pivotArea>
    </format>
    <format dxfId="4868">
      <pivotArea dataOnly="0" labelOnly="1" fieldPosition="0">
        <references count="5">
          <reference field="1" count="1" selected="0">
            <x v="55"/>
          </reference>
          <reference field="5" count="1" selected="0">
            <x v="0"/>
          </reference>
          <reference field="6" count="1" selected="0">
            <x v="12"/>
          </reference>
          <reference field="7" count="1" selected="0">
            <x v="42"/>
          </reference>
          <reference field="8" count="1">
            <x v="69"/>
          </reference>
        </references>
      </pivotArea>
    </format>
    <format dxfId="4867">
      <pivotArea dataOnly="0" labelOnly="1" fieldPosition="0">
        <references count="5">
          <reference field="1" count="1" selected="0">
            <x v="55"/>
          </reference>
          <reference field="5" count="1" selected="0">
            <x v="0"/>
          </reference>
          <reference field="6" count="1" selected="0">
            <x v="12"/>
          </reference>
          <reference field="7" count="1" selected="0">
            <x v="46"/>
          </reference>
          <reference field="8" count="1">
            <x v="325"/>
          </reference>
        </references>
      </pivotArea>
    </format>
    <format dxfId="4866">
      <pivotArea dataOnly="0" labelOnly="1" fieldPosition="0">
        <references count="5">
          <reference field="1" count="1" selected="0">
            <x v="55"/>
          </reference>
          <reference field="5" count="1" selected="0">
            <x v="12"/>
          </reference>
          <reference field="6" count="1" selected="0">
            <x v="1"/>
          </reference>
          <reference field="7" count="1" selected="0">
            <x v="138"/>
          </reference>
          <reference field="8" count="1">
            <x v="213"/>
          </reference>
        </references>
      </pivotArea>
    </format>
    <format dxfId="4865">
      <pivotArea dataOnly="0" labelOnly="1" fieldPosition="0">
        <references count="5">
          <reference field="1" count="1" selected="0">
            <x v="55"/>
          </reference>
          <reference field="5" count="1" selected="0">
            <x v="15"/>
          </reference>
          <reference field="6" count="1" selected="0">
            <x v="6"/>
          </reference>
          <reference field="7" count="1" selected="0">
            <x v="138"/>
          </reference>
          <reference field="8" count="1">
            <x v="22"/>
          </reference>
        </references>
      </pivotArea>
    </format>
    <format dxfId="4864">
      <pivotArea dataOnly="0" labelOnly="1" fieldPosition="0">
        <references count="5">
          <reference field="1" count="1" selected="0">
            <x v="55"/>
          </reference>
          <reference field="5" count="1" selected="0">
            <x v="26"/>
          </reference>
          <reference field="6" count="1" selected="0">
            <x v="38"/>
          </reference>
          <reference field="7" count="1" selected="0">
            <x v="138"/>
          </reference>
          <reference field="8" count="1">
            <x v="539"/>
          </reference>
        </references>
      </pivotArea>
    </format>
    <format dxfId="4863">
      <pivotArea dataOnly="0" labelOnly="1" fieldPosition="0">
        <references count="5">
          <reference field="1" count="1" selected="0">
            <x v="55"/>
          </reference>
          <reference field="5" count="1" selected="0">
            <x v="27"/>
          </reference>
          <reference field="6" count="1" selected="0">
            <x v="37"/>
          </reference>
          <reference field="7" count="1" selected="0">
            <x v="138"/>
          </reference>
          <reference field="8" count="1">
            <x v="1098"/>
          </reference>
        </references>
      </pivotArea>
    </format>
    <format dxfId="4862">
      <pivotArea dataOnly="0" labelOnly="1" fieldPosition="0">
        <references count="5">
          <reference field="1" count="1" selected="0">
            <x v="55"/>
          </reference>
          <reference field="5" count="1" selected="0">
            <x v="32"/>
          </reference>
          <reference field="6" count="1" selected="0">
            <x v="9"/>
          </reference>
          <reference field="7" count="1" selected="0">
            <x v="138"/>
          </reference>
          <reference field="8" count="1">
            <x v="1793"/>
          </reference>
        </references>
      </pivotArea>
    </format>
    <format dxfId="4861">
      <pivotArea dataOnly="0" labelOnly="1" fieldPosition="0">
        <references count="5">
          <reference field="1" count="1" selected="0">
            <x v="55"/>
          </reference>
          <reference field="5" count="1" selected="0">
            <x v="35"/>
          </reference>
          <reference field="6" count="1" selected="0">
            <x v="37"/>
          </reference>
          <reference field="7" count="1" selected="0">
            <x v="138"/>
          </reference>
          <reference field="8" count="2">
            <x v="1319"/>
            <x v="1354"/>
          </reference>
        </references>
      </pivotArea>
    </format>
    <format dxfId="4860">
      <pivotArea dataOnly="0" labelOnly="1" fieldPosition="0">
        <references count="5">
          <reference field="1" count="1" selected="0">
            <x v="55"/>
          </reference>
          <reference field="5" count="1" selected="0">
            <x v="36"/>
          </reference>
          <reference field="6" count="1" selected="0">
            <x v="6"/>
          </reference>
          <reference field="7" count="1" selected="0">
            <x v="138"/>
          </reference>
          <reference field="8" count="1">
            <x v="890"/>
          </reference>
        </references>
      </pivotArea>
    </format>
    <format dxfId="4859">
      <pivotArea dataOnly="0" labelOnly="1" fieldPosition="0">
        <references count="5">
          <reference field="1" count="1" selected="0">
            <x v="55"/>
          </reference>
          <reference field="5" count="1" selected="0">
            <x v="38"/>
          </reference>
          <reference field="6" count="1" selected="0">
            <x v="37"/>
          </reference>
          <reference field="7" count="1" selected="0">
            <x v="138"/>
          </reference>
          <reference field="8" count="1">
            <x v="33"/>
          </reference>
        </references>
      </pivotArea>
    </format>
    <format dxfId="4858">
      <pivotArea dataOnly="0" labelOnly="1" fieldPosition="0">
        <references count="5">
          <reference field="1" count="1" selected="0">
            <x v="56"/>
          </reference>
          <reference field="5" count="1" selected="0">
            <x v="0"/>
          </reference>
          <reference field="6" count="1" selected="0">
            <x v="8"/>
          </reference>
          <reference field="7" count="1" selected="0">
            <x v="139"/>
          </reference>
          <reference field="8" count="4">
            <x v="37"/>
            <x v="95"/>
            <x v="215"/>
            <x v="760"/>
          </reference>
        </references>
      </pivotArea>
    </format>
    <format dxfId="4857">
      <pivotArea dataOnly="0" labelOnly="1" fieldPosition="0">
        <references count="5">
          <reference field="1" count="1" selected="0">
            <x v="56"/>
          </reference>
          <reference field="5" count="1" selected="0">
            <x v="0"/>
          </reference>
          <reference field="6" count="1" selected="0">
            <x v="9"/>
          </reference>
          <reference field="7" count="1" selected="0">
            <x v="139"/>
          </reference>
          <reference field="8" count="2">
            <x v="523"/>
            <x v="544"/>
          </reference>
        </references>
      </pivotArea>
    </format>
    <format dxfId="4856">
      <pivotArea dataOnly="0" labelOnly="1" fieldPosition="0">
        <references count="5">
          <reference field="1" count="1" selected="0">
            <x v="56"/>
          </reference>
          <reference field="5" count="1" selected="0">
            <x v="0"/>
          </reference>
          <reference field="6" count="1" selected="0">
            <x v="12"/>
          </reference>
          <reference field="7" count="1" selected="0">
            <x v="18"/>
          </reference>
          <reference field="8" count="1">
            <x v="35"/>
          </reference>
        </references>
      </pivotArea>
    </format>
    <format dxfId="4855">
      <pivotArea dataOnly="0" labelOnly="1" fieldPosition="0">
        <references count="5">
          <reference field="1" count="1" selected="0">
            <x v="56"/>
          </reference>
          <reference field="5" count="1" selected="0">
            <x v="0"/>
          </reference>
          <reference field="6" count="1" selected="0">
            <x v="12"/>
          </reference>
          <reference field="7" count="1" selected="0">
            <x v="56"/>
          </reference>
          <reference field="8" count="1">
            <x v="26"/>
          </reference>
        </references>
      </pivotArea>
    </format>
    <format dxfId="4854">
      <pivotArea dataOnly="0" labelOnly="1" fieldPosition="0">
        <references count="5">
          <reference field="1" count="1" selected="0">
            <x v="56"/>
          </reference>
          <reference field="5" count="1" selected="0">
            <x v="0"/>
          </reference>
          <reference field="6" count="1" selected="0">
            <x v="12"/>
          </reference>
          <reference field="7" count="1" selected="0">
            <x v="60"/>
          </reference>
          <reference field="8" count="1">
            <x v="119"/>
          </reference>
        </references>
      </pivotArea>
    </format>
    <format dxfId="4853">
      <pivotArea dataOnly="0" labelOnly="1" fieldPosition="0">
        <references count="5">
          <reference field="1" count="1" selected="0">
            <x v="56"/>
          </reference>
          <reference field="5" count="1" selected="0">
            <x v="3"/>
          </reference>
          <reference field="6" count="1" selected="0">
            <x v="37"/>
          </reference>
          <reference field="7" count="1" selected="0">
            <x v="139"/>
          </reference>
          <reference field="8" count="1">
            <x v="199"/>
          </reference>
        </references>
      </pivotArea>
    </format>
    <format dxfId="4852">
      <pivotArea dataOnly="0" labelOnly="1" fieldPosition="0">
        <references count="5">
          <reference field="1" count="1" selected="0">
            <x v="56"/>
          </reference>
          <reference field="5" count="1" selected="0">
            <x v="12"/>
          </reference>
          <reference field="6" count="1" selected="0">
            <x v="1"/>
          </reference>
          <reference field="7" count="1" selected="0">
            <x v="139"/>
          </reference>
          <reference field="8" count="1">
            <x v="213"/>
          </reference>
        </references>
      </pivotArea>
    </format>
    <format dxfId="4851">
      <pivotArea dataOnly="0" labelOnly="1" fieldPosition="0">
        <references count="5">
          <reference field="1" count="1" selected="0">
            <x v="56"/>
          </reference>
          <reference field="5" count="1" selected="0">
            <x v="14"/>
          </reference>
          <reference field="6" count="1" selected="0">
            <x v="37"/>
          </reference>
          <reference field="7" count="1" selected="0">
            <x v="139"/>
          </reference>
          <reference field="8" count="1">
            <x v="1455"/>
          </reference>
        </references>
      </pivotArea>
    </format>
    <format dxfId="4850">
      <pivotArea dataOnly="0" labelOnly="1" fieldPosition="0">
        <references count="5">
          <reference field="1" count="1" selected="0">
            <x v="56"/>
          </reference>
          <reference field="5" count="1" selected="0">
            <x v="15"/>
          </reference>
          <reference field="6" count="1" selected="0">
            <x v="37"/>
          </reference>
          <reference field="7" count="1" selected="0">
            <x v="139"/>
          </reference>
          <reference field="8" count="1">
            <x v="1216"/>
          </reference>
        </references>
      </pivotArea>
    </format>
    <format dxfId="4849">
      <pivotArea dataOnly="0" labelOnly="1" fieldPosition="0">
        <references count="5">
          <reference field="1" count="1" selected="0">
            <x v="56"/>
          </reference>
          <reference field="5" count="1" selected="0">
            <x v="23"/>
          </reference>
          <reference field="6" count="1" selected="0">
            <x v="37"/>
          </reference>
          <reference field="7" count="1" selected="0">
            <x v="139"/>
          </reference>
          <reference field="8" count="1">
            <x v="234"/>
          </reference>
        </references>
      </pivotArea>
    </format>
    <format dxfId="4848">
      <pivotArea dataOnly="0" labelOnly="1" fieldPosition="0">
        <references count="5">
          <reference field="1" count="1" selected="0">
            <x v="56"/>
          </reference>
          <reference field="5" count="1" selected="0">
            <x v="26"/>
          </reference>
          <reference field="6" count="1" selected="0">
            <x v="37"/>
          </reference>
          <reference field="7" count="1" selected="0">
            <x v="139"/>
          </reference>
          <reference field="8" count="1">
            <x v="391"/>
          </reference>
        </references>
      </pivotArea>
    </format>
    <format dxfId="4847">
      <pivotArea dataOnly="0" labelOnly="1" fieldPosition="0">
        <references count="5">
          <reference field="1" count="1" selected="0">
            <x v="56"/>
          </reference>
          <reference field="5" count="1" selected="0">
            <x v="35"/>
          </reference>
          <reference field="6" count="1" selected="0">
            <x v="1"/>
          </reference>
          <reference field="7" count="1" selected="0">
            <x v="139"/>
          </reference>
          <reference field="8" count="1">
            <x v="352"/>
          </reference>
        </references>
      </pivotArea>
    </format>
    <format dxfId="4846">
      <pivotArea dataOnly="0" labelOnly="1" fieldPosition="0">
        <references count="5">
          <reference field="1" count="1" selected="0">
            <x v="57"/>
          </reference>
          <reference field="5" count="1" selected="0">
            <x v="0"/>
          </reference>
          <reference field="6" count="1" selected="0">
            <x v="8"/>
          </reference>
          <reference field="7" count="1" selected="0">
            <x v="140"/>
          </reference>
          <reference field="8" count="1">
            <x v="1114"/>
          </reference>
        </references>
      </pivotArea>
    </format>
    <format dxfId="4845">
      <pivotArea dataOnly="0" labelOnly="1" fieldPosition="0">
        <references count="5">
          <reference field="1" count="1" selected="0">
            <x v="57"/>
          </reference>
          <reference field="5" count="1" selected="0">
            <x v="0"/>
          </reference>
          <reference field="6" count="1" selected="0">
            <x v="12"/>
          </reference>
          <reference field="7" count="1" selected="0">
            <x v="6"/>
          </reference>
          <reference field="8" count="1">
            <x v="32"/>
          </reference>
        </references>
      </pivotArea>
    </format>
    <format dxfId="4844">
      <pivotArea dataOnly="0" labelOnly="1" fieldPosition="0">
        <references count="5">
          <reference field="1" count="1" selected="0">
            <x v="57"/>
          </reference>
          <reference field="5" count="1" selected="0">
            <x v="6"/>
          </reference>
          <reference field="6" count="1" selected="0">
            <x v="37"/>
          </reference>
          <reference field="7" count="1" selected="0">
            <x v="140"/>
          </reference>
          <reference field="8" count="1">
            <x v="991"/>
          </reference>
        </references>
      </pivotArea>
    </format>
    <format dxfId="4843">
      <pivotArea dataOnly="0" labelOnly="1" fieldPosition="0">
        <references count="5">
          <reference field="1" count="1" selected="0">
            <x v="57"/>
          </reference>
          <reference field="5" count="1" selected="0">
            <x v="12"/>
          </reference>
          <reference field="6" count="1" selected="0">
            <x v="1"/>
          </reference>
          <reference field="7" count="1" selected="0">
            <x v="140"/>
          </reference>
          <reference field="8" count="1">
            <x v="352"/>
          </reference>
        </references>
      </pivotArea>
    </format>
    <format dxfId="4842">
      <pivotArea dataOnly="0" labelOnly="1" fieldPosition="0">
        <references count="5">
          <reference field="1" count="1" selected="0">
            <x v="57"/>
          </reference>
          <reference field="5" count="1" selected="0">
            <x v="15"/>
          </reference>
          <reference field="6" count="1" selected="0">
            <x v="37"/>
          </reference>
          <reference field="7" count="1" selected="0">
            <x v="140"/>
          </reference>
          <reference field="8" count="1">
            <x v="1225"/>
          </reference>
        </references>
      </pivotArea>
    </format>
    <format dxfId="4841">
      <pivotArea dataOnly="0" labelOnly="1" fieldPosition="0">
        <references count="5">
          <reference field="1" count="1" selected="0">
            <x v="57"/>
          </reference>
          <reference field="5" count="1" selected="0">
            <x v="26"/>
          </reference>
          <reference field="6" count="1" selected="0">
            <x v="1"/>
          </reference>
          <reference field="7" count="1" selected="0">
            <x v="140"/>
          </reference>
          <reference field="8" count="1">
            <x v="352"/>
          </reference>
        </references>
      </pivotArea>
    </format>
    <format dxfId="4840">
      <pivotArea dataOnly="0" labelOnly="1" fieldPosition="0">
        <references count="5">
          <reference field="1" count="1" selected="0">
            <x v="58"/>
          </reference>
          <reference field="5" count="1" selected="0">
            <x v="0"/>
          </reference>
          <reference field="6" count="1" selected="0">
            <x v="12"/>
          </reference>
          <reference field="7" count="1" selected="0">
            <x v="2"/>
          </reference>
          <reference field="8" count="1">
            <x v="39"/>
          </reference>
        </references>
      </pivotArea>
    </format>
    <format dxfId="4839">
      <pivotArea dataOnly="0" labelOnly="1" fieldPosition="0">
        <references count="5">
          <reference field="1" count="1" selected="0">
            <x v="58"/>
          </reference>
          <reference field="5" count="1" selected="0">
            <x v="0"/>
          </reference>
          <reference field="6" count="1" selected="0">
            <x v="12"/>
          </reference>
          <reference field="7" count="1" selected="0">
            <x v="18"/>
          </reference>
          <reference field="8" count="1">
            <x v="18"/>
          </reference>
        </references>
      </pivotArea>
    </format>
    <format dxfId="4838">
      <pivotArea dataOnly="0" labelOnly="1" fieldPosition="0">
        <references count="5">
          <reference field="1" count="1" selected="0">
            <x v="58"/>
          </reference>
          <reference field="5" count="1" selected="0">
            <x v="0"/>
          </reference>
          <reference field="6" count="1" selected="0">
            <x v="12"/>
          </reference>
          <reference field="7" count="1" selected="0">
            <x v="56"/>
          </reference>
          <reference field="8" count="1">
            <x v="26"/>
          </reference>
        </references>
      </pivotArea>
    </format>
    <format dxfId="4837">
      <pivotArea dataOnly="0" labelOnly="1" fieldPosition="0">
        <references count="5">
          <reference field="1" count="1" selected="0">
            <x v="58"/>
          </reference>
          <reference field="5" count="1" selected="0">
            <x v="0"/>
          </reference>
          <reference field="6" count="1" selected="0">
            <x v="12"/>
          </reference>
          <reference field="7" count="1" selected="0">
            <x v="58"/>
          </reference>
          <reference field="8" count="1">
            <x v="6"/>
          </reference>
        </references>
      </pivotArea>
    </format>
    <format dxfId="4836">
      <pivotArea dataOnly="0" labelOnly="1" fieldPosition="0">
        <references count="5">
          <reference field="1" count="1" selected="0">
            <x v="58"/>
          </reference>
          <reference field="5" count="1" selected="0">
            <x v="0"/>
          </reference>
          <reference field="6" count="1" selected="0">
            <x v="12"/>
          </reference>
          <reference field="7" count="1" selected="0">
            <x v="71"/>
          </reference>
          <reference field="8" count="1">
            <x v="18"/>
          </reference>
        </references>
      </pivotArea>
    </format>
    <format dxfId="4835">
      <pivotArea dataOnly="0" labelOnly="1" fieldPosition="0">
        <references count="5">
          <reference field="1" count="1" selected="0">
            <x v="58"/>
          </reference>
          <reference field="5" count="1" selected="0">
            <x v="12"/>
          </reference>
          <reference field="6" count="1" selected="0">
            <x v="1"/>
          </reference>
          <reference field="7" count="1" selected="0">
            <x v="141"/>
          </reference>
          <reference field="8" count="6">
            <x v="80"/>
            <x v="213"/>
            <x v="352"/>
            <x v="607"/>
            <x v="771"/>
            <x v="911"/>
          </reference>
        </references>
      </pivotArea>
    </format>
    <format dxfId="4834">
      <pivotArea dataOnly="0" labelOnly="1" fieldPosition="0">
        <references count="5">
          <reference field="1" count="1" selected="0">
            <x v="58"/>
          </reference>
          <reference field="5" count="1" selected="0">
            <x v="21"/>
          </reference>
          <reference field="6" count="1" selected="0">
            <x v="37"/>
          </reference>
          <reference field="7" count="1" selected="0">
            <x v="141"/>
          </reference>
          <reference field="8" count="1">
            <x v="702"/>
          </reference>
        </references>
      </pivotArea>
    </format>
    <format dxfId="4833">
      <pivotArea dataOnly="0" labelOnly="1" fieldPosition="0">
        <references count="5">
          <reference field="1" count="1" selected="0">
            <x v="58"/>
          </reference>
          <reference field="5" count="1" selected="0">
            <x v="23"/>
          </reference>
          <reference field="6" count="1" selected="0">
            <x v="37"/>
          </reference>
          <reference field="7" count="1" selected="0">
            <x v="141"/>
          </reference>
          <reference field="8" count="1">
            <x v="135"/>
          </reference>
        </references>
      </pivotArea>
    </format>
    <format dxfId="4832">
      <pivotArea dataOnly="0" labelOnly="1" fieldPosition="0">
        <references count="5">
          <reference field="1" count="1" selected="0">
            <x v="58"/>
          </reference>
          <reference field="5" count="1" selected="0">
            <x v="35"/>
          </reference>
          <reference field="6" count="1" selected="0">
            <x v="1"/>
          </reference>
          <reference field="7" count="1" selected="0">
            <x v="141"/>
          </reference>
          <reference field="8" count="2">
            <x v="80"/>
            <x v="213"/>
          </reference>
        </references>
      </pivotArea>
    </format>
    <format dxfId="4831">
      <pivotArea dataOnly="0" labelOnly="1" fieldPosition="0">
        <references count="5">
          <reference field="1" count="1" selected="0">
            <x v="59"/>
          </reference>
          <reference field="5" count="1" selected="0">
            <x v="0"/>
          </reference>
          <reference field="6" count="1" selected="0">
            <x v="1"/>
          </reference>
          <reference field="7" count="1" selected="0">
            <x v="142"/>
          </reference>
          <reference field="8" count="1">
            <x v="80"/>
          </reference>
        </references>
      </pivotArea>
    </format>
    <format dxfId="4830">
      <pivotArea dataOnly="0" labelOnly="1" fieldPosition="0">
        <references count="5">
          <reference field="1" count="1" selected="0">
            <x v="59"/>
          </reference>
          <reference field="5" count="1" selected="0">
            <x v="0"/>
          </reference>
          <reference field="6" count="1" selected="0">
            <x v="6"/>
          </reference>
          <reference field="7" count="1" selected="0">
            <x v="142"/>
          </reference>
          <reference field="8" count="1">
            <x v="212"/>
          </reference>
        </references>
      </pivotArea>
    </format>
    <format dxfId="4829">
      <pivotArea dataOnly="0" labelOnly="1" fieldPosition="0">
        <references count="5">
          <reference field="1" count="1" selected="0">
            <x v="59"/>
          </reference>
          <reference field="5" count="1" selected="0">
            <x v="0"/>
          </reference>
          <reference field="6" count="1" selected="0">
            <x v="8"/>
          </reference>
          <reference field="7" count="1" selected="0">
            <x v="142"/>
          </reference>
          <reference field="8" count="5">
            <x v="159"/>
            <x v="200"/>
            <x v="549"/>
            <x v="613"/>
            <x v="1264"/>
          </reference>
        </references>
      </pivotArea>
    </format>
    <format dxfId="4828">
      <pivotArea dataOnly="0" labelOnly="1" fieldPosition="0">
        <references count="5">
          <reference field="1" count="1" selected="0">
            <x v="59"/>
          </reference>
          <reference field="5" count="1" selected="0">
            <x v="0"/>
          </reference>
          <reference field="6" count="1" selected="0">
            <x v="9"/>
          </reference>
          <reference field="7" count="1" selected="0">
            <x v="142"/>
          </reference>
          <reference field="8" count="8">
            <x v="17"/>
            <x v="537"/>
            <x v="582"/>
            <x v="627"/>
            <x v="702"/>
            <x v="750"/>
            <x v="905"/>
            <x v="1134"/>
          </reference>
        </references>
      </pivotArea>
    </format>
    <format dxfId="4827">
      <pivotArea dataOnly="0" labelOnly="1" fieldPosition="0">
        <references count="5">
          <reference field="1" count="1" selected="0">
            <x v="59"/>
          </reference>
          <reference field="5" count="1" selected="0">
            <x v="0"/>
          </reference>
          <reference field="6" count="1" selected="0">
            <x v="12"/>
          </reference>
          <reference field="7" count="1" selected="0">
            <x v="18"/>
          </reference>
          <reference field="8" count="1">
            <x v="18"/>
          </reference>
        </references>
      </pivotArea>
    </format>
    <format dxfId="4826">
      <pivotArea dataOnly="0" labelOnly="1" fieldPosition="0">
        <references count="5">
          <reference field="1" count="1" selected="0">
            <x v="59"/>
          </reference>
          <reference field="5" count="1" selected="0">
            <x v="0"/>
          </reference>
          <reference field="6" count="1" selected="0">
            <x v="12"/>
          </reference>
          <reference field="7" count="1" selected="0">
            <x v="21"/>
          </reference>
          <reference field="8" count="1">
            <x v="11"/>
          </reference>
        </references>
      </pivotArea>
    </format>
    <format dxfId="4825">
      <pivotArea dataOnly="0" labelOnly="1" fieldPosition="0">
        <references count="5">
          <reference field="1" count="1" selected="0">
            <x v="59"/>
          </reference>
          <reference field="5" count="1" selected="0">
            <x v="0"/>
          </reference>
          <reference field="6" count="1" selected="0">
            <x v="12"/>
          </reference>
          <reference field="7" count="1" selected="0">
            <x v="66"/>
          </reference>
          <reference field="8" count="1">
            <x v="69"/>
          </reference>
        </references>
      </pivotArea>
    </format>
    <format dxfId="4824">
      <pivotArea dataOnly="0" labelOnly="1" fieldPosition="0">
        <references count="5">
          <reference field="1" count="1" selected="0">
            <x v="59"/>
          </reference>
          <reference field="5" count="1" selected="0">
            <x v="0"/>
          </reference>
          <reference field="6" count="1" selected="0">
            <x v="38"/>
          </reference>
          <reference field="7" count="1" selected="0">
            <x v="142"/>
          </reference>
          <reference field="8" count="1">
            <x v="964"/>
          </reference>
        </references>
      </pivotArea>
    </format>
    <format dxfId="4823">
      <pivotArea dataOnly="0" labelOnly="1" fieldPosition="0">
        <references count="5">
          <reference field="1" count="1" selected="0">
            <x v="59"/>
          </reference>
          <reference field="5" count="1" selected="0">
            <x v="5"/>
          </reference>
          <reference field="6" count="1" selected="0">
            <x v="37"/>
          </reference>
          <reference field="7" count="1" selected="0">
            <x v="142"/>
          </reference>
          <reference field="8" count="1">
            <x v="524"/>
          </reference>
        </references>
      </pivotArea>
    </format>
    <format dxfId="4822">
      <pivotArea dataOnly="0" labelOnly="1" fieldPosition="0">
        <references count="5">
          <reference field="1" count="1" selected="0">
            <x v="59"/>
          </reference>
          <reference field="5" count="1" selected="0">
            <x v="8"/>
          </reference>
          <reference field="6" count="1" selected="0">
            <x v="1"/>
          </reference>
          <reference field="7" count="1" selected="0">
            <x v="142"/>
          </reference>
          <reference field="8" count="1">
            <x v="1093"/>
          </reference>
        </references>
      </pivotArea>
    </format>
    <format dxfId="4821">
      <pivotArea dataOnly="0" labelOnly="1" fieldPosition="0">
        <references count="5">
          <reference field="1" count="1" selected="0">
            <x v="59"/>
          </reference>
          <reference field="5" count="1" selected="0">
            <x v="8"/>
          </reference>
          <reference field="6" count="1" selected="0">
            <x v="8"/>
          </reference>
          <reference field="7" count="1" selected="0">
            <x v="142"/>
          </reference>
          <reference field="8" count="1">
            <x v="1024"/>
          </reference>
        </references>
      </pivotArea>
    </format>
    <format dxfId="4820">
      <pivotArea dataOnly="0" labelOnly="1" fieldPosition="0">
        <references count="5">
          <reference field="1" count="1" selected="0">
            <x v="59"/>
          </reference>
          <reference field="5" count="1" selected="0">
            <x v="12"/>
          </reference>
          <reference field="6" count="1" selected="0">
            <x v="1"/>
          </reference>
          <reference field="7" count="1" selected="0">
            <x v="142"/>
          </reference>
          <reference field="8" count="5">
            <x v="80"/>
            <x v="213"/>
            <x v="500"/>
            <x v="702"/>
            <x v="1069"/>
          </reference>
        </references>
      </pivotArea>
    </format>
    <format dxfId="4819">
      <pivotArea dataOnly="0" labelOnly="1" fieldPosition="0">
        <references count="5">
          <reference field="1" count="1" selected="0">
            <x v="59"/>
          </reference>
          <reference field="5" count="1" selected="0">
            <x v="15"/>
          </reference>
          <reference field="6" count="1" selected="0">
            <x v="1"/>
          </reference>
          <reference field="7" count="1" selected="0">
            <x v="142"/>
          </reference>
          <reference field="8" count="1">
            <x v="1243"/>
          </reference>
        </references>
      </pivotArea>
    </format>
    <format dxfId="4818">
      <pivotArea dataOnly="0" labelOnly="1" fieldPosition="0">
        <references count="5">
          <reference field="1" count="1" selected="0">
            <x v="59"/>
          </reference>
          <reference field="5" count="1" selected="0">
            <x v="35"/>
          </reference>
          <reference field="6" count="1" selected="0">
            <x v="1"/>
          </reference>
          <reference field="7" count="1" selected="0">
            <x v="142"/>
          </reference>
          <reference field="8" count="1">
            <x v="80"/>
          </reference>
        </references>
      </pivotArea>
    </format>
    <format dxfId="4817">
      <pivotArea dataOnly="0" labelOnly="1" fieldPosition="0">
        <references count="5">
          <reference field="1" count="1" selected="0">
            <x v="60"/>
          </reference>
          <reference field="5" count="1" selected="0">
            <x v="0"/>
          </reference>
          <reference field="6" count="1" selected="0">
            <x v="12"/>
          </reference>
          <reference field="7" count="1" selected="0">
            <x v="30"/>
          </reference>
          <reference field="8" count="1">
            <x v="59"/>
          </reference>
        </references>
      </pivotArea>
    </format>
    <format dxfId="4816">
      <pivotArea dataOnly="0" labelOnly="1" fieldPosition="0">
        <references count="5">
          <reference field="1" count="1" selected="0">
            <x v="60"/>
          </reference>
          <reference field="5" count="1" selected="0">
            <x v="0"/>
          </reference>
          <reference field="6" count="1" selected="0">
            <x v="38"/>
          </reference>
          <reference field="7" count="1" selected="0">
            <x v="143"/>
          </reference>
          <reference field="8" count="2">
            <x v="1206"/>
            <x v="1364"/>
          </reference>
        </references>
      </pivotArea>
    </format>
    <format dxfId="4815">
      <pivotArea dataOnly="0" labelOnly="1" fieldPosition="0">
        <references count="5">
          <reference field="1" count="1" selected="0">
            <x v="60"/>
          </reference>
          <reference field="5" count="1" selected="0">
            <x v="5"/>
          </reference>
          <reference field="6" count="1" selected="0">
            <x v="38"/>
          </reference>
          <reference field="7" count="1" selected="0">
            <x v="143"/>
          </reference>
          <reference field="8" count="1">
            <x v="1842"/>
          </reference>
        </references>
      </pivotArea>
    </format>
    <format dxfId="4814">
      <pivotArea dataOnly="0" labelOnly="1" fieldPosition="0">
        <references count="5">
          <reference field="1" count="1" selected="0">
            <x v="60"/>
          </reference>
          <reference field="5" count="1" selected="0">
            <x v="6"/>
          </reference>
          <reference field="6" count="1" selected="0">
            <x v="37"/>
          </reference>
          <reference field="7" count="1" selected="0">
            <x v="143"/>
          </reference>
          <reference field="8" count="1">
            <x v="898"/>
          </reference>
        </references>
      </pivotArea>
    </format>
    <format dxfId="4813">
      <pivotArea dataOnly="0" labelOnly="1" fieldPosition="0">
        <references count="5">
          <reference field="1" count="1" selected="0">
            <x v="60"/>
          </reference>
          <reference field="5" count="1" selected="0">
            <x v="8"/>
          </reference>
          <reference field="6" count="1" selected="0">
            <x v="37"/>
          </reference>
          <reference field="7" count="1" selected="0">
            <x v="143"/>
          </reference>
          <reference field="8" count="1">
            <x v="1155"/>
          </reference>
        </references>
      </pivotArea>
    </format>
    <format dxfId="4812">
      <pivotArea dataOnly="0" labelOnly="1" fieldPosition="0">
        <references count="5">
          <reference field="1" count="1" selected="0">
            <x v="60"/>
          </reference>
          <reference field="5" count="1" selected="0">
            <x v="10"/>
          </reference>
          <reference field="6" count="1" selected="0">
            <x v="38"/>
          </reference>
          <reference field="7" count="1" selected="0">
            <x v="143"/>
          </reference>
          <reference field="8" count="1">
            <x v="1172"/>
          </reference>
        </references>
      </pivotArea>
    </format>
    <format dxfId="4811">
      <pivotArea dataOnly="0" labelOnly="1" fieldPosition="0">
        <references count="5">
          <reference field="1" count="1" selected="0">
            <x v="60"/>
          </reference>
          <reference field="5" count="1" selected="0">
            <x v="12"/>
          </reference>
          <reference field="6" count="1" selected="0">
            <x v="1"/>
          </reference>
          <reference field="7" count="1" selected="0">
            <x v="143"/>
          </reference>
          <reference field="8" count="2">
            <x v="80"/>
            <x v="500"/>
          </reference>
        </references>
      </pivotArea>
    </format>
    <format dxfId="4810">
      <pivotArea dataOnly="0" labelOnly="1" fieldPosition="0">
        <references count="5">
          <reference field="1" count="1" selected="0">
            <x v="60"/>
          </reference>
          <reference field="5" count="1" selected="0">
            <x v="14"/>
          </reference>
          <reference field="6" count="1" selected="0">
            <x v="38"/>
          </reference>
          <reference field="7" count="1" selected="0">
            <x v="143"/>
          </reference>
          <reference field="8" count="1">
            <x v="1327"/>
          </reference>
        </references>
      </pivotArea>
    </format>
    <format dxfId="4809">
      <pivotArea dataOnly="0" labelOnly="1" fieldPosition="0">
        <references count="5">
          <reference field="1" count="1" selected="0">
            <x v="60"/>
          </reference>
          <reference field="5" count="1" selected="0">
            <x v="15"/>
          </reference>
          <reference field="6" count="1" selected="0">
            <x v="38"/>
          </reference>
          <reference field="7" count="1" selected="0">
            <x v="143"/>
          </reference>
          <reference field="8" count="1">
            <x v="1484"/>
          </reference>
        </references>
      </pivotArea>
    </format>
    <format dxfId="4808">
      <pivotArea dataOnly="0" labelOnly="1" fieldPosition="0">
        <references count="5">
          <reference field="1" count="1" selected="0">
            <x v="60"/>
          </reference>
          <reference field="5" count="1" selected="0">
            <x v="23"/>
          </reference>
          <reference field="6" count="1" selected="0">
            <x v="38"/>
          </reference>
          <reference field="7" count="1" selected="0">
            <x v="143"/>
          </reference>
          <reference field="8" count="1">
            <x v="120"/>
          </reference>
        </references>
      </pivotArea>
    </format>
    <format dxfId="4807">
      <pivotArea dataOnly="0" labelOnly="1" fieldPosition="0">
        <references count="5">
          <reference field="1" count="1" selected="0">
            <x v="60"/>
          </reference>
          <reference field="5" count="1" selected="0">
            <x v="26"/>
          </reference>
          <reference field="6" count="1" selected="0">
            <x v="1"/>
          </reference>
          <reference field="7" count="1" selected="0">
            <x v="143"/>
          </reference>
          <reference field="8" count="1">
            <x v="39"/>
          </reference>
        </references>
      </pivotArea>
    </format>
    <format dxfId="4806">
      <pivotArea dataOnly="0" labelOnly="1" fieldPosition="0">
        <references count="5">
          <reference field="1" count="1" selected="0">
            <x v="60"/>
          </reference>
          <reference field="5" count="1" selected="0">
            <x v="36"/>
          </reference>
          <reference field="6" count="1" selected="0">
            <x v="38"/>
          </reference>
          <reference field="7" count="1" selected="0">
            <x v="143"/>
          </reference>
          <reference field="8" count="1">
            <x v="252"/>
          </reference>
        </references>
      </pivotArea>
    </format>
    <format dxfId="4805">
      <pivotArea dataOnly="0" labelOnly="1" fieldPosition="0">
        <references count="5">
          <reference field="1" count="1" selected="0">
            <x v="61"/>
          </reference>
          <reference field="5" count="1" selected="0">
            <x v="0"/>
          </reference>
          <reference field="6" count="1" selected="0">
            <x v="12"/>
          </reference>
          <reference field="7" count="1" selected="0">
            <x v="21"/>
          </reference>
          <reference field="8" count="1">
            <x v="69"/>
          </reference>
        </references>
      </pivotArea>
    </format>
    <format dxfId="4804">
      <pivotArea dataOnly="0" labelOnly="1" fieldPosition="0">
        <references count="5">
          <reference field="1" count="1" selected="0">
            <x v="61"/>
          </reference>
          <reference field="5" count="1" selected="0">
            <x v="7"/>
          </reference>
          <reference field="6" count="1" selected="0">
            <x v="38"/>
          </reference>
          <reference field="7" count="1" selected="0">
            <x v="144"/>
          </reference>
          <reference field="8" count="1">
            <x v="1377"/>
          </reference>
        </references>
      </pivotArea>
    </format>
    <format dxfId="4803">
      <pivotArea dataOnly="0" labelOnly="1" fieldPosition="0">
        <references count="5">
          <reference field="1" count="1" selected="0">
            <x v="61"/>
          </reference>
          <reference field="5" count="1" selected="0">
            <x v="10"/>
          </reference>
          <reference field="6" count="1" selected="0">
            <x v="33"/>
          </reference>
          <reference field="7" count="1" selected="0">
            <x v="144"/>
          </reference>
          <reference field="8" count="1">
            <x v="1835"/>
          </reference>
        </references>
      </pivotArea>
    </format>
    <format dxfId="4802">
      <pivotArea dataOnly="0" labelOnly="1" fieldPosition="0">
        <references count="5">
          <reference field="1" count="1" selected="0">
            <x v="61"/>
          </reference>
          <reference field="5" count="1" selected="0">
            <x v="12"/>
          </reference>
          <reference field="6" count="1" selected="0">
            <x v="1"/>
          </reference>
          <reference field="7" count="1" selected="0">
            <x v="144"/>
          </reference>
          <reference field="8" count="2">
            <x v="80"/>
            <x v="213"/>
          </reference>
        </references>
      </pivotArea>
    </format>
    <format dxfId="4801">
      <pivotArea dataOnly="0" labelOnly="1" fieldPosition="0">
        <references count="5">
          <reference field="1" count="1" selected="0">
            <x v="61"/>
          </reference>
          <reference field="5" count="1" selected="0">
            <x v="19"/>
          </reference>
          <reference field="6" count="1" selected="0">
            <x v="38"/>
          </reference>
          <reference field="7" count="1" selected="0">
            <x v="144"/>
          </reference>
          <reference field="8" count="1">
            <x v="520"/>
          </reference>
        </references>
      </pivotArea>
    </format>
    <format dxfId="4800">
      <pivotArea dataOnly="0" labelOnly="1" fieldPosition="0">
        <references count="5">
          <reference field="1" count="1" selected="0">
            <x v="61"/>
          </reference>
          <reference field="5" count="1" selected="0">
            <x v="23"/>
          </reference>
          <reference field="6" count="1" selected="0">
            <x v="1"/>
          </reference>
          <reference field="7" count="1" selected="0">
            <x v="144"/>
          </reference>
          <reference field="8" count="1">
            <x v="606"/>
          </reference>
        </references>
      </pivotArea>
    </format>
    <format dxfId="4799">
      <pivotArea dataOnly="0" labelOnly="1" fieldPosition="0">
        <references count="5">
          <reference field="1" count="1" selected="0">
            <x v="62"/>
          </reference>
          <reference field="5" count="1" selected="0">
            <x v="0"/>
          </reference>
          <reference field="6" count="1" selected="0">
            <x v="5"/>
          </reference>
          <reference field="7" count="1" selected="0">
            <x v="1"/>
          </reference>
          <reference field="8" count="1">
            <x v="134"/>
          </reference>
        </references>
      </pivotArea>
    </format>
    <format dxfId="4798">
      <pivotArea dataOnly="0" labelOnly="1" fieldPosition="0">
        <references count="5">
          <reference field="1" count="1" selected="0">
            <x v="62"/>
          </reference>
          <reference field="5" count="1" selected="0">
            <x v="0"/>
          </reference>
          <reference field="6" count="1" selected="0">
            <x v="8"/>
          </reference>
          <reference field="7" count="1" selected="0">
            <x v="145"/>
          </reference>
          <reference field="8" count="1">
            <x v="187"/>
          </reference>
        </references>
      </pivotArea>
    </format>
    <format dxfId="4797">
      <pivotArea dataOnly="0" labelOnly="1" fieldPosition="0">
        <references count="5">
          <reference field="1" count="1" selected="0">
            <x v="62"/>
          </reference>
          <reference field="5" count="1" selected="0">
            <x v="0"/>
          </reference>
          <reference field="6" count="1" selected="0">
            <x v="9"/>
          </reference>
          <reference field="7" count="1" selected="0">
            <x v="145"/>
          </reference>
          <reference field="8" count="2">
            <x v="431"/>
            <x v="657"/>
          </reference>
        </references>
      </pivotArea>
    </format>
    <format dxfId="4796">
      <pivotArea dataOnly="0" labelOnly="1" fieldPosition="0">
        <references count="5">
          <reference field="1" count="1" selected="0">
            <x v="62"/>
          </reference>
          <reference field="5" count="1" selected="0">
            <x v="0"/>
          </reference>
          <reference field="6" count="1" selected="0">
            <x v="12"/>
          </reference>
          <reference field="7" count="1" selected="0">
            <x v="18"/>
          </reference>
          <reference field="8" count="1">
            <x v="59"/>
          </reference>
        </references>
      </pivotArea>
    </format>
    <format dxfId="4795">
      <pivotArea dataOnly="0" labelOnly="1" fieldPosition="0">
        <references count="5">
          <reference field="1" count="1" selected="0">
            <x v="62"/>
          </reference>
          <reference field="5" count="1" selected="0">
            <x v="0"/>
          </reference>
          <reference field="6" count="1" selected="0">
            <x v="12"/>
          </reference>
          <reference field="7" count="1" selected="0">
            <x v="26"/>
          </reference>
          <reference field="8" count="1">
            <x v="53"/>
          </reference>
        </references>
      </pivotArea>
    </format>
    <format dxfId="4794">
      <pivotArea dataOnly="0" labelOnly="1" fieldPosition="0">
        <references count="5">
          <reference field="1" count="1" selected="0">
            <x v="62"/>
          </reference>
          <reference field="5" count="1" selected="0">
            <x v="0"/>
          </reference>
          <reference field="6" count="1" selected="0">
            <x v="12"/>
          </reference>
          <reference field="7" count="1" selected="0">
            <x v="32"/>
          </reference>
          <reference field="8" count="1">
            <x v="391"/>
          </reference>
        </references>
      </pivotArea>
    </format>
    <format dxfId="4793">
      <pivotArea dataOnly="0" labelOnly="1" fieldPosition="0">
        <references count="5">
          <reference field="1" count="1" selected="0">
            <x v="62"/>
          </reference>
          <reference field="5" count="1" selected="0">
            <x v="2"/>
          </reference>
          <reference field="6" count="1" selected="0">
            <x v="10"/>
          </reference>
          <reference field="7" count="1" selected="0">
            <x v="145"/>
          </reference>
          <reference field="8" count="1">
            <x v="1685"/>
          </reference>
        </references>
      </pivotArea>
    </format>
    <format dxfId="4792">
      <pivotArea dataOnly="0" labelOnly="1" fieldPosition="0">
        <references count="5">
          <reference field="1" count="1" selected="0">
            <x v="62"/>
          </reference>
          <reference field="5" count="1" selected="0">
            <x v="3"/>
          </reference>
          <reference field="6" count="1" selected="0">
            <x v="10"/>
          </reference>
          <reference field="7" count="1" selected="0">
            <x v="145"/>
          </reference>
          <reference field="8" count="1">
            <x v="1261"/>
          </reference>
        </references>
      </pivotArea>
    </format>
    <format dxfId="4791">
      <pivotArea dataOnly="0" labelOnly="1" fieldPosition="0">
        <references count="5">
          <reference field="1" count="1" selected="0">
            <x v="62"/>
          </reference>
          <reference field="5" count="1" selected="0">
            <x v="9"/>
          </reference>
          <reference field="6" count="1" selected="0">
            <x v="10"/>
          </reference>
          <reference field="7" count="1" selected="0">
            <x v="145"/>
          </reference>
          <reference field="8" count="1">
            <x v="505"/>
          </reference>
        </references>
      </pivotArea>
    </format>
    <format dxfId="4790">
      <pivotArea dataOnly="0" labelOnly="1" fieldPosition="0">
        <references count="5">
          <reference field="1" count="1" selected="0">
            <x v="62"/>
          </reference>
          <reference field="5" count="1" selected="0">
            <x v="11"/>
          </reference>
          <reference field="6" count="1" selected="0">
            <x v="10"/>
          </reference>
          <reference field="7" count="1" selected="0">
            <x v="145"/>
          </reference>
          <reference field="8" count="1">
            <x v="761"/>
          </reference>
        </references>
      </pivotArea>
    </format>
    <format dxfId="4789">
      <pivotArea dataOnly="0" labelOnly="1" fieldPosition="0">
        <references count="5">
          <reference field="1" count="1" selected="0">
            <x v="62"/>
          </reference>
          <reference field="5" count="1" selected="0">
            <x v="12"/>
          </reference>
          <reference field="6" count="1" selected="0">
            <x v="1"/>
          </reference>
          <reference field="7" count="1" selected="0">
            <x v="145"/>
          </reference>
          <reference field="8" count="1">
            <x v="213"/>
          </reference>
        </references>
      </pivotArea>
    </format>
    <format dxfId="4788">
      <pivotArea dataOnly="0" labelOnly="1" fieldPosition="0">
        <references count="5">
          <reference field="1" count="1" selected="0">
            <x v="62"/>
          </reference>
          <reference field="5" count="1" selected="0">
            <x v="26"/>
          </reference>
          <reference field="6" count="1" selected="0">
            <x v="37"/>
          </reference>
          <reference field="7" count="1" selected="0">
            <x v="145"/>
          </reference>
          <reference field="8" count="1">
            <x v="469"/>
          </reference>
        </references>
      </pivotArea>
    </format>
    <format dxfId="4787">
      <pivotArea dataOnly="0" labelOnly="1" fieldPosition="0">
        <references count="5">
          <reference field="1" count="1" selected="0">
            <x v="62"/>
          </reference>
          <reference field="5" count="1" selected="0">
            <x v="29"/>
          </reference>
          <reference field="6" count="1" selected="0">
            <x v="10"/>
          </reference>
          <reference field="7" count="1" selected="0">
            <x v="145"/>
          </reference>
          <reference field="8" count="1">
            <x v="1091"/>
          </reference>
        </references>
      </pivotArea>
    </format>
    <format dxfId="4786">
      <pivotArea dataOnly="0" labelOnly="1" fieldPosition="0">
        <references count="5">
          <reference field="1" count="1" selected="0">
            <x v="62"/>
          </reference>
          <reference field="5" count="1" selected="0">
            <x v="36"/>
          </reference>
          <reference field="6" count="1" selected="0">
            <x v="10"/>
          </reference>
          <reference field="7" count="1" selected="0">
            <x v="145"/>
          </reference>
          <reference field="8" count="1">
            <x v="1614"/>
          </reference>
        </references>
      </pivotArea>
    </format>
    <format dxfId="4785">
      <pivotArea dataOnly="0" labelOnly="1" fieldPosition="0">
        <references count="5">
          <reference field="1" count="1" selected="0">
            <x v="62"/>
          </reference>
          <reference field="5" count="1" selected="0">
            <x v="37"/>
          </reference>
          <reference field="6" count="1" selected="0">
            <x v="10"/>
          </reference>
          <reference field="7" count="1" selected="0">
            <x v="145"/>
          </reference>
          <reference field="8" count="1">
            <x v="1568"/>
          </reference>
        </references>
      </pivotArea>
    </format>
    <format dxfId="4784">
      <pivotArea dataOnly="0" labelOnly="1" fieldPosition="0">
        <references count="5">
          <reference field="1" count="1" selected="0">
            <x v="62"/>
          </reference>
          <reference field="5" count="1" selected="0">
            <x v="38"/>
          </reference>
          <reference field="6" count="1" selected="0">
            <x v="10"/>
          </reference>
          <reference field="7" count="1" selected="0">
            <x v="145"/>
          </reference>
          <reference field="8" count="1">
            <x v="1107"/>
          </reference>
        </references>
      </pivotArea>
    </format>
    <format dxfId="4783">
      <pivotArea dataOnly="0" labelOnly="1" fieldPosition="0">
        <references count="5">
          <reference field="1" count="1" selected="0">
            <x v="63"/>
          </reference>
          <reference field="5" count="1" selected="0">
            <x v="0"/>
          </reference>
          <reference field="6" count="1" selected="0">
            <x v="1"/>
          </reference>
          <reference field="7" count="1" selected="0">
            <x v="146"/>
          </reference>
          <reference field="8" count="1">
            <x v="80"/>
          </reference>
        </references>
      </pivotArea>
    </format>
    <format dxfId="4782">
      <pivotArea dataOnly="0" labelOnly="1" fieldPosition="0">
        <references count="5">
          <reference field="1" count="1" selected="0">
            <x v="63"/>
          </reference>
          <reference field="5" count="1" selected="0">
            <x v="0"/>
          </reference>
          <reference field="6" count="1" selected="0">
            <x v="6"/>
          </reference>
          <reference field="7" count="1" selected="0">
            <x v="146"/>
          </reference>
          <reference field="8" count="1">
            <x v="469"/>
          </reference>
        </references>
      </pivotArea>
    </format>
    <format dxfId="4781">
      <pivotArea dataOnly="0" labelOnly="1" fieldPosition="0">
        <references count="5">
          <reference field="1" count="1" selected="0">
            <x v="63"/>
          </reference>
          <reference field="5" count="1" selected="0">
            <x v="0"/>
          </reference>
          <reference field="6" count="1" selected="0">
            <x v="12"/>
          </reference>
          <reference field="7" count="1" selected="0">
            <x v="8"/>
          </reference>
          <reference field="8" count="1">
            <x v="37"/>
          </reference>
        </references>
      </pivotArea>
    </format>
    <format dxfId="4780">
      <pivotArea dataOnly="0" labelOnly="1" fieldPosition="0">
        <references count="5">
          <reference field="1" count="1" selected="0">
            <x v="63"/>
          </reference>
          <reference field="5" count="1" selected="0">
            <x v="0"/>
          </reference>
          <reference field="6" count="1" selected="0">
            <x v="12"/>
          </reference>
          <reference field="7" count="1" selected="0">
            <x v="38"/>
          </reference>
          <reference field="8" count="1">
            <x v="46"/>
          </reference>
        </references>
      </pivotArea>
    </format>
    <format dxfId="4779">
      <pivotArea dataOnly="0" labelOnly="1" fieldPosition="0">
        <references count="5">
          <reference field="1" count="1" selected="0">
            <x v="63"/>
          </reference>
          <reference field="5" count="1" selected="0">
            <x v="0"/>
          </reference>
          <reference field="6" count="1" selected="0">
            <x v="38"/>
          </reference>
          <reference field="7" count="1" selected="0">
            <x v="146"/>
          </reference>
          <reference field="8" count="1">
            <x v="524"/>
          </reference>
        </references>
      </pivotArea>
    </format>
    <format dxfId="4778">
      <pivotArea dataOnly="0" labelOnly="1" fieldPosition="0">
        <references count="5">
          <reference field="1" count="1" selected="0">
            <x v="63"/>
          </reference>
          <reference field="5" count="1" selected="0">
            <x v="8"/>
          </reference>
          <reference field="6" count="1" selected="0">
            <x v="38"/>
          </reference>
          <reference field="7" count="1" selected="0">
            <x v="146"/>
          </reference>
          <reference field="8" count="1">
            <x v="846"/>
          </reference>
        </references>
      </pivotArea>
    </format>
    <format dxfId="4777">
      <pivotArea dataOnly="0" labelOnly="1" fieldPosition="0">
        <references count="5">
          <reference field="1" count="1" selected="0">
            <x v="63"/>
          </reference>
          <reference field="5" count="1" selected="0">
            <x v="9"/>
          </reference>
          <reference field="6" count="1" selected="0">
            <x v="38"/>
          </reference>
          <reference field="7" count="1" selected="0">
            <x v="146"/>
          </reference>
          <reference field="8" count="1">
            <x v="198"/>
          </reference>
        </references>
      </pivotArea>
    </format>
    <format dxfId="4776">
      <pivotArea dataOnly="0" labelOnly="1" fieldPosition="0">
        <references count="5">
          <reference field="1" count="1" selected="0">
            <x v="63"/>
          </reference>
          <reference field="5" count="1" selected="0">
            <x v="12"/>
          </reference>
          <reference field="6" count="1" selected="0">
            <x v="1"/>
          </reference>
          <reference field="7" count="1" selected="0">
            <x v="146"/>
          </reference>
          <reference field="8" count="2">
            <x v="80"/>
            <x v="352"/>
          </reference>
        </references>
      </pivotArea>
    </format>
    <format dxfId="4775">
      <pivotArea dataOnly="0" labelOnly="1" fieldPosition="0">
        <references count="5">
          <reference field="1" count="1" selected="0">
            <x v="63"/>
          </reference>
          <reference field="5" count="1" selected="0">
            <x v="15"/>
          </reference>
          <reference field="6" count="1" selected="0">
            <x v="1"/>
          </reference>
          <reference field="7" count="1" selected="0">
            <x v="146"/>
          </reference>
          <reference field="8" count="1">
            <x v="383"/>
          </reference>
        </references>
      </pivotArea>
    </format>
    <format dxfId="4774">
      <pivotArea dataOnly="0" labelOnly="1" fieldPosition="0">
        <references count="5">
          <reference field="1" count="1" selected="0">
            <x v="63"/>
          </reference>
          <reference field="5" count="1" selected="0">
            <x v="30"/>
          </reference>
          <reference field="6" count="1" selected="0">
            <x v="6"/>
          </reference>
          <reference field="7" count="1" selected="0">
            <x v="146"/>
          </reference>
          <reference field="8" count="1">
            <x v="1795"/>
          </reference>
        </references>
      </pivotArea>
    </format>
    <format dxfId="4773">
      <pivotArea dataOnly="0" labelOnly="1" fieldPosition="0">
        <references count="5">
          <reference field="1" count="1" selected="0">
            <x v="64"/>
          </reference>
          <reference field="5" count="1" selected="0">
            <x v="0"/>
          </reference>
          <reference field="6" count="1" selected="0">
            <x v="1"/>
          </reference>
          <reference field="7" count="1" selected="0">
            <x v="148"/>
          </reference>
          <reference field="8" count="1">
            <x v="80"/>
          </reference>
        </references>
      </pivotArea>
    </format>
    <format dxfId="4772">
      <pivotArea dataOnly="0" labelOnly="1" fieldPosition="0">
        <references count="5">
          <reference field="1" count="1" selected="0">
            <x v="64"/>
          </reference>
          <reference field="5" count="1" selected="0">
            <x v="0"/>
          </reference>
          <reference field="6" count="1" selected="0">
            <x v="11"/>
          </reference>
          <reference field="7" count="1" selected="0">
            <x v="51"/>
          </reference>
          <reference field="8" count="1">
            <x v="39"/>
          </reference>
        </references>
      </pivotArea>
    </format>
    <format dxfId="4771">
      <pivotArea dataOnly="0" labelOnly="1" fieldPosition="0">
        <references count="5">
          <reference field="1" count="1" selected="0">
            <x v="64"/>
          </reference>
          <reference field="5" count="1" selected="0">
            <x v="0"/>
          </reference>
          <reference field="6" count="1" selected="0">
            <x v="12"/>
          </reference>
          <reference field="7" count="1" selected="0">
            <x v="10"/>
          </reference>
          <reference field="8" count="1">
            <x v="9"/>
          </reference>
        </references>
      </pivotArea>
    </format>
    <format dxfId="4770">
      <pivotArea dataOnly="0" labelOnly="1" fieldPosition="0">
        <references count="5">
          <reference field="1" count="1" selected="0">
            <x v="64"/>
          </reference>
          <reference field="5" count="1" selected="0">
            <x v="0"/>
          </reference>
          <reference field="6" count="1" selected="0">
            <x v="12"/>
          </reference>
          <reference field="7" count="1" selected="0">
            <x v="50"/>
          </reference>
          <reference field="8" count="1">
            <x v="469"/>
          </reference>
        </references>
      </pivotArea>
    </format>
    <format dxfId="4769">
      <pivotArea dataOnly="0" labelOnly="1" fieldPosition="0">
        <references count="5">
          <reference field="1" count="1" selected="0">
            <x v="64"/>
          </reference>
          <reference field="5" count="1" selected="0">
            <x v="0"/>
          </reference>
          <reference field="6" count="1" selected="0">
            <x v="25"/>
          </reference>
          <reference field="7" count="1" selected="0">
            <x v="147"/>
          </reference>
          <reference field="8" count="4">
            <x v="454"/>
            <x v="727"/>
            <x v="1042"/>
            <x v="1615"/>
          </reference>
        </references>
      </pivotArea>
    </format>
    <format dxfId="4768">
      <pivotArea dataOnly="0" labelOnly="1" fieldPosition="0">
        <references count="5">
          <reference field="1" count="1" selected="0">
            <x v="64"/>
          </reference>
          <reference field="5" count="1" selected="0">
            <x v="0"/>
          </reference>
          <reference field="6" count="1" selected="0">
            <x v="38"/>
          </reference>
          <reference field="7" count="1" selected="0">
            <x v="148"/>
          </reference>
          <reference field="8" count="1">
            <x v="592"/>
          </reference>
        </references>
      </pivotArea>
    </format>
    <format dxfId="4767">
      <pivotArea dataOnly="0" labelOnly="1" fieldPosition="0">
        <references count="5">
          <reference field="1" count="1" selected="0">
            <x v="64"/>
          </reference>
          <reference field="5" count="1" selected="0">
            <x v="2"/>
          </reference>
          <reference field="6" count="1" selected="0">
            <x v="25"/>
          </reference>
          <reference field="7" count="1" selected="0">
            <x v="147"/>
          </reference>
          <reference field="8" count="1">
            <x v="1822"/>
          </reference>
        </references>
      </pivotArea>
    </format>
    <format dxfId="4766">
      <pivotArea dataOnly="0" labelOnly="1" fieldPosition="0">
        <references count="5">
          <reference field="1" count="1" selected="0">
            <x v="64"/>
          </reference>
          <reference field="5" count="1" selected="0">
            <x v="12"/>
          </reference>
          <reference field="6" count="1" selected="0">
            <x v="1"/>
          </reference>
          <reference field="7" count="1" selected="0">
            <x v="148"/>
          </reference>
          <reference field="8" count="3">
            <x v="213"/>
            <x v="352"/>
            <x v="607"/>
          </reference>
        </references>
      </pivotArea>
    </format>
    <format dxfId="4765">
      <pivotArea dataOnly="0" labelOnly="1" fieldPosition="0">
        <references count="5">
          <reference field="1" count="1" selected="0">
            <x v="64"/>
          </reference>
          <reference field="5" count="1" selected="0">
            <x v="12"/>
          </reference>
          <reference field="6" count="1" selected="0">
            <x v="25"/>
          </reference>
          <reference field="7" count="1" selected="0">
            <x v="147"/>
          </reference>
          <reference field="8" count="23">
            <x v="476"/>
            <x v="961"/>
            <x v="987"/>
            <x v="1026"/>
            <x v="1117"/>
            <x v="1250"/>
            <x v="1287"/>
            <x v="1314"/>
            <x v="1411"/>
            <x v="1419"/>
            <x v="1422"/>
            <x v="1454"/>
            <x v="1486"/>
            <x v="1557"/>
            <x v="1580"/>
            <x v="1624"/>
            <x v="1628"/>
            <x v="1645"/>
            <x v="1657"/>
            <x v="1667"/>
            <x v="1668"/>
            <x v="1691"/>
            <x v="1778"/>
          </reference>
        </references>
      </pivotArea>
    </format>
    <format dxfId="4764">
      <pivotArea dataOnly="0" labelOnly="1" fieldPosition="0">
        <references count="5">
          <reference field="1" count="1" selected="0">
            <x v="64"/>
          </reference>
          <reference field="5" count="1" selected="0">
            <x v="15"/>
          </reference>
          <reference field="6" count="1" selected="0">
            <x v="25"/>
          </reference>
          <reference field="7" count="1" selected="0">
            <x v="147"/>
          </reference>
          <reference field="8" count="1">
            <x v="67"/>
          </reference>
        </references>
      </pivotArea>
    </format>
    <format dxfId="4763">
      <pivotArea dataOnly="0" labelOnly="1" fieldPosition="0">
        <references count="5">
          <reference field="1" count="1" selected="0">
            <x v="64"/>
          </reference>
          <reference field="5" count="1" selected="0">
            <x v="19"/>
          </reference>
          <reference field="6" count="1" selected="0">
            <x v="6"/>
          </reference>
          <reference field="7" count="1" selected="0">
            <x v="148"/>
          </reference>
          <reference field="8" count="1">
            <x v="480"/>
          </reference>
        </references>
      </pivotArea>
    </format>
    <format dxfId="4762">
      <pivotArea dataOnly="0" labelOnly="1" fieldPosition="0">
        <references count="5">
          <reference field="1" count="1" selected="0">
            <x v="64"/>
          </reference>
          <reference field="5" count="1" selected="0">
            <x v="23"/>
          </reference>
          <reference field="6" count="1" selected="0">
            <x v="25"/>
          </reference>
          <reference field="7" count="1" selected="0">
            <x v="147"/>
          </reference>
          <reference field="8" count="1">
            <x v="1880"/>
          </reference>
        </references>
      </pivotArea>
    </format>
    <format dxfId="4761">
      <pivotArea dataOnly="0" labelOnly="1" fieldPosition="0">
        <references count="5">
          <reference field="1" count="1" selected="0">
            <x v="64"/>
          </reference>
          <reference field="5" count="1" selected="0">
            <x v="24"/>
          </reference>
          <reference field="6" count="1" selected="0">
            <x v="25"/>
          </reference>
          <reference field="7" count="1" selected="0">
            <x v="147"/>
          </reference>
          <reference field="8" count="1">
            <x v="1817"/>
          </reference>
        </references>
      </pivotArea>
    </format>
    <format dxfId="4760">
      <pivotArea dataOnly="0" labelOnly="1" fieldPosition="0">
        <references count="5">
          <reference field="1" count="1" selected="0">
            <x v="64"/>
          </reference>
          <reference field="5" count="1" selected="0">
            <x v="27"/>
          </reference>
          <reference field="6" count="1" selected="0">
            <x v="25"/>
          </reference>
          <reference field="7" count="1" selected="0">
            <x v="147"/>
          </reference>
          <reference field="8" count="1">
            <x v="570"/>
          </reference>
        </references>
      </pivotArea>
    </format>
    <format dxfId="4759">
      <pivotArea dataOnly="0" labelOnly="1" fieldPosition="0">
        <references count="5">
          <reference field="1" count="1" selected="0">
            <x v="64"/>
          </reference>
          <reference field="5" count="1" selected="0">
            <x v="35"/>
          </reference>
          <reference field="6" count="1" selected="0">
            <x v="25"/>
          </reference>
          <reference field="7" count="1" selected="0">
            <x v="147"/>
          </reference>
          <reference field="8" count="8">
            <x v="207"/>
            <x v="244"/>
            <x v="361"/>
            <x v="406"/>
            <x v="598"/>
            <x v="916"/>
            <x v="953"/>
            <x v="990"/>
          </reference>
        </references>
      </pivotArea>
    </format>
    <format dxfId="4758">
      <pivotArea dataOnly="0" labelOnly="1" fieldPosition="0">
        <references count="5">
          <reference field="1" count="1" selected="0">
            <x v="64"/>
          </reference>
          <reference field="5" count="1" selected="0">
            <x v="37"/>
          </reference>
          <reference field="6" count="1" selected="0">
            <x v="25"/>
          </reference>
          <reference field="7" count="1" selected="0">
            <x v="147"/>
          </reference>
          <reference field="8" count="1">
            <x v="1823"/>
          </reference>
        </references>
      </pivotArea>
    </format>
    <format dxfId="4757">
      <pivotArea dataOnly="0" labelOnly="1" fieldPosition="0">
        <references count="5">
          <reference field="1" count="1" selected="0">
            <x v="65"/>
          </reference>
          <reference field="5" count="1" selected="0">
            <x v="0"/>
          </reference>
          <reference field="6" count="1" selected="0">
            <x v="9"/>
          </reference>
          <reference field="7" count="1" selected="0">
            <x v="149"/>
          </reference>
          <reference field="8" count="4">
            <x v="542"/>
            <x v="603"/>
            <x v="1230"/>
            <x v="1388"/>
          </reference>
        </references>
      </pivotArea>
    </format>
    <format dxfId="4756">
      <pivotArea dataOnly="0" labelOnly="1" fieldPosition="0">
        <references count="5">
          <reference field="1" count="1" selected="0">
            <x v="65"/>
          </reference>
          <reference field="5" count="1" selected="0">
            <x v="0"/>
          </reference>
          <reference field="6" count="1" selected="0">
            <x v="38"/>
          </reference>
          <reference field="7" count="1" selected="0">
            <x v="149"/>
          </reference>
          <reference field="8" count="2">
            <x v="262"/>
            <x v="469"/>
          </reference>
        </references>
      </pivotArea>
    </format>
    <format dxfId="4755">
      <pivotArea dataOnly="0" labelOnly="1" fieldPosition="0">
        <references count="5">
          <reference field="1" count="1" selected="0">
            <x v="65"/>
          </reference>
          <reference field="5" count="1" selected="0">
            <x v="3"/>
          </reference>
          <reference field="6" count="1" selected="0">
            <x v="38"/>
          </reference>
          <reference field="7" count="1" selected="0">
            <x v="149"/>
          </reference>
          <reference field="8" count="1">
            <x v="109"/>
          </reference>
        </references>
      </pivotArea>
    </format>
    <format dxfId="4754">
      <pivotArea dataOnly="0" labelOnly="1" fieldPosition="0">
        <references count="5">
          <reference field="1" count="1" selected="0">
            <x v="65"/>
          </reference>
          <reference field="5" count="1" selected="0">
            <x v="5"/>
          </reference>
          <reference field="6" count="1" selected="0">
            <x v="38"/>
          </reference>
          <reference field="7" count="1" selected="0">
            <x v="149"/>
          </reference>
          <reference field="8" count="1">
            <x v="1801"/>
          </reference>
        </references>
      </pivotArea>
    </format>
    <format dxfId="4753">
      <pivotArea dataOnly="0" labelOnly="1" fieldPosition="0">
        <references count="5">
          <reference field="1" count="1" selected="0">
            <x v="65"/>
          </reference>
          <reference field="5" count="1" selected="0">
            <x v="6"/>
          </reference>
          <reference field="6" count="1" selected="0">
            <x v="38"/>
          </reference>
          <reference field="7" count="1" selected="0">
            <x v="149"/>
          </reference>
          <reference field="8" count="1">
            <x v="678"/>
          </reference>
        </references>
      </pivotArea>
    </format>
    <format dxfId="4752">
      <pivotArea dataOnly="0" labelOnly="1" fieldPosition="0">
        <references count="5">
          <reference field="1" count="1" selected="0">
            <x v="65"/>
          </reference>
          <reference field="5" count="1" selected="0">
            <x v="8"/>
          </reference>
          <reference field="6" count="1" selected="0">
            <x v="10"/>
          </reference>
          <reference field="7" count="1" selected="0">
            <x v="149"/>
          </reference>
          <reference field="8" count="1">
            <x v="1315"/>
          </reference>
        </references>
      </pivotArea>
    </format>
    <format dxfId="4751">
      <pivotArea dataOnly="0" labelOnly="1" fieldPosition="0">
        <references count="5">
          <reference field="1" count="1" selected="0">
            <x v="65"/>
          </reference>
          <reference field="5" count="1" selected="0">
            <x v="8"/>
          </reference>
          <reference field="6" count="1" selected="0">
            <x v="38"/>
          </reference>
          <reference field="7" count="1" selected="0">
            <x v="149"/>
          </reference>
          <reference field="8" count="1">
            <x v="828"/>
          </reference>
        </references>
      </pivotArea>
    </format>
    <format dxfId="4750">
      <pivotArea dataOnly="0" labelOnly="1" fieldPosition="0">
        <references count="5">
          <reference field="1" count="1" selected="0">
            <x v="65"/>
          </reference>
          <reference field="5" count="1" selected="0">
            <x v="10"/>
          </reference>
          <reference field="6" count="1" selected="0">
            <x v="38"/>
          </reference>
          <reference field="7" count="1" selected="0">
            <x v="149"/>
          </reference>
          <reference field="8" count="1">
            <x v="1729"/>
          </reference>
        </references>
      </pivotArea>
    </format>
    <format dxfId="4749">
      <pivotArea dataOnly="0" labelOnly="1" fieldPosition="0">
        <references count="5">
          <reference field="1" count="1" selected="0">
            <x v="65"/>
          </reference>
          <reference field="5" count="1" selected="0">
            <x v="12"/>
          </reference>
          <reference field="6" count="1" selected="0">
            <x v="1"/>
          </reference>
          <reference field="7" count="1" selected="0">
            <x v="149"/>
          </reference>
          <reference field="8" count="2">
            <x v="80"/>
            <x v="213"/>
          </reference>
        </references>
      </pivotArea>
    </format>
    <format dxfId="4748">
      <pivotArea dataOnly="0" labelOnly="1" fieldPosition="0">
        <references count="5">
          <reference field="1" count="1" selected="0">
            <x v="65"/>
          </reference>
          <reference field="5" count="1" selected="0">
            <x v="15"/>
          </reference>
          <reference field="6" count="1" selected="0">
            <x v="8"/>
          </reference>
          <reference field="7" count="1" selected="0">
            <x v="149"/>
          </reference>
          <reference field="8" count="1">
            <x v="622"/>
          </reference>
        </references>
      </pivotArea>
    </format>
    <format dxfId="4747">
      <pivotArea dataOnly="0" labelOnly="1" fieldPosition="0">
        <references count="5">
          <reference field="1" count="1" selected="0">
            <x v="65"/>
          </reference>
          <reference field="5" count="1" selected="0">
            <x v="15"/>
          </reference>
          <reference field="6" count="1" selected="0">
            <x v="9"/>
          </reference>
          <reference field="7" count="1" selected="0">
            <x v="149"/>
          </reference>
          <reference field="8" count="1">
            <x v="333"/>
          </reference>
        </references>
      </pivotArea>
    </format>
    <format dxfId="4746">
      <pivotArea dataOnly="0" labelOnly="1" fieldPosition="0">
        <references count="5">
          <reference field="1" count="1" selected="0">
            <x v="65"/>
          </reference>
          <reference field="5" count="1" selected="0">
            <x v="15"/>
          </reference>
          <reference field="6" count="1" selected="0">
            <x v="10"/>
          </reference>
          <reference field="7" count="1" selected="0">
            <x v="149"/>
          </reference>
          <reference field="8" count="1">
            <x v="1416"/>
          </reference>
        </references>
      </pivotArea>
    </format>
    <format dxfId="4745">
      <pivotArea dataOnly="0" labelOnly="1" fieldPosition="0">
        <references count="5">
          <reference field="1" count="1" selected="0">
            <x v="65"/>
          </reference>
          <reference field="5" count="1" selected="0">
            <x v="15"/>
          </reference>
          <reference field="6" count="1" selected="0">
            <x v="38"/>
          </reference>
          <reference field="7" count="1" selected="0">
            <x v="149"/>
          </reference>
          <reference field="8" count="1">
            <x v="1037"/>
          </reference>
        </references>
      </pivotArea>
    </format>
    <format dxfId="4744">
      <pivotArea dataOnly="0" labelOnly="1" fieldPosition="0">
        <references count="5">
          <reference field="1" count="1" selected="0">
            <x v="65"/>
          </reference>
          <reference field="5" count="1" selected="0">
            <x v="23"/>
          </reference>
          <reference field="6" count="1" selected="0">
            <x v="7"/>
          </reference>
          <reference field="7" count="1" selected="0">
            <x v="149"/>
          </reference>
          <reference field="8" count="1">
            <x v="1274"/>
          </reference>
        </references>
      </pivotArea>
    </format>
    <format dxfId="4743">
      <pivotArea dataOnly="0" labelOnly="1" fieldPosition="0">
        <references count="5">
          <reference field="1" count="1" selected="0">
            <x v="66"/>
          </reference>
          <reference field="5" count="1" selected="0">
            <x v="0"/>
          </reference>
          <reference field="6" count="1" selected="0">
            <x v="1"/>
          </reference>
          <reference field="7" count="1" selected="0">
            <x v="150"/>
          </reference>
          <reference field="8" count="1">
            <x v="80"/>
          </reference>
        </references>
      </pivotArea>
    </format>
    <format dxfId="4742">
      <pivotArea dataOnly="0" labelOnly="1" fieldPosition="0">
        <references count="5">
          <reference field="1" count="1" selected="0">
            <x v="66"/>
          </reference>
          <reference field="5" count="1" selected="0">
            <x v="0"/>
          </reference>
          <reference field="6" count="1" selected="0">
            <x v="9"/>
          </reference>
          <reference field="7" count="1" selected="0">
            <x v="150"/>
          </reference>
          <reference field="8" count="4">
            <x v="491"/>
            <x v="813"/>
            <x v="1007"/>
            <x v="1076"/>
          </reference>
        </references>
      </pivotArea>
    </format>
    <format dxfId="4741">
      <pivotArea dataOnly="0" labelOnly="1" fieldPosition="0">
        <references count="5">
          <reference field="1" count="1" selected="0">
            <x v="66"/>
          </reference>
          <reference field="5" count="1" selected="0">
            <x v="0"/>
          </reference>
          <reference field="6" count="1" selected="0">
            <x v="12"/>
          </reference>
          <reference field="7" count="1" selected="0">
            <x v="18"/>
          </reference>
          <reference field="8" count="1">
            <x v="20"/>
          </reference>
        </references>
      </pivotArea>
    </format>
    <format dxfId="4740">
      <pivotArea dataOnly="0" labelOnly="1" fieldPosition="0">
        <references count="5">
          <reference field="1" count="1" selected="0">
            <x v="66"/>
          </reference>
          <reference field="5" count="1" selected="0">
            <x v="0"/>
          </reference>
          <reference field="6" count="1" selected="0">
            <x v="12"/>
          </reference>
          <reference field="7" count="1" selected="0">
            <x v="23"/>
          </reference>
          <reference field="8" count="1">
            <x v="9"/>
          </reference>
        </references>
      </pivotArea>
    </format>
    <format dxfId="4739">
      <pivotArea dataOnly="0" labelOnly="1" fieldPosition="0">
        <references count="5">
          <reference field="1" count="1" selected="0">
            <x v="66"/>
          </reference>
          <reference field="5" count="1" selected="0">
            <x v="0"/>
          </reference>
          <reference field="6" count="1" selected="0">
            <x v="12"/>
          </reference>
          <reference field="7" count="1" selected="0">
            <x v="32"/>
          </reference>
          <reference field="8" count="1">
            <x v="391"/>
          </reference>
        </references>
      </pivotArea>
    </format>
    <format dxfId="4738">
      <pivotArea dataOnly="0" labelOnly="1" fieldPosition="0">
        <references count="5">
          <reference field="1" count="1" selected="0">
            <x v="66"/>
          </reference>
          <reference field="5" count="1" selected="0">
            <x v="0"/>
          </reference>
          <reference field="6" count="1" selected="0">
            <x v="12"/>
          </reference>
          <reference field="7" count="1" selected="0">
            <x v="36"/>
          </reference>
          <reference field="8" count="1">
            <x v="236"/>
          </reference>
        </references>
      </pivotArea>
    </format>
    <format dxfId="4737">
      <pivotArea dataOnly="0" labelOnly="1" fieldPosition="0">
        <references count="5">
          <reference field="1" count="1" selected="0">
            <x v="66"/>
          </reference>
          <reference field="5" count="1" selected="0">
            <x v="0"/>
          </reference>
          <reference field="6" count="1" selected="0">
            <x v="38"/>
          </reference>
          <reference field="7" count="1" selected="0">
            <x v="150"/>
          </reference>
          <reference field="8" count="4">
            <x v="262"/>
            <x v="1041"/>
            <x v="1254"/>
            <x v="1308"/>
          </reference>
        </references>
      </pivotArea>
    </format>
    <format dxfId="4736">
      <pivotArea dataOnly="0" labelOnly="1" fieldPosition="0">
        <references count="5">
          <reference field="1" count="1" selected="0">
            <x v="66"/>
          </reference>
          <reference field="5" count="1" selected="0">
            <x v="2"/>
          </reference>
          <reference field="6" count="1" selected="0">
            <x v="1"/>
          </reference>
          <reference field="7" count="1" selected="0">
            <x v="150"/>
          </reference>
          <reference field="8" count="1">
            <x v="199"/>
          </reference>
        </references>
      </pivotArea>
    </format>
    <format dxfId="4735">
      <pivotArea dataOnly="0" labelOnly="1" fieldPosition="0">
        <references count="5">
          <reference field="1" count="1" selected="0">
            <x v="66"/>
          </reference>
          <reference field="5" count="1" selected="0">
            <x v="2"/>
          </reference>
          <reference field="6" count="1" selected="0">
            <x v="6"/>
          </reference>
          <reference field="7" count="1" selected="0">
            <x v="150"/>
          </reference>
          <reference field="8" count="1">
            <x v="1193"/>
          </reference>
        </references>
      </pivotArea>
    </format>
    <format dxfId="4734">
      <pivotArea dataOnly="0" labelOnly="1" fieldPosition="0">
        <references count="5">
          <reference field="1" count="1" selected="0">
            <x v="66"/>
          </reference>
          <reference field="5" count="1" selected="0">
            <x v="3"/>
          </reference>
          <reference field="6" count="1" selected="0">
            <x v="38"/>
          </reference>
          <reference field="7" count="1" selected="0">
            <x v="150"/>
          </reference>
          <reference field="8" count="1">
            <x v="530"/>
          </reference>
        </references>
      </pivotArea>
    </format>
    <format dxfId="4733">
      <pivotArea dataOnly="0" labelOnly="1" fieldPosition="0">
        <references count="5">
          <reference field="1" count="1" selected="0">
            <x v="66"/>
          </reference>
          <reference field="5" count="1" selected="0">
            <x v="4"/>
          </reference>
          <reference field="6" count="1" selected="0">
            <x v="1"/>
          </reference>
          <reference field="7" count="1" selected="0">
            <x v="150"/>
          </reference>
          <reference field="8" count="1">
            <x v="112"/>
          </reference>
        </references>
      </pivotArea>
    </format>
    <format dxfId="4732">
      <pivotArea dataOnly="0" labelOnly="1" fieldPosition="0">
        <references count="5">
          <reference field="1" count="1" selected="0">
            <x v="66"/>
          </reference>
          <reference field="5" count="1" selected="0">
            <x v="9"/>
          </reference>
          <reference field="6" count="1" selected="0">
            <x v="38"/>
          </reference>
          <reference field="7" count="1" selected="0">
            <x v="150"/>
          </reference>
          <reference field="8" count="1">
            <x v="1565"/>
          </reference>
        </references>
      </pivotArea>
    </format>
    <format dxfId="4731">
      <pivotArea dataOnly="0" labelOnly="1" fieldPosition="0">
        <references count="5">
          <reference field="1" count="1" selected="0">
            <x v="66"/>
          </reference>
          <reference field="5" count="1" selected="0">
            <x v="10"/>
          </reference>
          <reference field="6" count="1" selected="0">
            <x v="37"/>
          </reference>
          <reference field="7" count="1" selected="0">
            <x v="150"/>
          </reference>
          <reference field="8" count="1">
            <x v="1248"/>
          </reference>
        </references>
      </pivotArea>
    </format>
    <format dxfId="4730">
      <pivotArea dataOnly="0" labelOnly="1" fieldPosition="0">
        <references count="5">
          <reference field="1" count="1" selected="0">
            <x v="66"/>
          </reference>
          <reference field="5" count="1" selected="0">
            <x v="12"/>
          </reference>
          <reference field="6" count="1" selected="0">
            <x v="1"/>
          </reference>
          <reference field="7" count="1" selected="0">
            <x v="150"/>
          </reference>
          <reference field="8" count="2">
            <x v="80"/>
            <x v="213"/>
          </reference>
        </references>
      </pivotArea>
    </format>
    <format dxfId="4729">
      <pivotArea dataOnly="0" labelOnly="1" fieldPosition="0">
        <references count="5">
          <reference field="1" count="1" selected="0">
            <x v="66"/>
          </reference>
          <reference field="5" count="1" selected="0">
            <x v="12"/>
          </reference>
          <reference field="6" count="1" selected="0">
            <x v="38"/>
          </reference>
          <reference field="7" count="1" selected="0">
            <x v="150"/>
          </reference>
          <reference field="8" count="1">
            <x v="1414"/>
          </reference>
        </references>
      </pivotArea>
    </format>
    <format dxfId="4728">
      <pivotArea dataOnly="0" labelOnly="1" fieldPosition="0">
        <references count="5">
          <reference field="1" count="1" selected="0">
            <x v="66"/>
          </reference>
          <reference field="5" count="1" selected="0">
            <x v="15"/>
          </reference>
          <reference field="6" count="1" selected="0">
            <x v="9"/>
          </reference>
          <reference field="7" count="1" selected="0">
            <x v="150"/>
          </reference>
          <reference field="8" count="1">
            <x v="248"/>
          </reference>
        </references>
      </pivotArea>
    </format>
    <format dxfId="4727">
      <pivotArea dataOnly="0" labelOnly="1" fieldPosition="0">
        <references count="5">
          <reference field="1" count="1" selected="0">
            <x v="66"/>
          </reference>
          <reference field="5" count="1" selected="0">
            <x v="15"/>
          </reference>
          <reference field="6" count="1" selected="0">
            <x v="37"/>
          </reference>
          <reference field="7" count="1" selected="0">
            <x v="150"/>
          </reference>
          <reference field="8" count="1">
            <x v="897"/>
          </reference>
        </references>
      </pivotArea>
    </format>
    <format dxfId="4726">
      <pivotArea dataOnly="0" labelOnly="1" fieldPosition="0">
        <references count="5">
          <reference field="1" count="1" selected="0">
            <x v="66"/>
          </reference>
          <reference field="5" count="1" selected="0">
            <x v="15"/>
          </reference>
          <reference field="6" count="1" selected="0">
            <x v="38"/>
          </reference>
          <reference field="7" count="1" selected="0">
            <x v="150"/>
          </reference>
          <reference field="8" count="1">
            <x v="1806"/>
          </reference>
        </references>
      </pivotArea>
    </format>
    <format dxfId="4725">
      <pivotArea dataOnly="0" labelOnly="1" fieldPosition="0">
        <references count="5">
          <reference field="1" count="1" selected="0">
            <x v="66"/>
          </reference>
          <reference field="5" count="1" selected="0">
            <x v="19"/>
          </reference>
          <reference field="6" count="1" selected="0">
            <x v="10"/>
          </reference>
          <reference field="7" count="1" selected="0">
            <x v="150"/>
          </reference>
          <reference field="8" count="1">
            <x v="511"/>
          </reference>
        </references>
      </pivotArea>
    </format>
    <format dxfId="4724">
      <pivotArea dataOnly="0" labelOnly="1" fieldPosition="0">
        <references count="5">
          <reference field="1" count="1" selected="0">
            <x v="66"/>
          </reference>
          <reference field="5" count="1" selected="0">
            <x v="23"/>
          </reference>
          <reference field="6" count="1" selected="0">
            <x v="9"/>
          </reference>
          <reference field="7" count="1" selected="0">
            <x v="150"/>
          </reference>
          <reference field="8" count="1">
            <x v="1485"/>
          </reference>
        </references>
      </pivotArea>
    </format>
    <format dxfId="4723">
      <pivotArea dataOnly="0" labelOnly="1" fieldPosition="0">
        <references count="5">
          <reference field="1" count="1" selected="0">
            <x v="66"/>
          </reference>
          <reference field="5" count="1" selected="0">
            <x v="26"/>
          </reference>
          <reference field="6" count="1" selected="0">
            <x v="1"/>
          </reference>
          <reference field="7" count="1" selected="0">
            <x v="150"/>
          </reference>
          <reference field="8" count="1">
            <x v="68"/>
          </reference>
        </references>
      </pivotArea>
    </format>
    <format dxfId="4722">
      <pivotArea dataOnly="0" labelOnly="1" fieldPosition="0">
        <references count="5">
          <reference field="1" count="1" selected="0">
            <x v="66"/>
          </reference>
          <reference field="5" count="1" selected="0">
            <x v="29"/>
          </reference>
          <reference field="6" count="1" selected="0">
            <x v="10"/>
          </reference>
          <reference field="7" count="1" selected="0">
            <x v="150"/>
          </reference>
          <reference field="8" count="1">
            <x v="1533"/>
          </reference>
        </references>
      </pivotArea>
    </format>
    <format dxfId="4721">
      <pivotArea dataOnly="0" labelOnly="1" fieldPosition="0">
        <references count="5">
          <reference field="1" count="1" selected="0">
            <x v="66"/>
          </reference>
          <reference field="5" count="1" selected="0">
            <x v="29"/>
          </reference>
          <reference field="6" count="1" selected="0">
            <x v="38"/>
          </reference>
          <reference field="7" count="1" selected="0">
            <x v="150"/>
          </reference>
          <reference field="8" count="1">
            <x v="352"/>
          </reference>
        </references>
      </pivotArea>
    </format>
    <format dxfId="4720">
      <pivotArea dataOnly="0" labelOnly="1" fieldPosition="0">
        <references count="5">
          <reference field="1" count="1" selected="0">
            <x v="66"/>
          </reference>
          <reference field="5" count="1" selected="0">
            <x v="35"/>
          </reference>
          <reference field="6" count="1" selected="0">
            <x v="38"/>
          </reference>
          <reference field="7" count="1" selected="0">
            <x v="150"/>
          </reference>
          <reference field="8" count="3">
            <x v="1160"/>
            <x v="1254"/>
            <x v="1414"/>
          </reference>
        </references>
      </pivotArea>
    </format>
    <format dxfId="4719">
      <pivotArea dataOnly="0" labelOnly="1" fieldPosition="0">
        <references count="5">
          <reference field="1" count="1" selected="0">
            <x v="66"/>
          </reference>
          <reference field="5" count="1" selected="0">
            <x v="36"/>
          </reference>
          <reference field="6" count="1" selected="0">
            <x v="38"/>
          </reference>
          <reference field="7" count="1" selected="0">
            <x v="150"/>
          </reference>
          <reference field="8" count="1">
            <x v="232"/>
          </reference>
        </references>
      </pivotArea>
    </format>
    <format dxfId="4718">
      <pivotArea dataOnly="0" labelOnly="1" fieldPosition="0">
        <references count="5">
          <reference field="1" count="1" selected="0">
            <x v="67"/>
          </reference>
          <reference field="5" count="1" selected="0">
            <x v="0"/>
          </reference>
          <reference field="6" count="1" selected="0">
            <x v="9"/>
          </reference>
          <reference field="7" count="1" selected="0">
            <x v="151"/>
          </reference>
          <reference field="8" count="1">
            <x v="1400"/>
          </reference>
        </references>
      </pivotArea>
    </format>
    <format dxfId="4717">
      <pivotArea dataOnly="0" labelOnly="1" fieldPosition="0">
        <references count="5">
          <reference field="1" count="1" selected="0">
            <x v="67"/>
          </reference>
          <reference field="5" count="1" selected="0">
            <x v="0"/>
          </reference>
          <reference field="6" count="1" selected="0">
            <x v="38"/>
          </reference>
          <reference field="7" count="1" selected="0">
            <x v="151"/>
          </reference>
          <reference field="8" count="1">
            <x v="522"/>
          </reference>
        </references>
      </pivotArea>
    </format>
    <format dxfId="4716">
      <pivotArea dataOnly="0" labelOnly="1" fieldPosition="0">
        <references count="5">
          <reference field="1" count="1" selected="0">
            <x v="67"/>
          </reference>
          <reference field="5" count="1" selected="0">
            <x v="2"/>
          </reference>
          <reference field="6" count="1" selected="0">
            <x v="6"/>
          </reference>
          <reference field="7" count="1" selected="0">
            <x v="151"/>
          </reference>
          <reference field="8" count="1">
            <x v="443"/>
          </reference>
        </references>
      </pivotArea>
    </format>
    <format dxfId="4715">
      <pivotArea dataOnly="0" labelOnly="1" fieldPosition="0">
        <references count="5">
          <reference field="1" count="1" selected="0">
            <x v="67"/>
          </reference>
          <reference field="5" count="1" selected="0">
            <x v="3"/>
          </reference>
          <reference field="6" count="1" selected="0">
            <x v="6"/>
          </reference>
          <reference field="7" count="1" selected="0">
            <x v="151"/>
          </reference>
          <reference field="8" count="1">
            <x v="1074"/>
          </reference>
        </references>
      </pivotArea>
    </format>
    <format dxfId="4714">
      <pivotArea dataOnly="0" labelOnly="1" fieldPosition="0">
        <references count="5">
          <reference field="1" count="1" selected="0">
            <x v="67"/>
          </reference>
          <reference field="5" count="1" selected="0">
            <x v="12"/>
          </reference>
          <reference field="6" count="1" selected="0">
            <x v="1"/>
          </reference>
          <reference field="7" count="1" selected="0">
            <x v="151"/>
          </reference>
          <reference field="8" count="2">
            <x v="80"/>
            <x v="213"/>
          </reference>
        </references>
      </pivotArea>
    </format>
    <format dxfId="4713">
      <pivotArea dataOnly="0" labelOnly="1" fieldPosition="0">
        <references count="5">
          <reference field="1" count="1" selected="0">
            <x v="67"/>
          </reference>
          <reference field="5" count="1" selected="0">
            <x v="24"/>
          </reference>
          <reference field="6" count="1" selected="0">
            <x v="38"/>
          </reference>
          <reference field="7" count="1" selected="0">
            <x v="151"/>
          </reference>
          <reference field="8" count="1">
            <x v="129"/>
          </reference>
        </references>
      </pivotArea>
    </format>
    <format dxfId="4712">
      <pivotArea dataOnly="0" labelOnly="1" fieldPosition="0">
        <references count="5">
          <reference field="1" count="1" selected="0">
            <x v="67"/>
          </reference>
          <reference field="5" count="1" selected="0">
            <x v="35"/>
          </reference>
          <reference field="6" count="1" selected="0">
            <x v="1"/>
          </reference>
          <reference field="7" count="1" selected="0">
            <x v="151"/>
          </reference>
          <reference field="8" count="2">
            <x v="80"/>
            <x v="500"/>
          </reference>
        </references>
      </pivotArea>
    </format>
    <format dxfId="4711">
      <pivotArea dataOnly="0" labelOnly="1" fieldPosition="0">
        <references count="5">
          <reference field="1" count="1" selected="0">
            <x v="68"/>
          </reference>
          <reference field="5" count="1" selected="0">
            <x v="0"/>
          </reference>
          <reference field="6" count="1" selected="0">
            <x v="1"/>
          </reference>
          <reference field="7" count="1" selected="0">
            <x v="152"/>
          </reference>
          <reference field="8" count="2">
            <x v="80"/>
            <x v="895"/>
          </reference>
        </references>
      </pivotArea>
    </format>
    <format dxfId="4710">
      <pivotArea dataOnly="0" labelOnly="1" fieldPosition="0">
        <references count="5">
          <reference field="1" count="1" selected="0">
            <x v="68"/>
          </reference>
          <reference field="5" count="1" selected="0">
            <x v="0"/>
          </reference>
          <reference field="6" count="1" selected="0">
            <x v="9"/>
          </reference>
          <reference field="7" count="1" selected="0">
            <x v="152"/>
          </reference>
          <reference field="8" count="1">
            <x v="124"/>
          </reference>
        </references>
      </pivotArea>
    </format>
    <format dxfId="4709">
      <pivotArea dataOnly="0" labelOnly="1" fieldPosition="0">
        <references count="5">
          <reference field="1" count="1" selected="0">
            <x v="68"/>
          </reference>
          <reference field="5" count="1" selected="0">
            <x v="0"/>
          </reference>
          <reference field="6" count="1" selected="0">
            <x v="12"/>
          </reference>
          <reference field="7" count="1" selected="0">
            <x v="50"/>
          </reference>
          <reference field="8" count="1">
            <x v="80"/>
          </reference>
        </references>
      </pivotArea>
    </format>
    <format dxfId="4708">
      <pivotArea dataOnly="0" labelOnly="1" fieldPosition="0">
        <references count="5">
          <reference field="1" count="1" selected="0">
            <x v="68"/>
          </reference>
          <reference field="5" count="1" selected="0">
            <x v="0"/>
          </reference>
          <reference field="6" count="1" selected="0">
            <x v="38"/>
          </reference>
          <reference field="7" count="1" selected="0">
            <x v="152"/>
          </reference>
          <reference field="8" count="1">
            <x v="633"/>
          </reference>
        </references>
      </pivotArea>
    </format>
    <format dxfId="4707">
      <pivotArea dataOnly="0" labelOnly="1" fieldPosition="0">
        <references count="5">
          <reference field="1" count="1" selected="0">
            <x v="68"/>
          </reference>
          <reference field="5" count="1" selected="0">
            <x v="3"/>
          </reference>
          <reference field="6" count="1" selected="0">
            <x v="1"/>
          </reference>
          <reference field="7" count="1" selected="0">
            <x v="152"/>
          </reference>
          <reference field="8" count="1">
            <x v="272"/>
          </reference>
        </references>
      </pivotArea>
    </format>
    <format dxfId="4706">
      <pivotArea dataOnly="0" labelOnly="1" fieldPosition="0">
        <references count="5">
          <reference field="1" count="1" selected="0">
            <x v="68"/>
          </reference>
          <reference field="5" count="1" selected="0">
            <x v="6"/>
          </reference>
          <reference field="6" count="1" selected="0">
            <x v="38"/>
          </reference>
          <reference field="7" count="1" selected="0">
            <x v="152"/>
          </reference>
          <reference field="8" count="1">
            <x v="524"/>
          </reference>
        </references>
      </pivotArea>
    </format>
    <format dxfId="4705">
      <pivotArea dataOnly="0" labelOnly="1" fieldPosition="0">
        <references count="5">
          <reference field="1" count="1" selected="0">
            <x v="68"/>
          </reference>
          <reference field="5" count="1" selected="0">
            <x v="12"/>
          </reference>
          <reference field="6" count="1" selected="0">
            <x v="1"/>
          </reference>
          <reference field="7" count="1" selected="0">
            <x v="152"/>
          </reference>
          <reference field="8" count="1">
            <x v="80"/>
          </reference>
        </references>
      </pivotArea>
    </format>
    <format dxfId="4704">
      <pivotArea dataOnly="0" labelOnly="1" fieldPosition="0">
        <references count="5">
          <reference field="1" count="1" selected="0">
            <x v="68"/>
          </reference>
          <reference field="5" count="1" selected="0">
            <x v="15"/>
          </reference>
          <reference field="6" count="1" selected="0">
            <x v="38"/>
          </reference>
          <reference field="7" count="1" selected="0">
            <x v="152"/>
          </reference>
          <reference field="8" count="1">
            <x v="1125"/>
          </reference>
        </references>
      </pivotArea>
    </format>
    <format dxfId="4703">
      <pivotArea dataOnly="0" labelOnly="1" fieldPosition="0">
        <references count="5">
          <reference field="1" count="1" selected="0">
            <x v="68"/>
          </reference>
          <reference field="5" count="1" selected="0">
            <x v="26"/>
          </reference>
          <reference field="6" count="1" selected="0">
            <x v="1"/>
          </reference>
          <reference field="7" count="1" selected="0">
            <x v="152"/>
          </reference>
          <reference field="8" count="1">
            <x v="539"/>
          </reference>
        </references>
      </pivotArea>
    </format>
    <format dxfId="4702">
      <pivotArea dataOnly="0" labelOnly="1" fieldPosition="0">
        <references count="5">
          <reference field="1" count="1" selected="0">
            <x v="68"/>
          </reference>
          <reference field="5" count="1" selected="0">
            <x v="27"/>
          </reference>
          <reference field="6" count="1" selected="0">
            <x v="10"/>
          </reference>
          <reference field="7" count="1" selected="0">
            <x v="152"/>
          </reference>
          <reference field="8" count="1">
            <x v="1172"/>
          </reference>
        </references>
      </pivotArea>
    </format>
    <format dxfId="4701">
      <pivotArea dataOnly="0" labelOnly="1" fieldPosition="0">
        <references count="5">
          <reference field="1" count="1" selected="0">
            <x v="68"/>
          </reference>
          <reference field="5" count="1" selected="0">
            <x v="35"/>
          </reference>
          <reference field="6" count="1" selected="0">
            <x v="1"/>
          </reference>
          <reference field="7" count="1" selected="0">
            <x v="152"/>
          </reference>
          <reference field="8" count="1">
            <x v="80"/>
          </reference>
        </references>
      </pivotArea>
    </format>
    <format dxfId="4700">
      <pivotArea dataOnly="0" labelOnly="1" fieldPosition="0">
        <references count="5">
          <reference field="1" count="1" selected="0">
            <x v="68"/>
          </reference>
          <reference field="5" count="1" selected="0">
            <x v="35"/>
          </reference>
          <reference field="6" count="1" selected="0">
            <x v="38"/>
          </reference>
          <reference field="7" count="1" selected="0">
            <x v="152"/>
          </reference>
          <reference field="8" count="1">
            <x v="92"/>
          </reference>
        </references>
      </pivotArea>
    </format>
    <format dxfId="4699">
      <pivotArea dataOnly="0" labelOnly="1" fieldPosition="0">
        <references count="5">
          <reference field="1" count="1" selected="0">
            <x v="69"/>
          </reference>
          <reference field="5" count="1" selected="0">
            <x v="0"/>
          </reference>
          <reference field="6" count="1" selected="0">
            <x v="12"/>
          </reference>
          <reference field="7" count="1" selected="0">
            <x v="48"/>
          </reference>
          <reference field="8" count="1">
            <x v="11"/>
          </reference>
        </references>
      </pivotArea>
    </format>
    <format dxfId="4698">
      <pivotArea dataOnly="0" labelOnly="1" fieldPosition="0">
        <references count="5">
          <reference field="1" count="1" selected="0">
            <x v="69"/>
          </reference>
          <reference field="5" count="1" selected="0">
            <x v="0"/>
          </reference>
          <reference field="6" count="1" selected="0">
            <x v="12"/>
          </reference>
          <reference field="7" count="1" selected="0">
            <x v="58"/>
          </reference>
          <reference field="8" count="1">
            <x v="6"/>
          </reference>
        </references>
      </pivotArea>
    </format>
    <format dxfId="4697">
      <pivotArea dataOnly="0" labelOnly="1" fieldPosition="0">
        <references count="5">
          <reference field="1" count="1" selected="0">
            <x v="70"/>
          </reference>
          <reference field="5" count="1" selected="0">
            <x v="0"/>
          </reference>
          <reference field="6" count="1" selected="0">
            <x v="6"/>
          </reference>
          <reference field="7" count="1" selected="0">
            <x v="153"/>
          </reference>
          <reference field="8" count="1">
            <x v="248"/>
          </reference>
        </references>
      </pivotArea>
    </format>
    <format dxfId="4696">
      <pivotArea dataOnly="0" labelOnly="1" fieldPosition="0">
        <references count="5">
          <reference field="1" count="1" selected="0">
            <x v="70"/>
          </reference>
          <reference field="5" count="1" selected="0">
            <x v="0"/>
          </reference>
          <reference field="6" count="1" selected="0">
            <x v="8"/>
          </reference>
          <reference field="7" count="1" selected="0">
            <x v="153"/>
          </reference>
          <reference field="8" count="1">
            <x v="1114"/>
          </reference>
        </references>
      </pivotArea>
    </format>
    <format dxfId="4695">
      <pivotArea dataOnly="0" labelOnly="1" fieldPosition="0">
        <references count="5">
          <reference field="1" count="1" selected="0">
            <x v="70"/>
          </reference>
          <reference field="5" count="1" selected="0">
            <x v="0"/>
          </reference>
          <reference field="6" count="1" selected="0">
            <x v="12"/>
          </reference>
          <reference field="7" count="1" selected="0">
            <x v="2"/>
          </reference>
          <reference field="8" count="1">
            <x v="109"/>
          </reference>
        </references>
      </pivotArea>
    </format>
    <format dxfId="4694">
      <pivotArea dataOnly="0" labelOnly="1" fieldPosition="0">
        <references count="5">
          <reference field="1" count="1" selected="0">
            <x v="70"/>
          </reference>
          <reference field="5" count="1" selected="0">
            <x v="0"/>
          </reference>
          <reference field="6" count="1" selected="0">
            <x v="12"/>
          </reference>
          <reference field="7" count="1" selected="0">
            <x v="27"/>
          </reference>
          <reference field="8" count="1">
            <x v="11"/>
          </reference>
        </references>
      </pivotArea>
    </format>
    <format dxfId="4693">
      <pivotArea dataOnly="0" labelOnly="1" fieldPosition="0">
        <references count="5">
          <reference field="1" count="1" selected="0">
            <x v="70"/>
          </reference>
          <reference field="5" count="1" selected="0">
            <x v="0"/>
          </reference>
          <reference field="6" count="1" selected="0">
            <x v="12"/>
          </reference>
          <reference field="7" count="1" selected="0">
            <x v="37"/>
          </reference>
          <reference field="8" count="1">
            <x v="90"/>
          </reference>
        </references>
      </pivotArea>
    </format>
    <format dxfId="4692">
      <pivotArea dataOnly="0" labelOnly="1" fieldPosition="0">
        <references count="5">
          <reference field="1" count="1" selected="0">
            <x v="70"/>
          </reference>
          <reference field="5" count="1" selected="0">
            <x v="0"/>
          </reference>
          <reference field="6" count="1" selected="0">
            <x v="12"/>
          </reference>
          <reference field="7" count="1" selected="0">
            <x v="52"/>
          </reference>
          <reference field="8" count="1">
            <x v="14"/>
          </reference>
        </references>
      </pivotArea>
    </format>
    <format dxfId="4691">
      <pivotArea dataOnly="0" labelOnly="1" fieldPosition="0">
        <references count="5">
          <reference field="1" count="1" selected="0">
            <x v="70"/>
          </reference>
          <reference field="5" count="1" selected="0">
            <x v="2"/>
          </reference>
          <reference field="6" count="1" selected="0">
            <x v="6"/>
          </reference>
          <reference field="7" count="1" selected="0">
            <x v="153"/>
          </reference>
          <reference field="8" count="1">
            <x v="790"/>
          </reference>
        </references>
      </pivotArea>
    </format>
    <format dxfId="4690">
      <pivotArea dataOnly="0" labelOnly="1" fieldPosition="0">
        <references count="5">
          <reference field="1" count="1" selected="0">
            <x v="70"/>
          </reference>
          <reference field="5" count="1" selected="0">
            <x v="12"/>
          </reference>
          <reference field="6" count="1" selected="0">
            <x v="1"/>
          </reference>
          <reference field="7" count="1" selected="0">
            <x v="153"/>
          </reference>
          <reference field="8" count="3">
            <x v="80"/>
            <x v="352"/>
            <x v="500"/>
          </reference>
        </references>
      </pivotArea>
    </format>
    <format dxfId="4689">
      <pivotArea dataOnly="0" labelOnly="1" fieldPosition="0">
        <references count="5">
          <reference field="1" count="1" selected="0">
            <x v="70"/>
          </reference>
          <reference field="5" count="1" selected="0">
            <x v="14"/>
          </reference>
          <reference field="6" count="1" selected="0">
            <x v="38"/>
          </reference>
          <reference field="7" count="1" selected="0">
            <x v="153"/>
          </reference>
          <reference field="8" count="1">
            <x v="569"/>
          </reference>
        </references>
      </pivotArea>
    </format>
    <format dxfId="4688">
      <pivotArea dataOnly="0" labelOnly="1" fieldPosition="0">
        <references count="5">
          <reference field="1" count="1" selected="0">
            <x v="70"/>
          </reference>
          <reference field="5" count="1" selected="0">
            <x v="15"/>
          </reference>
          <reference field="6" count="1" selected="0">
            <x v="1"/>
          </reference>
          <reference field="7" count="1" selected="0">
            <x v="153"/>
          </reference>
          <reference field="8" count="1">
            <x v="895"/>
          </reference>
        </references>
      </pivotArea>
    </format>
    <format dxfId="4687">
      <pivotArea dataOnly="0" labelOnly="1" fieldPosition="0">
        <references count="5">
          <reference field="1" count="1" selected="0">
            <x v="70"/>
          </reference>
          <reference field="5" count="1" selected="0">
            <x v="15"/>
          </reference>
          <reference field="6" count="1" selected="0">
            <x v="6"/>
          </reference>
          <reference field="7" count="1" selected="0">
            <x v="153"/>
          </reference>
          <reference field="8" count="1">
            <x v="410"/>
          </reference>
        </references>
      </pivotArea>
    </format>
    <format dxfId="4686">
      <pivotArea dataOnly="0" labelOnly="1" fieldPosition="0">
        <references count="5">
          <reference field="1" count="1" selected="0">
            <x v="70"/>
          </reference>
          <reference field="5" count="1" selected="0">
            <x v="17"/>
          </reference>
          <reference field="6" count="1" selected="0">
            <x v="6"/>
          </reference>
          <reference field="7" count="1" selected="0">
            <x v="153"/>
          </reference>
          <reference field="8" count="1">
            <x v="1477"/>
          </reference>
        </references>
      </pivotArea>
    </format>
    <format dxfId="4685">
      <pivotArea dataOnly="0" labelOnly="1" fieldPosition="0">
        <references count="5">
          <reference field="1" count="1" selected="0">
            <x v="70"/>
          </reference>
          <reference field="5" count="1" selected="0">
            <x v="28"/>
          </reference>
          <reference field="6" count="1" selected="0">
            <x v="1"/>
          </reference>
          <reference field="7" count="1" selected="0">
            <x v="153"/>
          </reference>
          <reference field="8" count="1">
            <x v="811"/>
          </reference>
        </references>
      </pivotArea>
    </format>
    <format dxfId="4684">
      <pivotArea dataOnly="0" labelOnly="1" fieldPosition="0">
        <references count="5">
          <reference field="1" count="1" selected="0">
            <x v="70"/>
          </reference>
          <reference field="5" count="1" selected="0">
            <x v="35"/>
          </reference>
          <reference field="6" count="1" selected="0">
            <x v="1"/>
          </reference>
          <reference field="7" count="1" selected="0">
            <x v="153"/>
          </reference>
          <reference field="8" count="1">
            <x v="80"/>
          </reference>
        </references>
      </pivotArea>
    </format>
    <format dxfId="4683">
      <pivotArea dataOnly="0" labelOnly="1" fieldPosition="0">
        <references count="5">
          <reference field="1" count="1" selected="0">
            <x v="70"/>
          </reference>
          <reference field="5" count="1" selected="0">
            <x v="35"/>
          </reference>
          <reference field="6" count="1" selected="0">
            <x v="38"/>
          </reference>
          <reference field="7" count="1" selected="0">
            <x v="153"/>
          </reference>
          <reference field="8" count="1">
            <x v="1041"/>
          </reference>
        </references>
      </pivotArea>
    </format>
    <format dxfId="4682">
      <pivotArea dataOnly="0" labelOnly="1" fieldPosition="0">
        <references count="5">
          <reference field="1" count="1" selected="0">
            <x v="71"/>
          </reference>
          <reference field="5" count="1" selected="0">
            <x v="0"/>
          </reference>
          <reference field="6" count="1" selected="0">
            <x v="6"/>
          </reference>
          <reference field="7" count="1" selected="0">
            <x v="154"/>
          </reference>
          <reference field="8" count="1">
            <x v="689"/>
          </reference>
        </references>
      </pivotArea>
    </format>
    <format dxfId="4681">
      <pivotArea dataOnly="0" labelOnly="1" fieldPosition="0">
        <references count="5">
          <reference field="1" count="1" selected="0">
            <x v="71"/>
          </reference>
          <reference field="5" count="1" selected="0">
            <x v="0"/>
          </reference>
          <reference field="6" count="1" selected="0">
            <x v="38"/>
          </reference>
          <reference field="7" count="1" selected="0">
            <x v="154"/>
          </reference>
          <reference field="8" count="1">
            <x v="628"/>
          </reference>
        </references>
      </pivotArea>
    </format>
    <format dxfId="4680">
      <pivotArea dataOnly="0" labelOnly="1" fieldPosition="0">
        <references count="5">
          <reference field="1" count="1" selected="0">
            <x v="71"/>
          </reference>
          <reference field="5" count="1" selected="0">
            <x v="6"/>
          </reference>
          <reference field="6" count="1" selected="0">
            <x v="38"/>
          </reference>
          <reference field="7" count="1" selected="0">
            <x v="154"/>
          </reference>
          <reference field="8" count="1">
            <x v="911"/>
          </reference>
        </references>
      </pivotArea>
    </format>
    <format dxfId="4679">
      <pivotArea dataOnly="0" labelOnly="1" fieldPosition="0">
        <references count="5">
          <reference field="1" count="1" selected="0">
            <x v="71"/>
          </reference>
          <reference field="5" count="1" selected="0">
            <x v="7"/>
          </reference>
          <reference field="6" count="1" selected="0">
            <x v="38"/>
          </reference>
          <reference field="7" count="1" selected="0">
            <x v="154"/>
          </reference>
          <reference field="8" count="1">
            <x v="564"/>
          </reference>
        </references>
      </pivotArea>
    </format>
    <format dxfId="4678">
      <pivotArea dataOnly="0" labelOnly="1" fieldPosition="0">
        <references count="5">
          <reference field="1" count="1" selected="0">
            <x v="71"/>
          </reference>
          <reference field="5" count="1" selected="0">
            <x v="8"/>
          </reference>
          <reference field="6" count="1" selected="0">
            <x v="38"/>
          </reference>
          <reference field="7" count="1" selected="0">
            <x v="154"/>
          </reference>
          <reference field="8" count="1">
            <x v="691"/>
          </reference>
        </references>
      </pivotArea>
    </format>
    <format dxfId="4677">
      <pivotArea dataOnly="0" labelOnly="1" fieldPosition="0">
        <references count="5">
          <reference field="1" count="1" selected="0">
            <x v="71"/>
          </reference>
          <reference field="5" count="1" selected="0">
            <x v="12"/>
          </reference>
          <reference field="6" count="1" selected="0">
            <x v="1"/>
          </reference>
          <reference field="7" count="1" selected="0">
            <x v="154"/>
          </reference>
          <reference field="8" count="4">
            <x v="213"/>
            <x v="352"/>
            <x v="702"/>
            <x v="846"/>
          </reference>
        </references>
      </pivotArea>
    </format>
    <format dxfId="4676">
      <pivotArea dataOnly="0" labelOnly="1" fieldPosition="0">
        <references count="5">
          <reference field="1" count="1" selected="0">
            <x v="71"/>
          </reference>
          <reference field="5" count="1" selected="0">
            <x v="15"/>
          </reference>
          <reference field="6" count="1" selected="0">
            <x v="38"/>
          </reference>
          <reference field="7" count="1" selected="0">
            <x v="154"/>
          </reference>
          <reference field="8" count="1">
            <x v="1274"/>
          </reference>
        </references>
      </pivotArea>
    </format>
    <format dxfId="4675">
      <pivotArea dataOnly="0" labelOnly="1" fieldPosition="0">
        <references count="5">
          <reference field="1" count="1" selected="0">
            <x v="71"/>
          </reference>
          <reference field="5" count="1" selected="0">
            <x v="19"/>
          </reference>
          <reference field="6" count="1" selected="0">
            <x v="6"/>
          </reference>
          <reference field="7" count="1" selected="0">
            <x v="154"/>
          </reference>
          <reference field="8" count="1">
            <x v="539"/>
          </reference>
        </references>
      </pivotArea>
    </format>
    <format dxfId="4674">
      <pivotArea dataOnly="0" labelOnly="1" fieldPosition="0">
        <references count="5">
          <reference field="1" count="1" selected="0">
            <x v="71"/>
          </reference>
          <reference field="5" count="1" selected="0">
            <x v="21"/>
          </reference>
          <reference field="6" count="1" selected="0">
            <x v="38"/>
          </reference>
          <reference field="7" count="1" selected="0">
            <x v="154"/>
          </reference>
          <reference field="8" count="1">
            <x v="1274"/>
          </reference>
        </references>
      </pivotArea>
    </format>
    <format dxfId="4673">
      <pivotArea dataOnly="0" labelOnly="1" fieldPosition="0">
        <references count="5">
          <reference field="1" count="1" selected="0">
            <x v="71"/>
          </reference>
          <reference field="5" count="1" selected="0">
            <x v="23"/>
          </reference>
          <reference field="6" count="1" selected="0">
            <x v="38"/>
          </reference>
          <reference field="7" count="1" selected="0">
            <x v="154"/>
          </reference>
          <reference field="8" count="1">
            <x v="1857"/>
          </reference>
        </references>
      </pivotArea>
    </format>
    <format dxfId="4672">
      <pivotArea dataOnly="0" labelOnly="1" fieldPosition="0">
        <references count="5">
          <reference field="1" count="1" selected="0">
            <x v="71"/>
          </reference>
          <reference field="5" count="1" selected="0">
            <x v="34"/>
          </reference>
          <reference field="6" count="1" selected="0">
            <x v="38"/>
          </reference>
          <reference field="7" count="1" selected="0">
            <x v="154"/>
          </reference>
          <reference field="8" count="1">
            <x v="872"/>
          </reference>
        </references>
      </pivotArea>
    </format>
    <format dxfId="4671">
      <pivotArea dataOnly="0" labelOnly="1" fieldPosition="0">
        <references count="5">
          <reference field="1" count="1" selected="0">
            <x v="71"/>
          </reference>
          <reference field="5" count="1" selected="0">
            <x v="35"/>
          </reference>
          <reference field="6" count="1" selected="0">
            <x v="1"/>
          </reference>
          <reference field="7" count="1" selected="0">
            <x v="154"/>
          </reference>
          <reference field="8" count="2">
            <x v="80"/>
            <x v="213"/>
          </reference>
        </references>
      </pivotArea>
    </format>
    <format dxfId="4670">
      <pivotArea dataOnly="0" labelOnly="1" fieldPosition="0">
        <references count="5">
          <reference field="1" count="1" selected="0">
            <x v="72"/>
          </reference>
          <reference field="5" count="1" selected="0">
            <x v="0"/>
          </reference>
          <reference field="6" count="1" selected="0">
            <x v="8"/>
          </reference>
          <reference field="7" count="1" selected="0">
            <x v="155"/>
          </reference>
          <reference field="8" count="8">
            <x v="148"/>
            <x v="358"/>
            <x v="390"/>
            <x v="482"/>
            <x v="549"/>
            <x v="578"/>
            <x v="610"/>
            <x v="1272"/>
          </reference>
        </references>
      </pivotArea>
    </format>
    <format dxfId="4669">
      <pivotArea dataOnly="0" labelOnly="1" fieldPosition="0">
        <references count="5">
          <reference field="1" count="1" selected="0">
            <x v="72"/>
          </reference>
          <reference field="5" count="1" selected="0">
            <x v="0"/>
          </reference>
          <reference field="6" count="1" selected="0">
            <x v="9"/>
          </reference>
          <reference field="7" count="1" selected="0">
            <x v="155"/>
          </reference>
          <reference field="8" count="15">
            <x v="81"/>
            <x v="163"/>
            <x v="213"/>
            <x v="424"/>
            <x v="499"/>
            <x v="830"/>
            <x v="856"/>
            <x v="908"/>
            <x v="942"/>
            <x v="1034"/>
            <x v="1036"/>
            <x v="1062"/>
            <x v="1084"/>
            <x v="1374"/>
            <x v="1418"/>
          </reference>
        </references>
      </pivotArea>
    </format>
    <format dxfId="4668">
      <pivotArea dataOnly="0" labelOnly="1" fieldPosition="0">
        <references count="5">
          <reference field="1" count="1" selected="0">
            <x v="72"/>
          </reference>
          <reference field="5" count="1" selected="0">
            <x v="0"/>
          </reference>
          <reference field="6" count="1" selected="0">
            <x v="12"/>
          </reference>
          <reference field="7" count="1" selected="0">
            <x v="19"/>
          </reference>
          <reference field="8" count="1">
            <x v="188"/>
          </reference>
        </references>
      </pivotArea>
    </format>
    <format dxfId="4667">
      <pivotArea dataOnly="0" labelOnly="1" fieldPosition="0">
        <references count="5">
          <reference field="1" count="1" selected="0">
            <x v="72"/>
          </reference>
          <reference field="5" count="1" selected="0">
            <x v="0"/>
          </reference>
          <reference field="6" count="1" selected="0">
            <x v="12"/>
          </reference>
          <reference field="7" count="1" selected="0">
            <x v="26"/>
          </reference>
          <reference field="8" count="1">
            <x v="52"/>
          </reference>
        </references>
      </pivotArea>
    </format>
    <format dxfId="4666">
      <pivotArea dataOnly="0" labelOnly="1" fieldPosition="0">
        <references count="5">
          <reference field="1" count="1" selected="0">
            <x v="72"/>
          </reference>
          <reference field="5" count="1" selected="0">
            <x v="0"/>
          </reference>
          <reference field="6" count="1" selected="0">
            <x v="12"/>
          </reference>
          <reference field="7" count="1" selected="0">
            <x v="50"/>
          </reference>
          <reference field="8" count="1">
            <x v="90"/>
          </reference>
        </references>
      </pivotArea>
    </format>
    <format dxfId="4665">
      <pivotArea dataOnly="0" labelOnly="1" fieldPosition="0">
        <references count="5">
          <reference field="1" count="1" selected="0">
            <x v="72"/>
          </reference>
          <reference field="5" count="1" selected="0">
            <x v="0"/>
          </reference>
          <reference field="6" count="1" selected="0">
            <x v="12"/>
          </reference>
          <reference field="7" count="1" selected="0">
            <x v="70"/>
          </reference>
          <reference field="8" count="1">
            <x v="11"/>
          </reference>
        </references>
      </pivotArea>
    </format>
    <format dxfId="4664">
      <pivotArea dataOnly="0" labelOnly="1" fieldPosition="0">
        <references count="5">
          <reference field="1" count="1" selected="0">
            <x v="72"/>
          </reference>
          <reference field="5" count="1" selected="0">
            <x v="5"/>
          </reference>
          <reference field="6" count="1" selected="0">
            <x v="38"/>
          </reference>
          <reference field="7" count="1" selected="0">
            <x v="155"/>
          </reference>
          <reference field="8" count="1">
            <x v="213"/>
          </reference>
        </references>
      </pivotArea>
    </format>
    <format dxfId="4663">
      <pivotArea dataOnly="0" labelOnly="1" fieldPosition="0">
        <references count="5">
          <reference field="1" count="1" selected="0">
            <x v="72"/>
          </reference>
          <reference field="5" count="1" selected="0">
            <x v="7"/>
          </reference>
          <reference field="6" count="1" selected="0">
            <x v="10"/>
          </reference>
          <reference field="7" count="1" selected="0">
            <x v="155"/>
          </reference>
          <reference field="8" count="1">
            <x v="1640"/>
          </reference>
        </references>
      </pivotArea>
    </format>
    <format dxfId="4662">
      <pivotArea dataOnly="0" labelOnly="1" fieldPosition="0">
        <references count="5">
          <reference field="1" count="1" selected="0">
            <x v="72"/>
          </reference>
          <reference field="5" count="1" selected="0">
            <x v="8"/>
          </reference>
          <reference field="6" count="1" selected="0">
            <x v="10"/>
          </reference>
          <reference field="7" count="1" selected="0">
            <x v="155"/>
          </reference>
          <reference field="8" count="1">
            <x v="647"/>
          </reference>
        </references>
      </pivotArea>
    </format>
    <format dxfId="4661">
      <pivotArea dataOnly="0" labelOnly="1" fieldPosition="0">
        <references count="5">
          <reference field="1" count="1" selected="0">
            <x v="72"/>
          </reference>
          <reference field="5" count="1" selected="0">
            <x v="8"/>
          </reference>
          <reference field="6" count="1" selected="0">
            <x v="38"/>
          </reference>
          <reference field="7" count="1" selected="0">
            <x v="155"/>
          </reference>
          <reference field="8" count="1">
            <x v="1259"/>
          </reference>
        </references>
      </pivotArea>
    </format>
    <format dxfId="4660">
      <pivotArea dataOnly="0" labelOnly="1" fieldPosition="0">
        <references count="5">
          <reference field="1" count="1" selected="0">
            <x v="72"/>
          </reference>
          <reference field="5" count="1" selected="0">
            <x v="9"/>
          </reference>
          <reference field="6" count="1" selected="0">
            <x v="8"/>
          </reference>
          <reference field="7" count="1" selected="0">
            <x v="155"/>
          </reference>
          <reference field="8" count="1">
            <x v="290"/>
          </reference>
        </references>
      </pivotArea>
    </format>
    <format dxfId="4659">
      <pivotArea dataOnly="0" labelOnly="1" fieldPosition="0">
        <references count="5">
          <reference field="1" count="1" selected="0">
            <x v="72"/>
          </reference>
          <reference field="5" count="1" selected="0">
            <x v="12"/>
          </reference>
          <reference field="6" count="1" selected="0">
            <x v="1"/>
          </reference>
          <reference field="7" count="1" selected="0">
            <x v="155"/>
          </reference>
          <reference field="8" count="5">
            <x v="80"/>
            <x v="352"/>
            <x v="607"/>
            <x v="702"/>
            <x v="846"/>
          </reference>
        </references>
      </pivotArea>
    </format>
    <format dxfId="4658">
      <pivotArea dataOnly="0" labelOnly="1" fieldPosition="0">
        <references count="5">
          <reference field="1" count="1" selected="0">
            <x v="72"/>
          </reference>
          <reference field="5" count="1" selected="0">
            <x v="15"/>
          </reference>
          <reference field="6" count="1" selected="0">
            <x v="8"/>
          </reference>
          <reference field="7" count="1" selected="0">
            <x v="155"/>
          </reference>
          <reference field="8" count="1">
            <x v="340"/>
          </reference>
        </references>
      </pivotArea>
    </format>
    <format dxfId="4657">
      <pivotArea dataOnly="0" labelOnly="1" fieldPosition="0">
        <references count="5">
          <reference field="1" count="1" selected="0">
            <x v="72"/>
          </reference>
          <reference field="5" count="1" selected="0">
            <x v="17"/>
          </reference>
          <reference field="6" count="1" selected="0">
            <x v="6"/>
          </reference>
          <reference field="7" count="1" selected="0">
            <x v="155"/>
          </reference>
          <reference field="8" count="1">
            <x v="1863"/>
          </reference>
        </references>
      </pivotArea>
    </format>
    <format dxfId="4656">
      <pivotArea dataOnly="0" labelOnly="1" fieldPosition="0">
        <references count="5">
          <reference field="1" count="1" selected="0">
            <x v="72"/>
          </reference>
          <reference field="5" count="1" selected="0">
            <x v="23"/>
          </reference>
          <reference field="6" count="1" selected="0">
            <x v="9"/>
          </reference>
          <reference field="7" count="1" selected="0">
            <x v="155"/>
          </reference>
          <reference field="8" count="1">
            <x v="558"/>
          </reference>
        </references>
      </pivotArea>
    </format>
    <format dxfId="4655">
      <pivotArea dataOnly="0" labelOnly="1" fieldPosition="0">
        <references count="5">
          <reference field="1" count="1" selected="0">
            <x v="72"/>
          </reference>
          <reference field="5" count="1" selected="0">
            <x v="25"/>
          </reference>
          <reference field="6" count="1" selected="0">
            <x v="9"/>
          </reference>
          <reference field="7" count="1" selected="0">
            <x v="155"/>
          </reference>
          <reference field="8" count="1">
            <x v="932"/>
          </reference>
        </references>
      </pivotArea>
    </format>
    <format dxfId="4654">
      <pivotArea dataOnly="0" labelOnly="1" fieldPosition="0">
        <references count="5">
          <reference field="1" count="1" selected="0">
            <x v="72"/>
          </reference>
          <reference field="5" count="1" selected="0">
            <x v="27"/>
          </reference>
          <reference field="6" count="1" selected="0">
            <x v="1"/>
          </reference>
          <reference field="7" count="1" selected="0">
            <x v="155"/>
          </reference>
          <reference field="8" count="1">
            <x v="195"/>
          </reference>
        </references>
      </pivotArea>
    </format>
    <format dxfId="4653">
      <pivotArea dataOnly="0" labelOnly="1" fieldPosition="0">
        <references count="5">
          <reference field="1" count="1" selected="0">
            <x v="72"/>
          </reference>
          <reference field="5" count="1" selected="0">
            <x v="27"/>
          </reference>
          <reference field="6" count="1" selected="0">
            <x v="38"/>
          </reference>
          <reference field="7" count="1" selected="0">
            <x v="155"/>
          </reference>
          <reference field="8" count="1">
            <x v="413"/>
          </reference>
        </references>
      </pivotArea>
    </format>
    <format dxfId="4652">
      <pivotArea dataOnly="0" labelOnly="1" fieldPosition="0">
        <references count="5">
          <reference field="1" count="1" selected="0">
            <x v="72"/>
          </reference>
          <reference field="5" count="1" selected="0">
            <x v="29"/>
          </reference>
          <reference field="6" count="1" selected="0">
            <x v="10"/>
          </reference>
          <reference field="7" count="1" selected="0">
            <x v="155"/>
          </reference>
          <reference field="8" count="1">
            <x v="3"/>
          </reference>
        </references>
      </pivotArea>
    </format>
    <format dxfId="4651">
      <pivotArea dataOnly="0" labelOnly="1" fieldPosition="0">
        <references count="5">
          <reference field="1" count="1" selected="0">
            <x v="72"/>
          </reference>
          <reference field="5" count="1" selected="0">
            <x v="35"/>
          </reference>
          <reference field="6" count="1" selected="0">
            <x v="1"/>
          </reference>
          <reference field="7" count="1" selected="0">
            <x v="155"/>
          </reference>
          <reference field="8" count="1">
            <x v="80"/>
          </reference>
        </references>
      </pivotArea>
    </format>
    <format dxfId="4650">
      <pivotArea dataOnly="0" labelOnly="1" fieldPosition="0">
        <references count="5">
          <reference field="1" count="1" selected="0">
            <x v="72"/>
          </reference>
          <reference field="5" count="1" selected="0">
            <x v="37"/>
          </reference>
          <reference field="6" count="1" selected="0">
            <x v="8"/>
          </reference>
          <reference field="7" count="1" selected="0">
            <x v="155"/>
          </reference>
          <reference field="8" count="1">
            <x v="1492"/>
          </reference>
        </references>
      </pivotArea>
    </format>
    <format dxfId="4649">
      <pivotArea dataOnly="0" labelOnly="1" fieldPosition="0">
        <references count="5">
          <reference field="1" count="1" selected="0">
            <x v="72"/>
          </reference>
          <reference field="5" count="1" selected="0">
            <x v="37"/>
          </reference>
          <reference field="6" count="1" selected="0">
            <x v="9"/>
          </reference>
          <reference field="7" count="1" selected="0">
            <x v="155"/>
          </reference>
          <reference field="8" count="1">
            <x v="1404"/>
          </reference>
        </references>
      </pivotArea>
    </format>
    <format dxfId="4648">
      <pivotArea dataOnly="0" labelOnly="1" fieldPosition="0">
        <references count="5">
          <reference field="1" count="1" selected="0">
            <x v="73"/>
          </reference>
          <reference field="5" count="1" selected="0">
            <x v="0"/>
          </reference>
          <reference field="6" count="1" selected="0">
            <x v="6"/>
          </reference>
          <reference field="7" count="1" selected="0">
            <x v="156"/>
          </reference>
          <reference field="8" count="1">
            <x v="1173"/>
          </reference>
        </references>
      </pivotArea>
    </format>
    <format dxfId="4647">
      <pivotArea dataOnly="0" labelOnly="1" fieldPosition="0">
        <references count="5">
          <reference field="1" count="1" selected="0">
            <x v="73"/>
          </reference>
          <reference field="5" count="1" selected="0">
            <x v="0"/>
          </reference>
          <reference field="6" count="1" selected="0">
            <x v="12"/>
          </reference>
          <reference field="7" count="1" selected="0">
            <x v="30"/>
          </reference>
          <reference field="8" count="1">
            <x v="35"/>
          </reference>
        </references>
      </pivotArea>
    </format>
    <format dxfId="4646">
      <pivotArea dataOnly="0" labelOnly="1" fieldPosition="0">
        <references count="5">
          <reference field="1" count="1" selected="0">
            <x v="73"/>
          </reference>
          <reference field="5" count="1" selected="0">
            <x v="12"/>
          </reference>
          <reference field="6" count="1" selected="0">
            <x v="1"/>
          </reference>
          <reference field="7" count="1" selected="0">
            <x v="156"/>
          </reference>
          <reference field="8" count="2">
            <x v="80"/>
            <x v="213"/>
          </reference>
        </references>
      </pivotArea>
    </format>
    <format dxfId="4645">
      <pivotArea dataOnly="0" labelOnly="1" fieldPosition="0">
        <references count="5">
          <reference field="1" count="1" selected="0">
            <x v="73"/>
          </reference>
          <reference field="5" count="1" selected="0">
            <x v="21"/>
          </reference>
          <reference field="6" count="1" selected="0">
            <x v="38"/>
          </reference>
          <reference field="7" count="1" selected="0">
            <x v="156"/>
          </reference>
          <reference field="8" count="1">
            <x v="1652"/>
          </reference>
        </references>
      </pivotArea>
    </format>
    <format dxfId="4644">
      <pivotArea dataOnly="0" labelOnly="1" fieldPosition="0">
        <references count="5">
          <reference field="1" count="1" selected="0">
            <x v="73"/>
          </reference>
          <reference field="5" count="1" selected="0">
            <x v="23"/>
          </reference>
          <reference field="6" count="1" selected="0">
            <x v="38"/>
          </reference>
          <reference field="7" count="1" selected="0">
            <x v="156"/>
          </reference>
          <reference field="8" count="1">
            <x v="352"/>
          </reference>
        </references>
      </pivotArea>
    </format>
    <format dxfId="4643">
      <pivotArea dataOnly="0" labelOnly="1" fieldPosition="0">
        <references count="5">
          <reference field="1" count="1" selected="0">
            <x v="73"/>
          </reference>
          <reference field="5" count="1" selected="0">
            <x v="35"/>
          </reference>
          <reference field="6" count="1" selected="0">
            <x v="1"/>
          </reference>
          <reference field="7" count="1" selected="0">
            <x v="156"/>
          </reference>
          <reference field="8" count="1">
            <x v="213"/>
          </reference>
        </references>
      </pivotArea>
    </format>
    <format dxfId="4642">
      <pivotArea dataOnly="0" labelOnly="1" fieldPosition="0">
        <references count="5">
          <reference field="1" count="1" selected="0">
            <x v="73"/>
          </reference>
          <reference field="5" count="1" selected="0">
            <x v="35"/>
          </reference>
          <reference field="6" count="1" selected="0">
            <x v="38"/>
          </reference>
          <reference field="7" count="1" selected="0">
            <x v="156"/>
          </reference>
          <reference field="8" count="1">
            <x v="1399"/>
          </reference>
        </references>
      </pivotArea>
    </format>
    <format dxfId="4641">
      <pivotArea dataOnly="0" labelOnly="1" fieldPosition="0">
        <references count="5">
          <reference field="1" count="1" selected="0">
            <x v="74"/>
          </reference>
          <reference field="5" count="1" selected="0">
            <x v="0"/>
          </reference>
          <reference field="6" count="1" selected="0">
            <x v="8"/>
          </reference>
          <reference field="7" count="1" selected="0">
            <x v="157"/>
          </reference>
          <reference field="8" count="3">
            <x v="389"/>
            <x v="785"/>
            <x v="1187"/>
          </reference>
        </references>
      </pivotArea>
    </format>
    <format dxfId="4640">
      <pivotArea dataOnly="0" labelOnly="1" fieldPosition="0">
        <references count="5">
          <reference field="1" count="1" selected="0">
            <x v="74"/>
          </reference>
          <reference field="5" count="1" selected="0">
            <x v="0"/>
          </reference>
          <reference field="6" count="1" selected="0">
            <x v="9"/>
          </reference>
          <reference field="7" count="1" selected="0">
            <x v="157"/>
          </reference>
          <reference field="8" count="8">
            <x v="261"/>
            <x v="312"/>
            <x v="394"/>
            <x v="563"/>
            <x v="736"/>
            <x v="759"/>
            <x v="874"/>
            <x v="1282"/>
          </reference>
        </references>
      </pivotArea>
    </format>
    <format dxfId="4639">
      <pivotArea dataOnly="0" labelOnly="1" fieldPosition="0">
        <references count="5">
          <reference field="1" count="1" selected="0">
            <x v="74"/>
          </reference>
          <reference field="5" count="1" selected="0">
            <x v="5"/>
          </reference>
          <reference field="6" count="1" selected="0">
            <x v="38"/>
          </reference>
          <reference field="7" count="1" selected="0">
            <x v="157"/>
          </reference>
          <reference field="8" count="1">
            <x v="1358"/>
          </reference>
        </references>
      </pivotArea>
    </format>
    <format dxfId="4638">
      <pivotArea dataOnly="0" labelOnly="1" fieldPosition="0">
        <references count="5">
          <reference field="1" count="1" selected="0">
            <x v="74"/>
          </reference>
          <reference field="5" count="1" selected="0">
            <x v="8"/>
          </reference>
          <reference field="6" count="1" selected="0">
            <x v="38"/>
          </reference>
          <reference field="7" count="1" selected="0">
            <x v="157"/>
          </reference>
          <reference field="8" count="1">
            <x v="517"/>
          </reference>
        </references>
      </pivotArea>
    </format>
    <format dxfId="4637">
      <pivotArea dataOnly="0" labelOnly="1" fieldPosition="0">
        <references count="5">
          <reference field="1" count="1" selected="0">
            <x v="74"/>
          </reference>
          <reference field="5" count="1" selected="0">
            <x v="12"/>
          </reference>
          <reference field="6" count="1" selected="0">
            <x v="1"/>
          </reference>
          <reference field="7" count="1" selected="0">
            <x v="157"/>
          </reference>
          <reference field="8" count="2">
            <x v="213"/>
            <x v="352"/>
          </reference>
        </references>
      </pivotArea>
    </format>
    <format dxfId="4636">
      <pivotArea dataOnly="0" labelOnly="1" fieldPosition="0">
        <references count="5">
          <reference field="1" count="1" selected="0">
            <x v="74"/>
          </reference>
          <reference field="5" count="1" selected="0">
            <x v="12"/>
          </reference>
          <reference field="6" count="1" selected="0">
            <x v="38"/>
          </reference>
          <reference field="7" count="1" selected="0">
            <x v="157"/>
          </reference>
          <reference field="8" count="2">
            <x v="1001"/>
            <x v="1265"/>
          </reference>
        </references>
      </pivotArea>
    </format>
    <format dxfId="4635">
      <pivotArea dataOnly="0" labelOnly="1" fieldPosition="0">
        <references count="5">
          <reference field="1" count="1" selected="0">
            <x v="74"/>
          </reference>
          <reference field="5" count="1" selected="0">
            <x v="15"/>
          </reference>
          <reference field="6" count="1" selected="0">
            <x v="8"/>
          </reference>
          <reference field="7" count="1" selected="0">
            <x v="157"/>
          </reference>
          <reference field="8" count="1">
            <x v="869"/>
          </reference>
        </references>
      </pivotArea>
    </format>
    <format dxfId="4634">
      <pivotArea dataOnly="0" labelOnly="1" fieldPosition="0">
        <references count="5">
          <reference field="1" count="1" selected="0">
            <x v="74"/>
          </reference>
          <reference field="5" count="1" selected="0">
            <x v="15"/>
          </reference>
          <reference field="6" count="1" selected="0">
            <x v="10"/>
          </reference>
          <reference field="7" count="1" selected="0">
            <x v="157"/>
          </reference>
          <reference field="8" count="1">
            <x v="314"/>
          </reference>
        </references>
      </pivotArea>
    </format>
    <format dxfId="4633">
      <pivotArea dataOnly="0" labelOnly="1" fieldPosition="0">
        <references count="5">
          <reference field="1" count="1" selected="0">
            <x v="74"/>
          </reference>
          <reference field="5" count="1" selected="0">
            <x v="17"/>
          </reference>
          <reference field="6" count="1" selected="0">
            <x v="8"/>
          </reference>
          <reference field="7" count="1" selected="0">
            <x v="157"/>
          </reference>
          <reference field="8" count="1">
            <x v="1214"/>
          </reference>
        </references>
      </pivotArea>
    </format>
    <format dxfId="4632">
      <pivotArea dataOnly="0" labelOnly="1" fieldPosition="0">
        <references count="5">
          <reference field="1" count="1" selected="0">
            <x v="74"/>
          </reference>
          <reference field="5" count="1" selected="0">
            <x v="23"/>
          </reference>
          <reference field="6" count="1" selected="0">
            <x v="6"/>
          </reference>
          <reference field="7" count="1" selected="0">
            <x v="157"/>
          </reference>
          <reference field="8" count="1">
            <x v="1146"/>
          </reference>
        </references>
      </pivotArea>
    </format>
    <format dxfId="4631">
      <pivotArea dataOnly="0" labelOnly="1" fieldPosition="0">
        <references count="5">
          <reference field="1" count="1" selected="0">
            <x v="74"/>
          </reference>
          <reference field="5" count="1" selected="0">
            <x v="23"/>
          </reference>
          <reference field="6" count="1" selected="0">
            <x v="38"/>
          </reference>
          <reference field="7" count="1" selected="0">
            <x v="157"/>
          </reference>
          <reference field="8" count="1">
            <x v="369"/>
          </reference>
        </references>
      </pivotArea>
    </format>
    <format dxfId="4630">
      <pivotArea dataOnly="0" labelOnly="1" fieldPosition="0">
        <references count="5">
          <reference field="1" count="1" selected="0">
            <x v="74"/>
          </reference>
          <reference field="5" count="1" selected="0">
            <x v="26"/>
          </reference>
          <reference field="6" count="1" selected="0">
            <x v="38"/>
          </reference>
          <reference field="7" count="1" selected="0">
            <x v="157"/>
          </reference>
          <reference field="8" count="1">
            <x v="371"/>
          </reference>
        </references>
      </pivotArea>
    </format>
    <format dxfId="4629">
      <pivotArea dataOnly="0" labelOnly="1" fieldPosition="0">
        <references count="5">
          <reference field="1" count="1" selected="0">
            <x v="74"/>
          </reference>
          <reference field="5" count="1" selected="0">
            <x v="27"/>
          </reference>
          <reference field="6" count="1" selected="0">
            <x v="6"/>
          </reference>
          <reference field="7" count="1" selected="0">
            <x v="157"/>
          </reference>
          <reference field="8" count="1">
            <x v="1536"/>
          </reference>
        </references>
      </pivotArea>
    </format>
    <format dxfId="4628">
      <pivotArea dataOnly="0" labelOnly="1" fieldPosition="0">
        <references count="5">
          <reference field="1" count="1" selected="0">
            <x v="74"/>
          </reference>
          <reference field="5" count="1" selected="0">
            <x v="35"/>
          </reference>
          <reference field="6" count="1" selected="0">
            <x v="1"/>
          </reference>
          <reference field="7" count="1" selected="0">
            <x v="157"/>
          </reference>
          <reference field="8" count="1">
            <x v="80"/>
          </reference>
        </references>
      </pivotArea>
    </format>
    <format dxfId="4627">
      <pivotArea dataOnly="0" labelOnly="1" fieldPosition="0">
        <references count="5">
          <reference field="1" count="1" selected="0">
            <x v="74"/>
          </reference>
          <reference field="5" count="1" selected="0">
            <x v="36"/>
          </reference>
          <reference field="6" count="1" selected="0">
            <x v="9"/>
          </reference>
          <reference field="7" count="1" selected="0">
            <x v="157"/>
          </reference>
          <reference field="8" count="1">
            <x v="1351"/>
          </reference>
        </references>
      </pivotArea>
    </format>
    <format dxfId="4626">
      <pivotArea dataOnly="0" labelOnly="1" fieldPosition="0">
        <references count="5">
          <reference field="1" count="1" selected="0">
            <x v="74"/>
          </reference>
          <reference field="5" count="1" selected="0">
            <x v="36"/>
          </reference>
          <reference field="6" count="1" selected="0">
            <x v="38"/>
          </reference>
          <reference field="7" count="1" selected="0">
            <x v="157"/>
          </reference>
          <reference field="8" count="1">
            <x v="743"/>
          </reference>
        </references>
      </pivotArea>
    </format>
    <format dxfId="4625">
      <pivotArea dataOnly="0" labelOnly="1" fieldPosition="0">
        <references count="5">
          <reference field="1" count="1" selected="0">
            <x v="75"/>
          </reference>
          <reference field="5" count="1" selected="0">
            <x v="0"/>
          </reference>
          <reference field="6" count="1" selected="0">
            <x v="1"/>
          </reference>
          <reference field="7" count="1" selected="0">
            <x v="158"/>
          </reference>
          <reference field="8" count="1">
            <x v="213"/>
          </reference>
        </references>
      </pivotArea>
    </format>
    <format dxfId="4624">
      <pivotArea dataOnly="0" labelOnly="1" fieldPosition="0">
        <references count="5">
          <reference field="1" count="1" selected="0">
            <x v="75"/>
          </reference>
          <reference field="5" count="1" selected="0">
            <x v="0"/>
          </reference>
          <reference field="6" count="1" selected="0">
            <x v="6"/>
          </reference>
          <reference field="7" count="1" selected="0">
            <x v="158"/>
          </reference>
          <reference field="8" count="1">
            <x v="1286"/>
          </reference>
        </references>
      </pivotArea>
    </format>
    <format dxfId="4623">
      <pivotArea dataOnly="0" labelOnly="1" fieldPosition="0">
        <references count="5">
          <reference field="1" count="1" selected="0">
            <x v="75"/>
          </reference>
          <reference field="5" count="1" selected="0">
            <x v="0"/>
          </reference>
          <reference field="6" count="1" selected="0">
            <x v="12"/>
          </reference>
          <reference field="7" count="1" selected="0">
            <x v="46"/>
          </reference>
          <reference field="8" count="1">
            <x v="325"/>
          </reference>
        </references>
      </pivotArea>
    </format>
    <format dxfId="4622">
      <pivotArea dataOnly="0" labelOnly="1" fieldPosition="0">
        <references count="5">
          <reference field="1" count="1" selected="0">
            <x v="75"/>
          </reference>
          <reference field="5" count="1" selected="0">
            <x v="2"/>
          </reference>
          <reference field="6" count="1" selected="0">
            <x v="6"/>
          </reference>
          <reference field="7" count="1" selected="0">
            <x v="158"/>
          </reference>
          <reference field="8" count="1">
            <x v="631"/>
          </reference>
        </references>
      </pivotArea>
    </format>
    <format dxfId="4621">
      <pivotArea dataOnly="0" labelOnly="1" fieldPosition="0">
        <references count="5">
          <reference field="1" count="1" selected="0">
            <x v="75"/>
          </reference>
          <reference field="5" count="1" selected="0">
            <x v="3"/>
          </reference>
          <reference field="6" count="1" selected="0">
            <x v="6"/>
          </reference>
          <reference field="7" count="1" selected="0">
            <x v="158"/>
          </reference>
          <reference field="8" count="1">
            <x v="1227"/>
          </reference>
        </references>
      </pivotArea>
    </format>
    <format dxfId="4620">
      <pivotArea dataOnly="0" labelOnly="1" fieldPosition="0">
        <references count="5">
          <reference field="1" count="1" selected="0">
            <x v="75"/>
          </reference>
          <reference field="5" count="1" selected="0">
            <x v="3"/>
          </reference>
          <reference field="6" count="1" selected="0">
            <x v="38"/>
          </reference>
          <reference field="7" count="1" selected="0">
            <x v="158"/>
          </reference>
          <reference field="8" count="1">
            <x v="109"/>
          </reference>
        </references>
      </pivotArea>
    </format>
    <format dxfId="4619">
      <pivotArea dataOnly="0" labelOnly="1" fieldPosition="0">
        <references count="5">
          <reference field="1" count="1" selected="0">
            <x v="75"/>
          </reference>
          <reference field="5" count="1" selected="0">
            <x v="7"/>
          </reference>
          <reference field="6" count="1" selected="0">
            <x v="37"/>
          </reference>
          <reference field="7" count="1" selected="0">
            <x v="158"/>
          </reference>
          <reference field="8" count="1">
            <x v="1022"/>
          </reference>
        </references>
      </pivotArea>
    </format>
    <format dxfId="4618">
      <pivotArea dataOnly="0" labelOnly="1" fieldPosition="0">
        <references count="5">
          <reference field="1" count="1" selected="0">
            <x v="75"/>
          </reference>
          <reference field="5" count="1" selected="0">
            <x v="12"/>
          </reference>
          <reference field="6" count="1" selected="0">
            <x v="1"/>
          </reference>
          <reference field="7" count="1" selected="0">
            <x v="158"/>
          </reference>
          <reference field="8" count="4">
            <x v="80"/>
            <x v="213"/>
            <x v="352"/>
            <x v="607"/>
          </reference>
        </references>
      </pivotArea>
    </format>
    <format dxfId="4617">
      <pivotArea dataOnly="0" labelOnly="1" fieldPosition="0">
        <references count="5">
          <reference field="1" count="1" selected="0">
            <x v="75"/>
          </reference>
          <reference field="5" count="1" selected="0">
            <x v="15"/>
          </reference>
          <reference field="6" count="1" selected="0">
            <x v="38"/>
          </reference>
          <reference field="7" count="1" selected="0">
            <x v="158"/>
          </reference>
          <reference field="8" count="1">
            <x v="270"/>
          </reference>
        </references>
      </pivotArea>
    </format>
    <format dxfId="4616">
      <pivotArea dataOnly="0" labelOnly="1" fieldPosition="0">
        <references count="5">
          <reference field="1" count="1" selected="0">
            <x v="75"/>
          </reference>
          <reference field="5" count="1" selected="0">
            <x v="23"/>
          </reference>
          <reference field="6" count="1" selected="0">
            <x v="38"/>
          </reference>
          <reference field="7" count="1" selected="0">
            <x v="158"/>
          </reference>
          <reference field="8" count="1">
            <x v="756"/>
          </reference>
        </references>
      </pivotArea>
    </format>
    <format dxfId="4615">
      <pivotArea dataOnly="0" labelOnly="1" fieldPosition="0">
        <references count="5">
          <reference field="1" count="1" selected="0">
            <x v="75"/>
          </reference>
          <reference field="5" count="1" selected="0">
            <x v="35"/>
          </reference>
          <reference field="6" count="1" selected="0">
            <x v="1"/>
          </reference>
          <reference field="7" count="1" selected="0">
            <x v="158"/>
          </reference>
          <reference field="8" count="1">
            <x v="80"/>
          </reference>
        </references>
      </pivotArea>
    </format>
    <format dxfId="4614">
      <pivotArea dataOnly="0" labelOnly="1" fieldPosition="0">
        <references count="5">
          <reference field="1" count="1" selected="0">
            <x v="76"/>
          </reference>
          <reference field="5" count="1" selected="0">
            <x v="0"/>
          </reference>
          <reference field="6" count="1" selected="0">
            <x v="12"/>
          </reference>
          <reference field="7" count="1" selected="0">
            <x v="21"/>
          </reference>
          <reference field="8" count="1">
            <x v="6"/>
          </reference>
        </references>
      </pivotArea>
    </format>
    <format dxfId="4613">
      <pivotArea dataOnly="0" labelOnly="1" fieldPosition="0">
        <references count="5">
          <reference field="1" count="1" selected="0">
            <x v="76"/>
          </reference>
          <reference field="5" count="1" selected="0">
            <x v="0"/>
          </reference>
          <reference field="6" count="1" selected="0">
            <x v="12"/>
          </reference>
          <reference field="7" count="1" selected="0">
            <x v="23"/>
          </reference>
          <reference field="8" count="1">
            <x v="11"/>
          </reference>
        </references>
      </pivotArea>
    </format>
    <format dxfId="4612">
      <pivotArea dataOnly="0" labelOnly="1" fieldPosition="0">
        <references count="5">
          <reference field="1" count="1" selected="0">
            <x v="76"/>
          </reference>
          <reference field="5" count="1" selected="0">
            <x v="0"/>
          </reference>
          <reference field="6" count="1" selected="0">
            <x v="12"/>
          </reference>
          <reference field="7" count="1" selected="0">
            <x v="39"/>
          </reference>
          <reference field="8" count="1">
            <x v="180"/>
          </reference>
        </references>
      </pivotArea>
    </format>
    <format dxfId="4611">
      <pivotArea dataOnly="0" labelOnly="1" fieldPosition="0">
        <references count="5">
          <reference field="1" count="1" selected="0">
            <x v="76"/>
          </reference>
          <reference field="5" count="1" selected="0">
            <x v="0"/>
          </reference>
          <reference field="6" count="1" selected="0">
            <x v="12"/>
          </reference>
          <reference field="7" count="1" selected="0">
            <x v="52"/>
          </reference>
          <reference field="8" count="1">
            <x v="37"/>
          </reference>
        </references>
      </pivotArea>
    </format>
    <format dxfId="4610">
      <pivotArea dataOnly="0" labelOnly="1" fieldPosition="0">
        <references count="5">
          <reference field="1" count="1" selected="0">
            <x v="76"/>
          </reference>
          <reference field="5" count="1" selected="0">
            <x v="8"/>
          </reference>
          <reference field="6" count="1" selected="0">
            <x v="38"/>
          </reference>
          <reference field="7" count="1" selected="0">
            <x v="159"/>
          </reference>
          <reference field="8" count="1">
            <x v="498"/>
          </reference>
        </references>
      </pivotArea>
    </format>
    <format dxfId="4609">
      <pivotArea dataOnly="0" labelOnly="1" fieldPosition="0">
        <references count="5">
          <reference field="1" count="1" selected="0">
            <x v="76"/>
          </reference>
          <reference field="5" count="1" selected="0">
            <x v="12"/>
          </reference>
          <reference field="6" count="1" selected="0">
            <x v="1"/>
          </reference>
          <reference field="7" count="1" selected="0">
            <x v="159"/>
          </reference>
          <reference field="8" count="1">
            <x v="80"/>
          </reference>
        </references>
      </pivotArea>
    </format>
    <format dxfId="4608">
      <pivotArea dataOnly="0" labelOnly="1" fieldPosition="0">
        <references count="5">
          <reference field="1" count="1" selected="0">
            <x v="76"/>
          </reference>
          <reference field="5" count="1" selected="0">
            <x v="15"/>
          </reference>
          <reference field="6" count="1" selected="0">
            <x v="37"/>
          </reference>
          <reference field="7" count="1" selected="0">
            <x v="159"/>
          </reference>
          <reference field="8" count="1">
            <x v="1780"/>
          </reference>
        </references>
      </pivotArea>
    </format>
    <format dxfId="4607">
      <pivotArea dataOnly="0" labelOnly="1" fieldPosition="0">
        <references count="5">
          <reference field="1" count="1" selected="0">
            <x v="76"/>
          </reference>
          <reference field="5" count="1" selected="0">
            <x v="19"/>
          </reference>
          <reference field="6" count="1" selected="0">
            <x v="38"/>
          </reference>
          <reference field="7" count="1" selected="0">
            <x v="159"/>
          </reference>
          <reference field="8" count="1">
            <x v="217"/>
          </reference>
        </references>
      </pivotArea>
    </format>
    <format dxfId="4606">
      <pivotArea dataOnly="0" labelOnly="1" fieldPosition="0">
        <references count="5">
          <reference field="1" count="1" selected="0">
            <x v="77"/>
          </reference>
          <reference field="5" count="1" selected="0">
            <x v="0"/>
          </reference>
          <reference field="6" count="1" selected="0">
            <x v="12"/>
          </reference>
          <reference field="7" count="1" selected="0">
            <x v="16"/>
          </reference>
          <reference field="8" count="1">
            <x v="32"/>
          </reference>
        </references>
      </pivotArea>
    </format>
    <format dxfId="4605">
      <pivotArea dataOnly="0" labelOnly="1" fieldPosition="0">
        <references count="5">
          <reference field="1" count="1" selected="0">
            <x v="77"/>
          </reference>
          <reference field="5" count="1" selected="0">
            <x v="0"/>
          </reference>
          <reference field="6" count="1" selected="0">
            <x v="12"/>
          </reference>
          <reference field="7" count="1" selected="0">
            <x v="54"/>
          </reference>
          <reference field="8" count="1">
            <x v="35"/>
          </reference>
        </references>
      </pivotArea>
    </format>
    <format dxfId="4604">
      <pivotArea dataOnly="0" labelOnly="1" fieldPosition="0">
        <references count="5">
          <reference field="1" count="1" selected="0">
            <x v="77"/>
          </reference>
          <reference field="5" count="1" selected="0">
            <x v="0"/>
          </reference>
          <reference field="6" count="1" selected="0">
            <x v="12"/>
          </reference>
          <reference field="7" count="1" selected="0">
            <x v="56"/>
          </reference>
          <reference field="8" count="1">
            <x v="18"/>
          </reference>
        </references>
      </pivotArea>
    </format>
    <format dxfId="4603">
      <pivotArea dataOnly="0" labelOnly="1" fieldPosition="0">
        <references count="5">
          <reference field="1" count="1" selected="0">
            <x v="77"/>
          </reference>
          <reference field="5" count="1" selected="0">
            <x v="3"/>
          </reference>
          <reference field="6" count="1" selected="0">
            <x v="6"/>
          </reference>
          <reference field="7" count="1" selected="0">
            <x v="160"/>
          </reference>
          <reference field="8" count="1">
            <x v="1124"/>
          </reference>
        </references>
      </pivotArea>
    </format>
    <format dxfId="4602">
      <pivotArea dataOnly="0" labelOnly="1" fieldPosition="0">
        <references count="5">
          <reference field="1" count="1" selected="0">
            <x v="77"/>
          </reference>
          <reference field="5" count="1" selected="0">
            <x v="3"/>
          </reference>
          <reference field="6" count="1" selected="0">
            <x v="38"/>
          </reference>
          <reference field="7" count="1" selected="0">
            <x v="160"/>
          </reference>
          <reference field="8" count="1">
            <x v="371"/>
          </reference>
        </references>
      </pivotArea>
    </format>
    <format dxfId="4601">
      <pivotArea dataOnly="0" labelOnly="1" fieldPosition="0">
        <references count="5">
          <reference field="1" count="1" selected="0">
            <x v="77"/>
          </reference>
          <reference field="5" count="1" selected="0">
            <x v="5"/>
          </reference>
          <reference field="6" count="1" selected="0">
            <x v="38"/>
          </reference>
          <reference field="7" count="1" selected="0">
            <x v="160"/>
          </reference>
          <reference field="8" count="1">
            <x v="619"/>
          </reference>
        </references>
      </pivotArea>
    </format>
    <format dxfId="4600">
      <pivotArea dataOnly="0" labelOnly="1" fieldPosition="0">
        <references count="5">
          <reference field="1" count="1" selected="0">
            <x v="77"/>
          </reference>
          <reference field="5" count="1" selected="0">
            <x v="12"/>
          </reference>
          <reference field="6" count="1" selected="0">
            <x v="1"/>
          </reference>
          <reference field="7" count="1" selected="0">
            <x v="160"/>
          </reference>
          <reference field="8" count="2">
            <x v="80"/>
            <x v="213"/>
          </reference>
        </references>
      </pivotArea>
    </format>
    <format dxfId="4599">
      <pivotArea dataOnly="0" labelOnly="1" fieldPosition="0">
        <references count="5">
          <reference field="1" count="1" selected="0">
            <x v="77"/>
          </reference>
          <reference field="5" count="1" selected="0">
            <x v="35"/>
          </reference>
          <reference field="6" count="1" selected="0">
            <x v="1"/>
          </reference>
          <reference field="7" count="1" selected="0">
            <x v="160"/>
          </reference>
          <reference field="8" count="1">
            <x v="80"/>
          </reference>
        </references>
      </pivotArea>
    </format>
    <format dxfId="4598">
      <pivotArea dataOnly="0" labelOnly="1" fieldPosition="0">
        <references count="5">
          <reference field="1" count="1" selected="0">
            <x v="78"/>
          </reference>
          <reference field="5" count="1" selected="0">
            <x v="0"/>
          </reference>
          <reference field="6" count="1" selected="0">
            <x v="12"/>
          </reference>
          <reference field="7" count="1" selected="0">
            <x v="19"/>
          </reference>
          <reference field="8" count="1">
            <x v="8"/>
          </reference>
        </references>
      </pivotArea>
    </format>
    <format dxfId="4597">
      <pivotArea dataOnly="0" labelOnly="1" fieldPosition="0">
        <references count="5">
          <reference field="1" count="1" selected="0">
            <x v="78"/>
          </reference>
          <reference field="5" count="1" selected="0">
            <x v="0"/>
          </reference>
          <reference field="6" count="1" selected="0">
            <x v="12"/>
          </reference>
          <reference field="7" count="1" selected="0">
            <x v="23"/>
          </reference>
          <reference field="8" count="1">
            <x v="11"/>
          </reference>
        </references>
      </pivotArea>
    </format>
    <format dxfId="4596">
      <pivotArea dataOnly="0" labelOnly="1" fieldPosition="0">
        <references count="5">
          <reference field="1" count="1" selected="0">
            <x v="78"/>
          </reference>
          <reference field="5" count="1" selected="0">
            <x v="0"/>
          </reference>
          <reference field="6" count="1" selected="0">
            <x v="12"/>
          </reference>
          <reference field="7" count="1" selected="0">
            <x v="42"/>
          </reference>
          <reference field="8" count="1">
            <x v="59"/>
          </reference>
        </references>
      </pivotArea>
    </format>
    <format dxfId="4595">
      <pivotArea dataOnly="0" labelOnly="1" fieldPosition="0">
        <references count="5">
          <reference field="1" count="1" selected="0">
            <x v="78"/>
          </reference>
          <reference field="5" count="1" selected="0">
            <x v="0"/>
          </reference>
          <reference field="6" count="1" selected="0">
            <x v="12"/>
          </reference>
          <reference field="7" count="1" selected="0">
            <x v="47"/>
          </reference>
          <reference field="8" count="1">
            <x v="654"/>
          </reference>
        </references>
      </pivotArea>
    </format>
    <format dxfId="4594">
      <pivotArea dataOnly="0" labelOnly="1" fieldPosition="0">
        <references count="5">
          <reference field="1" count="1" selected="0">
            <x v="78"/>
          </reference>
          <reference field="5" count="1" selected="0">
            <x v="0"/>
          </reference>
          <reference field="6" count="1" selected="0">
            <x v="13"/>
          </reference>
          <reference field="7" count="1" selected="0">
            <x v="161"/>
          </reference>
          <reference field="8" count="6">
            <x v="172"/>
            <x v="534"/>
            <x v="889"/>
            <x v="899"/>
            <x v="975"/>
            <x v="997"/>
          </reference>
        </references>
      </pivotArea>
    </format>
    <format dxfId="4593">
      <pivotArea dataOnly="0" labelOnly="1" fieldPosition="0">
        <references count="5">
          <reference field="1" count="1" selected="0">
            <x v="78"/>
          </reference>
          <reference field="5" count="1" selected="0">
            <x v="2"/>
          </reference>
          <reference field="6" count="1" selected="0">
            <x v="13"/>
          </reference>
          <reference field="7" count="1" selected="0">
            <x v="161"/>
          </reference>
          <reference field="8" count="1">
            <x v="1868"/>
          </reference>
        </references>
      </pivotArea>
    </format>
    <format dxfId="4592">
      <pivotArea dataOnly="0" labelOnly="1" fieldPosition="0">
        <references count="5">
          <reference field="1" count="1" selected="0">
            <x v="78"/>
          </reference>
          <reference field="5" count="1" selected="0">
            <x v="3"/>
          </reference>
          <reference field="6" count="1" selected="0">
            <x v="13"/>
          </reference>
          <reference field="7" count="1" selected="0">
            <x v="161"/>
          </reference>
          <reference field="8" count="1">
            <x v="666"/>
          </reference>
        </references>
      </pivotArea>
    </format>
    <format dxfId="4591">
      <pivotArea dataOnly="0" labelOnly="1" fieldPosition="0">
        <references count="5">
          <reference field="1" count="1" selected="0">
            <x v="78"/>
          </reference>
          <reference field="5" count="1" selected="0">
            <x v="12"/>
          </reference>
          <reference field="6" count="1" selected="0">
            <x v="1"/>
          </reference>
          <reference field="7" count="1" selected="0">
            <x v="162"/>
          </reference>
          <reference field="8" count="1">
            <x v="213"/>
          </reference>
        </references>
      </pivotArea>
    </format>
    <format dxfId="4590">
      <pivotArea dataOnly="0" labelOnly="1" fieldPosition="0">
        <references count="5">
          <reference field="1" count="1" selected="0">
            <x v="78"/>
          </reference>
          <reference field="5" count="1" selected="0">
            <x v="12"/>
          </reference>
          <reference field="6" count="1" selected="0">
            <x v="13"/>
          </reference>
          <reference field="7" count="1" selected="0">
            <x v="161"/>
          </reference>
          <reference field="8" count="32">
            <x v="571"/>
            <x v="575"/>
            <x v="593"/>
            <x v="671"/>
            <x v="880"/>
            <x v="904"/>
            <x v="978"/>
            <x v="1012"/>
            <x v="1054"/>
            <x v="1224"/>
            <x v="1281"/>
            <x v="1310"/>
            <x v="1316"/>
            <x v="1381"/>
            <x v="1391"/>
            <x v="1405"/>
            <x v="1409"/>
            <x v="1430"/>
            <x v="1473"/>
            <x v="1496"/>
            <x v="1516"/>
            <x v="1538"/>
            <x v="1589"/>
            <x v="1594"/>
            <x v="1612"/>
            <x v="1621"/>
            <x v="1641"/>
            <x v="1687"/>
            <x v="1689"/>
            <x v="1736"/>
            <x v="1751"/>
            <x v="1752"/>
          </reference>
        </references>
      </pivotArea>
    </format>
    <format dxfId="4589">
      <pivotArea dataOnly="0" labelOnly="1" fieldPosition="0">
        <references count="5">
          <reference field="1" count="1" selected="0">
            <x v="78"/>
          </reference>
          <reference field="5" count="1" selected="0">
            <x v="14"/>
          </reference>
          <reference field="6" count="1" selected="0">
            <x v="13"/>
          </reference>
          <reference field="7" count="1" selected="0">
            <x v="161"/>
          </reference>
          <reference field="8" count="1">
            <x v="1055"/>
          </reference>
        </references>
      </pivotArea>
    </format>
    <format dxfId="4588">
      <pivotArea dataOnly="0" labelOnly="1" fieldPosition="0">
        <references count="5">
          <reference field="1" count="1" selected="0">
            <x v="78"/>
          </reference>
          <reference field="5" count="1" selected="0">
            <x v="15"/>
          </reference>
          <reference field="6" count="1" selected="0">
            <x v="13"/>
          </reference>
          <reference field="7" count="1" selected="0">
            <x v="161"/>
          </reference>
          <reference field="8" count="1">
            <x v="1755"/>
          </reference>
        </references>
      </pivotArea>
    </format>
    <format dxfId="4587">
      <pivotArea dataOnly="0" labelOnly="1" fieldPosition="0">
        <references count="5">
          <reference field="1" count="1" selected="0">
            <x v="78"/>
          </reference>
          <reference field="5" count="1" selected="0">
            <x v="17"/>
          </reference>
          <reference field="6" count="1" selected="0">
            <x v="13"/>
          </reference>
          <reference field="7" count="1" selected="0">
            <x v="161"/>
          </reference>
          <reference field="8" count="1">
            <x v="1266"/>
          </reference>
        </references>
      </pivotArea>
    </format>
    <format dxfId="4586">
      <pivotArea dataOnly="0" labelOnly="1" fieldPosition="0">
        <references count="5">
          <reference field="1" count="1" selected="0">
            <x v="78"/>
          </reference>
          <reference field="5" count="1" selected="0">
            <x v="21"/>
          </reference>
          <reference field="6" count="1" selected="0">
            <x v="13"/>
          </reference>
          <reference field="7" count="1" selected="0">
            <x v="161"/>
          </reference>
          <reference field="8" count="1">
            <x v="1662"/>
          </reference>
        </references>
      </pivotArea>
    </format>
    <format dxfId="4585">
      <pivotArea dataOnly="0" labelOnly="1" fieldPosition="0">
        <references count="5">
          <reference field="1" count="1" selected="0">
            <x v="78"/>
          </reference>
          <reference field="5" count="1" selected="0">
            <x v="23"/>
          </reference>
          <reference field="6" count="1" selected="0">
            <x v="1"/>
          </reference>
          <reference field="7" count="1" selected="0">
            <x v="162"/>
          </reference>
          <reference field="8" count="1">
            <x v="669"/>
          </reference>
        </references>
      </pivotArea>
    </format>
    <format dxfId="4584">
      <pivotArea dataOnly="0" labelOnly="1" fieldPosition="0">
        <references count="5">
          <reference field="1" count="1" selected="0">
            <x v="78"/>
          </reference>
          <reference field="5" count="1" selected="0">
            <x v="23"/>
          </reference>
          <reference field="6" count="1" selected="0">
            <x v="13"/>
          </reference>
          <reference field="7" count="1" selected="0">
            <x v="161"/>
          </reference>
          <reference field="8" count="1">
            <x v="1245"/>
          </reference>
        </references>
      </pivotArea>
    </format>
    <format dxfId="4583">
      <pivotArea dataOnly="0" labelOnly="1" fieldPosition="0">
        <references count="5">
          <reference field="1" count="1" selected="0">
            <x v="78"/>
          </reference>
          <reference field="5" count="1" selected="0">
            <x v="26"/>
          </reference>
          <reference field="6" count="1" selected="0">
            <x v="1"/>
          </reference>
          <reference field="7" count="1" selected="0">
            <x v="162"/>
          </reference>
          <reference field="8" count="1">
            <x v="278"/>
          </reference>
        </references>
      </pivotArea>
    </format>
    <format dxfId="4582">
      <pivotArea dataOnly="0" labelOnly="1" fieldPosition="0">
        <references count="5">
          <reference field="1" count="1" selected="0">
            <x v="78"/>
          </reference>
          <reference field="5" count="1" selected="0">
            <x v="35"/>
          </reference>
          <reference field="6" count="1" selected="0">
            <x v="1"/>
          </reference>
          <reference field="7" count="1" selected="0">
            <x v="162"/>
          </reference>
          <reference field="8" count="1">
            <x v="80"/>
          </reference>
        </references>
      </pivotArea>
    </format>
    <format dxfId="4581">
      <pivotArea dataOnly="0" labelOnly="1" fieldPosition="0">
        <references count="5">
          <reference field="1" count="1" selected="0">
            <x v="78"/>
          </reference>
          <reference field="5" count="1" selected="0">
            <x v="35"/>
          </reference>
          <reference field="6" count="1" selected="0">
            <x v="13"/>
          </reference>
          <reference field="7" count="1" selected="0">
            <x v="161"/>
          </reference>
          <reference field="8" count="13">
            <x v="175"/>
            <x v="307"/>
            <x v="308"/>
            <x v="400"/>
            <x v="472"/>
            <x v="484"/>
            <x v="672"/>
            <x v="850"/>
            <x v="853"/>
            <x v="893"/>
            <x v="951"/>
            <x v="1083"/>
            <x v="1183"/>
          </reference>
        </references>
      </pivotArea>
    </format>
    <format dxfId="4580">
      <pivotArea dataOnly="0" labelOnly="1" fieldPosition="0">
        <references count="5">
          <reference field="1" count="1" selected="0">
            <x v="78"/>
          </reference>
          <reference field="5" count="1" selected="0">
            <x v="36"/>
          </reference>
          <reference field="6" count="1" selected="0">
            <x v="6"/>
          </reference>
          <reference field="7" count="1" selected="0">
            <x v="162"/>
          </reference>
          <reference field="8" count="1">
            <x v="886"/>
          </reference>
        </references>
      </pivotArea>
    </format>
    <format dxfId="4579">
      <pivotArea dataOnly="0" labelOnly="1" fieldPosition="0">
        <references count="5">
          <reference field="1" count="1" selected="0">
            <x v="78"/>
          </reference>
          <reference field="5" count="1" selected="0">
            <x v="37"/>
          </reference>
          <reference field="6" count="1" selected="0">
            <x v="13"/>
          </reference>
          <reference field="7" count="1" selected="0">
            <x v="161"/>
          </reference>
          <reference field="8" count="1">
            <x v="416"/>
          </reference>
        </references>
      </pivotArea>
    </format>
    <format dxfId="4578">
      <pivotArea dataOnly="0" labelOnly="1" fieldPosition="0">
        <references count="5">
          <reference field="1" count="1" selected="0">
            <x v="79"/>
          </reference>
          <reference field="5" count="1" selected="0">
            <x v="0"/>
          </reference>
          <reference field="6" count="1" selected="0">
            <x v="8"/>
          </reference>
          <reference field="7" count="1" selected="0">
            <x v="163"/>
          </reference>
          <reference field="8" count="2">
            <x v="181"/>
            <x v="351"/>
          </reference>
        </references>
      </pivotArea>
    </format>
    <format dxfId="4577">
      <pivotArea dataOnly="0" labelOnly="1" fieldPosition="0">
        <references count="5">
          <reference field="1" count="1" selected="0">
            <x v="79"/>
          </reference>
          <reference field="5" count="1" selected="0">
            <x v="0"/>
          </reference>
          <reference field="6" count="1" selected="0">
            <x v="9"/>
          </reference>
          <reference field="7" count="1" selected="0">
            <x v="163"/>
          </reference>
          <reference field="8" count="6">
            <x v="167"/>
            <x v="229"/>
            <x v="467"/>
            <x v="517"/>
            <x v="878"/>
            <x v="1109"/>
          </reference>
        </references>
      </pivotArea>
    </format>
    <format dxfId="4576">
      <pivotArea dataOnly="0" labelOnly="1" fieldPosition="0">
        <references count="5">
          <reference field="1" count="1" selected="0">
            <x v="79"/>
          </reference>
          <reference field="5" count="1" selected="0">
            <x v="0"/>
          </reference>
          <reference field="6" count="1" selected="0">
            <x v="12"/>
          </reference>
          <reference field="7" count="1" selected="0">
            <x v="63"/>
          </reference>
          <reference field="8" count="1">
            <x v="6"/>
          </reference>
        </references>
      </pivotArea>
    </format>
    <format dxfId="4575">
      <pivotArea dataOnly="0" labelOnly="1" fieldPosition="0">
        <references count="5">
          <reference field="1" count="1" selected="0">
            <x v="79"/>
          </reference>
          <reference field="5" count="1" selected="0">
            <x v="0"/>
          </reference>
          <reference field="6" count="1" selected="0">
            <x v="12"/>
          </reference>
          <reference field="7" count="1" selected="0">
            <x v="66"/>
          </reference>
          <reference field="8" count="1">
            <x v="8"/>
          </reference>
        </references>
      </pivotArea>
    </format>
    <format dxfId="4574">
      <pivotArea dataOnly="0" labelOnly="1" fieldPosition="0">
        <references count="5">
          <reference field="1" count="1" selected="0">
            <x v="79"/>
          </reference>
          <reference field="5" count="1" selected="0">
            <x v="2"/>
          </reference>
          <reference field="6" count="1" selected="0">
            <x v="9"/>
          </reference>
          <reference field="7" count="1" selected="0">
            <x v="163"/>
          </reference>
          <reference field="8" count="1">
            <x v="1582"/>
          </reference>
        </references>
      </pivotArea>
    </format>
    <format dxfId="4573">
      <pivotArea dataOnly="0" labelOnly="1" fieldPosition="0">
        <references count="5">
          <reference field="1" count="1" selected="0">
            <x v="79"/>
          </reference>
          <reference field="5" count="1" selected="0">
            <x v="7"/>
          </reference>
          <reference field="6" count="1" selected="0">
            <x v="8"/>
          </reference>
          <reference field="7" count="1" selected="0">
            <x v="163"/>
          </reference>
          <reference field="8" count="1">
            <x v="751"/>
          </reference>
        </references>
      </pivotArea>
    </format>
    <format dxfId="4572">
      <pivotArea dataOnly="0" labelOnly="1" fieldPosition="0">
        <references count="5">
          <reference field="1" count="1" selected="0">
            <x v="79"/>
          </reference>
          <reference field="5" count="1" selected="0">
            <x v="12"/>
          </reference>
          <reference field="6" count="1" selected="0">
            <x v="1"/>
          </reference>
          <reference field="7" count="1" selected="0">
            <x v="163"/>
          </reference>
          <reference field="8" count="1">
            <x v="80"/>
          </reference>
        </references>
      </pivotArea>
    </format>
    <format dxfId="4571">
      <pivotArea dataOnly="0" labelOnly="1" fieldPosition="0">
        <references count="5">
          <reference field="1" count="1" selected="0">
            <x v="79"/>
          </reference>
          <reference field="5" count="1" selected="0">
            <x v="14"/>
          </reference>
          <reference field="6" count="1" selected="0">
            <x v="1"/>
          </reference>
          <reference field="7" count="1" selected="0">
            <x v="163"/>
          </reference>
          <reference field="8" count="1">
            <x v="109"/>
          </reference>
        </references>
      </pivotArea>
    </format>
    <format dxfId="4570">
      <pivotArea dataOnly="0" labelOnly="1" fieldPosition="0">
        <references count="5">
          <reference field="1" count="1" selected="0">
            <x v="79"/>
          </reference>
          <reference field="5" count="1" selected="0">
            <x v="14"/>
          </reference>
          <reference field="6" count="1" selected="0">
            <x v="38"/>
          </reference>
          <reference field="7" count="1" selected="0">
            <x v="163"/>
          </reference>
          <reference field="8" count="1">
            <x v="304"/>
          </reference>
        </references>
      </pivotArea>
    </format>
    <format dxfId="4569">
      <pivotArea dataOnly="0" labelOnly="1" fieldPosition="0">
        <references count="5">
          <reference field="1" count="1" selected="0">
            <x v="79"/>
          </reference>
          <reference field="5" count="1" selected="0">
            <x v="15"/>
          </reference>
          <reference field="6" count="1" selected="0">
            <x v="8"/>
          </reference>
          <reference field="7" count="1" selected="0">
            <x v="163"/>
          </reference>
          <reference field="8" count="1">
            <x v="1228"/>
          </reference>
        </references>
      </pivotArea>
    </format>
    <format dxfId="4568">
      <pivotArea dataOnly="0" labelOnly="1" fieldPosition="0">
        <references count="5">
          <reference field="1" count="1" selected="0">
            <x v="79"/>
          </reference>
          <reference field="5" count="1" selected="0">
            <x v="15"/>
          </reference>
          <reference field="6" count="1" selected="0">
            <x v="9"/>
          </reference>
          <reference field="7" count="1" selected="0">
            <x v="163"/>
          </reference>
          <reference field="8" count="1">
            <x v="248"/>
          </reference>
        </references>
      </pivotArea>
    </format>
    <format dxfId="4567">
      <pivotArea dataOnly="0" labelOnly="1" fieldPosition="0">
        <references count="5">
          <reference field="1" count="1" selected="0">
            <x v="79"/>
          </reference>
          <reference field="5" count="1" selected="0">
            <x v="23"/>
          </reference>
          <reference field="6" count="1" selected="0">
            <x v="7"/>
          </reference>
          <reference field="7" count="1" selected="0">
            <x v="163"/>
          </reference>
          <reference field="8" count="1">
            <x v="841"/>
          </reference>
        </references>
      </pivotArea>
    </format>
    <format dxfId="4566">
      <pivotArea dataOnly="0" labelOnly="1" fieldPosition="0">
        <references count="5">
          <reference field="1" count="1" selected="0">
            <x v="79"/>
          </reference>
          <reference field="5" count="1" selected="0">
            <x v="23"/>
          </reference>
          <reference field="6" count="1" selected="0">
            <x v="38"/>
          </reference>
          <reference field="7" count="1" selected="0">
            <x v="163"/>
          </reference>
          <reference field="8" count="1">
            <x v="122"/>
          </reference>
        </references>
      </pivotArea>
    </format>
    <format dxfId="4565">
      <pivotArea dataOnly="0" labelOnly="1" fieldPosition="0">
        <references count="5">
          <reference field="1" count="1" selected="0">
            <x v="79"/>
          </reference>
          <reference field="5" count="1" selected="0">
            <x v="28"/>
          </reference>
          <reference field="6" count="1" selected="0">
            <x v="1"/>
          </reference>
          <reference field="7" count="1" selected="0">
            <x v="163"/>
          </reference>
          <reference field="8" count="1">
            <x v="516"/>
          </reference>
        </references>
      </pivotArea>
    </format>
    <format dxfId="4564">
      <pivotArea dataOnly="0" labelOnly="1" fieldPosition="0">
        <references count="5">
          <reference field="1" count="1" selected="0">
            <x v="79"/>
          </reference>
          <reference field="5" count="1" selected="0">
            <x v="36"/>
          </reference>
          <reference field="6" count="1" selected="0">
            <x v="8"/>
          </reference>
          <reference field="7" count="1" selected="0">
            <x v="163"/>
          </reference>
          <reference field="8" count="1">
            <x v="1056"/>
          </reference>
        </references>
      </pivotArea>
    </format>
    <format dxfId="4563">
      <pivotArea dataOnly="0" labelOnly="1" fieldPosition="0">
        <references count="5">
          <reference field="1" count="1" selected="0">
            <x v="80"/>
          </reference>
          <reference field="5" count="1" selected="0">
            <x v="0"/>
          </reference>
          <reference field="6" count="1" selected="0">
            <x v="9"/>
          </reference>
          <reference field="7" count="1" selected="0">
            <x v="164"/>
          </reference>
          <reference field="8" count="2">
            <x v="371"/>
            <x v="533"/>
          </reference>
        </references>
      </pivotArea>
    </format>
    <format dxfId="4562">
      <pivotArea dataOnly="0" labelOnly="1" fieldPosition="0">
        <references count="5">
          <reference field="1" count="1" selected="0">
            <x v="80"/>
          </reference>
          <reference field="5" count="1" selected="0">
            <x v="0"/>
          </reference>
          <reference field="6" count="1" selected="0">
            <x v="10"/>
          </reference>
          <reference field="7" count="1" selected="0">
            <x v="164"/>
          </reference>
          <reference field="8" count="1">
            <x v="539"/>
          </reference>
        </references>
      </pivotArea>
    </format>
    <format dxfId="4561">
      <pivotArea dataOnly="0" labelOnly="1" fieldPosition="0">
        <references count="5">
          <reference field="1" count="1" selected="0">
            <x v="80"/>
          </reference>
          <reference field="5" count="1" selected="0">
            <x v="0"/>
          </reference>
          <reference field="6" count="1" selected="0">
            <x v="12"/>
          </reference>
          <reference field="7" count="1" selected="0">
            <x v="17"/>
          </reference>
          <reference field="8" count="1">
            <x v="188"/>
          </reference>
        </references>
      </pivotArea>
    </format>
    <format dxfId="4560">
      <pivotArea dataOnly="0" labelOnly="1" fieldPosition="0">
        <references count="5">
          <reference field="1" count="1" selected="0">
            <x v="80"/>
          </reference>
          <reference field="5" count="1" selected="0">
            <x v="0"/>
          </reference>
          <reference field="6" count="1" selected="0">
            <x v="12"/>
          </reference>
          <reference field="7" count="1" selected="0">
            <x v="23"/>
          </reference>
          <reference field="8" count="1">
            <x v="11"/>
          </reference>
        </references>
      </pivotArea>
    </format>
    <format dxfId="4559">
      <pivotArea dataOnly="0" labelOnly="1" fieldPosition="0">
        <references count="5">
          <reference field="1" count="1" selected="0">
            <x v="80"/>
          </reference>
          <reference field="5" count="1" selected="0">
            <x v="0"/>
          </reference>
          <reference field="6" count="1" selected="0">
            <x v="12"/>
          </reference>
          <reference field="7" count="1" selected="0">
            <x v="40"/>
          </reference>
          <reference field="8" count="1">
            <x v="188"/>
          </reference>
        </references>
      </pivotArea>
    </format>
    <format dxfId="4558">
      <pivotArea dataOnly="0" labelOnly="1" fieldPosition="0">
        <references count="5">
          <reference field="1" count="1" selected="0">
            <x v="80"/>
          </reference>
          <reference field="5" count="1" selected="0">
            <x v="3"/>
          </reference>
          <reference field="6" count="1" selected="0">
            <x v="38"/>
          </reference>
          <reference field="7" count="1" selected="0">
            <x v="164"/>
          </reference>
          <reference field="8" count="1">
            <x v="371"/>
          </reference>
        </references>
      </pivotArea>
    </format>
    <format dxfId="4557">
      <pivotArea dataOnly="0" labelOnly="1" fieldPosition="0">
        <references count="5">
          <reference field="1" count="1" selected="0">
            <x v="80"/>
          </reference>
          <reference field="5" count="1" selected="0">
            <x v="7"/>
          </reference>
          <reference field="6" count="1" selected="0">
            <x v="8"/>
          </reference>
          <reference field="7" count="1" selected="0">
            <x v="164"/>
          </reference>
          <reference field="8" count="1">
            <x v="83"/>
          </reference>
        </references>
      </pivotArea>
    </format>
    <format dxfId="4556">
      <pivotArea dataOnly="0" labelOnly="1" fieldPosition="0">
        <references count="5">
          <reference field="1" count="1" selected="0">
            <x v="80"/>
          </reference>
          <reference field="5" count="1" selected="0">
            <x v="10"/>
          </reference>
          <reference field="6" count="1" selected="0">
            <x v="6"/>
          </reference>
          <reference field="7" count="1" selected="0">
            <x v="164"/>
          </reference>
          <reference field="8" count="1">
            <x v="1647"/>
          </reference>
        </references>
      </pivotArea>
    </format>
    <format dxfId="4555">
      <pivotArea dataOnly="0" labelOnly="1" fieldPosition="0">
        <references count="5">
          <reference field="1" count="1" selected="0">
            <x v="80"/>
          </reference>
          <reference field="5" count="1" selected="0">
            <x v="10"/>
          </reference>
          <reference field="6" count="1" selected="0">
            <x v="8"/>
          </reference>
          <reference field="7" count="1" selected="0">
            <x v="164"/>
          </reference>
          <reference field="8" count="1">
            <x v="23"/>
          </reference>
        </references>
      </pivotArea>
    </format>
    <format dxfId="4554">
      <pivotArea dataOnly="0" labelOnly="1" fieldPosition="0">
        <references count="5">
          <reference field="1" count="1" selected="0">
            <x v="80"/>
          </reference>
          <reference field="5" count="1" selected="0">
            <x v="12"/>
          </reference>
          <reference field="6" count="1" selected="0">
            <x v="1"/>
          </reference>
          <reference field="7" count="1" selected="0">
            <x v="164"/>
          </reference>
          <reference field="8" count="2">
            <x v="80"/>
            <x v="213"/>
          </reference>
        </references>
      </pivotArea>
    </format>
    <format dxfId="4553">
      <pivotArea dataOnly="0" labelOnly="1" fieldPosition="0">
        <references count="5">
          <reference field="1" count="1" selected="0">
            <x v="80"/>
          </reference>
          <reference field="5" count="1" selected="0">
            <x v="12"/>
          </reference>
          <reference field="6" count="1" selected="0">
            <x v="38"/>
          </reference>
          <reference field="7" count="1" selected="0">
            <x v="164"/>
          </reference>
          <reference field="8" count="1">
            <x v="1414"/>
          </reference>
        </references>
      </pivotArea>
    </format>
    <format dxfId="4552">
      <pivotArea dataOnly="0" labelOnly="1" fieldPosition="0">
        <references count="5">
          <reference field="1" count="1" selected="0">
            <x v="80"/>
          </reference>
          <reference field="5" count="1" selected="0">
            <x v="15"/>
          </reference>
          <reference field="6" count="1" selected="0">
            <x v="8"/>
          </reference>
          <reference field="7" count="1" selected="0">
            <x v="164"/>
          </reference>
          <reference field="8" count="1">
            <x v="684"/>
          </reference>
        </references>
      </pivotArea>
    </format>
    <format dxfId="4551">
      <pivotArea dataOnly="0" labelOnly="1" fieldPosition="0">
        <references count="5">
          <reference field="1" count="1" selected="0">
            <x v="80"/>
          </reference>
          <reference field="5" count="1" selected="0">
            <x v="24"/>
          </reference>
          <reference field="6" count="1" selected="0">
            <x v="38"/>
          </reference>
          <reference field="7" count="1" selected="0">
            <x v="164"/>
          </reference>
          <reference field="8" count="1">
            <x v="97"/>
          </reference>
        </references>
      </pivotArea>
    </format>
    <format dxfId="4550">
      <pivotArea dataOnly="0" labelOnly="1" fieldPosition="0">
        <references count="5">
          <reference field="1" count="1" selected="0">
            <x v="80"/>
          </reference>
          <reference field="5" count="1" selected="0">
            <x v="35"/>
          </reference>
          <reference field="6" count="1" selected="0">
            <x v="1"/>
          </reference>
          <reference field="7" count="1" selected="0">
            <x v="164"/>
          </reference>
          <reference field="8" count="1">
            <x v="80"/>
          </reference>
        </references>
      </pivotArea>
    </format>
    <format dxfId="4549">
      <pivotArea dataOnly="0" labelOnly="1" fieldPosition="0">
        <references count="5">
          <reference field="1" count="1" selected="0">
            <x v="80"/>
          </reference>
          <reference field="5" count="1" selected="0">
            <x v="35"/>
          </reference>
          <reference field="6" count="1" selected="0">
            <x v="38"/>
          </reference>
          <reference field="7" count="1" selected="0">
            <x v="164"/>
          </reference>
          <reference field="8" count="2">
            <x v="1343"/>
            <x v="1528"/>
          </reference>
        </references>
      </pivotArea>
    </format>
    <format dxfId="4548">
      <pivotArea dataOnly="0" labelOnly="1" fieldPosition="0">
        <references count="5">
          <reference field="1" count="1" selected="0">
            <x v="81"/>
          </reference>
          <reference field="5" count="1" selected="0">
            <x v="3"/>
          </reference>
          <reference field="6" count="1" selected="0">
            <x v="10"/>
          </reference>
          <reference field="7" count="1" selected="0">
            <x v="165"/>
          </reference>
          <reference field="8" count="1">
            <x v="0"/>
          </reference>
        </references>
      </pivotArea>
    </format>
    <format dxfId="4547">
      <pivotArea dataOnly="0" labelOnly="1" fieldPosition="0">
        <references count="5">
          <reference field="1" count="1" selected="0">
            <x v="82"/>
          </reference>
          <reference field="5" count="1" selected="0">
            <x v="0"/>
          </reference>
          <reference field="6" count="1" selected="0">
            <x v="12"/>
          </reference>
          <reference field="7" count="1" selected="0">
            <x v="52"/>
          </reference>
          <reference field="8" count="1">
            <x v="9"/>
          </reference>
        </references>
      </pivotArea>
    </format>
    <format dxfId="4546">
      <pivotArea dataOnly="0" labelOnly="1" fieldPosition="0">
        <references count="5">
          <reference field="1" count="1" selected="0">
            <x v="82"/>
          </reference>
          <reference field="5" count="1" selected="0">
            <x v="0"/>
          </reference>
          <reference field="6" count="1" selected="0">
            <x v="12"/>
          </reference>
          <reference field="7" count="1" selected="0">
            <x v="62"/>
          </reference>
          <reference field="8" count="1">
            <x v="59"/>
          </reference>
        </references>
      </pivotArea>
    </format>
    <format dxfId="4545">
      <pivotArea dataOnly="0" labelOnly="1" fieldPosition="0">
        <references count="5">
          <reference field="1" count="1" selected="0">
            <x v="82"/>
          </reference>
          <reference field="5" count="1" selected="0">
            <x v="0"/>
          </reference>
          <reference field="6" count="1" selected="0">
            <x v="38"/>
          </reference>
          <reference field="7" count="1" selected="0">
            <x v="166"/>
          </reference>
          <reference field="8" count="2">
            <x v="39"/>
            <x v="659"/>
          </reference>
        </references>
      </pivotArea>
    </format>
    <format dxfId="4544">
      <pivotArea dataOnly="0" labelOnly="1" fieldPosition="0">
        <references count="5">
          <reference field="1" count="1" selected="0">
            <x v="82"/>
          </reference>
          <reference field="5" count="1" selected="0">
            <x v="12"/>
          </reference>
          <reference field="6" count="1" selected="0">
            <x v="1"/>
          </reference>
          <reference field="7" count="1" selected="0">
            <x v="166"/>
          </reference>
          <reference field="8" count="4">
            <x v="80"/>
            <x v="213"/>
            <x v="352"/>
            <x v="607"/>
          </reference>
        </references>
      </pivotArea>
    </format>
    <format dxfId="4543">
      <pivotArea dataOnly="0" labelOnly="1" fieldPosition="0">
        <references count="5">
          <reference field="1" count="1" selected="0">
            <x v="82"/>
          </reference>
          <reference field="5" count="1" selected="0">
            <x v="14"/>
          </reference>
          <reference field="6" count="1" selected="0">
            <x v="1"/>
          </reference>
          <reference field="7" count="1" selected="0">
            <x v="166"/>
          </reference>
          <reference field="8" count="1">
            <x v="145"/>
          </reference>
        </references>
      </pivotArea>
    </format>
    <format dxfId="4542">
      <pivotArea dataOnly="0" labelOnly="1" fieldPosition="0">
        <references count="5">
          <reference field="1" count="1" selected="0">
            <x v="82"/>
          </reference>
          <reference field="5" count="1" selected="0">
            <x v="23"/>
          </reference>
          <reference field="6" count="1" selected="0">
            <x v="38"/>
          </reference>
          <reference field="7" count="1" selected="0">
            <x v="166"/>
          </reference>
          <reference field="8" count="1">
            <x v="100"/>
          </reference>
        </references>
      </pivotArea>
    </format>
    <format dxfId="4541">
      <pivotArea dataOnly="0" labelOnly="1" fieldPosition="0">
        <references count="5">
          <reference field="1" count="1" selected="0">
            <x v="82"/>
          </reference>
          <reference field="5" count="1" selected="0">
            <x v="34"/>
          </reference>
          <reference field="6" count="1" selected="0">
            <x v="38"/>
          </reference>
          <reference field="7" count="1" selected="0">
            <x v="166"/>
          </reference>
          <reference field="8" count="1">
            <x v="509"/>
          </reference>
        </references>
      </pivotArea>
    </format>
    <format dxfId="4540">
      <pivotArea dataOnly="0" labelOnly="1" fieldPosition="0">
        <references count="5">
          <reference field="1" count="1" selected="0">
            <x v="82"/>
          </reference>
          <reference field="5" count="1" selected="0">
            <x v="35"/>
          </reference>
          <reference field="6" count="1" selected="0">
            <x v="1"/>
          </reference>
          <reference field="7" count="1" selected="0">
            <x v="166"/>
          </reference>
          <reference field="8" count="1">
            <x v="80"/>
          </reference>
        </references>
      </pivotArea>
    </format>
    <format dxfId="4539">
      <pivotArea dataOnly="0" labelOnly="1" fieldPosition="0">
        <references count="5">
          <reference field="1" count="1" selected="0">
            <x v="82"/>
          </reference>
          <reference field="5" count="1" selected="0">
            <x v="36"/>
          </reference>
          <reference field="6" count="1" selected="0">
            <x v="6"/>
          </reference>
          <reference field="7" count="1" selected="0">
            <x v="166"/>
          </reference>
          <reference field="8" count="1">
            <x v="283"/>
          </reference>
        </references>
      </pivotArea>
    </format>
    <format dxfId="4538">
      <pivotArea dataOnly="0" labelOnly="1" fieldPosition="0">
        <references count="5">
          <reference field="1" count="1" selected="0">
            <x v="82"/>
          </reference>
          <reference field="5" count="1" selected="0">
            <x v="36"/>
          </reference>
          <reference field="6" count="1" selected="0">
            <x v="38"/>
          </reference>
          <reference field="7" count="1" selected="0">
            <x v="166"/>
          </reference>
          <reference field="8" count="1">
            <x v="395"/>
          </reference>
        </references>
      </pivotArea>
    </format>
    <format dxfId="4537">
      <pivotArea dataOnly="0" labelOnly="1" fieldPosition="0">
        <references count="5">
          <reference field="1" count="1" selected="0">
            <x v="82"/>
          </reference>
          <reference field="5" count="1" selected="0">
            <x v="37"/>
          </reference>
          <reference field="6" count="1" selected="0">
            <x v="6"/>
          </reference>
          <reference field="7" count="1" selected="0">
            <x v="166"/>
          </reference>
          <reference field="8" count="1">
            <x v="802"/>
          </reference>
        </references>
      </pivotArea>
    </format>
    <format dxfId="4536">
      <pivotArea dataOnly="0" labelOnly="1" fieldPosition="0">
        <references count="5">
          <reference field="1" count="1" selected="0">
            <x v="83"/>
          </reference>
          <reference field="5" count="1" selected="0">
            <x v="0"/>
          </reference>
          <reference field="6" count="1" selected="0">
            <x v="6"/>
          </reference>
          <reference field="7" count="1" selected="0">
            <x v="168"/>
          </reference>
          <reference field="8" count="2">
            <x v="359"/>
            <x v="749"/>
          </reference>
        </references>
      </pivotArea>
    </format>
    <format dxfId="4535">
      <pivotArea dataOnly="0" labelOnly="1" fieldPosition="0">
        <references count="5">
          <reference field="1" count="1" selected="0">
            <x v="83"/>
          </reference>
          <reference field="5" count="1" selected="0">
            <x v="0"/>
          </reference>
          <reference field="6" count="1" selected="0">
            <x v="8"/>
          </reference>
          <reference field="7" count="1" selected="0">
            <x v="168"/>
          </reference>
          <reference field="8" count="1">
            <x v="1028"/>
          </reference>
        </references>
      </pivotArea>
    </format>
    <format dxfId="4534">
      <pivotArea dataOnly="0" labelOnly="1" fieldPosition="0">
        <references count="5">
          <reference field="1" count="1" selected="0">
            <x v="83"/>
          </reference>
          <reference field="5" count="1" selected="0">
            <x v="0"/>
          </reference>
          <reference field="6" count="1" selected="0">
            <x v="12"/>
          </reference>
          <reference field="7" count="1" selected="0">
            <x v="5"/>
          </reference>
          <reference field="8" count="1">
            <x v="69"/>
          </reference>
        </references>
      </pivotArea>
    </format>
    <format dxfId="4533">
      <pivotArea dataOnly="0" labelOnly="1" fieldPosition="0">
        <references count="5">
          <reference field="1" count="1" selected="0">
            <x v="83"/>
          </reference>
          <reference field="5" count="1" selected="0">
            <x v="0"/>
          </reference>
          <reference field="6" count="1" selected="0">
            <x v="12"/>
          </reference>
          <reference field="7" count="1" selected="0">
            <x v="52"/>
          </reference>
          <reference field="8" count="1">
            <x v="9"/>
          </reference>
        </references>
      </pivotArea>
    </format>
    <format dxfId="4532">
      <pivotArea dataOnly="0" labelOnly="1" fieldPosition="0">
        <references count="5">
          <reference field="1" count="1" selected="0">
            <x v="83"/>
          </reference>
          <reference field="5" count="1" selected="0">
            <x v="0"/>
          </reference>
          <reference field="6" count="1" selected="0">
            <x v="12"/>
          </reference>
          <reference field="7" count="1" selected="0">
            <x v="57"/>
          </reference>
          <reference field="8" count="1">
            <x v="16"/>
          </reference>
        </references>
      </pivotArea>
    </format>
    <format dxfId="4531">
      <pivotArea dataOnly="0" labelOnly="1" fieldPosition="0">
        <references count="5">
          <reference field="1" count="1" selected="0">
            <x v="83"/>
          </reference>
          <reference field="5" count="1" selected="0">
            <x v="0"/>
          </reference>
          <reference field="6" count="1" selected="0">
            <x v="38"/>
          </reference>
          <reference field="7" count="1" selected="0">
            <x v="168"/>
          </reference>
          <reference field="8" count="1">
            <x v="138"/>
          </reference>
        </references>
      </pivotArea>
    </format>
    <format dxfId="4530">
      <pivotArea dataOnly="0" labelOnly="1" fieldPosition="0">
        <references count="5">
          <reference field="1" count="1" selected="0">
            <x v="83"/>
          </reference>
          <reference field="5" count="1" selected="0">
            <x v="2"/>
          </reference>
          <reference field="6" count="1" selected="0">
            <x v="27"/>
          </reference>
          <reference field="7" count="1" selected="0">
            <x v="167"/>
          </reference>
          <reference field="8" count="1">
            <x v="827"/>
          </reference>
        </references>
      </pivotArea>
    </format>
    <format dxfId="4529">
      <pivotArea dataOnly="0" labelOnly="1" fieldPosition="0">
        <references count="5">
          <reference field="1" count="1" selected="0">
            <x v="83"/>
          </reference>
          <reference field="5" count="1" selected="0">
            <x v="3"/>
          </reference>
          <reference field="6" count="1" selected="0">
            <x v="1"/>
          </reference>
          <reference field="7" count="1" selected="0">
            <x v="168"/>
          </reference>
          <reference field="8" count="1">
            <x v="109"/>
          </reference>
        </references>
      </pivotArea>
    </format>
    <format dxfId="4528">
      <pivotArea dataOnly="0" labelOnly="1" fieldPosition="0">
        <references count="5">
          <reference field="1" count="1" selected="0">
            <x v="83"/>
          </reference>
          <reference field="5" count="1" selected="0">
            <x v="3"/>
          </reference>
          <reference field="6" count="1" selected="0">
            <x v="38"/>
          </reference>
          <reference field="7" count="1" selected="0">
            <x v="168"/>
          </reference>
          <reference field="8" count="1">
            <x v="33"/>
          </reference>
        </references>
      </pivotArea>
    </format>
    <format dxfId="4527">
      <pivotArea dataOnly="0" labelOnly="1" fieldPosition="0">
        <references count="5">
          <reference field="1" count="1" selected="0">
            <x v="83"/>
          </reference>
          <reference field="5" count="1" selected="0">
            <x v="6"/>
          </reference>
          <reference field="6" count="1" selected="0">
            <x v="38"/>
          </reference>
          <reference field="7" count="1" selected="0">
            <x v="168"/>
          </reference>
          <reference field="8" count="1">
            <x v="1235"/>
          </reference>
        </references>
      </pivotArea>
    </format>
    <format dxfId="4526">
      <pivotArea dataOnly="0" labelOnly="1" fieldPosition="0">
        <references count="5">
          <reference field="1" count="1" selected="0">
            <x v="83"/>
          </reference>
          <reference field="5" count="1" selected="0">
            <x v="12"/>
          </reference>
          <reference field="6" count="1" selected="0">
            <x v="1"/>
          </reference>
          <reference field="7" count="1" selected="0">
            <x v="168"/>
          </reference>
          <reference field="8" count="6">
            <x v="80"/>
            <x v="213"/>
            <x v="352"/>
            <x v="500"/>
            <x v="607"/>
            <x v="771"/>
          </reference>
        </references>
      </pivotArea>
    </format>
    <format dxfId="4525">
      <pivotArea dataOnly="0" labelOnly="1" fieldPosition="0">
        <references count="5">
          <reference field="1" count="1" selected="0">
            <x v="83"/>
          </reference>
          <reference field="5" count="1" selected="0">
            <x v="12"/>
          </reference>
          <reference field="6" count="1" selected="0">
            <x v="27"/>
          </reference>
          <reference field="7" count="1" selected="0">
            <x v="167"/>
          </reference>
          <reference field="8" count="2">
            <x v="289"/>
            <x v="805"/>
          </reference>
        </references>
      </pivotArea>
    </format>
    <format dxfId="4524">
      <pivotArea dataOnly="0" labelOnly="1" fieldPosition="0">
        <references count="5">
          <reference field="1" count="1" selected="0">
            <x v="83"/>
          </reference>
          <reference field="5" count="1" selected="0">
            <x v="15"/>
          </reference>
          <reference field="6" count="1" selected="0">
            <x v="1"/>
          </reference>
          <reference field="7" count="1" selected="0">
            <x v="168"/>
          </reference>
          <reference field="8" count="1">
            <x v="1666"/>
          </reference>
        </references>
      </pivotArea>
    </format>
    <format dxfId="4523">
      <pivotArea dataOnly="0" labelOnly="1" fieldPosition="0">
        <references count="5">
          <reference field="1" count="1" selected="0">
            <x v="83"/>
          </reference>
          <reference field="5" count="1" selected="0">
            <x v="30"/>
          </reference>
          <reference field="6" count="1" selected="0">
            <x v="6"/>
          </reference>
          <reference field="7" count="1" selected="0">
            <x v="168"/>
          </reference>
          <reference field="8" count="1">
            <x v="1805"/>
          </reference>
        </references>
      </pivotArea>
    </format>
    <format dxfId="4522">
      <pivotArea dataOnly="0" labelOnly="1" fieldPosition="0">
        <references count="5">
          <reference field="1" count="1" selected="0">
            <x v="83"/>
          </reference>
          <reference field="5" count="1" selected="0">
            <x v="35"/>
          </reference>
          <reference field="6" count="1" selected="0">
            <x v="1"/>
          </reference>
          <reference field="7" count="1" selected="0">
            <x v="168"/>
          </reference>
          <reference field="8" count="2">
            <x v="80"/>
            <x v="213"/>
          </reference>
        </references>
      </pivotArea>
    </format>
    <format dxfId="4521">
      <pivotArea dataOnly="0" labelOnly="1" fieldPosition="0">
        <references count="5">
          <reference field="1" count="1" selected="0">
            <x v="84"/>
          </reference>
          <reference field="5" count="1" selected="0">
            <x v="0"/>
          </reference>
          <reference field="6" count="1" selected="0">
            <x v="6"/>
          </reference>
          <reference field="7" count="1" selected="0">
            <x v="169"/>
          </reference>
          <reference field="8" count="1">
            <x v="354"/>
          </reference>
        </references>
      </pivotArea>
    </format>
    <format dxfId="4520">
      <pivotArea dataOnly="0" labelOnly="1" fieldPosition="0">
        <references count="5">
          <reference field="1" count="1" selected="0">
            <x v="84"/>
          </reference>
          <reference field="5" count="1" selected="0">
            <x v="0"/>
          </reference>
          <reference field="6" count="1" selected="0">
            <x v="8"/>
          </reference>
          <reference field="7" count="1" selected="0">
            <x v="169"/>
          </reference>
          <reference field="8" count="1">
            <x v="825"/>
          </reference>
        </references>
      </pivotArea>
    </format>
    <format dxfId="4519">
      <pivotArea dataOnly="0" labelOnly="1" fieldPosition="0">
        <references count="5">
          <reference field="1" count="1" selected="0">
            <x v="84"/>
          </reference>
          <reference field="5" count="1" selected="0">
            <x v="0"/>
          </reference>
          <reference field="6" count="1" selected="0">
            <x v="9"/>
          </reference>
          <reference field="7" count="1" selected="0">
            <x v="169"/>
          </reference>
          <reference field="8" count="2">
            <x v="461"/>
            <x v="494"/>
          </reference>
        </references>
      </pivotArea>
    </format>
    <format dxfId="4518">
      <pivotArea dataOnly="0" labelOnly="1" fieldPosition="0">
        <references count="5">
          <reference field="1" count="1" selected="0">
            <x v="84"/>
          </reference>
          <reference field="5" count="1" selected="0">
            <x v="0"/>
          </reference>
          <reference field="6" count="1" selected="0">
            <x v="12"/>
          </reference>
          <reference field="7" count="1" selected="0">
            <x v="21"/>
          </reference>
          <reference field="8" count="1">
            <x v="227"/>
          </reference>
        </references>
      </pivotArea>
    </format>
    <format dxfId="4517">
      <pivotArea dataOnly="0" labelOnly="1" fieldPosition="0">
        <references count="5">
          <reference field="1" count="1" selected="0">
            <x v="84"/>
          </reference>
          <reference field="5" count="1" selected="0">
            <x v="0"/>
          </reference>
          <reference field="6" count="1" selected="0">
            <x v="38"/>
          </reference>
          <reference field="7" count="1" selected="0">
            <x v="169"/>
          </reference>
          <reference field="8" count="1">
            <x v="138"/>
          </reference>
        </references>
      </pivotArea>
    </format>
    <format dxfId="4516">
      <pivotArea dataOnly="0" labelOnly="1" fieldPosition="0">
        <references count="5">
          <reference field="1" count="1" selected="0">
            <x v="84"/>
          </reference>
          <reference field="5" count="1" selected="0">
            <x v="12"/>
          </reference>
          <reference field="6" count="1" selected="0">
            <x v="1"/>
          </reference>
          <reference field="7" count="1" selected="0">
            <x v="169"/>
          </reference>
          <reference field="8" count="6">
            <x v="80"/>
            <x v="213"/>
            <x v="352"/>
            <x v="607"/>
            <x v="702"/>
            <x v="771"/>
          </reference>
        </references>
      </pivotArea>
    </format>
    <format dxfId="4515">
      <pivotArea dataOnly="0" labelOnly="1" fieldPosition="0">
        <references count="5">
          <reference field="1" count="1" selected="0">
            <x v="84"/>
          </reference>
          <reference field="5" count="1" selected="0">
            <x v="14"/>
          </reference>
          <reference field="6" count="1" selected="0">
            <x v="6"/>
          </reference>
          <reference field="7" count="1" selected="0">
            <x v="169"/>
          </reference>
          <reference field="8" count="1">
            <x v="1865"/>
          </reference>
        </references>
      </pivotArea>
    </format>
    <format dxfId="4514">
      <pivotArea dataOnly="0" labelOnly="1" fieldPosition="0">
        <references count="5">
          <reference field="1" count="1" selected="0">
            <x v="84"/>
          </reference>
          <reference field="5" count="1" selected="0">
            <x v="26"/>
          </reference>
          <reference field="6" count="1" selected="0">
            <x v="38"/>
          </reference>
          <reference field="7" count="1" selected="0">
            <x v="169"/>
          </reference>
          <reference field="8" count="1">
            <x v="1840"/>
          </reference>
        </references>
      </pivotArea>
    </format>
    <format dxfId="4513">
      <pivotArea dataOnly="0" labelOnly="1" fieldPosition="0">
        <references count="5">
          <reference field="1" count="1" selected="0">
            <x v="84"/>
          </reference>
          <reference field="5" count="1" selected="0">
            <x v="35"/>
          </reference>
          <reference field="6" count="1" selected="0">
            <x v="1"/>
          </reference>
          <reference field="7" count="1" selected="0">
            <x v="169"/>
          </reference>
          <reference field="8" count="1">
            <x v="80"/>
          </reference>
        </references>
      </pivotArea>
    </format>
    <format dxfId="4512">
      <pivotArea dataOnly="0" labelOnly="1" fieldPosition="0">
        <references count="5">
          <reference field="1" count="1" selected="0">
            <x v="84"/>
          </reference>
          <reference field="5" count="1" selected="0">
            <x v="37"/>
          </reference>
          <reference field="6" count="1" selected="0">
            <x v="38"/>
          </reference>
          <reference field="7" count="1" selected="0">
            <x v="169"/>
          </reference>
          <reference field="8" count="1">
            <x v="271"/>
          </reference>
        </references>
      </pivotArea>
    </format>
    <format dxfId="4511">
      <pivotArea dataOnly="0" labelOnly="1" fieldPosition="0">
        <references count="5">
          <reference field="1" count="1" selected="0">
            <x v="85"/>
          </reference>
          <reference field="5" count="1" selected="0">
            <x v="0"/>
          </reference>
          <reference field="6" count="1" selected="0">
            <x v="8"/>
          </reference>
          <reference field="7" count="1" selected="0">
            <x v="170"/>
          </reference>
          <reference field="8" count="1">
            <x v="108"/>
          </reference>
        </references>
      </pivotArea>
    </format>
    <format dxfId="4510">
      <pivotArea dataOnly="0" labelOnly="1" fieldPosition="0">
        <references count="5">
          <reference field="1" count="1" selected="0">
            <x v="85"/>
          </reference>
          <reference field="5" count="1" selected="0">
            <x v="0"/>
          </reference>
          <reference field="6" count="1" selected="0">
            <x v="9"/>
          </reference>
          <reference field="7" count="1" selected="0">
            <x v="170"/>
          </reference>
          <reference field="8" count="2">
            <x v="430"/>
            <x v="640"/>
          </reference>
        </references>
      </pivotArea>
    </format>
    <format dxfId="4509">
      <pivotArea dataOnly="0" labelOnly="1" fieldPosition="0">
        <references count="5">
          <reference field="1" count="1" selected="0">
            <x v="85"/>
          </reference>
          <reference field="5" count="1" selected="0">
            <x v="8"/>
          </reference>
          <reference field="6" count="1" selected="0">
            <x v="10"/>
          </reference>
          <reference field="7" count="1" selected="0">
            <x v="170"/>
          </reference>
          <reference field="8" count="1">
            <x v="1304"/>
          </reference>
        </references>
      </pivotArea>
    </format>
    <format dxfId="4508">
      <pivotArea dataOnly="0" labelOnly="1" fieldPosition="0">
        <references count="5">
          <reference field="1" count="1" selected="0">
            <x v="85"/>
          </reference>
          <reference field="5" count="1" selected="0">
            <x v="12"/>
          </reference>
          <reference field="6" count="1" selected="0">
            <x v="1"/>
          </reference>
          <reference field="7" count="1" selected="0">
            <x v="170"/>
          </reference>
          <reference field="8" count="5">
            <x v="80"/>
            <x v="213"/>
            <x v="352"/>
            <x v="500"/>
            <x v="702"/>
          </reference>
        </references>
      </pivotArea>
    </format>
    <format dxfId="4507">
      <pivotArea dataOnly="0" labelOnly="1" fieldPosition="0">
        <references count="5">
          <reference field="1" count="1" selected="0">
            <x v="85"/>
          </reference>
          <reference field="5" count="1" selected="0">
            <x v="19"/>
          </reference>
          <reference field="6" count="1" selected="0">
            <x v="6"/>
          </reference>
          <reference field="7" count="1" selected="0">
            <x v="170"/>
          </reference>
          <reference field="8" count="1">
            <x v="883"/>
          </reference>
        </references>
      </pivotArea>
    </format>
    <format dxfId="4506">
      <pivotArea dataOnly="0" labelOnly="1" fieldPosition="0">
        <references count="5">
          <reference field="1" count="1" selected="0">
            <x v="85"/>
          </reference>
          <reference field="5" count="1" selected="0">
            <x v="37"/>
          </reference>
          <reference field="6" count="1" selected="0">
            <x v="10"/>
          </reference>
          <reference field="7" count="1" selected="0">
            <x v="170"/>
          </reference>
          <reference field="8" count="1">
            <x v="1491"/>
          </reference>
        </references>
      </pivotArea>
    </format>
    <format dxfId="4505">
      <pivotArea dataOnly="0" labelOnly="1" fieldPosition="0">
        <references count="5">
          <reference field="1" count="1" selected="0">
            <x v="86"/>
          </reference>
          <reference field="5" count="1" selected="0">
            <x v="0"/>
          </reference>
          <reference field="6" count="1" selected="0">
            <x v="1"/>
          </reference>
          <reference field="7" count="1" selected="0">
            <x v="171"/>
          </reference>
          <reference field="8" count="2">
            <x v="80"/>
            <x v="778"/>
          </reference>
        </references>
      </pivotArea>
    </format>
    <format dxfId="4504">
      <pivotArea dataOnly="0" labelOnly="1" fieldPosition="0">
        <references count="5">
          <reference field="1" count="1" selected="0">
            <x v="86"/>
          </reference>
          <reference field="5" count="1" selected="0">
            <x v="0"/>
          </reference>
          <reference field="6" count="1" selected="0">
            <x v="12"/>
          </reference>
          <reference field="7" count="1" selected="0">
            <x v="7"/>
          </reference>
          <reference field="8" count="1">
            <x v="219"/>
          </reference>
        </references>
      </pivotArea>
    </format>
    <format dxfId="4503">
      <pivotArea dataOnly="0" labelOnly="1" fieldPosition="0">
        <references count="5">
          <reference field="1" count="1" selected="0">
            <x v="86"/>
          </reference>
          <reference field="5" count="1" selected="0">
            <x v="0"/>
          </reference>
          <reference field="6" count="1" selected="0">
            <x v="12"/>
          </reference>
          <reference field="7" count="1" selected="0">
            <x v="32"/>
          </reference>
          <reference field="8" count="1">
            <x v="391"/>
          </reference>
        </references>
      </pivotArea>
    </format>
    <format dxfId="4502">
      <pivotArea dataOnly="0" labelOnly="1" fieldPosition="0">
        <references count="5">
          <reference field="1" count="1" selected="0">
            <x v="86"/>
          </reference>
          <reference field="5" count="1" selected="0">
            <x v="0"/>
          </reference>
          <reference field="6" count="1" selected="0">
            <x v="37"/>
          </reference>
          <reference field="7" count="1" selected="0">
            <x v="171"/>
          </reference>
          <reference field="8" count="1">
            <x v="1312"/>
          </reference>
        </references>
      </pivotArea>
    </format>
    <format dxfId="4501">
      <pivotArea dataOnly="0" labelOnly="1" fieldPosition="0">
        <references count="5">
          <reference field="1" count="1" selected="0">
            <x v="86"/>
          </reference>
          <reference field="5" count="1" selected="0">
            <x v="0"/>
          </reference>
          <reference field="6" count="1" selected="0">
            <x v="38"/>
          </reference>
          <reference field="7" count="1" selected="0">
            <x v="171"/>
          </reference>
          <reference field="8" count="1">
            <x v="1326"/>
          </reference>
        </references>
      </pivotArea>
    </format>
    <format dxfId="4500">
      <pivotArea dataOnly="0" labelOnly="1" fieldPosition="0">
        <references count="5">
          <reference field="1" count="1" selected="0">
            <x v="86"/>
          </reference>
          <reference field="5" count="1" selected="0">
            <x v="2"/>
          </reference>
          <reference field="6" count="1" selected="0">
            <x v="1"/>
          </reference>
          <reference field="7" count="1" selected="0">
            <x v="171"/>
          </reference>
          <reference field="8" count="1">
            <x v="1205"/>
          </reference>
        </references>
      </pivotArea>
    </format>
    <format dxfId="4499">
      <pivotArea dataOnly="0" labelOnly="1" fieldPosition="0">
        <references count="5">
          <reference field="1" count="1" selected="0">
            <x v="86"/>
          </reference>
          <reference field="5" count="1" selected="0">
            <x v="2"/>
          </reference>
          <reference field="6" count="1" selected="0">
            <x v="6"/>
          </reference>
          <reference field="7" count="1" selected="0">
            <x v="171"/>
          </reference>
          <reference field="8" count="1">
            <x v="615"/>
          </reference>
        </references>
      </pivotArea>
    </format>
    <format dxfId="4498">
      <pivotArea dataOnly="0" labelOnly="1" fieldPosition="0">
        <references count="5">
          <reference field="1" count="1" selected="0">
            <x v="86"/>
          </reference>
          <reference field="5" count="1" selected="0">
            <x v="3"/>
          </reference>
          <reference field="6" count="1" selected="0">
            <x v="38"/>
          </reference>
          <reference field="7" count="1" selected="0">
            <x v="171"/>
          </reference>
          <reference field="8" count="1">
            <x v="322"/>
          </reference>
        </references>
      </pivotArea>
    </format>
    <format dxfId="4497">
      <pivotArea dataOnly="0" labelOnly="1" fieldPosition="0">
        <references count="5">
          <reference field="1" count="1" selected="0">
            <x v="86"/>
          </reference>
          <reference field="5" count="1" selected="0">
            <x v="5"/>
          </reference>
          <reference field="6" count="1" selected="0">
            <x v="37"/>
          </reference>
          <reference field="7" count="1" selected="0">
            <x v="171"/>
          </reference>
          <reference field="8" count="1">
            <x v="1777"/>
          </reference>
        </references>
      </pivotArea>
    </format>
    <format dxfId="4496">
      <pivotArea dataOnly="0" labelOnly="1" fieldPosition="0">
        <references count="5">
          <reference field="1" count="1" selected="0">
            <x v="86"/>
          </reference>
          <reference field="5" count="1" selected="0">
            <x v="5"/>
          </reference>
          <reference field="6" count="1" selected="0">
            <x v="38"/>
          </reference>
          <reference field="7" count="1" selected="0">
            <x v="171"/>
          </reference>
          <reference field="8" count="1">
            <x v="1837"/>
          </reference>
        </references>
      </pivotArea>
    </format>
    <format dxfId="4495">
      <pivotArea dataOnly="0" labelOnly="1" fieldPosition="0">
        <references count="5">
          <reference field="1" count="1" selected="0">
            <x v="86"/>
          </reference>
          <reference field="5" count="1" selected="0">
            <x v="6"/>
          </reference>
          <reference field="6" count="1" selected="0">
            <x v="38"/>
          </reference>
          <reference field="7" count="1" selected="0">
            <x v="171"/>
          </reference>
          <reference field="8" count="1">
            <x v="1164"/>
          </reference>
        </references>
      </pivotArea>
    </format>
    <format dxfId="4494">
      <pivotArea dataOnly="0" labelOnly="1" fieldPosition="0">
        <references count="5">
          <reference field="1" count="1" selected="0">
            <x v="86"/>
          </reference>
          <reference field="5" count="1" selected="0">
            <x v="7"/>
          </reference>
          <reference field="6" count="1" selected="0">
            <x v="38"/>
          </reference>
          <reference field="7" count="1" selected="0">
            <x v="171"/>
          </reference>
          <reference field="8" count="1">
            <x v="1061"/>
          </reference>
        </references>
      </pivotArea>
    </format>
    <format dxfId="4493">
      <pivotArea dataOnly="0" labelOnly="1" fieldPosition="0">
        <references count="5">
          <reference field="1" count="1" selected="0">
            <x v="86"/>
          </reference>
          <reference field="5" count="1" selected="0">
            <x v="9"/>
          </reference>
          <reference field="6" count="1" selected="0">
            <x v="38"/>
          </reference>
          <reference field="7" count="1" selected="0">
            <x v="171"/>
          </reference>
          <reference field="8" count="1">
            <x v="66"/>
          </reference>
        </references>
      </pivotArea>
    </format>
    <format dxfId="4492">
      <pivotArea dataOnly="0" labelOnly="1" fieldPosition="0">
        <references count="5">
          <reference field="1" count="1" selected="0">
            <x v="86"/>
          </reference>
          <reference field="5" count="1" selected="0">
            <x v="10"/>
          </reference>
          <reference field="6" count="1" selected="0">
            <x v="38"/>
          </reference>
          <reference field="7" count="1" selected="0">
            <x v="171"/>
          </reference>
          <reference field="8" count="1">
            <x v="612"/>
          </reference>
        </references>
      </pivotArea>
    </format>
    <format dxfId="4491">
      <pivotArea dataOnly="0" labelOnly="1" fieldPosition="0">
        <references count="5">
          <reference field="1" count="1" selected="0">
            <x v="86"/>
          </reference>
          <reference field="5" count="1" selected="0">
            <x v="12"/>
          </reference>
          <reference field="6" count="1" selected="0">
            <x v="1"/>
          </reference>
          <reference field="7" count="1" selected="0">
            <x v="171"/>
          </reference>
          <reference field="8" count="3">
            <x v="80"/>
            <x v="213"/>
            <x v="352"/>
          </reference>
        </references>
      </pivotArea>
    </format>
    <format dxfId="4490">
      <pivotArea dataOnly="0" labelOnly="1" fieldPosition="0">
        <references count="5">
          <reference field="1" count="1" selected="0">
            <x v="86"/>
          </reference>
          <reference field="5" count="1" selected="0">
            <x v="14"/>
          </reference>
          <reference field="6" count="1" selected="0">
            <x v="37"/>
          </reference>
          <reference field="7" count="1" selected="0">
            <x v="171"/>
          </reference>
          <reference field="8" count="1">
            <x v="1375"/>
          </reference>
        </references>
      </pivotArea>
    </format>
    <format dxfId="4489">
      <pivotArea dataOnly="0" labelOnly="1" fieldPosition="0">
        <references count="5">
          <reference field="1" count="1" selected="0">
            <x v="86"/>
          </reference>
          <reference field="5" count="1" selected="0">
            <x v="14"/>
          </reference>
          <reference field="6" count="1" selected="0">
            <x v="38"/>
          </reference>
          <reference field="7" count="1" selected="0">
            <x v="171"/>
          </reference>
          <reference field="8" count="1">
            <x v="1599"/>
          </reference>
        </references>
      </pivotArea>
    </format>
    <format dxfId="4488">
      <pivotArea dataOnly="0" labelOnly="1" fieldPosition="0">
        <references count="5">
          <reference field="1" count="1" selected="0">
            <x v="86"/>
          </reference>
          <reference field="5" count="1" selected="0">
            <x v="15"/>
          </reference>
          <reference field="6" count="1" selected="0">
            <x v="38"/>
          </reference>
          <reference field="7" count="1" selected="0">
            <x v="171"/>
          </reference>
          <reference field="8" count="1">
            <x v="1826"/>
          </reference>
        </references>
      </pivotArea>
    </format>
    <format dxfId="4487">
      <pivotArea dataOnly="0" labelOnly="1" fieldPosition="0">
        <references count="5">
          <reference field="1" count="1" selected="0">
            <x v="86"/>
          </reference>
          <reference field="5" count="1" selected="0">
            <x v="19"/>
          </reference>
          <reference field="6" count="1" selected="0">
            <x v="37"/>
          </reference>
          <reference field="7" count="1" selected="0">
            <x v="171"/>
          </reference>
          <reference field="8" count="1">
            <x v="1574"/>
          </reference>
        </references>
      </pivotArea>
    </format>
    <format dxfId="4486">
      <pivotArea dataOnly="0" labelOnly="1" fieldPosition="0">
        <references count="5">
          <reference field="1" count="1" selected="0">
            <x v="86"/>
          </reference>
          <reference field="5" count="1" selected="0">
            <x v="19"/>
          </reference>
          <reference field="6" count="1" selected="0">
            <x v="38"/>
          </reference>
          <reference field="7" count="1" selected="0">
            <x v="171"/>
          </reference>
          <reference field="8" count="1">
            <x v="1725"/>
          </reference>
        </references>
      </pivotArea>
    </format>
    <format dxfId="4485">
      <pivotArea dataOnly="0" labelOnly="1" fieldPosition="0">
        <references count="5">
          <reference field="1" count="1" selected="0">
            <x v="86"/>
          </reference>
          <reference field="5" count="1" selected="0">
            <x v="21"/>
          </reference>
          <reference field="6" count="1" selected="0">
            <x v="10"/>
          </reference>
          <reference field="7" count="1" selected="0">
            <x v="171"/>
          </reference>
          <reference field="8" count="1">
            <x v="0"/>
          </reference>
        </references>
      </pivotArea>
    </format>
    <format dxfId="4484">
      <pivotArea dataOnly="0" labelOnly="1" fieldPosition="0">
        <references count="5">
          <reference field="1" count="1" selected="0">
            <x v="86"/>
          </reference>
          <reference field="5" count="1" selected="0">
            <x v="23"/>
          </reference>
          <reference field="6" count="1" selected="0">
            <x v="1"/>
          </reference>
          <reference field="7" count="1" selected="0">
            <x v="171"/>
          </reference>
          <reference field="8" count="1">
            <x v="278"/>
          </reference>
        </references>
      </pivotArea>
    </format>
    <format dxfId="4483">
      <pivotArea dataOnly="0" labelOnly="1" fieldPosition="0">
        <references count="5">
          <reference field="1" count="1" selected="0">
            <x v="86"/>
          </reference>
          <reference field="5" count="1" selected="0">
            <x v="33"/>
          </reference>
          <reference field="6" count="1" selected="0">
            <x v="38"/>
          </reference>
          <reference field="7" count="1" selected="0">
            <x v="171"/>
          </reference>
          <reference field="8" count="1">
            <x v="659"/>
          </reference>
        </references>
      </pivotArea>
    </format>
    <format dxfId="4482">
      <pivotArea dataOnly="0" labelOnly="1" fieldPosition="0">
        <references count="5">
          <reference field="1" count="1" selected="0">
            <x v="86"/>
          </reference>
          <reference field="5" count="1" selected="0">
            <x v="35"/>
          </reference>
          <reference field="6" count="1" selected="0">
            <x v="1"/>
          </reference>
          <reference field="7" count="1" selected="0">
            <x v="171"/>
          </reference>
          <reference field="8" count="1">
            <x v="80"/>
          </reference>
        </references>
      </pivotArea>
    </format>
    <format dxfId="4481">
      <pivotArea dataOnly="0" labelOnly="1" fieldPosition="0">
        <references count="5">
          <reference field="1" count="1" selected="0">
            <x v="87"/>
          </reference>
          <reference field="5" count="1" selected="0">
            <x v="0"/>
          </reference>
          <reference field="6" count="1" selected="0">
            <x v="9"/>
          </reference>
          <reference field="7" count="1" selected="0">
            <x v="172"/>
          </reference>
          <reference field="8" count="5">
            <x v="620"/>
            <x v="640"/>
            <x v="745"/>
            <x v="924"/>
            <x v="973"/>
          </reference>
        </references>
      </pivotArea>
    </format>
    <format dxfId="4480">
      <pivotArea dataOnly="0" labelOnly="1" fieldPosition="0">
        <references count="5">
          <reference field="1" count="1" selected="0">
            <x v="87"/>
          </reference>
          <reference field="5" count="1" selected="0">
            <x v="0"/>
          </reference>
          <reference field="6" count="1" selected="0">
            <x v="12"/>
          </reference>
          <reference field="7" count="1" selected="0">
            <x v="32"/>
          </reference>
          <reference field="8" count="1">
            <x v="391"/>
          </reference>
        </references>
      </pivotArea>
    </format>
    <format dxfId="4479">
      <pivotArea dataOnly="0" labelOnly="1" fieldPosition="0">
        <references count="5">
          <reference field="1" count="1" selected="0">
            <x v="87"/>
          </reference>
          <reference field="5" count="1" selected="0">
            <x v="0"/>
          </reference>
          <reference field="6" count="1" selected="0">
            <x v="12"/>
          </reference>
          <reference field="7" count="1" selected="0">
            <x v="44"/>
          </reference>
          <reference field="8" count="1">
            <x v="11"/>
          </reference>
        </references>
      </pivotArea>
    </format>
    <format dxfId="4478">
      <pivotArea dataOnly="0" labelOnly="1" fieldPosition="0">
        <references count="5">
          <reference field="1" count="1" selected="0">
            <x v="87"/>
          </reference>
          <reference field="5" count="1" selected="0">
            <x v="0"/>
          </reference>
          <reference field="6" count="1" selected="0">
            <x v="12"/>
          </reference>
          <reference field="7" count="1" selected="0">
            <x v="53"/>
          </reference>
          <reference field="8" count="1">
            <x v="25"/>
          </reference>
        </references>
      </pivotArea>
    </format>
    <format dxfId="4477">
      <pivotArea dataOnly="0" labelOnly="1" fieldPosition="0">
        <references count="5">
          <reference field="1" count="1" selected="0">
            <x v="87"/>
          </reference>
          <reference field="5" count="1" selected="0">
            <x v="0"/>
          </reference>
          <reference field="6" count="1" selected="0">
            <x v="12"/>
          </reference>
          <reference field="7" count="1" selected="0">
            <x v="61"/>
          </reference>
          <reference field="8" count="1">
            <x v="6"/>
          </reference>
        </references>
      </pivotArea>
    </format>
    <format dxfId="4476">
      <pivotArea dataOnly="0" labelOnly="1" fieldPosition="0">
        <references count="5">
          <reference field="1" count="1" selected="0">
            <x v="87"/>
          </reference>
          <reference field="5" count="1" selected="0">
            <x v="0"/>
          </reference>
          <reference field="6" count="1" selected="0">
            <x v="12"/>
          </reference>
          <reference field="7" count="1" selected="0">
            <x v="65"/>
          </reference>
          <reference field="8" count="1">
            <x v="18"/>
          </reference>
        </references>
      </pivotArea>
    </format>
    <format dxfId="4475">
      <pivotArea dataOnly="0" labelOnly="1" fieldPosition="0">
        <references count="5">
          <reference field="1" count="1" selected="0">
            <x v="87"/>
          </reference>
          <reference field="5" count="1" selected="0">
            <x v="0"/>
          </reference>
          <reference field="6" count="1" selected="0">
            <x v="12"/>
          </reference>
          <reference field="7" count="1" selected="0">
            <x v="66"/>
          </reference>
          <reference field="8" count="1">
            <x v="25"/>
          </reference>
        </references>
      </pivotArea>
    </format>
    <format dxfId="4474">
      <pivotArea dataOnly="0" labelOnly="1" fieldPosition="0">
        <references count="5">
          <reference field="1" count="1" selected="0">
            <x v="87"/>
          </reference>
          <reference field="5" count="1" selected="0">
            <x v="0"/>
          </reference>
          <reference field="6" count="1" selected="0">
            <x v="12"/>
          </reference>
          <reference field="7" count="1" selected="0">
            <x v="71"/>
          </reference>
          <reference field="8" count="1">
            <x v="11"/>
          </reference>
        </references>
      </pivotArea>
    </format>
    <format dxfId="4473">
      <pivotArea dataOnly="0" labelOnly="1" fieldPosition="0">
        <references count="5">
          <reference field="1" count="1" selected="0">
            <x v="87"/>
          </reference>
          <reference field="5" count="1" selected="0">
            <x v="11"/>
          </reference>
          <reference field="6" count="1" selected="0">
            <x v="8"/>
          </reference>
          <reference field="7" count="1" selected="0">
            <x v="172"/>
          </reference>
          <reference field="8" count="1">
            <x v="927"/>
          </reference>
        </references>
      </pivotArea>
    </format>
    <format dxfId="4472">
      <pivotArea dataOnly="0" labelOnly="1" fieldPosition="0">
        <references count="5">
          <reference field="1" count="1" selected="0">
            <x v="87"/>
          </reference>
          <reference field="5" count="1" selected="0">
            <x v="12"/>
          </reference>
          <reference field="6" count="1" selected="0">
            <x v="1"/>
          </reference>
          <reference field="7" count="1" selected="0">
            <x v="172"/>
          </reference>
          <reference field="8" count="3">
            <x v="213"/>
            <x v="500"/>
            <x v="702"/>
          </reference>
        </references>
      </pivotArea>
    </format>
    <format dxfId="4471">
      <pivotArea dataOnly="0" labelOnly="1" fieldPosition="0">
        <references count="5">
          <reference field="1" count="1" selected="0">
            <x v="87"/>
          </reference>
          <reference field="5" count="1" selected="0">
            <x v="15"/>
          </reference>
          <reference field="6" count="1" selected="0">
            <x v="6"/>
          </reference>
          <reference field="7" count="1" selected="0">
            <x v="172"/>
          </reference>
          <reference field="8" count="1">
            <x v="212"/>
          </reference>
        </references>
      </pivotArea>
    </format>
    <format dxfId="4470">
      <pivotArea dataOnly="0" labelOnly="1" fieldPosition="0">
        <references count="5">
          <reference field="1" count="1" selected="0">
            <x v="87"/>
          </reference>
          <reference field="5" count="1" selected="0">
            <x v="15"/>
          </reference>
          <reference field="6" count="1" selected="0">
            <x v="9"/>
          </reference>
          <reference field="7" count="1" selected="0">
            <x v="172"/>
          </reference>
          <reference field="8" count="1">
            <x v="331"/>
          </reference>
        </references>
      </pivotArea>
    </format>
    <format dxfId="4469">
      <pivotArea dataOnly="0" labelOnly="1" fieldPosition="0">
        <references count="5">
          <reference field="1" count="1" selected="0">
            <x v="87"/>
          </reference>
          <reference field="5" count="1" selected="0">
            <x v="23"/>
          </reference>
          <reference field="6" count="1" selected="0">
            <x v="38"/>
          </reference>
          <reference field="7" count="1" selected="0">
            <x v="172"/>
          </reference>
          <reference field="8" count="1">
            <x v="76"/>
          </reference>
        </references>
      </pivotArea>
    </format>
    <format dxfId="4468">
      <pivotArea dataOnly="0" labelOnly="1" fieldPosition="0">
        <references count="5">
          <reference field="1" count="1" selected="0">
            <x v="87"/>
          </reference>
          <reference field="5" count="1" selected="0">
            <x v="24"/>
          </reference>
          <reference field="6" count="1" selected="0">
            <x v="8"/>
          </reference>
          <reference field="7" count="1" selected="0">
            <x v="172"/>
          </reference>
          <reference field="8" count="1">
            <x v="896"/>
          </reference>
        </references>
      </pivotArea>
    </format>
    <format dxfId="4467">
      <pivotArea dataOnly="0" labelOnly="1" fieldPosition="0">
        <references count="5">
          <reference field="1" count="1" selected="0">
            <x v="87"/>
          </reference>
          <reference field="5" count="1" selected="0">
            <x v="25"/>
          </reference>
          <reference field="6" count="1" selected="0">
            <x v="9"/>
          </reference>
          <reference field="7" count="1" selected="0">
            <x v="172"/>
          </reference>
          <reference field="8" count="1">
            <x v="901"/>
          </reference>
        </references>
      </pivotArea>
    </format>
    <format dxfId="4466">
      <pivotArea dataOnly="0" labelOnly="1" fieldPosition="0">
        <references count="5">
          <reference field="1" count="1" selected="0">
            <x v="87"/>
          </reference>
          <reference field="5" count="1" selected="0">
            <x v="27"/>
          </reference>
          <reference field="6" count="1" selected="0">
            <x v="38"/>
          </reference>
          <reference field="7" count="1" selected="0">
            <x v="172"/>
          </reference>
          <reference field="8" count="1">
            <x v="633"/>
          </reference>
        </references>
      </pivotArea>
    </format>
    <format dxfId="4465">
      <pivotArea dataOnly="0" labelOnly="1" fieldPosition="0">
        <references count="5">
          <reference field="1" count="1" selected="0">
            <x v="88"/>
          </reference>
          <reference field="5" count="1" selected="0">
            <x v="0"/>
          </reference>
          <reference field="6" count="1" selected="0">
            <x v="12"/>
          </reference>
          <reference field="7" count="1" selected="0">
            <x v="21"/>
          </reference>
          <reference field="8" count="1">
            <x v="69"/>
          </reference>
        </references>
      </pivotArea>
    </format>
    <format dxfId="4464">
      <pivotArea dataOnly="0" labelOnly="1" fieldPosition="0">
        <references count="5">
          <reference field="1" count="1" selected="0">
            <x v="88"/>
          </reference>
          <reference field="5" count="1" selected="0">
            <x v="0"/>
          </reference>
          <reference field="6" count="1" selected="0">
            <x v="12"/>
          </reference>
          <reference field="7" count="1" selected="0">
            <x v="52"/>
          </reference>
          <reference field="8" count="1">
            <x v="92"/>
          </reference>
        </references>
      </pivotArea>
    </format>
    <format dxfId="4463">
      <pivotArea dataOnly="0" labelOnly="1" fieldPosition="0">
        <references count="5">
          <reference field="1" count="1" selected="0">
            <x v="88"/>
          </reference>
          <reference field="5" count="1" selected="0">
            <x v="0"/>
          </reference>
          <reference field="6" count="1" selected="0">
            <x v="38"/>
          </reference>
          <reference field="7" count="1" selected="0">
            <x v="173"/>
          </reference>
          <reference field="8" count="1">
            <x v="138"/>
          </reference>
        </references>
      </pivotArea>
    </format>
    <format dxfId="4462">
      <pivotArea dataOnly="0" labelOnly="1" fieldPosition="0">
        <references count="5">
          <reference field="1" count="1" selected="0">
            <x v="88"/>
          </reference>
          <reference field="5" count="1" selected="0">
            <x v="3"/>
          </reference>
          <reference field="6" count="1" selected="0">
            <x v="6"/>
          </reference>
          <reference field="7" count="1" selected="0">
            <x v="173"/>
          </reference>
          <reference field="8" count="1">
            <x v="1047"/>
          </reference>
        </references>
      </pivotArea>
    </format>
    <format dxfId="4461">
      <pivotArea dataOnly="0" labelOnly="1" fieldPosition="0">
        <references count="5">
          <reference field="1" count="1" selected="0">
            <x v="88"/>
          </reference>
          <reference field="5" count="1" selected="0">
            <x v="5"/>
          </reference>
          <reference field="6" count="1" selected="0">
            <x v="37"/>
          </reference>
          <reference field="7" count="1" selected="0">
            <x v="173"/>
          </reference>
          <reference field="8" count="1">
            <x v="1408"/>
          </reference>
        </references>
      </pivotArea>
    </format>
    <format dxfId="4460">
      <pivotArea dataOnly="0" labelOnly="1" fieldPosition="0">
        <references count="5">
          <reference field="1" count="1" selected="0">
            <x v="88"/>
          </reference>
          <reference field="5" count="1" selected="0">
            <x v="10"/>
          </reference>
          <reference field="6" count="1" selected="0">
            <x v="37"/>
          </reference>
          <reference field="7" count="1" selected="0">
            <x v="173"/>
          </reference>
          <reference field="8" count="1">
            <x v="1242"/>
          </reference>
        </references>
      </pivotArea>
    </format>
    <format dxfId="4459">
      <pivotArea dataOnly="0" labelOnly="1" fieldPosition="0">
        <references count="5">
          <reference field="1" count="1" selected="0">
            <x v="88"/>
          </reference>
          <reference field="5" count="1" selected="0">
            <x v="12"/>
          </reference>
          <reference field="6" count="1" selected="0">
            <x v="1"/>
          </reference>
          <reference field="7" count="1" selected="0">
            <x v="173"/>
          </reference>
          <reference field="8" count="5">
            <x v="80"/>
            <x v="213"/>
            <x v="500"/>
            <x v="771"/>
            <x v="1114"/>
          </reference>
        </references>
      </pivotArea>
    </format>
    <format dxfId="4458">
      <pivotArea dataOnly="0" labelOnly="1" fieldPosition="0">
        <references count="5">
          <reference field="1" count="1" selected="0">
            <x v="88"/>
          </reference>
          <reference field="5" count="1" selected="0">
            <x v="26"/>
          </reference>
          <reference field="6" count="1" selected="0">
            <x v="38"/>
          </reference>
          <reference field="7" count="1" selected="0">
            <x v="173"/>
          </reference>
          <reference field="8" count="1">
            <x v="771"/>
          </reference>
        </references>
      </pivotArea>
    </format>
    <format dxfId="4457">
      <pivotArea dataOnly="0" labelOnly="1" fieldPosition="0">
        <references count="5">
          <reference field="1" count="1" selected="0">
            <x v="88"/>
          </reference>
          <reference field="5" count="1" selected="0">
            <x v="35"/>
          </reference>
          <reference field="6" count="1" selected="0">
            <x v="1"/>
          </reference>
          <reference field="7" count="1" selected="0">
            <x v="173"/>
          </reference>
          <reference field="8" count="1">
            <x v="213"/>
          </reference>
        </references>
      </pivotArea>
    </format>
    <format dxfId="4456">
      <pivotArea dataOnly="0" labelOnly="1" fieldPosition="0">
        <references count="5">
          <reference field="1" count="1" selected="0">
            <x v="88"/>
          </reference>
          <reference field="5" count="1" selected="0">
            <x v="36"/>
          </reference>
          <reference field="6" count="1" selected="0">
            <x v="1"/>
          </reference>
          <reference field="7" count="1" selected="0">
            <x v="173"/>
          </reference>
          <reference field="8" count="1">
            <x v="317"/>
          </reference>
        </references>
      </pivotArea>
    </format>
    <format dxfId="4455">
      <pivotArea dataOnly="0" labelOnly="1" fieldPosition="0">
        <references count="5">
          <reference field="1" count="1" selected="0">
            <x v="89"/>
          </reference>
          <reference field="5" count="1" selected="0">
            <x v="0"/>
          </reference>
          <reference field="6" count="1" selected="0">
            <x v="9"/>
          </reference>
          <reference field="7" count="1" selected="0">
            <x v="175"/>
          </reference>
          <reference field="8" count="2">
            <x v="458"/>
            <x v="555"/>
          </reference>
        </references>
      </pivotArea>
    </format>
    <format dxfId="4454">
      <pivotArea dataOnly="0" labelOnly="1" fieldPosition="0">
        <references count="5">
          <reference field="1" count="1" selected="0">
            <x v="89"/>
          </reference>
          <reference field="5" count="1" selected="0">
            <x v="0"/>
          </reference>
          <reference field="6" count="1" selected="0">
            <x v="12"/>
          </reference>
          <reference field="7" count="1" selected="0">
            <x v="6"/>
          </reference>
          <reference field="8" count="1">
            <x v="32"/>
          </reference>
        </references>
      </pivotArea>
    </format>
    <format dxfId="4453">
      <pivotArea dataOnly="0" labelOnly="1" fieldPosition="0">
        <references count="5">
          <reference field="1" count="1" selected="0">
            <x v="89"/>
          </reference>
          <reference field="5" count="1" selected="0">
            <x v="0"/>
          </reference>
          <reference field="6" count="1" selected="0">
            <x v="12"/>
          </reference>
          <reference field="7" count="1" selected="0">
            <x v="8"/>
          </reference>
          <reference field="8" count="1">
            <x v="14"/>
          </reference>
        </references>
      </pivotArea>
    </format>
    <format dxfId="4452">
      <pivotArea dataOnly="0" labelOnly="1" fieldPosition="0">
        <references count="5">
          <reference field="1" count="1" selected="0">
            <x v="89"/>
          </reference>
          <reference field="5" count="1" selected="0">
            <x v="0"/>
          </reference>
          <reference field="6" count="1" selected="0">
            <x v="12"/>
          </reference>
          <reference field="7" count="1" selected="0">
            <x v="17"/>
          </reference>
          <reference field="8" count="1">
            <x v="219"/>
          </reference>
        </references>
      </pivotArea>
    </format>
    <format dxfId="4451">
      <pivotArea dataOnly="0" labelOnly="1" fieldPosition="0">
        <references count="5">
          <reference field="1" count="1" selected="0">
            <x v="89"/>
          </reference>
          <reference field="5" count="1" selected="0">
            <x v="0"/>
          </reference>
          <reference field="6" count="1" selected="0">
            <x v="12"/>
          </reference>
          <reference field="7" count="1" selected="0">
            <x v="18"/>
          </reference>
          <reference field="8" count="1">
            <x v="11"/>
          </reference>
        </references>
      </pivotArea>
    </format>
    <format dxfId="4450">
      <pivotArea dataOnly="0" labelOnly="1" fieldPosition="0">
        <references count="5">
          <reference field="1" count="1" selected="0">
            <x v="89"/>
          </reference>
          <reference field="5" count="1" selected="0">
            <x v="0"/>
          </reference>
          <reference field="6" count="1" selected="0">
            <x v="12"/>
          </reference>
          <reference field="7" count="1" selected="0">
            <x v="34"/>
          </reference>
          <reference field="8" count="1">
            <x v="719"/>
          </reference>
        </references>
      </pivotArea>
    </format>
    <format dxfId="4449">
      <pivotArea dataOnly="0" labelOnly="1" fieldPosition="0">
        <references count="5">
          <reference field="1" count="1" selected="0">
            <x v="89"/>
          </reference>
          <reference field="5" count="1" selected="0">
            <x v="0"/>
          </reference>
          <reference field="6" count="1" selected="0">
            <x v="12"/>
          </reference>
          <reference field="7" count="1" selected="0">
            <x v="50"/>
          </reference>
          <reference field="8" count="1">
            <x v="80"/>
          </reference>
        </references>
      </pivotArea>
    </format>
    <format dxfId="4448">
      <pivotArea dataOnly="0" labelOnly="1" fieldPosition="0">
        <references count="5">
          <reference field="1" count="1" selected="0">
            <x v="89"/>
          </reference>
          <reference field="5" count="1" selected="0">
            <x v="0"/>
          </reference>
          <reference field="6" count="1" selected="0">
            <x v="12"/>
          </reference>
          <reference field="7" count="1" selected="0">
            <x v="52"/>
          </reference>
          <reference field="8" count="1">
            <x v="14"/>
          </reference>
        </references>
      </pivotArea>
    </format>
    <format dxfId="4447">
      <pivotArea dataOnly="0" labelOnly="1" fieldPosition="0">
        <references count="5">
          <reference field="1" count="1" selected="0">
            <x v="89"/>
          </reference>
          <reference field="5" count="1" selected="0">
            <x v="0"/>
          </reference>
          <reference field="6" count="1" selected="0">
            <x v="12"/>
          </reference>
          <reference field="7" count="1" selected="0">
            <x v="55"/>
          </reference>
          <reference field="8" count="1">
            <x v="82"/>
          </reference>
        </references>
      </pivotArea>
    </format>
    <format dxfId="4446">
      <pivotArea dataOnly="0" labelOnly="1" fieldPosition="0">
        <references count="5">
          <reference field="1" count="1" selected="0">
            <x v="89"/>
          </reference>
          <reference field="5" count="1" selected="0">
            <x v="0"/>
          </reference>
          <reference field="6" count="1" selected="0">
            <x v="20"/>
          </reference>
          <reference field="7" count="1" selected="0">
            <x v="174"/>
          </reference>
          <reference field="8" count="5">
            <x v="471"/>
            <x v="580"/>
            <x v="699"/>
            <x v="1029"/>
            <x v="1236"/>
          </reference>
        </references>
      </pivotArea>
    </format>
    <format dxfId="4445">
      <pivotArea dataOnly="0" labelOnly="1" fieldPosition="0">
        <references count="5">
          <reference field="1" count="1" selected="0">
            <x v="89"/>
          </reference>
          <reference field="5" count="1" selected="0">
            <x v="2"/>
          </reference>
          <reference field="6" count="1" selected="0">
            <x v="1"/>
          </reference>
          <reference field="7" count="1" selected="0">
            <x v="175"/>
          </reference>
          <reference field="8" count="1">
            <x v="1205"/>
          </reference>
        </references>
      </pivotArea>
    </format>
    <format dxfId="4444">
      <pivotArea dataOnly="0" labelOnly="1" fieldPosition="0">
        <references count="5">
          <reference field="1" count="1" selected="0">
            <x v="89"/>
          </reference>
          <reference field="5" count="1" selected="0">
            <x v="2"/>
          </reference>
          <reference field="6" count="1" selected="0">
            <x v="20"/>
          </reference>
          <reference field="7" count="1" selected="0">
            <x v="174"/>
          </reference>
          <reference field="8" count="1">
            <x v="1850"/>
          </reference>
        </references>
      </pivotArea>
    </format>
    <format dxfId="4443">
      <pivotArea dataOnly="0" labelOnly="1" fieldPosition="0">
        <references count="5">
          <reference field="1" count="1" selected="0">
            <x v="89"/>
          </reference>
          <reference field="5" count="1" selected="0">
            <x v="6"/>
          </reference>
          <reference field="6" count="1" selected="0">
            <x v="38"/>
          </reference>
          <reference field="7" count="1" selected="0">
            <x v="175"/>
          </reference>
          <reference field="8" count="1">
            <x v="658"/>
          </reference>
        </references>
      </pivotArea>
    </format>
    <format dxfId="4442">
      <pivotArea dataOnly="0" labelOnly="1" fieldPosition="0">
        <references count="5">
          <reference field="1" count="1" selected="0">
            <x v="89"/>
          </reference>
          <reference field="5" count="1" selected="0">
            <x v="7"/>
          </reference>
          <reference field="6" count="1" selected="0">
            <x v="9"/>
          </reference>
          <reference field="7" count="1" selected="0">
            <x v="175"/>
          </reference>
          <reference field="8" count="1">
            <x v="228"/>
          </reference>
        </references>
      </pivotArea>
    </format>
    <format dxfId="4441">
      <pivotArea dataOnly="0" labelOnly="1" fieldPosition="0">
        <references count="5">
          <reference field="1" count="1" selected="0">
            <x v="89"/>
          </reference>
          <reference field="5" count="1" selected="0">
            <x v="7"/>
          </reference>
          <reference field="6" count="1" selected="0">
            <x v="10"/>
          </reference>
          <reference field="7" count="1" selected="0">
            <x v="175"/>
          </reference>
          <reference field="8" count="1">
            <x v="1581"/>
          </reference>
        </references>
      </pivotArea>
    </format>
    <format dxfId="4440">
      <pivotArea dataOnly="0" labelOnly="1" fieldPosition="0">
        <references count="5">
          <reference field="1" count="1" selected="0">
            <x v="89"/>
          </reference>
          <reference field="5" count="1" selected="0">
            <x v="12"/>
          </reference>
          <reference field="6" count="1" selected="0">
            <x v="1"/>
          </reference>
          <reference field="7" count="1" selected="0">
            <x v="175"/>
          </reference>
          <reference field="8" count="4">
            <x v="80"/>
            <x v="213"/>
            <x v="500"/>
            <x v="702"/>
          </reference>
        </references>
      </pivotArea>
    </format>
    <format dxfId="4439">
      <pivotArea dataOnly="0" labelOnly="1" fieldPosition="0">
        <references count="5">
          <reference field="1" count="1" selected="0">
            <x v="89"/>
          </reference>
          <reference field="5" count="1" selected="0">
            <x v="12"/>
          </reference>
          <reference field="6" count="1" selected="0">
            <x v="20"/>
          </reference>
          <reference field="7" count="1" selected="0">
            <x v="174"/>
          </reference>
          <reference field="8" count="34">
            <x v="71"/>
            <x v="166"/>
            <x v="174"/>
            <x v="282"/>
            <x v="336"/>
            <x v="675"/>
            <x v="720"/>
            <x v="780"/>
            <x v="801"/>
            <x v="839"/>
            <x v="912"/>
            <x v="967"/>
            <x v="983"/>
            <x v="994"/>
            <x v="1147"/>
            <x v="1239"/>
            <x v="1269"/>
            <x v="1320"/>
            <x v="1378"/>
            <x v="1413"/>
            <x v="1480"/>
            <x v="1515"/>
            <x v="1523"/>
            <x v="1560"/>
            <x v="1566"/>
            <x v="1571"/>
            <x v="1578"/>
            <x v="1604"/>
            <x v="1606"/>
            <x v="1644"/>
            <x v="1648"/>
            <x v="1678"/>
            <x v="1711"/>
            <x v="1721"/>
          </reference>
        </references>
      </pivotArea>
    </format>
    <format dxfId="4438">
      <pivotArea dataOnly="0" labelOnly="1" fieldPosition="0">
        <references count="5">
          <reference field="1" count="1" selected="0">
            <x v="89"/>
          </reference>
          <reference field="5" count="1" selected="0">
            <x v="14"/>
          </reference>
          <reference field="6" count="1" selected="0">
            <x v="38"/>
          </reference>
          <reference field="7" count="1" selected="0">
            <x v="175"/>
          </reference>
          <reference field="8" count="1">
            <x v="397"/>
          </reference>
        </references>
      </pivotArea>
    </format>
    <format dxfId="4437">
      <pivotArea dataOnly="0" labelOnly="1" fieldPosition="0">
        <references count="5">
          <reference field="1" count="1" selected="0">
            <x v="89"/>
          </reference>
          <reference field="5" count="1" selected="0">
            <x v="15"/>
          </reference>
          <reference field="6" count="1" selected="0">
            <x v="20"/>
          </reference>
          <reference field="7" count="1" selected="0">
            <x v="174"/>
          </reference>
          <reference field="8" count="1">
            <x v="1877"/>
          </reference>
        </references>
      </pivotArea>
    </format>
    <format dxfId="4436">
      <pivotArea dataOnly="0" labelOnly="1" fieldPosition="0">
        <references count="5">
          <reference field="1" count="1" selected="0">
            <x v="89"/>
          </reference>
          <reference field="5" count="1" selected="0">
            <x v="17"/>
          </reference>
          <reference field="6" count="1" selected="0">
            <x v="20"/>
          </reference>
          <reference field="7" count="1" selected="0">
            <x v="174"/>
          </reference>
          <reference field="8" count="1">
            <x v="717"/>
          </reference>
        </references>
      </pivotArea>
    </format>
    <format dxfId="4435">
      <pivotArea dataOnly="0" labelOnly="1" fieldPosition="0">
        <references count="5">
          <reference field="1" count="1" selected="0">
            <x v="89"/>
          </reference>
          <reference field="5" count="1" selected="0">
            <x v="21"/>
          </reference>
          <reference field="6" count="1" selected="0">
            <x v="20"/>
          </reference>
          <reference field="7" count="1" selected="0">
            <x v="174"/>
          </reference>
          <reference field="8" count="1">
            <x v="1677"/>
          </reference>
        </references>
      </pivotArea>
    </format>
    <format dxfId="4434">
      <pivotArea dataOnly="0" labelOnly="1" fieldPosition="0">
        <references count="5">
          <reference field="1" count="1" selected="0">
            <x v="89"/>
          </reference>
          <reference field="5" count="1" selected="0">
            <x v="23"/>
          </reference>
          <reference field="6" count="1" selected="0">
            <x v="20"/>
          </reference>
          <reference field="7" count="1" selected="0">
            <x v="174"/>
          </reference>
          <reference field="8" count="1">
            <x v="1859"/>
          </reference>
        </references>
      </pivotArea>
    </format>
    <format dxfId="4433">
      <pivotArea dataOnly="0" labelOnly="1" fieldPosition="0">
        <references count="5">
          <reference field="1" count="1" selected="0">
            <x v="89"/>
          </reference>
          <reference field="5" count="1" selected="0">
            <x v="24"/>
          </reference>
          <reference field="6" count="1" selected="0">
            <x v="20"/>
          </reference>
          <reference field="7" count="1" selected="0">
            <x v="174"/>
          </reference>
          <reference field="8" count="1">
            <x v="1660"/>
          </reference>
        </references>
      </pivotArea>
    </format>
    <format dxfId="4432">
      <pivotArea dataOnly="0" labelOnly="1" fieldPosition="0">
        <references count="5">
          <reference field="1" count="1" selected="0">
            <x v="89"/>
          </reference>
          <reference field="5" count="1" selected="0">
            <x v="26"/>
          </reference>
          <reference field="6" count="1" selected="0">
            <x v="20"/>
          </reference>
          <reference field="7" count="1" selected="0">
            <x v="174"/>
          </reference>
          <reference field="8" count="1">
            <x v="160"/>
          </reference>
        </references>
      </pivotArea>
    </format>
    <format dxfId="4431">
      <pivotArea dataOnly="0" labelOnly="1" fieldPosition="0">
        <references count="5">
          <reference field="1" count="1" selected="0">
            <x v="89"/>
          </reference>
          <reference field="5" count="1" selected="0">
            <x v="27"/>
          </reference>
          <reference field="6" count="1" selected="0">
            <x v="20"/>
          </reference>
          <reference field="7" count="1" selected="0">
            <x v="174"/>
          </reference>
          <reference field="8" count="1">
            <x v="1342"/>
          </reference>
        </references>
      </pivotArea>
    </format>
    <format dxfId="4430">
      <pivotArea dataOnly="0" labelOnly="1" fieldPosition="0">
        <references count="5">
          <reference field="1" count="1" selected="0">
            <x v="89"/>
          </reference>
          <reference field="5" count="1" selected="0">
            <x v="29"/>
          </reference>
          <reference field="6" count="1" selected="0">
            <x v="10"/>
          </reference>
          <reference field="7" count="1" selected="0">
            <x v="175"/>
          </reference>
          <reference field="8" count="1">
            <x v="1575"/>
          </reference>
        </references>
      </pivotArea>
    </format>
    <format dxfId="4429">
      <pivotArea dataOnly="0" labelOnly="1" fieldPosition="0">
        <references count="5">
          <reference field="1" count="1" selected="0">
            <x v="89"/>
          </reference>
          <reference field="5" count="1" selected="0">
            <x v="35"/>
          </reference>
          <reference field="6" count="1" selected="0">
            <x v="1"/>
          </reference>
          <reference field="7" count="1" selected="0">
            <x v="175"/>
          </reference>
          <reference field="8" count="2">
            <x v="80"/>
            <x v="500"/>
          </reference>
        </references>
      </pivotArea>
    </format>
    <format dxfId="4428">
      <pivotArea dataOnly="0" labelOnly="1" fieldPosition="0">
        <references count="5">
          <reference field="1" count="1" selected="0">
            <x v="89"/>
          </reference>
          <reference field="5" count="1" selected="0">
            <x v="35"/>
          </reference>
          <reference field="6" count="1" selected="0">
            <x v="20"/>
          </reference>
          <reference field="7" count="1" selected="0">
            <x v="174"/>
          </reference>
          <reference field="8" count="13">
            <x v="105"/>
            <x v="226"/>
            <x v="311"/>
            <x v="373"/>
            <x v="401"/>
            <x v="455"/>
            <x v="519"/>
            <x v="686"/>
            <x v="706"/>
            <x v="823"/>
            <x v="1132"/>
            <x v="1211"/>
            <x v="1366"/>
          </reference>
        </references>
      </pivotArea>
    </format>
    <format dxfId="4427">
      <pivotArea dataOnly="0" labelOnly="1" fieldPosition="0">
        <references count="5">
          <reference field="1" count="1" selected="0">
            <x v="90"/>
          </reference>
          <reference field="5" count="1" selected="0">
            <x v="0"/>
          </reference>
          <reference field="6" count="1" selected="0">
            <x v="1"/>
          </reference>
          <reference field="7" count="1" selected="0">
            <x v="176"/>
          </reference>
          <reference field="8" count="1">
            <x v="80"/>
          </reference>
        </references>
      </pivotArea>
    </format>
    <format dxfId="4426">
      <pivotArea dataOnly="0" labelOnly="1" fieldPosition="0">
        <references count="5">
          <reference field="1" count="1" selected="0">
            <x v="90"/>
          </reference>
          <reference field="5" count="1" selected="0">
            <x v="0"/>
          </reference>
          <reference field="6" count="1" selected="0">
            <x v="12"/>
          </reference>
          <reference field="7" count="1" selected="0">
            <x v="2"/>
          </reference>
          <reference field="8" count="1">
            <x v="39"/>
          </reference>
        </references>
      </pivotArea>
    </format>
    <format dxfId="4425">
      <pivotArea dataOnly="0" labelOnly="1" fieldPosition="0">
        <references count="5">
          <reference field="1" count="1" selected="0">
            <x v="90"/>
          </reference>
          <reference field="5" count="1" selected="0">
            <x v="0"/>
          </reference>
          <reference field="6" count="1" selected="0">
            <x v="12"/>
          </reference>
          <reference field="7" count="1" selected="0">
            <x v="21"/>
          </reference>
          <reference field="8" count="1">
            <x v="9"/>
          </reference>
        </references>
      </pivotArea>
    </format>
    <format dxfId="4424">
      <pivotArea dataOnly="0" labelOnly="1" fieldPosition="0">
        <references count="5">
          <reference field="1" count="1" selected="0">
            <x v="90"/>
          </reference>
          <reference field="5" count="1" selected="0">
            <x v="0"/>
          </reference>
          <reference field="6" count="1" selected="0">
            <x v="12"/>
          </reference>
          <reference field="7" count="1" selected="0">
            <x v="40"/>
          </reference>
          <reference field="8" count="1">
            <x v="219"/>
          </reference>
        </references>
      </pivotArea>
    </format>
    <format dxfId="4423">
      <pivotArea dataOnly="0" labelOnly="1" fieldPosition="0">
        <references count="5">
          <reference field="1" count="1" selected="0">
            <x v="90"/>
          </reference>
          <reference field="5" count="1" selected="0">
            <x v="0"/>
          </reference>
          <reference field="6" count="1" selected="0">
            <x v="12"/>
          </reference>
          <reference field="7" count="1" selected="0">
            <x v="55"/>
          </reference>
          <reference field="8" count="1">
            <x v="92"/>
          </reference>
        </references>
      </pivotArea>
    </format>
    <format dxfId="4422">
      <pivotArea dataOnly="0" labelOnly="1" fieldPosition="0">
        <references count="5">
          <reference field="1" count="1" selected="0">
            <x v="90"/>
          </reference>
          <reference field="5" count="1" selected="0">
            <x v="0"/>
          </reference>
          <reference field="6" count="1" selected="0">
            <x v="38"/>
          </reference>
          <reference field="7" count="1" selected="0">
            <x v="176"/>
          </reference>
          <reference field="8" count="1">
            <x v="650"/>
          </reference>
        </references>
      </pivotArea>
    </format>
    <format dxfId="4421">
      <pivotArea dataOnly="0" labelOnly="1" fieldPosition="0">
        <references count="5">
          <reference field="1" count="1" selected="0">
            <x v="90"/>
          </reference>
          <reference field="5" count="1" selected="0">
            <x v="2"/>
          </reference>
          <reference field="6" count="1" selected="0">
            <x v="10"/>
          </reference>
          <reference field="7" count="1" selected="0">
            <x v="176"/>
          </reference>
          <reference field="8" count="1">
            <x v="1694"/>
          </reference>
        </references>
      </pivotArea>
    </format>
    <format dxfId="4420">
      <pivotArea dataOnly="0" labelOnly="1" fieldPosition="0">
        <references count="5">
          <reference field="1" count="1" selected="0">
            <x v="90"/>
          </reference>
          <reference field="5" count="1" selected="0">
            <x v="3"/>
          </reference>
          <reference field="6" count="1" selected="0">
            <x v="10"/>
          </reference>
          <reference field="7" count="1" selected="0">
            <x v="176"/>
          </reference>
          <reference field="8" count="1">
            <x v="1254"/>
          </reference>
        </references>
      </pivotArea>
    </format>
    <format dxfId="4419">
      <pivotArea dataOnly="0" labelOnly="1" fieldPosition="0">
        <references count="5">
          <reference field="1" count="1" selected="0">
            <x v="90"/>
          </reference>
          <reference field="5" count="1" selected="0">
            <x v="11"/>
          </reference>
          <reference field="6" count="1" selected="0">
            <x v="10"/>
          </reference>
          <reference field="7" count="1" selected="0">
            <x v="176"/>
          </reference>
          <reference field="8" count="1">
            <x v="741"/>
          </reference>
        </references>
      </pivotArea>
    </format>
    <format dxfId="4418">
      <pivotArea dataOnly="0" labelOnly="1" fieldPosition="0">
        <references count="5">
          <reference field="1" count="1" selected="0">
            <x v="90"/>
          </reference>
          <reference field="5" count="1" selected="0">
            <x v="12"/>
          </reference>
          <reference field="6" count="1" selected="0">
            <x v="1"/>
          </reference>
          <reference field="7" count="1" selected="0">
            <x v="176"/>
          </reference>
          <reference field="8" count="2">
            <x v="213"/>
            <x v="352"/>
          </reference>
        </references>
      </pivotArea>
    </format>
    <format dxfId="4417">
      <pivotArea dataOnly="0" labelOnly="1" fieldPosition="0">
        <references count="5">
          <reference field="1" count="1" selected="0">
            <x v="90"/>
          </reference>
          <reference field="5" count="1" selected="0">
            <x v="15"/>
          </reference>
          <reference field="6" count="1" selected="0">
            <x v="38"/>
          </reference>
          <reference field="7" count="1" selected="0">
            <x v="176"/>
          </reference>
          <reference field="8" count="1">
            <x v="1028"/>
          </reference>
        </references>
      </pivotArea>
    </format>
    <format dxfId="4416">
      <pivotArea dataOnly="0" labelOnly="1" fieldPosition="0">
        <references count="5">
          <reference field="1" count="1" selected="0">
            <x v="90"/>
          </reference>
          <reference field="5" count="1" selected="0">
            <x v="23"/>
          </reference>
          <reference field="6" count="1" selected="0">
            <x v="38"/>
          </reference>
          <reference field="7" count="1" selected="0">
            <x v="176"/>
          </reference>
          <reference field="8" count="1">
            <x v="452"/>
          </reference>
        </references>
      </pivotArea>
    </format>
    <format dxfId="4415">
      <pivotArea dataOnly="0" labelOnly="1" fieldPosition="0">
        <references count="5">
          <reference field="1" count="1" selected="0">
            <x v="90"/>
          </reference>
          <reference field="5" count="1" selected="0">
            <x v="35"/>
          </reference>
          <reference field="6" count="1" selected="0">
            <x v="1"/>
          </reference>
          <reference field="7" count="1" selected="0">
            <x v="176"/>
          </reference>
          <reference field="8" count="1">
            <x v="80"/>
          </reference>
        </references>
      </pivotArea>
    </format>
    <format dxfId="4414">
      <pivotArea dataOnly="0" labelOnly="1" fieldPosition="0">
        <references count="5">
          <reference field="1" count="1" selected="0">
            <x v="90"/>
          </reference>
          <reference field="5" count="1" selected="0">
            <x v="36"/>
          </reference>
          <reference field="6" count="1" selected="0">
            <x v="10"/>
          </reference>
          <reference field="7" count="1" selected="0">
            <x v="176"/>
          </reference>
          <reference field="8" count="1">
            <x v="1539"/>
          </reference>
        </references>
      </pivotArea>
    </format>
    <format dxfId="4413">
      <pivotArea dataOnly="0" labelOnly="1" fieldPosition="0">
        <references count="5">
          <reference field="1" count="1" selected="0">
            <x v="90"/>
          </reference>
          <reference field="5" count="1" selected="0">
            <x v="38"/>
          </reference>
          <reference field="6" count="1" selected="0">
            <x v="10"/>
          </reference>
          <reference field="7" count="1" selected="0">
            <x v="176"/>
          </reference>
          <reference field="8" count="1">
            <x v="1175"/>
          </reference>
        </references>
      </pivotArea>
    </format>
    <format dxfId="4412">
      <pivotArea dataOnly="0" labelOnly="1" fieldPosition="0">
        <references count="5">
          <reference field="1" count="1" selected="0">
            <x v="91"/>
          </reference>
          <reference field="5" count="1" selected="0">
            <x v="0"/>
          </reference>
          <reference field="6" count="1" selected="0">
            <x v="12"/>
          </reference>
          <reference field="7" count="1" selected="0">
            <x v="28"/>
          </reference>
          <reference field="8" count="1">
            <x v="35"/>
          </reference>
        </references>
      </pivotArea>
    </format>
    <format dxfId="4411">
      <pivotArea dataOnly="0" labelOnly="1" fieldPosition="0">
        <references count="5">
          <reference field="1" count="1" selected="0">
            <x v="91"/>
          </reference>
          <reference field="5" count="1" selected="0">
            <x v="0"/>
          </reference>
          <reference field="6" count="1" selected="0">
            <x v="12"/>
          </reference>
          <reference field="7" count="1" selected="0">
            <x v="32"/>
          </reference>
          <reference field="8" count="1">
            <x v="391"/>
          </reference>
        </references>
      </pivotArea>
    </format>
    <format dxfId="4410">
      <pivotArea dataOnly="0" labelOnly="1" fieldPosition="0">
        <references count="5">
          <reference field="1" count="1" selected="0">
            <x v="91"/>
          </reference>
          <reference field="5" count="1" selected="0">
            <x v="0"/>
          </reference>
          <reference field="6" count="1" selected="0">
            <x v="12"/>
          </reference>
          <reference field="7" count="1" selected="0">
            <x v="54"/>
          </reference>
          <reference field="8" count="1">
            <x v="55"/>
          </reference>
        </references>
      </pivotArea>
    </format>
    <format dxfId="4409">
      <pivotArea dataOnly="0" labelOnly="1" fieldPosition="0">
        <references count="5">
          <reference field="1" count="1" selected="0">
            <x v="92"/>
          </reference>
          <reference field="5" count="1" selected="0">
            <x v="0"/>
          </reference>
          <reference field="6" count="1" selected="0">
            <x v="8"/>
          </reference>
          <reference field="7" count="1" selected="0">
            <x v="178"/>
          </reference>
          <reference field="8" count="1">
            <x v="514"/>
          </reference>
        </references>
      </pivotArea>
    </format>
    <format dxfId="4408">
      <pivotArea dataOnly="0" labelOnly="1" fieldPosition="0">
        <references count="5">
          <reference field="1" count="1" selected="0">
            <x v="92"/>
          </reference>
          <reference field="5" count="1" selected="0">
            <x v="0"/>
          </reference>
          <reference field="6" count="1" selected="0">
            <x v="9"/>
          </reference>
          <reference field="7" count="1" selected="0">
            <x v="178"/>
          </reference>
          <reference field="8" count="7">
            <x v="74"/>
            <x v="346"/>
            <x v="355"/>
            <x v="809"/>
            <x v="917"/>
            <x v="940"/>
            <x v="1128"/>
          </reference>
        </references>
      </pivotArea>
    </format>
    <format dxfId="4407">
      <pivotArea dataOnly="0" labelOnly="1" fieldPosition="0">
        <references count="5">
          <reference field="1" count="1" selected="0">
            <x v="92"/>
          </reference>
          <reference field="5" count="1" selected="0">
            <x v="0"/>
          </reference>
          <reference field="6" count="1" selected="0">
            <x v="38"/>
          </reference>
          <reference field="7" count="1" selected="0">
            <x v="178"/>
          </reference>
          <reference field="8" count="2">
            <x v="138"/>
            <x v="500"/>
          </reference>
        </references>
      </pivotArea>
    </format>
    <format dxfId="4406">
      <pivotArea dataOnly="0" labelOnly="1" fieldPosition="0">
        <references count="5">
          <reference field="1" count="1" selected="0">
            <x v="92"/>
          </reference>
          <reference field="5" count="1" selected="0">
            <x v="3"/>
          </reference>
          <reference field="6" count="1" selected="0">
            <x v="38"/>
          </reference>
          <reference field="7" count="1" selected="0">
            <x v="178"/>
          </reference>
          <reference field="8" count="1">
            <x v="78"/>
          </reference>
        </references>
      </pivotArea>
    </format>
    <format dxfId="4405">
      <pivotArea dataOnly="0" labelOnly="1" fieldPosition="0">
        <references count="5">
          <reference field="1" count="1" selected="0">
            <x v="92"/>
          </reference>
          <reference field="5" count="1" selected="0">
            <x v="8"/>
          </reference>
          <reference field="6" count="1" selected="0">
            <x v="10"/>
          </reference>
          <reference field="7" count="1" selected="0">
            <x v="178"/>
          </reference>
          <reference field="8" count="1">
            <x v="729"/>
          </reference>
        </references>
      </pivotArea>
    </format>
    <format dxfId="4404">
      <pivotArea dataOnly="0" labelOnly="1" fieldPosition="0">
        <references count="5">
          <reference field="1" count="1" selected="0">
            <x v="92"/>
          </reference>
          <reference field="5" count="1" selected="0">
            <x v="12"/>
          </reference>
          <reference field="6" count="1" selected="0">
            <x v="1"/>
          </reference>
          <reference field="7" count="1" selected="0">
            <x v="178"/>
          </reference>
          <reference field="8" count="2">
            <x v="80"/>
            <x v="352"/>
          </reference>
        </references>
      </pivotArea>
    </format>
    <format dxfId="4403">
      <pivotArea dataOnly="0" labelOnly="1" fieldPosition="0">
        <references count="5">
          <reference field="1" count="1" selected="0">
            <x v="92"/>
          </reference>
          <reference field="5" count="1" selected="0">
            <x v="15"/>
          </reference>
          <reference field="6" count="1" selected="0">
            <x v="27"/>
          </reference>
          <reference field="7" count="1" selected="0">
            <x v="177"/>
          </reference>
          <reference field="8" count="1">
            <x v="1737"/>
          </reference>
        </references>
      </pivotArea>
    </format>
    <format dxfId="4402">
      <pivotArea dataOnly="0" labelOnly="1" fieldPosition="0">
        <references count="5">
          <reference field="1" count="1" selected="0">
            <x v="92"/>
          </reference>
          <reference field="5" count="1" selected="0">
            <x v="23"/>
          </reference>
          <reference field="6" count="1" selected="0">
            <x v="38"/>
          </reference>
          <reference field="7" count="1" selected="0">
            <x v="178"/>
          </reference>
          <reference field="8" count="2">
            <x v="80"/>
            <x v="352"/>
          </reference>
        </references>
      </pivotArea>
    </format>
    <format dxfId="4401">
      <pivotArea dataOnly="0" labelOnly="1" fieldPosition="0">
        <references count="5">
          <reference field="1" count="1" selected="0">
            <x v="92"/>
          </reference>
          <reference field="5" count="1" selected="0">
            <x v="36"/>
          </reference>
          <reference field="6" count="1" selected="0">
            <x v="8"/>
          </reference>
          <reference field="7" count="1" selected="0">
            <x v="178"/>
          </reference>
          <reference field="8" count="1">
            <x v="977"/>
          </reference>
        </references>
      </pivotArea>
    </format>
    <format dxfId="4400">
      <pivotArea dataOnly="0" labelOnly="1" fieldPosition="0">
        <references count="5">
          <reference field="1" count="1" selected="0">
            <x v="93"/>
          </reference>
          <reference field="5" count="1" selected="0">
            <x v="10"/>
          </reference>
          <reference field="6" count="1" selected="0">
            <x v="33"/>
          </reference>
          <reference field="7" count="1" selected="0">
            <x v="179"/>
          </reference>
          <reference field="8" count="1">
            <x v="1793"/>
          </reference>
        </references>
      </pivotArea>
    </format>
    <format dxfId="4399">
      <pivotArea dataOnly="0" labelOnly="1" fieldPosition="0">
        <references count="5">
          <reference field="1" count="1" selected="0">
            <x v="93"/>
          </reference>
          <reference field="5" count="1" selected="0">
            <x v="12"/>
          </reference>
          <reference field="6" count="1" selected="0">
            <x v="38"/>
          </reference>
          <reference field="7" count="1" selected="0">
            <x v="179"/>
          </reference>
          <reference field="8" count="3">
            <x v="1137"/>
            <x v="1343"/>
            <x v="1730"/>
          </reference>
        </references>
      </pivotArea>
    </format>
    <format dxfId="4398">
      <pivotArea dataOnly="0" labelOnly="1" fieldPosition="0">
        <references count="5">
          <reference field="1" count="1" selected="0">
            <x v="93"/>
          </reference>
          <reference field="5" count="1" selected="0">
            <x v="15"/>
          </reference>
          <reference field="6" count="1" selected="0">
            <x v="33"/>
          </reference>
          <reference field="7" count="1" selected="0">
            <x v="179"/>
          </reference>
          <reference field="8" count="1">
            <x v="1873"/>
          </reference>
        </references>
      </pivotArea>
    </format>
    <format dxfId="4397">
      <pivotArea dataOnly="0" labelOnly="1" fieldPosition="0">
        <references count="5">
          <reference field="1" count="1" selected="0">
            <x v="93"/>
          </reference>
          <reference field="5" count="1" selected="0">
            <x v="15"/>
          </reference>
          <reference field="6" count="1" selected="0">
            <x v="35"/>
          </reference>
          <reference field="7" count="1" selected="0">
            <x v="76"/>
          </reference>
          <reference field="8" count="1">
            <x v="0"/>
          </reference>
        </references>
      </pivotArea>
    </format>
    <format dxfId="4396">
      <pivotArea dataOnly="0" labelOnly="1" fieldPosition="0">
        <references count="5">
          <reference field="1" count="1" selected="0">
            <x v="93"/>
          </reference>
          <reference field="5" count="1" selected="0">
            <x v="36"/>
          </reference>
          <reference field="6" count="1" selected="0">
            <x v="9"/>
          </reference>
          <reference field="7" count="1" selected="0">
            <x v="179"/>
          </reference>
          <reference field="8" count="1">
            <x v="1754"/>
          </reference>
        </references>
      </pivotArea>
    </format>
    <format dxfId="4395">
      <pivotArea dataOnly="0" labelOnly="1" fieldPosition="0">
        <references count="5">
          <reference field="1" count="1" selected="0">
            <x v="94"/>
          </reference>
          <reference field="5" count="1" selected="0">
            <x v="0"/>
          </reference>
          <reference field="6" count="1" selected="0">
            <x v="1"/>
          </reference>
          <reference field="7" count="1" selected="0">
            <x v="180"/>
          </reference>
          <reference field="8" count="1">
            <x v="80"/>
          </reference>
        </references>
      </pivotArea>
    </format>
    <format dxfId="4394">
      <pivotArea dataOnly="0" labelOnly="1" fieldPosition="0">
        <references count="5">
          <reference field="1" count="1" selected="0">
            <x v="94"/>
          </reference>
          <reference field="5" count="1" selected="0">
            <x v="0"/>
          </reference>
          <reference field="6" count="1" selected="0">
            <x v="11"/>
          </reference>
          <reference field="7" count="1" selected="0">
            <x v="51"/>
          </reference>
          <reference field="8" count="1">
            <x v="39"/>
          </reference>
        </references>
      </pivotArea>
    </format>
    <format dxfId="4393">
      <pivotArea dataOnly="0" labelOnly="1" fieldPosition="0">
        <references count="5">
          <reference field="1" count="1" selected="0">
            <x v="94"/>
          </reference>
          <reference field="5" count="1" selected="0">
            <x v="0"/>
          </reference>
          <reference field="6" count="1" selected="0">
            <x v="12"/>
          </reference>
          <reference field="7" count="1" selected="0">
            <x v="23"/>
          </reference>
          <reference field="8" count="1">
            <x v="109"/>
          </reference>
        </references>
      </pivotArea>
    </format>
    <format dxfId="4392">
      <pivotArea dataOnly="0" labelOnly="1" fieldPosition="0">
        <references count="5">
          <reference field="1" count="1" selected="0">
            <x v="94"/>
          </reference>
          <reference field="5" count="1" selected="0">
            <x v="2"/>
          </reference>
          <reference field="6" count="1" selected="0">
            <x v="6"/>
          </reference>
          <reference field="7" count="1" selected="0">
            <x v="180"/>
          </reference>
          <reference field="8" count="1">
            <x v="680"/>
          </reference>
        </references>
      </pivotArea>
    </format>
    <format dxfId="4391">
      <pivotArea dataOnly="0" labelOnly="1" fieldPosition="0">
        <references count="5">
          <reference field="1" count="1" selected="0">
            <x v="94"/>
          </reference>
          <reference field="5" count="1" selected="0">
            <x v="3"/>
          </reference>
          <reference field="6" count="1" selected="0">
            <x v="38"/>
          </reference>
          <reference field="7" count="1" selected="0">
            <x v="180"/>
          </reference>
          <reference field="8" count="1">
            <x v="78"/>
          </reference>
        </references>
      </pivotArea>
    </format>
    <format dxfId="4390">
      <pivotArea dataOnly="0" labelOnly="1" fieldPosition="0">
        <references count="5">
          <reference field="1" count="1" selected="0">
            <x v="94"/>
          </reference>
          <reference field="5" count="1" selected="0">
            <x v="12"/>
          </reference>
          <reference field="6" count="1" selected="0">
            <x v="1"/>
          </reference>
          <reference field="7" count="1" selected="0">
            <x v="180"/>
          </reference>
          <reference field="8" count="4">
            <x v="80"/>
            <x v="213"/>
            <x v="352"/>
            <x v="1028"/>
          </reference>
        </references>
      </pivotArea>
    </format>
    <format dxfId="4389">
      <pivotArea dataOnly="0" labelOnly="1" fieldPosition="0">
        <references count="5">
          <reference field="1" count="1" selected="0">
            <x v="94"/>
          </reference>
          <reference field="5" count="1" selected="0">
            <x v="15"/>
          </reference>
          <reference field="6" count="1" selected="0">
            <x v="33"/>
          </reference>
          <reference field="7" count="1" selected="0">
            <x v="180"/>
          </reference>
          <reference field="8" count="1">
            <x v="1881"/>
          </reference>
        </references>
      </pivotArea>
    </format>
    <format dxfId="4388">
      <pivotArea dataOnly="0" labelOnly="1" fieldPosition="0">
        <references count="5">
          <reference field="1" count="1" selected="0">
            <x v="94"/>
          </reference>
          <reference field="5" count="1" selected="0">
            <x v="15"/>
          </reference>
          <reference field="6" count="1" selected="0">
            <x v="38"/>
          </reference>
          <reference field="7" count="1" selected="0">
            <x v="180"/>
          </reference>
          <reference field="8" count="1">
            <x v="474"/>
          </reference>
        </references>
      </pivotArea>
    </format>
    <format dxfId="4387">
      <pivotArea dataOnly="0" labelOnly="1" fieldPosition="0">
        <references count="5">
          <reference field="1" count="1" selected="0">
            <x v="94"/>
          </reference>
          <reference field="5" count="1" selected="0">
            <x v="19"/>
          </reference>
          <reference field="6" count="1" selected="0">
            <x v="6"/>
          </reference>
          <reference field="7" count="1" selected="0">
            <x v="180"/>
          </reference>
          <reference field="8" count="1">
            <x v="469"/>
          </reference>
        </references>
      </pivotArea>
    </format>
    <format dxfId="4386">
      <pivotArea dataOnly="0" labelOnly="1" fieldPosition="0">
        <references count="5">
          <reference field="1" count="1" selected="0">
            <x v="94"/>
          </reference>
          <reference field="5" count="1" selected="0">
            <x v="23"/>
          </reference>
          <reference field="6" count="1" selected="0">
            <x v="38"/>
          </reference>
          <reference field="7" count="1" selected="0">
            <x v="180"/>
          </reference>
          <reference field="8" count="1">
            <x v="109"/>
          </reference>
        </references>
      </pivotArea>
    </format>
    <format dxfId="4385">
      <pivotArea dataOnly="0" labelOnly="1" fieldPosition="0">
        <references count="5">
          <reference field="1" count="1" selected="0">
            <x v="94"/>
          </reference>
          <reference field="5" count="1" selected="0">
            <x v="24"/>
          </reference>
          <reference field="6" count="1" selected="0">
            <x v="6"/>
          </reference>
          <reference field="7" count="1" selected="0">
            <x v="180"/>
          </reference>
          <reference field="8" count="1">
            <x v="1048"/>
          </reference>
        </references>
      </pivotArea>
    </format>
    <format dxfId="4384">
      <pivotArea dataOnly="0" labelOnly="1" fieldPosition="0">
        <references count="5">
          <reference field="1" count="1" selected="0">
            <x v="94"/>
          </reference>
          <reference field="5" count="1" selected="0">
            <x v="29"/>
          </reference>
          <reference field="6" count="1" selected="0">
            <x v="38"/>
          </reference>
          <reference field="7" count="1" selected="0">
            <x v="180"/>
          </reference>
          <reference field="8" count="1">
            <x v="180"/>
          </reference>
        </references>
      </pivotArea>
    </format>
    <format dxfId="4383">
      <pivotArea dataOnly="0" labelOnly="1" fieldPosition="0">
        <references count="5">
          <reference field="1" count="1" selected="0">
            <x v="94"/>
          </reference>
          <reference field="5" count="1" selected="0">
            <x v="33"/>
          </reference>
          <reference field="6" count="1" selected="0">
            <x v="38"/>
          </reference>
          <reference field="7" count="1" selected="0">
            <x v="180"/>
          </reference>
          <reference field="8" count="1">
            <x v="325"/>
          </reference>
        </references>
      </pivotArea>
    </format>
    <format dxfId="4382">
      <pivotArea dataOnly="0" labelOnly="1" fieldPosition="0">
        <references count="5">
          <reference field="1" count="1" selected="0">
            <x v="94"/>
          </reference>
          <reference field="5" count="1" selected="0">
            <x v="35"/>
          </reference>
          <reference field="6" count="1" selected="0">
            <x v="1"/>
          </reference>
          <reference field="7" count="1" selected="0">
            <x v="180"/>
          </reference>
          <reference field="8" count="2">
            <x v="80"/>
            <x v="213"/>
          </reference>
        </references>
      </pivotArea>
    </format>
    <format dxfId="4381">
      <pivotArea dataOnly="0" labelOnly="1" fieldPosition="0">
        <references count="5">
          <reference field="1" count="1" selected="0">
            <x v="95"/>
          </reference>
          <reference field="5" count="1" selected="0">
            <x v="0"/>
          </reference>
          <reference field="6" count="1" selected="0">
            <x v="8"/>
          </reference>
          <reference field="7" count="1" selected="0">
            <x v="181"/>
          </reference>
          <reference field="8" count="4">
            <x v="351"/>
            <x v="1069"/>
            <x v="1166"/>
            <x v="1305"/>
          </reference>
        </references>
      </pivotArea>
    </format>
    <format dxfId="4380">
      <pivotArea dataOnly="0" labelOnly="1" fieldPosition="0">
        <references count="5">
          <reference field="1" count="1" selected="0">
            <x v="95"/>
          </reference>
          <reference field="5" count="1" selected="0">
            <x v="0"/>
          </reference>
          <reference field="6" count="1" selected="0">
            <x v="9"/>
          </reference>
          <reference field="7" count="1" selected="0">
            <x v="181"/>
          </reference>
          <reference field="8" count="10">
            <x v="312"/>
            <x v="344"/>
            <x v="435"/>
            <x v="521"/>
            <x v="844"/>
            <x v="870"/>
            <x v="953"/>
            <x v="974"/>
            <x v="1003"/>
            <x v="1200"/>
          </reference>
        </references>
      </pivotArea>
    </format>
    <format dxfId="4379">
      <pivotArea dataOnly="0" labelOnly="1" fieldPosition="0">
        <references count="5">
          <reference field="1" count="1" selected="0">
            <x v="95"/>
          </reference>
          <reference field="5" count="1" selected="0">
            <x v="0"/>
          </reference>
          <reference field="6" count="1" selected="0">
            <x v="12"/>
          </reference>
          <reference field="7" count="1" selected="0">
            <x v="2"/>
          </reference>
          <reference field="8" count="1">
            <x v="9"/>
          </reference>
        </references>
      </pivotArea>
    </format>
    <format dxfId="4378">
      <pivotArea dataOnly="0" labelOnly="1" fieldPosition="0">
        <references count="5">
          <reference field="1" count="1" selected="0">
            <x v="95"/>
          </reference>
          <reference field="5" count="1" selected="0">
            <x v="0"/>
          </reference>
          <reference field="6" count="1" selected="0">
            <x v="12"/>
          </reference>
          <reference field="7" count="1" selected="0">
            <x v="42"/>
          </reference>
          <reference field="8" count="1">
            <x v="23"/>
          </reference>
        </references>
      </pivotArea>
    </format>
    <format dxfId="4377">
      <pivotArea dataOnly="0" labelOnly="1" fieldPosition="0">
        <references count="5">
          <reference field="1" count="1" selected="0">
            <x v="95"/>
          </reference>
          <reference field="5" count="1" selected="0">
            <x v="0"/>
          </reference>
          <reference field="6" count="1" selected="0">
            <x v="37"/>
          </reference>
          <reference field="7" count="1" selected="0">
            <x v="181"/>
          </reference>
          <reference field="8" count="1">
            <x v="1424"/>
          </reference>
        </references>
      </pivotArea>
    </format>
    <format dxfId="4376">
      <pivotArea dataOnly="0" labelOnly="1" fieldPosition="0">
        <references count="5">
          <reference field="1" count="1" selected="0">
            <x v="95"/>
          </reference>
          <reference field="5" count="1" selected="0">
            <x v="0"/>
          </reference>
          <reference field="6" count="1" selected="0">
            <x v="38"/>
          </reference>
          <reference field="7" count="1" selected="0">
            <x v="181"/>
          </reference>
          <reference field="8" count="1">
            <x v="89"/>
          </reference>
        </references>
      </pivotArea>
    </format>
    <format dxfId="4375">
      <pivotArea dataOnly="0" labelOnly="1" fieldPosition="0">
        <references count="5">
          <reference field="1" count="1" selected="0">
            <x v="95"/>
          </reference>
          <reference field="5" count="1" selected="0">
            <x v="3"/>
          </reference>
          <reference field="6" count="1" selected="0">
            <x v="37"/>
          </reference>
          <reference field="7" count="1" selected="0">
            <x v="181"/>
          </reference>
          <reference field="8" count="1">
            <x v="897"/>
          </reference>
        </references>
      </pivotArea>
    </format>
    <format dxfId="4374">
      <pivotArea dataOnly="0" labelOnly="1" fieldPosition="0">
        <references count="5">
          <reference field="1" count="1" selected="0">
            <x v="95"/>
          </reference>
          <reference field="5" count="1" selected="0">
            <x v="5"/>
          </reference>
          <reference field="6" count="1" selected="0">
            <x v="1"/>
          </reference>
          <reference field="7" count="1" selected="0">
            <x v="181"/>
          </reference>
          <reference field="8" count="1">
            <x v="835"/>
          </reference>
        </references>
      </pivotArea>
    </format>
    <format dxfId="4373">
      <pivotArea dataOnly="0" labelOnly="1" fieldPosition="0">
        <references count="5">
          <reference field="1" count="1" selected="0">
            <x v="95"/>
          </reference>
          <reference field="5" count="1" selected="0">
            <x v="5"/>
          </reference>
          <reference field="6" count="1" selected="0">
            <x v="37"/>
          </reference>
          <reference field="7" count="1" selected="0">
            <x v="181"/>
          </reference>
          <reference field="8" count="1">
            <x v="897"/>
          </reference>
        </references>
      </pivotArea>
    </format>
    <format dxfId="4372">
      <pivotArea dataOnly="0" labelOnly="1" fieldPosition="0">
        <references count="5">
          <reference field="1" count="1" selected="0">
            <x v="95"/>
          </reference>
          <reference field="5" count="1" selected="0">
            <x v="5"/>
          </reference>
          <reference field="6" count="1" selected="0">
            <x v="38"/>
          </reference>
          <reference field="7" count="1" selected="0">
            <x v="181"/>
          </reference>
          <reference field="8" count="1">
            <x v="1827"/>
          </reference>
        </references>
      </pivotArea>
    </format>
    <format dxfId="4371">
      <pivotArea dataOnly="0" labelOnly="1" fieldPosition="0">
        <references count="5">
          <reference field="1" count="1" selected="0">
            <x v="95"/>
          </reference>
          <reference field="5" count="1" selected="0">
            <x v="6"/>
          </reference>
          <reference field="6" count="1" selected="0">
            <x v="38"/>
          </reference>
          <reference field="7" count="1" selected="0">
            <x v="181"/>
          </reference>
          <reference field="8" count="1">
            <x v="1561"/>
          </reference>
        </references>
      </pivotArea>
    </format>
    <format dxfId="4370">
      <pivotArea dataOnly="0" labelOnly="1" fieldPosition="0">
        <references count="5">
          <reference field="1" count="1" selected="0">
            <x v="95"/>
          </reference>
          <reference field="5" count="1" selected="0">
            <x v="8"/>
          </reference>
          <reference field="6" count="1" selected="0">
            <x v="38"/>
          </reference>
          <reference field="7" count="1" selected="0">
            <x v="181"/>
          </reference>
          <reference field="8" count="1">
            <x v="584"/>
          </reference>
        </references>
      </pivotArea>
    </format>
    <format dxfId="4369">
      <pivotArea dataOnly="0" labelOnly="1" fieldPosition="0">
        <references count="5">
          <reference field="1" count="1" selected="0">
            <x v="95"/>
          </reference>
          <reference field="5" count="1" selected="0">
            <x v="9"/>
          </reference>
          <reference field="6" count="1" selected="0">
            <x v="10"/>
          </reference>
          <reference field="7" count="1" selected="0">
            <x v="181"/>
          </reference>
          <reference field="8" count="1">
            <x v="556"/>
          </reference>
        </references>
      </pivotArea>
    </format>
    <format dxfId="4368">
      <pivotArea dataOnly="0" labelOnly="1" fieldPosition="0">
        <references count="5">
          <reference field="1" count="1" selected="0">
            <x v="95"/>
          </reference>
          <reference field="5" count="1" selected="0">
            <x v="12"/>
          </reference>
          <reference field="6" count="1" selected="0">
            <x v="1"/>
          </reference>
          <reference field="7" count="1" selected="0">
            <x v="181"/>
          </reference>
          <reference field="8" count="3">
            <x v="80"/>
            <x v="213"/>
            <x v="500"/>
          </reference>
        </references>
      </pivotArea>
    </format>
    <format dxfId="4367">
      <pivotArea dataOnly="0" labelOnly="1" fieldPosition="0">
        <references count="5">
          <reference field="1" count="1" selected="0">
            <x v="95"/>
          </reference>
          <reference field="5" count="1" selected="0">
            <x v="14"/>
          </reference>
          <reference field="6" count="1" selected="0">
            <x v="10"/>
          </reference>
          <reference field="7" count="1" selected="0">
            <x v="181"/>
          </reference>
          <reference field="8" count="1">
            <x v="1856"/>
          </reference>
        </references>
      </pivotArea>
    </format>
    <format dxfId="4366">
      <pivotArea dataOnly="0" labelOnly="1" fieldPosition="0">
        <references count="5">
          <reference field="1" count="1" selected="0">
            <x v="95"/>
          </reference>
          <reference field="5" count="1" selected="0">
            <x v="14"/>
          </reference>
          <reference field="6" count="1" selected="0">
            <x v="38"/>
          </reference>
          <reference field="7" count="1" selected="0">
            <x v="181"/>
          </reference>
          <reference field="8" count="1">
            <x v="1631"/>
          </reference>
        </references>
      </pivotArea>
    </format>
    <format dxfId="4365">
      <pivotArea dataOnly="0" labelOnly="1" fieldPosition="0">
        <references count="5">
          <reference field="1" count="1" selected="0">
            <x v="95"/>
          </reference>
          <reference field="5" count="1" selected="0">
            <x v="15"/>
          </reference>
          <reference field="6" count="1" selected="0">
            <x v="1"/>
          </reference>
          <reference field="7" count="1" selected="0">
            <x v="181"/>
          </reference>
          <reference field="8" count="1">
            <x v="665"/>
          </reference>
        </references>
      </pivotArea>
    </format>
    <format dxfId="4364">
      <pivotArea dataOnly="0" labelOnly="1" fieldPosition="0">
        <references count="5">
          <reference field="1" count="1" selected="0">
            <x v="95"/>
          </reference>
          <reference field="5" count="1" selected="0">
            <x v="15"/>
          </reference>
          <reference field="6" count="1" selected="0">
            <x v="8"/>
          </reference>
          <reference field="7" count="1" selected="0">
            <x v="181"/>
          </reference>
          <reference field="8" count="1">
            <x v="965"/>
          </reference>
        </references>
      </pivotArea>
    </format>
    <format dxfId="4363">
      <pivotArea dataOnly="0" labelOnly="1" fieldPosition="0">
        <references count="5">
          <reference field="1" count="1" selected="0">
            <x v="95"/>
          </reference>
          <reference field="5" count="1" selected="0">
            <x v="15"/>
          </reference>
          <reference field="6" count="1" selected="0">
            <x v="38"/>
          </reference>
          <reference field="7" count="1" selected="0">
            <x v="181"/>
          </reference>
          <reference field="8" count="1">
            <x v="1415"/>
          </reference>
        </references>
      </pivotArea>
    </format>
    <format dxfId="4362">
      <pivotArea dataOnly="0" labelOnly="1" fieldPosition="0">
        <references count="5">
          <reference field="1" count="1" selected="0">
            <x v="95"/>
          </reference>
          <reference field="5" count="1" selected="0">
            <x v="19"/>
          </reference>
          <reference field="6" count="1" selected="0">
            <x v="38"/>
          </reference>
          <reference field="7" count="1" selected="0">
            <x v="181"/>
          </reference>
          <reference field="8" count="1">
            <x v="1608"/>
          </reference>
        </references>
      </pivotArea>
    </format>
    <format dxfId="4361">
      <pivotArea dataOnly="0" labelOnly="1" fieldPosition="0">
        <references count="5">
          <reference field="1" count="1" selected="0">
            <x v="95"/>
          </reference>
          <reference field="5" count="1" selected="0">
            <x v="21"/>
          </reference>
          <reference field="6" count="1" selected="0">
            <x v="38"/>
          </reference>
          <reference field="7" count="1" selected="0">
            <x v="181"/>
          </reference>
          <reference field="8" count="1">
            <x v="1274"/>
          </reference>
        </references>
      </pivotArea>
    </format>
    <format dxfId="4360">
      <pivotArea dataOnly="0" labelOnly="1" fieldPosition="0">
        <references count="5">
          <reference field="1" count="1" selected="0">
            <x v="95"/>
          </reference>
          <reference field="5" count="1" selected="0">
            <x v="23"/>
          </reference>
          <reference field="6" count="1" selected="0">
            <x v="38"/>
          </reference>
          <reference field="7" count="1" selected="0">
            <x v="181"/>
          </reference>
          <reference field="8" count="1">
            <x v="1857"/>
          </reference>
        </references>
      </pivotArea>
    </format>
    <format dxfId="4359">
      <pivotArea dataOnly="0" labelOnly="1" fieldPosition="0">
        <references count="5">
          <reference field="1" count="1" selected="0">
            <x v="95"/>
          </reference>
          <reference field="5" count="1" selected="0">
            <x v="29"/>
          </reference>
          <reference field="6" count="1" selected="0">
            <x v="38"/>
          </reference>
          <reference field="7" count="1" selected="0">
            <x v="181"/>
          </reference>
          <reference field="8" count="1">
            <x v="1321"/>
          </reference>
        </references>
      </pivotArea>
    </format>
    <format dxfId="4358">
      <pivotArea dataOnly="0" labelOnly="1" fieldPosition="0">
        <references count="5">
          <reference field="1" count="1" selected="0">
            <x v="95"/>
          </reference>
          <reference field="5" count="1" selected="0">
            <x v="33"/>
          </reference>
          <reference field="6" count="1" selected="0">
            <x v="8"/>
          </reference>
          <reference field="7" count="1" selected="0">
            <x v="181"/>
          </reference>
          <reference field="8" count="1">
            <x v="738"/>
          </reference>
        </references>
      </pivotArea>
    </format>
    <format dxfId="4357">
      <pivotArea dataOnly="0" labelOnly="1" fieldPosition="0">
        <references count="5">
          <reference field="1" count="1" selected="0">
            <x v="95"/>
          </reference>
          <reference field="5" count="1" selected="0">
            <x v="35"/>
          </reference>
          <reference field="6" count="1" selected="0">
            <x v="1"/>
          </reference>
          <reference field="7" count="1" selected="0">
            <x v="181"/>
          </reference>
          <reference field="8" count="1">
            <x v="80"/>
          </reference>
        </references>
      </pivotArea>
    </format>
    <format dxfId="4356">
      <pivotArea dataOnly="0" labelOnly="1" fieldPosition="0">
        <references count="5">
          <reference field="1" count="1" selected="0">
            <x v="96"/>
          </reference>
          <reference field="5" count="1" selected="0">
            <x v="0"/>
          </reference>
          <reference field="6" count="1" selected="0">
            <x v="12"/>
          </reference>
          <reference field="7" count="1" selected="0">
            <x v="62"/>
          </reference>
          <reference field="8" count="1">
            <x v="13"/>
          </reference>
        </references>
      </pivotArea>
    </format>
    <format dxfId="4355">
      <pivotArea dataOnly="0" labelOnly="1" fieldPosition="0">
        <references count="5">
          <reference field="1" count="1" selected="0">
            <x v="96"/>
          </reference>
          <reference field="5" count="1" selected="0">
            <x v="3"/>
          </reference>
          <reference field="6" count="1" selected="0">
            <x v="1"/>
          </reference>
          <reference field="7" count="1" selected="0">
            <x v="182"/>
          </reference>
          <reference field="8" count="1">
            <x v="109"/>
          </reference>
        </references>
      </pivotArea>
    </format>
    <format dxfId="4354">
      <pivotArea dataOnly="0" labelOnly="1" fieldPosition="0">
        <references count="5">
          <reference field="1" count="1" selected="0">
            <x v="96"/>
          </reference>
          <reference field="5" count="1" selected="0">
            <x v="3"/>
          </reference>
          <reference field="6" count="1" selected="0">
            <x v="6"/>
          </reference>
          <reference field="7" count="1" selected="0">
            <x v="182"/>
          </reference>
          <reference field="8" count="1">
            <x v="387"/>
          </reference>
        </references>
      </pivotArea>
    </format>
    <format dxfId="4353">
      <pivotArea dataOnly="0" labelOnly="1" fieldPosition="0">
        <references count="5">
          <reference field="1" count="1" selected="0">
            <x v="96"/>
          </reference>
          <reference field="5" count="1" selected="0">
            <x v="3"/>
          </reference>
          <reference field="6" count="1" selected="0">
            <x v="38"/>
          </reference>
          <reference field="7" count="1" selected="0">
            <x v="182"/>
          </reference>
          <reference field="8" count="1">
            <x v="33"/>
          </reference>
        </references>
      </pivotArea>
    </format>
    <format dxfId="4352">
      <pivotArea dataOnly="0" labelOnly="1" fieldPosition="0">
        <references count="5">
          <reference field="1" count="1" selected="0">
            <x v="96"/>
          </reference>
          <reference field="5" count="1" selected="0">
            <x v="12"/>
          </reference>
          <reference field="6" count="1" selected="0">
            <x v="1"/>
          </reference>
          <reference field="7" count="1" selected="0">
            <x v="182"/>
          </reference>
          <reference field="8" count="7">
            <x v="80"/>
            <x v="213"/>
            <x v="500"/>
            <x v="607"/>
            <x v="702"/>
            <x v="964"/>
            <x v="1069"/>
          </reference>
        </references>
      </pivotArea>
    </format>
    <format dxfId="4351">
      <pivotArea dataOnly="0" labelOnly="1" fieldPosition="0">
        <references count="5">
          <reference field="1" count="1" selected="0">
            <x v="96"/>
          </reference>
          <reference field="5" count="1" selected="0">
            <x v="23"/>
          </reference>
          <reference field="6" count="1" selected="0">
            <x v="38"/>
          </reference>
          <reference field="7" count="1" selected="0">
            <x v="182"/>
          </reference>
          <reference field="8" count="1">
            <x v="182"/>
          </reference>
        </references>
      </pivotArea>
    </format>
    <format dxfId="4350">
      <pivotArea dataOnly="0" labelOnly="1" fieldPosition="0">
        <references count="5">
          <reference field="1" count="1" selected="0">
            <x v="96"/>
          </reference>
          <reference field="5" count="1" selected="0">
            <x v="35"/>
          </reference>
          <reference field="6" count="1" selected="0">
            <x v="1"/>
          </reference>
          <reference field="7" count="1" selected="0">
            <x v="182"/>
          </reference>
          <reference field="8" count="1">
            <x v="213"/>
          </reference>
        </references>
      </pivotArea>
    </format>
    <format dxfId="4349">
      <pivotArea dataOnly="0" labelOnly="1" fieldPosition="0">
        <references count="5">
          <reference field="1" count="1" selected="0">
            <x v="97"/>
          </reference>
          <reference field="5" count="1" selected="0">
            <x v="0"/>
          </reference>
          <reference field="6" count="1" selected="0">
            <x v="9"/>
          </reference>
          <reference field="7" count="1" selected="0">
            <x v="183"/>
          </reference>
          <reference field="8" count="7">
            <x v="105"/>
            <x v="364"/>
            <x v="483"/>
            <x v="707"/>
            <x v="767"/>
            <x v="876"/>
            <x v="1041"/>
          </reference>
        </references>
      </pivotArea>
    </format>
    <format dxfId="4348">
      <pivotArea dataOnly="0" labelOnly="1" fieldPosition="0">
        <references count="5">
          <reference field="1" count="1" selected="0">
            <x v="97"/>
          </reference>
          <reference field="5" count="1" selected="0">
            <x v="0"/>
          </reference>
          <reference field="6" count="1" selected="0">
            <x v="12"/>
          </reference>
          <reference field="7" count="1" selected="0">
            <x v="26"/>
          </reference>
          <reference field="8" count="1">
            <x v="18"/>
          </reference>
        </references>
      </pivotArea>
    </format>
    <format dxfId="4347">
      <pivotArea dataOnly="0" labelOnly="1" fieldPosition="0">
        <references count="5">
          <reference field="1" count="1" selected="0">
            <x v="97"/>
          </reference>
          <reference field="5" count="1" selected="0">
            <x v="0"/>
          </reference>
          <reference field="6" count="1" selected="0">
            <x v="12"/>
          </reference>
          <reference field="7" count="1" selected="0">
            <x v="47"/>
          </reference>
          <reference field="8" count="1">
            <x v="314"/>
          </reference>
        </references>
      </pivotArea>
    </format>
    <format dxfId="4346">
      <pivotArea dataOnly="0" labelOnly="1" fieldPosition="0">
        <references count="5">
          <reference field="1" count="1" selected="0">
            <x v="97"/>
          </reference>
          <reference field="5" count="1" selected="0">
            <x v="0"/>
          </reference>
          <reference field="6" count="1" selected="0">
            <x v="12"/>
          </reference>
          <reference field="7" count="1" selected="0">
            <x v="49"/>
          </reference>
          <reference field="8" count="1">
            <x v="20"/>
          </reference>
        </references>
      </pivotArea>
    </format>
    <format dxfId="4345">
      <pivotArea dataOnly="0" labelOnly="1" fieldPosition="0">
        <references count="5">
          <reference field="1" count="1" selected="0">
            <x v="97"/>
          </reference>
          <reference field="5" count="1" selected="0">
            <x v="3"/>
          </reference>
          <reference field="6" count="1" selected="0">
            <x v="38"/>
          </reference>
          <reference field="7" count="1" selected="0">
            <x v="183"/>
          </reference>
          <reference field="8" count="1">
            <x v="36"/>
          </reference>
        </references>
      </pivotArea>
    </format>
    <format dxfId="4344">
      <pivotArea dataOnly="0" labelOnly="1" fieldPosition="0">
        <references count="5">
          <reference field="1" count="1" selected="0">
            <x v="97"/>
          </reference>
          <reference field="5" count="1" selected="0">
            <x v="6"/>
          </reference>
          <reference field="6" count="1" selected="0">
            <x v="38"/>
          </reference>
          <reference field="7" count="1" selected="0">
            <x v="183"/>
          </reference>
          <reference field="8" count="1">
            <x v="944"/>
          </reference>
        </references>
      </pivotArea>
    </format>
    <format dxfId="4343">
      <pivotArea dataOnly="0" labelOnly="1" fieldPosition="0">
        <references count="5">
          <reference field="1" count="1" selected="0">
            <x v="97"/>
          </reference>
          <reference field="5" count="1" selected="0">
            <x v="8"/>
          </reference>
          <reference field="6" count="1" selected="0">
            <x v="38"/>
          </reference>
          <reference field="7" count="1" selected="0">
            <x v="183"/>
          </reference>
          <reference field="8" count="1">
            <x v="1387"/>
          </reference>
        </references>
      </pivotArea>
    </format>
    <format dxfId="4342">
      <pivotArea dataOnly="0" labelOnly="1" fieldPosition="0">
        <references count="5">
          <reference field="1" count="1" selected="0">
            <x v="97"/>
          </reference>
          <reference field="5" count="1" selected="0">
            <x v="12"/>
          </reference>
          <reference field="6" count="1" selected="0">
            <x v="1"/>
          </reference>
          <reference field="7" count="1" selected="0">
            <x v="183"/>
          </reference>
          <reference field="8" count="8">
            <x v="80"/>
            <x v="213"/>
            <x v="352"/>
            <x v="500"/>
            <x v="607"/>
            <x v="771"/>
            <x v="846"/>
            <x v="1028"/>
          </reference>
        </references>
      </pivotArea>
    </format>
    <format dxfId="4341">
      <pivotArea dataOnly="0" labelOnly="1" fieldPosition="0">
        <references count="5">
          <reference field="1" count="1" selected="0">
            <x v="97"/>
          </reference>
          <reference field="5" count="1" selected="0">
            <x v="12"/>
          </reference>
          <reference field="6" count="1" selected="0">
            <x v="38"/>
          </reference>
          <reference field="7" count="1" selected="0">
            <x v="183"/>
          </reference>
          <reference field="8" count="1">
            <x v="1562"/>
          </reference>
        </references>
      </pivotArea>
    </format>
    <format dxfId="4340">
      <pivotArea dataOnly="0" labelOnly="1" fieldPosition="0">
        <references count="5">
          <reference field="1" count="1" selected="0">
            <x v="97"/>
          </reference>
          <reference field="5" count="1" selected="0">
            <x v="14"/>
          </reference>
          <reference field="6" count="1" selected="0">
            <x v="1"/>
          </reference>
          <reference field="7" count="1" selected="0">
            <x v="183"/>
          </reference>
          <reference field="8" count="1">
            <x v="715"/>
          </reference>
        </references>
      </pivotArea>
    </format>
    <format dxfId="4339">
      <pivotArea dataOnly="0" labelOnly="1" fieldPosition="0">
        <references count="5">
          <reference field="1" count="1" selected="0">
            <x v="97"/>
          </reference>
          <reference field="5" count="1" selected="0">
            <x v="15"/>
          </reference>
          <reference field="6" count="1" selected="0">
            <x v="8"/>
          </reference>
          <reference field="7" count="1" selected="0">
            <x v="183"/>
          </reference>
          <reference field="8" count="1">
            <x v="295"/>
          </reference>
        </references>
      </pivotArea>
    </format>
    <format dxfId="4338">
      <pivotArea dataOnly="0" labelOnly="1" fieldPosition="0">
        <references count="5">
          <reference field="1" count="1" selected="0">
            <x v="97"/>
          </reference>
          <reference field="5" count="1" selected="0">
            <x v="27"/>
          </reference>
          <reference field="6" count="1" selected="0">
            <x v="6"/>
          </reference>
          <reference field="7" count="1" selected="0">
            <x v="183"/>
          </reference>
          <reference field="8" count="1">
            <x v="1481"/>
          </reference>
        </references>
      </pivotArea>
    </format>
    <format dxfId="4337">
      <pivotArea dataOnly="0" labelOnly="1" fieldPosition="0">
        <references count="5">
          <reference field="1" count="1" selected="0">
            <x v="97"/>
          </reference>
          <reference field="5" count="1" selected="0">
            <x v="34"/>
          </reference>
          <reference field="6" count="1" selected="0">
            <x v="38"/>
          </reference>
          <reference field="7" count="1" selected="0">
            <x v="183"/>
          </reference>
          <reference field="8" count="1">
            <x v="739"/>
          </reference>
        </references>
      </pivotArea>
    </format>
    <format dxfId="4336">
      <pivotArea dataOnly="0" labelOnly="1" fieldPosition="0">
        <references count="5">
          <reference field="1" count="1" selected="0">
            <x v="98"/>
          </reference>
          <reference field="5" count="1" selected="0">
            <x v="0"/>
          </reference>
          <reference field="6" count="1" selected="0">
            <x v="8"/>
          </reference>
          <reference field="7" count="1" selected="0">
            <x v="185"/>
          </reference>
          <reference field="8" count="1">
            <x v="549"/>
          </reference>
        </references>
      </pivotArea>
    </format>
    <format dxfId="4335">
      <pivotArea dataOnly="0" labelOnly="1" fieldPosition="0">
        <references count="5">
          <reference field="1" count="1" selected="0">
            <x v="98"/>
          </reference>
          <reference field="5" count="1" selected="0">
            <x v="0"/>
          </reference>
          <reference field="6" count="1" selected="0">
            <x v="9"/>
          </reference>
          <reference field="7" count="1" selected="0">
            <x v="185"/>
          </reference>
          <reference field="8" count="6">
            <x v="382"/>
            <x v="560"/>
            <x v="634"/>
            <x v="757"/>
            <x v="848"/>
            <x v="1309"/>
          </reference>
        </references>
      </pivotArea>
    </format>
    <format dxfId="4334">
      <pivotArea dataOnly="0" labelOnly="1" fieldPosition="0">
        <references count="5">
          <reference field="1" count="1" selected="0">
            <x v="98"/>
          </reference>
          <reference field="5" count="1" selected="0">
            <x v="0"/>
          </reference>
          <reference field="6" count="1" selected="0">
            <x v="11"/>
          </reference>
          <reference field="7" count="1" selected="0">
            <x v="51"/>
          </reference>
          <reference field="8" count="1">
            <x v="109"/>
          </reference>
        </references>
      </pivotArea>
    </format>
    <format dxfId="4333">
      <pivotArea dataOnly="0" labelOnly="1" fieldPosition="0">
        <references count="5">
          <reference field="1" count="1" selected="0">
            <x v="98"/>
          </reference>
          <reference field="5" count="1" selected="0">
            <x v="0"/>
          </reference>
          <reference field="6" count="1" selected="0">
            <x v="12"/>
          </reference>
          <reference field="7" count="1" selected="0">
            <x v="47"/>
          </reference>
          <reference field="8" count="1">
            <x v="314"/>
          </reference>
        </references>
      </pivotArea>
    </format>
    <format dxfId="4332">
      <pivotArea dataOnly="0" labelOnly="1" fieldPosition="0">
        <references count="5">
          <reference field="1" count="1" selected="0">
            <x v="98"/>
          </reference>
          <reference field="5" count="1" selected="0">
            <x v="2"/>
          </reference>
          <reference field="6" count="1" selected="0">
            <x v="8"/>
          </reference>
          <reference field="7" count="1" selected="0">
            <x v="185"/>
          </reference>
          <reference field="8" count="1">
            <x v="1252"/>
          </reference>
        </references>
      </pivotArea>
    </format>
    <format dxfId="4331">
      <pivotArea dataOnly="0" labelOnly="1" fieldPosition="0">
        <references count="5">
          <reference field="1" count="1" selected="0">
            <x v="98"/>
          </reference>
          <reference field="5" count="1" selected="0">
            <x v="8"/>
          </reference>
          <reference field="6" count="1" selected="0">
            <x v="38"/>
          </reference>
          <reference field="7" count="1" selected="0">
            <x v="185"/>
          </reference>
          <reference field="8" count="1">
            <x v="1548"/>
          </reference>
        </references>
      </pivotArea>
    </format>
    <format dxfId="4330">
      <pivotArea dataOnly="0" labelOnly="1" fieldPosition="0">
        <references count="5">
          <reference field="1" count="1" selected="0">
            <x v="98"/>
          </reference>
          <reference field="5" count="1" selected="0">
            <x v="11"/>
          </reference>
          <reference field="6" count="1" selected="0">
            <x v="8"/>
          </reference>
          <reference field="7" count="1" selected="0">
            <x v="185"/>
          </reference>
          <reference field="8" count="1">
            <x v="42"/>
          </reference>
        </references>
      </pivotArea>
    </format>
    <format dxfId="4329">
      <pivotArea dataOnly="0" labelOnly="1" fieldPosition="0">
        <references count="5">
          <reference field="1" count="1" selected="0">
            <x v="98"/>
          </reference>
          <reference field="5" count="1" selected="0">
            <x v="12"/>
          </reference>
          <reference field="6" count="1" selected="0">
            <x v="1"/>
          </reference>
          <reference field="7" count="1" selected="0">
            <x v="185"/>
          </reference>
          <reference field="8" count="5">
            <x v="80"/>
            <x v="213"/>
            <x v="352"/>
            <x v="771"/>
            <x v="964"/>
          </reference>
        </references>
      </pivotArea>
    </format>
    <format dxfId="4328">
      <pivotArea dataOnly="0" labelOnly="1" fieldPosition="0">
        <references count="5">
          <reference field="1" count="1" selected="0">
            <x v="98"/>
          </reference>
          <reference field="5" count="1" selected="0">
            <x v="12"/>
          </reference>
          <reference field="6" count="1" selected="0">
            <x v="31"/>
          </reference>
          <reference field="7" count="1" selected="0">
            <x v="184"/>
          </reference>
          <reference field="8" count="1">
            <x v="1153"/>
          </reference>
        </references>
      </pivotArea>
    </format>
    <format dxfId="4327">
      <pivotArea dataOnly="0" labelOnly="1" fieldPosition="0">
        <references count="5">
          <reference field="1" count="1" selected="0">
            <x v="98"/>
          </reference>
          <reference field="5" count="1" selected="0">
            <x v="12"/>
          </reference>
          <reference field="6" count="1" selected="0">
            <x v="38"/>
          </reference>
          <reference field="7" count="1" selected="0">
            <x v="185"/>
          </reference>
          <reference field="8" count="1">
            <x v="1265"/>
          </reference>
        </references>
      </pivotArea>
    </format>
    <format dxfId="4326">
      <pivotArea dataOnly="0" labelOnly="1" fieldPosition="0">
        <references count="5">
          <reference field="1" count="1" selected="0">
            <x v="98"/>
          </reference>
          <reference field="5" count="1" selected="0">
            <x v="14"/>
          </reference>
          <reference field="6" count="1" selected="0">
            <x v="38"/>
          </reference>
          <reference field="7" count="1" selected="0">
            <x v="185"/>
          </reference>
          <reference field="8" count="1">
            <x v="397"/>
          </reference>
        </references>
      </pivotArea>
    </format>
    <format dxfId="4325">
      <pivotArea dataOnly="0" labelOnly="1" fieldPosition="0">
        <references count="5">
          <reference field="1" count="1" selected="0">
            <x v="98"/>
          </reference>
          <reference field="5" count="1" selected="0">
            <x v="19"/>
          </reference>
          <reference field="6" count="1" selected="0">
            <x v="7"/>
          </reference>
          <reference field="7" count="1" selected="0">
            <x v="185"/>
          </reference>
          <reference field="8" count="1">
            <x v="1005"/>
          </reference>
        </references>
      </pivotArea>
    </format>
    <format dxfId="4324">
      <pivotArea dataOnly="0" labelOnly="1" fieldPosition="0">
        <references count="5">
          <reference field="1" count="1" selected="0">
            <x v="98"/>
          </reference>
          <reference field="5" count="1" selected="0">
            <x v="19"/>
          </reference>
          <reference field="6" count="1" selected="0">
            <x v="38"/>
          </reference>
          <reference field="7" count="1" selected="0">
            <x v="185"/>
          </reference>
          <reference field="8" count="1">
            <x v="330"/>
          </reference>
        </references>
      </pivotArea>
    </format>
    <format dxfId="4323">
      <pivotArea dataOnly="0" labelOnly="1" fieldPosition="0">
        <references count="5">
          <reference field="1" count="1" selected="0">
            <x v="98"/>
          </reference>
          <reference field="5" count="1" selected="0">
            <x v="24"/>
          </reference>
          <reference field="6" count="1" selected="0">
            <x v="1"/>
          </reference>
          <reference field="7" count="1" selected="0">
            <x v="185"/>
          </reference>
          <reference field="8" count="1">
            <x v="297"/>
          </reference>
        </references>
      </pivotArea>
    </format>
    <format dxfId="4322">
      <pivotArea dataOnly="0" labelOnly="1" fieldPosition="0">
        <references count="5">
          <reference field="1" count="1" selected="0">
            <x v="98"/>
          </reference>
          <reference field="5" count="1" selected="0">
            <x v="33"/>
          </reference>
          <reference field="6" count="1" selected="0">
            <x v="6"/>
          </reference>
          <reference field="7" count="1" selected="0">
            <x v="185"/>
          </reference>
          <reference field="8" count="1">
            <x v="469"/>
          </reference>
        </references>
      </pivotArea>
    </format>
    <format dxfId="4321">
      <pivotArea dataOnly="0" labelOnly="1" fieldPosition="0">
        <references count="5">
          <reference field="1" count="1" selected="0">
            <x v="98"/>
          </reference>
          <reference field="5" count="1" selected="0">
            <x v="35"/>
          </reference>
          <reference field="6" count="1" selected="0">
            <x v="1"/>
          </reference>
          <reference field="7" count="1" selected="0">
            <x v="185"/>
          </reference>
          <reference field="8" count="1">
            <x v="80"/>
          </reference>
        </references>
      </pivotArea>
    </format>
    <format dxfId="4320">
      <pivotArea dataOnly="0" labelOnly="1" fieldPosition="0">
        <references count="5">
          <reference field="1" count="1" selected="0">
            <x v="98"/>
          </reference>
          <reference field="5" count="1" selected="0">
            <x v="36"/>
          </reference>
          <reference field="6" count="1" selected="0">
            <x v="1"/>
          </reference>
          <reference field="7" count="1" selected="0">
            <x v="185"/>
          </reference>
          <reference field="8" count="1">
            <x v="1302"/>
          </reference>
        </references>
      </pivotArea>
    </format>
    <format dxfId="4319">
      <pivotArea dataOnly="0" labelOnly="1" fieldPosition="0">
        <references count="5">
          <reference field="1" count="1" selected="0">
            <x v="99"/>
          </reference>
          <reference field="5" count="1" selected="0">
            <x v="0"/>
          </reference>
          <reference field="6" count="1" selected="0">
            <x v="12"/>
          </reference>
          <reference field="7" count="1" selected="0">
            <x v="24"/>
          </reference>
          <reference field="8" count="1">
            <x v="24"/>
          </reference>
        </references>
      </pivotArea>
    </format>
    <format dxfId="4318">
      <pivotArea dataOnly="0" labelOnly="1" fieldPosition="0">
        <references count="5">
          <reference field="1" count="1" selected="0">
            <x v="99"/>
          </reference>
          <reference field="5" count="1" selected="0">
            <x v="0"/>
          </reference>
          <reference field="6" count="1" selected="0">
            <x v="12"/>
          </reference>
          <reference field="7" count="1" selected="0">
            <x v="31"/>
          </reference>
          <reference field="8" count="1">
            <x v="218"/>
          </reference>
        </references>
      </pivotArea>
    </format>
    <format dxfId="4317">
      <pivotArea dataOnly="0" labelOnly="1" fieldPosition="0">
        <references count="5">
          <reference field="1" count="1" selected="0">
            <x v="99"/>
          </reference>
          <reference field="5" count="1" selected="0">
            <x v="0"/>
          </reference>
          <reference field="6" count="1" selected="0">
            <x v="12"/>
          </reference>
          <reference field="7" count="1" selected="0">
            <x v="71"/>
          </reference>
          <reference field="8" count="1">
            <x v="37"/>
          </reference>
        </references>
      </pivotArea>
    </format>
    <format dxfId="4316">
      <pivotArea dataOnly="0" labelOnly="1" fieldPosition="0">
        <references count="5">
          <reference field="1" count="1" selected="0">
            <x v="99"/>
          </reference>
          <reference field="5" count="1" selected="0">
            <x v="0"/>
          </reference>
          <reference field="6" count="1" selected="0">
            <x v="38"/>
          </reference>
          <reference field="7" count="1" selected="0">
            <x v="186"/>
          </reference>
          <reference field="8" count="1">
            <x v="138"/>
          </reference>
        </references>
      </pivotArea>
    </format>
    <format dxfId="4315">
      <pivotArea dataOnly="0" labelOnly="1" fieldPosition="0">
        <references count="5">
          <reference field="1" count="1" selected="0">
            <x v="99"/>
          </reference>
          <reference field="5" count="1" selected="0">
            <x v="2"/>
          </reference>
          <reference field="6" count="1" selected="0">
            <x v="1"/>
          </reference>
          <reference field="7" count="1" selected="0">
            <x v="186"/>
          </reference>
          <reference field="8" count="1">
            <x v="151"/>
          </reference>
        </references>
      </pivotArea>
    </format>
    <format dxfId="4314">
      <pivotArea dataOnly="0" labelOnly="1" fieldPosition="0">
        <references count="5">
          <reference field="1" count="1" selected="0">
            <x v="99"/>
          </reference>
          <reference field="5" count="1" selected="0">
            <x v="2"/>
          </reference>
          <reference field="6" count="1" selected="0">
            <x v="8"/>
          </reference>
          <reference field="7" count="1" selected="0">
            <x v="186"/>
          </reference>
          <reference field="8" count="1">
            <x v="0"/>
          </reference>
        </references>
      </pivotArea>
    </format>
    <format dxfId="4313">
      <pivotArea dataOnly="0" labelOnly="1" fieldPosition="0">
        <references count="5">
          <reference field="1" count="1" selected="0">
            <x v="99"/>
          </reference>
          <reference field="5" count="1" selected="0">
            <x v="3"/>
          </reference>
          <reference field="6" count="1" selected="0">
            <x v="38"/>
          </reference>
          <reference field="7" count="1" selected="0">
            <x v="186"/>
          </reference>
          <reference field="8" count="1">
            <x v="352"/>
          </reference>
        </references>
      </pivotArea>
    </format>
    <format dxfId="4312">
      <pivotArea dataOnly="0" labelOnly="1" fieldPosition="0">
        <references count="5">
          <reference field="1" count="1" selected="0">
            <x v="99"/>
          </reference>
          <reference field="5" count="1" selected="0">
            <x v="6"/>
          </reference>
          <reference field="6" count="1" selected="0">
            <x v="38"/>
          </reference>
          <reference field="7" count="1" selected="0">
            <x v="186"/>
          </reference>
          <reference field="8" count="1">
            <x v="579"/>
          </reference>
        </references>
      </pivotArea>
    </format>
    <format dxfId="4311">
      <pivotArea dataOnly="0" labelOnly="1" fieldPosition="0">
        <references count="5">
          <reference field="1" count="1" selected="0">
            <x v="99"/>
          </reference>
          <reference field="5" count="1" selected="0">
            <x v="12"/>
          </reference>
          <reference field="6" count="1" selected="0">
            <x v="1"/>
          </reference>
          <reference field="7" count="1" selected="0">
            <x v="186"/>
          </reference>
          <reference field="8" count="3">
            <x v="80"/>
            <x v="213"/>
            <x v="352"/>
          </reference>
        </references>
      </pivotArea>
    </format>
    <format dxfId="4310">
      <pivotArea dataOnly="0" labelOnly="1" fieldPosition="0">
        <references count="5">
          <reference field="1" count="1" selected="0">
            <x v="99"/>
          </reference>
          <reference field="5" count="1" selected="0">
            <x v="24"/>
          </reference>
          <reference field="6" count="1" selected="0">
            <x v="6"/>
          </reference>
          <reference field="7" count="1" selected="0">
            <x v="186"/>
          </reference>
          <reference field="8" count="1">
            <x v="1013"/>
          </reference>
        </references>
      </pivotArea>
    </format>
    <format dxfId="4309">
      <pivotArea dataOnly="0" labelOnly="1" fieldPosition="0">
        <references count="5">
          <reference field="1" count="1" selected="0">
            <x v="100"/>
          </reference>
          <reference field="5" count="1" selected="0">
            <x v="0"/>
          </reference>
          <reference field="6" count="1" selected="0">
            <x v="1"/>
          </reference>
          <reference field="7" count="1" selected="0">
            <x v="187"/>
          </reference>
          <reference field="8" count="1">
            <x v="352"/>
          </reference>
        </references>
      </pivotArea>
    </format>
    <format dxfId="4308">
      <pivotArea dataOnly="0" labelOnly="1" fieldPosition="0">
        <references count="5">
          <reference field="1" count="1" selected="0">
            <x v="100"/>
          </reference>
          <reference field="5" count="1" selected="0">
            <x v="0"/>
          </reference>
          <reference field="6" count="1" selected="0">
            <x v="9"/>
          </reference>
          <reference field="7" count="1" selected="0">
            <x v="187"/>
          </reference>
          <reference field="8" count="5">
            <x v="287"/>
            <x v="514"/>
            <x v="515"/>
            <x v="600"/>
            <x v="648"/>
          </reference>
        </references>
      </pivotArea>
    </format>
    <format dxfId="4307">
      <pivotArea dataOnly="0" labelOnly="1" fieldPosition="0">
        <references count="5">
          <reference field="1" count="1" selected="0">
            <x v="100"/>
          </reference>
          <reference field="5" count="1" selected="0">
            <x v="0"/>
          </reference>
          <reference field="6" count="1" selected="0">
            <x v="12"/>
          </reference>
          <reference field="7" count="1" selected="0">
            <x v="20"/>
          </reference>
          <reference field="8" count="1">
            <x v="46"/>
          </reference>
        </references>
      </pivotArea>
    </format>
    <format dxfId="4306">
      <pivotArea dataOnly="0" labelOnly="1" fieldPosition="0">
        <references count="5">
          <reference field="1" count="1" selected="0">
            <x v="100"/>
          </reference>
          <reference field="5" count="1" selected="0">
            <x v="0"/>
          </reference>
          <reference field="6" count="1" selected="0">
            <x v="12"/>
          </reference>
          <reference field="7" count="1" selected="0">
            <x v="38"/>
          </reference>
          <reference field="8" count="1">
            <x v="6"/>
          </reference>
        </references>
      </pivotArea>
    </format>
    <format dxfId="4305">
      <pivotArea dataOnly="0" labelOnly="1" fieldPosition="0">
        <references count="5">
          <reference field="1" count="1" selected="0">
            <x v="100"/>
          </reference>
          <reference field="5" count="1" selected="0">
            <x v="0"/>
          </reference>
          <reference field="6" count="1" selected="0">
            <x v="38"/>
          </reference>
          <reference field="7" count="1" selected="0">
            <x v="187"/>
          </reference>
          <reference field="8" count="2">
            <x v="45"/>
            <x v="809"/>
          </reference>
        </references>
      </pivotArea>
    </format>
    <format dxfId="4304">
      <pivotArea dataOnly="0" labelOnly="1" fieldPosition="0">
        <references count="5">
          <reference field="1" count="1" selected="0">
            <x v="100"/>
          </reference>
          <reference field="5" count="1" selected="0">
            <x v="2"/>
          </reference>
          <reference field="6" count="1" selected="0">
            <x v="33"/>
          </reference>
          <reference field="7" count="1" selected="0">
            <x v="187"/>
          </reference>
          <reference field="8" count="1">
            <x v="1038"/>
          </reference>
        </references>
      </pivotArea>
    </format>
    <format dxfId="4303">
      <pivotArea dataOnly="0" labelOnly="1" fieldPosition="0">
        <references count="5">
          <reference field="1" count="1" selected="0">
            <x v="100"/>
          </reference>
          <reference field="5" count="1" selected="0">
            <x v="12"/>
          </reference>
          <reference field="6" count="1" selected="0">
            <x v="1"/>
          </reference>
          <reference field="7" count="1" selected="0">
            <x v="187"/>
          </reference>
          <reference field="8" count="3">
            <x v="80"/>
            <x v="213"/>
            <x v="771"/>
          </reference>
        </references>
      </pivotArea>
    </format>
    <format dxfId="4302">
      <pivotArea dataOnly="0" labelOnly="1" fieldPosition="0">
        <references count="5">
          <reference field="1" count="1" selected="0">
            <x v="100"/>
          </reference>
          <reference field="5" count="1" selected="0">
            <x v="15"/>
          </reference>
          <reference field="6" count="1" selected="0">
            <x v="8"/>
          </reference>
          <reference field="7" count="1" selected="0">
            <x v="187"/>
          </reference>
          <reference field="8" count="1">
            <x v="458"/>
          </reference>
        </references>
      </pivotArea>
    </format>
    <format dxfId="4301">
      <pivotArea dataOnly="0" labelOnly="1" fieldPosition="0">
        <references count="5">
          <reference field="1" count="1" selected="0">
            <x v="100"/>
          </reference>
          <reference field="5" count="1" selected="0">
            <x v="21"/>
          </reference>
          <reference field="6" count="1" selected="0">
            <x v="38"/>
          </reference>
          <reference field="7" count="1" selected="0">
            <x v="187"/>
          </reference>
          <reference field="8" count="1">
            <x v="80"/>
          </reference>
        </references>
      </pivotArea>
    </format>
    <format dxfId="4300">
      <pivotArea dataOnly="0" labelOnly="1" fieldPosition="0">
        <references count="5">
          <reference field="1" count="1" selected="0">
            <x v="100"/>
          </reference>
          <reference field="5" count="1" selected="0">
            <x v="24"/>
          </reference>
          <reference field="6" count="1" selected="0">
            <x v="10"/>
          </reference>
          <reference field="7" count="1" selected="0">
            <x v="187"/>
          </reference>
          <reference field="8" count="1">
            <x v="445"/>
          </reference>
        </references>
      </pivotArea>
    </format>
    <format dxfId="4299">
      <pivotArea dataOnly="0" labelOnly="1" fieldPosition="0">
        <references count="5">
          <reference field="1" count="1" selected="0">
            <x v="100"/>
          </reference>
          <reference field="5" count="1" selected="0">
            <x v="35"/>
          </reference>
          <reference field="6" count="1" selected="0">
            <x v="1"/>
          </reference>
          <reference field="7" count="1" selected="0">
            <x v="187"/>
          </reference>
          <reference field="8" count="1">
            <x v="80"/>
          </reference>
        </references>
      </pivotArea>
    </format>
    <format dxfId="4298">
      <pivotArea dataOnly="0" labelOnly="1" fieldPosition="0">
        <references count="5">
          <reference field="1" count="1" selected="0">
            <x v="100"/>
          </reference>
          <reference field="5" count="1" selected="0">
            <x v="36"/>
          </reference>
          <reference field="6" count="1" selected="0">
            <x v="1"/>
          </reference>
          <reference field="7" count="1" selected="0">
            <x v="187"/>
          </reference>
          <reference field="8" count="1">
            <x v="190"/>
          </reference>
        </references>
      </pivotArea>
    </format>
    <format dxfId="4297">
      <pivotArea dataOnly="0" labelOnly="1" fieldPosition="0">
        <references count="5">
          <reference field="1" count="1" selected="0">
            <x v="101"/>
          </reference>
          <reference field="5" count="1" selected="0">
            <x v="0"/>
          </reference>
          <reference field="6" count="1" selected="0">
            <x v="1"/>
          </reference>
          <reference field="7" count="1" selected="0">
            <x v="189"/>
          </reference>
          <reference field="8" count="1">
            <x v="500"/>
          </reference>
        </references>
      </pivotArea>
    </format>
    <format dxfId="4296">
      <pivotArea dataOnly="0" labelOnly="1" fieldPosition="0">
        <references count="5">
          <reference field="1" count="1" selected="0">
            <x v="101"/>
          </reference>
          <reference field="5" count="1" selected="0">
            <x v="0"/>
          </reference>
          <reference field="6" count="1" selected="0">
            <x v="6"/>
          </reference>
          <reference field="7" count="1" selected="0">
            <x v="189"/>
          </reference>
          <reference field="8" count="2">
            <x v="372"/>
            <x v="469"/>
          </reference>
        </references>
      </pivotArea>
    </format>
    <format dxfId="4295">
      <pivotArea dataOnly="0" labelOnly="1" fieldPosition="0">
        <references count="5">
          <reference field="1" count="1" selected="0">
            <x v="101"/>
          </reference>
          <reference field="5" count="1" selected="0">
            <x v="0"/>
          </reference>
          <reference field="6" count="1" selected="0">
            <x v="8"/>
          </reference>
          <reference field="7" count="1" selected="0">
            <x v="189"/>
          </reference>
          <reference field="8" count="1">
            <x v="95"/>
          </reference>
        </references>
      </pivotArea>
    </format>
    <format dxfId="4294">
      <pivotArea dataOnly="0" labelOnly="1" fieldPosition="0">
        <references count="5">
          <reference field="1" count="1" selected="0">
            <x v="101"/>
          </reference>
          <reference field="5" count="1" selected="0">
            <x v="0"/>
          </reference>
          <reference field="6" count="1" selected="0">
            <x v="9"/>
          </reference>
          <reference field="7" count="1" selected="0">
            <x v="189"/>
          </reference>
          <reference field="8" count="6">
            <x v="179"/>
            <x v="260"/>
            <x v="300"/>
            <x v="670"/>
            <x v="907"/>
            <x v="1060"/>
          </reference>
        </references>
      </pivotArea>
    </format>
    <format dxfId="4293">
      <pivotArea dataOnly="0" labelOnly="1" fieldPosition="0">
        <references count="5">
          <reference field="1" count="1" selected="0">
            <x v="101"/>
          </reference>
          <reference field="5" count="1" selected="0">
            <x v="0"/>
          </reference>
          <reference field="6" count="1" selected="0">
            <x v="12"/>
          </reference>
          <reference field="7" count="1" selected="0">
            <x v="16"/>
          </reference>
          <reference field="8" count="1">
            <x v="138"/>
          </reference>
        </references>
      </pivotArea>
    </format>
    <format dxfId="4292">
      <pivotArea dataOnly="0" labelOnly="1" fieldPosition="0">
        <references count="5">
          <reference field="1" count="1" selected="0">
            <x v="101"/>
          </reference>
          <reference field="5" count="1" selected="0">
            <x v="0"/>
          </reference>
          <reference field="6" count="1" selected="0">
            <x v="12"/>
          </reference>
          <reference field="7" count="1" selected="0">
            <x v="17"/>
          </reference>
          <reference field="8" count="1">
            <x v="96"/>
          </reference>
        </references>
      </pivotArea>
    </format>
    <format dxfId="4291">
      <pivotArea dataOnly="0" labelOnly="1" fieldPosition="0">
        <references count="5">
          <reference field="1" count="1" selected="0">
            <x v="101"/>
          </reference>
          <reference field="5" count="1" selected="0">
            <x v="0"/>
          </reference>
          <reference field="6" count="1" selected="0">
            <x v="12"/>
          </reference>
          <reference field="7" count="1" selected="0">
            <x v="34"/>
          </reference>
          <reference field="8" count="1">
            <x v="199"/>
          </reference>
        </references>
      </pivotArea>
    </format>
    <format dxfId="4290">
      <pivotArea dataOnly="0" labelOnly="1" fieldPosition="0">
        <references count="5">
          <reference field="1" count="1" selected="0">
            <x v="101"/>
          </reference>
          <reference field="5" count="1" selected="0">
            <x v="0"/>
          </reference>
          <reference field="6" count="1" selected="0">
            <x v="19"/>
          </reference>
          <reference field="7" count="1" selected="0">
            <x v="188"/>
          </reference>
          <reference field="8" count="8">
            <x v="580"/>
            <x v="753"/>
            <x v="877"/>
            <x v="931"/>
            <x v="998"/>
            <x v="1008"/>
            <x v="1021"/>
            <x v="1588"/>
          </reference>
        </references>
      </pivotArea>
    </format>
    <format dxfId="4289">
      <pivotArea dataOnly="0" labelOnly="1" fieldPosition="0">
        <references count="5">
          <reference field="1" count="1" selected="0">
            <x v="101"/>
          </reference>
          <reference field="5" count="1" selected="0">
            <x v="0"/>
          </reference>
          <reference field="6" count="1" selected="0">
            <x v="38"/>
          </reference>
          <reference field="7" count="1" selected="0">
            <x v="189"/>
          </reference>
          <reference field="8" count="1">
            <x v="138"/>
          </reference>
        </references>
      </pivotArea>
    </format>
    <format dxfId="4288">
      <pivotArea dataOnly="0" labelOnly="1" fieldPosition="0">
        <references count="5">
          <reference field="1" count="1" selected="0">
            <x v="101"/>
          </reference>
          <reference field="5" count="1" selected="0">
            <x v="2"/>
          </reference>
          <reference field="6" count="1" selected="0">
            <x v="19"/>
          </reference>
          <reference field="7" count="1" selected="0">
            <x v="188"/>
          </reference>
          <reference field="8" count="1">
            <x v="1803"/>
          </reference>
        </references>
      </pivotArea>
    </format>
    <format dxfId="4287">
      <pivotArea dataOnly="0" labelOnly="1" fieldPosition="0">
        <references count="5">
          <reference field="1" count="1" selected="0">
            <x v="101"/>
          </reference>
          <reference field="5" count="1" selected="0">
            <x v="3"/>
          </reference>
          <reference field="6" count="1" selected="0">
            <x v="19"/>
          </reference>
          <reference field="7" count="1" selected="0">
            <x v="188"/>
          </reference>
          <reference field="8" count="1">
            <x v="251"/>
          </reference>
        </references>
      </pivotArea>
    </format>
    <format dxfId="4286">
      <pivotArea dataOnly="0" labelOnly="1" fieldPosition="0">
        <references count="5">
          <reference field="1" count="1" selected="0">
            <x v="101"/>
          </reference>
          <reference field="5" count="1" selected="0">
            <x v="3"/>
          </reference>
          <reference field="6" count="1" selected="0">
            <x v="38"/>
          </reference>
          <reference field="7" count="1" selected="0">
            <x v="189"/>
          </reference>
          <reference field="8" count="1">
            <x v="182"/>
          </reference>
        </references>
      </pivotArea>
    </format>
    <format dxfId="4285">
      <pivotArea dataOnly="0" labelOnly="1" fieldPosition="0">
        <references count="5">
          <reference field="1" count="1" selected="0">
            <x v="101"/>
          </reference>
          <reference field="5" count="1" selected="0">
            <x v="10"/>
          </reference>
          <reference field="6" count="1" selected="0">
            <x v="19"/>
          </reference>
          <reference field="7" count="1" selected="0">
            <x v="188"/>
          </reference>
          <reference field="8" count="1">
            <x v="1535"/>
          </reference>
        </references>
      </pivotArea>
    </format>
    <format dxfId="4284">
      <pivotArea dataOnly="0" labelOnly="1" fieldPosition="0">
        <references count="5">
          <reference field="1" count="1" selected="0">
            <x v="101"/>
          </reference>
          <reference field="5" count="1" selected="0">
            <x v="11"/>
          </reference>
          <reference field="6" count="1" selected="0">
            <x v="8"/>
          </reference>
          <reference field="7" count="1" selected="0">
            <x v="189"/>
          </reference>
          <reference field="8" count="1">
            <x v="1045"/>
          </reference>
        </references>
      </pivotArea>
    </format>
    <format dxfId="4283">
      <pivotArea dataOnly="0" labelOnly="1" fieldPosition="0">
        <references count="5">
          <reference field="1" count="1" selected="0">
            <x v="101"/>
          </reference>
          <reference field="5" count="1" selected="0">
            <x v="12"/>
          </reference>
          <reference field="6" count="1" selected="0">
            <x v="1"/>
          </reference>
          <reference field="7" count="1" selected="0">
            <x v="189"/>
          </reference>
          <reference field="8" count="1">
            <x v="213"/>
          </reference>
        </references>
      </pivotArea>
    </format>
    <format dxfId="4282">
      <pivotArea dataOnly="0" labelOnly="1" fieldPosition="0">
        <references count="5">
          <reference field="1" count="1" selected="0">
            <x v="101"/>
          </reference>
          <reference field="5" count="1" selected="0">
            <x v="12"/>
          </reference>
          <reference field="6" count="1" selected="0">
            <x v="19"/>
          </reference>
          <reference field="7" count="1" selected="0">
            <x v="188"/>
          </reference>
          <reference field="8" count="24">
            <x v="99"/>
            <x v="110"/>
            <x v="370"/>
            <x v="1032"/>
            <x v="1191"/>
            <x v="1221"/>
            <x v="1349"/>
            <x v="1392"/>
            <x v="1438"/>
            <x v="1452"/>
            <x v="1498"/>
            <x v="1544"/>
            <x v="1549"/>
            <x v="1550"/>
            <x v="1552"/>
            <x v="1556"/>
            <x v="1610"/>
            <x v="1617"/>
            <x v="1695"/>
            <x v="1703"/>
            <x v="1704"/>
            <x v="1727"/>
            <x v="1731"/>
            <x v="1812"/>
          </reference>
        </references>
      </pivotArea>
    </format>
    <format dxfId="4281">
      <pivotArea dataOnly="0" labelOnly="1" fieldPosition="0">
        <references count="5">
          <reference field="1" count="1" selected="0">
            <x v="101"/>
          </reference>
          <reference field="5" count="1" selected="0">
            <x v="15"/>
          </reference>
          <reference field="6" count="1" selected="0">
            <x v="19"/>
          </reference>
          <reference field="7" count="1" selected="0">
            <x v="188"/>
          </reference>
          <reference field="8" count="1">
            <x v="1862"/>
          </reference>
        </references>
      </pivotArea>
    </format>
    <format dxfId="4280">
      <pivotArea dataOnly="0" labelOnly="1" fieldPosition="0">
        <references count="5">
          <reference field="1" count="1" selected="0">
            <x v="101"/>
          </reference>
          <reference field="5" count="1" selected="0">
            <x v="17"/>
          </reference>
          <reference field="6" count="1" selected="0">
            <x v="19"/>
          </reference>
          <reference field="7" count="1" selected="0">
            <x v="188"/>
          </reference>
          <reference field="8" count="1">
            <x v="323"/>
          </reference>
        </references>
      </pivotArea>
    </format>
    <format dxfId="4279">
      <pivotArea dataOnly="0" labelOnly="1" fieldPosition="0">
        <references count="5">
          <reference field="1" count="1" selected="0">
            <x v="101"/>
          </reference>
          <reference field="5" count="1" selected="0">
            <x v="21"/>
          </reference>
          <reference field="6" count="1" selected="0">
            <x v="6"/>
          </reference>
          <reference field="7" count="1" selected="0">
            <x v="189"/>
          </reference>
          <reference field="8" count="1">
            <x v="864"/>
          </reference>
        </references>
      </pivotArea>
    </format>
    <format dxfId="4278">
      <pivotArea dataOnly="0" labelOnly="1" fieldPosition="0">
        <references count="5">
          <reference field="1" count="1" selected="0">
            <x v="101"/>
          </reference>
          <reference field="5" count="1" selected="0">
            <x v="21"/>
          </reference>
          <reference field="6" count="1" selected="0">
            <x v="19"/>
          </reference>
          <reference field="7" count="1" selected="0">
            <x v="188"/>
          </reference>
          <reference field="8" count="1">
            <x v="1833"/>
          </reference>
        </references>
      </pivotArea>
    </format>
    <format dxfId="4277">
      <pivotArea dataOnly="0" labelOnly="1" fieldPosition="0">
        <references count="5">
          <reference field="1" count="1" selected="0">
            <x v="101"/>
          </reference>
          <reference field="5" count="1" selected="0">
            <x v="23"/>
          </reference>
          <reference field="6" count="1" selected="0">
            <x v="6"/>
          </reference>
          <reference field="7" count="1" selected="0">
            <x v="189"/>
          </reference>
          <reference field="8" count="1">
            <x v="979"/>
          </reference>
        </references>
      </pivotArea>
    </format>
    <format dxfId="4276">
      <pivotArea dataOnly="0" labelOnly="1" fieldPosition="0">
        <references count="5">
          <reference field="1" count="1" selected="0">
            <x v="101"/>
          </reference>
          <reference field="5" count="1" selected="0">
            <x v="23"/>
          </reference>
          <reference field="6" count="1" selected="0">
            <x v="19"/>
          </reference>
          <reference field="7" count="1" selected="0">
            <x v="188"/>
          </reference>
          <reference field="8" count="1">
            <x v="1860"/>
          </reference>
        </references>
      </pivotArea>
    </format>
    <format dxfId="4275">
      <pivotArea dataOnly="0" labelOnly="1" fieldPosition="0">
        <references count="5">
          <reference field="1" count="1" selected="0">
            <x v="101"/>
          </reference>
          <reference field="5" count="1" selected="0">
            <x v="23"/>
          </reference>
          <reference field="6" count="1" selected="0">
            <x v="38"/>
          </reference>
          <reference field="7" count="1" selected="0">
            <x v="189"/>
          </reference>
          <reference field="8" count="1">
            <x v="347"/>
          </reference>
        </references>
      </pivotArea>
    </format>
    <format dxfId="4274">
      <pivotArea dataOnly="0" labelOnly="1" fieldPosition="0">
        <references count="5">
          <reference field="1" count="1" selected="0">
            <x v="101"/>
          </reference>
          <reference field="5" count="1" selected="0">
            <x v="24"/>
          </reference>
          <reference field="6" count="1" selected="0">
            <x v="19"/>
          </reference>
          <reference field="7" count="1" selected="0">
            <x v="188"/>
          </reference>
          <reference field="8" count="1">
            <x v="1680"/>
          </reference>
        </references>
      </pivotArea>
    </format>
    <format dxfId="4273">
      <pivotArea dataOnly="0" labelOnly="1" fieldPosition="0">
        <references count="5">
          <reference field="1" count="1" selected="0">
            <x v="101"/>
          </reference>
          <reference field="5" count="1" selected="0">
            <x v="26"/>
          </reference>
          <reference field="6" count="1" selected="0">
            <x v="19"/>
          </reference>
          <reference field="7" count="1" selected="0">
            <x v="188"/>
          </reference>
          <reference field="8" count="1">
            <x v="588"/>
          </reference>
        </references>
      </pivotArea>
    </format>
    <format dxfId="4272">
      <pivotArea dataOnly="0" labelOnly="1" fieldPosition="0">
        <references count="5">
          <reference field="1" count="1" selected="0">
            <x v="101"/>
          </reference>
          <reference field="5" count="1" selected="0">
            <x v="35"/>
          </reference>
          <reference field="6" count="1" selected="0">
            <x v="1"/>
          </reference>
          <reference field="7" count="1" selected="0">
            <x v="189"/>
          </reference>
          <reference field="8" count="1">
            <x v="80"/>
          </reference>
        </references>
      </pivotArea>
    </format>
    <format dxfId="4271">
      <pivotArea dataOnly="0" labelOnly="1" fieldPosition="0">
        <references count="5">
          <reference field="1" count="1" selected="0">
            <x v="101"/>
          </reference>
          <reference field="5" count="1" selected="0">
            <x v="35"/>
          </reference>
          <reference field="6" count="1" selected="0">
            <x v="19"/>
          </reference>
          <reference field="7" count="1" selected="0">
            <x v="188"/>
          </reference>
          <reference field="8" count="17">
            <x v="100"/>
            <x v="150"/>
            <x v="185"/>
            <x v="381"/>
            <x v="411"/>
            <x v="421"/>
            <x v="501"/>
            <x v="506"/>
            <x v="577"/>
            <x v="608"/>
            <x v="644"/>
            <x v="810"/>
            <x v="1127"/>
            <x v="1130"/>
            <x v="1255"/>
            <x v="1517"/>
            <x v="1526"/>
          </reference>
        </references>
      </pivotArea>
    </format>
    <format dxfId="4270">
      <pivotArea dataOnly="0" labelOnly="1" fieldPosition="0">
        <references count="5">
          <reference field="1" count="1" selected="0">
            <x v="101"/>
          </reference>
          <reference field="5" count="1" selected="0">
            <x v="36"/>
          </reference>
          <reference field="6" count="1" selected="0">
            <x v="8"/>
          </reference>
          <reference field="7" count="1" selected="0">
            <x v="189"/>
          </reference>
          <reference field="8" count="1">
            <x v="1747"/>
          </reference>
        </references>
      </pivotArea>
    </format>
    <format dxfId="4269">
      <pivotArea dataOnly="0" labelOnly="1" fieldPosition="0">
        <references count="5">
          <reference field="1" count="1" selected="0">
            <x v="101"/>
          </reference>
          <reference field="5" count="1" selected="0">
            <x v="36"/>
          </reference>
          <reference field="6" count="1" selected="0">
            <x v="9"/>
          </reference>
          <reference field="7" count="1" selected="0">
            <x v="189"/>
          </reference>
          <reference field="8" count="1">
            <x v="41"/>
          </reference>
        </references>
      </pivotArea>
    </format>
    <format dxfId="4268">
      <pivotArea dataOnly="0" labelOnly="1" fieldPosition="0">
        <references count="5">
          <reference field="1" count="1" selected="0">
            <x v="101"/>
          </reference>
          <reference field="5" count="1" selected="0">
            <x v="37"/>
          </reference>
          <reference field="6" count="1" selected="0">
            <x v="38"/>
          </reference>
          <reference field="7" count="1" selected="0">
            <x v="189"/>
          </reference>
          <reference field="8" count="1">
            <x v="114"/>
          </reference>
        </references>
      </pivotArea>
    </format>
    <format dxfId="4267">
      <pivotArea dataOnly="0" labelOnly="1" fieldPosition="0">
        <references count="5">
          <reference field="1" count="1" selected="0">
            <x v="102"/>
          </reference>
          <reference field="5" count="1" selected="0">
            <x v="0"/>
          </reference>
          <reference field="6" count="1" selected="0">
            <x v="12"/>
          </reference>
          <reference field="7" count="1" selected="0">
            <x v="26"/>
          </reference>
          <reference field="8" count="1">
            <x v="52"/>
          </reference>
        </references>
      </pivotArea>
    </format>
    <format dxfId="4266">
      <pivotArea dataOnly="0" labelOnly="1" fieldPosition="0">
        <references count="5">
          <reference field="1" count="1" selected="0">
            <x v="103"/>
          </reference>
          <reference field="5" count="1" selected="0">
            <x v="0"/>
          </reference>
          <reference field="6" count="1" selected="0">
            <x v="1"/>
          </reference>
          <reference field="7" count="1" selected="0">
            <x v="190"/>
          </reference>
          <reference field="8" count="1">
            <x v="80"/>
          </reference>
        </references>
      </pivotArea>
    </format>
    <format dxfId="4265">
      <pivotArea dataOnly="0" labelOnly="1" fieldPosition="0">
        <references count="5">
          <reference field="1" count="1" selected="0">
            <x v="103"/>
          </reference>
          <reference field="5" count="1" selected="0">
            <x v="0"/>
          </reference>
          <reference field="6" count="1" selected="0">
            <x v="9"/>
          </reference>
          <reference field="7" count="1" selected="0">
            <x v="190"/>
          </reference>
          <reference field="8" count="2">
            <x v="368"/>
            <x v="539"/>
          </reference>
        </references>
      </pivotArea>
    </format>
    <format dxfId="4264">
      <pivotArea dataOnly="0" labelOnly="1" fieldPosition="0">
        <references count="5">
          <reference field="1" count="1" selected="0">
            <x v="103"/>
          </reference>
          <reference field="5" count="1" selected="0">
            <x v="0"/>
          </reference>
          <reference field="6" count="1" selected="0">
            <x v="12"/>
          </reference>
          <reference field="7" count="1" selected="0">
            <x v="2"/>
          </reference>
          <reference field="8" count="1">
            <x v="18"/>
          </reference>
        </references>
      </pivotArea>
    </format>
    <format dxfId="4263">
      <pivotArea dataOnly="0" labelOnly="1" fieldPosition="0">
        <references count="5">
          <reference field="1" count="1" selected="0">
            <x v="103"/>
          </reference>
          <reference field="5" count="1" selected="0">
            <x v="0"/>
          </reference>
          <reference field="6" count="1" selected="0">
            <x v="12"/>
          </reference>
          <reference field="7" count="1" selected="0">
            <x v="17"/>
          </reference>
          <reference field="8" count="1">
            <x v="29"/>
          </reference>
        </references>
      </pivotArea>
    </format>
    <format dxfId="4262">
      <pivotArea dataOnly="0" labelOnly="1" fieldPosition="0">
        <references count="5">
          <reference field="1" count="1" selected="0">
            <x v="103"/>
          </reference>
          <reference field="5" count="1" selected="0">
            <x v="0"/>
          </reference>
          <reference field="6" count="1" selected="0">
            <x v="12"/>
          </reference>
          <reference field="7" count="1" selected="0">
            <x v="32"/>
          </reference>
          <reference field="8" count="1">
            <x v="391"/>
          </reference>
        </references>
      </pivotArea>
    </format>
    <format dxfId="4261">
      <pivotArea dataOnly="0" labelOnly="1" fieldPosition="0">
        <references count="5">
          <reference field="1" count="1" selected="0">
            <x v="103"/>
          </reference>
          <reference field="5" count="1" selected="0">
            <x v="3"/>
          </reference>
          <reference field="6" count="1" selected="0">
            <x v="38"/>
          </reference>
          <reference field="7" count="1" selected="0">
            <x v="190"/>
          </reference>
          <reference field="8" count="1">
            <x v="129"/>
          </reference>
        </references>
      </pivotArea>
    </format>
    <format dxfId="4260">
      <pivotArea dataOnly="0" labelOnly="1" fieldPosition="0">
        <references count="5">
          <reference field="1" count="1" selected="0">
            <x v="103"/>
          </reference>
          <reference field="5" count="1" selected="0">
            <x v="12"/>
          </reference>
          <reference field="6" count="1" selected="0">
            <x v="1"/>
          </reference>
          <reference field="7" count="1" selected="0">
            <x v="190"/>
          </reference>
          <reference field="8" count="4">
            <x v="80"/>
            <x v="213"/>
            <x v="607"/>
            <x v="702"/>
          </reference>
        </references>
      </pivotArea>
    </format>
    <format dxfId="4259">
      <pivotArea dataOnly="0" labelOnly="1" fieldPosition="0">
        <references count="5">
          <reference field="1" count="1" selected="0">
            <x v="103"/>
          </reference>
          <reference field="5" count="1" selected="0">
            <x v="15"/>
          </reference>
          <reference field="6" count="1" selected="0">
            <x v="7"/>
          </reference>
          <reference field="7" count="1" selected="0">
            <x v="190"/>
          </reference>
          <reference field="8" count="1">
            <x v="719"/>
          </reference>
        </references>
      </pivotArea>
    </format>
    <format dxfId="4258">
      <pivotArea dataOnly="0" labelOnly="1" fieldPosition="0">
        <references count="5">
          <reference field="1" count="1" selected="0">
            <x v="103"/>
          </reference>
          <reference field="5" count="1" selected="0">
            <x v="15"/>
          </reference>
          <reference field="6" count="1" selected="0">
            <x v="8"/>
          </reference>
          <reference field="7" count="1" selected="0">
            <x v="190"/>
          </reference>
          <reference field="8" count="1">
            <x v="851"/>
          </reference>
        </references>
      </pivotArea>
    </format>
    <format dxfId="4257">
      <pivotArea dataOnly="0" labelOnly="1" fieldPosition="0">
        <references count="5">
          <reference field="1" count="1" selected="0">
            <x v="103"/>
          </reference>
          <reference field="5" count="1" selected="0">
            <x v="35"/>
          </reference>
          <reference field="6" count="1" selected="0">
            <x v="1"/>
          </reference>
          <reference field="7" count="1" selected="0">
            <x v="190"/>
          </reference>
          <reference field="8" count="2">
            <x v="80"/>
            <x v="352"/>
          </reference>
        </references>
      </pivotArea>
    </format>
    <format dxfId="4256">
      <pivotArea dataOnly="0" labelOnly="1" fieldPosition="0">
        <references count="5">
          <reference field="1" count="1" selected="0">
            <x v="104"/>
          </reference>
          <reference field="5" count="1" selected="0">
            <x v="0"/>
          </reference>
          <reference field="6" count="1" selected="0">
            <x v="1"/>
          </reference>
          <reference field="7" count="1" selected="0">
            <x v="191"/>
          </reference>
          <reference field="8" count="1">
            <x v="80"/>
          </reference>
        </references>
      </pivotArea>
    </format>
    <format dxfId="4255">
      <pivotArea dataOnly="0" labelOnly="1" fieldPosition="0">
        <references count="5">
          <reference field="1" count="1" selected="0">
            <x v="104"/>
          </reference>
          <reference field="5" count="1" selected="0">
            <x v="0"/>
          </reference>
          <reference field="6" count="1" selected="0">
            <x v="9"/>
          </reference>
          <reference field="7" count="1" selected="0">
            <x v="191"/>
          </reference>
          <reference field="8" count="1">
            <x v="0"/>
          </reference>
        </references>
      </pivotArea>
    </format>
    <format dxfId="4254">
      <pivotArea dataOnly="0" labelOnly="1" fieldPosition="0">
        <references count="5">
          <reference field="1" count="1" selected="0">
            <x v="104"/>
          </reference>
          <reference field="5" count="1" selected="0">
            <x v="0"/>
          </reference>
          <reference field="6" count="1" selected="0">
            <x v="12"/>
          </reference>
          <reference field="7" count="1" selected="0">
            <x v="30"/>
          </reference>
          <reference field="8" count="1">
            <x v="18"/>
          </reference>
        </references>
      </pivotArea>
    </format>
    <format dxfId="4253">
      <pivotArea dataOnly="0" labelOnly="1" fieldPosition="0">
        <references count="5">
          <reference field="1" count="1" selected="0">
            <x v="104"/>
          </reference>
          <reference field="5" count="1" selected="0">
            <x v="0"/>
          </reference>
          <reference field="6" count="1" selected="0">
            <x v="12"/>
          </reference>
          <reference field="7" count="1" selected="0">
            <x v="32"/>
          </reference>
          <reference field="8" count="1">
            <x v="391"/>
          </reference>
        </references>
      </pivotArea>
    </format>
    <format dxfId="4252">
      <pivotArea dataOnly="0" labelOnly="1" fieldPosition="0">
        <references count="5">
          <reference field="1" count="1" selected="0">
            <x v="104"/>
          </reference>
          <reference field="5" count="1" selected="0">
            <x v="0"/>
          </reference>
          <reference field="6" count="1" selected="0">
            <x v="38"/>
          </reference>
          <reference field="7" count="1" selected="0">
            <x v="191"/>
          </reference>
          <reference field="8" count="1">
            <x v="138"/>
          </reference>
        </references>
      </pivotArea>
    </format>
    <format dxfId="4251">
      <pivotArea dataOnly="0" labelOnly="1" fieldPosition="0">
        <references count="5">
          <reference field="1" count="1" selected="0">
            <x v="104"/>
          </reference>
          <reference field="5" count="1" selected="0">
            <x v="3"/>
          </reference>
          <reference field="6" count="1" selected="0">
            <x v="38"/>
          </reference>
          <reference field="7" count="1" selected="0">
            <x v="191"/>
          </reference>
          <reference field="8" count="1">
            <x v="245"/>
          </reference>
        </references>
      </pivotArea>
    </format>
    <format dxfId="4250">
      <pivotArea dataOnly="0" labelOnly="1" fieldPosition="0">
        <references count="5">
          <reference field="1" count="1" selected="0">
            <x v="104"/>
          </reference>
          <reference field="5" count="1" selected="0">
            <x v="26"/>
          </reference>
          <reference field="6" count="1" selected="0">
            <x v="38"/>
          </reference>
          <reference field="7" count="1" selected="0">
            <x v="191"/>
          </reference>
          <reference field="8" count="1">
            <x v="371"/>
          </reference>
        </references>
      </pivotArea>
    </format>
    <format dxfId="4249">
      <pivotArea dataOnly="0" labelOnly="1" fieldPosition="0">
        <references count="5">
          <reference field="1" count="1" selected="0">
            <x v="105"/>
          </reference>
          <reference field="5" count="1" selected="0">
            <x v="0"/>
          </reference>
          <reference field="6" count="1" selected="0">
            <x v="1"/>
          </reference>
          <reference field="7" count="1" selected="0">
            <x v="192"/>
          </reference>
          <reference field="8" count="1">
            <x v="1206"/>
          </reference>
        </references>
      </pivotArea>
    </format>
    <format dxfId="4248">
      <pivotArea dataOnly="0" labelOnly="1" fieldPosition="0">
        <references count="5">
          <reference field="1" count="1" selected="0">
            <x v="105"/>
          </reference>
          <reference field="5" count="1" selected="0">
            <x v="0"/>
          </reference>
          <reference field="6" count="1" selected="0">
            <x v="7"/>
          </reference>
          <reference field="7" count="1" selected="0">
            <x v="192"/>
          </reference>
          <reference field="8" count="1">
            <x v="719"/>
          </reference>
        </references>
      </pivotArea>
    </format>
    <format dxfId="4247">
      <pivotArea dataOnly="0" labelOnly="1" fieldPosition="0">
        <references count="5">
          <reference field="1" count="1" selected="0">
            <x v="105"/>
          </reference>
          <reference field="5" count="1" selected="0">
            <x v="0"/>
          </reference>
          <reference field="6" count="1" selected="0">
            <x v="8"/>
          </reference>
          <reference field="7" count="1" selected="0">
            <x v="192"/>
          </reference>
          <reference field="8" count="1">
            <x v="854"/>
          </reference>
        </references>
      </pivotArea>
    </format>
    <format dxfId="4246">
      <pivotArea dataOnly="0" labelOnly="1" fieldPosition="0">
        <references count="5">
          <reference field="1" count="1" selected="0">
            <x v="105"/>
          </reference>
          <reference field="5" count="1" selected="0">
            <x v="0"/>
          </reference>
          <reference field="6" count="1" selected="0">
            <x v="9"/>
          </reference>
          <reference field="7" count="1" selected="0">
            <x v="192"/>
          </reference>
          <reference field="8" count="7">
            <x v="85"/>
            <x v="265"/>
            <x v="326"/>
            <x v="486"/>
            <x v="1049"/>
            <x v="1178"/>
            <x v="1251"/>
          </reference>
        </references>
      </pivotArea>
    </format>
    <format dxfId="4245">
      <pivotArea dataOnly="0" labelOnly="1" fieldPosition="0">
        <references count="5">
          <reference field="1" count="1" selected="0">
            <x v="105"/>
          </reference>
          <reference field="5" count="1" selected="0">
            <x v="0"/>
          </reference>
          <reference field="6" count="1" selected="0">
            <x v="12"/>
          </reference>
          <reference field="7" count="1" selected="0">
            <x v="7"/>
          </reference>
          <reference field="8" count="1">
            <x v="18"/>
          </reference>
        </references>
      </pivotArea>
    </format>
    <format dxfId="4244">
      <pivotArea dataOnly="0" labelOnly="1" fieldPosition="0">
        <references count="5">
          <reference field="1" count="1" selected="0">
            <x v="105"/>
          </reference>
          <reference field="5" count="1" selected="0">
            <x v="0"/>
          </reference>
          <reference field="6" count="1" selected="0">
            <x v="12"/>
          </reference>
          <reference field="7" count="1" selected="0">
            <x v="62"/>
          </reference>
          <reference field="8" count="1">
            <x v="85"/>
          </reference>
        </references>
      </pivotArea>
    </format>
    <format dxfId="4243">
      <pivotArea dataOnly="0" labelOnly="1" fieldPosition="0">
        <references count="5">
          <reference field="1" count="1" selected="0">
            <x v="105"/>
          </reference>
          <reference field="5" count="1" selected="0">
            <x v="3"/>
          </reference>
          <reference field="6" count="1" selected="0">
            <x v="1"/>
          </reference>
          <reference field="7" count="1" selected="0">
            <x v="192"/>
          </reference>
          <reference field="8" count="1">
            <x v="109"/>
          </reference>
        </references>
      </pivotArea>
    </format>
    <format dxfId="4242">
      <pivotArea dataOnly="0" labelOnly="1" fieldPosition="0">
        <references count="5">
          <reference field="1" count="1" selected="0">
            <x v="105"/>
          </reference>
          <reference field="5" count="1" selected="0">
            <x v="7"/>
          </reference>
          <reference field="6" count="1" selected="0">
            <x v="38"/>
          </reference>
          <reference field="7" count="1" selected="0">
            <x v="192"/>
          </reference>
          <reference field="8" count="1">
            <x v="1195"/>
          </reference>
        </references>
      </pivotArea>
    </format>
    <format dxfId="4241">
      <pivotArea dataOnly="0" labelOnly="1" fieldPosition="0">
        <references count="5">
          <reference field="1" count="1" selected="0">
            <x v="105"/>
          </reference>
          <reference field="5" count="1" selected="0">
            <x v="12"/>
          </reference>
          <reference field="6" count="1" selected="0">
            <x v="1"/>
          </reference>
          <reference field="7" count="1" selected="0">
            <x v="192"/>
          </reference>
          <reference field="8" count="4">
            <x v="80"/>
            <x v="213"/>
            <x v="607"/>
            <x v="846"/>
          </reference>
        </references>
      </pivotArea>
    </format>
    <format dxfId="4240">
      <pivotArea dataOnly="0" labelOnly="1" fieldPosition="0">
        <references count="5">
          <reference field="1" count="1" selected="0">
            <x v="105"/>
          </reference>
          <reference field="5" count="1" selected="0">
            <x v="12"/>
          </reference>
          <reference field="6" count="1" selected="0">
            <x v="38"/>
          </reference>
          <reference field="7" count="1" selected="0">
            <x v="192"/>
          </reference>
          <reference field="8" count="1">
            <x v="1279"/>
          </reference>
        </references>
      </pivotArea>
    </format>
    <format dxfId="4239">
      <pivotArea dataOnly="0" labelOnly="1" fieldPosition="0">
        <references count="5">
          <reference field="1" count="1" selected="0">
            <x v="105"/>
          </reference>
          <reference field="5" count="1" selected="0">
            <x v="14"/>
          </reference>
          <reference field="6" count="1" selected="0">
            <x v="1"/>
          </reference>
          <reference field="7" count="1" selected="0">
            <x v="192"/>
          </reference>
          <reference field="8" count="1">
            <x v="1241"/>
          </reference>
        </references>
      </pivotArea>
    </format>
    <format dxfId="4238">
      <pivotArea dataOnly="0" labelOnly="1" fieldPosition="0">
        <references count="5">
          <reference field="1" count="1" selected="0">
            <x v="105"/>
          </reference>
          <reference field="5" count="1" selected="0">
            <x v="15"/>
          </reference>
          <reference field="6" count="1" selected="0">
            <x v="9"/>
          </reference>
          <reference field="7" count="1" selected="0">
            <x v="192"/>
          </reference>
          <reference field="8" count="1">
            <x v="327"/>
          </reference>
        </references>
      </pivotArea>
    </format>
    <format dxfId="4237">
      <pivotArea dataOnly="0" labelOnly="1" fieldPosition="0">
        <references count="5">
          <reference field="1" count="1" selected="0">
            <x v="105"/>
          </reference>
          <reference field="5" count="1" selected="0">
            <x v="30"/>
          </reference>
          <reference field="6" count="1" selected="0">
            <x v="38"/>
          </reference>
          <reference field="7" count="1" selected="0">
            <x v="192"/>
          </reference>
          <reference field="8" count="1">
            <x v="1448"/>
          </reference>
        </references>
      </pivotArea>
    </format>
    <format dxfId="4236">
      <pivotArea dataOnly="0" labelOnly="1" fieldPosition="0">
        <references count="5">
          <reference field="1" count="1" selected="0">
            <x v="105"/>
          </reference>
          <reference field="5" count="1" selected="0">
            <x v="36"/>
          </reference>
          <reference field="6" count="1" selected="0">
            <x v="7"/>
          </reference>
          <reference field="7" count="1" selected="0">
            <x v="192"/>
          </reference>
          <reference field="8" count="1">
            <x v="1476"/>
          </reference>
        </references>
      </pivotArea>
    </format>
    <format dxfId="4235">
      <pivotArea dataOnly="0" labelOnly="1" fieldPosition="0">
        <references count="5">
          <reference field="1" count="1" selected="0">
            <x v="105"/>
          </reference>
          <reference field="5" count="1" selected="0">
            <x v="36"/>
          </reference>
          <reference field="6" count="1" selected="0">
            <x v="38"/>
          </reference>
          <reference field="7" count="1" selected="0">
            <x v="192"/>
          </reference>
          <reference field="8" count="1">
            <x v="125"/>
          </reference>
        </references>
      </pivotArea>
    </format>
    <format dxfId="4234">
      <pivotArea dataOnly="0" labelOnly="1" fieldPosition="0">
        <references count="5">
          <reference field="1" count="1" selected="0">
            <x v="106"/>
          </reference>
          <reference field="5" count="1" selected="0">
            <x v="0"/>
          </reference>
          <reference field="6" count="1" selected="0">
            <x v="8"/>
          </reference>
          <reference field="7" count="1" selected="0">
            <x v="193"/>
          </reference>
          <reference field="8" count="1">
            <x v="1141"/>
          </reference>
        </references>
      </pivotArea>
    </format>
    <format dxfId="4233">
      <pivotArea dataOnly="0" labelOnly="1" fieldPosition="0">
        <references count="5">
          <reference field="1" count="1" selected="0">
            <x v="106"/>
          </reference>
          <reference field="5" count="1" selected="0">
            <x v="0"/>
          </reference>
          <reference field="6" count="1" selected="0">
            <x v="12"/>
          </reference>
          <reference field="7" count="1" selected="0">
            <x v="21"/>
          </reference>
          <reference field="8" count="1">
            <x v="18"/>
          </reference>
        </references>
      </pivotArea>
    </format>
    <format dxfId="4232">
      <pivotArea dataOnly="0" labelOnly="1" fieldPosition="0">
        <references count="5">
          <reference field="1" count="1" selected="0">
            <x v="106"/>
          </reference>
          <reference field="5" count="1" selected="0">
            <x v="0"/>
          </reference>
          <reference field="6" count="1" selected="0">
            <x v="12"/>
          </reference>
          <reference field="7" count="1" selected="0">
            <x v="46"/>
          </reference>
          <reference field="8" count="1">
            <x v="325"/>
          </reference>
        </references>
      </pivotArea>
    </format>
    <format dxfId="4231">
      <pivotArea dataOnly="0" labelOnly="1" fieldPosition="0">
        <references count="5">
          <reference field="1" count="1" selected="0">
            <x v="106"/>
          </reference>
          <reference field="5" count="1" selected="0">
            <x v="0"/>
          </reference>
          <reference field="6" count="1" selected="0">
            <x v="12"/>
          </reference>
          <reference field="7" count="1" selected="0">
            <x v="60"/>
          </reference>
          <reference field="8" count="1">
            <x v="39"/>
          </reference>
        </references>
      </pivotArea>
    </format>
    <format dxfId="4230">
      <pivotArea dataOnly="0" labelOnly="1" fieldPosition="0">
        <references count="5">
          <reference field="1" count="1" selected="0">
            <x v="106"/>
          </reference>
          <reference field="5" count="1" selected="0">
            <x v="0"/>
          </reference>
          <reference field="6" count="1" selected="0">
            <x v="38"/>
          </reference>
          <reference field="7" count="1" selected="0">
            <x v="193"/>
          </reference>
          <reference field="8" count="1">
            <x v="1137"/>
          </reference>
        </references>
      </pivotArea>
    </format>
    <format dxfId="4229">
      <pivotArea dataOnly="0" labelOnly="1" fieldPosition="0">
        <references count="5">
          <reference field="1" count="1" selected="0">
            <x v="106"/>
          </reference>
          <reference field="5" count="1" selected="0">
            <x v="2"/>
          </reference>
          <reference field="6" count="1" selected="0">
            <x v="10"/>
          </reference>
          <reference field="7" count="1" selected="0">
            <x v="193"/>
          </reference>
          <reference field="8" count="1">
            <x v="0"/>
          </reference>
        </references>
      </pivotArea>
    </format>
    <format dxfId="4228">
      <pivotArea dataOnly="0" labelOnly="1" fieldPosition="0">
        <references count="5">
          <reference field="1" count="1" selected="0">
            <x v="106"/>
          </reference>
          <reference field="5" count="1" selected="0">
            <x v="6"/>
          </reference>
          <reference field="6" count="1" selected="0">
            <x v="38"/>
          </reference>
          <reference field="7" count="1" selected="0">
            <x v="193"/>
          </reference>
          <reference field="8" count="1">
            <x v="719"/>
          </reference>
        </references>
      </pivotArea>
    </format>
    <format dxfId="4227">
      <pivotArea dataOnly="0" labelOnly="1" fieldPosition="0">
        <references count="5">
          <reference field="1" count="1" selected="0">
            <x v="106"/>
          </reference>
          <reference field="5" count="1" selected="0">
            <x v="9"/>
          </reference>
          <reference field="6" count="1" selected="0">
            <x v="10"/>
          </reference>
          <reference field="7" count="1" selected="0">
            <x v="193"/>
          </reference>
          <reference field="8" count="1">
            <x v="0"/>
          </reference>
        </references>
      </pivotArea>
    </format>
    <format dxfId="4226">
      <pivotArea dataOnly="0" labelOnly="1" fieldPosition="0">
        <references count="5">
          <reference field="1" count="1" selected="0">
            <x v="106"/>
          </reference>
          <reference field="5" count="1" selected="0">
            <x v="12"/>
          </reference>
          <reference field="6" count="1" selected="0">
            <x v="1"/>
          </reference>
          <reference field="7" count="1" selected="0">
            <x v="193"/>
          </reference>
          <reference field="8" count="5">
            <x v="80"/>
            <x v="213"/>
            <x v="352"/>
            <x v="607"/>
            <x v="702"/>
          </reference>
        </references>
      </pivotArea>
    </format>
    <format dxfId="4225">
      <pivotArea dataOnly="0" labelOnly="1" fieldPosition="0">
        <references count="5">
          <reference field="1" count="1" selected="0">
            <x v="106"/>
          </reference>
          <reference field="5" count="1" selected="0">
            <x v="12"/>
          </reference>
          <reference field="6" count="1" selected="0">
            <x v="38"/>
          </reference>
          <reference field="7" count="1" selected="0">
            <x v="193"/>
          </reference>
          <reference field="8" count="1">
            <x v="1730"/>
          </reference>
        </references>
      </pivotArea>
    </format>
    <format dxfId="4224">
      <pivotArea dataOnly="0" labelOnly="1" fieldPosition="0">
        <references count="5">
          <reference field="1" count="1" selected="0">
            <x v="106"/>
          </reference>
          <reference field="5" count="1" selected="0">
            <x v="14"/>
          </reference>
          <reference field="6" count="1" selected="0">
            <x v="1"/>
          </reference>
          <reference field="7" count="1" selected="0">
            <x v="193"/>
          </reference>
          <reference field="8" count="1">
            <x v="1301"/>
          </reference>
        </references>
      </pivotArea>
    </format>
    <format dxfId="4223">
      <pivotArea dataOnly="0" labelOnly="1" fieldPosition="0">
        <references count="5">
          <reference field="1" count="1" selected="0">
            <x v="106"/>
          </reference>
          <reference field="5" count="1" selected="0">
            <x v="19"/>
          </reference>
          <reference field="6" count="1" selected="0">
            <x v="6"/>
          </reference>
          <reference field="7" count="1" selected="0">
            <x v="193"/>
          </reference>
          <reference field="8" count="1">
            <x v="607"/>
          </reference>
        </references>
      </pivotArea>
    </format>
    <format dxfId="4222">
      <pivotArea dataOnly="0" labelOnly="1" fieldPosition="0">
        <references count="5">
          <reference field="1" count="1" selected="0">
            <x v="106"/>
          </reference>
          <reference field="5" count="1" selected="0">
            <x v="23"/>
          </reference>
          <reference field="6" count="1" selected="0">
            <x v="38"/>
          </reference>
          <reference field="7" count="1" selected="0">
            <x v="193"/>
          </reference>
          <reference field="8" count="1">
            <x v="296"/>
          </reference>
        </references>
      </pivotArea>
    </format>
    <format dxfId="4221">
      <pivotArea dataOnly="0" labelOnly="1" fieldPosition="0">
        <references count="5">
          <reference field="1" count="1" selected="0">
            <x v="106"/>
          </reference>
          <reference field="5" count="1" selected="0">
            <x v="35"/>
          </reference>
          <reference field="6" count="1" selected="0">
            <x v="1"/>
          </reference>
          <reference field="7" count="1" selected="0">
            <x v="193"/>
          </reference>
          <reference field="8" count="1">
            <x v="80"/>
          </reference>
        </references>
      </pivotArea>
    </format>
    <format dxfId="4220">
      <pivotArea dataOnly="0" labelOnly="1" fieldPosition="0">
        <references count="5">
          <reference field="1" count="1" selected="0">
            <x v="106"/>
          </reference>
          <reference field="5" count="1" selected="0">
            <x v="35"/>
          </reference>
          <reference field="6" count="1" selected="0">
            <x v="38"/>
          </reference>
          <reference field="7" count="1" selected="0">
            <x v="193"/>
          </reference>
          <reference field="8" count="1">
            <x v="1343"/>
          </reference>
        </references>
      </pivotArea>
    </format>
    <format dxfId="4219">
      <pivotArea dataOnly="0" labelOnly="1" fieldPosition="0">
        <references count="5">
          <reference field="1" count="1" selected="0">
            <x v="106"/>
          </reference>
          <reference field="5" count="1" selected="0">
            <x v="36"/>
          </reference>
          <reference field="6" count="1" selected="0">
            <x v="10"/>
          </reference>
          <reference field="7" count="1" selected="0">
            <x v="193"/>
          </reference>
          <reference field="8" count="1">
            <x v="0"/>
          </reference>
        </references>
      </pivotArea>
    </format>
    <format dxfId="4218">
      <pivotArea dataOnly="0" labelOnly="1" fieldPosition="0">
        <references count="5">
          <reference field="1" count="1" selected="0">
            <x v="107"/>
          </reference>
          <reference field="5" count="1" selected="0">
            <x v="0"/>
          </reference>
          <reference field="6" count="1" selected="0">
            <x v="12"/>
          </reference>
          <reference field="7" count="1" selected="0">
            <x v="6"/>
          </reference>
          <reference field="8" count="1">
            <x v="90"/>
          </reference>
        </references>
      </pivotArea>
    </format>
    <format dxfId="4217">
      <pivotArea dataOnly="0" labelOnly="1" fieldPosition="0">
        <references count="5">
          <reference field="1" count="1" selected="0">
            <x v="107"/>
          </reference>
          <reference field="5" count="1" selected="0">
            <x v="0"/>
          </reference>
          <reference field="6" count="1" selected="0">
            <x v="12"/>
          </reference>
          <reference field="7" count="1" selected="0">
            <x v="46"/>
          </reference>
          <reference field="8" count="1">
            <x v="325"/>
          </reference>
        </references>
      </pivotArea>
    </format>
    <format dxfId="4216">
      <pivotArea dataOnly="0" labelOnly="1" fieldPosition="0">
        <references count="5">
          <reference field="1" count="1" selected="0">
            <x v="107"/>
          </reference>
          <reference field="5" count="1" selected="0">
            <x v="2"/>
          </reference>
          <reference field="6" count="1" selected="0">
            <x v="10"/>
          </reference>
          <reference field="7" count="1" selected="0">
            <x v="195"/>
          </reference>
          <reference field="8" count="1">
            <x v="1820"/>
          </reference>
        </references>
      </pivotArea>
    </format>
    <format dxfId="4215">
      <pivotArea dataOnly="0" labelOnly="1" fieldPosition="0">
        <references count="5">
          <reference field="1" count="1" selected="0">
            <x v="107"/>
          </reference>
          <reference field="5" count="1" selected="0">
            <x v="2"/>
          </reference>
          <reference field="6" count="1" selected="0">
            <x v="31"/>
          </reference>
          <reference field="7" count="1" selected="0">
            <x v="194"/>
          </reference>
          <reference field="8" count="1">
            <x v="10"/>
          </reference>
        </references>
      </pivotArea>
    </format>
    <format dxfId="4214">
      <pivotArea dataOnly="0" labelOnly="1" fieldPosition="0">
        <references count="5">
          <reference field="1" count="1" selected="0">
            <x v="107"/>
          </reference>
          <reference field="5" count="1" selected="0">
            <x v="3"/>
          </reference>
          <reference field="6" count="1" selected="0">
            <x v="10"/>
          </reference>
          <reference field="7" count="1" selected="0">
            <x v="195"/>
          </reference>
          <reference field="8" count="1">
            <x v="1564"/>
          </reference>
        </references>
      </pivotArea>
    </format>
    <format dxfId="4213">
      <pivotArea dataOnly="0" labelOnly="1" fieldPosition="0">
        <references count="5">
          <reference field="1" count="1" selected="0">
            <x v="107"/>
          </reference>
          <reference field="5" count="1" selected="0">
            <x v="3"/>
          </reference>
          <reference field="6" count="1" selected="0">
            <x v="38"/>
          </reference>
          <reference field="7" count="1" selected="0">
            <x v="195"/>
          </reference>
          <reference field="8" count="1">
            <x v="281"/>
          </reference>
        </references>
      </pivotArea>
    </format>
    <format dxfId="4212">
      <pivotArea dataOnly="0" labelOnly="1" fieldPosition="0">
        <references count="5">
          <reference field="1" count="1" selected="0">
            <x v="107"/>
          </reference>
          <reference field="5" count="1" selected="0">
            <x v="9"/>
          </reference>
          <reference field="6" count="1" selected="0">
            <x v="1"/>
          </reference>
          <reference field="7" count="1" selected="0">
            <x v="195"/>
          </reference>
          <reference field="8" count="1">
            <x v="929"/>
          </reference>
        </references>
      </pivotArea>
    </format>
    <format dxfId="4211">
      <pivotArea dataOnly="0" labelOnly="1" fieldPosition="0">
        <references count="5">
          <reference field="1" count="1" selected="0">
            <x v="107"/>
          </reference>
          <reference field="5" count="1" selected="0">
            <x v="9"/>
          </reference>
          <reference field="6" count="1" selected="0">
            <x v="10"/>
          </reference>
          <reference field="7" count="1" selected="0">
            <x v="195"/>
          </reference>
          <reference field="8" count="1">
            <x v="676"/>
          </reference>
        </references>
      </pivotArea>
    </format>
    <format dxfId="4210">
      <pivotArea dataOnly="0" labelOnly="1" fieldPosition="0">
        <references count="5">
          <reference field="1" count="1" selected="0">
            <x v="107"/>
          </reference>
          <reference field="5" count="1" selected="0">
            <x v="11"/>
          </reference>
          <reference field="6" count="1" selected="0">
            <x v="10"/>
          </reference>
          <reference field="7" count="1" selected="0">
            <x v="195"/>
          </reference>
          <reference field="8" count="1">
            <x v="5"/>
          </reference>
        </references>
      </pivotArea>
    </format>
    <format dxfId="4209">
      <pivotArea dataOnly="0" labelOnly="1" fieldPosition="0">
        <references count="5">
          <reference field="1" count="1" selected="0">
            <x v="107"/>
          </reference>
          <reference field="5" count="1" selected="0">
            <x v="15"/>
          </reference>
          <reference field="6" count="1" selected="0">
            <x v="38"/>
          </reference>
          <reference field="7" count="1" selected="0">
            <x v="195"/>
          </reference>
          <reference field="8" count="1">
            <x v="352"/>
          </reference>
        </references>
      </pivotArea>
    </format>
    <format dxfId="4208">
      <pivotArea dataOnly="0" labelOnly="1" fieldPosition="0">
        <references count="5">
          <reference field="1" count="1" selected="0">
            <x v="107"/>
          </reference>
          <reference field="5" count="1" selected="0">
            <x v="17"/>
          </reference>
          <reference field="6" count="1" selected="0">
            <x v="38"/>
          </reference>
          <reference field="7" count="1" selected="0">
            <x v="195"/>
          </reference>
          <reference field="8" count="1">
            <x v="695"/>
          </reference>
        </references>
      </pivotArea>
    </format>
    <format dxfId="4207">
      <pivotArea dataOnly="0" labelOnly="1" fieldPosition="0">
        <references count="5">
          <reference field="1" count="1" selected="0">
            <x v="107"/>
          </reference>
          <reference field="5" count="1" selected="0">
            <x v="19"/>
          </reference>
          <reference field="6" count="1" selected="0">
            <x v="37"/>
          </reference>
          <reference field="7" count="1" selected="0">
            <x v="195"/>
          </reference>
          <reference field="8" count="1">
            <x v="405"/>
          </reference>
        </references>
      </pivotArea>
    </format>
    <format dxfId="4206">
      <pivotArea dataOnly="0" labelOnly="1" fieldPosition="0">
        <references count="5">
          <reference field="1" count="1" selected="0">
            <x v="107"/>
          </reference>
          <reference field="5" count="1" selected="0">
            <x v="21"/>
          </reference>
          <reference field="6" count="1" selected="0">
            <x v="38"/>
          </reference>
          <reference field="7" count="1" selected="0">
            <x v="195"/>
          </reference>
          <reference field="8" count="1">
            <x v="1110"/>
          </reference>
        </references>
      </pivotArea>
    </format>
    <format dxfId="4205">
      <pivotArea dataOnly="0" labelOnly="1" fieldPosition="0">
        <references count="5">
          <reference field="1" count="1" selected="0">
            <x v="107"/>
          </reference>
          <reference field="5" count="1" selected="0">
            <x v="24"/>
          </reference>
          <reference field="6" count="1" selected="0">
            <x v="38"/>
          </reference>
          <reference field="7" count="1" selected="0">
            <x v="195"/>
          </reference>
          <reference field="8" count="1">
            <x v="352"/>
          </reference>
        </references>
      </pivotArea>
    </format>
    <format dxfId="4204">
      <pivotArea dataOnly="0" labelOnly="1" fieldPosition="0">
        <references count="5">
          <reference field="1" count="1" selected="0">
            <x v="107"/>
          </reference>
          <reference field="5" count="1" selected="0">
            <x v="26"/>
          </reference>
          <reference field="6" count="1" selected="0">
            <x v="38"/>
          </reference>
          <reference field="7" count="1" selected="0">
            <x v="195"/>
          </reference>
          <reference field="8" count="1">
            <x v="838"/>
          </reference>
        </references>
      </pivotArea>
    </format>
    <format dxfId="4203">
      <pivotArea dataOnly="0" labelOnly="1" fieldPosition="0">
        <references count="5">
          <reference field="1" count="1" selected="0">
            <x v="107"/>
          </reference>
          <reference field="5" count="1" selected="0">
            <x v="36"/>
          </reference>
          <reference field="6" count="1" selected="0">
            <x v="10"/>
          </reference>
          <reference field="7" count="1" selected="0">
            <x v="195"/>
          </reference>
          <reference field="8" count="1">
            <x v="1735"/>
          </reference>
        </references>
      </pivotArea>
    </format>
    <format dxfId="4202">
      <pivotArea dataOnly="0" labelOnly="1" fieldPosition="0">
        <references count="5">
          <reference field="1" count="1" selected="0">
            <x v="107"/>
          </reference>
          <reference field="5" count="1" selected="0">
            <x v="38"/>
          </reference>
          <reference field="6" count="1" selected="0">
            <x v="10"/>
          </reference>
          <reference field="7" count="1" selected="0">
            <x v="195"/>
          </reference>
          <reference field="8" count="1">
            <x v="1350"/>
          </reference>
        </references>
      </pivotArea>
    </format>
    <format dxfId="4201">
      <pivotArea dataOnly="0" labelOnly="1" fieldPosition="0">
        <references count="5">
          <reference field="1" count="1" selected="0">
            <x v="108"/>
          </reference>
          <reference field="5" count="1" selected="0">
            <x v="0"/>
          </reference>
          <reference field="6" count="1" selected="0">
            <x v="38"/>
          </reference>
          <reference field="7" count="1" selected="0">
            <x v="196"/>
          </reference>
          <reference field="8" count="2">
            <x v="138"/>
            <x v="607"/>
          </reference>
        </references>
      </pivotArea>
    </format>
    <format dxfId="4200">
      <pivotArea dataOnly="0" labelOnly="1" fieldPosition="0">
        <references count="5">
          <reference field="1" count="1" selected="0">
            <x v="108"/>
          </reference>
          <reference field="5" count="1" selected="0">
            <x v="12"/>
          </reference>
          <reference field="6" count="1" selected="0">
            <x v="1"/>
          </reference>
          <reference field="7" count="1" selected="0">
            <x v="196"/>
          </reference>
          <reference field="8" count="9">
            <x v="80"/>
            <x v="213"/>
            <x v="352"/>
            <x v="500"/>
            <x v="607"/>
            <x v="771"/>
            <x v="846"/>
            <x v="964"/>
            <x v="1069"/>
          </reference>
        </references>
      </pivotArea>
    </format>
    <format dxfId="4199">
      <pivotArea dataOnly="0" labelOnly="1" fieldPosition="0">
        <references count="5">
          <reference field="1" count="1" selected="0">
            <x v="108"/>
          </reference>
          <reference field="5" count="1" selected="0">
            <x v="15"/>
          </reference>
          <reference field="6" count="1" selected="0">
            <x v="6"/>
          </reference>
          <reference field="7" count="1" selected="0">
            <x v="196"/>
          </reference>
          <reference field="8" count="1">
            <x v="862"/>
          </reference>
        </references>
      </pivotArea>
    </format>
    <format dxfId="4198">
      <pivotArea dataOnly="0" labelOnly="1" fieldPosition="0">
        <references count="5">
          <reference field="1" count="1" selected="0">
            <x v="108"/>
          </reference>
          <reference field="5" count="1" selected="0">
            <x v="21"/>
          </reference>
          <reference field="6" count="1" selected="0">
            <x v="38"/>
          </reference>
          <reference field="7" count="1" selected="0">
            <x v="196"/>
          </reference>
          <reference field="8" count="1">
            <x v="375"/>
          </reference>
        </references>
      </pivotArea>
    </format>
    <format dxfId="4197">
      <pivotArea dataOnly="0" labelOnly="1" fieldPosition="0">
        <references count="5">
          <reference field="1" count="1" selected="0">
            <x v="108"/>
          </reference>
          <reference field="5" count="1" selected="0">
            <x v="28"/>
          </reference>
          <reference field="6" count="1" selected="0">
            <x v="1"/>
          </reference>
          <reference field="7" count="1" selected="0">
            <x v="196"/>
          </reference>
          <reference field="8" count="1">
            <x v="147"/>
          </reference>
        </references>
      </pivotArea>
    </format>
    <format dxfId="4196">
      <pivotArea dataOnly="0" labelOnly="1" fieldPosition="0">
        <references count="5">
          <reference field="1" count="1" selected="0">
            <x v="108"/>
          </reference>
          <reference field="5" count="1" selected="0">
            <x v="29"/>
          </reference>
          <reference field="6" count="1" selected="0">
            <x v="6"/>
          </reference>
          <reference field="7" count="1" selected="0">
            <x v="196"/>
          </reference>
          <reference field="8" count="1">
            <x v="1670"/>
          </reference>
        </references>
      </pivotArea>
    </format>
    <format dxfId="4195">
      <pivotArea dataOnly="0" labelOnly="1" fieldPosition="0">
        <references count="5">
          <reference field="1" count="1" selected="0">
            <x v="109"/>
          </reference>
          <reference field="5" count="1" selected="0">
            <x v="0"/>
          </reference>
          <reference field="6" count="1" selected="0">
            <x v="38"/>
          </reference>
          <reference field="7" count="1" selected="0">
            <x v="197"/>
          </reference>
          <reference field="8" count="1">
            <x v="262"/>
          </reference>
        </references>
      </pivotArea>
    </format>
    <format dxfId="4194">
      <pivotArea dataOnly="0" labelOnly="1" fieldPosition="0">
        <references count="5">
          <reference field="1" count="1" selected="0">
            <x v="109"/>
          </reference>
          <reference field="5" count="1" selected="0">
            <x v="12"/>
          </reference>
          <reference field="6" count="1" selected="0">
            <x v="1"/>
          </reference>
          <reference field="7" count="1" selected="0">
            <x v="197"/>
          </reference>
          <reference field="8" count="1">
            <x v="771"/>
          </reference>
        </references>
      </pivotArea>
    </format>
    <format dxfId="4193">
      <pivotArea dataOnly="0" labelOnly="1" fieldPosition="0">
        <references count="5">
          <reference field="1" count="1" selected="0">
            <x v="109"/>
          </reference>
          <reference field="5" count="1" selected="0">
            <x v="26"/>
          </reference>
          <reference field="6" count="1" selected="0">
            <x v="10"/>
          </reference>
          <reference field="7" count="1" selected="0">
            <x v="197"/>
          </reference>
          <reference field="8" count="1">
            <x v="0"/>
          </reference>
        </references>
      </pivotArea>
    </format>
    <format dxfId="4192">
      <pivotArea dataOnly="0" labelOnly="1" fieldPosition="0">
        <references count="5">
          <reference field="1" count="1" selected="0">
            <x v="110"/>
          </reference>
          <reference field="5" count="1" selected="0">
            <x v="0"/>
          </reference>
          <reference field="6" count="1" selected="0">
            <x v="1"/>
          </reference>
          <reference field="7" count="1" selected="0">
            <x v="198"/>
          </reference>
          <reference field="8" count="1">
            <x v="80"/>
          </reference>
        </references>
      </pivotArea>
    </format>
    <format dxfId="4191">
      <pivotArea dataOnly="0" labelOnly="1" fieldPosition="0">
        <references count="5">
          <reference field="1" count="1" selected="0">
            <x v="110"/>
          </reference>
          <reference field="5" count="1" selected="0">
            <x v="0"/>
          </reference>
          <reference field="6" count="1" selected="0">
            <x v="8"/>
          </reference>
          <reference field="7" count="1" selected="0">
            <x v="198"/>
          </reference>
          <reference field="8" count="1">
            <x v="624"/>
          </reference>
        </references>
      </pivotArea>
    </format>
    <format dxfId="4190">
      <pivotArea dataOnly="0" labelOnly="1" fieldPosition="0">
        <references count="5">
          <reference field="1" count="1" selected="0">
            <x v="110"/>
          </reference>
          <reference field="5" count="1" selected="0">
            <x v="0"/>
          </reference>
          <reference field="6" count="1" selected="0">
            <x v="9"/>
          </reference>
          <reference field="7" count="1" selected="0">
            <x v="198"/>
          </reference>
          <reference field="8" count="7">
            <x v="128"/>
            <x v="490"/>
            <x v="565"/>
            <x v="632"/>
            <x v="777"/>
            <x v="986"/>
            <x v="1014"/>
          </reference>
        </references>
      </pivotArea>
    </format>
    <format dxfId="4189">
      <pivotArea dataOnly="0" labelOnly="1" fieldPosition="0">
        <references count="5">
          <reference field="1" count="1" selected="0">
            <x v="110"/>
          </reference>
          <reference field="5" count="1" selected="0">
            <x v="0"/>
          </reference>
          <reference field="6" count="1" selected="0">
            <x v="10"/>
          </reference>
          <reference field="7" count="1" selected="0">
            <x v="198"/>
          </reference>
          <reference field="8" count="1">
            <x v="433"/>
          </reference>
        </references>
      </pivotArea>
    </format>
    <format dxfId="4188">
      <pivotArea dataOnly="0" labelOnly="1" fieldPosition="0">
        <references count="5">
          <reference field="1" count="1" selected="0">
            <x v="110"/>
          </reference>
          <reference field="5" count="1" selected="0">
            <x v="0"/>
          </reference>
          <reference field="6" count="1" selected="0">
            <x v="12"/>
          </reference>
          <reference field="7" count="1" selected="0">
            <x v="2"/>
          </reference>
          <reference field="8" count="1">
            <x v="7"/>
          </reference>
        </references>
      </pivotArea>
    </format>
    <format dxfId="4187">
      <pivotArea dataOnly="0" labelOnly="1" fieldPosition="0">
        <references count="5">
          <reference field="1" count="1" selected="0">
            <x v="110"/>
          </reference>
          <reference field="5" count="1" selected="0">
            <x v="0"/>
          </reference>
          <reference field="6" count="1" selected="0">
            <x v="12"/>
          </reference>
          <reference field="7" count="1" selected="0">
            <x v="38"/>
          </reference>
          <reference field="8" count="1">
            <x v="114"/>
          </reference>
        </references>
      </pivotArea>
    </format>
    <format dxfId="4186">
      <pivotArea dataOnly="0" labelOnly="1" fieldPosition="0">
        <references count="5">
          <reference field="1" count="1" selected="0">
            <x v="110"/>
          </reference>
          <reference field="5" count="1" selected="0">
            <x v="0"/>
          </reference>
          <reference field="6" count="1" selected="0">
            <x v="12"/>
          </reference>
          <reference field="7" count="1" selected="0">
            <x v="47"/>
          </reference>
          <reference field="8" count="1">
            <x v="314"/>
          </reference>
        </references>
      </pivotArea>
    </format>
    <format dxfId="4185">
      <pivotArea dataOnly="0" labelOnly="1" fieldPosition="0">
        <references count="5">
          <reference field="1" count="1" selected="0">
            <x v="110"/>
          </reference>
          <reference field="5" count="1" selected="0">
            <x v="0"/>
          </reference>
          <reference field="6" count="1" selected="0">
            <x v="38"/>
          </reference>
          <reference field="7" count="1" selected="0">
            <x v="198"/>
          </reference>
          <reference field="8" count="1">
            <x v="481"/>
          </reference>
        </references>
      </pivotArea>
    </format>
    <format dxfId="4184">
      <pivotArea dataOnly="0" labelOnly="1" fieldPosition="0">
        <references count="5">
          <reference field="1" count="1" selected="0">
            <x v="110"/>
          </reference>
          <reference field="5" count="1" selected="0">
            <x v="3"/>
          </reference>
          <reference field="6" count="1" selected="0">
            <x v="38"/>
          </reference>
          <reference field="7" count="1" selected="0">
            <x v="198"/>
          </reference>
          <reference field="8" count="1">
            <x v="475"/>
          </reference>
        </references>
      </pivotArea>
    </format>
    <format dxfId="4183">
      <pivotArea dataOnly="0" labelOnly="1" fieldPosition="0">
        <references count="5">
          <reference field="1" count="1" selected="0">
            <x v="110"/>
          </reference>
          <reference field="5" count="1" selected="0">
            <x v="5"/>
          </reference>
          <reference field="6" count="1" selected="0">
            <x v="8"/>
          </reference>
          <reference field="7" count="1" selected="0">
            <x v="198"/>
          </reference>
          <reference field="8" count="1">
            <x v="305"/>
          </reference>
        </references>
      </pivotArea>
    </format>
    <format dxfId="4182">
      <pivotArea dataOnly="0" labelOnly="1" fieldPosition="0">
        <references count="5">
          <reference field="1" count="1" selected="0">
            <x v="110"/>
          </reference>
          <reference field="5" count="1" selected="0">
            <x v="5"/>
          </reference>
          <reference field="6" count="1" selected="0">
            <x v="10"/>
          </reference>
          <reference field="7" count="1" selected="0">
            <x v="198"/>
          </reference>
          <reference field="8" count="1">
            <x v="1370"/>
          </reference>
        </references>
      </pivotArea>
    </format>
    <format dxfId="4181">
      <pivotArea dataOnly="0" labelOnly="1" fieldPosition="0">
        <references count="5">
          <reference field="1" count="1" selected="0">
            <x v="110"/>
          </reference>
          <reference field="5" count="1" selected="0">
            <x v="7"/>
          </reference>
          <reference field="6" count="1" selected="0">
            <x v="9"/>
          </reference>
          <reference field="7" count="1" selected="0">
            <x v="198"/>
          </reference>
          <reference field="8" count="1">
            <x v="334"/>
          </reference>
        </references>
      </pivotArea>
    </format>
    <format dxfId="4180">
      <pivotArea dataOnly="0" labelOnly="1" fieldPosition="0">
        <references count="5">
          <reference field="1" count="1" selected="0">
            <x v="110"/>
          </reference>
          <reference field="5" count="1" selected="0">
            <x v="8"/>
          </reference>
          <reference field="6" count="1" selected="0">
            <x v="10"/>
          </reference>
          <reference field="7" count="1" selected="0">
            <x v="198"/>
          </reference>
          <reference field="8" count="1">
            <x v="539"/>
          </reference>
        </references>
      </pivotArea>
    </format>
    <format dxfId="4179">
      <pivotArea dataOnly="0" labelOnly="1" fieldPosition="0">
        <references count="5">
          <reference field="1" count="1" selected="0">
            <x v="110"/>
          </reference>
          <reference field="5" count="1" selected="0">
            <x v="12"/>
          </reference>
          <reference field="6" count="1" selected="0">
            <x v="1"/>
          </reference>
          <reference field="7" count="1" selected="0">
            <x v="198"/>
          </reference>
          <reference field="8" count="5">
            <x v="80"/>
            <x v="213"/>
            <x v="352"/>
            <x v="771"/>
            <x v="911"/>
          </reference>
        </references>
      </pivotArea>
    </format>
    <format dxfId="4178">
      <pivotArea dataOnly="0" labelOnly="1" fieldPosition="0">
        <references count="5">
          <reference field="1" count="1" selected="0">
            <x v="110"/>
          </reference>
          <reference field="5" count="1" selected="0">
            <x v="15"/>
          </reference>
          <reference field="6" count="1" selected="0">
            <x v="6"/>
          </reference>
          <reference field="7" count="1" selected="0">
            <x v="198"/>
          </reference>
          <reference field="8" count="1">
            <x v="512"/>
          </reference>
        </references>
      </pivotArea>
    </format>
    <format dxfId="4177">
      <pivotArea dataOnly="0" labelOnly="1" fieldPosition="0">
        <references count="5">
          <reference field="1" count="1" selected="0">
            <x v="110"/>
          </reference>
          <reference field="5" count="1" selected="0">
            <x v="15"/>
          </reference>
          <reference field="6" count="1" selected="0">
            <x v="8"/>
          </reference>
          <reference field="7" count="1" selected="0">
            <x v="198"/>
          </reference>
          <reference field="8" count="1">
            <x v="0"/>
          </reference>
        </references>
      </pivotArea>
    </format>
    <format dxfId="4176">
      <pivotArea dataOnly="0" labelOnly="1" fieldPosition="0">
        <references count="5">
          <reference field="1" count="1" selected="0">
            <x v="110"/>
          </reference>
          <reference field="5" count="1" selected="0">
            <x v="15"/>
          </reference>
          <reference field="6" count="1" selected="0">
            <x v="9"/>
          </reference>
          <reference field="7" count="1" selected="0">
            <x v="198"/>
          </reference>
          <reference field="8" count="1">
            <x v="503"/>
          </reference>
        </references>
      </pivotArea>
    </format>
    <format dxfId="4175">
      <pivotArea dataOnly="0" labelOnly="1" fieldPosition="0">
        <references count="5">
          <reference field="1" count="1" selected="0">
            <x v="110"/>
          </reference>
          <reference field="5" count="1" selected="0">
            <x v="23"/>
          </reference>
          <reference field="6" count="1" selected="0">
            <x v="38"/>
          </reference>
          <reference field="7" count="1" selected="0">
            <x v="198"/>
          </reference>
          <reference field="8" count="1">
            <x v="765"/>
          </reference>
        </references>
      </pivotArea>
    </format>
    <format dxfId="4174">
      <pivotArea dataOnly="0" labelOnly="1" fieldPosition="0">
        <references count="5">
          <reference field="1" count="1" selected="0">
            <x v="110"/>
          </reference>
          <reference field="5" count="1" selected="0">
            <x v="35"/>
          </reference>
          <reference field="6" count="1" selected="0">
            <x v="1"/>
          </reference>
          <reference field="7" count="1" selected="0">
            <x v="198"/>
          </reference>
          <reference field="8" count="1">
            <x v="80"/>
          </reference>
        </references>
      </pivotArea>
    </format>
    <format dxfId="4173">
      <pivotArea dataOnly="0" labelOnly="1" fieldPosition="0">
        <references count="5">
          <reference field="1" count="1" selected="0">
            <x v="110"/>
          </reference>
          <reference field="5" count="1" selected="0">
            <x v="37"/>
          </reference>
          <reference field="6" count="1" selected="0">
            <x v="8"/>
          </reference>
          <reference field="7" count="1" selected="0">
            <x v="198"/>
          </reference>
          <reference field="8" count="1">
            <x v="852"/>
          </reference>
        </references>
      </pivotArea>
    </format>
    <format dxfId="4172">
      <pivotArea dataOnly="0" labelOnly="1" fieldPosition="0">
        <references count="5">
          <reference field="1" count="1" selected="0">
            <x v="111"/>
          </reference>
          <reference field="5" count="1" selected="0">
            <x v="0"/>
          </reference>
          <reference field="6" count="1" selected="0">
            <x v="12"/>
          </reference>
          <reference field="7" count="1" selected="0">
            <x v="17"/>
          </reference>
          <reference field="8" count="1">
            <x v="219"/>
          </reference>
        </references>
      </pivotArea>
    </format>
    <format dxfId="4171">
      <pivotArea dataOnly="0" labelOnly="1" fieldPosition="0">
        <references count="5">
          <reference field="1" count="1" selected="0">
            <x v="111"/>
          </reference>
          <reference field="5" count="1" selected="0">
            <x v="0"/>
          </reference>
          <reference field="6" count="1" selected="0">
            <x v="12"/>
          </reference>
          <reference field="7" count="1" selected="0">
            <x v="24"/>
          </reference>
          <reference field="8" count="1">
            <x v="306"/>
          </reference>
        </references>
      </pivotArea>
    </format>
    <format dxfId="4170">
      <pivotArea dataOnly="0" labelOnly="1" fieldPosition="0">
        <references count="5">
          <reference field="1" count="1" selected="0">
            <x v="111"/>
          </reference>
          <reference field="5" count="1" selected="0">
            <x v="0"/>
          </reference>
          <reference field="6" count="1" selected="0">
            <x v="12"/>
          </reference>
          <reference field="7" count="1" selected="0">
            <x v="31"/>
          </reference>
          <reference field="8" count="1">
            <x v="219"/>
          </reference>
        </references>
      </pivotArea>
    </format>
    <format dxfId="4169">
      <pivotArea dataOnly="0" labelOnly="1" fieldPosition="0">
        <references count="5">
          <reference field="1" count="1" selected="0">
            <x v="111"/>
          </reference>
          <reference field="5" count="1" selected="0">
            <x v="0"/>
          </reference>
          <reference field="6" count="1" selected="0">
            <x v="12"/>
          </reference>
          <reference field="7" count="1" selected="0">
            <x v="36"/>
          </reference>
          <reference field="8" count="1">
            <x v="535"/>
          </reference>
        </references>
      </pivotArea>
    </format>
    <format dxfId="4168">
      <pivotArea dataOnly="0" labelOnly="1" fieldPosition="0">
        <references count="5">
          <reference field="1" count="1" selected="0">
            <x v="111"/>
          </reference>
          <reference field="5" count="1" selected="0">
            <x v="0"/>
          </reference>
          <reference field="6" count="1" selected="0">
            <x v="12"/>
          </reference>
          <reference field="7" count="1" selected="0">
            <x v="53"/>
          </reference>
          <reference field="8" count="1">
            <x v="223"/>
          </reference>
        </references>
      </pivotArea>
    </format>
    <format dxfId="4167">
      <pivotArea dataOnly="0" labelOnly="1" fieldPosition="0">
        <references count="5">
          <reference field="1" count="1" selected="0">
            <x v="111"/>
          </reference>
          <reference field="5" count="1" selected="0">
            <x v="0"/>
          </reference>
          <reference field="6" count="1" selected="0">
            <x v="12"/>
          </reference>
          <reference field="7" count="1" selected="0">
            <x v="55"/>
          </reference>
          <reference field="8" count="1">
            <x v="92"/>
          </reference>
        </references>
      </pivotArea>
    </format>
    <format dxfId="4166">
      <pivotArea dataOnly="0" labelOnly="1" fieldPosition="0">
        <references count="5">
          <reference field="1" count="1" selected="0">
            <x v="111"/>
          </reference>
          <reference field="5" count="1" selected="0">
            <x v="0"/>
          </reference>
          <reference field="6" count="1" selected="0">
            <x v="38"/>
          </reference>
          <reference field="7" count="1" selected="0">
            <x v="199"/>
          </reference>
          <reference field="8" count="2">
            <x v="469"/>
            <x v="592"/>
          </reference>
        </references>
      </pivotArea>
    </format>
    <format dxfId="4165">
      <pivotArea dataOnly="0" labelOnly="1" fieldPosition="0">
        <references count="5">
          <reference field="1" count="1" selected="0">
            <x v="111"/>
          </reference>
          <reference field="5" count="1" selected="0">
            <x v="3"/>
          </reference>
          <reference field="6" count="1" selected="0">
            <x v="1"/>
          </reference>
          <reference field="7" count="1" selected="0">
            <x v="199"/>
          </reference>
          <reference field="8" count="1">
            <x v="806"/>
          </reference>
        </references>
      </pivotArea>
    </format>
    <format dxfId="4164">
      <pivotArea dataOnly="0" labelOnly="1" fieldPosition="0">
        <references count="5">
          <reference field="1" count="1" selected="0">
            <x v="111"/>
          </reference>
          <reference field="5" count="1" selected="0">
            <x v="3"/>
          </reference>
          <reference field="6" count="1" selected="0">
            <x v="6"/>
          </reference>
          <reference field="7" count="1" selected="0">
            <x v="199"/>
          </reference>
          <reference field="8" count="1">
            <x v="517"/>
          </reference>
        </references>
      </pivotArea>
    </format>
    <format dxfId="4163">
      <pivotArea dataOnly="0" labelOnly="1" fieldPosition="0">
        <references count="5">
          <reference field="1" count="1" selected="0">
            <x v="111"/>
          </reference>
          <reference field="5" count="1" selected="0">
            <x v="3"/>
          </reference>
          <reference field="6" count="1" selected="0">
            <x v="38"/>
          </reference>
          <reference field="7" count="1" selected="0">
            <x v="199"/>
          </reference>
          <reference field="8" count="1">
            <x v="109"/>
          </reference>
        </references>
      </pivotArea>
    </format>
    <format dxfId="4162">
      <pivotArea dataOnly="0" labelOnly="1" fieldPosition="0">
        <references count="5">
          <reference field="1" count="1" selected="0">
            <x v="111"/>
          </reference>
          <reference field="5" count="1" selected="0">
            <x v="12"/>
          </reference>
          <reference field="6" count="1" selected="0">
            <x v="1"/>
          </reference>
          <reference field="7" count="1" selected="0">
            <x v="199"/>
          </reference>
          <reference field="8" count="2">
            <x v="80"/>
            <x v="213"/>
          </reference>
        </references>
      </pivotArea>
    </format>
    <format dxfId="4161">
      <pivotArea dataOnly="0" labelOnly="1" fieldPosition="0">
        <references count="5">
          <reference field="1" count="1" selected="0">
            <x v="111"/>
          </reference>
          <reference field="5" count="1" selected="0">
            <x v="20"/>
          </reference>
          <reference field="6" count="1" selected="0">
            <x v="6"/>
          </reference>
          <reference field="7" count="1" selected="0">
            <x v="199"/>
          </reference>
          <reference field="8" count="1">
            <x v="1705"/>
          </reference>
        </references>
      </pivotArea>
    </format>
    <format dxfId="4160">
      <pivotArea dataOnly="0" labelOnly="1" fieldPosition="0">
        <references count="5">
          <reference field="1" count="1" selected="0">
            <x v="111"/>
          </reference>
          <reference field="5" count="1" selected="0">
            <x v="21"/>
          </reference>
          <reference field="6" count="1" selected="0">
            <x v="33"/>
          </reference>
          <reference field="7" count="1" selected="0">
            <x v="199"/>
          </reference>
          <reference field="8" count="1">
            <x v="719"/>
          </reference>
        </references>
      </pivotArea>
    </format>
    <format dxfId="4159">
      <pivotArea dataOnly="0" labelOnly="1" fieldPosition="0">
        <references count="5">
          <reference field="1" count="1" selected="0">
            <x v="111"/>
          </reference>
          <reference field="5" count="1" selected="0">
            <x v="23"/>
          </reference>
          <reference field="6" count="1" selected="0">
            <x v="38"/>
          </reference>
          <reference field="7" count="1" selected="0">
            <x v="199"/>
          </reference>
          <reference field="8" count="1">
            <x v="79"/>
          </reference>
        </references>
      </pivotArea>
    </format>
    <format dxfId="4158">
      <pivotArea dataOnly="0" labelOnly="1" fieldPosition="0">
        <references count="5">
          <reference field="1" count="1" selected="0">
            <x v="111"/>
          </reference>
          <reference field="5" count="1" selected="0">
            <x v="35"/>
          </reference>
          <reference field="6" count="1" selected="0">
            <x v="1"/>
          </reference>
          <reference field="7" count="1" selected="0">
            <x v="199"/>
          </reference>
          <reference field="8" count="2">
            <x v="80"/>
            <x v="352"/>
          </reference>
        </references>
      </pivotArea>
    </format>
    <format dxfId="4157">
      <pivotArea dataOnly="0" labelOnly="1" fieldPosition="0">
        <references count="5">
          <reference field="1" count="1" selected="0">
            <x v="112"/>
          </reference>
          <reference field="5" count="1" selected="0">
            <x v="0"/>
          </reference>
          <reference field="6" count="1" selected="0">
            <x v="8"/>
          </reference>
          <reference field="7" count="1" selected="0">
            <x v="200"/>
          </reference>
          <reference field="8" count="1">
            <x v="0"/>
          </reference>
        </references>
      </pivotArea>
    </format>
    <format dxfId="4156">
      <pivotArea dataOnly="0" labelOnly="1" fieldPosition="0">
        <references count="5">
          <reference field="1" count="1" selected="0">
            <x v="112"/>
          </reference>
          <reference field="5" count="1" selected="0">
            <x v="0"/>
          </reference>
          <reference field="6" count="1" selected="0">
            <x v="12"/>
          </reference>
          <reference field="7" count="1" selected="0">
            <x v="40"/>
          </reference>
          <reference field="8" count="1">
            <x v="219"/>
          </reference>
        </references>
      </pivotArea>
    </format>
    <format dxfId="4155">
      <pivotArea dataOnly="0" labelOnly="1" fieldPosition="0">
        <references count="5">
          <reference field="1" count="1" selected="0">
            <x v="112"/>
          </reference>
          <reference field="5" count="1" selected="0">
            <x v="8"/>
          </reference>
          <reference field="6" count="1" selected="0">
            <x v="38"/>
          </reference>
          <reference field="7" count="1" selected="0">
            <x v="200"/>
          </reference>
          <reference field="8" count="1">
            <x v="769"/>
          </reference>
        </references>
      </pivotArea>
    </format>
    <format dxfId="4154">
      <pivotArea dataOnly="0" labelOnly="1" fieldPosition="0">
        <references count="5">
          <reference field="1" count="1" selected="0">
            <x v="112"/>
          </reference>
          <reference field="5" count="1" selected="0">
            <x v="12"/>
          </reference>
          <reference field="6" count="1" selected="0">
            <x v="1"/>
          </reference>
          <reference field="7" count="1" selected="0">
            <x v="200"/>
          </reference>
          <reference field="8" count="3">
            <x v="80"/>
            <x v="213"/>
            <x v="607"/>
          </reference>
        </references>
      </pivotArea>
    </format>
    <format dxfId="4153">
      <pivotArea dataOnly="0" labelOnly="1" fieldPosition="0">
        <references count="5">
          <reference field="1" count="1" selected="0">
            <x v="112"/>
          </reference>
          <reference field="5" count="1" selected="0">
            <x v="27"/>
          </reference>
          <reference field="6" count="1" selected="0">
            <x v="10"/>
          </reference>
          <reference field="7" count="1" selected="0">
            <x v="200"/>
          </reference>
          <reference field="8" count="1">
            <x v="180"/>
          </reference>
        </references>
      </pivotArea>
    </format>
    <format dxfId="4152">
      <pivotArea dataOnly="0" labelOnly="1" fieldPosition="0">
        <references count="5">
          <reference field="1" count="1" selected="0">
            <x v="112"/>
          </reference>
          <reference field="5" count="1" selected="0">
            <x v="29"/>
          </reference>
          <reference field="6" count="1" selected="0">
            <x v="10"/>
          </reference>
          <reference field="7" count="1" selected="0">
            <x v="200"/>
          </reference>
          <reference field="8" count="1">
            <x v="0"/>
          </reference>
        </references>
      </pivotArea>
    </format>
    <format dxfId="4151">
      <pivotArea dataOnly="0" labelOnly="1" fieldPosition="0">
        <references count="5">
          <reference field="1" count="1" selected="0">
            <x v="112"/>
          </reference>
          <reference field="5" count="1" selected="0">
            <x v="35"/>
          </reference>
          <reference field="6" count="1" selected="0">
            <x v="1"/>
          </reference>
          <reference field="7" count="1" selected="0">
            <x v="200"/>
          </reference>
          <reference field="8" count="1">
            <x v="771"/>
          </reference>
        </references>
      </pivotArea>
    </format>
    <format dxfId="4150">
      <pivotArea dataOnly="0" labelOnly="1" fieldPosition="0">
        <references count="5">
          <reference field="1" count="1" selected="0">
            <x v="113"/>
          </reference>
          <reference field="5" count="1" selected="0">
            <x v="0"/>
          </reference>
          <reference field="6" count="1" selected="0">
            <x v="8"/>
          </reference>
          <reference field="7" count="1" selected="0">
            <x v="201"/>
          </reference>
          <reference field="8" count="5">
            <x v="349"/>
            <x v="351"/>
            <x v="385"/>
            <x v="923"/>
            <x v="1267"/>
          </reference>
        </references>
      </pivotArea>
    </format>
    <format dxfId="4149">
      <pivotArea dataOnly="0" labelOnly="1" fieldPosition="0">
        <references count="5">
          <reference field="1" count="1" selected="0">
            <x v="113"/>
          </reference>
          <reference field="5" count="1" selected="0">
            <x v="0"/>
          </reference>
          <reference field="6" count="1" selected="0">
            <x v="9"/>
          </reference>
          <reference field="7" count="1" selected="0">
            <x v="201"/>
          </reference>
          <reference field="8" count="4">
            <x v="388"/>
            <x v="652"/>
            <x v="1078"/>
            <x v="1090"/>
          </reference>
        </references>
      </pivotArea>
    </format>
    <format dxfId="4148">
      <pivotArea dataOnly="0" labelOnly="1" fieldPosition="0">
        <references count="5">
          <reference field="1" count="1" selected="0">
            <x v="113"/>
          </reference>
          <reference field="5" count="1" selected="0">
            <x v="5"/>
          </reference>
          <reference field="6" count="1" selected="0">
            <x v="38"/>
          </reference>
          <reference field="7" count="1" selected="0">
            <x v="201"/>
          </reference>
          <reference field="8" count="1">
            <x v="1654"/>
          </reference>
        </references>
      </pivotArea>
    </format>
    <format dxfId="4147">
      <pivotArea dataOnly="0" labelOnly="1" fieldPosition="0">
        <references count="5">
          <reference field="1" count="1" selected="0">
            <x v="113"/>
          </reference>
          <reference field="5" count="1" selected="0">
            <x v="6"/>
          </reference>
          <reference field="6" count="1" selected="0">
            <x v="37"/>
          </reference>
          <reference field="7" count="1" selected="0">
            <x v="201"/>
          </reference>
          <reference field="8" count="1">
            <x v="654"/>
          </reference>
        </references>
      </pivotArea>
    </format>
    <format dxfId="4146">
      <pivotArea dataOnly="0" labelOnly="1" fieldPosition="0">
        <references count="5">
          <reference field="1" count="1" selected="0">
            <x v="113"/>
          </reference>
          <reference field="5" count="1" selected="0">
            <x v="9"/>
          </reference>
          <reference field="6" count="1" selected="0">
            <x v="8"/>
          </reference>
          <reference field="7" count="1" selected="0">
            <x v="201"/>
          </reference>
          <reference field="8" count="1">
            <x v="490"/>
          </reference>
        </references>
      </pivotArea>
    </format>
    <format dxfId="4145">
      <pivotArea dataOnly="0" labelOnly="1" fieldPosition="0">
        <references count="5">
          <reference field="1" count="1" selected="0">
            <x v="113"/>
          </reference>
          <reference field="5" count="1" selected="0">
            <x v="12"/>
          </reference>
          <reference field="6" count="1" selected="0">
            <x v="1"/>
          </reference>
          <reference field="7" count="1" selected="0">
            <x v="201"/>
          </reference>
          <reference field="8" count="1">
            <x v="80"/>
          </reference>
        </references>
      </pivotArea>
    </format>
    <format dxfId="4144">
      <pivotArea dataOnly="0" labelOnly="1" fieldPosition="0">
        <references count="5">
          <reference field="1" count="1" selected="0">
            <x v="113"/>
          </reference>
          <reference field="5" count="1" selected="0">
            <x v="14"/>
          </reference>
          <reference field="6" count="1" selected="0">
            <x v="38"/>
          </reference>
          <reference field="7" count="1" selected="0">
            <x v="201"/>
          </reference>
          <reference field="8" count="1">
            <x v="109"/>
          </reference>
        </references>
      </pivotArea>
    </format>
    <format dxfId="4143">
      <pivotArea dataOnly="0" labelOnly="1" fieldPosition="0">
        <references count="5">
          <reference field="1" count="1" selected="0">
            <x v="113"/>
          </reference>
          <reference field="5" count="1" selected="0">
            <x v="15"/>
          </reference>
          <reference field="6" count="1" selected="0">
            <x v="8"/>
          </reference>
          <reference field="7" count="1" selected="0">
            <x v="201"/>
          </reference>
          <reference field="8" count="1">
            <x v="238"/>
          </reference>
        </references>
      </pivotArea>
    </format>
    <format dxfId="4142">
      <pivotArea dataOnly="0" labelOnly="1" fieldPosition="0">
        <references count="5">
          <reference field="1" count="1" selected="0">
            <x v="113"/>
          </reference>
          <reference field="5" count="1" selected="0">
            <x v="15"/>
          </reference>
          <reference field="6" count="1" selected="0">
            <x v="38"/>
          </reference>
          <reference field="7" count="1" selected="0">
            <x v="201"/>
          </reference>
          <reference field="8" count="1">
            <x v="1317"/>
          </reference>
        </references>
      </pivotArea>
    </format>
    <format dxfId="4141">
      <pivotArea dataOnly="0" labelOnly="1" fieldPosition="0">
        <references count="5">
          <reference field="1" count="1" selected="0">
            <x v="113"/>
          </reference>
          <reference field="5" count="1" selected="0">
            <x v="21"/>
          </reference>
          <reference field="6" count="1" selected="0">
            <x v="38"/>
          </reference>
          <reference field="7" count="1" selected="0">
            <x v="201"/>
          </reference>
          <reference field="8" count="1">
            <x v="728"/>
          </reference>
        </references>
      </pivotArea>
    </format>
    <format dxfId="4140">
      <pivotArea dataOnly="0" labelOnly="1" fieldPosition="0">
        <references count="5">
          <reference field="1" count="1" selected="0">
            <x v="113"/>
          </reference>
          <reference field="5" count="1" selected="0">
            <x v="23"/>
          </reference>
          <reference field="6" count="1" selected="0">
            <x v="7"/>
          </reference>
          <reference field="7" count="1" selected="0">
            <x v="201"/>
          </reference>
          <reference field="8" count="1">
            <x v="371"/>
          </reference>
        </references>
      </pivotArea>
    </format>
    <format dxfId="4139">
      <pivotArea dataOnly="0" labelOnly="1" fieldPosition="0">
        <references count="5">
          <reference field="1" count="1" selected="0">
            <x v="113"/>
          </reference>
          <reference field="5" count="1" selected="0">
            <x v="24"/>
          </reference>
          <reference field="6" count="1" selected="0">
            <x v="38"/>
          </reference>
          <reference field="7" count="1" selected="0">
            <x v="201"/>
          </reference>
          <reference field="8" count="1">
            <x v="1759"/>
          </reference>
        </references>
      </pivotArea>
    </format>
    <format dxfId="4138">
      <pivotArea dataOnly="0" labelOnly="1" fieldPosition="0">
        <references count="5">
          <reference field="1" count="1" selected="0">
            <x v="113"/>
          </reference>
          <reference field="5" count="1" selected="0">
            <x v="26"/>
          </reference>
          <reference field="6" count="1" selected="0">
            <x v="38"/>
          </reference>
          <reference field="7" count="1" selected="0">
            <x v="201"/>
          </reference>
          <reference field="8" count="1">
            <x v="109"/>
          </reference>
        </references>
      </pivotArea>
    </format>
    <format dxfId="4137">
      <pivotArea dataOnly="0" labelOnly="1" fieldPosition="0">
        <references count="5">
          <reference field="1" count="1" selected="0">
            <x v="113"/>
          </reference>
          <reference field="5" count="1" selected="0">
            <x v="27"/>
          </reference>
          <reference field="6" count="1" selected="0">
            <x v="38"/>
          </reference>
          <reference field="7" count="1" selected="0">
            <x v="201"/>
          </reference>
          <reference field="8" count="1">
            <x v="39"/>
          </reference>
        </references>
      </pivotArea>
    </format>
    <format dxfId="4136">
      <pivotArea dataOnly="0" labelOnly="1" fieldPosition="0">
        <references count="5">
          <reference field="1" count="1" selected="0">
            <x v="113"/>
          </reference>
          <reference field="5" count="1" selected="0">
            <x v="29"/>
          </reference>
          <reference field="6" count="1" selected="0">
            <x v="38"/>
          </reference>
          <reference field="7" count="1" selected="0">
            <x v="201"/>
          </reference>
          <reference field="8" count="1">
            <x v="1583"/>
          </reference>
        </references>
      </pivotArea>
    </format>
    <format dxfId="4135">
      <pivotArea dataOnly="0" labelOnly="1" fieldPosition="0">
        <references count="5">
          <reference field="1" count="1" selected="0">
            <x v="113"/>
          </reference>
          <reference field="5" count="1" selected="0">
            <x v="35"/>
          </reference>
          <reference field="6" count="1" selected="0">
            <x v="1"/>
          </reference>
          <reference field="7" count="1" selected="0">
            <x v="201"/>
          </reference>
          <reference field="8" count="1">
            <x v="80"/>
          </reference>
        </references>
      </pivotArea>
    </format>
    <format dxfId="4134">
      <pivotArea dataOnly="0" labelOnly="1" fieldPosition="0">
        <references count="5">
          <reference field="1" count="1" selected="0">
            <x v="114"/>
          </reference>
          <reference field="5" count="1" selected="0">
            <x v="0"/>
          </reference>
          <reference field="6" count="1" selected="0">
            <x v="12"/>
          </reference>
          <reference field="7" count="1" selected="0">
            <x v="62"/>
          </reference>
          <reference field="8" count="1">
            <x v="77"/>
          </reference>
        </references>
      </pivotArea>
    </format>
    <format dxfId="4133">
      <pivotArea dataOnly="0" labelOnly="1" fieldPosition="0">
        <references count="5">
          <reference field="1" count="1" selected="0">
            <x v="114"/>
          </reference>
          <reference field="5" count="1" selected="0">
            <x v="0"/>
          </reference>
          <reference field="6" count="1" selected="0">
            <x v="26"/>
          </reference>
          <reference field="7" count="1" selected="0">
            <x v="202"/>
          </reference>
          <reference field="8" count="6">
            <x v="601"/>
            <x v="725"/>
            <x v="796"/>
            <x v="1046"/>
            <x v="1102"/>
            <x v="1531"/>
          </reference>
        </references>
      </pivotArea>
    </format>
    <format dxfId="4132">
      <pivotArea dataOnly="0" labelOnly="1" fieldPosition="0">
        <references count="5">
          <reference field="1" count="1" selected="0">
            <x v="114"/>
          </reference>
          <reference field="5" count="1" selected="0">
            <x v="0"/>
          </reference>
          <reference field="6" count="1" selected="0">
            <x v="38"/>
          </reference>
          <reference field="7" count="1" selected="0">
            <x v="203"/>
          </reference>
          <reference field="8" count="1">
            <x v="138"/>
          </reference>
        </references>
      </pivotArea>
    </format>
    <format dxfId="4131">
      <pivotArea dataOnly="0" labelOnly="1" fieldPosition="0">
        <references count="5">
          <reference field="1" count="1" selected="0">
            <x v="114"/>
          </reference>
          <reference field="5" count="1" selected="0">
            <x v="2"/>
          </reference>
          <reference field="6" count="1" selected="0">
            <x v="26"/>
          </reference>
          <reference field="7" count="1" selected="0">
            <x v="202"/>
          </reference>
          <reference field="8" count="1">
            <x v="1724"/>
          </reference>
        </references>
      </pivotArea>
    </format>
    <format dxfId="4130">
      <pivotArea dataOnly="0" labelOnly="1" fieldPosition="0">
        <references count="5">
          <reference field="1" count="1" selected="0">
            <x v="114"/>
          </reference>
          <reference field="5" count="1" selected="0">
            <x v="3"/>
          </reference>
          <reference field="6" count="1" selected="0">
            <x v="26"/>
          </reference>
          <reference field="7" count="1" selected="0">
            <x v="202"/>
          </reference>
          <reference field="8" count="1">
            <x v="178"/>
          </reference>
        </references>
      </pivotArea>
    </format>
    <format dxfId="4129">
      <pivotArea dataOnly="0" labelOnly="1" fieldPosition="0">
        <references count="5">
          <reference field="1" count="1" selected="0">
            <x v="114"/>
          </reference>
          <reference field="5" count="1" selected="0">
            <x v="3"/>
          </reference>
          <reference field="6" count="1" selected="0">
            <x v="38"/>
          </reference>
          <reference field="7" count="1" selected="0">
            <x v="203"/>
          </reference>
          <reference field="8" count="1">
            <x v="202"/>
          </reference>
        </references>
      </pivotArea>
    </format>
    <format dxfId="4128">
      <pivotArea dataOnly="0" labelOnly="1" fieldPosition="0">
        <references count="5">
          <reference field="1" count="1" selected="0">
            <x v="114"/>
          </reference>
          <reference field="5" count="1" selected="0">
            <x v="10"/>
          </reference>
          <reference field="6" count="1" selected="0">
            <x v="1"/>
          </reference>
          <reference field="7" count="1" selected="0">
            <x v="203"/>
          </reference>
          <reference field="8" count="1">
            <x v="1487"/>
          </reference>
        </references>
      </pivotArea>
    </format>
    <format dxfId="4127">
      <pivotArea dataOnly="0" labelOnly="1" fieldPosition="0">
        <references count="5">
          <reference field="1" count="1" selected="0">
            <x v="114"/>
          </reference>
          <reference field="5" count="1" selected="0">
            <x v="12"/>
          </reference>
          <reference field="6" count="1" selected="0">
            <x v="1"/>
          </reference>
          <reference field="7" count="1" selected="0">
            <x v="203"/>
          </reference>
          <reference field="8" count="3">
            <x v="80"/>
            <x v="352"/>
            <x v="607"/>
          </reference>
        </references>
      </pivotArea>
    </format>
    <format dxfId="4126">
      <pivotArea dataOnly="0" labelOnly="1" fieldPosition="0">
        <references count="5">
          <reference field="1" count="1" selected="0">
            <x v="114"/>
          </reference>
          <reference field="5" count="1" selected="0">
            <x v="12"/>
          </reference>
          <reference field="6" count="1" selected="0">
            <x v="8"/>
          </reference>
          <reference field="7" count="1" selected="0">
            <x v="203"/>
          </reference>
          <reference field="8" count="1">
            <x v="0"/>
          </reference>
        </references>
      </pivotArea>
    </format>
    <format dxfId="4125">
      <pivotArea dataOnly="0" labelOnly="1" fieldPosition="0">
        <references count="5">
          <reference field="1" count="1" selected="0">
            <x v="114"/>
          </reference>
          <reference field="5" count="1" selected="0">
            <x v="12"/>
          </reference>
          <reference field="6" count="1" selected="0">
            <x v="26"/>
          </reference>
          <reference field="7" count="1" selected="0">
            <x v="202"/>
          </reference>
          <reference field="8" count="27">
            <x v="269"/>
            <x v="378"/>
            <x v="442"/>
            <x v="492"/>
            <x v="799"/>
            <x v="815"/>
            <x v="1179"/>
            <x v="1300"/>
            <x v="1384"/>
            <x v="1389"/>
            <x v="1406"/>
            <x v="1435"/>
            <x v="1436"/>
            <x v="1474"/>
            <x v="1502"/>
            <x v="1551"/>
            <x v="1629"/>
            <x v="1642"/>
            <x v="1664"/>
            <x v="1686"/>
            <x v="1718"/>
            <x v="1739"/>
            <x v="1761"/>
            <x v="1782"/>
            <x v="1787"/>
            <x v="1797"/>
            <x v="1828"/>
          </reference>
        </references>
      </pivotArea>
    </format>
    <format dxfId="4124">
      <pivotArea dataOnly="0" labelOnly="1" fieldPosition="0">
        <references count="5">
          <reference field="1" count="1" selected="0">
            <x v="114"/>
          </reference>
          <reference field="5" count="1" selected="0">
            <x v="12"/>
          </reference>
          <reference field="6" count="1" selected="0">
            <x v="38"/>
          </reference>
          <reference field="7" count="1" selected="0">
            <x v="203"/>
          </reference>
          <reference field="8" count="1">
            <x v="352"/>
          </reference>
        </references>
      </pivotArea>
    </format>
    <format dxfId="4123">
      <pivotArea dataOnly="0" labelOnly="1" fieldPosition="0">
        <references count="5">
          <reference field="1" count="1" selected="0">
            <x v="114"/>
          </reference>
          <reference field="5" count="1" selected="0">
            <x v="23"/>
          </reference>
          <reference field="6" count="1" selected="0">
            <x v="26"/>
          </reference>
          <reference field="7" count="1" selected="0">
            <x v="202"/>
          </reference>
          <reference field="8" count="1">
            <x v="1878"/>
          </reference>
        </references>
      </pivotArea>
    </format>
    <format dxfId="4122">
      <pivotArea dataOnly="0" labelOnly="1" fieldPosition="0">
        <references count="5">
          <reference field="1" count="1" selected="0">
            <x v="114"/>
          </reference>
          <reference field="5" count="1" selected="0">
            <x v="24"/>
          </reference>
          <reference field="6" count="1" selected="0">
            <x v="26"/>
          </reference>
          <reference field="7" count="1" selected="0">
            <x v="202"/>
          </reference>
          <reference field="8" count="1">
            <x v="1520"/>
          </reference>
        </references>
      </pivotArea>
    </format>
    <format dxfId="4121">
      <pivotArea dataOnly="0" labelOnly="1" fieldPosition="0">
        <references count="5">
          <reference field="1" count="1" selected="0">
            <x v="114"/>
          </reference>
          <reference field="5" count="1" selected="0">
            <x v="26"/>
          </reference>
          <reference field="6" count="1" selected="0">
            <x v="38"/>
          </reference>
          <reference field="7" count="1" selected="0">
            <x v="203"/>
          </reference>
          <reference field="8" count="1">
            <x v="109"/>
          </reference>
        </references>
      </pivotArea>
    </format>
    <format dxfId="4120">
      <pivotArea dataOnly="0" labelOnly="1" fieldPosition="0">
        <references count="5">
          <reference field="1" count="1" selected="0">
            <x v="114"/>
          </reference>
          <reference field="5" count="1" selected="0">
            <x v="29"/>
          </reference>
          <reference field="6" count="1" selected="0">
            <x v="37"/>
          </reference>
          <reference field="7" count="1" selected="0">
            <x v="203"/>
          </reference>
          <reference field="8" count="1">
            <x v="721"/>
          </reference>
        </references>
      </pivotArea>
    </format>
    <format dxfId="4119">
      <pivotArea dataOnly="0" labelOnly="1" fieldPosition="0">
        <references count="5">
          <reference field="1" count="1" selected="0">
            <x v="114"/>
          </reference>
          <reference field="5" count="1" selected="0">
            <x v="30"/>
          </reference>
          <reference field="6" count="1" selected="0">
            <x v="6"/>
          </reference>
          <reference field="7" count="1" selected="0">
            <x v="203"/>
          </reference>
          <reference field="8" count="1">
            <x v="1844"/>
          </reference>
        </references>
      </pivotArea>
    </format>
    <format dxfId="4118">
      <pivotArea dataOnly="0" labelOnly="1" fieldPosition="0">
        <references count="5">
          <reference field="1" count="1" selected="0">
            <x v="114"/>
          </reference>
          <reference field="5" count="1" selected="0">
            <x v="35"/>
          </reference>
          <reference field="6" count="1" selected="0">
            <x v="1"/>
          </reference>
          <reference field="7" count="1" selected="0">
            <x v="203"/>
          </reference>
          <reference field="8" count="1">
            <x v="80"/>
          </reference>
        </references>
      </pivotArea>
    </format>
    <format dxfId="4117">
      <pivotArea dataOnly="0" labelOnly="1" fieldPosition="0">
        <references count="5">
          <reference field="1" count="1" selected="0">
            <x v="114"/>
          </reference>
          <reference field="5" count="1" selected="0">
            <x v="35"/>
          </reference>
          <reference field="6" count="1" selected="0">
            <x v="26"/>
          </reference>
          <reference field="7" count="1" selected="0">
            <x v="202"/>
          </reference>
          <reference field="8" count="15">
            <x v="115"/>
            <x v="130"/>
            <x v="266"/>
            <x v="487"/>
            <x v="504"/>
            <x v="574"/>
            <x v="581"/>
            <x v="734"/>
            <x v="928"/>
            <x v="946"/>
            <x v="1000"/>
            <x v="1190"/>
            <x v="1275"/>
            <x v="1372"/>
            <x v="1467"/>
          </reference>
        </references>
      </pivotArea>
    </format>
    <format dxfId="4116">
      <pivotArea dataOnly="0" labelOnly="1" fieldPosition="0">
        <references count="5">
          <reference field="1" count="1" selected="0">
            <x v="114"/>
          </reference>
          <reference field="5" count="1" selected="0">
            <x v="37"/>
          </reference>
          <reference field="6" count="1" selected="0">
            <x v="26"/>
          </reference>
          <reference field="7" count="1" selected="0">
            <x v="202"/>
          </reference>
          <reference field="8" count="1">
            <x v="1658"/>
          </reference>
        </references>
      </pivotArea>
    </format>
    <format dxfId="4115">
      <pivotArea dataOnly="0" labelOnly="1" fieldPosition="0">
        <references count="5">
          <reference field="1" count="1" selected="0">
            <x v="115"/>
          </reference>
          <reference field="5" count="1" selected="0">
            <x v="0"/>
          </reference>
          <reference field="6" count="1" selected="0">
            <x v="6"/>
          </reference>
          <reference field="7" count="1" selected="0">
            <x v="204"/>
          </reference>
          <reference field="8" count="1">
            <x v="1356"/>
          </reference>
        </references>
      </pivotArea>
    </format>
    <format dxfId="4114">
      <pivotArea dataOnly="0" labelOnly="1" fieldPosition="0">
        <references count="5">
          <reference field="1" count="1" selected="0">
            <x v="115"/>
          </reference>
          <reference field="5" count="1" selected="0">
            <x v="0"/>
          </reference>
          <reference field="6" count="1" selected="0">
            <x v="7"/>
          </reference>
          <reference field="7" count="1" selected="0">
            <x v="204"/>
          </reference>
          <reference field="8" count="2">
            <x v="247"/>
            <x v="469"/>
          </reference>
        </references>
      </pivotArea>
    </format>
    <format dxfId="4113">
      <pivotArea dataOnly="0" labelOnly="1" fieldPosition="0">
        <references count="5">
          <reference field="1" count="1" selected="0">
            <x v="115"/>
          </reference>
          <reference field="5" count="1" selected="0">
            <x v="0"/>
          </reference>
          <reference field="6" count="1" selected="0">
            <x v="8"/>
          </reference>
          <reference field="7" count="1" selected="0">
            <x v="204"/>
          </reference>
          <reference field="8" count="4">
            <x v="113"/>
            <x v="550"/>
            <x v="614"/>
            <x v="768"/>
          </reference>
        </references>
      </pivotArea>
    </format>
    <format dxfId="4112">
      <pivotArea dataOnly="0" labelOnly="1" fieldPosition="0">
        <references count="5">
          <reference field="1" count="1" selected="0">
            <x v="115"/>
          </reference>
          <reference field="5" count="1" selected="0">
            <x v="0"/>
          </reference>
          <reference field="6" count="1" selected="0">
            <x v="9"/>
          </reference>
          <reference field="7" count="1" selected="0">
            <x v="204"/>
          </reference>
          <reference field="8" count="6">
            <x v="118"/>
            <x v="439"/>
            <x v="704"/>
            <x v="1058"/>
            <x v="1159"/>
            <x v="1303"/>
          </reference>
        </references>
      </pivotArea>
    </format>
    <format dxfId="4111">
      <pivotArea dataOnly="0" labelOnly="1" fieldPosition="0">
        <references count="5">
          <reference field="1" count="1" selected="0">
            <x v="115"/>
          </reference>
          <reference field="5" count="1" selected="0">
            <x v="0"/>
          </reference>
          <reference field="6" count="1" selected="0">
            <x v="12"/>
          </reference>
          <reference field="7" count="1" selected="0">
            <x v="30"/>
          </reference>
          <reference field="8" count="1">
            <x v="14"/>
          </reference>
        </references>
      </pivotArea>
    </format>
    <format dxfId="4110">
      <pivotArea dataOnly="0" labelOnly="1" fieldPosition="0">
        <references count="5">
          <reference field="1" count="1" selected="0">
            <x v="115"/>
          </reference>
          <reference field="5" count="1" selected="0">
            <x v="0"/>
          </reference>
          <reference field="6" count="1" selected="0">
            <x v="12"/>
          </reference>
          <reference field="7" count="1" selected="0">
            <x v="58"/>
          </reference>
          <reference field="8" count="1">
            <x v="11"/>
          </reference>
        </references>
      </pivotArea>
    </format>
    <format dxfId="4109">
      <pivotArea dataOnly="0" labelOnly="1" fieldPosition="0">
        <references count="5">
          <reference field="1" count="1" selected="0">
            <x v="115"/>
          </reference>
          <reference field="5" count="1" selected="0">
            <x v="0"/>
          </reference>
          <reference field="6" count="1" selected="0">
            <x v="12"/>
          </reference>
          <reference field="7" count="1" selected="0">
            <x v="60"/>
          </reference>
          <reference field="8" count="1">
            <x v="138"/>
          </reference>
        </references>
      </pivotArea>
    </format>
    <format dxfId="4108">
      <pivotArea dataOnly="0" labelOnly="1" fieldPosition="0">
        <references count="5">
          <reference field="1" count="1" selected="0">
            <x v="115"/>
          </reference>
          <reference field="5" count="1" selected="0">
            <x v="0"/>
          </reference>
          <reference field="6" count="1" selected="0">
            <x v="38"/>
          </reference>
          <reference field="7" count="1" selected="0">
            <x v="204"/>
          </reference>
          <reference field="8" count="1">
            <x v="481"/>
          </reference>
        </references>
      </pivotArea>
    </format>
    <format dxfId="4107">
      <pivotArea dataOnly="0" labelOnly="1" fieldPosition="0">
        <references count="5">
          <reference field="1" count="1" selected="0">
            <x v="115"/>
          </reference>
          <reference field="5" count="1" selected="0">
            <x v="7"/>
          </reference>
          <reference field="6" count="1" selected="0">
            <x v="10"/>
          </reference>
          <reference field="7" count="1" selected="0">
            <x v="204"/>
          </reference>
          <reference field="8" count="1">
            <x v="875"/>
          </reference>
        </references>
      </pivotArea>
    </format>
    <format dxfId="4106">
      <pivotArea dataOnly="0" labelOnly="1" fieldPosition="0">
        <references count="5">
          <reference field="1" count="1" selected="0">
            <x v="115"/>
          </reference>
          <reference field="5" count="1" selected="0">
            <x v="11"/>
          </reference>
          <reference field="6" count="1" selected="0">
            <x v="9"/>
          </reference>
          <reference field="7" count="1" selected="0">
            <x v="204"/>
          </reference>
          <reference field="8" count="1">
            <x v="1101"/>
          </reference>
        </references>
      </pivotArea>
    </format>
    <format dxfId="4105">
      <pivotArea dataOnly="0" labelOnly="1" fieldPosition="0">
        <references count="5">
          <reference field="1" count="1" selected="0">
            <x v="115"/>
          </reference>
          <reference field="5" count="1" selected="0">
            <x v="12"/>
          </reference>
          <reference field="6" count="1" selected="0">
            <x v="1"/>
          </reference>
          <reference field="7" count="1" selected="0">
            <x v="204"/>
          </reference>
          <reference field="8" count="1">
            <x v="213"/>
          </reference>
        </references>
      </pivotArea>
    </format>
    <format dxfId="4104">
      <pivotArea dataOnly="0" labelOnly="1" fieldPosition="0">
        <references count="5">
          <reference field="1" count="1" selected="0">
            <x v="115"/>
          </reference>
          <reference field="5" count="1" selected="0">
            <x v="15"/>
          </reference>
          <reference field="6" count="1" selected="0">
            <x v="8"/>
          </reference>
          <reference field="7" count="1" selected="0">
            <x v="204"/>
          </reference>
          <reference field="8" count="1">
            <x v="352"/>
          </reference>
        </references>
      </pivotArea>
    </format>
    <format dxfId="4103">
      <pivotArea dataOnly="0" labelOnly="1" fieldPosition="0">
        <references count="5">
          <reference field="1" count="1" selected="0">
            <x v="115"/>
          </reference>
          <reference field="5" count="1" selected="0">
            <x v="15"/>
          </reference>
          <reference field="6" count="1" selected="0">
            <x v="38"/>
          </reference>
          <reference field="7" count="1" selected="0">
            <x v="204"/>
          </reference>
          <reference field="8" count="1">
            <x v="797"/>
          </reference>
        </references>
      </pivotArea>
    </format>
    <format dxfId="4102">
      <pivotArea dataOnly="0" labelOnly="1" fieldPosition="0">
        <references count="5">
          <reference field="1" count="1" selected="0">
            <x v="115"/>
          </reference>
          <reference field="5" count="1" selected="0">
            <x v="26"/>
          </reference>
          <reference field="6" count="1" selected="0">
            <x v="38"/>
          </reference>
          <reference field="7" count="1" selected="0">
            <x v="204"/>
          </reference>
          <reference field="8" count="1">
            <x v="352"/>
          </reference>
        </references>
      </pivotArea>
    </format>
    <format dxfId="4101">
      <pivotArea dataOnly="0" labelOnly="1" fieldPosition="0">
        <references count="5">
          <reference field="1" count="1" selected="0">
            <x v="116"/>
          </reference>
          <reference field="5" count="1" selected="0">
            <x v="0"/>
          </reference>
          <reference field="6" count="1" selected="0">
            <x v="1"/>
          </reference>
          <reference field="7" count="1" selected="0">
            <x v="205"/>
          </reference>
          <reference field="8" count="1">
            <x v="80"/>
          </reference>
        </references>
      </pivotArea>
    </format>
    <format dxfId="4100">
      <pivotArea dataOnly="0" labelOnly="1" fieldPosition="0">
        <references count="5">
          <reference field="1" count="1" selected="0">
            <x v="116"/>
          </reference>
          <reference field="5" count="1" selected="0">
            <x v="0"/>
          </reference>
          <reference field="6" count="1" selected="0">
            <x v="8"/>
          </reference>
          <reference field="7" count="1" selected="0">
            <x v="205"/>
          </reference>
          <reference field="8" count="1">
            <x v="206"/>
          </reference>
        </references>
      </pivotArea>
    </format>
    <format dxfId="4099">
      <pivotArea dataOnly="0" labelOnly="1" fieldPosition="0">
        <references count="5">
          <reference field="1" count="1" selected="0">
            <x v="116"/>
          </reference>
          <reference field="5" count="1" selected="0">
            <x v="0"/>
          </reference>
          <reference field="6" count="1" selected="0">
            <x v="10"/>
          </reference>
          <reference field="7" count="1" selected="0">
            <x v="205"/>
          </reference>
          <reference field="8" count="1">
            <x v="524"/>
          </reference>
        </references>
      </pivotArea>
    </format>
    <format dxfId="4098">
      <pivotArea dataOnly="0" labelOnly="1" fieldPosition="0">
        <references count="5">
          <reference field="1" count="1" selected="0">
            <x v="116"/>
          </reference>
          <reference field="5" count="1" selected="0">
            <x v="0"/>
          </reference>
          <reference field="6" count="1" selected="0">
            <x v="12"/>
          </reference>
          <reference field="7" count="1" selected="0">
            <x v="24"/>
          </reference>
          <reference field="8" count="1">
            <x v="32"/>
          </reference>
        </references>
      </pivotArea>
    </format>
    <format dxfId="4097">
      <pivotArea dataOnly="0" labelOnly="1" fieldPosition="0">
        <references count="5">
          <reference field="1" count="1" selected="0">
            <x v="116"/>
          </reference>
          <reference field="5" count="1" selected="0">
            <x v="0"/>
          </reference>
          <reference field="6" count="1" selected="0">
            <x v="12"/>
          </reference>
          <reference field="7" count="1" selected="0">
            <x v="50"/>
          </reference>
          <reference field="8" count="1">
            <x v="352"/>
          </reference>
        </references>
      </pivotArea>
    </format>
    <format dxfId="4096">
      <pivotArea dataOnly="0" labelOnly="1" fieldPosition="0">
        <references count="5">
          <reference field="1" count="1" selected="0">
            <x v="116"/>
          </reference>
          <reference field="5" count="1" selected="0">
            <x v="5"/>
          </reference>
          <reference field="6" count="1" selected="0">
            <x v="38"/>
          </reference>
          <reference field="7" count="1" selected="0">
            <x v="205"/>
          </reference>
          <reference field="8" count="1">
            <x v="1171"/>
          </reference>
        </references>
      </pivotArea>
    </format>
    <format dxfId="4095">
      <pivotArea dataOnly="0" labelOnly="1" fieldPosition="0">
        <references count="5">
          <reference field="1" count="1" selected="0">
            <x v="116"/>
          </reference>
          <reference field="5" count="1" selected="0">
            <x v="8"/>
          </reference>
          <reference field="6" count="1" selected="0">
            <x v="38"/>
          </reference>
          <reference field="7" count="1" selected="0">
            <x v="205"/>
          </reference>
          <reference field="8" count="1">
            <x v="1407"/>
          </reference>
        </references>
      </pivotArea>
    </format>
    <format dxfId="4094">
      <pivotArea dataOnly="0" labelOnly="1" fieldPosition="0">
        <references count="5">
          <reference field="1" count="1" selected="0">
            <x v="116"/>
          </reference>
          <reference field="5" count="1" selected="0">
            <x v="12"/>
          </reference>
          <reference field="6" count="1" selected="0">
            <x v="1"/>
          </reference>
          <reference field="7" count="1" selected="0">
            <x v="205"/>
          </reference>
          <reference field="8" count="2">
            <x v="80"/>
            <x v="213"/>
          </reference>
        </references>
      </pivotArea>
    </format>
    <format dxfId="4093">
      <pivotArea dataOnly="0" labelOnly="1" fieldPosition="0">
        <references count="5">
          <reference field="1" count="1" selected="0">
            <x v="116"/>
          </reference>
          <reference field="5" count="1" selected="0">
            <x v="14"/>
          </reference>
          <reference field="6" count="1" selected="0">
            <x v="1"/>
          </reference>
          <reference field="7" count="1" selected="0">
            <x v="205"/>
          </reference>
          <reference field="8" count="1">
            <x v="764"/>
          </reference>
        </references>
      </pivotArea>
    </format>
    <format dxfId="4092">
      <pivotArea dataOnly="0" labelOnly="1" fieldPosition="0">
        <references count="5">
          <reference field="1" count="1" selected="0">
            <x v="116"/>
          </reference>
          <reference field="5" count="1" selected="0">
            <x v="14"/>
          </reference>
          <reference field="6" count="1" selected="0">
            <x v="38"/>
          </reference>
          <reference field="7" count="1" selected="0">
            <x v="205"/>
          </reference>
          <reference field="8" count="1">
            <x v="193"/>
          </reference>
        </references>
      </pivotArea>
    </format>
    <format dxfId="4091">
      <pivotArea dataOnly="0" labelOnly="1" fieldPosition="0">
        <references count="5">
          <reference field="1" count="1" selected="0">
            <x v="116"/>
          </reference>
          <reference field="5" count="1" selected="0">
            <x v="15"/>
          </reference>
          <reference field="6" count="1" selected="0">
            <x v="38"/>
          </reference>
          <reference field="7" count="1" selected="0">
            <x v="205"/>
          </reference>
          <reference field="8" count="1">
            <x v="1206"/>
          </reference>
        </references>
      </pivotArea>
    </format>
    <format dxfId="4090">
      <pivotArea dataOnly="0" labelOnly="1" fieldPosition="0">
        <references count="5">
          <reference field="1" count="1" selected="0">
            <x v="116"/>
          </reference>
          <reference field="5" count="1" selected="0">
            <x v="19"/>
          </reference>
          <reference field="6" count="1" selected="0">
            <x v="1"/>
          </reference>
          <reference field="7" count="1" selected="0">
            <x v="205"/>
          </reference>
          <reference field="8" count="1">
            <x v="1162"/>
          </reference>
        </references>
      </pivotArea>
    </format>
    <format dxfId="4089">
      <pivotArea dataOnly="0" labelOnly="1" fieldPosition="0">
        <references count="5">
          <reference field="1" count="1" selected="0">
            <x v="116"/>
          </reference>
          <reference field="5" count="1" selected="0">
            <x v="23"/>
          </reference>
          <reference field="6" count="1" selected="0">
            <x v="7"/>
          </reference>
          <reference field="7" count="1" selected="0">
            <x v="205"/>
          </reference>
          <reference field="8" count="1">
            <x v="1333"/>
          </reference>
        </references>
      </pivotArea>
    </format>
    <format dxfId="4088">
      <pivotArea dataOnly="0" labelOnly="1" fieldPosition="0">
        <references count="5">
          <reference field="1" count="1" selected="0">
            <x v="117"/>
          </reference>
          <reference field="5" count="1" selected="0">
            <x v="0"/>
          </reference>
          <reference field="6" count="1" selected="0">
            <x v="1"/>
          </reference>
          <reference field="7" count="1" selected="0">
            <x v="206"/>
          </reference>
          <reference field="8" count="1">
            <x v="80"/>
          </reference>
        </references>
      </pivotArea>
    </format>
    <format dxfId="4087">
      <pivotArea dataOnly="0" labelOnly="1" fieldPosition="0">
        <references count="5">
          <reference field="1" count="1" selected="0">
            <x v="117"/>
          </reference>
          <reference field="5" count="1" selected="0">
            <x v="0"/>
          </reference>
          <reference field="6" count="1" selected="0">
            <x v="10"/>
          </reference>
          <reference field="7" count="1" selected="0">
            <x v="206"/>
          </reference>
          <reference field="8" count="1">
            <x v="0"/>
          </reference>
        </references>
      </pivotArea>
    </format>
    <format dxfId="4086">
      <pivotArea dataOnly="0" labelOnly="1" fieldPosition="0">
        <references count="5">
          <reference field="1" count="1" selected="0">
            <x v="117"/>
          </reference>
          <reference field="5" count="1" selected="0">
            <x v="0"/>
          </reference>
          <reference field="6" count="1" selected="0">
            <x v="12"/>
          </reference>
          <reference field="7" count="1" selected="0">
            <x v="24"/>
          </reference>
          <reference field="8" count="1">
            <x v="32"/>
          </reference>
        </references>
      </pivotArea>
    </format>
    <format dxfId="4085">
      <pivotArea dataOnly="0" labelOnly="1" fieldPosition="0">
        <references count="5">
          <reference field="1" count="1" selected="0">
            <x v="117"/>
          </reference>
          <reference field="5" count="1" selected="0">
            <x v="0"/>
          </reference>
          <reference field="6" count="1" selected="0">
            <x v="12"/>
          </reference>
          <reference field="7" count="1" selected="0">
            <x v="32"/>
          </reference>
          <reference field="8" count="1">
            <x v="90"/>
          </reference>
        </references>
      </pivotArea>
    </format>
    <format dxfId="4084">
      <pivotArea dataOnly="0" labelOnly="1" fieldPosition="0">
        <references count="5">
          <reference field="1" count="1" selected="0">
            <x v="117"/>
          </reference>
          <reference field="5" count="1" selected="0">
            <x v="0"/>
          </reference>
          <reference field="6" count="1" selected="0">
            <x v="38"/>
          </reference>
          <reference field="7" count="1" selected="0">
            <x v="206"/>
          </reference>
          <reference field="8" count="1">
            <x v="262"/>
          </reference>
        </references>
      </pivotArea>
    </format>
    <format dxfId="4083">
      <pivotArea dataOnly="0" labelOnly="1" fieldPosition="0">
        <references count="5">
          <reference field="1" count="1" selected="0">
            <x v="117"/>
          </reference>
          <reference field="5" count="1" selected="0">
            <x v="3"/>
          </reference>
          <reference field="6" count="1" selected="0">
            <x v="38"/>
          </reference>
          <reference field="7" count="1" selected="0">
            <x v="206"/>
          </reference>
          <reference field="8" count="1">
            <x v="39"/>
          </reference>
        </references>
      </pivotArea>
    </format>
    <format dxfId="4082">
      <pivotArea dataOnly="0" labelOnly="1" fieldPosition="0">
        <references count="5">
          <reference field="1" count="1" selected="0">
            <x v="117"/>
          </reference>
          <reference field="5" count="1" selected="0">
            <x v="7"/>
          </reference>
          <reference field="6" count="1" selected="0">
            <x v="38"/>
          </reference>
          <reference field="7" count="1" selected="0">
            <x v="206"/>
          </reference>
          <reference field="8" count="1">
            <x v="633"/>
          </reference>
        </references>
      </pivotArea>
    </format>
    <format dxfId="4081">
      <pivotArea dataOnly="0" labelOnly="1" fieldPosition="0">
        <references count="5">
          <reference field="1" count="1" selected="0">
            <x v="117"/>
          </reference>
          <reference field="5" count="1" selected="0">
            <x v="10"/>
          </reference>
          <reference field="6" count="1" selected="0">
            <x v="6"/>
          </reference>
          <reference field="7" count="1" selected="0">
            <x v="206"/>
          </reference>
          <reference field="8" count="1">
            <x v="1870"/>
          </reference>
        </references>
      </pivotArea>
    </format>
    <format dxfId="4080">
      <pivotArea dataOnly="0" labelOnly="1" fieldPosition="0">
        <references count="5">
          <reference field="1" count="1" selected="0">
            <x v="117"/>
          </reference>
          <reference field="5" count="1" selected="0">
            <x v="12"/>
          </reference>
          <reference field="6" count="1" selected="0">
            <x v="1"/>
          </reference>
          <reference field="7" count="1" selected="0">
            <x v="206"/>
          </reference>
          <reference field="8" count="2">
            <x v="80"/>
            <x v="213"/>
          </reference>
        </references>
      </pivotArea>
    </format>
    <format dxfId="4079">
      <pivotArea dataOnly="0" labelOnly="1" fieldPosition="0">
        <references count="5">
          <reference field="1" count="1" selected="0">
            <x v="117"/>
          </reference>
          <reference field="5" count="1" selected="0">
            <x v="15"/>
          </reference>
          <reference field="6" count="1" selected="0">
            <x v="36"/>
          </reference>
          <reference field="7" count="1" selected="0">
            <x v="76"/>
          </reference>
          <reference field="8" count="1">
            <x v="0"/>
          </reference>
        </references>
      </pivotArea>
    </format>
    <format dxfId="4078">
      <pivotArea dataOnly="0" labelOnly="1" fieldPosition="0">
        <references count="5">
          <reference field="1" count="1" selected="0">
            <x v="117"/>
          </reference>
          <reference field="5" count="1" selected="0">
            <x v="24"/>
          </reference>
          <reference field="6" count="1" selected="0">
            <x v="1"/>
          </reference>
          <reference field="7" count="1" selected="0">
            <x v="206"/>
          </reference>
          <reference field="8" count="1">
            <x v="91"/>
          </reference>
        </references>
      </pivotArea>
    </format>
    <format dxfId="4077">
      <pivotArea dataOnly="0" labelOnly="1" fieldPosition="0">
        <references count="5">
          <reference field="1" count="1" selected="0">
            <x v="117"/>
          </reference>
          <reference field="5" count="1" selected="0">
            <x v="27"/>
          </reference>
          <reference field="6" count="1" selected="0">
            <x v="10"/>
          </reference>
          <reference field="7" count="1" selected="0">
            <x v="206"/>
          </reference>
          <reference field="8" count="1">
            <x v="433"/>
          </reference>
        </references>
      </pivotArea>
    </format>
    <format dxfId="4076">
      <pivotArea dataOnly="0" labelOnly="1" fieldPosition="0">
        <references count="5">
          <reference field="1" count="1" selected="0">
            <x v="117"/>
          </reference>
          <reference field="5" count="1" selected="0">
            <x v="35"/>
          </reference>
          <reference field="6" count="1" selected="0">
            <x v="1"/>
          </reference>
          <reference field="7" count="1" selected="0">
            <x v="206"/>
          </reference>
          <reference field="8" count="1">
            <x v="80"/>
          </reference>
        </references>
      </pivotArea>
    </format>
    <format dxfId="4075">
      <pivotArea dataOnly="0" labelOnly="1" fieldPosition="0">
        <references count="5">
          <reference field="1" count="1" selected="0">
            <x v="118"/>
          </reference>
          <reference field="5" count="1" selected="0">
            <x v="0"/>
          </reference>
          <reference field="6" count="1" selected="0">
            <x v="12"/>
          </reference>
          <reference field="7" count="1" selected="0">
            <x v="32"/>
          </reference>
          <reference field="8" count="1">
            <x v="90"/>
          </reference>
        </references>
      </pivotArea>
    </format>
    <format dxfId="4074">
      <pivotArea dataOnly="0" labelOnly="1" fieldPosition="0">
        <references count="5">
          <reference field="1" count="1" selected="0">
            <x v="118"/>
          </reference>
          <reference field="5" count="1" selected="0">
            <x v="0"/>
          </reference>
          <reference field="6" count="1" selected="0">
            <x v="38"/>
          </reference>
          <reference field="7" count="1" selected="0">
            <x v="207"/>
          </reference>
          <reference field="8" count="1">
            <x v="262"/>
          </reference>
        </references>
      </pivotArea>
    </format>
    <format dxfId="4073">
      <pivotArea dataOnly="0" labelOnly="1" fieldPosition="0">
        <references count="5">
          <reference field="1" count="1" selected="0">
            <x v="118"/>
          </reference>
          <reference field="5" count="1" selected="0">
            <x v="12"/>
          </reference>
          <reference field="6" count="1" selected="0">
            <x v="1"/>
          </reference>
          <reference field="7" count="1" selected="0">
            <x v="207"/>
          </reference>
          <reference field="8" count="4">
            <x v="80"/>
            <x v="213"/>
            <x v="352"/>
            <x v="500"/>
          </reference>
        </references>
      </pivotArea>
    </format>
    <format dxfId="4072">
      <pivotArea dataOnly="0" labelOnly="1" fieldPosition="0">
        <references count="5">
          <reference field="1" count="1" selected="0">
            <x v="118"/>
          </reference>
          <reference field="5" count="1" selected="0">
            <x v="26"/>
          </reference>
          <reference field="6" count="1" selected="0">
            <x v="37"/>
          </reference>
          <reference field="7" count="1" selected="0">
            <x v="207"/>
          </reference>
          <reference field="8" count="1">
            <x v="278"/>
          </reference>
        </references>
      </pivotArea>
    </format>
    <format dxfId="4071">
      <pivotArea dataOnly="0" labelOnly="1" fieldPosition="0">
        <references count="5">
          <reference field="1" count="1" selected="0">
            <x v="118"/>
          </reference>
          <reference field="5" count="1" selected="0">
            <x v="37"/>
          </reference>
          <reference field="6" count="1" selected="0">
            <x v="38"/>
          </reference>
          <reference field="7" count="1" selected="0">
            <x v="207"/>
          </reference>
          <reference field="8" count="1">
            <x v="1064"/>
          </reference>
        </references>
      </pivotArea>
    </format>
    <format dxfId="4070">
      <pivotArea dataOnly="0" labelOnly="1" fieldPosition="0">
        <references count="5">
          <reference field="1" count="1" selected="0">
            <x v="119"/>
          </reference>
          <reference field="5" count="1" selected="0">
            <x v="0"/>
          </reference>
          <reference field="6" count="1" selected="0">
            <x v="12"/>
          </reference>
          <reference field="7" count="1" selected="0">
            <x v="52"/>
          </reference>
          <reference field="8" count="1">
            <x v="57"/>
          </reference>
        </references>
      </pivotArea>
    </format>
    <format dxfId="4069">
      <pivotArea dataOnly="0" labelOnly="1" fieldPosition="0">
        <references count="5">
          <reference field="1" count="1" selected="0">
            <x v="119"/>
          </reference>
          <reference field="5" count="1" selected="0">
            <x v="0"/>
          </reference>
          <reference field="6" count="1" selected="0">
            <x v="12"/>
          </reference>
          <reference field="7" count="1" selected="0">
            <x v="65"/>
          </reference>
          <reference field="8" count="1">
            <x v="9"/>
          </reference>
        </references>
      </pivotArea>
    </format>
    <format dxfId="4068">
      <pivotArea dataOnly="0" labelOnly="1" fieldPosition="0">
        <references count="5">
          <reference field="1" count="1" selected="0">
            <x v="119"/>
          </reference>
          <reference field="5" count="1" selected="0">
            <x v="0"/>
          </reference>
          <reference field="6" count="1" selected="0">
            <x v="12"/>
          </reference>
          <reference field="7" count="1" selected="0">
            <x v="72"/>
          </reference>
          <reference field="8" count="1">
            <x v="13"/>
          </reference>
        </references>
      </pivotArea>
    </format>
    <format dxfId="4067">
      <pivotArea dataOnly="0" labelOnly="1" fieldPosition="0">
        <references count="5">
          <reference field="1" count="1" selected="0">
            <x v="120"/>
          </reference>
          <reference field="5" count="1" selected="0">
            <x v="0"/>
          </reference>
          <reference field="6" count="1" selected="0">
            <x v="1"/>
          </reference>
          <reference field="7" count="1" selected="0">
            <x v="208"/>
          </reference>
          <reference field="8" count="1">
            <x v="80"/>
          </reference>
        </references>
      </pivotArea>
    </format>
    <format dxfId="4066">
      <pivotArea dataOnly="0" labelOnly="1" fieldPosition="0">
        <references count="5">
          <reference field="1" count="1" selected="0">
            <x v="120"/>
          </reference>
          <reference field="5" count="1" selected="0">
            <x v="0"/>
          </reference>
          <reference field="6" count="1" selected="0">
            <x v="6"/>
          </reference>
          <reference field="7" count="1" selected="0">
            <x v="208"/>
          </reference>
          <reference field="8" count="1">
            <x v="469"/>
          </reference>
        </references>
      </pivotArea>
    </format>
    <format dxfId="4065">
      <pivotArea dataOnly="0" labelOnly="1" fieldPosition="0">
        <references count="5">
          <reference field="1" count="1" selected="0">
            <x v="120"/>
          </reference>
          <reference field="5" count="1" selected="0">
            <x v="0"/>
          </reference>
          <reference field="6" count="1" selected="0">
            <x v="38"/>
          </reference>
          <reference field="7" count="1" selected="0">
            <x v="208"/>
          </reference>
          <reference field="8" count="1">
            <x v="1256"/>
          </reference>
        </references>
      </pivotArea>
    </format>
    <format dxfId="4064">
      <pivotArea dataOnly="0" labelOnly="1" fieldPosition="0">
        <references count="5">
          <reference field="1" count="1" selected="0">
            <x v="120"/>
          </reference>
          <reference field="5" count="1" selected="0">
            <x v="2"/>
          </reference>
          <reference field="6" count="1" selected="0">
            <x v="1"/>
          </reference>
          <reference field="7" count="1" selected="0">
            <x v="208"/>
          </reference>
          <reference field="8" count="1">
            <x v="970"/>
          </reference>
        </references>
      </pivotArea>
    </format>
    <format dxfId="4063">
      <pivotArea dataOnly="0" labelOnly="1" fieldPosition="0">
        <references count="5">
          <reference field="1" count="1" selected="0">
            <x v="120"/>
          </reference>
          <reference field="5" count="1" selected="0">
            <x v="2"/>
          </reference>
          <reference field="6" count="1" selected="0">
            <x v="10"/>
          </reference>
          <reference field="7" count="1" selected="0">
            <x v="208"/>
          </reference>
          <reference field="8" count="1">
            <x v="1819"/>
          </reference>
        </references>
      </pivotArea>
    </format>
    <format dxfId="4062">
      <pivotArea dataOnly="0" labelOnly="1" fieldPosition="0">
        <references count="5">
          <reference field="1" count="1" selected="0">
            <x v="120"/>
          </reference>
          <reference field="5" count="1" selected="0">
            <x v="3"/>
          </reference>
          <reference field="6" count="1" selected="0">
            <x v="38"/>
          </reference>
          <reference field="7" count="1" selected="0">
            <x v="208"/>
          </reference>
          <reference field="8" count="1">
            <x v="109"/>
          </reference>
        </references>
      </pivotArea>
    </format>
    <format dxfId="4061">
      <pivotArea dataOnly="0" labelOnly="1" fieldPosition="0">
        <references count="5">
          <reference field="1" count="1" selected="0">
            <x v="120"/>
          </reference>
          <reference field="5" count="1" selected="0">
            <x v="5"/>
          </reference>
          <reference field="6" count="1" selected="0">
            <x v="38"/>
          </reference>
          <reference field="7" count="1" selected="0">
            <x v="208"/>
          </reference>
          <reference field="8" count="1">
            <x v="278"/>
          </reference>
        </references>
      </pivotArea>
    </format>
    <format dxfId="4060">
      <pivotArea dataOnly="0" labelOnly="1" fieldPosition="0">
        <references count="5">
          <reference field="1" count="1" selected="0">
            <x v="120"/>
          </reference>
          <reference field="5" count="1" selected="0">
            <x v="7"/>
          </reference>
          <reference field="6" count="1" selected="0">
            <x v="38"/>
          </reference>
          <reference field="7" count="1" selected="0">
            <x v="208"/>
          </reference>
          <reference field="8" count="1">
            <x v="539"/>
          </reference>
        </references>
      </pivotArea>
    </format>
    <format dxfId="4059">
      <pivotArea dataOnly="0" labelOnly="1" fieldPosition="0">
        <references count="5">
          <reference field="1" count="1" selected="0">
            <x v="120"/>
          </reference>
          <reference field="5" count="1" selected="0">
            <x v="8"/>
          </reference>
          <reference field="6" count="1" selected="0">
            <x v="38"/>
          </reference>
          <reference field="7" count="1" selected="0">
            <x v="208"/>
          </reference>
          <reference field="8" count="1">
            <x v="1310"/>
          </reference>
        </references>
      </pivotArea>
    </format>
    <format dxfId="4058">
      <pivotArea dataOnly="0" labelOnly="1" fieldPosition="0">
        <references count="5">
          <reference field="1" count="1" selected="0">
            <x v="120"/>
          </reference>
          <reference field="5" count="1" selected="0">
            <x v="12"/>
          </reference>
          <reference field="6" count="1" selected="0">
            <x v="1"/>
          </reference>
          <reference field="7" count="1" selected="0">
            <x v="208"/>
          </reference>
          <reference field="8" count="5">
            <x v="213"/>
            <x v="500"/>
            <x v="771"/>
            <x v="911"/>
            <x v="1028"/>
          </reference>
        </references>
      </pivotArea>
    </format>
    <format dxfId="4057">
      <pivotArea dataOnly="0" labelOnly="1" fieldPosition="0">
        <references count="5">
          <reference field="1" count="1" selected="0">
            <x v="120"/>
          </reference>
          <reference field="5" count="1" selected="0">
            <x v="12"/>
          </reference>
          <reference field="6" count="1" selected="0">
            <x v="38"/>
          </reference>
          <reference field="7" count="1" selected="0">
            <x v="208"/>
          </reference>
          <reference field="8" count="2">
            <x v="1414"/>
            <x v="1528"/>
          </reference>
        </references>
      </pivotArea>
    </format>
    <format dxfId="4056">
      <pivotArea dataOnly="0" labelOnly="1" fieldPosition="0">
        <references count="5">
          <reference field="1" count="1" selected="0">
            <x v="120"/>
          </reference>
          <reference field="5" count="1" selected="0">
            <x v="23"/>
          </reference>
          <reference field="6" count="1" selected="0">
            <x v="6"/>
          </reference>
          <reference field="7" count="1" selected="0">
            <x v="208"/>
          </reference>
          <reference field="8" count="1">
            <x v="277"/>
          </reference>
        </references>
      </pivotArea>
    </format>
    <format dxfId="4055">
      <pivotArea dataOnly="0" labelOnly="1" fieldPosition="0">
        <references count="5">
          <reference field="1" count="1" selected="0">
            <x v="120"/>
          </reference>
          <reference field="5" count="1" selected="0">
            <x v="27"/>
          </reference>
          <reference field="6" count="1" selected="0">
            <x v="38"/>
          </reference>
          <reference field="7" count="1" selected="0">
            <x v="208"/>
          </reference>
          <reference field="8" count="1">
            <x v="109"/>
          </reference>
        </references>
      </pivotArea>
    </format>
    <format dxfId="4054">
      <pivotArea dataOnly="0" labelOnly="1" fieldPosition="0">
        <references count="5">
          <reference field="1" count="1" selected="0">
            <x v="120"/>
          </reference>
          <reference field="5" count="1" selected="0">
            <x v="35"/>
          </reference>
          <reference field="6" count="1" selected="0">
            <x v="1"/>
          </reference>
          <reference field="7" count="1" selected="0">
            <x v="208"/>
          </reference>
          <reference field="8" count="2">
            <x v="80"/>
            <x v="213"/>
          </reference>
        </references>
      </pivotArea>
    </format>
    <format dxfId="4053">
      <pivotArea dataOnly="0" labelOnly="1" fieldPosition="0">
        <references count="5">
          <reference field="1" count="1" selected="0">
            <x v="120"/>
          </reference>
          <reference field="5" count="1" selected="0">
            <x v="35"/>
          </reference>
          <reference field="6" count="1" selected="0">
            <x v="38"/>
          </reference>
          <reference field="7" count="1" selected="0">
            <x v="208"/>
          </reference>
          <reference field="8" count="1">
            <x v="1465"/>
          </reference>
        </references>
      </pivotArea>
    </format>
    <format dxfId="4052">
      <pivotArea dataOnly="0" labelOnly="1" fieldPosition="0">
        <references count="5">
          <reference field="1" count="1" selected="0">
            <x v="121"/>
          </reference>
          <reference field="5" count="1" selected="0">
            <x v="0"/>
          </reference>
          <reference field="6" count="1" selected="0">
            <x v="8"/>
          </reference>
          <reference field="7" count="1" selected="0">
            <x v="209"/>
          </reference>
          <reference field="8" count="5">
            <x v="98"/>
            <x v="162"/>
            <x v="351"/>
            <x v="353"/>
            <x v="1114"/>
          </reference>
        </references>
      </pivotArea>
    </format>
    <format dxfId="4051">
      <pivotArea dataOnly="0" labelOnly="1" fieldPosition="0">
        <references count="5">
          <reference field="1" count="1" selected="0">
            <x v="121"/>
          </reference>
          <reference field="5" count="1" selected="0">
            <x v="0"/>
          </reference>
          <reference field="6" count="1" selected="0">
            <x v="9"/>
          </reference>
          <reference field="7" count="1" selected="0">
            <x v="209"/>
          </reference>
          <reference field="8" count="13">
            <x v="284"/>
            <x v="380"/>
            <x v="420"/>
            <x v="443"/>
            <x v="489"/>
            <x v="592"/>
            <x v="837"/>
            <x v="879"/>
            <x v="921"/>
            <x v="957"/>
            <x v="966"/>
            <x v="1053"/>
            <x v="1322"/>
          </reference>
        </references>
      </pivotArea>
    </format>
    <format dxfId="4050">
      <pivotArea dataOnly="0" labelOnly="1" fieldPosition="0">
        <references count="5">
          <reference field="1" count="1" selected="0">
            <x v="121"/>
          </reference>
          <reference field="5" count="1" selected="0">
            <x v="0"/>
          </reference>
          <reference field="6" count="1" selected="0">
            <x v="12"/>
          </reference>
          <reference field="7" count="1" selected="0">
            <x v="43"/>
          </reference>
          <reference field="8" count="1">
            <x v="9"/>
          </reference>
        </references>
      </pivotArea>
    </format>
    <format dxfId="4049">
      <pivotArea dataOnly="0" labelOnly="1" fieldPosition="0">
        <references count="5">
          <reference field="1" count="1" selected="0">
            <x v="121"/>
          </reference>
          <reference field="5" count="1" selected="0">
            <x v="2"/>
          </reference>
          <reference field="6" count="1" selected="0">
            <x v="8"/>
          </reference>
          <reference field="7" count="1" selected="0">
            <x v="209"/>
          </reference>
          <reference field="8" count="1">
            <x v="583"/>
          </reference>
        </references>
      </pivotArea>
    </format>
    <format dxfId="4048">
      <pivotArea dataOnly="0" labelOnly="1" fieldPosition="0">
        <references count="5">
          <reference field="1" count="1" selected="0">
            <x v="121"/>
          </reference>
          <reference field="5" count="1" selected="0">
            <x v="5"/>
          </reference>
          <reference field="6" count="1" selected="0">
            <x v="38"/>
          </reference>
          <reference field="7" count="1" selected="0">
            <x v="209"/>
          </reference>
          <reference field="8" count="1">
            <x v="784"/>
          </reference>
        </references>
      </pivotArea>
    </format>
    <format dxfId="4047">
      <pivotArea dataOnly="0" labelOnly="1" fieldPosition="0">
        <references count="5">
          <reference field="1" count="1" selected="0">
            <x v="121"/>
          </reference>
          <reference field="5" count="1" selected="0">
            <x v="11"/>
          </reference>
          <reference field="6" count="1" selected="0">
            <x v="8"/>
          </reference>
          <reference field="7" count="1" selected="0">
            <x v="209"/>
          </reference>
          <reference field="8" count="1">
            <x v="857"/>
          </reference>
        </references>
      </pivotArea>
    </format>
    <format dxfId="4046">
      <pivotArea dataOnly="0" labelOnly="1" fieldPosition="0">
        <references count="5">
          <reference field="1" count="1" selected="0">
            <x v="121"/>
          </reference>
          <reference field="5" count="1" selected="0">
            <x v="12"/>
          </reference>
          <reference field="6" count="1" selected="0">
            <x v="1"/>
          </reference>
          <reference field="7" count="1" selected="0">
            <x v="209"/>
          </reference>
          <reference field="8" count="3">
            <x v="80"/>
            <x v="352"/>
            <x v="702"/>
          </reference>
        </references>
      </pivotArea>
    </format>
    <format dxfId="4045">
      <pivotArea dataOnly="0" labelOnly="1" fieldPosition="0">
        <references count="5">
          <reference field="1" count="1" selected="0">
            <x v="121"/>
          </reference>
          <reference field="5" count="1" selected="0">
            <x v="15"/>
          </reference>
          <reference field="6" count="1" selected="0">
            <x v="8"/>
          </reference>
          <reference field="7" count="1" selected="0">
            <x v="209"/>
          </reference>
          <reference field="8" count="1">
            <x v="1059"/>
          </reference>
        </references>
      </pivotArea>
    </format>
    <format dxfId="4044">
      <pivotArea dataOnly="0" labelOnly="1" fieldPosition="0">
        <references count="5">
          <reference field="1" count="1" selected="0">
            <x v="121"/>
          </reference>
          <reference field="5" count="1" selected="0">
            <x v="15"/>
          </reference>
          <reference field="6" count="1" selected="0">
            <x v="9"/>
          </reference>
          <reference field="7" count="1" selected="0">
            <x v="209"/>
          </reference>
          <reference field="8" count="1">
            <x v="248"/>
          </reference>
        </references>
      </pivotArea>
    </format>
    <format dxfId="4043">
      <pivotArea dataOnly="0" labelOnly="1" fieldPosition="0">
        <references count="5">
          <reference field="1" count="1" selected="0">
            <x v="121"/>
          </reference>
          <reference field="5" count="1" selected="0">
            <x v="15"/>
          </reference>
          <reference field="6" count="1" selected="0">
            <x v="38"/>
          </reference>
          <reference field="7" count="1" selected="0">
            <x v="209"/>
          </reference>
          <reference field="8" count="1">
            <x v="1036"/>
          </reference>
        </references>
      </pivotArea>
    </format>
    <format dxfId="4042">
      <pivotArea dataOnly="0" labelOnly="1" fieldPosition="0">
        <references count="5">
          <reference field="1" count="1" selected="0">
            <x v="121"/>
          </reference>
          <reference field="5" count="1" selected="0">
            <x v="17"/>
          </reference>
          <reference field="6" count="1" selected="0">
            <x v="6"/>
          </reference>
          <reference field="7" count="1" selected="0">
            <x v="209"/>
          </reference>
          <reference field="8" count="1">
            <x v="1788"/>
          </reference>
        </references>
      </pivotArea>
    </format>
    <format dxfId="4041">
      <pivotArea dataOnly="0" labelOnly="1" fieldPosition="0">
        <references count="5">
          <reference field="1" count="1" selected="0">
            <x v="121"/>
          </reference>
          <reference field="5" count="1" selected="0">
            <x v="17"/>
          </reference>
          <reference field="6" count="1" selected="0">
            <x v="9"/>
          </reference>
          <reference field="7" count="1" selected="0">
            <x v="209"/>
          </reference>
          <reference field="8" count="1">
            <x v="464"/>
          </reference>
        </references>
      </pivotArea>
    </format>
    <format dxfId="4040">
      <pivotArea dataOnly="0" labelOnly="1" fieldPosition="0">
        <references count="5">
          <reference field="1" count="1" selected="0">
            <x v="121"/>
          </reference>
          <reference field="5" count="1" selected="0">
            <x v="19"/>
          </reference>
          <reference field="6" count="1" selected="0">
            <x v="10"/>
          </reference>
          <reference field="7" count="1" selected="0">
            <x v="209"/>
          </reference>
          <reference field="8" count="1">
            <x v="0"/>
          </reference>
        </references>
      </pivotArea>
    </format>
    <format dxfId="4039">
      <pivotArea dataOnly="0" labelOnly="1" fieldPosition="0">
        <references count="5">
          <reference field="1" count="1" selected="0">
            <x v="121"/>
          </reference>
          <reference field="5" count="1" selected="0">
            <x v="23"/>
          </reference>
          <reference field="6" count="1" selected="0">
            <x v="7"/>
          </reference>
          <reference field="7" count="1" selected="0">
            <x v="209"/>
          </reference>
          <reference field="8" count="1">
            <x v="1093"/>
          </reference>
        </references>
      </pivotArea>
    </format>
    <format dxfId="4038">
      <pivotArea dataOnly="0" labelOnly="1" fieldPosition="0">
        <references count="5">
          <reference field="1" count="1" selected="0">
            <x v="121"/>
          </reference>
          <reference field="5" count="1" selected="0">
            <x v="23"/>
          </reference>
          <reference field="6" count="1" selected="0">
            <x v="9"/>
          </reference>
          <reference field="7" count="1" selected="0">
            <x v="209"/>
          </reference>
          <reference field="8" count="1">
            <x v="1347"/>
          </reference>
        </references>
      </pivotArea>
    </format>
    <format dxfId="4037">
      <pivotArea dataOnly="0" labelOnly="1" fieldPosition="0">
        <references count="5">
          <reference field="1" count="1" selected="0">
            <x v="121"/>
          </reference>
          <reference field="5" count="1" selected="0">
            <x v="25"/>
          </reference>
          <reference field="6" count="1" selected="0">
            <x v="9"/>
          </reference>
          <reference field="7" count="1" selected="0">
            <x v="209"/>
          </reference>
          <reference field="8" count="1">
            <x v="1073"/>
          </reference>
        </references>
      </pivotArea>
    </format>
    <format dxfId="4036">
      <pivotArea dataOnly="0" labelOnly="1" fieldPosition="0">
        <references count="5">
          <reference field="1" count="1" selected="0">
            <x v="121"/>
          </reference>
          <reference field="5" count="1" selected="0">
            <x v="35"/>
          </reference>
          <reference field="6" count="1" selected="0">
            <x v="1"/>
          </reference>
          <reference field="7" count="1" selected="0">
            <x v="209"/>
          </reference>
          <reference field="8" count="1">
            <x v="80"/>
          </reference>
        </references>
      </pivotArea>
    </format>
    <format dxfId="4035">
      <pivotArea dataOnly="0" labelOnly="1" fieldPosition="0">
        <references count="5">
          <reference field="1" count="1" selected="0">
            <x v="121"/>
          </reference>
          <reference field="5" count="1" selected="0">
            <x v="36"/>
          </reference>
          <reference field="6" count="1" selected="0">
            <x v="9"/>
          </reference>
          <reference field="7" count="1" selected="0">
            <x v="209"/>
          </reference>
          <reference field="8" count="1">
            <x v="804"/>
          </reference>
        </references>
      </pivotArea>
    </format>
    <format dxfId="4034">
      <pivotArea dataOnly="0" labelOnly="1" fieldPosition="0">
        <references count="5">
          <reference field="1" count="1" selected="0">
            <x v="122"/>
          </reference>
          <reference field="5" count="1" selected="0">
            <x v="0"/>
          </reference>
          <reference field="6" count="1" selected="0">
            <x v="10"/>
          </reference>
          <reference field="7" count="1" selected="0">
            <x v="210"/>
          </reference>
          <reference field="8" count="1">
            <x v="0"/>
          </reference>
        </references>
      </pivotArea>
    </format>
    <format dxfId="4033">
      <pivotArea dataOnly="0" labelOnly="1" fieldPosition="0">
        <references count="5">
          <reference field="1" count="1" selected="0">
            <x v="122"/>
          </reference>
          <reference field="5" count="1" selected="0">
            <x v="0"/>
          </reference>
          <reference field="6" count="1" selected="0">
            <x v="12"/>
          </reference>
          <reference field="7" count="1" selected="0">
            <x v="30"/>
          </reference>
          <reference field="8" count="1">
            <x v="11"/>
          </reference>
        </references>
      </pivotArea>
    </format>
    <format dxfId="4032">
      <pivotArea dataOnly="0" labelOnly="1" fieldPosition="0">
        <references count="5">
          <reference field="1" count="1" selected="0">
            <x v="122"/>
          </reference>
          <reference field="5" count="1" selected="0">
            <x v="0"/>
          </reference>
          <reference field="6" count="1" selected="0">
            <x v="12"/>
          </reference>
          <reference field="7" count="1" selected="0">
            <x v="42"/>
          </reference>
          <reference field="8" count="1">
            <x v="69"/>
          </reference>
        </references>
      </pivotArea>
    </format>
    <format dxfId="4031">
      <pivotArea dataOnly="0" labelOnly="1" fieldPosition="0">
        <references count="5">
          <reference field="1" count="1" selected="0">
            <x v="122"/>
          </reference>
          <reference field="5" count="1" selected="0">
            <x v="7"/>
          </reference>
          <reference field="6" count="1" selected="0">
            <x v="6"/>
          </reference>
          <reference field="7" count="1" selected="0">
            <x v="210"/>
          </reference>
          <reference field="8" count="1">
            <x v="719"/>
          </reference>
        </references>
      </pivotArea>
    </format>
    <format dxfId="4030">
      <pivotArea dataOnly="0" labelOnly="1" fieldPosition="0">
        <references count="5">
          <reference field="1" count="1" selected="0">
            <x v="122"/>
          </reference>
          <reference field="5" count="1" selected="0">
            <x v="8"/>
          </reference>
          <reference field="6" count="1" selected="0">
            <x v="38"/>
          </reference>
          <reference field="7" count="1" selected="0">
            <x v="210"/>
          </reference>
          <reference field="8" count="1">
            <x v="1144"/>
          </reference>
        </references>
      </pivotArea>
    </format>
    <format dxfId="4029">
      <pivotArea dataOnly="0" labelOnly="1" fieldPosition="0">
        <references count="5">
          <reference field="1" count="1" selected="0">
            <x v="122"/>
          </reference>
          <reference field="5" count="1" selected="0">
            <x v="12"/>
          </reference>
          <reference field="6" count="1" selected="0">
            <x v="1"/>
          </reference>
          <reference field="7" count="1" selected="0">
            <x v="210"/>
          </reference>
          <reference field="8" count="5">
            <x v="80"/>
            <x v="213"/>
            <x v="702"/>
            <x v="911"/>
            <x v="1114"/>
          </reference>
        </references>
      </pivotArea>
    </format>
    <format dxfId="4028">
      <pivotArea dataOnly="0" labelOnly="1" fieldPosition="0">
        <references count="5">
          <reference field="1" count="1" selected="0">
            <x v="122"/>
          </reference>
          <reference field="5" count="1" selected="0">
            <x v="17"/>
          </reference>
          <reference field="6" count="1" selected="0">
            <x v="6"/>
          </reference>
          <reference field="7" count="1" selected="0">
            <x v="210"/>
          </reference>
          <reference field="8" count="1">
            <x v="1627"/>
          </reference>
        </references>
      </pivotArea>
    </format>
    <format dxfId="4027">
      <pivotArea dataOnly="0" labelOnly="1" fieldPosition="0">
        <references count="5">
          <reference field="1" count="1" selected="0">
            <x v="122"/>
          </reference>
          <reference field="5" count="1" selected="0">
            <x v="18"/>
          </reference>
          <reference field="6" count="1" selected="0">
            <x v="38"/>
          </reference>
          <reference field="7" count="1" selected="0">
            <x v="210"/>
          </reference>
          <reference field="8" count="1">
            <x v="1337"/>
          </reference>
        </references>
      </pivotArea>
    </format>
    <format dxfId="4026">
      <pivotArea dataOnly="0" labelOnly="1" fieldPosition="0">
        <references count="5">
          <reference field="1" count="1" selected="0">
            <x v="122"/>
          </reference>
          <reference field="5" count="1" selected="0">
            <x v="19"/>
          </reference>
          <reference field="6" count="1" selected="0">
            <x v="6"/>
          </reference>
          <reference field="7" count="1" selected="0">
            <x v="210"/>
          </reference>
          <reference field="8" count="1">
            <x v="1288"/>
          </reference>
        </references>
      </pivotArea>
    </format>
    <format dxfId="4025">
      <pivotArea dataOnly="0" labelOnly="1" fieldPosition="0">
        <references count="5">
          <reference field="1" count="1" selected="0">
            <x v="122"/>
          </reference>
          <reference field="5" count="1" selected="0">
            <x v="23"/>
          </reference>
          <reference field="6" count="1" selected="0">
            <x v="38"/>
          </reference>
          <reference field="7" count="1" selected="0">
            <x v="210"/>
          </reference>
          <reference field="8" count="1">
            <x v="38"/>
          </reference>
        </references>
      </pivotArea>
    </format>
    <format dxfId="4024">
      <pivotArea dataOnly="0" labelOnly="1" fieldPosition="0">
        <references count="5">
          <reference field="1" count="1" selected="0">
            <x v="122"/>
          </reference>
          <reference field="5" count="1" selected="0">
            <x v="32"/>
          </reference>
          <reference field="6" count="1" selected="0">
            <x v="6"/>
          </reference>
          <reference field="7" count="1" selected="0">
            <x v="210"/>
          </reference>
          <reference field="8" count="1">
            <x v="1875"/>
          </reference>
        </references>
      </pivotArea>
    </format>
    <format dxfId="4023">
      <pivotArea dataOnly="0" labelOnly="1" fieldPosition="0">
        <references count="5">
          <reference field="1" count="1" selected="0">
            <x v="123"/>
          </reference>
          <reference field="5" count="1" selected="0">
            <x v="5"/>
          </reference>
          <reference field="6" count="1" selected="0">
            <x v="37"/>
          </reference>
          <reference field="7" count="1" selected="0">
            <x v="211"/>
          </reference>
          <reference field="8" count="1">
            <x v="1824"/>
          </reference>
        </references>
      </pivotArea>
    </format>
    <format dxfId="4022">
      <pivotArea dataOnly="0" labelOnly="1" fieldPosition="0">
        <references count="5">
          <reference field="1" count="1" selected="0">
            <x v="123"/>
          </reference>
          <reference field="5" count="1" selected="0">
            <x v="6"/>
          </reference>
          <reference field="6" count="1" selected="0">
            <x v="38"/>
          </reference>
          <reference field="7" count="1" selected="0">
            <x v="211"/>
          </reference>
          <reference field="8" count="1">
            <x v="982"/>
          </reference>
        </references>
      </pivotArea>
    </format>
    <format dxfId="4021">
      <pivotArea dataOnly="0" labelOnly="1" fieldPosition="0">
        <references count="5">
          <reference field="1" count="1" selected="0">
            <x v="123"/>
          </reference>
          <reference field="5" count="1" selected="0">
            <x v="12"/>
          </reference>
          <reference field="6" count="1" selected="0">
            <x v="1"/>
          </reference>
          <reference field="7" count="1" selected="0">
            <x v="211"/>
          </reference>
          <reference field="8" count="2">
            <x v="80"/>
            <x v="352"/>
          </reference>
        </references>
      </pivotArea>
    </format>
    <format dxfId="4020">
      <pivotArea dataOnly="0" labelOnly="1" fieldPosition="0">
        <references count="5">
          <reference field="1" count="1" selected="0">
            <x v="123"/>
          </reference>
          <reference field="5" count="1" selected="0">
            <x v="14"/>
          </reference>
          <reference field="6" count="1" selected="0">
            <x v="1"/>
          </reference>
          <reference field="7" count="1" selected="0">
            <x v="211"/>
          </reference>
          <reference field="8" count="1">
            <x v="605"/>
          </reference>
        </references>
      </pivotArea>
    </format>
    <format dxfId="4019">
      <pivotArea dataOnly="0" labelOnly="1" fieldPosition="0">
        <references count="5">
          <reference field="1" count="1" selected="0">
            <x v="123"/>
          </reference>
          <reference field="5" count="1" selected="0">
            <x v="14"/>
          </reference>
          <reference field="6" count="1" selected="0">
            <x v="9"/>
          </reference>
          <reference field="7" count="1" selected="0">
            <x v="211"/>
          </reference>
          <reference field="8" count="1">
            <x v="0"/>
          </reference>
        </references>
      </pivotArea>
    </format>
    <format dxfId="4018">
      <pivotArea dataOnly="0" labelOnly="1" fieldPosition="0">
        <references count="5">
          <reference field="1" count="1" selected="0">
            <x v="123"/>
          </reference>
          <reference field="5" count="1" selected="0">
            <x v="15"/>
          </reference>
          <reference field="6" count="1" selected="0">
            <x v="10"/>
          </reference>
          <reference field="7" count="1" selected="0">
            <x v="211"/>
          </reference>
          <reference field="8" count="1">
            <x v="31"/>
          </reference>
        </references>
      </pivotArea>
    </format>
    <format dxfId="4017">
      <pivotArea dataOnly="0" labelOnly="1" fieldPosition="0">
        <references count="5">
          <reference field="1" count="1" selected="0">
            <x v="123"/>
          </reference>
          <reference field="5" count="1" selected="0">
            <x v="27"/>
          </reference>
          <reference field="6" count="1" selected="0">
            <x v="6"/>
          </reference>
          <reference field="7" count="1" selected="0">
            <x v="211"/>
          </reference>
          <reference field="8" count="1">
            <x v="1532"/>
          </reference>
        </references>
      </pivotArea>
    </format>
    <format dxfId="4016">
      <pivotArea dataOnly="0" labelOnly="1" fieldPosition="0">
        <references count="5">
          <reference field="1" count="1" selected="0">
            <x v="123"/>
          </reference>
          <reference field="5" count="1" selected="0">
            <x v="29"/>
          </reference>
          <reference field="6" count="1" selected="0">
            <x v="10"/>
          </reference>
          <reference field="7" count="1" selected="0">
            <x v="211"/>
          </reference>
          <reference field="8" count="1">
            <x v="1839"/>
          </reference>
        </references>
      </pivotArea>
    </format>
    <format dxfId="4015">
      <pivotArea dataOnly="0" labelOnly="1" fieldPosition="0">
        <references count="5">
          <reference field="1" count="1" selected="0">
            <x v="123"/>
          </reference>
          <reference field="5" count="1" selected="0">
            <x v="35"/>
          </reference>
          <reference field="6" count="1" selected="0">
            <x v="1"/>
          </reference>
          <reference field="7" count="1" selected="0">
            <x v="211"/>
          </reference>
          <reference field="8" count="1">
            <x v="80"/>
          </reference>
        </references>
      </pivotArea>
    </format>
    <format dxfId="4014">
      <pivotArea dataOnly="0" labelOnly="1" fieldPosition="0">
        <references count="5">
          <reference field="1" count="1" selected="0">
            <x v="123"/>
          </reference>
          <reference field="5" count="1" selected="0">
            <x v="37"/>
          </reference>
          <reference field="6" count="1" selected="0">
            <x v="10"/>
          </reference>
          <reference field="7" count="1" selected="0">
            <x v="211"/>
          </reference>
          <reference field="8" count="1">
            <x v="1321"/>
          </reference>
        </references>
      </pivotArea>
    </format>
    <format dxfId="4013">
      <pivotArea dataOnly="0" labelOnly="1" fieldPosition="0">
        <references count="5">
          <reference field="1" count="1" selected="0">
            <x v="124"/>
          </reference>
          <reference field="5" count="1" selected="0">
            <x v="0"/>
          </reference>
          <reference field="6" count="1" selected="0">
            <x v="12"/>
          </reference>
          <reference field="7" count="1" selected="0">
            <x v="38"/>
          </reference>
          <reference field="8" count="1">
            <x v="11"/>
          </reference>
        </references>
      </pivotArea>
    </format>
    <format dxfId="4012">
      <pivotArea dataOnly="0" labelOnly="1" fieldPosition="0">
        <references count="5">
          <reference field="1" count="1" selected="0">
            <x v="124"/>
          </reference>
          <reference field="5" count="1" selected="0">
            <x v="0"/>
          </reference>
          <reference field="6" count="1" selected="0">
            <x v="12"/>
          </reference>
          <reference field="7" count="1" selected="0">
            <x v="64"/>
          </reference>
          <reference field="8" count="1">
            <x v="53"/>
          </reference>
        </references>
      </pivotArea>
    </format>
    <format dxfId="4011">
      <pivotArea dataOnly="0" labelOnly="1" fieldPosition="0">
        <references count="5">
          <reference field="1" count="1" selected="0">
            <x v="124"/>
          </reference>
          <reference field="5" count="1" selected="0">
            <x v="0"/>
          </reference>
          <reference field="6" count="1" selected="0">
            <x v="38"/>
          </reference>
          <reference field="7" count="1" selected="0">
            <x v="212"/>
          </reference>
          <reference field="8" count="1">
            <x v="138"/>
          </reference>
        </references>
      </pivotArea>
    </format>
    <format dxfId="4010">
      <pivotArea dataOnly="0" labelOnly="1" fieldPosition="0">
        <references count="5">
          <reference field="1" count="1" selected="0">
            <x v="124"/>
          </reference>
          <reference field="5" count="1" selected="0">
            <x v="2"/>
          </reference>
          <reference field="6" count="1" selected="0">
            <x v="6"/>
          </reference>
          <reference field="7" count="1" selected="0">
            <x v="212"/>
          </reference>
          <reference field="8" count="1">
            <x v="1339"/>
          </reference>
        </references>
      </pivotArea>
    </format>
    <format dxfId="4009">
      <pivotArea dataOnly="0" labelOnly="1" fieldPosition="0">
        <references count="5">
          <reference field="1" count="1" selected="0">
            <x v="124"/>
          </reference>
          <reference field="5" count="1" selected="0">
            <x v="6"/>
          </reference>
          <reference field="6" count="1" selected="0">
            <x v="38"/>
          </reference>
          <reference field="7" count="1" selected="0">
            <x v="212"/>
          </reference>
          <reference field="8" count="1">
            <x v="561"/>
          </reference>
        </references>
      </pivotArea>
    </format>
    <format dxfId="4008">
      <pivotArea dataOnly="0" labelOnly="1" fieldPosition="0">
        <references count="5">
          <reference field="1" count="1" selected="0">
            <x v="124"/>
          </reference>
          <reference field="5" count="1" selected="0">
            <x v="12"/>
          </reference>
          <reference field="6" count="1" selected="0">
            <x v="1"/>
          </reference>
          <reference field="7" count="1" selected="0">
            <x v="212"/>
          </reference>
          <reference field="8" count="3">
            <x v="80"/>
            <x v="213"/>
            <x v="500"/>
          </reference>
        </references>
      </pivotArea>
    </format>
    <format dxfId="4007">
      <pivotArea dataOnly="0" labelOnly="1" fieldPosition="0">
        <references count="5">
          <reference field="1" count="1" selected="0">
            <x v="124"/>
          </reference>
          <reference field="5" count="1" selected="0">
            <x v="12"/>
          </reference>
          <reference field="6" count="1" selected="0">
            <x v="3"/>
          </reference>
          <reference field="7" count="1" selected="0">
            <x v="0"/>
          </reference>
          <reference field="8" count="1">
            <x v="80"/>
          </reference>
        </references>
      </pivotArea>
    </format>
    <format dxfId="4006">
      <pivotArea dataOnly="0" labelOnly="1" fieldPosition="0">
        <references count="5">
          <reference field="1" count="1" selected="0">
            <x v="124"/>
          </reference>
          <reference field="5" count="1" selected="0">
            <x v="12"/>
          </reference>
          <reference field="6" count="1" selected="0">
            <x v="4"/>
          </reference>
          <reference field="7" count="1" selected="0">
            <x v="0"/>
          </reference>
          <reference field="8" count="3">
            <x v="352"/>
            <x v="500"/>
            <x v="964"/>
          </reference>
        </references>
      </pivotArea>
    </format>
    <format dxfId="4005">
      <pivotArea dataOnly="0" labelOnly="1" fieldPosition="0">
        <references count="5">
          <reference field="1" count="1" selected="0">
            <x v="124"/>
          </reference>
          <reference field="5" count="1" selected="0">
            <x v="21"/>
          </reference>
          <reference field="6" count="1" selected="0">
            <x v="38"/>
          </reference>
          <reference field="7" count="1" selected="0">
            <x v="212"/>
          </reference>
          <reference field="8" count="1">
            <x v="1274"/>
          </reference>
        </references>
      </pivotArea>
    </format>
    <format dxfId="4004">
      <pivotArea dataOnly="0" labelOnly="1" fieldPosition="0">
        <references count="5">
          <reference field="1" count="1" selected="0">
            <x v="124"/>
          </reference>
          <reference field="5" count="1" selected="0">
            <x v="23"/>
          </reference>
          <reference field="6" count="1" selected="0">
            <x v="38"/>
          </reference>
          <reference field="7" count="1" selected="0">
            <x v="212"/>
          </reference>
          <reference field="8" count="1">
            <x v="1854"/>
          </reference>
        </references>
      </pivotArea>
    </format>
    <format dxfId="4003">
      <pivotArea dataOnly="0" labelOnly="1" fieldPosition="0">
        <references count="5">
          <reference field="1" count="1" selected="0">
            <x v="124"/>
          </reference>
          <reference field="5" count="1" selected="0">
            <x v="35"/>
          </reference>
          <reference field="6" count="1" selected="0">
            <x v="1"/>
          </reference>
          <reference field="7" count="1" selected="0">
            <x v="212"/>
          </reference>
          <reference field="8" count="1">
            <x v="80"/>
          </reference>
        </references>
      </pivotArea>
    </format>
    <format dxfId="4002">
      <pivotArea dataOnly="0" labelOnly="1" fieldPosition="0">
        <references count="5">
          <reference field="1" count="1" selected="0">
            <x v="124"/>
          </reference>
          <reference field="5" count="1" selected="0">
            <x v="36"/>
          </reference>
          <reference field="6" count="1" selected="0">
            <x v="38"/>
          </reference>
          <reference field="7" count="1" selected="0">
            <x v="212"/>
          </reference>
          <reference field="8" count="1">
            <x v="153"/>
          </reference>
        </references>
      </pivotArea>
    </format>
    <format dxfId="4001">
      <pivotArea dataOnly="0" labelOnly="1" fieldPosition="0">
        <references count="5">
          <reference field="1" count="1" selected="0">
            <x v="125"/>
          </reference>
          <reference field="5" count="1" selected="0">
            <x v="0"/>
          </reference>
          <reference field="6" count="1" selected="0">
            <x v="12"/>
          </reference>
          <reference field="7" count="1" selected="0">
            <x v="26"/>
          </reference>
          <reference field="8" count="1">
            <x v="25"/>
          </reference>
        </references>
      </pivotArea>
    </format>
    <format dxfId="4000">
      <pivotArea dataOnly="0" labelOnly="1" fieldPosition="0">
        <references count="5">
          <reference field="1" count="1" selected="0">
            <x v="125"/>
          </reference>
          <reference field="5" count="1" selected="0">
            <x v="0"/>
          </reference>
          <reference field="6" count="1" selected="0">
            <x v="12"/>
          </reference>
          <reference field="7" count="1" selected="0">
            <x v="57"/>
          </reference>
          <reference field="8" count="1">
            <x v="6"/>
          </reference>
        </references>
      </pivotArea>
    </format>
    <format dxfId="3999">
      <pivotArea dataOnly="0" labelOnly="1" fieldPosition="0">
        <references count="5">
          <reference field="1" count="1" selected="0">
            <x v="125"/>
          </reference>
          <reference field="5" count="1" selected="0">
            <x v="5"/>
          </reference>
          <reference field="6" count="1" selected="0">
            <x v="10"/>
          </reference>
          <reference field="7" count="1" selected="0">
            <x v="213"/>
          </reference>
          <reference field="8" count="1">
            <x v="1332"/>
          </reference>
        </references>
      </pivotArea>
    </format>
    <format dxfId="3998">
      <pivotArea dataOnly="0" labelOnly="1" fieldPosition="0">
        <references count="5">
          <reference field="1" count="1" selected="0">
            <x v="125"/>
          </reference>
          <reference field="5" count="1" selected="0">
            <x v="12"/>
          </reference>
          <reference field="6" count="1" selected="0">
            <x v="1"/>
          </reference>
          <reference field="7" count="1" selected="0">
            <x v="213"/>
          </reference>
          <reference field="8" count="4">
            <x v="80"/>
            <x v="213"/>
            <x v="500"/>
            <x v="702"/>
          </reference>
        </references>
      </pivotArea>
    </format>
    <format dxfId="3997">
      <pivotArea dataOnly="0" labelOnly="1" fieldPosition="0">
        <references count="5">
          <reference field="1" count="1" selected="0">
            <x v="125"/>
          </reference>
          <reference field="5" count="1" selected="0">
            <x v="14"/>
          </reference>
          <reference field="6" count="1" selected="0">
            <x v="38"/>
          </reference>
          <reference field="7" count="1" selected="0">
            <x v="213"/>
          </reference>
          <reference field="8" count="1">
            <x v="1429"/>
          </reference>
        </references>
      </pivotArea>
    </format>
    <format dxfId="3996">
      <pivotArea dataOnly="0" labelOnly="1" fieldPosition="0">
        <references count="5">
          <reference field="1" count="1" selected="0">
            <x v="125"/>
          </reference>
          <reference field="5" count="1" selected="0">
            <x v="21"/>
          </reference>
          <reference field="6" count="1" selected="0">
            <x v="38"/>
          </reference>
          <reference field="7" count="1" selected="0">
            <x v="213"/>
          </reference>
          <reference field="8" count="1">
            <x v="755"/>
          </reference>
        </references>
      </pivotArea>
    </format>
    <format dxfId="3995">
      <pivotArea dataOnly="0" labelOnly="1" fieldPosition="0">
        <references count="5">
          <reference field="1" count="1" selected="0">
            <x v="125"/>
          </reference>
          <reference field="5" count="1" selected="0">
            <x v="23"/>
          </reference>
          <reference field="6" count="1" selected="0">
            <x v="38"/>
          </reference>
          <reference field="7" count="1" selected="0">
            <x v="213"/>
          </reference>
          <reference field="8" count="1">
            <x v="87"/>
          </reference>
        </references>
      </pivotArea>
    </format>
    <format dxfId="3994">
      <pivotArea dataOnly="0" labelOnly="1" fieldPosition="0">
        <references count="5">
          <reference field="1" count="1" selected="0">
            <x v="125"/>
          </reference>
          <reference field="5" count="1" selected="0">
            <x v="24"/>
          </reference>
          <reference field="6" count="1" selected="0">
            <x v="38"/>
          </reference>
          <reference field="7" count="1" selected="0">
            <x v="213"/>
          </reference>
          <reference field="8" count="1">
            <x v="94"/>
          </reference>
        </references>
      </pivotArea>
    </format>
    <format dxfId="3993">
      <pivotArea dataOnly="0" labelOnly="1" fieldPosition="0">
        <references count="5">
          <reference field="1" count="1" selected="0">
            <x v="125"/>
          </reference>
          <reference field="5" count="1" selected="0">
            <x v="26"/>
          </reference>
          <reference field="6" count="1" selected="0">
            <x v="38"/>
          </reference>
          <reference field="7" count="1" selected="0">
            <x v="213"/>
          </reference>
          <reference field="8" count="1">
            <x v="352"/>
          </reference>
        </references>
      </pivotArea>
    </format>
    <format dxfId="3992">
      <pivotArea dataOnly="0" labelOnly="1" fieldPosition="0">
        <references count="5">
          <reference field="1" count="1" selected="0">
            <x v="125"/>
          </reference>
          <reference field="5" count="1" selected="0">
            <x v="29"/>
          </reference>
          <reference field="6" count="1" selected="0">
            <x v="10"/>
          </reference>
          <reference field="7" count="1" selected="0">
            <x v="213"/>
          </reference>
          <reference field="8" count="1">
            <x v="1601"/>
          </reference>
        </references>
      </pivotArea>
    </format>
    <format dxfId="3991">
      <pivotArea dataOnly="0" labelOnly="1" fieldPosition="0">
        <references count="5">
          <reference field="1" count="1" selected="0">
            <x v="125"/>
          </reference>
          <reference field="5" count="1" selected="0">
            <x v="35"/>
          </reference>
          <reference field="6" count="1" selected="0">
            <x v="1"/>
          </reference>
          <reference field="7" count="1" selected="0">
            <x v="213"/>
          </reference>
          <reference field="8" count="1">
            <x v="80"/>
          </reference>
        </references>
      </pivotArea>
    </format>
    <format dxfId="3990">
      <pivotArea dataOnly="0" labelOnly="1" fieldPosition="0">
        <references count="5">
          <reference field="1" count="1" selected="0">
            <x v="126"/>
          </reference>
          <reference field="5" count="1" selected="0">
            <x v="0"/>
          </reference>
          <reference field="6" count="1" selected="0">
            <x v="12"/>
          </reference>
          <reference field="7" count="1" selected="0">
            <x v="38"/>
          </reference>
          <reference field="8" count="1">
            <x v="18"/>
          </reference>
        </references>
      </pivotArea>
    </format>
    <format dxfId="3989">
      <pivotArea dataOnly="0" labelOnly="1" fieldPosition="0">
        <references count="5">
          <reference field="1" count="1" selected="0">
            <x v="126"/>
          </reference>
          <reference field="5" count="1" selected="0">
            <x v="12"/>
          </reference>
          <reference field="6" count="1" selected="0">
            <x v="1"/>
          </reference>
          <reference field="7" count="1" selected="0">
            <x v="214"/>
          </reference>
          <reference field="8" count="3">
            <x v="80"/>
            <x v="213"/>
            <x v="607"/>
          </reference>
        </references>
      </pivotArea>
    </format>
    <format dxfId="3988">
      <pivotArea dataOnly="0" labelOnly="1" fieldPosition="0">
        <references count="5">
          <reference field="1" count="1" selected="0">
            <x v="126"/>
          </reference>
          <reference field="5" count="1" selected="0">
            <x v="12"/>
          </reference>
          <reference field="6" count="1" selected="0">
            <x v="8"/>
          </reference>
          <reference field="7" count="1" selected="0">
            <x v="214"/>
          </reference>
          <reference field="8" count="4">
            <x v="80"/>
            <x v="352"/>
            <x v="500"/>
            <x v="964"/>
          </reference>
        </references>
      </pivotArea>
    </format>
    <format dxfId="3987">
      <pivotArea dataOnly="0" labelOnly="1" fieldPosition="0">
        <references count="5">
          <reference field="1" count="1" selected="0">
            <x v="126"/>
          </reference>
          <reference field="5" count="1" selected="0">
            <x v="15"/>
          </reference>
          <reference field="6" count="1" selected="0">
            <x v="38"/>
          </reference>
          <reference field="7" count="1" selected="0">
            <x v="214"/>
          </reference>
          <reference field="8" count="1">
            <x v="809"/>
          </reference>
        </references>
      </pivotArea>
    </format>
    <format dxfId="3986">
      <pivotArea dataOnly="0" labelOnly="1" fieldPosition="0">
        <references count="5">
          <reference field="1" count="1" selected="0">
            <x v="126"/>
          </reference>
          <reference field="5" count="1" selected="0">
            <x v="26"/>
          </reference>
          <reference field="6" count="1" selected="0">
            <x v="38"/>
          </reference>
          <reference field="7" count="1" selected="0">
            <x v="214"/>
          </reference>
          <reference field="8" count="1">
            <x v="278"/>
          </reference>
        </references>
      </pivotArea>
    </format>
    <format dxfId="3985">
      <pivotArea dataOnly="0" labelOnly="1" fieldPosition="0">
        <references count="5">
          <reference field="1" count="1" selected="0">
            <x v="126"/>
          </reference>
          <reference field="5" count="1" selected="0">
            <x v="29"/>
          </reference>
          <reference field="6" count="1" selected="0">
            <x v="38"/>
          </reference>
          <reference field="7" count="1" selected="0">
            <x v="214"/>
          </reference>
          <reference field="8" count="1">
            <x v="1170"/>
          </reference>
        </references>
      </pivotArea>
    </format>
    <format dxfId="3984">
      <pivotArea dataOnly="0" labelOnly="1" fieldPosition="0">
        <references count="5">
          <reference field="1" count="1" selected="0">
            <x v="126"/>
          </reference>
          <reference field="5" count="1" selected="0">
            <x v="35"/>
          </reference>
          <reference field="6" count="1" selected="0">
            <x v="1"/>
          </reference>
          <reference field="7" count="1" selected="0">
            <x v="214"/>
          </reference>
          <reference field="8" count="1">
            <x v="80"/>
          </reference>
        </references>
      </pivotArea>
    </format>
    <format dxfId="3983">
      <pivotArea dataOnly="0" labelOnly="1" fieldPosition="0">
        <references count="5">
          <reference field="1" count="1" selected="0">
            <x v="127"/>
          </reference>
          <reference field="5" count="1" selected="0">
            <x v="0"/>
          </reference>
          <reference field="6" count="1" selected="0">
            <x v="8"/>
          </reference>
          <reference field="7" count="1" selected="0">
            <x v="216"/>
          </reference>
          <reference field="8" count="3">
            <x v="473"/>
            <x v="881"/>
            <x v="992"/>
          </reference>
        </references>
      </pivotArea>
    </format>
    <format dxfId="3982">
      <pivotArea dataOnly="0" labelOnly="1" fieldPosition="0">
        <references count="5">
          <reference field="1" count="1" selected="0">
            <x v="127"/>
          </reference>
          <reference field="5" count="1" selected="0">
            <x v="0"/>
          </reference>
          <reference field="6" count="1" selected="0">
            <x v="9"/>
          </reference>
          <reference field="7" count="1" selected="0">
            <x v="216"/>
          </reference>
          <reference field="8" count="9">
            <x v="1"/>
            <x v="233"/>
            <x v="263"/>
            <x v="462"/>
            <x v="538"/>
            <x v="635"/>
            <x v="732"/>
            <x v="1087"/>
            <x v="1425"/>
          </reference>
        </references>
      </pivotArea>
    </format>
    <format dxfId="3981">
      <pivotArea dataOnly="0" labelOnly="1" fieldPosition="0">
        <references count="5">
          <reference field="1" count="1" selected="0">
            <x v="127"/>
          </reference>
          <reference field="5" count="1" selected="0">
            <x v="0"/>
          </reference>
          <reference field="6" count="1" selected="0">
            <x v="12"/>
          </reference>
          <reference field="7" count="1" selected="0">
            <x v="21"/>
          </reference>
          <reference field="8" count="1">
            <x v="11"/>
          </reference>
        </references>
      </pivotArea>
    </format>
    <format dxfId="3980">
      <pivotArea dataOnly="0" labelOnly="1" fieldPosition="0">
        <references count="5">
          <reference field="1" count="1" selected="0">
            <x v="127"/>
          </reference>
          <reference field="5" count="1" selected="0">
            <x v="0"/>
          </reference>
          <reference field="6" count="1" selected="0">
            <x v="12"/>
          </reference>
          <reference field="7" count="1" selected="0">
            <x v="22"/>
          </reference>
          <reference field="8" count="1">
            <x v="18"/>
          </reference>
        </references>
      </pivotArea>
    </format>
    <format dxfId="3979">
      <pivotArea dataOnly="0" labelOnly="1" fieldPosition="0">
        <references count="5">
          <reference field="1" count="1" selected="0">
            <x v="127"/>
          </reference>
          <reference field="5" count="1" selected="0">
            <x v="0"/>
          </reference>
          <reference field="6" count="1" selected="0">
            <x v="17"/>
          </reference>
          <reference field="7" count="1" selected="0">
            <x v="215"/>
          </reference>
          <reference field="8" count="7">
            <x v="379"/>
            <x v="414"/>
            <x v="425"/>
            <x v="639"/>
            <x v="847"/>
            <x v="1065"/>
            <x v="1720"/>
          </reference>
        </references>
      </pivotArea>
    </format>
    <format dxfId="3978">
      <pivotArea dataOnly="0" labelOnly="1" fieldPosition="0">
        <references count="5">
          <reference field="1" count="1" selected="0">
            <x v="127"/>
          </reference>
          <reference field="5" count="1" selected="0">
            <x v="2"/>
          </reference>
          <reference field="6" count="1" selected="0">
            <x v="17"/>
          </reference>
          <reference field="7" count="1" selected="0">
            <x v="215"/>
          </reference>
          <reference field="8" count="1">
            <x v="1869"/>
          </reference>
        </references>
      </pivotArea>
    </format>
    <format dxfId="3977">
      <pivotArea dataOnly="0" labelOnly="1" fieldPosition="0">
        <references count="5">
          <reference field="1" count="1" selected="0">
            <x v="127"/>
          </reference>
          <reference field="5" count="1" selected="0">
            <x v="5"/>
          </reference>
          <reference field="6" count="1" selected="0">
            <x v="8"/>
          </reference>
          <reference field="7" count="1" selected="0">
            <x v="216"/>
          </reference>
          <reference field="8" count="1">
            <x v="1108"/>
          </reference>
        </references>
      </pivotArea>
    </format>
    <format dxfId="3976">
      <pivotArea dataOnly="0" labelOnly="1" fieldPosition="0">
        <references count="5">
          <reference field="1" count="1" selected="0">
            <x v="127"/>
          </reference>
          <reference field="5" count="1" selected="0">
            <x v="7"/>
          </reference>
          <reference field="6" count="1" selected="0">
            <x v="10"/>
          </reference>
          <reference field="7" count="1" selected="0">
            <x v="216"/>
          </reference>
          <reference field="8" count="1">
            <x v="1468"/>
          </reference>
        </references>
      </pivotArea>
    </format>
    <format dxfId="3975">
      <pivotArea dataOnly="0" labelOnly="1" fieldPosition="0">
        <references count="5">
          <reference field="1" count="1" selected="0">
            <x v="127"/>
          </reference>
          <reference field="5" count="1" selected="0">
            <x v="7"/>
          </reference>
          <reference field="6" count="1" selected="0">
            <x v="38"/>
          </reference>
          <reference field="7" count="1" selected="0">
            <x v="216"/>
          </reference>
          <reference field="8" count="1">
            <x v="144"/>
          </reference>
        </references>
      </pivotArea>
    </format>
    <format dxfId="3974">
      <pivotArea dataOnly="0" labelOnly="1" fieldPosition="0">
        <references count="5">
          <reference field="1" count="1" selected="0">
            <x v="127"/>
          </reference>
          <reference field="5" count="1" selected="0">
            <x v="8"/>
          </reference>
          <reference field="6" count="1" selected="0">
            <x v="10"/>
          </reference>
          <reference field="7" count="1" selected="0">
            <x v="216"/>
          </reference>
          <reference field="8" count="1">
            <x v="1488"/>
          </reference>
        </references>
      </pivotArea>
    </format>
    <format dxfId="3973">
      <pivotArea dataOnly="0" labelOnly="1" fieldPosition="0">
        <references count="5">
          <reference field="1" count="1" selected="0">
            <x v="127"/>
          </reference>
          <reference field="5" count="1" selected="0">
            <x v="10"/>
          </reference>
          <reference field="6" count="1" selected="0">
            <x v="10"/>
          </reference>
          <reference field="7" count="1" selected="0">
            <x v="216"/>
          </reference>
          <reference field="8" count="1">
            <x v="1864"/>
          </reference>
        </references>
      </pivotArea>
    </format>
    <format dxfId="3972">
      <pivotArea dataOnly="0" labelOnly="1" fieldPosition="0">
        <references count="5">
          <reference field="1" count="1" selected="0">
            <x v="127"/>
          </reference>
          <reference field="5" count="1" selected="0">
            <x v="12"/>
          </reference>
          <reference field="6" count="1" selected="0">
            <x v="1"/>
          </reference>
          <reference field="7" count="1" selected="0">
            <x v="216"/>
          </reference>
          <reference field="8" count="2">
            <x v="80"/>
            <x v="213"/>
          </reference>
        </references>
      </pivotArea>
    </format>
    <format dxfId="3971">
      <pivotArea dataOnly="0" labelOnly="1" fieldPosition="0">
        <references count="5">
          <reference field="1" count="1" selected="0">
            <x v="127"/>
          </reference>
          <reference field="5" count="1" selected="0">
            <x v="12"/>
          </reference>
          <reference field="6" count="1" selected="0">
            <x v="2"/>
          </reference>
          <reference field="7" count="1" selected="0">
            <x v="75"/>
          </reference>
          <reference field="8" count="1">
            <x v="0"/>
          </reference>
        </references>
      </pivotArea>
    </format>
    <format dxfId="3970">
      <pivotArea dataOnly="0" labelOnly="1" fieldPosition="0">
        <references count="5">
          <reference field="1" count="1" selected="0">
            <x v="127"/>
          </reference>
          <reference field="5" count="1" selected="0">
            <x v="12"/>
          </reference>
          <reference field="6" count="1" selected="0">
            <x v="17"/>
          </reference>
          <reference field="7" count="1" selected="0">
            <x v="215"/>
          </reference>
          <reference field="8" count="26">
            <x v="96"/>
            <x v="103"/>
            <x v="142"/>
            <x v="497"/>
            <x v="938"/>
            <x v="1123"/>
            <x v="1245"/>
            <x v="1376"/>
            <x v="1382"/>
            <x v="1395"/>
            <x v="1482"/>
            <x v="1504"/>
            <x v="1505"/>
            <x v="1522"/>
            <x v="1527"/>
            <x v="1572"/>
            <x v="1584"/>
            <x v="1653"/>
            <x v="1661"/>
            <x v="1732"/>
            <x v="1738"/>
            <x v="1772"/>
            <x v="1791"/>
            <x v="1804"/>
            <x v="1815"/>
            <x v="1849"/>
          </reference>
        </references>
      </pivotArea>
    </format>
    <format dxfId="3969">
      <pivotArea dataOnly="0" labelOnly="1" fieldPosition="0">
        <references count="5">
          <reference field="1" count="1" selected="0">
            <x v="127"/>
          </reference>
          <reference field="5" count="1" selected="0">
            <x v="14"/>
          </reference>
          <reference field="6" count="1" selected="0">
            <x v="17"/>
          </reference>
          <reference field="7" count="1" selected="0">
            <x v="215"/>
          </reference>
          <reference field="8" count="1">
            <x v="1218"/>
          </reference>
        </references>
      </pivotArea>
    </format>
    <format dxfId="3968">
      <pivotArea dataOnly="0" labelOnly="1" fieldPosition="0">
        <references count="5">
          <reference field="1" count="1" selected="0">
            <x v="127"/>
          </reference>
          <reference field="5" count="1" selected="0">
            <x v="15"/>
          </reference>
          <reference field="6" count="1" selected="0">
            <x v="38"/>
          </reference>
          <reference field="7" count="1" selected="0">
            <x v="216"/>
          </reference>
          <reference field="8" count="1">
            <x v="1460"/>
          </reference>
        </references>
      </pivotArea>
    </format>
    <format dxfId="3967">
      <pivotArea dataOnly="0" labelOnly="1" fieldPosition="0">
        <references count="5">
          <reference field="1" count="1" selected="0">
            <x v="127"/>
          </reference>
          <reference field="5" count="1" selected="0">
            <x v="17"/>
          </reference>
          <reference field="6" count="1" selected="0">
            <x v="17"/>
          </reference>
          <reference field="7" count="1" selected="0">
            <x v="215"/>
          </reference>
          <reference field="8" count="1">
            <x v="360"/>
          </reference>
        </references>
      </pivotArea>
    </format>
    <format dxfId="3966">
      <pivotArea dataOnly="0" labelOnly="1" fieldPosition="0">
        <references count="5">
          <reference field="1" count="1" selected="0">
            <x v="127"/>
          </reference>
          <reference field="5" count="1" selected="0">
            <x v="19"/>
          </reference>
          <reference field="6" count="1" selected="0">
            <x v="9"/>
          </reference>
          <reference field="7" count="1" selected="0">
            <x v="216"/>
          </reference>
          <reference field="8" count="1">
            <x v="607"/>
          </reference>
        </references>
      </pivotArea>
    </format>
    <format dxfId="3965">
      <pivotArea dataOnly="0" labelOnly="1" fieldPosition="0">
        <references count="5">
          <reference field="1" count="1" selected="0">
            <x v="127"/>
          </reference>
          <reference field="5" count="1" selected="0">
            <x v="21"/>
          </reference>
          <reference field="6" count="1" selected="0">
            <x v="17"/>
          </reference>
          <reference field="7" count="1" selected="0">
            <x v="215"/>
          </reference>
          <reference field="8" count="1">
            <x v="1521"/>
          </reference>
        </references>
      </pivotArea>
    </format>
    <format dxfId="3964">
      <pivotArea dataOnly="0" labelOnly="1" fieldPosition="0">
        <references count="5">
          <reference field="1" count="1" selected="0">
            <x v="127"/>
          </reference>
          <reference field="5" count="1" selected="0">
            <x v="23"/>
          </reference>
          <reference field="6" count="1" selected="0">
            <x v="17"/>
          </reference>
          <reference field="7" count="1" selected="0">
            <x v="215"/>
          </reference>
          <reference field="8" count="1">
            <x v="1676"/>
          </reference>
        </references>
      </pivotArea>
    </format>
    <format dxfId="3963">
      <pivotArea dataOnly="0" labelOnly="1" fieldPosition="0">
        <references count="5">
          <reference field="1" count="1" selected="0">
            <x v="127"/>
          </reference>
          <reference field="5" count="1" selected="0">
            <x v="24"/>
          </reference>
          <reference field="6" count="1" selected="0">
            <x v="17"/>
          </reference>
          <reference field="7" count="1" selected="0">
            <x v="215"/>
          </reference>
          <reference field="8" count="1">
            <x v="1509"/>
          </reference>
        </references>
      </pivotArea>
    </format>
    <format dxfId="3962">
      <pivotArea dataOnly="0" labelOnly="1" fieldPosition="0">
        <references count="5">
          <reference field="1" count="1" selected="0">
            <x v="127"/>
          </reference>
          <reference field="5" count="1" selected="0">
            <x v="27"/>
          </reference>
          <reference field="6" count="1" selected="0">
            <x v="17"/>
          </reference>
          <reference field="7" count="1" selected="0">
            <x v="215"/>
          </reference>
          <reference field="8" count="1">
            <x v="449"/>
          </reference>
        </references>
      </pivotArea>
    </format>
    <format dxfId="3961">
      <pivotArea dataOnly="0" labelOnly="1" fieldPosition="0">
        <references count="5">
          <reference field="1" count="1" selected="0">
            <x v="127"/>
          </reference>
          <reference field="5" count="1" selected="0">
            <x v="33"/>
          </reference>
          <reference field="6" count="1" selected="0">
            <x v="38"/>
          </reference>
          <reference field="7" count="1" selected="0">
            <x v="216"/>
          </reference>
          <reference field="8" count="1">
            <x v="403"/>
          </reference>
        </references>
      </pivotArea>
    </format>
    <format dxfId="3960">
      <pivotArea dataOnly="0" labelOnly="1" fieldPosition="0">
        <references count="5">
          <reference field="1" count="1" selected="0">
            <x v="127"/>
          </reference>
          <reference field="5" count="1" selected="0">
            <x v="35"/>
          </reference>
          <reference field="6" count="1" selected="0">
            <x v="1"/>
          </reference>
          <reference field="7" count="1" selected="0">
            <x v="216"/>
          </reference>
          <reference field="8" count="1">
            <x v="80"/>
          </reference>
        </references>
      </pivotArea>
    </format>
    <format dxfId="3959">
      <pivotArea dataOnly="0" labelOnly="1" fieldPosition="0">
        <references count="5">
          <reference field="1" count="1" selected="0">
            <x v="127"/>
          </reference>
          <reference field="5" count="1" selected="0">
            <x v="35"/>
          </reference>
          <reference field="6" count="1" selected="0">
            <x v="17"/>
          </reference>
          <reference field="7" count="1" selected="0">
            <x v="215"/>
          </reference>
          <reference field="8" count="9">
            <x v="157"/>
            <x v="328"/>
            <x v="438"/>
            <x v="495"/>
            <x v="708"/>
            <x v="709"/>
            <x v="770"/>
            <x v="918"/>
            <x v="1231"/>
          </reference>
        </references>
      </pivotArea>
    </format>
    <format dxfId="3958">
      <pivotArea dataOnly="0" labelOnly="1" fieldPosition="0">
        <references count="5">
          <reference field="1" count="1" selected="0">
            <x v="128"/>
          </reference>
          <reference field="5" count="1" selected="0">
            <x v="0"/>
          </reference>
          <reference field="6" count="1" selected="0">
            <x v="38"/>
          </reference>
          <reference field="7" count="1" selected="0">
            <x v="217"/>
          </reference>
          <reference field="8" count="1">
            <x v="391"/>
          </reference>
        </references>
      </pivotArea>
    </format>
    <format dxfId="3957">
      <pivotArea dataOnly="0" labelOnly="1" fieldPosition="0">
        <references count="5">
          <reference field="1" count="1" selected="0">
            <x v="128"/>
          </reference>
          <reference field="5" count="1" selected="0">
            <x v="8"/>
          </reference>
          <reference field="6" count="1" selected="0">
            <x v="38"/>
          </reference>
          <reference field="7" count="1" selected="0">
            <x v="217"/>
          </reference>
          <reference field="8" count="1">
            <x v="803"/>
          </reference>
        </references>
      </pivotArea>
    </format>
    <format dxfId="3956">
      <pivotArea dataOnly="0" labelOnly="1" fieldPosition="0">
        <references count="5">
          <reference field="1" count="1" selected="0">
            <x v="128"/>
          </reference>
          <reference field="5" count="1" selected="0">
            <x v="10"/>
          </reference>
          <reference field="6" count="1" selected="0">
            <x v="38"/>
          </reference>
          <reference field="7" count="1" selected="0">
            <x v="217"/>
          </reference>
          <reference field="8" count="1">
            <x v="1563"/>
          </reference>
        </references>
      </pivotArea>
    </format>
    <format dxfId="3955">
      <pivotArea dataOnly="0" labelOnly="1" fieldPosition="0">
        <references count="5">
          <reference field="1" count="1" selected="0">
            <x v="128"/>
          </reference>
          <reference field="5" count="1" selected="0">
            <x v="12"/>
          </reference>
          <reference field="6" count="1" selected="0">
            <x v="1"/>
          </reference>
          <reference field="7" count="1" selected="0">
            <x v="217"/>
          </reference>
          <reference field="8" count="1">
            <x v="213"/>
          </reference>
        </references>
      </pivotArea>
    </format>
    <format dxfId="3954">
      <pivotArea dataOnly="0" labelOnly="1" fieldPosition="0">
        <references count="5">
          <reference field="1" count="1" selected="0">
            <x v="128"/>
          </reference>
          <reference field="5" count="1" selected="0">
            <x v="35"/>
          </reference>
          <reference field="6" count="1" selected="0">
            <x v="1"/>
          </reference>
          <reference field="7" count="1" selected="0">
            <x v="217"/>
          </reference>
          <reference field="8" count="1">
            <x v="80"/>
          </reference>
        </references>
      </pivotArea>
    </format>
    <format dxfId="3953">
      <pivotArea dataOnly="0" labelOnly="1" fieldPosition="0">
        <references count="5">
          <reference field="1" count="1" selected="0">
            <x v="129"/>
          </reference>
          <reference field="5" count="1" selected="0">
            <x v="0"/>
          </reference>
          <reference field="6" count="1" selected="0">
            <x v="12"/>
          </reference>
          <reference field="7" count="1" selected="0">
            <x v="15"/>
          </reference>
          <reference field="8" count="1">
            <x v="18"/>
          </reference>
        </references>
      </pivotArea>
    </format>
    <format dxfId="3952">
      <pivotArea dataOnly="0" labelOnly="1" fieldPosition="0">
        <references count="5">
          <reference field="1" count="1" selected="0">
            <x v="129"/>
          </reference>
          <reference field="5" count="1" selected="0">
            <x v="0"/>
          </reference>
          <reference field="6" count="1" selected="0">
            <x v="12"/>
          </reference>
          <reference field="7" count="1" selected="0">
            <x v="39"/>
          </reference>
          <reference field="8" count="1">
            <x v="180"/>
          </reference>
        </references>
      </pivotArea>
    </format>
    <format dxfId="3951">
      <pivotArea dataOnly="0" labelOnly="1" fieldPosition="0">
        <references count="5">
          <reference field="1" count="1" selected="0">
            <x v="129"/>
          </reference>
          <reference field="5" count="1" selected="0">
            <x v="8"/>
          </reference>
          <reference field="6" count="1" selected="0">
            <x v="38"/>
          </reference>
          <reference field="7" count="1" selected="0">
            <x v="218"/>
          </reference>
          <reference field="8" count="1">
            <x v="168"/>
          </reference>
        </references>
      </pivotArea>
    </format>
    <format dxfId="3950">
      <pivotArea dataOnly="0" labelOnly="1" fieldPosition="0">
        <references count="5">
          <reference field="1" count="1" selected="0">
            <x v="129"/>
          </reference>
          <reference field="5" count="1" selected="0">
            <x v="12"/>
          </reference>
          <reference field="6" count="1" selected="0">
            <x v="1"/>
          </reference>
          <reference field="7" count="1" selected="0">
            <x v="218"/>
          </reference>
          <reference field="8" count="2">
            <x v="80"/>
            <x v="213"/>
          </reference>
        </references>
      </pivotArea>
    </format>
    <format dxfId="3949">
      <pivotArea dataOnly="0" labelOnly="1" fieldPosition="0">
        <references count="5">
          <reference field="1" count="1" selected="0">
            <x v="129"/>
          </reference>
          <reference field="5" count="1" selected="0">
            <x v="14"/>
          </reference>
          <reference field="6" count="1" selected="0">
            <x v="1"/>
          </reference>
          <reference field="7" count="1" selected="0">
            <x v="218"/>
          </reference>
          <reference field="8" count="1">
            <x v="1260"/>
          </reference>
        </references>
      </pivotArea>
    </format>
    <format dxfId="3948">
      <pivotArea dataOnly="0" labelOnly="1" fieldPosition="0">
        <references count="5">
          <reference field="1" count="1" selected="0">
            <x v="129"/>
          </reference>
          <reference field="5" count="1" selected="0">
            <x v="15"/>
          </reference>
          <reference field="6" count="1" selected="0">
            <x v="6"/>
          </reference>
          <reference field="7" count="1" selected="0">
            <x v="218"/>
          </reference>
          <reference field="8" count="1">
            <x v="592"/>
          </reference>
        </references>
      </pivotArea>
    </format>
    <format dxfId="3947">
      <pivotArea dataOnly="0" labelOnly="1" fieldPosition="0">
        <references count="5">
          <reference field="1" count="1" selected="0">
            <x v="129"/>
          </reference>
          <reference field="5" count="1" selected="0">
            <x v="19"/>
          </reference>
          <reference field="6" count="1" selected="0">
            <x v="6"/>
          </reference>
          <reference field="7" count="1" selected="0">
            <x v="218"/>
          </reference>
          <reference field="8" count="1">
            <x v="1099"/>
          </reference>
        </references>
      </pivotArea>
    </format>
    <format dxfId="3946">
      <pivotArea dataOnly="0" labelOnly="1" fieldPosition="0">
        <references count="5">
          <reference field="1" count="1" selected="0">
            <x v="129"/>
          </reference>
          <reference field="5" count="1" selected="0">
            <x v="27"/>
          </reference>
          <reference field="6" count="1" selected="0">
            <x v="38"/>
          </reference>
          <reference field="7" count="1" selected="0">
            <x v="218"/>
          </reference>
          <reference field="8" count="1">
            <x v="633"/>
          </reference>
        </references>
      </pivotArea>
    </format>
    <format dxfId="3945">
      <pivotArea dataOnly="0" labelOnly="1" fieldPosition="0">
        <references count="5">
          <reference field="1" count="1" selected="0">
            <x v="129"/>
          </reference>
          <reference field="5" count="1" selected="0">
            <x v="34"/>
          </reference>
          <reference field="6" count="1" selected="0">
            <x v="38"/>
          </reference>
          <reference field="7" count="1" selected="0">
            <x v="218"/>
          </reference>
          <reference field="8" count="1">
            <x v="228"/>
          </reference>
        </references>
      </pivotArea>
    </format>
    <format dxfId="3944">
      <pivotArea dataOnly="0" labelOnly="1" fieldPosition="0">
        <references count="5">
          <reference field="1" count="1" selected="0">
            <x v="129"/>
          </reference>
          <reference field="5" count="1" selected="0">
            <x v="36"/>
          </reference>
          <reference field="6" count="1" selected="0">
            <x v="6"/>
          </reference>
          <reference field="7" count="1" selected="0">
            <x v="218"/>
          </reference>
          <reference field="8" count="1">
            <x v="387"/>
          </reference>
        </references>
      </pivotArea>
    </format>
    <format dxfId="3943">
      <pivotArea dataOnly="0" labelOnly="1" fieldPosition="0">
        <references count="5">
          <reference field="1" count="1" selected="0">
            <x v="130"/>
          </reference>
          <reference field="5" count="1" selected="0">
            <x v="0"/>
          </reference>
          <reference field="6" count="1" selected="0">
            <x v="12"/>
          </reference>
          <reference field="7" count="1" selected="0">
            <x v="23"/>
          </reference>
          <reference field="8" count="1">
            <x v="114"/>
          </reference>
        </references>
      </pivotArea>
    </format>
    <format dxfId="3942">
      <pivotArea dataOnly="0" labelOnly="1" fieldPosition="0">
        <references count="5">
          <reference field="1" count="1" selected="0">
            <x v="130"/>
          </reference>
          <reference field="5" count="1" selected="0">
            <x v="0"/>
          </reference>
          <reference field="6" count="1" selected="0">
            <x v="12"/>
          </reference>
          <reference field="7" count="1" selected="0">
            <x v="26"/>
          </reference>
          <reference field="8" count="1">
            <x v="20"/>
          </reference>
        </references>
      </pivotArea>
    </format>
    <format dxfId="3941">
      <pivotArea dataOnly="0" labelOnly="1" fieldPosition="0">
        <references count="5">
          <reference field="1" count="1" selected="0">
            <x v="130"/>
          </reference>
          <reference field="5" count="1" selected="0">
            <x v="0"/>
          </reference>
          <reference field="6" count="1" selected="0">
            <x v="12"/>
          </reference>
          <reference field="7" count="1" selected="0">
            <x v="35"/>
          </reference>
          <reference field="8" count="1">
            <x v="15"/>
          </reference>
        </references>
      </pivotArea>
    </format>
    <format dxfId="3940">
      <pivotArea dataOnly="0" labelOnly="1" fieldPosition="0">
        <references count="5">
          <reference field="1" count="1" selected="0">
            <x v="130"/>
          </reference>
          <reference field="5" count="1" selected="0">
            <x v="0"/>
          </reference>
          <reference field="6" count="1" selected="0">
            <x v="12"/>
          </reference>
          <reference field="7" count="1" selected="0">
            <x v="64"/>
          </reference>
          <reference field="8" count="1">
            <x v="49"/>
          </reference>
        </references>
      </pivotArea>
    </format>
    <format dxfId="3939">
      <pivotArea dataOnly="0" labelOnly="1" fieldPosition="0">
        <references count="5">
          <reference field="1" count="1" selected="0">
            <x v="130"/>
          </reference>
          <reference field="5" count="1" selected="0">
            <x v="0"/>
          </reference>
          <reference field="6" count="1" selected="0">
            <x v="38"/>
          </reference>
          <reference field="7" count="1" selected="0">
            <x v="219"/>
          </reference>
          <reference field="8" count="1">
            <x v="138"/>
          </reference>
        </references>
      </pivotArea>
    </format>
    <format dxfId="3938">
      <pivotArea dataOnly="0" labelOnly="1" fieldPosition="0">
        <references count="5">
          <reference field="1" count="1" selected="0">
            <x v="130"/>
          </reference>
          <reference field="5" count="1" selected="0">
            <x v="5"/>
          </reference>
          <reference field="6" count="1" selected="0">
            <x v="10"/>
          </reference>
          <reference field="7" count="1" selected="0">
            <x v="219"/>
          </reference>
          <reference field="8" count="1">
            <x v="1537"/>
          </reference>
        </references>
      </pivotArea>
    </format>
    <format dxfId="3937">
      <pivotArea dataOnly="0" labelOnly="1" fieldPosition="0">
        <references count="5">
          <reference field="1" count="1" selected="0">
            <x v="130"/>
          </reference>
          <reference field="5" count="1" selected="0">
            <x v="12"/>
          </reference>
          <reference field="6" count="1" selected="0">
            <x v="1"/>
          </reference>
          <reference field="7" count="1" selected="0">
            <x v="219"/>
          </reference>
          <reference field="8" count="2">
            <x v="80"/>
            <x v="213"/>
          </reference>
        </references>
      </pivotArea>
    </format>
    <format dxfId="3936">
      <pivotArea dataOnly="0" labelOnly="1" fieldPosition="0">
        <references count="5">
          <reference field="1" count="1" selected="0">
            <x v="130"/>
          </reference>
          <reference field="5" count="1" selected="0">
            <x v="15"/>
          </reference>
          <reference field="6" count="1" selected="0">
            <x v="38"/>
          </reference>
          <reference field="7" count="1" selected="0">
            <x v="219"/>
          </reference>
          <reference field="8" count="1">
            <x v="579"/>
          </reference>
        </references>
      </pivotArea>
    </format>
    <format dxfId="3935">
      <pivotArea dataOnly="0" labelOnly="1" fieldPosition="0">
        <references count="5">
          <reference field="1" count="1" selected="0">
            <x v="130"/>
          </reference>
          <reference field="5" count="1" selected="0">
            <x v="23"/>
          </reference>
          <reference field="6" count="1" selected="0">
            <x v="38"/>
          </reference>
          <reference field="7" count="1" selected="0">
            <x v="219"/>
          </reference>
          <reference field="8" count="1">
            <x v="906"/>
          </reference>
        </references>
      </pivotArea>
    </format>
    <format dxfId="3934">
      <pivotArea dataOnly="0" labelOnly="1" fieldPosition="0">
        <references count="5">
          <reference field="1" count="1" selected="0">
            <x v="130"/>
          </reference>
          <reference field="5" count="1" selected="0">
            <x v="26"/>
          </reference>
          <reference field="6" count="1" selected="0">
            <x v="38"/>
          </reference>
          <reference field="7" count="1" selected="0">
            <x v="219"/>
          </reference>
          <reference field="8" count="1">
            <x v="318"/>
          </reference>
        </references>
      </pivotArea>
    </format>
    <format dxfId="3933">
      <pivotArea dataOnly="0" labelOnly="1" fieldPosition="0">
        <references count="5">
          <reference field="1" count="1" selected="0">
            <x v="130"/>
          </reference>
          <reference field="5" count="1" selected="0">
            <x v="29"/>
          </reference>
          <reference field="6" count="1" selected="0">
            <x v="10"/>
          </reference>
          <reference field="7" count="1" selected="0">
            <x v="219"/>
          </reference>
          <reference field="8" count="1">
            <x v="914"/>
          </reference>
        </references>
      </pivotArea>
    </format>
    <format dxfId="3932">
      <pivotArea dataOnly="0" labelOnly="1" fieldPosition="0">
        <references count="5">
          <reference field="1" count="1" selected="0">
            <x v="130"/>
          </reference>
          <reference field="5" count="1" selected="0">
            <x v="33"/>
          </reference>
          <reference field="6" count="1" selected="0">
            <x v="38"/>
          </reference>
          <reference field="7" count="1" selected="0">
            <x v="219"/>
          </reference>
          <reference field="8" count="1">
            <x v="88"/>
          </reference>
        </references>
      </pivotArea>
    </format>
    <format dxfId="3931">
      <pivotArea dataOnly="0" labelOnly="1" fieldPosition="0">
        <references count="5">
          <reference field="1" count="1" selected="0">
            <x v="130"/>
          </reference>
          <reference field="5" count="1" selected="0">
            <x v="35"/>
          </reference>
          <reference field="6" count="1" selected="0">
            <x v="1"/>
          </reference>
          <reference field="7" count="1" selected="0">
            <x v="219"/>
          </reference>
          <reference field="8" count="1">
            <x v="352"/>
          </reference>
        </references>
      </pivotArea>
    </format>
    <format dxfId="3930">
      <pivotArea dataOnly="0" labelOnly="1" fieldPosition="0">
        <references count="5">
          <reference field="1" count="1" selected="0">
            <x v="131"/>
          </reference>
          <reference field="5" count="1" selected="0">
            <x v="0"/>
          </reference>
          <reference field="6" count="1" selected="0">
            <x v="12"/>
          </reference>
          <reference field="7" count="1" selected="0">
            <x v="23"/>
          </reference>
          <reference field="8" count="1">
            <x v="11"/>
          </reference>
        </references>
      </pivotArea>
    </format>
    <format dxfId="3929">
      <pivotArea dataOnly="0" labelOnly="1" fieldPosition="0">
        <references count="5">
          <reference field="1" count="1" selected="0">
            <x v="131"/>
          </reference>
          <reference field="5" count="1" selected="0">
            <x v="0"/>
          </reference>
          <reference field="6" count="1" selected="0">
            <x v="12"/>
          </reference>
          <reference field="7" count="1" selected="0">
            <x v="30"/>
          </reference>
          <reference field="8" count="1">
            <x v="81"/>
          </reference>
        </references>
      </pivotArea>
    </format>
    <format dxfId="3928">
      <pivotArea dataOnly="0" labelOnly="1" fieldPosition="0">
        <references count="5">
          <reference field="1" count="1" selected="0">
            <x v="131"/>
          </reference>
          <reference field="5" count="1" selected="0">
            <x v="0"/>
          </reference>
          <reference field="6" count="1" selected="0">
            <x v="38"/>
          </reference>
          <reference field="7" count="1" selected="0">
            <x v="220"/>
          </reference>
          <reference field="8" count="3">
            <x v="138"/>
            <x v="433"/>
            <x v="1212"/>
          </reference>
        </references>
      </pivotArea>
    </format>
    <format dxfId="3927">
      <pivotArea dataOnly="0" labelOnly="1" fieldPosition="0">
        <references count="5">
          <reference field="1" count="1" selected="0">
            <x v="131"/>
          </reference>
          <reference field="5" count="1" selected="0">
            <x v="5"/>
          </reference>
          <reference field="6" count="1" selected="0">
            <x v="38"/>
          </reference>
          <reference field="7" count="1" selected="0">
            <x v="220"/>
          </reference>
          <reference field="8" count="1">
            <x v="1077"/>
          </reference>
        </references>
      </pivotArea>
    </format>
    <format dxfId="3926">
      <pivotArea dataOnly="0" labelOnly="1" fieldPosition="0">
        <references count="5">
          <reference field="1" count="1" selected="0">
            <x v="131"/>
          </reference>
          <reference field="5" count="1" selected="0">
            <x v="6"/>
          </reference>
          <reference field="6" count="1" selected="0">
            <x v="1"/>
          </reference>
          <reference field="7" count="1" selected="0">
            <x v="220"/>
          </reference>
          <reference field="8" count="1">
            <x v="322"/>
          </reference>
        </references>
      </pivotArea>
    </format>
    <format dxfId="3925">
      <pivotArea dataOnly="0" labelOnly="1" fieldPosition="0">
        <references count="5">
          <reference field="1" count="1" selected="0">
            <x v="131"/>
          </reference>
          <reference field="5" count="1" selected="0">
            <x v="12"/>
          </reference>
          <reference field="6" count="1" selected="0">
            <x v="1"/>
          </reference>
          <reference field="7" count="1" selected="0">
            <x v="220"/>
          </reference>
          <reference field="8" count="4">
            <x v="80"/>
            <x v="213"/>
            <x v="352"/>
            <x v="702"/>
          </reference>
        </references>
      </pivotArea>
    </format>
    <format dxfId="3924">
      <pivotArea dataOnly="0" labelOnly="1" fieldPosition="0">
        <references count="5">
          <reference field="1" count="1" selected="0">
            <x v="131"/>
          </reference>
          <reference field="5" count="1" selected="0">
            <x v="23"/>
          </reference>
          <reference field="6" count="1" selected="0">
            <x v="38"/>
          </reference>
          <reference field="7" count="1" selected="0">
            <x v="220"/>
          </reference>
          <reference field="8" count="1">
            <x v="371"/>
          </reference>
        </references>
      </pivotArea>
    </format>
    <format dxfId="3923">
      <pivotArea dataOnly="0" labelOnly="1" fieldPosition="0">
        <references count="5">
          <reference field="1" count="1" selected="0">
            <x v="131"/>
          </reference>
          <reference field="5" count="1" selected="0">
            <x v="35"/>
          </reference>
          <reference field="6" count="1" selected="0">
            <x v="1"/>
          </reference>
          <reference field="7" count="1" selected="0">
            <x v="220"/>
          </reference>
          <reference field="8" count="2">
            <x v="80"/>
            <x v="500"/>
          </reference>
        </references>
      </pivotArea>
    </format>
    <format dxfId="3922">
      <pivotArea dataOnly="0" labelOnly="1" fieldPosition="0">
        <references count="5">
          <reference field="1" count="1" selected="0">
            <x v="131"/>
          </reference>
          <reference field="5" count="1" selected="0">
            <x v="36"/>
          </reference>
          <reference field="6" count="1" selected="0">
            <x v="38"/>
          </reference>
          <reference field="7" count="1" selected="0">
            <x v="220"/>
          </reference>
          <reference field="8" count="1">
            <x v="214"/>
          </reference>
        </references>
      </pivotArea>
    </format>
    <format dxfId="3921">
      <pivotArea dataOnly="0" labelOnly="1" fieldPosition="0">
        <references count="5">
          <reference field="1" count="1" selected="0">
            <x v="132"/>
          </reference>
          <reference field="5" count="1" selected="0">
            <x v="0"/>
          </reference>
          <reference field="6" count="1" selected="0">
            <x v="38"/>
          </reference>
          <reference field="7" count="1" selected="0">
            <x v="221"/>
          </reference>
          <reference field="8" count="3">
            <x v="138"/>
            <x v="1508"/>
            <x v="1546"/>
          </reference>
        </references>
      </pivotArea>
    </format>
    <format dxfId="3920">
      <pivotArea dataOnly="0" labelOnly="1" fieldPosition="0">
        <references count="5">
          <reference field="1" count="1" selected="0">
            <x v="132"/>
          </reference>
          <reference field="5" count="1" selected="0">
            <x v="3"/>
          </reference>
          <reference field="6" count="1" selected="0">
            <x v="38"/>
          </reference>
          <reference field="7" count="1" selected="0">
            <x v="221"/>
          </reference>
          <reference field="8" count="1">
            <x v="926"/>
          </reference>
        </references>
      </pivotArea>
    </format>
    <format dxfId="3919">
      <pivotArea dataOnly="0" labelOnly="1" fieldPosition="0">
        <references count="5">
          <reference field="1" count="1" selected="0">
            <x v="132"/>
          </reference>
          <reference field="5" count="1" selected="0">
            <x v="6"/>
          </reference>
          <reference field="6" count="1" selected="0">
            <x v="38"/>
          </reference>
          <reference field="7" count="1" selected="0">
            <x v="221"/>
          </reference>
          <reference field="8" count="1">
            <x v="1385"/>
          </reference>
        </references>
      </pivotArea>
    </format>
    <format dxfId="3918">
      <pivotArea dataOnly="0" labelOnly="1" fieldPosition="0">
        <references count="5">
          <reference field="1" count="1" selected="0">
            <x v="132"/>
          </reference>
          <reference field="5" count="1" selected="0">
            <x v="12"/>
          </reference>
          <reference field="6" count="1" selected="0">
            <x v="1"/>
          </reference>
          <reference field="7" count="1" selected="0">
            <x v="221"/>
          </reference>
          <reference field="8" count="3">
            <x v="80"/>
            <x v="607"/>
            <x v="702"/>
          </reference>
        </references>
      </pivotArea>
    </format>
    <format dxfId="3917">
      <pivotArea dataOnly="0" labelOnly="1" fieldPosition="0">
        <references count="5">
          <reference field="1" count="1" selected="0">
            <x v="132"/>
          </reference>
          <reference field="5" count="1" selected="0">
            <x v="12"/>
          </reference>
          <reference field="6" count="1" selected="0">
            <x v="38"/>
          </reference>
          <reference field="7" count="1" selected="0">
            <x v="221"/>
          </reference>
          <reference field="8" count="2">
            <x v="1394"/>
            <x v="1607"/>
          </reference>
        </references>
      </pivotArea>
    </format>
    <format dxfId="3916">
      <pivotArea dataOnly="0" labelOnly="1" fieldPosition="0">
        <references count="5">
          <reference field="1" count="1" selected="0">
            <x v="132"/>
          </reference>
          <reference field="5" count="1" selected="0">
            <x v="17"/>
          </reference>
          <reference field="6" count="1" selected="0">
            <x v="6"/>
          </reference>
          <reference field="7" count="1" selected="0">
            <x v="221"/>
          </reference>
          <reference field="8" count="1">
            <x v="268"/>
          </reference>
        </references>
      </pivotArea>
    </format>
    <format dxfId="3915">
      <pivotArea dataOnly="0" labelOnly="1" fieldPosition="0">
        <references count="5">
          <reference field="1" count="1" selected="0">
            <x v="132"/>
          </reference>
          <reference field="5" count="1" selected="0">
            <x v="33"/>
          </reference>
          <reference field="6" count="1" selected="0">
            <x v="38"/>
          </reference>
          <reference field="7" count="1" selected="0">
            <x v="221"/>
          </reference>
          <reference field="8" count="1">
            <x v="679"/>
          </reference>
        </references>
      </pivotArea>
    </format>
    <format dxfId="3914">
      <pivotArea dataOnly="0" labelOnly="1" fieldPosition="0">
        <references count="5">
          <reference field="1" count="1" selected="0">
            <x v="132"/>
          </reference>
          <reference field="5" count="1" selected="0">
            <x v="35"/>
          </reference>
          <reference field="6" count="1" selected="0">
            <x v="1"/>
          </reference>
          <reference field="7" count="1" selected="0">
            <x v="221"/>
          </reference>
          <reference field="8" count="1">
            <x v="80"/>
          </reference>
        </references>
      </pivotArea>
    </format>
    <format dxfId="3913">
      <pivotArea dataOnly="0" labelOnly="1" fieldPosition="0">
        <references count="5">
          <reference field="1" count="1" selected="0">
            <x v="133"/>
          </reference>
          <reference field="5" count="1" selected="0">
            <x v="0"/>
          </reference>
          <reference field="6" count="1" selected="0">
            <x v="8"/>
          </reference>
          <reference field="7" count="1" selected="0">
            <x v="222"/>
          </reference>
          <reference field="8" count="5">
            <x v="127"/>
            <x v="316"/>
            <x v="700"/>
            <x v="1097"/>
            <x v="1240"/>
          </reference>
        </references>
      </pivotArea>
    </format>
    <format dxfId="3912">
      <pivotArea dataOnly="0" labelOnly="1" fieldPosition="0">
        <references count="5">
          <reference field="1" count="1" selected="0">
            <x v="133"/>
          </reference>
          <reference field="5" count="1" selected="0">
            <x v="0"/>
          </reference>
          <reference field="6" count="1" selected="0">
            <x v="9"/>
          </reference>
          <reference field="7" count="1" selected="0">
            <x v="222"/>
          </reference>
          <reference field="8" count="12">
            <x v="62"/>
            <x v="292"/>
            <x v="520"/>
            <x v="540"/>
            <x v="629"/>
            <x v="687"/>
            <x v="925"/>
            <x v="958"/>
            <x v="962"/>
            <x v="985"/>
            <x v="1141"/>
            <x v="1246"/>
          </reference>
        </references>
      </pivotArea>
    </format>
    <format dxfId="3911">
      <pivotArea dataOnly="0" labelOnly="1" fieldPosition="0">
        <references count="5">
          <reference field="1" count="1" selected="0">
            <x v="133"/>
          </reference>
          <reference field="5" count="1" selected="0">
            <x v="0"/>
          </reference>
          <reference field="6" count="1" selected="0">
            <x v="12"/>
          </reference>
          <reference field="7" count="1" selected="0">
            <x v="50"/>
          </reference>
          <reference field="8" count="1">
            <x v="248"/>
          </reference>
        </references>
      </pivotArea>
    </format>
    <format dxfId="3910">
      <pivotArea dataOnly="0" labelOnly="1" fieldPosition="0">
        <references count="5">
          <reference field="1" count="1" selected="0">
            <x v="133"/>
          </reference>
          <reference field="5" count="1" selected="0">
            <x v="0"/>
          </reference>
          <reference field="6" count="1" selected="0">
            <x v="12"/>
          </reference>
          <reference field="7" count="1" selected="0">
            <x v="56"/>
          </reference>
          <reference field="8" count="1">
            <x v="29"/>
          </reference>
        </references>
      </pivotArea>
    </format>
    <format dxfId="3909">
      <pivotArea dataOnly="0" labelOnly="1" fieldPosition="0">
        <references count="5">
          <reference field="1" count="1" selected="0">
            <x v="133"/>
          </reference>
          <reference field="5" count="1" selected="0">
            <x v="5"/>
          </reference>
          <reference field="6" count="1" selected="0">
            <x v="8"/>
          </reference>
          <reference field="7" count="1" selected="0">
            <x v="222"/>
          </reference>
          <reference field="8" count="1">
            <x v="1283"/>
          </reference>
        </references>
      </pivotArea>
    </format>
    <format dxfId="3908">
      <pivotArea dataOnly="0" labelOnly="1" fieldPosition="0">
        <references count="5">
          <reference field="1" count="1" selected="0">
            <x v="133"/>
          </reference>
          <reference field="5" count="1" selected="0">
            <x v="8"/>
          </reference>
          <reference field="6" count="1" selected="0">
            <x v="10"/>
          </reference>
          <reference field="7" count="1" selected="0">
            <x v="222"/>
          </reference>
          <reference field="8" count="1">
            <x v="772"/>
          </reference>
        </references>
      </pivotArea>
    </format>
    <format dxfId="3907">
      <pivotArea dataOnly="0" labelOnly="1" fieldPosition="0">
        <references count="5">
          <reference field="1" count="1" selected="0">
            <x v="133"/>
          </reference>
          <reference field="5" count="1" selected="0">
            <x v="11"/>
          </reference>
          <reference field="6" count="1" selected="0">
            <x v="9"/>
          </reference>
          <reference field="7" count="1" selected="0">
            <x v="222"/>
          </reference>
          <reference field="8" count="1">
            <x v="410"/>
          </reference>
        </references>
      </pivotArea>
    </format>
    <format dxfId="3906">
      <pivotArea dataOnly="0" labelOnly="1" fieldPosition="0">
        <references count="5">
          <reference field="1" count="1" selected="0">
            <x v="133"/>
          </reference>
          <reference field="5" count="1" selected="0">
            <x v="12"/>
          </reference>
          <reference field="6" count="1" selected="0">
            <x v="1"/>
          </reference>
          <reference field="7" count="1" selected="0">
            <x v="222"/>
          </reference>
          <reference field="8" count="2">
            <x v="352"/>
            <x v="846"/>
          </reference>
        </references>
      </pivotArea>
    </format>
    <format dxfId="3905">
      <pivotArea dataOnly="0" labelOnly="1" fieldPosition="0">
        <references count="5">
          <reference field="1" count="1" selected="0">
            <x v="133"/>
          </reference>
          <reference field="5" count="1" selected="0">
            <x v="15"/>
          </reference>
          <reference field="6" count="1" selected="0">
            <x v="8"/>
          </reference>
          <reference field="7" count="1" selected="0">
            <x v="222"/>
          </reference>
          <reference field="8" count="1">
            <x v="789"/>
          </reference>
        </references>
      </pivotArea>
    </format>
    <format dxfId="3904">
      <pivotArea dataOnly="0" labelOnly="1" fieldPosition="0">
        <references count="5">
          <reference field="1" count="1" selected="0">
            <x v="133"/>
          </reference>
          <reference field="5" count="1" selected="0">
            <x v="29"/>
          </reference>
          <reference field="6" count="1" selected="0">
            <x v="10"/>
          </reference>
          <reference field="7" count="1" selected="0">
            <x v="222"/>
          </reference>
          <reference field="8" count="1">
            <x v="1456"/>
          </reference>
        </references>
      </pivotArea>
    </format>
    <format dxfId="3903">
      <pivotArea dataOnly="0" labelOnly="1" fieldPosition="0">
        <references count="5">
          <reference field="1" count="1" selected="0">
            <x v="133"/>
          </reference>
          <reference field="5" count="1" selected="0">
            <x v="37"/>
          </reference>
          <reference field="6" count="1" selected="0">
            <x v="8"/>
          </reference>
          <reference field="7" count="1" selected="0">
            <x v="222"/>
          </reference>
          <reference field="8" count="1">
            <x v="1328"/>
          </reference>
        </references>
      </pivotArea>
    </format>
    <format dxfId="3902">
      <pivotArea dataOnly="0" labelOnly="1" fieldPosition="0">
        <references count="5">
          <reference field="1" count="1" selected="0">
            <x v="133"/>
          </reference>
          <reference field="5" count="1" selected="0">
            <x v="37"/>
          </reference>
          <reference field="6" count="1" selected="0">
            <x v="9"/>
          </reference>
          <reference field="7" count="1" selected="0">
            <x v="222"/>
          </reference>
          <reference field="8" count="1">
            <x v="1291"/>
          </reference>
        </references>
      </pivotArea>
    </format>
    <format dxfId="3901">
      <pivotArea dataOnly="0" labelOnly="1" fieldPosition="0">
        <references count="5">
          <reference field="1" count="1" selected="0">
            <x v="134"/>
          </reference>
          <reference field="5" count="1" selected="0">
            <x v="0"/>
          </reference>
          <reference field="6" count="1" selected="0">
            <x v="1"/>
          </reference>
          <reference field="7" count="1" selected="0">
            <x v="223"/>
          </reference>
          <reference field="8" count="1">
            <x v="80"/>
          </reference>
        </references>
      </pivotArea>
    </format>
    <format dxfId="3900">
      <pivotArea dataOnly="0" labelOnly="1" fieldPosition="0">
        <references count="5">
          <reference field="1" count="1" selected="0">
            <x v="134"/>
          </reference>
          <reference field="5" count="1" selected="0">
            <x v="0"/>
          </reference>
          <reference field="6" count="1" selected="0">
            <x v="6"/>
          </reference>
          <reference field="7" count="1" selected="0">
            <x v="223"/>
          </reference>
          <reference field="8" count="1">
            <x v="371"/>
          </reference>
        </references>
      </pivotArea>
    </format>
    <format dxfId="3899">
      <pivotArea dataOnly="0" labelOnly="1" fieldPosition="0">
        <references count="5">
          <reference field="1" count="1" selected="0">
            <x v="134"/>
          </reference>
          <reference field="5" count="1" selected="0">
            <x v="0"/>
          </reference>
          <reference field="6" count="1" selected="0">
            <x v="12"/>
          </reference>
          <reference field="7" count="1" selected="0">
            <x v="10"/>
          </reference>
          <reference field="8" count="1">
            <x v="138"/>
          </reference>
        </references>
      </pivotArea>
    </format>
    <format dxfId="3898">
      <pivotArea dataOnly="0" labelOnly="1" fieldPosition="0">
        <references count="5">
          <reference field="1" count="1" selected="0">
            <x v="134"/>
          </reference>
          <reference field="5" count="1" selected="0">
            <x v="0"/>
          </reference>
          <reference field="6" count="1" selected="0">
            <x v="12"/>
          </reference>
          <reference field="7" count="1" selected="0">
            <x v="16"/>
          </reference>
          <reference field="8" count="1">
            <x v="332"/>
          </reference>
        </references>
      </pivotArea>
    </format>
    <format dxfId="3897">
      <pivotArea dataOnly="0" labelOnly="1" fieldPosition="0">
        <references count="5">
          <reference field="1" count="1" selected="0">
            <x v="134"/>
          </reference>
          <reference field="5" count="1" selected="0">
            <x v="0"/>
          </reference>
          <reference field="6" count="1" selected="0">
            <x v="12"/>
          </reference>
          <reference field="7" count="1" selected="0">
            <x v="17"/>
          </reference>
          <reference field="8" count="1">
            <x v="96"/>
          </reference>
        </references>
      </pivotArea>
    </format>
    <format dxfId="3896">
      <pivotArea dataOnly="0" labelOnly="1" fieldPosition="0">
        <references count="5">
          <reference field="1" count="1" selected="0">
            <x v="134"/>
          </reference>
          <reference field="5" count="1" selected="0">
            <x v="0"/>
          </reference>
          <reference field="6" count="1" selected="0">
            <x v="12"/>
          </reference>
          <reference field="7" count="1" selected="0">
            <x v="26"/>
          </reference>
          <reference field="8" count="1">
            <x v="20"/>
          </reference>
        </references>
      </pivotArea>
    </format>
    <format dxfId="3895">
      <pivotArea dataOnly="0" labelOnly="1" fieldPosition="0">
        <references count="5">
          <reference field="1" count="1" selected="0">
            <x v="134"/>
          </reference>
          <reference field="5" count="1" selected="0">
            <x v="0"/>
          </reference>
          <reference field="6" count="1" selected="0">
            <x v="38"/>
          </reference>
          <reference field="7" count="1" selected="0">
            <x v="223"/>
          </reference>
          <reference field="8" count="1">
            <x v="138"/>
          </reference>
        </references>
      </pivotArea>
    </format>
    <format dxfId="3894">
      <pivotArea dataOnly="0" labelOnly="1" fieldPosition="0">
        <references count="5">
          <reference field="1" count="1" selected="0">
            <x v="134"/>
          </reference>
          <reference field="5" count="1" selected="0">
            <x v="6"/>
          </reference>
          <reference field="6" count="1" selected="0">
            <x v="38"/>
          </reference>
          <reference field="7" count="1" selected="0">
            <x v="223"/>
          </reference>
          <reference field="8" count="1">
            <x v="592"/>
          </reference>
        </references>
      </pivotArea>
    </format>
    <format dxfId="3893">
      <pivotArea dataOnly="0" labelOnly="1" fieldPosition="0">
        <references count="5">
          <reference field="1" count="1" selected="0">
            <x v="134"/>
          </reference>
          <reference field="5" count="1" selected="0">
            <x v="12"/>
          </reference>
          <reference field="6" count="1" selected="0">
            <x v="1"/>
          </reference>
          <reference field="7" count="1" selected="0">
            <x v="223"/>
          </reference>
          <reference field="8" count="5">
            <x v="80"/>
            <x v="213"/>
            <x v="352"/>
            <x v="500"/>
            <x v="607"/>
          </reference>
        </references>
      </pivotArea>
    </format>
    <format dxfId="3892">
      <pivotArea dataOnly="0" labelOnly="1" fieldPosition="0">
        <references count="5">
          <reference field="1" count="1" selected="0">
            <x v="134"/>
          </reference>
          <reference field="5" count="1" selected="0">
            <x v="14"/>
          </reference>
          <reference field="6" count="1" selected="0">
            <x v="6"/>
          </reference>
          <reference field="7" count="1" selected="0">
            <x v="223"/>
          </reference>
          <reference field="8" count="1">
            <x v="1139"/>
          </reference>
        </references>
      </pivotArea>
    </format>
    <format dxfId="3891">
      <pivotArea dataOnly="0" labelOnly="1" fieldPosition="0">
        <references count="5">
          <reference field="1" count="1" selected="0">
            <x v="134"/>
          </reference>
          <reference field="5" count="1" selected="0">
            <x v="20"/>
          </reference>
          <reference field="6" count="1" selected="0">
            <x v="10"/>
          </reference>
          <reference field="7" count="1" selected="0">
            <x v="223"/>
          </reference>
          <reference field="8" count="1">
            <x v="1866"/>
          </reference>
        </references>
      </pivotArea>
    </format>
    <format dxfId="3890">
      <pivotArea dataOnly="0" labelOnly="1" fieldPosition="0">
        <references count="5">
          <reference field="1" count="1" selected="0">
            <x v="134"/>
          </reference>
          <reference field="5" count="1" selected="0">
            <x v="23"/>
          </reference>
          <reference field="6" count="1" selected="0">
            <x v="38"/>
          </reference>
          <reference field="7" count="1" selected="0">
            <x v="223"/>
          </reference>
          <reference field="8" count="1">
            <x v="19"/>
          </reference>
        </references>
      </pivotArea>
    </format>
    <format dxfId="3889">
      <pivotArea dataOnly="0" labelOnly="1" fieldPosition="0">
        <references count="5">
          <reference field="1" count="1" selected="0">
            <x v="134"/>
          </reference>
          <reference field="5" count="1" selected="0">
            <x v="29"/>
          </reference>
          <reference field="6" count="1" selected="0">
            <x v="10"/>
          </reference>
          <reference field="7" count="1" selected="0">
            <x v="223"/>
          </reference>
          <reference field="8" count="1">
            <x v="1598"/>
          </reference>
        </references>
      </pivotArea>
    </format>
    <format dxfId="3888">
      <pivotArea dataOnly="0" labelOnly="1" fieldPosition="0">
        <references count="5">
          <reference field="1" count="1" selected="0">
            <x v="134"/>
          </reference>
          <reference field="5" count="1" selected="0">
            <x v="36"/>
          </reference>
          <reference field="6" count="1" selected="0">
            <x v="6"/>
          </reference>
          <reference field="7" count="1" selected="0">
            <x v="223"/>
          </reference>
          <reference field="8" count="1">
            <x v="576"/>
          </reference>
        </references>
      </pivotArea>
    </format>
    <format dxfId="3887">
      <pivotArea dataOnly="0" labelOnly="1" fieldPosition="0">
        <references count="5">
          <reference field="1" count="1" selected="0">
            <x v="135"/>
          </reference>
          <reference field="5" count="1" selected="0">
            <x v="0"/>
          </reference>
          <reference field="6" count="1" selected="0">
            <x v="12"/>
          </reference>
          <reference field="7" count="1" selected="0">
            <x v="18"/>
          </reference>
          <reference field="8" count="1">
            <x v="18"/>
          </reference>
        </references>
      </pivotArea>
    </format>
    <format dxfId="3886">
      <pivotArea dataOnly="0" labelOnly="1" fieldPosition="0">
        <references count="5">
          <reference field="1" count="1" selected="0">
            <x v="135"/>
          </reference>
          <reference field="5" count="1" selected="0">
            <x v="0"/>
          </reference>
          <reference field="6" count="1" selected="0">
            <x v="12"/>
          </reference>
          <reference field="7" count="1" selected="0">
            <x v="34"/>
          </reference>
          <reference field="8" count="1">
            <x v="325"/>
          </reference>
        </references>
      </pivotArea>
    </format>
    <format dxfId="3885">
      <pivotArea dataOnly="0" labelOnly="1" fieldPosition="0">
        <references count="5">
          <reference field="1" count="1" selected="0">
            <x v="135"/>
          </reference>
          <reference field="5" count="1" selected="0">
            <x v="0"/>
          </reference>
          <reference field="6" count="1" selected="0">
            <x v="12"/>
          </reference>
          <reference field="7" count="1" selected="0">
            <x v="38"/>
          </reference>
          <reference field="8" count="1">
            <x v="11"/>
          </reference>
        </references>
      </pivotArea>
    </format>
    <format dxfId="3884">
      <pivotArea dataOnly="0" labelOnly="1" fieldPosition="0">
        <references count="5">
          <reference field="1" count="1" selected="0">
            <x v="135"/>
          </reference>
          <reference field="5" count="1" selected="0">
            <x v="0"/>
          </reference>
          <reference field="6" count="1" selected="0">
            <x v="12"/>
          </reference>
          <reference field="7" count="1" selected="0">
            <x v="50"/>
          </reference>
          <reference field="8" count="1">
            <x v="352"/>
          </reference>
        </references>
      </pivotArea>
    </format>
    <format dxfId="3883">
      <pivotArea dataOnly="0" labelOnly="1" fieldPosition="0">
        <references count="5">
          <reference field="1" count="1" selected="0">
            <x v="135"/>
          </reference>
          <reference field="5" count="1" selected="0">
            <x v="0"/>
          </reference>
          <reference field="6" count="1" selected="0">
            <x v="12"/>
          </reference>
          <reference field="7" count="1" selected="0">
            <x v="52"/>
          </reference>
          <reference field="8" count="1">
            <x v="75"/>
          </reference>
        </references>
      </pivotArea>
    </format>
    <format dxfId="3882">
      <pivotArea dataOnly="0" labelOnly="1" fieldPosition="0">
        <references count="5">
          <reference field="1" count="1" selected="0">
            <x v="135"/>
          </reference>
          <reference field="5" count="1" selected="0">
            <x v="5"/>
          </reference>
          <reference field="6" count="1" selected="0">
            <x v="37"/>
          </reference>
          <reference field="7" count="1" selected="0">
            <x v="224"/>
          </reference>
          <reference field="8" count="1">
            <x v="1207"/>
          </reference>
        </references>
      </pivotArea>
    </format>
    <format dxfId="3881">
      <pivotArea dataOnly="0" labelOnly="1" fieldPosition="0">
        <references count="5">
          <reference field="1" count="1" selected="0">
            <x v="135"/>
          </reference>
          <reference field="5" count="1" selected="0">
            <x v="6"/>
          </reference>
          <reference field="6" count="1" selected="0">
            <x v="38"/>
          </reference>
          <reference field="7" count="1" selected="0">
            <x v="224"/>
          </reference>
          <reference field="8" count="1">
            <x v="619"/>
          </reference>
        </references>
      </pivotArea>
    </format>
    <format dxfId="3880">
      <pivotArea dataOnly="0" labelOnly="1" fieldPosition="0">
        <references count="5">
          <reference field="1" count="1" selected="0">
            <x v="135"/>
          </reference>
          <reference field="5" count="1" selected="0">
            <x v="12"/>
          </reference>
          <reference field="6" count="1" selected="0">
            <x v="1"/>
          </reference>
          <reference field="7" count="1" selected="0">
            <x v="224"/>
          </reference>
          <reference field="8" count="5">
            <x v="80"/>
            <x v="213"/>
            <x v="352"/>
            <x v="771"/>
            <x v="964"/>
          </reference>
        </references>
      </pivotArea>
    </format>
    <format dxfId="3879">
      <pivotArea dataOnly="0" labelOnly="1" fieldPosition="0">
        <references count="5">
          <reference field="1" count="1" selected="0">
            <x v="135"/>
          </reference>
          <reference field="5" count="1" selected="0">
            <x v="17"/>
          </reference>
          <reference field="6" count="1" selected="0">
            <x v="6"/>
          </reference>
          <reference field="7" count="1" selected="0">
            <x v="224"/>
          </reference>
          <reference field="8" count="1">
            <x v="1649"/>
          </reference>
        </references>
      </pivotArea>
    </format>
    <format dxfId="3878">
      <pivotArea dataOnly="0" labelOnly="1" fieldPosition="0">
        <references count="5">
          <reference field="1" count="1" selected="0">
            <x v="135"/>
          </reference>
          <reference field="5" count="1" selected="0">
            <x v="33"/>
          </reference>
          <reference field="6" count="1" selected="0">
            <x v="38"/>
          </reference>
          <reference field="7" count="1" selected="0">
            <x v="224"/>
          </reference>
          <reference field="8" count="1">
            <x v="249"/>
          </reference>
        </references>
      </pivotArea>
    </format>
    <format dxfId="3877">
      <pivotArea dataOnly="0" labelOnly="1" fieldPosition="0">
        <references count="5">
          <reference field="1" count="1" selected="0">
            <x v="136"/>
          </reference>
          <reference field="5" count="1" selected="0">
            <x v="0"/>
          </reference>
          <reference field="6" count="1" selected="0">
            <x v="7"/>
          </reference>
          <reference field="7" count="1" selected="0">
            <x v="225"/>
          </reference>
          <reference field="8" count="1">
            <x v="329"/>
          </reference>
        </references>
      </pivotArea>
    </format>
    <format dxfId="3876">
      <pivotArea dataOnly="0" labelOnly="1" fieldPosition="0">
        <references count="5">
          <reference field="1" count="1" selected="0">
            <x v="136"/>
          </reference>
          <reference field="5" count="1" selected="0">
            <x v="0"/>
          </reference>
          <reference field="6" count="1" selected="0">
            <x v="8"/>
          </reference>
          <reference field="7" count="1" selected="0">
            <x v="225"/>
          </reference>
          <reference field="8" count="1">
            <x v="247"/>
          </reference>
        </references>
      </pivotArea>
    </format>
    <format dxfId="3875">
      <pivotArea dataOnly="0" labelOnly="1" fieldPosition="0">
        <references count="5">
          <reference field="1" count="1" selected="0">
            <x v="136"/>
          </reference>
          <reference field="5" count="1" selected="0">
            <x v="0"/>
          </reference>
          <reference field="6" count="1" selected="0">
            <x v="9"/>
          </reference>
          <reference field="7" count="1" selected="0">
            <x v="225"/>
          </reference>
          <reference field="8" count="6">
            <x v="309"/>
            <x v="450"/>
            <x v="470"/>
            <x v="545"/>
            <x v="609"/>
            <x v="1004"/>
          </reference>
        </references>
      </pivotArea>
    </format>
    <format dxfId="3874">
      <pivotArea dataOnly="0" labelOnly="1" fieldPosition="0">
        <references count="5">
          <reference field="1" count="1" selected="0">
            <x v="136"/>
          </reference>
          <reference field="5" count="1" selected="0">
            <x v="0"/>
          </reference>
          <reference field="6" count="1" selected="0">
            <x v="12"/>
          </reference>
          <reference field="7" count="1" selected="0">
            <x v="63"/>
          </reference>
          <reference field="8" count="1">
            <x v="6"/>
          </reference>
        </references>
      </pivotArea>
    </format>
    <format dxfId="3873">
      <pivotArea dataOnly="0" labelOnly="1" fieldPosition="0">
        <references count="5">
          <reference field="1" count="1" selected="0">
            <x v="136"/>
          </reference>
          <reference field="5" count="1" selected="0">
            <x v="0"/>
          </reference>
          <reference field="6" count="1" selected="0">
            <x v="38"/>
          </reference>
          <reference field="7" count="1" selected="0">
            <x v="225"/>
          </reference>
          <reference field="8" count="1">
            <x v="138"/>
          </reference>
        </references>
      </pivotArea>
    </format>
    <format dxfId="3872">
      <pivotArea dataOnly="0" labelOnly="1" fieldPosition="0">
        <references count="5">
          <reference field="1" count="1" selected="0">
            <x v="136"/>
          </reference>
          <reference field="5" count="1" selected="0">
            <x v="2"/>
          </reference>
          <reference field="6" count="1" selected="0">
            <x v="10"/>
          </reference>
          <reference field="7" count="1" selected="0">
            <x v="225"/>
          </reference>
          <reference field="8" count="1">
            <x v="1750"/>
          </reference>
        </references>
      </pivotArea>
    </format>
    <format dxfId="3871">
      <pivotArea dataOnly="0" labelOnly="1" fieldPosition="0">
        <references count="5">
          <reference field="1" count="1" selected="0">
            <x v="136"/>
          </reference>
          <reference field="5" count="1" selected="0">
            <x v="3"/>
          </reference>
          <reference field="6" count="1" selected="0">
            <x v="10"/>
          </reference>
          <reference field="7" count="1" selected="0">
            <x v="225"/>
          </reference>
          <reference field="8" count="1">
            <x v="1355"/>
          </reference>
        </references>
      </pivotArea>
    </format>
    <format dxfId="3870">
      <pivotArea dataOnly="0" labelOnly="1" fieldPosition="0">
        <references count="5">
          <reference field="1" count="1" selected="0">
            <x v="136"/>
          </reference>
          <reference field="5" count="1" selected="0">
            <x v="8"/>
          </reference>
          <reference field="6" count="1" selected="0">
            <x v="10"/>
          </reference>
          <reference field="7" count="1" selected="0">
            <x v="225"/>
          </reference>
          <reference field="8" count="1">
            <x v="1555"/>
          </reference>
        </references>
      </pivotArea>
    </format>
    <format dxfId="3869">
      <pivotArea dataOnly="0" labelOnly="1" fieldPosition="0">
        <references count="5">
          <reference field="1" count="1" selected="0">
            <x v="136"/>
          </reference>
          <reference field="5" count="1" selected="0">
            <x v="9"/>
          </reference>
          <reference field="6" count="1" selected="0">
            <x v="10"/>
          </reference>
          <reference field="7" count="1" selected="0">
            <x v="225"/>
          </reference>
          <reference field="8" count="1">
            <x v="33"/>
          </reference>
        </references>
      </pivotArea>
    </format>
    <format dxfId="3868">
      <pivotArea dataOnly="0" labelOnly="1" fieldPosition="0">
        <references count="5">
          <reference field="1" count="1" selected="0">
            <x v="136"/>
          </reference>
          <reference field="5" count="1" selected="0">
            <x v="12"/>
          </reference>
          <reference field="6" count="1" selected="0">
            <x v="1"/>
          </reference>
          <reference field="7" count="1" selected="0">
            <x v="225"/>
          </reference>
          <reference field="8" count="2">
            <x v="80"/>
            <x v="213"/>
          </reference>
        </references>
      </pivotArea>
    </format>
    <format dxfId="3867">
      <pivotArea dataOnly="0" labelOnly="1" fieldPosition="0">
        <references count="5">
          <reference field="1" count="1" selected="0">
            <x v="136"/>
          </reference>
          <reference field="5" count="1" selected="0">
            <x v="15"/>
          </reference>
          <reference field="6" count="1" selected="0">
            <x v="8"/>
          </reference>
          <reference field="7" count="1" selected="0">
            <x v="225"/>
          </reference>
          <reference field="8" count="1">
            <x v="1119"/>
          </reference>
        </references>
      </pivotArea>
    </format>
    <format dxfId="3866">
      <pivotArea dataOnly="0" labelOnly="1" fieldPosition="0">
        <references count="5">
          <reference field="1" count="1" selected="0">
            <x v="136"/>
          </reference>
          <reference field="5" count="1" selected="0">
            <x v="18"/>
          </reference>
          <reference field="6" count="1" selected="0">
            <x v="10"/>
          </reference>
          <reference field="7" count="1" selected="0">
            <x v="225"/>
          </reference>
          <reference field="8" count="1">
            <x v="1874"/>
          </reference>
        </references>
      </pivotArea>
    </format>
    <format dxfId="3865">
      <pivotArea dataOnly="0" labelOnly="1" fieldPosition="0">
        <references count="5">
          <reference field="1" count="1" selected="0">
            <x v="136"/>
          </reference>
          <reference field="5" count="1" selected="0">
            <x v="19"/>
          </reference>
          <reference field="6" count="1" selected="0">
            <x v="6"/>
          </reference>
          <reference field="7" count="1" selected="0">
            <x v="225"/>
          </reference>
          <reference field="8" count="1">
            <x v="433"/>
          </reference>
        </references>
      </pivotArea>
    </format>
    <format dxfId="3864">
      <pivotArea dataOnly="0" labelOnly="1" fieldPosition="0">
        <references count="5">
          <reference field="1" count="1" selected="0">
            <x v="136"/>
          </reference>
          <reference field="5" count="1" selected="0">
            <x v="22"/>
          </reference>
          <reference field="6" count="1" selected="0">
            <x v="38"/>
          </reference>
          <reference field="7" count="1" selected="0">
            <x v="225"/>
          </reference>
          <reference field="8" count="1">
            <x v="1453"/>
          </reference>
        </references>
      </pivotArea>
    </format>
    <format dxfId="3863">
      <pivotArea dataOnly="0" labelOnly="1" fieldPosition="0">
        <references count="5">
          <reference field="1" count="1" selected="0">
            <x v="136"/>
          </reference>
          <reference field="5" count="1" selected="0">
            <x v="23"/>
          </reference>
          <reference field="6" count="1" selected="0">
            <x v="38"/>
          </reference>
          <reference field="7" count="1" selected="0">
            <x v="225"/>
          </reference>
          <reference field="8" count="1">
            <x v="30"/>
          </reference>
        </references>
      </pivotArea>
    </format>
    <format dxfId="3862">
      <pivotArea dataOnly="0" labelOnly="1" fieldPosition="0">
        <references count="5">
          <reference field="1" count="1" selected="0">
            <x v="136"/>
          </reference>
          <reference field="5" count="1" selected="0">
            <x v="35"/>
          </reference>
          <reference field="6" count="1" selected="0">
            <x v="1"/>
          </reference>
          <reference field="7" count="1" selected="0">
            <x v="225"/>
          </reference>
          <reference field="8" count="1">
            <x v="80"/>
          </reference>
        </references>
      </pivotArea>
    </format>
    <format dxfId="3861">
      <pivotArea dataOnly="0" labelOnly="1" fieldPosition="0">
        <references count="5">
          <reference field="1" count="1" selected="0">
            <x v="136"/>
          </reference>
          <reference field="5" count="1" selected="0">
            <x v="36"/>
          </reference>
          <reference field="6" count="1" selected="0">
            <x v="10"/>
          </reference>
          <reference field="7" count="1" selected="0">
            <x v="225"/>
          </reference>
          <reference field="8" count="1">
            <x v="1576"/>
          </reference>
        </references>
      </pivotArea>
    </format>
    <format dxfId="3860">
      <pivotArea dataOnly="0" labelOnly="1" fieldPosition="0">
        <references count="5">
          <reference field="1" count="1" selected="0">
            <x v="136"/>
          </reference>
          <reference field="5" count="1" selected="0">
            <x v="38"/>
          </reference>
          <reference field="6" count="1" selected="0">
            <x v="10"/>
          </reference>
          <reference field="7" count="1" selected="0">
            <x v="225"/>
          </reference>
          <reference field="8" count="1">
            <x v="1276"/>
          </reference>
        </references>
      </pivotArea>
    </format>
    <format dxfId="3859">
      <pivotArea dataOnly="0" labelOnly="1" fieldPosition="0">
        <references count="5">
          <reference field="1" count="1" selected="0">
            <x v="137"/>
          </reference>
          <reference field="5" count="1" selected="0">
            <x v="0"/>
          </reference>
          <reference field="6" count="1" selected="0">
            <x v="12"/>
          </reference>
          <reference field="7" count="1" selected="0">
            <x v="21"/>
          </reference>
          <reference field="8" count="1">
            <x v="194"/>
          </reference>
        </references>
      </pivotArea>
    </format>
    <format dxfId="3858">
      <pivotArea dataOnly="0" labelOnly="1" fieldPosition="0">
        <references count="5">
          <reference field="1" count="1" selected="0">
            <x v="137"/>
          </reference>
          <reference field="5" count="1" selected="0">
            <x v="0"/>
          </reference>
          <reference field="6" count="1" selected="0">
            <x v="12"/>
          </reference>
          <reference field="7" count="1" selected="0">
            <x v="24"/>
          </reference>
          <reference field="8" count="1">
            <x v="23"/>
          </reference>
        </references>
      </pivotArea>
    </format>
    <format dxfId="3857">
      <pivotArea dataOnly="0" labelOnly="1" fieldPosition="0">
        <references count="5">
          <reference field="1" count="1" selected="0">
            <x v="137"/>
          </reference>
          <reference field="5" count="1" selected="0">
            <x v="0"/>
          </reference>
          <reference field="6" count="1" selected="0">
            <x v="12"/>
          </reference>
          <reference field="7" count="1" selected="0">
            <x v="32"/>
          </reference>
          <reference field="8" count="1">
            <x v="744"/>
          </reference>
        </references>
      </pivotArea>
    </format>
    <format dxfId="3856">
      <pivotArea dataOnly="0" labelOnly="1" fieldPosition="0">
        <references count="5">
          <reference field="1" count="1" selected="0">
            <x v="137"/>
          </reference>
          <reference field="5" count="1" selected="0">
            <x v="0"/>
          </reference>
          <reference field="6" count="1" selected="0">
            <x v="12"/>
          </reference>
          <reference field="7" count="1" selected="0">
            <x v="71"/>
          </reference>
          <reference field="8" count="1">
            <x v="139"/>
          </reference>
        </references>
      </pivotArea>
    </format>
    <format dxfId="3855">
      <pivotArea dataOnly="0" labelOnly="1" fieldPosition="0">
        <references count="5">
          <reference field="1" count="1" selected="0">
            <x v="137"/>
          </reference>
          <reference field="5" count="1" selected="0">
            <x v="3"/>
          </reference>
          <reference field="6" count="1" selected="0">
            <x v="38"/>
          </reference>
          <reference field="7" count="1" selected="0">
            <x v="226"/>
          </reference>
          <reference field="8" count="1">
            <x v="561"/>
          </reference>
        </references>
      </pivotArea>
    </format>
    <format dxfId="3854">
      <pivotArea dataOnly="0" labelOnly="1" fieldPosition="0">
        <references count="5">
          <reference field="1" count="1" selected="0">
            <x v="137"/>
          </reference>
          <reference field="5" count="1" selected="0">
            <x v="5"/>
          </reference>
          <reference field="6" count="1" selected="0">
            <x v="37"/>
          </reference>
          <reference field="7" count="1" selected="0">
            <x v="226"/>
          </reference>
          <reference field="8" count="1">
            <x v="1832"/>
          </reference>
        </references>
      </pivotArea>
    </format>
    <format dxfId="3853">
      <pivotArea dataOnly="0" labelOnly="1" fieldPosition="0">
        <references count="5">
          <reference field="1" count="1" selected="0">
            <x v="137"/>
          </reference>
          <reference field="5" count="1" selected="0">
            <x v="5"/>
          </reference>
          <reference field="6" count="1" selected="0">
            <x v="38"/>
          </reference>
          <reference field="7" count="1" selected="0">
            <x v="226"/>
          </reference>
          <reference field="8" count="1">
            <x v="1707"/>
          </reference>
        </references>
      </pivotArea>
    </format>
    <format dxfId="3852">
      <pivotArea dataOnly="0" labelOnly="1" fieldPosition="0">
        <references count="5">
          <reference field="1" count="1" selected="0">
            <x v="137"/>
          </reference>
          <reference field="5" count="1" selected="0">
            <x v="6"/>
          </reference>
          <reference field="6" count="1" selected="0">
            <x v="38"/>
          </reference>
          <reference field="7" count="1" selected="0">
            <x v="226"/>
          </reference>
          <reference field="8" count="1">
            <x v="947"/>
          </reference>
        </references>
      </pivotArea>
    </format>
    <format dxfId="3851">
      <pivotArea dataOnly="0" labelOnly="1" fieldPosition="0">
        <references count="5">
          <reference field="1" count="1" selected="0">
            <x v="137"/>
          </reference>
          <reference field="5" count="1" selected="0">
            <x v="8"/>
          </reference>
          <reference field="6" count="1" selected="0">
            <x v="38"/>
          </reference>
          <reference field="7" count="1" selected="0">
            <x v="226"/>
          </reference>
          <reference field="8" count="1">
            <x v="532"/>
          </reference>
        </references>
      </pivotArea>
    </format>
    <format dxfId="3850">
      <pivotArea dataOnly="0" labelOnly="1" fieldPosition="0">
        <references count="5">
          <reference field="1" count="1" selected="0">
            <x v="137"/>
          </reference>
          <reference field="5" count="1" selected="0">
            <x v="12"/>
          </reference>
          <reference field="6" count="1" selected="0">
            <x v="1"/>
          </reference>
          <reference field="7" count="1" selected="0">
            <x v="226"/>
          </reference>
          <reference field="8" count="4">
            <x v="80"/>
            <x v="213"/>
            <x v="500"/>
            <x v="846"/>
          </reference>
        </references>
      </pivotArea>
    </format>
    <format dxfId="3849">
      <pivotArea dataOnly="0" labelOnly="1" fieldPosition="0">
        <references count="5">
          <reference field="1" count="1" selected="0">
            <x v="137"/>
          </reference>
          <reference field="5" count="1" selected="0">
            <x v="14"/>
          </reference>
          <reference field="6" count="1" selected="0">
            <x v="1"/>
          </reference>
          <reference field="7" count="1" selected="0">
            <x v="226"/>
          </reference>
          <reference field="8" count="1">
            <x v="1169"/>
          </reference>
        </references>
      </pivotArea>
    </format>
    <format dxfId="3848">
      <pivotArea dataOnly="0" labelOnly="1" fieldPosition="0">
        <references count="5">
          <reference field="1" count="1" selected="0">
            <x v="137"/>
          </reference>
          <reference field="5" count="1" selected="0">
            <x v="15"/>
          </reference>
          <reference field="6" count="1" selected="0">
            <x v="37"/>
          </reference>
          <reference field="7" count="1" selected="0">
            <x v="226"/>
          </reference>
          <reference field="8" count="1">
            <x v="897"/>
          </reference>
        </references>
      </pivotArea>
    </format>
    <format dxfId="3847">
      <pivotArea dataOnly="0" labelOnly="1" fieldPosition="0">
        <references count="5">
          <reference field="1" count="1" selected="0">
            <x v="137"/>
          </reference>
          <reference field="5" count="1" selected="0">
            <x v="15"/>
          </reference>
          <reference field="6" count="1" selected="0">
            <x v="38"/>
          </reference>
          <reference field="7" count="1" selected="0">
            <x v="226"/>
          </reference>
          <reference field="8" count="1">
            <x v="607"/>
          </reference>
        </references>
      </pivotArea>
    </format>
    <format dxfId="3846">
      <pivotArea dataOnly="0" labelOnly="1" fieldPosition="0">
        <references count="5">
          <reference field="1" count="1" selected="0">
            <x v="137"/>
          </reference>
          <reference field="5" count="1" selected="0">
            <x v="17"/>
          </reference>
          <reference field="6" count="1" selected="0">
            <x v="38"/>
          </reference>
          <reference field="7" count="1" selected="0">
            <x v="226"/>
          </reference>
          <reference field="8" count="1">
            <x v="1453"/>
          </reference>
        </references>
      </pivotArea>
    </format>
    <format dxfId="3845">
      <pivotArea dataOnly="0" labelOnly="1" fieldPosition="0">
        <references count="5">
          <reference field="1" count="1" selected="0">
            <x v="137"/>
          </reference>
          <reference field="5" count="1" selected="0">
            <x v="24"/>
          </reference>
          <reference field="6" count="1" selected="0">
            <x v="38"/>
          </reference>
          <reference field="7" count="1" selected="0">
            <x v="226"/>
          </reference>
          <reference field="8" count="1">
            <x v="1592"/>
          </reference>
        </references>
      </pivotArea>
    </format>
    <format dxfId="3844">
      <pivotArea dataOnly="0" labelOnly="1" fieldPosition="0">
        <references count="5">
          <reference field="1" count="1" selected="0">
            <x v="137"/>
          </reference>
          <reference field="5" count="1" selected="0">
            <x v="26"/>
          </reference>
          <reference field="6" count="1" selected="0">
            <x v="38"/>
          </reference>
          <reference field="7" count="1" selected="0">
            <x v="226"/>
          </reference>
          <reference field="8" count="1">
            <x v="371"/>
          </reference>
        </references>
      </pivotArea>
    </format>
    <format dxfId="3843">
      <pivotArea dataOnly="0" labelOnly="1" fieldPosition="0">
        <references count="5">
          <reference field="1" count="1" selected="0">
            <x v="137"/>
          </reference>
          <reference field="5" count="1" selected="0">
            <x v="33"/>
          </reference>
          <reference field="6" count="1" selected="0">
            <x v="38"/>
          </reference>
          <reference field="7" count="1" selected="0">
            <x v="226"/>
          </reference>
          <reference field="8" count="1">
            <x v="1280"/>
          </reference>
        </references>
      </pivotArea>
    </format>
    <format dxfId="3842">
      <pivotArea dataOnly="0" labelOnly="1" fieldPosition="0">
        <references count="5">
          <reference field="1" count="1" selected="0">
            <x v="137"/>
          </reference>
          <reference field="5" count="1" selected="0">
            <x v="35"/>
          </reference>
          <reference field="6" count="1" selected="0">
            <x v="1"/>
          </reference>
          <reference field="7" count="1" selected="0">
            <x v="226"/>
          </reference>
          <reference field="8" count="1">
            <x v="213"/>
          </reference>
        </references>
      </pivotArea>
    </format>
    <format dxfId="3841">
      <pivotArea dataOnly="0" labelOnly="1" fieldPosition="0">
        <references count="5">
          <reference field="1" count="1" selected="0">
            <x v="138"/>
          </reference>
          <reference field="5" count="1" selected="0">
            <x v="12"/>
          </reference>
          <reference field="6" count="1" selected="0">
            <x v="1"/>
          </reference>
          <reference field="7" count="1" selected="0">
            <x v="227"/>
          </reference>
          <reference field="8" count="2">
            <x v="80"/>
            <x v="213"/>
          </reference>
        </references>
      </pivotArea>
    </format>
    <format dxfId="3840">
      <pivotArea dataOnly="0" labelOnly="1" fieldPosition="0">
        <references count="5">
          <reference field="1" count="1" selected="0">
            <x v="138"/>
          </reference>
          <reference field="5" count="1" selected="0">
            <x v="12"/>
          </reference>
          <reference field="6" count="1" selected="0">
            <x v="38"/>
          </reference>
          <reference field="7" count="1" selected="0">
            <x v="227"/>
          </reference>
          <reference field="8" count="1">
            <x v="1066"/>
          </reference>
        </references>
      </pivotArea>
    </format>
    <format dxfId="3839">
      <pivotArea dataOnly="0" labelOnly="1" fieldPosition="0">
        <references count="5">
          <reference field="1" count="1" selected="0">
            <x v="138"/>
          </reference>
          <reference field="5" count="1" selected="0">
            <x v="15"/>
          </reference>
          <reference field="6" count="1" selected="0">
            <x v="38"/>
          </reference>
          <reference field="7" count="1" selected="0">
            <x v="227"/>
          </reference>
          <reference field="8" count="1">
            <x v="469"/>
          </reference>
        </references>
      </pivotArea>
    </format>
    <format dxfId="3838">
      <pivotArea dataOnly="0" labelOnly="1" fieldPosition="0">
        <references count="5">
          <reference field="1" count="1" selected="0">
            <x v="138"/>
          </reference>
          <reference field="5" count="1" selected="0">
            <x v="23"/>
          </reference>
          <reference field="6" count="1" selected="0">
            <x v="38"/>
          </reference>
          <reference field="7" count="1" selected="0">
            <x v="227"/>
          </reference>
          <reference field="8" count="1">
            <x v="1188"/>
          </reference>
        </references>
      </pivotArea>
    </format>
    <format dxfId="3837">
      <pivotArea dataOnly="0" labelOnly="1" fieldPosition="0">
        <references count="5">
          <reference field="1" count="1" selected="0">
            <x v="138"/>
          </reference>
          <reference field="5" count="1" selected="0">
            <x v="33"/>
          </reference>
          <reference field="6" count="1" selected="0">
            <x v="6"/>
          </reference>
          <reference field="7" count="1" selected="0">
            <x v="227"/>
          </reference>
          <reference field="8" count="1">
            <x v="469"/>
          </reference>
        </references>
      </pivotArea>
    </format>
    <format dxfId="3836">
      <pivotArea dataOnly="0" labelOnly="1" fieldPosition="0">
        <references count="5">
          <reference field="1" count="1" selected="0">
            <x v="138"/>
          </reference>
          <reference field="5" count="1" selected="0">
            <x v="35"/>
          </reference>
          <reference field="6" count="1" selected="0">
            <x v="1"/>
          </reference>
          <reference field="7" count="1" selected="0">
            <x v="227"/>
          </reference>
          <reference field="8" count="1">
            <x v="80"/>
          </reference>
        </references>
      </pivotArea>
    </format>
    <format dxfId="3835">
      <pivotArea dataOnly="0" labelOnly="1" fieldPosition="0">
        <references count="5">
          <reference field="1" count="1" selected="0">
            <x v="138"/>
          </reference>
          <reference field="5" count="1" selected="0">
            <x v="36"/>
          </reference>
          <reference field="6" count="1" selected="0">
            <x v="6"/>
          </reference>
          <reference field="7" count="1" selected="0">
            <x v="227"/>
          </reference>
          <reference field="8" count="1">
            <x v="404"/>
          </reference>
        </references>
      </pivotArea>
    </format>
    <format dxfId="3834">
      <pivotArea dataOnly="0" labelOnly="1" fieldPosition="0">
        <references count="5">
          <reference field="1" count="1" selected="0">
            <x v="138"/>
          </reference>
          <reference field="5" count="1" selected="0">
            <x v="36"/>
          </reference>
          <reference field="6" count="1" selected="0">
            <x v="38"/>
          </reference>
          <reference field="7" count="1" selected="0">
            <x v="227"/>
          </reference>
          <reference field="8" count="1">
            <x v="567"/>
          </reference>
        </references>
      </pivotArea>
    </format>
    <format dxfId="3833">
      <pivotArea dataOnly="0" labelOnly="1" fieldPosition="0">
        <references count="5">
          <reference field="1" count="1" selected="0">
            <x v="139"/>
          </reference>
          <reference field="5" count="1" selected="0">
            <x v="0"/>
          </reference>
          <reference field="6" count="1" selected="0">
            <x v="12"/>
          </reference>
          <reference field="7" count="1" selected="0">
            <x v="38"/>
          </reference>
          <reference field="8" count="1">
            <x v="9"/>
          </reference>
        </references>
      </pivotArea>
    </format>
    <format dxfId="3832">
      <pivotArea dataOnly="0" labelOnly="1" fieldPosition="0">
        <references count="5">
          <reference field="1" count="1" selected="0">
            <x v="139"/>
          </reference>
          <reference field="5" count="1" selected="0">
            <x v="0"/>
          </reference>
          <reference field="6" count="1" selected="0">
            <x v="12"/>
          </reference>
          <reference field="7" count="1" selected="0">
            <x v="56"/>
          </reference>
          <reference field="8" count="1">
            <x v="6"/>
          </reference>
        </references>
      </pivotArea>
    </format>
    <format dxfId="3831">
      <pivotArea dataOnly="0" labelOnly="1" fieldPosition="0">
        <references count="5">
          <reference field="1" count="1" selected="0">
            <x v="139"/>
          </reference>
          <reference field="5" count="1" selected="0">
            <x v="12"/>
          </reference>
          <reference field="6" count="1" selected="0">
            <x v="1"/>
          </reference>
          <reference field="7" count="1" selected="0">
            <x v="228"/>
          </reference>
          <reference field="8" count="1">
            <x v="352"/>
          </reference>
        </references>
      </pivotArea>
    </format>
    <format dxfId="3830">
      <pivotArea dataOnly="0" labelOnly="1" fieldPosition="0">
        <references count="5">
          <reference field="1" count="1" selected="0">
            <x v="139"/>
          </reference>
          <reference field="5" count="1" selected="0">
            <x v="35"/>
          </reference>
          <reference field="6" count="1" selected="0">
            <x v="1"/>
          </reference>
          <reference field="7" count="1" selected="0">
            <x v="228"/>
          </reference>
          <reference field="8" count="2">
            <x v="213"/>
            <x v="352"/>
          </reference>
        </references>
      </pivotArea>
    </format>
    <format dxfId="3829">
      <pivotArea dataOnly="0" labelOnly="1" fieldPosition="0">
        <references count="5">
          <reference field="1" count="1" selected="0">
            <x v="139"/>
          </reference>
          <reference field="5" count="1" selected="0">
            <x v="36"/>
          </reference>
          <reference field="6" count="1" selected="0">
            <x v="38"/>
          </reference>
          <reference field="7" count="1" selected="0">
            <x v="228"/>
          </reference>
          <reference field="8" count="1">
            <x v="125"/>
          </reference>
        </references>
      </pivotArea>
    </format>
    <format dxfId="3828">
      <pivotArea dataOnly="0" labelOnly="1" fieldPosition="0">
        <references count="5">
          <reference field="1" count="1" selected="0">
            <x v="140"/>
          </reference>
          <reference field="5" count="1" selected="0">
            <x v="0"/>
          </reference>
          <reference field="6" count="1" selected="0">
            <x v="6"/>
          </reference>
          <reference field="7" count="1" selected="0">
            <x v="230"/>
          </reference>
          <reference field="8" count="2">
            <x v="913"/>
            <x v="934"/>
          </reference>
        </references>
      </pivotArea>
    </format>
    <format dxfId="3827">
      <pivotArea dataOnly="0" labelOnly="1" fieldPosition="0">
        <references count="5">
          <reference field="1" count="1" selected="0">
            <x v="140"/>
          </reference>
          <reference field="5" count="1" selected="0">
            <x v="0"/>
          </reference>
          <reference field="6" count="1" selected="0">
            <x v="8"/>
          </reference>
          <reference field="7" count="1" selected="0">
            <x v="230"/>
          </reference>
          <reference field="8" count="2">
            <x v="248"/>
            <x v="550"/>
          </reference>
        </references>
      </pivotArea>
    </format>
    <format dxfId="3826">
      <pivotArea dataOnly="0" labelOnly="1" fieldPosition="0">
        <references count="5">
          <reference field="1" count="1" selected="0">
            <x v="140"/>
          </reference>
          <reference field="5" count="1" selected="0">
            <x v="0"/>
          </reference>
          <reference field="6" count="1" selected="0">
            <x v="9"/>
          </reference>
          <reference field="7" count="1" selected="0">
            <x v="230"/>
          </reference>
          <reference field="8" count="8">
            <x v="136"/>
            <x v="248"/>
            <x v="321"/>
            <x v="611"/>
            <x v="688"/>
            <x v="747"/>
            <x v="1067"/>
            <x v="1075"/>
          </reference>
        </references>
      </pivotArea>
    </format>
    <format dxfId="3825">
      <pivotArea dataOnly="0" labelOnly="1" fieldPosition="0">
        <references count="5">
          <reference field="1" count="1" selected="0">
            <x v="140"/>
          </reference>
          <reference field="5" count="1" selected="0">
            <x v="0"/>
          </reference>
          <reference field="6" count="1" selected="0">
            <x v="24"/>
          </reference>
          <reference field="7" count="1" selected="0">
            <x v="229"/>
          </reference>
          <reference field="8" count="5">
            <x v="293"/>
            <x v="833"/>
            <x v="860"/>
            <x v="1121"/>
            <x v="1201"/>
          </reference>
        </references>
      </pivotArea>
    </format>
    <format dxfId="3824">
      <pivotArea dataOnly="0" labelOnly="1" fieldPosition="0">
        <references count="5">
          <reference field="1" count="1" selected="0">
            <x v="140"/>
          </reference>
          <reference field="5" count="1" selected="0">
            <x v="2"/>
          </reference>
          <reference field="6" count="1" selected="0">
            <x v="9"/>
          </reference>
          <reference field="7" count="1" selected="0">
            <x v="230"/>
          </reference>
          <reference field="8" count="1">
            <x v="663"/>
          </reference>
        </references>
      </pivotArea>
    </format>
    <format dxfId="3823">
      <pivotArea dataOnly="0" labelOnly="1" fieldPosition="0">
        <references count="5">
          <reference field="1" count="1" selected="0">
            <x v="140"/>
          </reference>
          <reference field="5" count="1" selected="0">
            <x v="2"/>
          </reference>
          <reference field="6" count="1" selected="0">
            <x v="24"/>
          </reference>
          <reference field="7" count="1" selected="0">
            <x v="229"/>
          </reference>
          <reference field="8" count="1">
            <x v="1783"/>
          </reference>
        </references>
      </pivotArea>
    </format>
    <format dxfId="3822">
      <pivotArea dataOnly="0" labelOnly="1" fieldPosition="0">
        <references count="5">
          <reference field="1" count="1" selected="0">
            <x v="140"/>
          </reference>
          <reference field="5" count="1" selected="0">
            <x v="3"/>
          </reference>
          <reference field="6" count="1" selected="0">
            <x v="24"/>
          </reference>
          <reference field="7" count="1" selected="0">
            <x v="229"/>
          </reference>
          <reference field="8" count="1">
            <x v="330"/>
          </reference>
        </references>
      </pivotArea>
    </format>
    <format dxfId="3821">
      <pivotArea dataOnly="0" labelOnly="1" fieldPosition="0">
        <references count="5">
          <reference field="1" count="1" selected="0">
            <x v="140"/>
          </reference>
          <reference field="5" count="1" selected="0">
            <x v="5"/>
          </reference>
          <reference field="6" count="1" selected="0">
            <x v="38"/>
          </reference>
          <reference field="7" count="1" selected="0">
            <x v="230"/>
          </reference>
          <reference field="8" count="1">
            <x v="1682"/>
          </reference>
        </references>
      </pivotArea>
    </format>
    <format dxfId="3820">
      <pivotArea dataOnly="0" labelOnly="1" fieldPosition="0">
        <references count="5">
          <reference field="1" count="1" selected="0">
            <x v="140"/>
          </reference>
          <reference field="5" count="1" selected="0">
            <x v="12"/>
          </reference>
          <reference field="6" count="1" selected="0">
            <x v="1"/>
          </reference>
          <reference field="7" count="1" selected="0">
            <x v="230"/>
          </reference>
          <reference field="8" count="5">
            <x v="80"/>
            <x v="213"/>
            <x v="500"/>
            <x v="702"/>
            <x v="964"/>
          </reference>
        </references>
      </pivotArea>
    </format>
    <format dxfId="3819">
      <pivotArea dataOnly="0" labelOnly="1" fieldPosition="0">
        <references count="5">
          <reference field="1" count="1" selected="0">
            <x v="140"/>
          </reference>
          <reference field="5" count="1" selected="0">
            <x v="12"/>
          </reference>
          <reference field="6" count="1" selected="0">
            <x v="24"/>
          </reference>
          <reference field="7" count="1" selected="0">
            <x v="229"/>
          </reference>
          <reference field="8" count="24">
            <x v="58"/>
            <x v="444"/>
            <x v="508"/>
            <x v="1186"/>
            <x v="1273"/>
            <x v="1346"/>
            <x v="1420"/>
            <x v="1511"/>
            <x v="1513"/>
            <x v="1524"/>
            <x v="1541"/>
            <x v="1585"/>
            <x v="1596"/>
            <x v="1636"/>
            <x v="1651"/>
            <x v="1700"/>
            <x v="1702"/>
            <x v="1710"/>
            <x v="1717"/>
            <x v="1734"/>
            <x v="1775"/>
            <x v="1818"/>
            <x v="1831"/>
            <x v="1838"/>
          </reference>
        </references>
      </pivotArea>
    </format>
    <format dxfId="3818">
      <pivotArea dataOnly="0" labelOnly="1" fieldPosition="0">
        <references count="5">
          <reference field="1" count="1" selected="0">
            <x v="140"/>
          </reference>
          <reference field="5" count="1" selected="0">
            <x v="12"/>
          </reference>
          <reference field="6" count="1" selected="0">
            <x v="38"/>
          </reference>
          <reference field="7" count="1" selected="0">
            <x v="230"/>
          </reference>
          <reference field="8" count="1">
            <x v="892"/>
          </reference>
        </references>
      </pivotArea>
    </format>
    <format dxfId="3817">
      <pivotArea dataOnly="0" labelOnly="1" fieldPosition="0">
        <references count="5">
          <reference field="1" count="1" selected="0">
            <x v="140"/>
          </reference>
          <reference field="5" count="1" selected="0">
            <x v="14"/>
          </reference>
          <reference field="6" count="1" selected="0">
            <x v="38"/>
          </reference>
          <reference field="7" count="1" selected="0">
            <x v="230"/>
          </reference>
          <reference field="8" count="1">
            <x v="418"/>
          </reference>
        </references>
      </pivotArea>
    </format>
    <format dxfId="3816">
      <pivotArea dataOnly="0" labelOnly="1" fieldPosition="0">
        <references count="5">
          <reference field="1" count="1" selected="0">
            <x v="140"/>
          </reference>
          <reference field="5" count="1" selected="0">
            <x v="15"/>
          </reference>
          <reference field="6" count="1" selected="0">
            <x v="8"/>
          </reference>
          <reference field="7" count="1" selected="0">
            <x v="230"/>
          </reference>
          <reference field="8" count="1">
            <x v="173"/>
          </reference>
        </references>
      </pivotArea>
    </format>
    <format dxfId="3815">
      <pivotArea dataOnly="0" labelOnly="1" fieldPosition="0">
        <references count="5">
          <reference field="1" count="1" selected="0">
            <x v="140"/>
          </reference>
          <reference field="5" count="1" selected="0">
            <x v="15"/>
          </reference>
          <reference field="6" count="1" selected="0">
            <x v="24"/>
          </reference>
          <reference field="7" count="1" selected="0">
            <x v="229"/>
          </reference>
          <reference field="8" count="1">
            <x v="1663"/>
          </reference>
        </references>
      </pivotArea>
    </format>
    <format dxfId="3814">
      <pivotArea dataOnly="0" labelOnly="1" fieldPosition="0">
        <references count="5">
          <reference field="1" count="1" selected="0">
            <x v="140"/>
          </reference>
          <reference field="5" count="1" selected="0">
            <x v="15"/>
          </reference>
          <reference field="6" count="1" selected="0">
            <x v="38"/>
          </reference>
          <reference field="7" count="1" selected="0">
            <x v="230"/>
          </reference>
          <reference field="8" count="1">
            <x v="1800"/>
          </reference>
        </references>
      </pivotArea>
    </format>
    <format dxfId="3813">
      <pivotArea dataOnly="0" labelOnly="1" fieldPosition="0">
        <references count="5">
          <reference field="1" count="1" selected="0">
            <x v="140"/>
          </reference>
          <reference field="5" count="1" selected="0">
            <x v="17"/>
          </reference>
          <reference field="6" count="1" selected="0">
            <x v="6"/>
          </reference>
          <reference field="7" count="1" selected="0">
            <x v="230"/>
          </reference>
          <reference field="8" count="1">
            <x v="1834"/>
          </reference>
        </references>
      </pivotArea>
    </format>
    <format dxfId="3812">
      <pivotArea dataOnly="0" labelOnly="1" fieldPosition="0">
        <references count="5">
          <reference field="1" count="1" selected="0">
            <x v="140"/>
          </reference>
          <reference field="5" count="1" selected="0">
            <x v="21"/>
          </reference>
          <reference field="6" count="1" selected="0">
            <x v="24"/>
          </reference>
          <reference field="7" count="1" selected="0">
            <x v="229"/>
          </reference>
          <reference field="8" count="1">
            <x v="1846"/>
          </reference>
        </references>
      </pivotArea>
    </format>
    <format dxfId="3811">
      <pivotArea dataOnly="0" labelOnly="1" fieldPosition="0">
        <references count="5">
          <reference field="1" count="1" selected="0">
            <x v="140"/>
          </reference>
          <reference field="5" count="1" selected="0">
            <x v="23"/>
          </reference>
          <reference field="6" count="1" selected="0">
            <x v="24"/>
          </reference>
          <reference field="7" count="1" selected="0">
            <x v="229"/>
          </reference>
          <reference field="8" count="1">
            <x v="1779"/>
          </reference>
        </references>
      </pivotArea>
    </format>
    <format dxfId="3810">
      <pivotArea dataOnly="0" labelOnly="1" fieldPosition="0">
        <references count="5">
          <reference field="1" count="1" selected="0">
            <x v="140"/>
          </reference>
          <reference field="5" count="1" selected="0">
            <x v="24"/>
          </reference>
          <reference field="6" count="1" selected="0">
            <x v="24"/>
          </reference>
          <reference field="7" count="1" selected="0">
            <x v="229"/>
          </reference>
          <reference field="8" count="1">
            <x v="1733"/>
          </reference>
        </references>
      </pivotArea>
    </format>
    <format dxfId="3809">
      <pivotArea dataOnly="0" labelOnly="1" fieldPosition="0">
        <references count="5">
          <reference field="1" count="1" selected="0">
            <x v="140"/>
          </reference>
          <reference field="5" count="1" selected="0">
            <x v="26"/>
          </reference>
          <reference field="6" count="1" selected="0">
            <x v="38"/>
          </reference>
          <reference field="7" count="1" selected="0">
            <x v="230"/>
          </reference>
          <reference field="8" count="1">
            <x v="1380"/>
          </reference>
        </references>
      </pivotArea>
    </format>
    <format dxfId="3808">
      <pivotArea dataOnly="0" labelOnly="1" fieldPosition="0">
        <references count="5">
          <reference field="1" count="1" selected="0">
            <x v="140"/>
          </reference>
          <reference field="5" count="1" selected="0">
            <x v="29"/>
          </reference>
          <reference field="6" count="1" selected="0">
            <x v="38"/>
          </reference>
          <reference field="7" count="1" selected="0">
            <x v="230"/>
          </reference>
          <reference field="8" count="1">
            <x v="1766"/>
          </reference>
        </references>
      </pivotArea>
    </format>
    <format dxfId="3807">
      <pivotArea dataOnly="0" labelOnly="1" fieldPosition="0">
        <references count="5">
          <reference field="1" count="1" selected="0">
            <x v="140"/>
          </reference>
          <reference field="5" count="1" selected="0">
            <x v="35"/>
          </reference>
          <reference field="6" count="1" selected="0">
            <x v="1"/>
          </reference>
          <reference field="7" count="1" selected="0">
            <x v="230"/>
          </reference>
          <reference field="8" count="1">
            <x v="80"/>
          </reference>
        </references>
      </pivotArea>
    </format>
    <format dxfId="3806">
      <pivotArea dataOnly="0" labelOnly="1" fieldPosition="0">
        <references count="5">
          <reference field="1" count="1" selected="0">
            <x v="140"/>
          </reference>
          <reference field="5" count="1" selected="0">
            <x v="35"/>
          </reference>
          <reference field="6" count="1" selected="0">
            <x v="24"/>
          </reference>
          <reference field="7" count="1" selected="0">
            <x v="229"/>
          </reference>
          <reference field="8" count="13">
            <x v="141"/>
            <x v="204"/>
            <x v="319"/>
            <x v="357"/>
            <x v="447"/>
            <x v="448"/>
            <x v="479"/>
            <x v="536"/>
            <x v="722"/>
            <x v="792"/>
            <x v="976"/>
            <x v="1168"/>
            <x v="1472"/>
          </reference>
        </references>
      </pivotArea>
    </format>
    <format dxfId="3805">
      <pivotArea dataOnly="0" labelOnly="1" fieldPosition="0">
        <references count="5">
          <reference field="1" count="1" selected="0">
            <x v="140"/>
          </reference>
          <reference field="5" count="1" selected="0">
            <x v="36"/>
          </reference>
          <reference field="6" count="1" selected="0">
            <x v="9"/>
          </reference>
          <reference field="7" count="1" selected="0">
            <x v="230"/>
          </reference>
          <reference field="8" count="1">
            <x v="1204"/>
          </reference>
        </references>
      </pivotArea>
    </format>
    <format dxfId="3804">
      <pivotArea dataOnly="0" labelOnly="1" fieldPosition="0">
        <references count="5">
          <reference field="1" count="1" selected="0">
            <x v="140"/>
          </reference>
          <reference field="5" count="1" selected="0">
            <x v="37"/>
          </reference>
          <reference field="6" count="1" selected="0">
            <x v="24"/>
          </reference>
          <reference field="7" count="1" selected="0">
            <x v="229"/>
          </reference>
          <reference field="8" count="1">
            <x v="993"/>
          </reference>
        </references>
      </pivotArea>
    </format>
    <format dxfId="3803">
      <pivotArea dataOnly="0" labelOnly="1" fieldPosition="0">
        <references count="5">
          <reference field="1" count="1" selected="0">
            <x v="141"/>
          </reference>
          <reference field="5" count="1" selected="0">
            <x v="0"/>
          </reference>
          <reference field="6" count="1" selected="0">
            <x v="9"/>
          </reference>
          <reference field="7" count="1" selected="0">
            <x v="231"/>
          </reference>
          <reference field="8" count="3">
            <x v="351"/>
            <x v="807"/>
            <x v="812"/>
          </reference>
        </references>
      </pivotArea>
    </format>
    <format dxfId="3802">
      <pivotArea dataOnly="0" labelOnly="1" fieldPosition="0">
        <references count="5">
          <reference field="1" count="1" selected="0">
            <x v="141"/>
          </reference>
          <reference field="5" count="1" selected="0">
            <x v="0"/>
          </reference>
          <reference field="6" count="1" selected="0">
            <x v="12"/>
          </reference>
          <reference field="7" count="1" selected="0">
            <x v="25"/>
          </reference>
          <reference field="8" count="1">
            <x v="180"/>
          </reference>
        </references>
      </pivotArea>
    </format>
    <format dxfId="3801">
      <pivotArea dataOnly="0" labelOnly="1" fieldPosition="0">
        <references count="5">
          <reference field="1" count="1" selected="0">
            <x v="141"/>
          </reference>
          <reference field="5" count="1" selected="0">
            <x v="0"/>
          </reference>
          <reference field="6" count="1" selected="0">
            <x v="12"/>
          </reference>
          <reference field="7" count="1" selected="0">
            <x v="52"/>
          </reference>
          <reference field="8" count="1">
            <x v="35"/>
          </reference>
        </references>
      </pivotArea>
    </format>
    <format dxfId="3800">
      <pivotArea dataOnly="0" labelOnly="1" fieldPosition="0">
        <references count="5">
          <reference field="1" count="1" selected="0">
            <x v="141"/>
          </reference>
          <reference field="5" count="1" selected="0">
            <x v="10"/>
          </reference>
          <reference field="6" count="1" selected="0">
            <x v="38"/>
          </reference>
          <reference field="7" count="1" selected="0">
            <x v="231"/>
          </reference>
          <reference field="8" count="1">
            <x v="1861"/>
          </reference>
        </references>
      </pivotArea>
    </format>
    <format dxfId="3799">
      <pivotArea dataOnly="0" labelOnly="1" fieldPosition="0">
        <references count="5">
          <reference field="1" count="1" selected="0">
            <x v="141"/>
          </reference>
          <reference field="5" count="1" selected="0">
            <x v="11"/>
          </reference>
          <reference field="6" count="1" selected="0">
            <x v="8"/>
          </reference>
          <reference field="7" count="1" selected="0">
            <x v="231"/>
          </reference>
          <reference field="8" count="1">
            <x v="1233"/>
          </reference>
        </references>
      </pivotArea>
    </format>
    <format dxfId="3798">
      <pivotArea dataOnly="0" labelOnly="1" fieldPosition="0">
        <references count="5">
          <reference field="1" count="1" selected="0">
            <x v="141"/>
          </reference>
          <reference field="5" count="1" selected="0">
            <x v="12"/>
          </reference>
          <reference field="6" count="1" selected="0">
            <x v="1"/>
          </reference>
          <reference field="7" count="1" selected="0">
            <x v="231"/>
          </reference>
          <reference field="8" count="2">
            <x v="80"/>
            <x v="352"/>
          </reference>
        </references>
      </pivotArea>
    </format>
    <format dxfId="3797">
      <pivotArea dataOnly="0" labelOnly="1" fieldPosition="0">
        <references count="5">
          <reference field="1" count="1" selected="0">
            <x v="141"/>
          </reference>
          <reference field="5" count="1" selected="0">
            <x v="27"/>
          </reference>
          <reference field="6" count="1" selected="0">
            <x v="38"/>
          </reference>
          <reference field="7" count="1" selected="0">
            <x v="231"/>
          </reference>
          <reference field="8" count="1">
            <x v="1634"/>
          </reference>
        </references>
      </pivotArea>
    </format>
    <format dxfId="3796">
      <pivotArea dataOnly="0" labelOnly="1" fieldPosition="0">
        <references count="5">
          <reference field="1" count="1" selected="0">
            <x v="142"/>
          </reference>
          <reference field="5" count="1" selected="0">
            <x v="0"/>
          </reference>
          <reference field="6" count="1" selected="0">
            <x v="6"/>
          </reference>
          <reference field="7" count="1" selected="0">
            <x v="232"/>
          </reference>
          <reference field="8" count="1">
            <x v="933"/>
          </reference>
        </references>
      </pivotArea>
    </format>
    <format dxfId="3795">
      <pivotArea dataOnly="0" labelOnly="1" fieldPosition="0">
        <references count="5">
          <reference field="1" count="1" selected="0">
            <x v="142"/>
          </reference>
          <reference field="5" count="1" selected="0">
            <x v="0"/>
          </reference>
          <reference field="6" count="1" selected="0">
            <x v="12"/>
          </reference>
          <reference field="7" count="1" selected="0">
            <x v="11"/>
          </reference>
          <reference field="8" count="1">
            <x v="138"/>
          </reference>
        </references>
      </pivotArea>
    </format>
    <format dxfId="3794">
      <pivotArea dataOnly="0" labelOnly="1" fieldPosition="0">
        <references count="5">
          <reference field="1" count="1" selected="0">
            <x v="142"/>
          </reference>
          <reference field="5" count="1" selected="0">
            <x v="0"/>
          </reference>
          <reference field="6" count="1" selected="0">
            <x v="12"/>
          </reference>
          <reference field="7" count="1" selected="0">
            <x v="23"/>
          </reference>
          <reference field="8" count="1">
            <x v="114"/>
          </reference>
        </references>
      </pivotArea>
    </format>
    <format dxfId="3793">
      <pivotArea dataOnly="0" labelOnly="1" fieldPosition="0">
        <references count="5">
          <reference field="1" count="1" selected="0">
            <x v="142"/>
          </reference>
          <reference field="5" count="1" selected="0">
            <x v="0"/>
          </reference>
          <reference field="6" count="1" selected="0">
            <x v="12"/>
          </reference>
          <reference field="7" count="1" selected="0">
            <x v="47"/>
          </reference>
          <reference field="8" count="1">
            <x v="314"/>
          </reference>
        </references>
      </pivotArea>
    </format>
    <format dxfId="3792">
      <pivotArea dataOnly="0" labelOnly="1" fieldPosition="0">
        <references count="5">
          <reference field="1" count="1" selected="0">
            <x v="142"/>
          </reference>
          <reference field="5" count="1" selected="0">
            <x v="0"/>
          </reference>
          <reference field="6" count="1" selected="0">
            <x v="12"/>
          </reference>
          <reference field="7" count="1" selected="0">
            <x v="49"/>
          </reference>
          <reference field="8" count="1">
            <x v="52"/>
          </reference>
        </references>
      </pivotArea>
    </format>
    <format dxfId="3791">
      <pivotArea dataOnly="0" labelOnly="1" fieldPosition="0">
        <references count="5">
          <reference field="1" count="1" selected="0">
            <x v="142"/>
          </reference>
          <reference field="5" count="1" selected="0">
            <x v="0"/>
          </reference>
          <reference field="6" count="1" selected="0">
            <x v="12"/>
          </reference>
          <reference field="7" count="1" selected="0">
            <x v="63"/>
          </reference>
          <reference field="8" count="1">
            <x v="6"/>
          </reference>
        </references>
      </pivotArea>
    </format>
    <format dxfId="3790">
      <pivotArea dataOnly="0" labelOnly="1" fieldPosition="0">
        <references count="5">
          <reference field="1" count="1" selected="0">
            <x v="142"/>
          </reference>
          <reference field="5" count="1" selected="0">
            <x v="0"/>
          </reference>
          <reference field="6" count="1" selected="0">
            <x v="38"/>
          </reference>
          <reference field="7" count="1" selected="0">
            <x v="232"/>
          </reference>
          <reference field="8" count="5">
            <x v="109"/>
            <x v="500"/>
            <x v="943"/>
            <x v="1093"/>
            <x v="1150"/>
          </reference>
        </references>
      </pivotArea>
    </format>
    <format dxfId="3789">
      <pivotArea dataOnly="0" labelOnly="1" fieldPosition="0">
        <references count="5">
          <reference field="1" count="1" selected="0">
            <x v="142"/>
          </reference>
          <reference field="5" count="1" selected="0">
            <x v="2"/>
          </reference>
          <reference field="6" count="1" selected="0">
            <x v="1"/>
          </reference>
          <reference field="7" count="1" selected="0">
            <x v="232"/>
          </reference>
          <reference field="8" count="1">
            <x v="257"/>
          </reference>
        </references>
      </pivotArea>
    </format>
    <format dxfId="3788">
      <pivotArea dataOnly="0" labelOnly="1" fieldPosition="0">
        <references count="5">
          <reference field="1" count="1" selected="0">
            <x v="142"/>
          </reference>
          <reference field="5" count="1" selected="0">
            <x v="2"/>
          </reference>
          <reference field="6" count="1" selected="0">
            <x v="6"/>
          </reference>
          <reference field="7" count="1" selected="0">
            <x v="232"/>
          </reference>
          <reference field="8" count="1">
            <x v="325"/>
          </reference>
        </references>
      </pivotArea>
    </format>
    <format dxfId="3787">
      <pivotArea dataOnly="0" labelOnly="1" fieldPosition="0">
        <references count="5">
          <reference field="1" count="1" selected="0">
            <x v="142"/>
          </reference>
          <reference field="5" count="1" selected="0">
            <x v="7"/>
          </reference>
          <reference field="6" count="1" selected="0">
            <x v="38"/>
          </reference>
          <reference field="7" count="1" selected="0">
            <x v="232"/>
          </reference>
          <reference field="8" count="1">
            <x v="776"/>
          </reference>
        </references>
      </pivotArea>
    </format>
    <format dxfId="3786">
      <pivotArea dataOnly="0" labelOnly="1" fieldPosition="0">
        <references count="5">
          <reference field="1" count="1" selected="0">
            <x v="142"/>
          </reference>
          <reference field="5" count="1" selected="0">
            <x v="8"/>
          </reference>
          <reference field="6" count="1" selected="0">
            <x v="10"/>
          </reference>
          <reference field="7" count="1" selected="0">
            <x v="232"/>
          </reference>
          <reference field="8" count="1">
            <x v="0"/>
          </reference>
        </references>
      </pivotArea>
    </format>
    <format dxfId="3785">
      <pivotArea dataOnly="0" labelOnly="1" fieldPosition="0">
        <references count="5">
          <reference field="1" count="1" selected="0">
            <x v="142"/>
          </reference>
          <reference field="5" count="1" selected="0">
            <x v="10"/>
          </reference>
          <reference field="6" count="1" selected="0">
            <x v="38"/>
          </reference>
          <reference field="7" count="1" selected="0">
            <x v="232"/>
          </reference>
          <reference field="8" count="1">
            <x v="1744"/>
          </reference>
        </references>
      </pivotArea>
    </format>
    <format dxfId="3784">
      <pivotArea dataOnly="0" labelOnly="1" fieldPosition="0">
        <references count="5">
          <reference field="1" count="1" selected="0">
            <x v="142"/>
          </reference>
          <reference field="5" count="1" selected="0">
            <x v="12"/>
          </reference>
          <reference field="6" count="1" selected="0">
            <x v="1"/>
          </reference>
          <reference field="7" count="1" selected="0">
            <x v="232"/>
          </reference>
          <reference field="8" count="3">
            <x v="80"/>
            <x v="213"/>
            <x v="352"/>
          </reference>
        </references>
      </pivotArea>
    </format>
    <format dxfId="3783">
      <pivotArea dataOnly="0" labelOnly="1" fieldPosition="0">
        <references count="5">
          <reference field="1" count="1" selected="0">
            <x v="142"/>
          </reference>
          <reference field="5" count="1" selected="0">
            <x v="12"/>
          </reference>
          <reference field="6" count="1" selected="0">
            <x v="38"/>
          </reference>
          <reference field="7" count="1" selected="0">
            <x v="232"/>
          </reference>
          <reference field="8" count="2">
            <x v="278"/>
            <x v="500"/>
          </reference>
        </references>
      </pivotArea>
    </format>
    <format dxfId="3782">
      <pivotArea dataOnly="0" labelOnly="1" fieldPosition="0">
        <references count="5">
          <reference field="1" count="1" selected="0">
            <x v="142"/>
          </reference>
          <reference field="5" count="1" selected="0">
            <x v="15"/>
          </reference>
          <reference field="6" count="1" selected="0">
            <x v="38"/>
          </reference>
          <reference field="7" count="1" selected="0">
            <x v="232"/>
          </reference>
          <reference field="8" count="1">
            <x v="1319"/>
          </reference>
        </references>
      </pivotArea>
    </format>
    <format dxfId="3781">
      <pivotArea dataOnly="0" labelOnly="1" fieldPosition="0">
        <references count="5">
          <reference field="1" count="1" selected="0">
            <x v="142"/>
          </reference>
          <reference field="5" count="1" selected="0">
            <x v="23"/>
          </reference>
          <reference field="6" count="1" selected="0">
            <x v="38"/>
          </reference>
          <reference field="7" count="1" selected="0">
            <x v="232"/>
          </reference>
          <reference field="8" count="1">
            <x v="93"/>
          </reference>
        </references>
      </pivotArea>
    </format>
    <format dxfId="3780">
      <pivotArea dataOnly="0" labelOnly="1" fieldPosition="0">
        <references count="5">
          <reference field="1" count="1" selected="0">
            <x v="142"/>
          </reference>
          <reference field="5" count="1" selected="0">
            <x v="26"/>
          </reference>
          <reference field="6" count="1" selected="0">
            <x v="38"/>
          </reference>
          <reference field="7" count="1" selected="0">
            <x v="232"/>
          </reference>
          <reference field="8" count="1">
            <x v="371"/>
          </reference>
        </references>
      </pivotArea>
    </format>
    <format dxfId="3779">
      <pivotArea dataOnly="0" labelOnly="1" fieldPosition="0">
        <references count="5">
          <reference field="1" count="1" selected="0">
            <x v="142"/>
          </reference>
          <reference field="5" count="1" selected="0">
            <x v="34"/>
          </reference>
          <reference field="6" count="1" selected="0">
            <x v="38"/>
          </reference>
          <reference field="7" count="1" selected="0">
            <x v="232"/>
          </reference>
          <reference field="8" count="1">
            <x v="39"/>
          </reference>
        </references>
      </pivotArea>
    </format>
    <format dxfId="3778">
      <pivotArea dataOnly="0" labelOnly="1" fieldPosition="0">
        <references count="5">
          <reference field="1" count="1" selected="0">
            <x v="142"/>
          </reference>
          <reference field="5" count="1" selected="0">
            <x v="35"/>
          </reference>
          <reference field="6" count="1" selected="0">
            <x v="1"/>
          </reference>
          <reference field="7" count="1" selected="0">
            <x v="232"/>
          </reference>
          <reference field="8" count="2">
            <x v="80"/>
            <x v="213"/>
          </reference>
        </references>
      </pivotArea>
    </format>
    <format dxfId="3777">
      <pivotArea dataOnly="0" labelOnly="1" fieldPosition="0">
        <references count="5">
          <reference field="1" count="1" selected="0">
            <x v="142"/>
          </reference>
          <reference field="5" count="1" selected="0">
            <x v="35"/>
          </reference>
          <reference field="6" count="1" selected="0">
            <x v="38"/>
          </reference>
          <reference field="7" count="1" selected="0">
            <x v="232"/>
          </reference>
          <reference field="8" count="1">
            <x v="846"/>
          </reference>
        </references>
      </pivotArea>
    </format>
    <format dxfId="3776">
      <pivotArea dataOnly="0" labelOnly="1" fieldPosition="0">
        <references count="5">
          <reference field="1" count="1" selected="0">
            <x v="142"/>
          </reference>
          <reference field="5" count="1" selected="0">
            <x v="38"/>
          </reference>
          <reference field="6" count="1" selected="0">
            <x v="38"/>
          </reference>
          <reference field="7" count="1" selected="0">
            <x v="232"/>
          </reference>
          <reference field="8" count="1">
            <x v="500"/>
          </reference>
        </references>
      </pivotArea>
    </format>
    <format dxfId="3775">
      <pivotArea dataOnly="0" labelOnly="1" fieldPosition="0">
        <references count="5">
          <reference field="1" count="1" selected="0">
            <x v="143"/>
          </reference>
          <reference field="5" count="1" selected="0">
            <x v="0"/>
          </reference>
          <reference field="6" count="1" selected="0">
            <x v="12"/>
          </reference>
          <reference field="7" count="1" selected="0">
            <x v="41"/>
          </reference>
          <reference field="8" count="1">
            <x v="213"/>
          </reference>
        </references>
      </pivotArea>
    </format>
    <format dxfId="3774">
      <pivotArea dataOnly="0" labelOnly="1" fieldPosition="0">
        <references count="5">
          <reference field="1" count="1" selected="0">
            <x v="143"/>
          </reference>
          <reference field="5" count="1" selected="0">
            <x v="0"/>
          </reference>
          <reference field="6" count="1" selected="0">
            <x v="12"/>
          </reference>
          <reference field="7" count="1" selected="0">
            <x v="50"/>
          </reference>
          <reference field="8" count="1">
            <x v="248"/>
          </reference>
        </references>
      </pivotArea>
    </format>
    <format dxfId="3773">
      <pivotArea dataOnly="0" labelOnly="1" fieldPosition="0">
        <references count="5">
          <reference field="1" count="1" selected="0">
            <x v="143"/>
          </reference>
          <reference field="5" count="1" selected="0">
            <x v="10"/>
          </reference>
          <reference field="6" count="1" selected="0">
            <x v="10"/>
          </reference>
          <reference field="7" count="1" selected="0">
            <x v="233"/>
          </reference>
          <reference field="8" count="1">
            <x v="0"/>
          </reference>
        </references>
      </pivotArea>
    </format>
    <format dxfId="3772">
      <pivotArea dataOnly="0" labelOnly="1" fieldPosition="0">
        <references count="5">
          <reference field="1" count="1" selected="0">
            <x v="143"/>
          </reference>
          <reference field="5" count="1" selected="0">
            <x v="14"/>
          </reference>
          <reference field="6" count="1" selected="0">
            <x v="37"/>
          </reference>
          <reference field="7" count="1" selected="0">
            <x v="233"/>
          </reference>
          <reference field="8" count="1">
            <x v="1181"/>
          </reference>
        </references>
      </pivotArea>
    </format>
    <format dxfId="3771">
      <pivotArea dataOnly="0" labelOnly="1" fieldPosition="0">
        <references count="5">
          <reference field="1" count="1" selected="0">
            <x v="143"/>
          </reference>
          <reference field="5" count="1" selected="0">
            <x v="32"/>
          </reference>
          <reference field="6" count="1" selected="0">
            <x v="9"/>
          </reference>
          <reference field="7" count="1" selected="0">
            <x v="233"/>
          </reference>
          <reference field="8" count="1">
            <x v="1793"/>
          </reference>
        </references>
      </pivotArea>
    </format>
    <format dxfId="3770">
      <pivotArea dataOnly="0" labelOnly="1" fieldPosition="0">
        <references count="5">
          <reference field="1" count="1" selected="0">
            <x v="144"/>
          </reference>
          <reference field="5" count="1" selected="0">
            <x v="0"/>
          </reference>
          <reference field="6" count="1" selected="0">
            <x v="12"/>
          </reference>
          <reference field="7" count="1" selected="0">
            <x v="7"/>
          </reference>
          <reference field="8" count="1">
            <x v="90"/>
          </reference>
        </references>
      </pivotArea>
    </format>
    <format dxfId="3769">
      <pivotArea dataOnly="0" labelOnly="1" fieldPosition="0">
        <references count="5">
          <reference field="1" count="1" selected="0">
            <x v="144"/>
          </reference>
          <reference field="5" count="1" selected="0">
            <x v="0"/>
          </reference>
          <reference field="6" count="1" selected="0">
            <x v="12"/>
          </reference>
          <reference field="7" count="1" selected="0">
            <x v="62"/>
          </reference>
          <reference field="8" count="1">
            <x v="85"/>
          </reference>
        </references>
      </pivotArea>
    </format>
    <format dxfId="3768">
      <pivotArea dataOnly="0" labelOnly="1" fieldPosition="0">
        <references count="5">
          <reference field="1" count="1" selected="0">
            <x v="145"/>
          </reference>
          <reference field="5" count="1" selected="0">
            <x v="0"/>
          </reference>
          <reference field="6" count="1" selected="0">
            <x v="1"/>
          </reference>
          <reference field="7" count="1" selected="0">
            <x v="234"/>
          </reference>
          <reference field="8" count="1">
            <x v="80"/>
          </reference>
        </references>
      </pivotArea>
    </format>
    <format dxfId="3767">
      <pivotArea dataOnly="0" labelOnly="1" fieldPosition="0">
        <references count="5">
          <reference field="1" count="1" selected="0">
            <x v="145"/>
          </reference>
          <reference field="5" count="1" selected="0">
            <x v="0"/>
          </reference>
          <reference field="6" count="1" selected="0">
            <x v="6"/>
          </reference>
          <reference field="7" count="1" selected="0">
            <x v="234"/>
          </reference>
          <reference field="8" count="1">
            <x v="469"/>
          </reference>
        </references>
      </pivotArea>
    </format>
    <format dxfId="3766">
      <pivotArea dataOnly="0" labelOnly="1" fieldPosition="0">
        <references count="5">
          <reference field="1" count="1" selected="0">
            <x v="145"/>
          </reference>
          <reference field="5" count="1" selected="0">
            <x v="0"/>
          </reference>
          <reference field="6" count="1" selected="0">
            <x v="11"/>
          </reference>
          <reference field="7" count="1" selected="0">
            <x v="14"/>
          </reference>
          <reference field="8" count="1">
            <x v="213"/>
          </reference>
        </references>
      </pivotArea>
    </format>
    <format dxfId="3765">
      <pivotArea dataOnly="0" labelOnly="1" fieldPosition="0">
        <references count="5">
          <reference field="1" count="1" selected="0">
            <x v="145"/>
          </reference>
          <reference field="5" count="1" selected="0">
            <x v="0"/>
          </reference>
          <reference field="6" count="1" selected="0">
            <x v="12"/>
          </reference>
          <reference field="7" count="1" selected="0">
            <x v="19"/>
          </reference>
          <reference field="8" count="1">
            <x v="35"/>
          </reference>
        </references>
      </pivotArea>
    </format>
    <format dxfId="3764">
      <pivotArea dataOnly="0" labelOnly="1" fieldPosition="0">
        <references count="5">
          <reference field="1" count="1" selected="0">
            <x v="145"/>
          </reference>
          <reference field="5" count="1" selected="0">
            <x v="0"/>
          </reference>
          <reference field="6" count="1" selected="0">
            <x v="12"/>
          </reference>
          <reference field="7" count="1" selected="0">
            <x v="34"/>
          </reference>
          <reference field="8" count="1">
            <x v="719"/>
          </reference>
        </references>
      </pivotArea>
    </format>
    <format dxfId="3763">
      <pivotArea dataOnly="0" labelOnly="1" fieldPosition="0">
        <references count="5">
          <reference field="1" count="1" selected="0">
            <x v="145"/>
          </reference>
          <reference field="5" count="1" selected="0">
            <x v="0"/>
          </reference>
          <reference field="6" count="1" selected="0">
            <x v="38"/>
          </reference>
          <reference field="7" count="1" selected="0">
            <x v="234"/>
          </reference>
          <reference field="8" count="1">
            <x v="1170"/>
          </reference>
        </references>
      </pivotArea>
    </format>
    <format dxfId="3762">
      <pivotArea dataOnly="0" labelOnly="1" fieldPosition="0">
        <references count="5">
          <reference field="1" count="1" selected="0">
            <x v="145"/>
          </reference>
          <reference field="5" count="1" selected="0">
            <x v="3"/>
          </reference>
          <reference field="6" count="1" selected="0">
            <x v="38"/>
          </reference>
          <reference field="7" count="1" selected="0">
            <x v="234"/>
          </reference>
          <reference field="8" count="1">
            <x v="106"/>
          </reference>
        </references>
      </pivotArea>
    </format>
    <format dxfId="3761">
      <pivotArea dataOnly="0" labelOnly="1" fieldPosition="0">
        <references count="5">
          <reference field="1" count="1" selected="0">
            <x v="145"/>
          </reference>
          <reference field="5" count="1" selected="0">
            <x v="7"/>
          </reference>
          <reference field="6" count="1" selected="0">
            <x v="6"/>
          </reference>
          <reference field="7" count="1" selected="0">
            <x v="234"/>
          </reference>
          <reference field="8" count="1">
            <x v="539"/>
          </reference>
        </references>
      </pivotArea>
    </format>
    <format dxfId="3760">
      <pivotArea dataOnly="0" labelOnly="1" fieldPosition="0">
        <references count="5">
          <reference field="1" count="1" selected="0">
            <x v="145"/>
          </reference>
          <reference field="5" count="1" selected="0">
            <x v="8"/>
          </reference>
          <reference field="6" count="1" selected="0">
            <x v="38"/>
          </reference>
          <reference field="7" count="1" selected="0">
            <x v="234"/>
          </reference>
          <reference field="8" count="1">
            <x v="642"/>
          </reference>
        </references>
      </pivotArea>
    </format>
    <format dxfId="3759">
      <pivotArea dataOnly="0" labelOnly="1" fieldPosition="0">
        <references count="5">
          <reference field="1" count="1" selected="0">
            <x v="145"/>
          </reference>
          <reference field="5" count="1" selected="0">
            <x v="12"/>
          </reference>
          <reference field="6" count="1" selected="0">
            <x v="1"/>
          </reference>
          <reference field="7" count="1" selected="0">
            <x v="234"/>
          </reference>
          <reference field="8" count="4">
            <x v="213"/>
            <x v="500"/>
            <x v="607"/>
            <x v="771"/>
          </reference>
        </references>
      </pivotArea>
    </format>
    <format dxfId="3758">
      <pivotArea dataOnly="0" labelOnly="1" fieldPosition="0">
        <references count="5">
          <reference field="1" count="1" selected="0">
            <x v="145"/>
          </reference>
          <reference field="5" count="1" selected="0">
            <x v="12"/>
          </reference>
          <reference field="6" count="1" selected="0">
            <x v="38"/>
          </reference>
          <reference field="7" count="1" selected="0">
            <x v="234"/>
          </reference>
          <reference field="8" count="2">
            <x v="1343"/>
            <x v="1528"/>
          </reference>
        </references>
      </pivotArea>
    </format>
    <format dxfId="3757">
      <pivotArea dataOnly="0" labelOnly="1" fieldPosition="0">
        <references count="5">
          <reference field="1" count="1" selected="0">
            <x v="145"/>
          </reference>
          <reference field="5" count="1" selected="0">
            <x v="15"/>
          </reference>
          <reference field="6" count="1" selected="0">
            <x v="38"/>
          </reference>
          <reference field="7" count="1" selected="0">
            <x v="234"/>
          </reference>
          <reference field="8" count="1">
            <x v="744"/>
          </reference>
        </references>
      </pivotArea>
    </format>
    <format dxfId="3756">
      <pivotArea dataOnly="0" labelOnly="1" fieldPosition="0">
        <references count="5">
          <reference field="1" count="1" selected="0">
            <x v="145"/>
          </reference>
          <reference field="5" count="1" selected="0">
            <x v="27"/>
          </reference>
          <reference field="6" count="1" selected="0">
            <x v="38"/>
          </reference>
          <reference field="7" count="1" selected="0">
            <x v="234"/>
          </reference>
          <reference field="8" count="1">
            <x v="39"/>
          </reference>
        </references>
      </pivotArea>
    </format>
    <format dxfId="3755">
      <pivotArea dataOnly="0" labelOnly="1" fieldPosition="0">
        <references count="5">
          <reference field="1" count="1" selected="0">
            <x v="145"/>
          </reference>
          <reference field="5" count="1" selected="0">
            <x v="35"/>
          </reference>
          <reference field="6" count="1" selected="0">
            <x v="1"/>
          </reference>
          <reference field="7" count="1" selected="0">
            <x v="234"/>
          </reference>
          <reference field="8" count="2">
            <x v="80"/>
            <x v="846"/>
          </reference>
        </references>
      </pivotArea>
    </format>
    <format dxfId="3754">
      <pivotArea dataOnly="0" labelOnly="1" fieldPosition="0">
        <references count="5">
          <reference field="1" count="1" selected="0">
            <x v="146"/>
          </reference>
          <reference field="5" count="1" selected="0">
            <x v="0"/>
          </reference>
          <reference field="6" count="1" selected="0">
            <x v="8"/>
          </reference>
          <reference field="7" count="1" selected="0">
            <x v="235"/>
          </reference>
          <reference field="8" count="1">
            <x v="1028"/>
          </reference>
        </references>
      </pivotArea>
    </format>
    <format dxfId="3753">
      <pivotArea dataOnly="0" labelOnly="1" fieldPosition="0">
        <references count="5">
          <reference field="1" count="1" selected="0">
            <x v="146"/>
          </reference>
          <reference field="5" count="1" selected="0">
            <x v="0"/>
          </reference>
          <reference field="6" count="1" selected="0">
            <x v="9"/>
          </reference>
          <reference field="7" count="1" selected="0">
            <x v="235"/>
          </reference>
          <reference field="8" count="9">
            <x v="128"/>
            <x v="257"/>
            <x v="267"/>
            <x v="824"/>
            <x v="1033"/>
            <x v="1057"/>
            <x v="1089"/>
            <x v="1105"/>
            <x v="1203"/>
          </reference>
        </references>
      </pivotArea>
    </format>
    <format dxfId="3752">
      <pivotArea dataOnly="0" labelOnly="1" fieldPosition="0">
        <references count="5">
          <reference field="1" count="1" selected="0">
            <x v="146"/>
          </reference>
          <reference field="5" count="1" selected="0">
            <x v="0"/>
          </reference>
          <reference field="6" count="1" selected="0">
            <x v="12"/>
          </reference>
          <reference field="7" count="1" selected="0">
            <x v="25"/>
          </reference>
          <reference field="8" count="1">
            <x v="55"/>
          </reference>
        </references>
      </pivotArea>
    </format>
    <format dxfId="3751">
      <pivotArea dataOnly="0" labelOnly="1" fieldPosition="0">
        <references count="5">
          <reference field="1" count="1" selected="0">
            <x v="146"/>
          </reference>
          <reference field="5" count="1" selected="0">
            <x v="6"/>
          </reference>
          <reference field="6" count="1" selected="0">
            <x v="38"/>
          </reference>
          <reference field="7" count="1" selected="0">
            <x v="235"/>
          </reference>
          <reference field="8" count="1">
            <x v="1229"/>
          </reference>
        </references>
      </pivotArea>
    </format>
    <format dxfId="3750">
      <pivotArea dataOnly="0" labelOnly="1" fieldPosition="0">
        <references count="5">
          <reference field="1" count="1" selected="0">
            <x v="146"/>
          </reference>
          <reference field="5" count="1" selected="0">
            <x v="8"/>
          </reference>
          <reference field="6" count="1" selected="0">
            <x v="38"/>
          </reference>
          <reference field="7" count="1" selected="0">
            <x v="235"/>
          </reference>
          <reference field="8" count="1">
            <x v="1390"/>
          </reference>
        </references>
      </pivotArea>
    </format>
    <format dxfId="3749">
      <pivotArea dataOnly="0" labelOnly="1" fieldPosition="0">
        <references count="5">
          <reference field="1" count="1" selected="0">
            <x v="146"/>
          </reference>
          <reference field="5" count="1" selected="0">
            <x v="10"/>
          </reference>
          <reference field="6" count="1" selected="0">
            <x v="10"/>
          </reference>
          <reference field="7" count="1" selected="0">
            <x v="235"/>
          </reference>
          <reference field="8" count="1">
            <x v="1847"/>
          </reference>
        </references>
      </pivotArea>
    </format>
    <format dxfId="3748">
      <pivotArea dataOnly="0" labelOnly="1" fieldPosition="0">
        <references count="5">
          <reference field="1" count="1" selected="0">
            <x v="146"/>
          </reference>
          <reference field="5" count="1" selected="0">
            <x v="12"/>
          </reference>
          <reference field="6" count="1" selected="0">
            <x v="1"/>
          </reference>
          <reference field="7" count="1" selected="0">
            <x v="235"/>
          </reference>
          <reference field="8" count="6">
            <x v="80"/>
            <x v="352"/>
            <x v="500"/>
            <x v="607"/>
            <x v="702"/>
            <x v="771"/>
          </reference>
        </references>
      </pivotArea>
    </format>
    <format dxfId="3747">
      <pivotArea dataOnly="0" labelOnly="1" fieldPosition="0">
        <references count="5">
          <reference field="1" count="1" selected="0">
            <x v="146"/>
          </reference>
          <reference field="5" count="1" selected="0">
            <x v="17"/>
          </reference>
          <reference field="6" count="1" selected="0">
            <x v="6"/>
          </reference>
          <reference field="7" count="1" selected="0">
            <x v="235"/>
          </reference>
          <reference field="8" count="1">
            <x v="1696"/>
          </reference>
        </references>
      </pivotArea>
    </format>
    <format dxfId="3746">
      <pivotArea dataOnly="0" labelOnly="1" fieldPosition="0">
        <references count="5">
          <reference field="1" count="1" selected="0">
            <x v="146"/>
          </reference>
          <reference field="5" count="1" selected="0">
            <x v="17"/>
          </reference>
          <reference field="6" count="1" selected="0">
            <x v="9"/>
          </reference>
          <reference field="7" count="1" selected="0">
            <x v="235"/>
          </reference>
          <reference field="8" count="1">
            <x v="1433"/>
          </reference>
        </references>
      </pivotArea>
    </format>
    <format dxfId="3745">
      <pivotArea dataOnly="0" labelOnly="1" fieldPosition="0">
        <references count="5">
          <reference field="1" count="1" selected="0">
            <x v="146"/>
          </reference>
          <reference field="5" count="1" selected="0">
            <x v="19"/>
          </reference>
          <reference field="6" count="1" selected="0">
            <x v="6"/>
          </reference>
          <reference field="7" count="1" selected="0">
            <x v="235"/>
          </reference>
          <reference field="8" count="1">
            <x v="539"/>
          </reference>
        </references>
      </pivotArea>
    </format>
    <format dxfId="3744">
      <pivotArea dataOnly="0" labelOnly="1" fieldPosition="0">
        <references count="5">
          <reference field="1" count="1" selected="0">
            <x v="146"/>
          </reference>
          <reference field="5" count="1" selected="0">
            <x v="23"/>
          </reference>
          <reference field="6" count="1" selected="0">
            <x v="6"/>
          </reference>
          <reference field="7" count="1" selected="0">
            <x v="235"/>
          </reference>
          <reference field="8" count="1">
            <x v="325"/>
          </reference>
        </references>
      </pivotArea>
    </format>
    <format dxfId="3743">
      <pivotArea dataOnly="0" labelOnly="1" fieldPosition="0">
        <references count="5">
          <reference field="1" count="1" selected="0">
            <x v="146"/>
          </reference>
          <reference field="5" count="1" selected="0">
            <x v="33"/>
          </reference>
          <reference field="6" count="1" selected="0">
            <x v="38"/>
          </reference>
          <reference field="7" count="1" selected="0">
            <x v="235"/>
          </reference>
          <reference field="8" count="1">
            <x v="710"/>
          </reference>
        </references>
      </pivotArea>
    </format>
    <format dxfId="3742">
      <pivotArea dataOnly="0" labelOnly="1" fieldPosition="0">
        <references count="5">
          <reference field="1" count="1" selected="0">
            <x v="146"/>
          </reference>
          <reference field="5" count="1" selected="0">
            <x v="34"/>
          </reference>
          <reference field="6" count="1" selected="0">
            <x v="38"/>
          </reference>
          <reference field="7" count="1" selected="0">
            <x v="235"/>
          </reference>
          <reference field="8" count="1">
            <x v="1167"/>
          </reference>
        </references>
      </pivotArea>
    </format>
    <format dxfId="3741">
      <pivotArea dataOnly="0" labelOnly="1" fieldPosition="0">
        <references count="5">
          <reference field="1" count="1" selected="0">
            <x v="146"/>
          </reference>
          <reference field="5" count="1" selected="0">
            <x v="35"/>
          </reference>
          <reference field="6" count="1" selected="0">
            <x v="1"/>
          </reference>
          <reference field="7" count="1" selected="0">
            <x v="235"/>
          </reference>
          <reference field="8" count="2">
            <x v="80"/>
            <x v="500"/>
          </reference>
        </references>
      </pivotArea>
    </format>
    <format dxfId="3740">
      <pivotArea dataOnly="0" labelOnly="1" fieldPosition="0">
        <references count="5">
          <reference field="1" count="1" selected="0">
            <x v="146"/>
          </reference>
          <reference field="5" count="1" selected="0">
            <x v="36"/>
          </reference>
          <reference field="6" count="1" selected="0">
            <x v="8"/>
          </reference>
          <reference field="7" count="1" selected="0">
            <x v="235"/>
          </reference>
          <reference field="8" count="1">
            <x v="1463"/>
          </reference>
        </references>
      </pivotArea>
    </format>
    <format dxfId="3739">
      <pivotArea dataOnly="0" labelOnly="1" fieldPosition="0">
        <references count="5">
          <reference field="1" count="1" selected="0">
            <x v="146"/>
          </reference>
          <reference field="5" count="1" selected="0">
            <x v="36"/>
          </reference>
          <reference field="6" count="1" selected="0">
            <x v="9"/>
          </reference>
          <reference field="7" count="1" selected="0">
            <x v="235"/>
          </reference>
          <reference field="8" count="1">
            <x v="1368"/>
          </reference>
        </references>
      </pivotArea>
    </format>
    <format dxfId="3738">
      <pivotArea dataOnly="0" labelOnly="1" fieldPosition="0">
        <references count="5">
          <reference field="1" count="1" selected="0">
            <x v="146"/>
          </reference>
          <reference field="5" count="1" selected="0">
            <x v="36"/>
          </reference>
          <reference field="6" count="1" selected="0">
            <x v="38"/>
          </reference>
          <reference field="7" count="1" selected="0">
            <x v="235"/>
          </reference>
          <reference field="8" count="1">
            <x v="214"/>
          </reference>
        </references>
      </pivotArea>
    </format>
    <format dxfId="3737">
      <pivotArea dataOnly="0" labelOnly="1" fieldPosition="0">
        <references count="5">
          <reference field="1" count="1" selected="0">
            <x v="147"/>
          </reference>
          <reference field="5" count="1" selected="0">
            <x v="0"/>
          </reference>
          <reference field="6" count="1" selected="0">
            <x v="12"/>
          </reference>
          <reference field="7" count="1" selected="0">
            <x v="4"/>
          </reference>
          <reference field="8" count="1">
            <x v="73"/>
          </reference>
        </references>
      </pivotArea>
    </format>
    <format dxfId="3736">
      <pivotArea dataOnly="0" labelOnly="1" fieldPosition="0">
        <references count="5">
          <reference field="1" count="1" selected="0">
            <x v="147"/>
          </reference>
          <reference field="5" count="1" selected="0">
            <x v="0"/>
          </reference>
          <reference field="6" count="1" selected="0">
            <x v="12"/>
          </reference>
          <reference field="7" count="1" selected="0">
            <x v="26"/>
          </reference>
          <reference field="8" count="1">
            <x v="25"/>
          </reference>
        </references>
      </pivotArea>
    </format>
    <format dxfId="3735">
      <pivotArea dataOnly="0" labelOnly="1" fieldPosition="0">
        <references count="5">
          <reference field="1" count="1" selected="0">
            <x v="147"/>
          </reference>
          <reference field="5" count="1" selected="0">
            <x v="1"/>
          </reference>
          <reference field="6" count="1" selected="0">
            <x v="37"/>
          </reference>
          <reference field="7" count="1" selected="0">
            <x v="236"/>
          </reference>
          <reference field="8" count="1">
            <x v="1851"/>
          </reference>
        </references>
      </pivotArea>
    </format>
    <format dxfId="3734">
      <pivotArea dataOnly="0" labelOnly="1" fieldPosition="0">
        <references count="5">
          <reference field="1" count="1" selected="0">
            <x v="147"/>
          </reference>
          <reference field="5" count="1" selected="0">
            <x v="5"/>
          </reference>
          <reference field="6" count="1" selected="0">
            <x v="37"/>
          </reference>
          <reference field="7" count="1" selected="0">
            <x v="236"/>
          </reference>
          <reference field="8" count="1">
            <x v="960"/>
          </reference>
        </references>
      </pivotArea>
    </format>
    <format dxfId="3733">
      <pivotArea dataOnly="0" labelOnly="1" fieldPosition="0">
        <references count="5">
          <reference field="1" count="1" selected="0">
            <x v="147"/>
          </reference>
          <reference field="5" count="1" selected="0">
            <x v="12"/>
          </reference>
          <reference field="6" count="1" selected="0">
            <x v="1"/>
          </reference>
          <reference field="7" count="1" selected="0">
            <x v="236"/>
          </reference>
          <reference field="8" count="3">
            <x v="80"/>
            <x v="213"/>
            <x v="352"/>
          </reference>
        </references>
      </pivotArea>
    </format>
    <format dxfId="3732">
      <pivotArea dataOnly="0" labelOnly="1" fieldPosition="0">
        <references count="5">
          <reference field="1" count="1" selected="0">
            <x v="147"/>
          </reference>
          <reference field="5" count="1" selected="0">
            <x v="20"/>
          </reference>
          <reference field="6" count="1" selected="0">
            <x v="10"/>
          </reference>
          <reference field="7" count="1" selected="0">
            <x v="236"/>
          </reference>
          <reference field="8" count="1">
            <x v="0"/>
          </reference>
        </references>
      </pivotArea>
    </format>
    <format dxfId="3731">
      <pivotArea dataOnly="0" labelOnly="1" fieldPosition="0">
        <references count="5">
          <reference field="1" count="1" selected="0">
            <x v="147"/>
          </reference>
          <reference field="5" count="1" selected="0">
            <x v="29"/>
          </reference>
          <reference field="6" count="1" selected="0">
            <x v="6"/>
          </reference>
          <reference field="7" count="1" selected="0">
            <x v="236"/>
          </reference>
          <reference field="8" count="1">
            <x v="955"/>
          </reference>
        </references>
      </pivotArea>
    </format>
    <format dxfId="3730">
      <pivotArea dataOnly="0" labelOnly="1" fieldPosition="0">
        <references count="5">
          <reference field="1" count="1" selected="0">
            <x v="147"/>
          </reference>
          <reference field="5" count="1" selected="0">
            <x v="35"/>
          </reference>
          <reference field="6" count="1" selected="0">
            <x v="1"/>
          </reference>
          <reference field="7" count="1" selected="0">
            <x v="236"/>
          </reference>
          <reference field="8" count="1">
            <x v="80"/>
          </reference>
        </references>
      </pivotArea>
    </format>
    <format dxfId="3729">
      <pivotArea dataOnly="0" labelOnly="1" fieldPosition="0">
        <references count="5">
          <reference field="1" count="1" selected="0">
            <x v="147"/>
          </reference>
          <reference field="5" count="1" selected="0">
            <x v="36"/>
          </reference>
          <reference field="6" count="1" selected="0">
            <x v="6"/>
          </reference>
          <reference field="7" count="1" selected="0">
            <x v="236"/>
          </reference>
          <reference field="8" count="1">
            <x v="838"/>
          </reference>
        </references>
      </pivotArea>
    </format>
    <format dxfId="3728">
      <pivotArea dataOnly="0" labelOnly="1" fieldPosition="0">
        <references count="5">
          <reference field="1" count="1" selected="0">
            <x v="148"/>
          </reference>
          <reference field="5" count="1" selected="0">
            <x v="0"/>
          </reference>
          <reference field="6" count="1" selected="0">
            <x v="1"/>
          </reference>
          <reference field="7" count="1" selected="0">
            <x v="237"/>
          </reference>
          <reference field="8" count="1">
            <x v="80"/>
          </reference>
        </references>
      </pivotArea>
    </format>
    <format dxfId="3727">
      <pivotArea dataOnly="0" labelOnly="1" fieldPosition="0">
        <references count="5">
          <reference field="1" count="1" selected="0">
            <x v="148"/>
          </reference>
          <reference field="5" count="1" selected="0">
            <x v="0"/>
          </reference>
          <reference field="6" count="1" selected="0">
            <x v="6"/>
          </reference>
          <reference field="7" count="1" selected="0">
            <x v="237"/>
          </reference>
          <reference field="8" count="1">
            <x v="469"/>
          </reference>
        </references>
      </pivotArea>
    </format>
    <format dxfId="3726">
      <pivotArea dataOnly="0" labelOnly="1" fieldPosition="0">
        <references count="5">
          <reference field="1" count="1" selected="0">
            <x v="148"/>
          </reference>
          <reference field="5" count="1" selected="0">
            <x v="0"/>
          </reference>
          <reference field="6" count="1" selected="0">
            <x v="8"/>
          </reference>
          <reference field="7" count="1" selected="0">
            <x v="237"/>
          </reference>
          <reference field="8" count="2">
            <x v="682"/>
            <x v="1187"/>
          </reference>
        </references>
      </pivotArea>
    </format>
    <format dxfId="3725">
      <pivotArea dataOnly="0" labelOnly="1" fieldPosition="0">
        <references count="5">
          <reference field="1" count="1" selected="0">
            <x v="148"/>
          </reference>
          <reference field="5" count="1" selected="0">
            <x v="0"/>
          </reference>
          <reference field="6" count="1" selected="0">
            <x v="9"/>
          </reference>
          <reference field="7" count="1" selected="0">
            <x v="237"/>
          </reference>
          <reference field="8" count="7">
            <x v="341"/>
            <x v="429"/>
            <x v="493"/>
            <x v="915"/>
            <x v="921"/>
            <x v="959"/>
            <x v="1210"/>
          </reference>
        </references>
      </pivotArea>
    </format>
    <format dxfId="3724">
      <pivotArea dataOnly="0" labelOnly="1" fieldPosition="0">
        <references count="5">
          <reference field="1" count="1" selected="0">
            <x v="148"/>
          </reference>
          <reference field="5" count="1" selected="0">
            <x v="0"/>
          </reference>
          <reference field="6" count="1" selected="0">
            <x v="12"/>
          </reference>
          <reference field="7" count="1" selected="0">
            <x v="6"/>
          </reference>
          <reference field="8" count="1">
            <x v="186"/>
          </reference>
        </references>
      </pivotArea>
    </format>
    <format dxfId="3723">
      <pivotArea dataOnly="0" labelOnly="1" fieldPosition="0">
        <references count="5">
          <reference field="1" count="1" selected="0">
            <x v="148"/>
          </reference>
          <reference field="5" count="1" selected="0">
            <x v="0"/>
          </reference>
          <reference field="6" count="1" selected="0">
            <x v="12"/>
          </reference>
          <reference field="7" count="1" selected="0">
            <x v="28"/>
          </reference>
          <reference field="8" count="1">
            <x v="131"/>
          </reference>
        </references>
      </pivotArea>
    </format>
    <format dxfId="3722">
      <pivotArea dataOnly="0" labelOnly="1" fieldPosition="0">
        <references count="5">
          <reference field="1" count="1" selected="0">
            <x v="148"/>
          </reference>
          <reference field="5" count="1" selected="0">
            <x v="0"/>
          </reference>
          <reference field="6" count="1" selected="0">
            <x v="12"/>
          </reference>
          <reference field="7" count="1" selected="0">
            <x v="30"/>
          </reference>
          <reference field="8" count="1">
            <x v="92"/>
          </reference>
        </references>
      </pivotArea>
    </format>
    <format dxfId="3721">
      <pivotArea dataOnly="0" labelOnly="1" fieldPosition="0">
        <references count="5">
          <reference field="1" count="1" selected="0">
            <x v="148"/>
          </reference>
          <reference field="5" count="1" selected="0">
            <x v="0"/>
          </reference>
          <reference field="6" count="1" selected="0">
            <x v="12"/>
          </reference>
          <reference field="7" count="1" selected="0">
            <x v="35"/>
          </reference>
          <reference field="8" count="1">
            <x v="27"/>
          </reference>
        </references>
      </pivotArea>
    </format>
    <format dxfId="3720">
      <pivotArea dataOnly="0" labelOnly="1" fieldPosition="0">
        <references count="5">
          <reference field="1" count="1" selected="0">
            <x v="148"/>
          </reference>
          <reference field="5" count="1" selected="0">
            <x v="0"/>
          </reference>
          <reference field="6" count="1" selected="0">
            <x v="38"/>
          </reference>
          <reference field="7" count="1" selected="0">
            <x v="237"/>
          </reference>
          <reference field="8" count="1">
            <x v="1503"/>
          </reference>
        </references>
      </pivotArea>
    </format>
    <format dxfId="3719">
      <pivotArea dataOnly="0" labelOnly="1" fieldPosition="0">
        <references count="5">
          <reference field="1" count="1" selected="0">
            <x v="148"/>
          </reference>
          <reference field="5" count="1" selected="0">
            <x v="5"/>
          </reference>
          <reference field="6" count="1" selected="0">
            <x v="38"/>
          </reference>
          <reference field="7" count="1" selected="0">
            <x v="237"/>
          </reference>
          <reference field="8" count="1">
            <x v="1665"/>
          </reference>
        </references>
      </pivotArea>
    </format>
    <format dxfId="3718">
      <pivotArea dataOnly="0" labelOnly="1" fieldPosition="0">
        <references count="5">
          <reference field="1" count="1" selected="0">
            <x v="148"/>
          </reference>
          <reference field="5" count="1" selected="0">
            <x v="8"/>
          </reference>
          <reference field="6" count="1" selected="0">
            <x v="38"/>
          </reference>
          <reference field="7" count="1" selected="0">
            <x v="237"/>
          </reference>
          <reference field="8" count="1">
            <x v="900"/>
          </reference>
        </references>
      </pivotArea>
    </format>
    <format dxfId="3717">
      <pivotArea dataOnly="0" labelOnly="1" fieldPosition="0">
        <references count="5">
          <reference field="1" count="1" selected="0">
            <x v="148"/>
          </reference>
          <reference field="5" count="1" selected="0">
            <x v="9"/>
          </reference>
          <reference field="6" count="1" selected="0">
            <x v="8"/>
          </reference>
          <reference field="7" count="1" selected="0">
            <x v="237"/>
          </reference>
          <reference field="8" count="1">
            <x v="683"/>
          </reference>
        </references>
      </pivotArea>
    </format>
    <format dxfId="3716">
      <pivotArea dataOnly="0" labelOnly="1" fieldPosition="0">
        <references count="5">
          <reference field="1" count="1" selected="0">
            <x v="148"/>
          </reference>
          <reference field="5" count="1" selected="0">
            <x v="12"/>
          </reference>
          <reference field="6" count="1" selected="0">
            <x v="1"/>
          </reference>
          <reference field="7" count="1" selected="0">
            <x v="237"/>
          </reference>
          <reference field="8" count="5">
            <x v="80"/>
            <x v="213"/>
            <x v="352"/>
            <x v="500"/>
            <x v="607"/>
          </reference>
        </references>
      </pivotArea>
    </format>
    <format dxfId="3715">
      <pivotArea dataOnly="0" labelOnly="1" fieldPosition="0">
        <references count="5">
          <reference field="1" count="1" selected="0">
            <x v="148"/>
          </reference>
          <reference field="5" count="1" selected="0">
            <x v="15"/>
          </reference>
          <reference field="6" count="1" selected="0">
            <x v="8"/>
          </reference>
          <reference field="7" count="1" selected="0">
            <x v="237"/>
          </reference>
          <reference field="8" count="1">
            <x v="224"/>
          </reference>
        </references>
      </pivotArea>
    </format>
    <format dxfId="3714">
      <pivotArea dataOnly="0" labelOnly="1" fieldPosition="0">
        <references count="5">
          <reference field="1" count="1" selected="0">
            <x v="148"/>
          </reference>
          <reference field="5" count="1" selected="0">
            <x v="15"/>
          </reference>
          <reference field="6" count="1" selected="0">
            <x v="9"/>
          </reference>
          <reference field="7" count="1" selected="0">
            <x v="237"/>
          </reference>
          <reference field="8" count="1">
            <x v="133"/>
          </reference>
        </references>
      </pivotArea>
    </format>
    <format dxfId="3713">
      <pivotArea dataOnly="0" labelOnly="1" fieldPosition="0">
        <references count="5">
          <reference field="1" count="1" selected="0">
            <x v="148"/>
          </reference>
          <reference field="5" count="1" selected="0">
            <x v="17"/>
          </reference>
          <reference field="6" count="1" selected="0">
            <x v="7"/>
          </reference>
          <reference field="7" count="1" selected="0">
            <x v="237"/>
          </reference>
          <reference field="8" count="1">
            <x v="1219"/>
          </reference>
        </references>
      </pivotArea>
    </format>
    <format dxfId="3712">
      <pivotArea dataOnly="0" labelOnly="1" fieldPosition="0">
        <references count="5">
          <reference field="1" count="1" selected="0">
            <x v="148"/>
          </reference>
          <reference field="5" count="1" selected="0">
            <x v="17"/>
          </reference>
          <reference field="6" count="1" selected="0">
            <x v="10"/>
          </reference>
          <reference field="7" count="1" selected="0">
            <x v="237"/>
          </reference>
          <reference field="8" count="1">
            <x v="1852"/>
          </reference>
        </references>
      </pivotArea>
    </format>
    <format dxfId="3711">
      <pivotArea dataOnly="0" labelOnly="1" fieldPosition="0">
        <references count="5">
          <reference field="1" count="1" selected="0">
            <x v="148"/>
          </reference>
          <reference field="5" count="1" selected="0">
            <x v="23"/>
          </reference>
          <reference field="6" count="1" selected="0">
            <x v="38"/>
          </reference>
          <reference field="7" count="1" selected="0">
            <x v="237"/>
          </reference>
          <reference field="8" count="1">
            <x v="84"/>
          </reference>
        </references>
      </pivotArea>
    </format>
    <format dxfId="3710">
      <pivotArea dataOnly="0" labelOnly="1" fieldPosition="0">
        <references count="5">
          <reference field="1" count="1" selected="0">
            <x v="148"/>
          </reference>
          <reference field="5" count="1" selected="0">
            <x v="26"/>
          </reference>
          <reference field="6" count="1" selected="0">
            <x v="38"/>
          </reference>
          <reference field="7" count="1" selected="0">
            <x v="237"/>
          </reference>
          <reference field="8" count="1">
            <x v="109"/>
          </reference>
        </references>
      </pivotArea>
    </format>
    <format dxfId="3709">
      <pivotArea dataOnly="0" labelOnly="1" fieldPosition="0">
        <references count="5">
          <reference field="1" count="1" selected="0">
            <x v="148"/>
          </reference>
          <reference field="5" count="1" selected="0">
            <x v="27"/>
          </reference>
          <reference field="6" count="1" selected="0">
            <x v="6"/>
          </reference>
          <reference field="7" count="1" selected="0">
            <x v="237"/>
          </reference>
          <reference field="8" count="1">
            <x v="1622"/>
          </reference>
        </references>
      </pivotArea>
    </format>
    <format dxfId="3708">
      <pivotArea dataOnly="0" labelOnly="1" fieldPosition="0">
        <references count="5">
          <reference field="1" count="1" selected="0">
            <x v="148"/>
          </reference>
          <reference field="5" count="1" selected="0">
            <x v="31"/>
          </reference>
          <reference field="6" count="1" selected="0">
            <x v="9"/>
          </reference>
          <reference field="7" count="1" selected="0">
            <x v="237"/>
          </reference>
          <reference field="8" count="1">
            <x v="1865"/>
          </reference>
        </references>
      </pivotArea>
    </format>
    <format dxfId="3707">
      <pivotArea dataOnly="0" labelOnly="1" fieldPosition="0">
        <references count="5">
          <reference field="1" count="1" selected="0">
            <x v="148"/>
          </reference>
          <reference field="5" count="1" selected="0">
            <x v="32"/>
          </reference>
          <reference field="6" count="1" selected="0">
            <x v="9"/>
          </reference>
          <reference field="7" count="1" selected="0">
            <x v="237"/>
          </reference>
          <reference field="8" count="1">
            <x v="0"/>
          </reference>
        </references>
      </pivotArea>
    </format>
    <format dxfId="3706">
      <pivotArea dataOnly="0" labelOnly="1" fieldPosition="0">
        <references count="5">
          <reference field="1" count="1" selected="0">
            <x v="148"/>
          </reference>
          <reference field="5" count="1" selected="0">
            <x v="35"/>
          </reference>
          <reference field="6" count="1" selected="0">
            <x v="38"/>
          </reference>
          <reference field="7" count="1" selected="0">
            <x v="237"/>
          </reference>
          <reference field="8" count="1">
            <x v="1271"/>
          </reference>
        </references>
      </pivotArea>
    </format>
    <format dxfId="3705">
      <pivotArea dataOnly="0" labelOnly="1" fieldPosition="0">
        <references count="5">
          <reference field="1" count="1" selected="0">
            <x v="148"/>
          </reference>
          <reference field="5" count="1" selected="0">
            <x v="36"/>
          </reference>
          <reference field="6" count="1" selected="0">
            <x v="8"/>
          </reference>
          <reference field="7" count="1" selected="0">
            <x v="237"/>
          </reference>
          <reference field="8" count="1">
            <x v="1115"/>
          </reference>
        </references>
      </pivotArea>
    </format>
    <format dxfId="3704">
      <pivotArea dataOnly="0" labelOnly="1" fieldPosition="0">
        <references count="5">
          <reference field="1" count="1" selected="0">
            <x v="148"/>
          </reference>
          <reference field="5" count="1" selected="0">
            <x v="37"/>
          </reference>
          <reference field="6" count="1" selected="0">
            <x v="8"/>
          </reference>
          <reference field="7" count="1" selected="0">
            <x v="237"/>
          </reference>
          <reference field="8" count="1">
            <x v="327"/>
          </reference>
        </references>
      </pivotArea>
    </format>
    <format dxfId="3703">
      <pivotArea dataOnly="0" labelOnly="1" fieldPosition="0">
        <references count="5">
          <reference field="1" count="1" selected="0">
            <x v="148"/>
          </reference>
          <reference field="5" count="1" selected="0">
            <x v="37"/>
          </reference>
          <reference field="6" count="1" selected="0">
            <x v="9"/>
          </reference>
          <reference field="7" count="1" selected="0">
            <x v="237"/>
          </reference>
          <reference field="8" count="1">
            <x v="1443"/>
          </reference>
        </references>
      </pivotArea>
    </format>
    <format dxfId="3702">
      <pivotArea dataOnly="0" labelOnly="1" fieldPosition="0">
        <references count="5">
          <reference field="1" count="1" selected="0">
            <x v="149"/>
          </reference>
          <reference field="5" count="1" selected="0">
            <x v="0"/>
          </reference>
          <reference field="6" count="1" selected="0">
            <x v="1"/>
          </reference>
          <reference field="7" count="1" selected="0">
            <x v="238"/>
          </reference>
          <reference field="8" count="1">
            <x v="80"/>
          </reference>
        </references>
      </pivotArea>
    </format>
    <format dxfId="3701">
      <pivotArea dataOnly="0" labelOnly="1" fieldPosition="0">
        <references count="5">
          <reference field="1" count="1" selected="0">
            <x v="149"/>
          </reference>
          <reference field="5" count="1" selected="0">
            <x v="0"/>
          </reference>
          <reference field="6" count="1" selected="0">
            <x v="9"/>
          </reference>
          <reference field="7" count="1" selected="0">
            <x v="238"/>
          </reference>
          <reference field="8" count="3">
            <x v="539"/>
            <x v="547"/>
            <x v="984"/>
          </reference>
        </references>
      </pivotArea>
    </format>
    <format dxfId="3700">
      <pivotArea dataOnly="0" labelOnly="1" fieldPosition="0">
        <references count="5">
          <reference field="1" count="1" selected="0">
            <x v="149"/>
          </reference>
          <reference field="5" count="1" selected="0">
            <x v="0"/>
          </reference>
          <reference field="6" count="1" selected="0">
            <x v="12"/>
          </reference>
          <reference field="7" count="1" selected="0">
            <x v="16"/>
          </reference>
          <reference field="8" count="1">
            <x v="90"/>
          </reference>
        </references>
      </pivotArea>
    </format>
    <format dxfId="3699">
      <pivotArea dataOnly="0" labelOnly="1" fieldPosition="0">
        <references count="5">
          <reference field="1" count="1" selected="0">
            <x v="149"/>
          </reference>
          <reference field="5" count="1" selected="0">
            <x v="0"/>
          </reference>
          <reference field="6" count="1" selected="0">
            <x v="12"/>
          </reference>
          <reference field="7" count="1" selected="0">
            <x v="19"/>
          </reference>
          <reference field="8" count="1">
            <x v="25"/>
          </reference>
        </references>
      </pivotArea>
    </format>
    <format dxfId="3698">
      <pivotArea dataOnly="0" labelOnly="1" fieldPosition="0">
        <references count="5">
          <reference field="1" count="1" selected="0">
            <x v="149"/>
          </reference>
          <reference field="5" count="1" selected="0">
            <x v="3"/>
          </reference>
          <reference field="6" count="1" selected="0">
            <x v="38"/>
          </reference>
          <reference field="7" count="1" selected="0">
            <x v="238"/>
          </reference>
          <reference field="8" count="1">
            <x v="109"/>
          </reference>
        </references>
      </pivotArea>
    </format>
    <format dxfId="3697">
      <pivotArea dataOnly="0" labelOnly="1" fieldPosition="0">
        <references count="5">
          <reference field="1" count="1" selected="0">
            <x v="149"/>
          </reference>
          <reference field="5" count="1" selected="0">
            <x v="5"/>
          </reference>
          <reference field="6" count="1" selected="0">
            <x v="10"/>
          </reference>
          <reference field="7" count="1" selected="0">
            <x v="238"/>
          </reference>
          <reference field="8" count="1">
            <x v="1362"/>
          </reference>
        </references>
      </pivotArea>
    </format>
    <format dxfId="3696">
      <pivotArea dataOnly="0" labelOnly="1" fieldPosition="0">
        <references count="5">
          <reference field="1" count="1" selected="0">
            <x v="149"/>
          </reference>
          <reference field="5" count="1" selected="0">
            <x v="5"/>
          </reference>
          <reference field="6" count="1" selected="0">
            <x v="38"/>
          </reference>
          <reference field="7" count="1" selected="0">
            <x v="238"/>
          </reference>
          <reference field="8" count="1">
            <x v="371"/>
          </reference>
        </references>
      </pivotArea>
    </format>
    <format dxfId="3695">
      <pivotArea dataOnly="0" labelOnly="1" fieldPosition="0">
        <references count="5">
          <reference field="1" count="1" selected="0">
            <x v="149"/>
          </reference>
          <reference field="5" count="1" selected="0">
            <x v="6"/>
          </reference>
          <reference field="6" count="1" selected="0">
            <x v="38"/>
          </reference>
          <reference field="7" count="1" selected="0">
            <x v="238"/>
          </reference>
          <reference field="8" count="1">
            <x v="919"/>
          </reference>
        </references>
      </pivotArea>
    </format>
    <format dxfId="3694">
      <pivotArea dataOnly="0" labelOnly="1" fieldPosition="0">
        <references count="5">
          <reference field="1" count="1" selected="0">
            <x v="149"/>
          </reference>
          <reference field="5" count="1" selected="0">
            <x v="12"/>
          </reference>
          <reference field="6" count="1" selected="0">
            <x v="1"/>
          </reference>
          <reference field="7" count="1" selected="0">
            <x v="238"/>
          </reference>
          <reference field="8" count="4">
            <x v="80"/>
            <x v="352"/>
            <x v="500"/>
            <x v="607"/>
          </reference>
        </references>
      </pivotArea>
    </format>
    <format dxfId="3693">
      <pivotArea dataOnly="0" labelOnly="1" fieldPosition="0">
        <references count="5">
          <reference field="1" count="1" selected="0">
            <x v="149"/>
          </reference>
          <reference field="5" count="1" selected="0">
            <x v="15"/>
          </reference>
          <reference field="6" count="1" selected="0">
            <x v="38"/>
          </reference>
          <reference field="7" count="1" selected="0">
            <x v="238"/>
          </reference>
          <reference field="8" count="1">
            <x v="1337"/>
          </reference>
        </references>
      </pivotArea>
    </format>
    <format dxfId="3692">
      <pivotArea dataOnly="0" labelOnly="1" fieldPosition="0">
        <references count="5">
          <reference field="1" count="1" selected="0">
            <x v="149"/>
          </reference>
          <reference field="5" count="1" selected="0">
            <x v="21"/>
          </reference>
          <reference field="6" count="1" selected="0">
            <x v="38"/>
          </reference>
          <reference field="7" count="1" selected="0">
            <x v="238"/>
          </reference>
          <reference field="8" count="1">
            <x v="1274"/>
          </reference>
        </references>
      </pivotArea>
    </format>
    <format dxfId="3691">
      <pivotArea dataOnly="0" labelOnly="1" fieldPosition="0">
        <references count="5">
          <reference field="1" count="1" selected="0">
            <x v="149"/>
          </reference>
          <reference field="5" count="1" selected="0">
            <x v="23"/>
          </reference>
          <reference field="6" count="1" selected="0">
            <x v="7"/>
          </reference>
          <reference field="7" count="1" selected="0">
            <x v="238"/>
          </reference>
          <reference field="8" count="1">
            <x v="371"/>
          </reference>
        </references>
      </pivotArea>
    </format>
    <format dxfId="3690">
      <pivotArea dataOnly="0" labelOnly="1" fieldPosition="0">
        <references count="5">
          <reference field="1" count="1" selected="0">
            <x v="149"/>
          </reference>
          <reference field="5" count="1" selected="0">
            <x v="23"/>
          </reference>
          <reference field="6" count="1" selected="0">
            <x v="9"/>
          </reference>
          <reference field="7" count="1" selected="0">
            <x v="238"/>
          </reference>
          <reference field="8" count="1">
            <x v="1512"/>
          </reference>
        </references>
      </pivotArea>
    </format>
    <format dxfId="3689">
      <pivotArea dataOnly="0" labelOnly="1" fieldPosition="0">
        <references count="5">
          <reference field="1" count="1" selected="0">
            <x v="149"/>
          </reference>
          <reference field="5" count="1" selected="0">
            <x v="23"/>
          </reference>
          <reference field="6" count="1" selected="0">
            <x v="38"/>
          </reference>
          <reference field="7" count="1" selected="0">
            <x v="238"/>
          </reference>
          <reference field="8" count="1">
            <x v="1855"/>
          </reference>
        </references>
      </pivotArea>
    </format>
    <format dxfId="3688">
      <pivotArea dataOnly="0" labelOnly="1" fieldPosition="0">
        <references count="5">
          <reference field="1" count="1" selected="0">
            <x v="149"/>
          </reference>
          <reference field="5" count="1" selected="0">
            <x v="26"/>
          </reference>
          <reference field="6" count="1" selected="0">
            <x v="38"/>
          </reference>
          <reference field="7" count="1" selected="0">
            <x v="238"/>
          </reference>
          <reference field="8" count="1">
            <x v="278"/>
          </reference>
        </references>
      </pivotArea>
    </format>
    <format dxfId="3687">
      <pivotArea dataOnly="0" labelOnly="1" fieldPosition="0">
        <references count="5">
          <reference field="1" count="1" selected="0">
            <x v="149"/>
          </reference>
          <reference field="5" count="1" selected="0">
            <x v="33"/>
          </reference>
          <reference field="6" count="1" selected="0">
            <x v="9"/>
          </reference>
          <reference field="7" count="1" selected="0">
            <x v="238"/>
          </reference>
          <reference field="8" count="1">
            <x v="1069"/>
          </reference>
        </references>
      </pivotArea>
    </format>
    <format dxfId="3686">
      <pivotArea dataOnly="0" labelOnly="1" fieldPosition="0">
        <references count="5">
          <reference field="1" count="1" selected="0">
            <x v="149"/>
          </reference>
          <reference field="5" count="1" selected="0">
            <x v="33"/>
          </reference>
          <reference field="6" count="1" selected="0">
            <x v="38"/>
          </reference>
          <reference field="7" count="1" selected="0">
            <x v="238"/>
          </reference>
          <reference field="8" count="1">
            <x v="849"/>
          </reference>
        </references>
      </pivotArea>
    </format>
    <format dxfId="3685">
      <pivotArea dataOnly="0" labelOnly="1" fieldPosition="0">
        <references count="5">
          <reference field="1" count="1" selected="0">
            <x v="149"/>
          </reference>
          <reference field="5" count="1" selected="0">
            <x v="35"/>
          </reference>
          <reference field="6" count="1" selected="0">
            <x v="1"/>
          </reference>
          <reference field="7" count="1" selected="0">
            <x v="238"/>
          </reference>
          <reference field="8" count="3">
            <x v="80"/>
            <x v="352"/>
            <x v="500"/>
          </reference>
        </references>
      </pivotArea>
    </format>
    <format dxfId="3684">
      <pivotArea dataOnly="0" labelOnly="1" fieldPosition="0">
        <references count="5">
          <reference field="1" count="1" selected="0">
            <x v="150"/>
          </reference>
          <reference field="5" count="1" selected="0">
            <x v="0"/>
          </reference>
          <reference field="6" count="1" selected="0">
            <x v="8"/>
          </reference>
          <reference field="7" count="1" selected="0">
            <x v="239"/>
          </reference>
          <reference field="8" count="1">
            <x v="0"/>
          </reference>
        </references>
      </pivotArea>
    </format>
    <format dxfId="3683">
      <pivotArea dataOnly="0" labelOnly="1" fieldPosition="0">
        <references count="5">
          <reference field="1" count="1" selected="0">
            <x v="150"/>
          </reference>
          <reference field="5" count="1" selected="0">
            <x v="0"/>
          </reference>
          <reference field="6" count="1" selected="0">
            <x v="9"/>
          </reference>
          <reference field="7" count="1" selected="0">
            <x v="239"/>
          </reference>
          <reference field="8" count="2">
            <x v="825"/>
            <x v="1494"/>
          </reference>
        </references>
      </pivotArea>
    </format>
    <format dxfId="3682">
      <pivotArea dataOnly="0" labelOnly="1" fieldPosition="0">
        <references count="5">
          <reference field="1" count="1" selected="0">
            <x v="150"/>
          </reference>
          <reference field="5" count="1" selected="0">
            <x v="0"/>
          </reference>
          <reference field="6" count="1" selected="0">
            <x v="10"/>
          </reference>
          <reference field="7" count="1" selected="0">
            <x v="239"/>
          </reference>
          <reference field="8" count="1">
            <x v="0"/>
          </reference>
        </references>
      </pivotArea>
    </format>
    <format dxfId="3681">
      <pivotArea dataOnly="0" labelOnly="1" fieldPosition="0">
        <references count="5">
          <reference field="1" count="1" selected="0">
            <x v="150"/>
          </reference>
          <reference field="5" count="1" selected="0">
            <x v="0"/>
          </reference>
          <reference field="6" count="1" selected="0">
            <x v="12"/>
          </reference>
          <reference field="7" count="1" selected="0">
            <x v="57"/>
          </reference>
          <reference field="8" count="1">
            <x v="11"/>
          </reference>
        </references>
      </pivotArea>
    </format>
    <format dxfId="3680">
      <pivotArea dataOnly="0" labelOnly="1" fieldPosition="0">
        <references count="5">
          <reference field="1" count="1" selected="0">
            <x v="150"/>
          </reference>
          <reference field="5" count="1" selected="0">
            <x v="8"/>
          </reference>
          <reference field="6" count="1" selected="0">
            <x v="38"/>
          </reference>
          <reference field="7" count="1" selected="0">
            <x v="239"/>
          </reference>
          <reference field="8" count="1">
            <x v="868"/>
          </reference>
        </references>
      </pivotArea>
    </format>
    <format dxfId="3679">
      <pivotArea dataOnly="0" labelOnly="1" fieldPosition="0">
        <references count="5">
          <reference field="1" count="1" selected="0">
            <x v="150"/>
          </reference>
          <reference field="5" count="1" selected="0">
            <x v="9"/>
          </reference>
          <reference field="6" count="1" selected="0">
            <x v="1"/>
          </reference>
          <reference field="7" count="1" selected="0">
            <x v="239"/>
          </reference>
          <reference field="8" count="1">
            <x v="72"/>
          </reference>
        </references>
      </pivotArea>
    </format>
    <format dxfId="3678">
      <pivotArea dataOnly="0" labelOnly="1" fieldPosition="0">
        <references count="5">
          <reference field="1" count="1" selected="0">
            <x v="150"/>
          </reference>
          <reference field="5" count="1" selected="0">
            <x v="11"/>
          </reference>
          <reference field="6" count="1" selected="0">
            <x v="7"/>
          </reference>
          <reference field="7" count="1" selected="0">
            <x v="239"/>
          </reference>
          <reference field="8" count="1">
            <x v="313"/>
          </reference>
        </references>
      </pivotArea>
    </format>
    <format dxfId="3677">
      <pivotArea dataOnly="0" labelOnly="1" fieldPosition="0">
        <references count="5">
          <reference field="1" count="1" selected="0">
            <x v="150"/>
          </reference>
          <reference field="5" count="1" selected="0">
            <x v="11"/>
          </reference>
          <reference field="6" count="1" selected="0">
            <x v="8"/>
          </reference>
          <reference field="7" count="1" selected="0">
            <x v="239"/>
          </reference>
          <reference field="8" count="1">
            <x v="0"/>
          </reference>
        </references>
      </pivotArea>
    </format>
    <format dxfId="3676">
      <pivotArea dataOnly="0" labelOnly="1" fieldPosition="0">
        <references count="5">
          <reference field="1" count="1" selected="0">
            <x v="150"/>
          </reference>
          <reference field="5" count="1" selected="0">
            <x v="12"/>
          </reference>
          <reference field="6" count="1" selected="0">
            <x v="1"/>
          </reference>
          <reference field="7" count="1" selected="0">
            <x v="239"/>
          </reference>
          <reference field="8" count="2">
            <x v="80"/>
            <x v="213"/>
          </reference>
        </references>
      </pivotArea>
    </format>
    <format dxfId="3675">
      <pivotArea dataOnly="0" labelOnly="1" fieldPosition="0">
        <references count="5">
          <reference field="1" count="1" selected="0">
            <x v="150"/>
          </reference>
          <reference field="5" count="1" selected="0">
            <x v="12"/>
          </reference>
          <reference field="6" count="1" selected="0">
            <x v="38"/>
          </reference>
          <reference field="7" count="1" selected="0">
            <x v="239"/>
          </reference>
          <reference field="8" count="1">
            <x v="1244"/>
          </reference>
        </references>
      </pivotArea>
    </format>
    <format dxfId="3674">
      <pivotArea dataOnly="0" labelOnly="1" fieldPosition="0">
        <references count="5">
          <reference field="1" count="1" selected="0">
            <x v="150"/>
          </reference>
          <reference field="5" count="1" selected="0">
            <x v="14"/>
          </reference>
          <reference field="6" count="1" selected="0">
            <x v="8"/>
          </reference>
          <reference field="7" count="1" selected="0">
            <x v="239"/>
          </reference>
          <reference field="8" count="1">
            <x v="0"/>
          </reference>
        </references>
      </pivotArea>
    </format>
    <format dxfId="3673">
      <pivotArea dataOnly="0" labelOnly="1" fieldPosition="0">
        <references count="5">
          <reference field="1" count="1" selected="0">
            <x v="150"/>
          </reference>
          <reference field="5" count="1" selected="0">
            <x v="14"/>
          </reference>
          <reference field="6" count="1" selected="0">
            <x v="9"/>
          </reference>
          <reference field="7" count="1" selected="0">
            <x v="239"/>
          </reference>
          <reference field="8" count="1">
            <x v="1169"/>
          </reference>
        </references>
      </pivotArea>
    </format>
    <format dxfId="3672">
      <pivotArea dataOnly="0" labelOnly="1" fieldPosition="0">
        <references count="5">
          <reference field="1" count="1" selected="0">
            <x v="150"/>
          </reference>
          <reference field="5" count="1" selected="0">
            <x v="15"/>
          </reference>
          <reference field="6" count="1" selected="0">
            <x v="6"/>
          </reference>
          <reference field="7" count="1" selected="0">
            <x v="239"/>
          </reference>
          <reference field="8" count="1">
            <x v="465"/>
          </reference>
        </references>
      </pivotArea>
    </format>
    <format dxfId="3671">
      <pivotArea dataOnly="0" labelOnly="1" fieldPosition="0">
        <references count="5">
          <reference field="1" count="1" selected="0">
            <x v="150"/>
          </reference>
          <reference field="5" count="1" selected="0">
            <x v="15"/>
          </reference>
          <reference field="6" count="1" selected="0">
            <x v="37"/>
          </reference>
          <reference field="7" count="1" selected="0">
            <x v="239"/>
          </reference>
          <reference field="8" count="1">
            <x v="1813"/>
          </reference>
        </references>
      </pivotArea>
    </format>
    <format dxfId="3670">
      <pivotArea dataOnly="0" labelOnly="1" fieldPosition="0">
        <references count="5">
          <reference field="1" count="1" selected="0">
            <x v="150"/>
          </reference>
          <reference field="5" count="1" selected="0">
            <x v="15"/>
          </reference>
          <reference field="6" count="1" selected="0">
            <x v="38"/>
          </reference>
          <reference field="7" count="1" selected="0">
            <x v="239"/>
          </reference>
          <reference field="8" count="1">
            <x v="1114"/>
          </reference>
        </references>
      </pivotArea>
    </format>
    <format dxfId="3669">
      <pivotArea dataOnly="0" labelOnly="1" fieldPosition="0">
        <references count="5">
          <reference field="1" count="1" selected="0">
            <x v="151"/>
          </reference>
          <reference field="5" count="1" selected="0">
            <x v="0"/>
          </reference>
          <reference field="6" count="1" selected="0">
            <x v="12"/>
          </reference>
          <reference field="7" count="1" selected="0">
            <x v="29"/>
          </reference>
          <reference field="8" count="1">
            <x v="11"/>
          </reference>
        </references>
      </pivotArea>
    </format>
    <format dxfId="3668">
      <pivotArea dataOnly="0" labelOnly="1" fieldPosition="0">
        <references count="5">
          <reference field="1" count="1" selected="0">
            <x v="151"/>
          </reference>
          <reference field="5" count="1" selected="0">
            <x v="0"/>
          </reference>
          <reference field="6" count="1" selected="0">
            <x v="16"/>
          </reference>
          <reference field="7" count="1" selected="0">
            <x v="240"/>
          </reference>
          <reference field="8" count="4">
            <x v="636"/>
            <x v="783"/>
            <x v="811"/>
            <x v="1237"/>
          </reference>
        </references>
      </pivotArea>
    </format>
    <format dxfId="3667">
      <pivotArea dataOnly="0" labelOnly="1" fieldPosition="0">
        <references count="5">
          <reference field="1" count="1" selected="0">
            <x v="151"/>
          </reference>
          <reference field="5" count="1" selected="0">
            <x v="2"/>
          </reference>
          <reference field="6" count="1" selected="0">
            <x v="16"/>
          </reference>
          <reference field="7" count="1" selected="0">
            <x v="240"/>
          </reference>
          <reference field="8" count="1">
            <x v="1760"/>
          </reference>
        </references>
      </pivotArea>
    </format>
    <format dxfId="3666">
      <pivotArea dataOnly="0" labelOnly="1" fieldPosition="0">
        <references count="5">
          <reference field="1" count="1" selected="0">
            <x v="151"/>
          </reference>
          <reference field="5" count="1" selected="0">
            <x v="3"/>
          </reference>
          <reference field="6" count="1" selected="0">
            <x v="16"/>
          </reference>
          <reference field="7" count="1" selected="0">
            <x v="240"/>
          </reference>
          <reference field="8" count="1">
            <x v="477"/>
          </reference>
        </references>
      </pivotArea>
    </format>
    <format dxfId="3665">
      <pivotArea dataOnly="0" labelOnly="1" fieldPosition="0">
        <references count="5">
          <reference field="1" count="1" selected="0">
            <x v="151"/>
          </reference>
          <reference field="5" count="1" selected="0">
            <x v="3"/>
          </reference>
          <reference field="6" count="1" selected="0">
            <x v="38"/>
          </reference>
          <reference field="7" count="1" selected="0">
            <x v="241"/>
          </reference>
          <reference field="8" count="1">
            <x v="138"/>
          </reference>
        </references>
      </pivotArea>
    </format>
    <format dxfId="3664">
      <pivotArea dataOnly="0" labelOnly="1" fieldPosition="0">
        <references count="5">
          <reference field="1" count="1" selected="0">
            <x v="151"/>
          </reference>
          <reference field="5" count="1" selected="0">
            <x v="5"/>
          </reference>
          <reference field="6" count="1" selected="0">
            <x v="38"/>
          </reference>
          <reference field="7" count="1" selected="0">
            <x v="241"/>
          </reference>
          <reference field="8" count="1">
            <x v="1773"/>
          </reference>
        </references>
      </pivotArea>
    </format>
    <format dxfId="3663">
      <pivotArea dataOnly="0" labelOnly="1" fieldPosition="0">
        <references count="5">
          <reference field="1" count="1" selected="0">
            <x v="151"/>
          </reference>
          <reference field="5" count="1" selected="0">
            <x v="12"/>
          </reference>
          <reference field="6" count="1" selected="0">
            <x v="1"/>
          </reference>
          <reference field="7" count="1" selected="0">
            <x v="241"/>
          </reference>
          <reference field="8" count="3">
            <x v="80"/>
            <x v="213"/>
            <x v="352"/>
          </reference>
        </references>
      </pivotArea>
    </format>
    <format dxfId="3662">
      <pivotArea dataOnly="0" labelOnly="1" fieldPosition="0">
        <references count="5">
          <reference field="1" count="1" selected="0">
            <x v="151"/>
          </reference>
          <reference field="5" count="1" selected="0">
            <x v="12"/>
          </reference>
          <reference field="6" count="1" selected="0">
            <x v="16"/>
          </reference>
          <reference field="7" count="1" selected="0">
            <x v="240"/>
          </reference>
          <reference field="8" count="23">
            <x v="434"/>
            <x v="460"/>
            <x v="1174"/>
            <x v="1220"/>
            <x v="1323"/>
            <x v="1330"/>
            <x v="1331"/>
            <x v="1352"/>
            <x v="1396"/>
            <x v="1474"/>
            <x v="1529"/>
            <x v="1573"/>
            <x v="1620"/>
            <x v="1633"/>
            <x v="1672"/>
            <x v="1684"/>
            <x v="1690"/>
            <x v="1699"/>
            <x v="1740"/>
            <x v="1753"/>
            <x v="1765"/>
            <x v="1769"/>
            <x v="1848"/>
          </reference>
        </references>
      </pivotArea>
    </format>
    <format dxfId="3661">
      <pivotArea dataOnly="0" labelOnly="1" fieldPosition="0">
        <references count="5">
          <reference field="1" count="1" selected="0">
            <x v="151"/>
          </reference>
          <reference field="5" count="1" selected="0">
            <x v="14"/>
          </reference>
          <reference field="6" count="1" selected="0">
            <x v="16"/>
          </reference>
          <reference field="7" count="1" selected="0">
            <x v="240"/>
          </reference>
          <reference field="8" count="1">
            <x v="107"/>
          </reference>
        </references>
      </pivotArea>
    </format>
    <format dxfId="3660">
      <pivotArea dataOnly="0" labelOnly="1" fieldPosition="0">
        <references count="5">
          <reference field="1" count="1" selected="0">
            <x v="151"/>
          </reference>
          <reference field="5" count="1" selected="0">
            <x v="14"/>
          </reference>
          <reference field="6" count="1" selected="0">
            <x v="38"/>
          </reference>
          <reference field="7" count="1" selected="0">
            <x v="241"/>
          </reference>
          <reference field="8" count="1">
            <x v="1208"/>
          </reference>
        </references>
      </pivotArea>
    </format>
    <format dxfId="3659">
      <pivotArea dataOnly="0" labelOnly="1" fieldPosition="0">
        <references count="5">
          <reference field="1" count="1" selected="0">
            <x v="151"/>
          </reference>
          <reference field="5" count="1" selected="0">
            <x v="15"/>
          </reference>
          <reference field="6" count="1" selected="0">
            <x v="16"/>
          </reference>
          <reference field="7" count="1" selected="0">
            <x v="240"/>
          </reference>
          <reference field="8" count="1">
            <x v="374"/>
          </reference>
        </references>
      </pivotArea>
    </format>
    <format dxfId="3658">
      <pivotArea dataOnly="0" labelOnly="1" fieldPosition="0">
        <references count="5">
          <reference field="1" count="1" selected="0">
            <x v="151"/>
          </reference>
          <reference field="5" count="1" selected="0">
            <x v="19"/>
          </reference>
          <reference field="6" count="1" selected="0">
            <x v="38"/>
          </reference>
          <reference field="7" count="1" selected="0">
            <x v="241"/>
          </reference>
          <reference field="8" count="1">
            <x v="292"/>
          </reference>
        </references>
      </pivotArea>
    </format>
    <format dxfId="3657">
      <pivotArea dataOnly="0" labelOnly="1" fieldPosition="0">
        <references count="5">
          <reference field="1" count="1" selected="0">
            <x v="151"/>
          </reference>
          <reference field="5" count="1" selected="0">
            <x v="21"/>
          </reference>
          <reference field="6" count="1" selected="0">
            <x v="16"/>
          </reference>
          <reference field="7" count="1" selected="0">
            <x v="240"/>
          </reference>
          <reference field="8" count="1">
            <x v="1311"/>
          </reference>
        </references>
      </pivotArea>
    </format>
    <format dxfId="3656">
      <pivotArea dataOnly="0" labelOnly="1" fieldPosition="0">
        <references count="5">
          <reference field="1" count="1" selected="0">
            <x v="151"/>
          </reference>
          <reference field="5" count="1" selected="0">
            <x v="23"/>
          </reference>
          <reference field="6" count="1" selected="0">
            <x v="16"/>
          </reference>
          <reference field="7" count="1" selected="0">
            <x v="240"/>
          </reference>
          <reference field="8" count="1">
            <x v="1781"/>
          </reference>
        </references>
      </pivotArea>
    </format>
    <format dxfId="3655">
      <pivotArea dataOnly="0" labelOnly="1" fieldPosition="0">
        <references count="5">
          <reference field="1" count="1" selected="0">
            <x v="151"/>
          </reference>
          <reference field="5" count="1" selected="0">
            <x v="23"/>
          </reference>
          <reference field="6" count="1" selected="0">
            <x v="38"/>
          </reference>
          <reference field="7" count="1" selected="0">
            <x v="241"/>
          </reference>
          <reference field="8" count="1">
            <x v="1379"/>
          </reference>
        </references>
      </pivotArea>
    </format>
    <format dxfId="3654">
      <pivotArea dataOnly="0" labelOnly="1" fieldPosition="0">
        <references count="5">
          <reference field="1" count="1" selected="0">
            <x v="151"/>
          </reference>
          <reference field="5" count="1" selected="0">
            <x v="24"/>
          </reference>
          <reference field="6" count="1" selected="0">
            <x v="16"/>
          </reference>
          <reference field="7" count="1" selected="0">
            <x v="240"/>
          </reference>
          <reference field="8" count="1">
            <x v="1441"/>
          </reference>
        </references>
      </pivotArea>
    </format>
    <format dxfId="3653">
      <pivotArea dataOnly="0" labelOnly="1" fieldPosition="0">
        <references count="5">
          <reference field="1" count="1" selected="0">
            <x v="151"/>
          </reference>
          <reference field="5" count="1" selected="0">
            <x v="29"/>
          </reference>
          <reference field="6" count="1" selected="0">
            <x v="6"/>
          </reference>
          <reference field="7" count="1" selected="0">
            <x v="241"/>
          </reference>
          <reference field="8" count="1">
            <x v="147"/>
          </reference>
        </references>
      </pivotArea>
    </format>
    <format dxfId="3652">
      <pivotArea dataOnly="0" labelOnly="1" fieldPosition="0">
        <references count="5">
          <reference field="1" count="1" selected="0">
            <x v="151"/>
          </reference>
          <reference field="5" count="1" selected="0">
            <x v="35"/>
          </reference>
          <reference field="6" count="1" selected="0">
            <x v="1"/>
          </reference>
          <reference field="7" count="1" selected="0">
            <x v="241"/>
          </reference>
          <reference field="8" count="2">
            <x v="80"/>
            <x v="352"/>
          </reference>
        </references>
      </pivotArea>
    </format>
    <format dxfId="3651">
      <pivotArea dataOnly="0" labelOnly="1" fieldPosition="0">
        <references count="5">
          <reference field="1" count="1" selected="0">
            <x v="151"/>
          </reference>
          <reference field="5" count="1" selected="0">
            <x v="35"/>
          </reference>
          <reference field="6" count="1" selected="0">
            <x v="16"/>
          </reference>
          <reference field="7" count="1" selected="0">
            <x v="240"/>
          </reference>
          <reference field="8" count="17">
            <x v="65"/>
            <x v="169"/>
            <x v="241"/>
            <x v="276"/>
            <x v="280"/>
            <x v="342"/>
            <x v="393"/>
            <x v="432"/>
            <x v="451"/>
            <x v="463"/>
            <x v="496"/>
            <x v="518"/>
            <x v="762"/>
            <x v="787"/>
            <x v="1161"/>
            <x v="1180"/>
            <x v="1226"/>
          </reference>
        </references>
      </pivotArea>
    </format>
    <format dxfId="3650">
      <pivotArea dataOnly="0" labelOnly="1" fieldPosition="0">
        <references count="5">
          <reference field="1" count="1" selected="0">
            <x v="151"/>
          </reference>
          <reference field="5" count="1" selected="0">
            <x v="37"/>
          </reference>
          <reference field="6" count="1" selected="0">
            <x v="38"/>
          </reference>
          <reference field="7" count="1" selected="0">
            <x v="241"/>
          </reference>
          <reference field="8" count="1">
            <x v="1189"/>
          </reference>
        </references>
      </pivotArea>
    </format>
    <format dxfId="3649">
      <pivotArea dataOnly="0" labelOnly="1" fieldPosition="0">
        <references count="5">
          <reference field="1" count="1" selected="0">
            <x v="152"/>
          </reference>
          <reference field="5" count="1" selected="0">
            <x v="0"/>
          </reference>
          <reference field="6" count="1" selected="0">
            <x v="12"/>
          </reference>
          <reference field="7" count="1" selected="0">
            <x v="42"/>
          </reference>
          <reference field="8" count="1">
            <x v="6"/>
          </reference>
        </references>
      </pivotArea>
    </format>
    <format dxfId="3648">
      <pivotArea dataOnly="0" labelOnly="1" fieldPosition="0">
        <references count="5">
          <reference field="1" count="1" selected="0">
            <x v="152"/>
          </reference>
          <reference field="5" count="1" selected="0">
            <x v="0"/>
          </reference>
          <reference field="6" count="1" selected="0">
            <x v="12"/>
          </reference>
          <reference field="7" count="1" selected="0">
            <x v="50"/>
          </reference>
          <reference field="8" count="1">
            <x v="39"/>
          </reference>
        </references>
      </pivotArea>
    </format>
    <format dxfId="3647">
      <pivotArea dataOnly="0" labelOnly="1" fieldPosition="0">
        <references count="5">
          <reference field="1" count="1" selected="0">
            <x v="152"/>
          </reference>
          <reference field="5" count="1" selected="0">
            <x v="0"/>
          </reference>
          <reference field="6" count="1" selected="0">
            <x v="12"/>
          </reference>
          <reference field="7" count="1" selected="0">
            <x v="57"/>
          </reference>
          <reference field="8" count="1">
            <x v="11"/>
          </reference>
        </references>
      </pivotArea>
    </format>
    <format dxfId="3646">
      <pivotArea dataOnly="0" labelOnly="1" fieldPosition="0">
        <references count="5">
          <reference field="1" count="1" selected="0">
            <x v="152"/>
          </reference>
          <reference field="5" count="1" selected="0">
            <x v="3"/>
          </reference>
          <reference field="6" count="1" selected="0">
            <x v="8"/>
          </reference>
          <reference field="7" count="1" selected="0">
            <x v="242"/>
          </reference>
          <reference field="8" count="1">
            <x v="0"/>
          </reference>
        </references>
      </pivotArea>
    </format>
    <format dxfId="3645">
      <pivotArea dataOnly="0" labelOnly="1" fieldPosition="0">
        <references count="5">
          <reference field="1" count="1" selected="0">
            <x v="152"/>
          </reference>
          <reference field="5" count="1" selected="0">
            <x v="3"/>
          </reference>
          <reference field="6" count="1" selected="0">
            <x v="10"/>
          </reference>
          <reference field="7" count="1" selected="0">
            <x v="242"/>
          </reference>
          <reference field="8" count="1">
            <x v="469"/>
          </reference>
        </references>
      </pivotArea>
    </format>
    <format dxfId="3644">
      <pivotArea dataOnly="0" labelOnly="1" fieldPosition="0">
        <references count="5">
          <reference field="1" count="1" selected="0">
            <x v="152"/>
          </reference>
          <reference field="5" count="1" selected="0">
            <x v="7"/>
          </reference>
          <reference field="6" count="1" selected="0">
            <x v="8"/>
          </reference>
          <reference field="7" count="1" selected="0">
            <x v="242"/>
          </reference>
          <reference field="8" count="1">
            <x v="0"/>
          </reference>
        </references>
      </pivotArea>
    </format>
    <format dxfId="3643">
      <pivotArea dataOnly="0" labelOnly="1" fieldPosition="0">
        <references count="5">
          <reference field="1" count="1" selected="0">
            <x v="152"/>
          </reference>
          <reference field="5" count="1" selected="0">
            <x v="7"/>
          </reference>
          <reference field="6" count="1" selected="0">
            <x v="10"/>
          </reference>
          <reference field="7" count="1" selected="0">
            <x v="242"/>
          </reference>
          <reference field="8" count="1">
            <x v="888"/>
          </reference>
        </references>
      </pivotArea>
    </format>
    <format dxfId="3642">
      <pivotArea dataOnly="0" labelOnly="1" fieldPosition="0">
        <references count="5">
          <reference field="1" count="1" selected="0">
            <x v="152"/>
          </reference>
          <reference field="5" count="1" selected="0">
            <x v="7"/>
          </reference>
          <reference field="6" count="1" selected="0">
            <x v="38"/>
          </reference>
          <reference field="7" count="1" selected="0">
            <x v="242"/>
          </reference>
          <reference field="8" count="1">
            <x v="791"/>
          </reference>
        </references>
      </pivotArea>
    </format>
    <format dxfId="3641">
      <pivotArea dataOnly="0" labelOnly="1" fieldPosition="0">
        <references count="5">
          <reference field="1" count="1" selected="0">
            <x v="152"/>
          </reference>
          <reference field="5" count="1" selected="0">
            <x v="10"/>
          </reference>
          <reference field="6" count="1" selected="0">
            <x v="6"/>
          </reference>
          <reference field="7" count="1" selected="0">
            <x v="242"/>
          </reference>
          <reference field="8" count="1">
            <x v="1263"/>
          </reference>
        </references>
      </pivotArea>
    </format>
    <format dxfId="3640">
      <pivotArea dataOnly="0" labelOnly="1" fieldPosition="0">
        <references count="5">
          <reference field="1" count="1" selected="0">
            <x v="152"/>
          </reference>
          <reference field="5" count="1" selected="0">
            <x v="12"/>
          </reference>
          <reference field="6" count="1" selected="0">
            <x v="1"/>
          </reference>
          <reference field="7" count="1" selected="0">
            <x v="242"/>
          </reference>
          <reference field="8" count="2">
            <x v="80"/>
            <x v="213"/>
          </reference>
        </references>
      </pivotArea>
    </format>
    <format dxfId="3639">
      <pivotArea dataOnly="0" labelOnly="1" fieldPosition="0">
        <references count="5">
          <reference field="1" count="1" selected="0">
            <x v="152"/>
          </reference>
          <reference field="5" count="1" selected="0">
            <x v="13"/>
          </reference>
          <reference field="6" count="1" selected="0">
            <x v="33"/>
          </reference>
          <reference field="7" count="1" selected="0">
            <x v="242"/>
          </reference>
          <reference field="8" count="1">
            <x v="155"/>
          </reference>
        </references>
      </pivotArea>
    </format>
    <format dxfId="3638">
      <pivotArea dataOnly="0" labelOnly="1" fieldPosition="0">
        <references count="5">
          <reference field="1" count="1" selected="0">
            <x v="152"/>
          </reference>
          <reference field="5" count="1" selected="0">
            <x v="14"/>
          </reference>
          <reference field="6" count="1" selected="0">
            <x v="8"/>
          </reference>
          <reference field="7" count="1" selected="0">
            <x v="242"/>
          </reference>
          <reference field="8" count="1">
            <x v="0"/>
          </reference>
        </references>
      </pivotArea>
    </format>
    <format dxfId="3637">
      <pivotArea dataOnly="0" labelOnly="1" fieldPosition="0">
        <references count="5">
          <reference field="1" count="1" selected="0">
            <x v="152"/>
          </reference>
          <reference field="5" count="1" selected="0">
            <x v="14"/>
          </reference>
          <reference field="6" count="1" selected="0">
            <x v="10"/>
          </reference>
          <reference field="7" count="1" selected="0">
            <x v="242"/>
          </reference>
          <reference field="8" count="1">
            <x v="109"/>
          </reference>
        </references>
      </pivotArea>
    </format>
    <format dxfId="3636">
      <pivotArea dataOnly="0" labelOnly="1" fieldPosition="0">
        <references count="5">
          <reference field="1" count="1" selected="0">
            <x v="152"/>
          </reference>
          <reference field="5" count="1" selected="0">
            <x v="17"/>
          </reference>
          <reference field="6" count="1" selected="0">
            <x v="38"/>
          </reference>
          <reference field="7" count="1" selected="0">
            <x v="242"/>
          </reference>
          <reference field="8" count="1">
            <x v="469"/>
          </reference>
        </references>
      </pivotArea>
    </format>
    <format dxfId="3635">
      <pivotArea dataOnly="0" labelOnly="1" fieldPosition="0">
        <references count="5">
          <reference field="1" count="1" selected="0">
            <x v="152"/>
          </reference>
          <reference field="5" count="1" selected="0">
            <x v="19"/>
          </reference>
          <reference field="6" count="1" selected="0">
            <x v="38"/>
          </reference>
          <reference field="7" count="1" selected="0">
            <x v="242"/>
          </reference>
          <reference field="8" count="1">
            <x v="156"/>
          </reference>
        </references>
      </pivotArea>
    </format>
    <format dxfId="3634">
      <pivotArea dataOnly="0" labelOnly="1" fieldPosition="0">
        <references count="5">
          <reference field="1" count="1" selected="0">
            <x v="152"/>
          </reference>
          <reference field="5" count="1" selected="0">
            <x v="23"/>
          </reference>
          <reference field="6" count="1" selected="0">
            <x v="38"/>
          </reference>
          <reference field="7" count="1" selected="0">
            <x v="242"/>
          </reference>
          <reference field="8" count="1">
            <x v="278"/>
          </reference>
        </references>
      </pivotArea>
    </format>
    <format dxfId="3633">
      <pivotArea dataOnly="0" labelOnly="1" fieldPosition="0">
        <references count="5">
          <reference field="1" count="1" selected="0">
            <x v="152"/>
          </reference>
          <reference field="5" count="1" selected="0">
            <x v="24"/>
          </reference>
          <reference field="6" count="1" selected="0">
            <x v="6"/>
          </reference>
          <reference field="7" count="1" selected="0">
            <x v="242"/>
          </reference>
          <reference field="8" count="1">
            <x v="816"/>
          </reference>
        </references>
      </pivotArea>
    </format>
    <format dxfId="3632">
      <pivotArea dataOnly="0" labelOnly="1" fieldPosition="0">
        <references count="5">
          <reference field="1" count="1" selected="0">
            <x v="152"/>
          </reference>
          <reference field="5" count="1" selected="0">
            <x v="24"/>
          </reference>
          <reference field="6" count="1" selected="0">
            <x v="8"/>
          </reference>
          <reference field="7" count="1" selected="0">
            <x v="242"/>
          </reference>
          <reference field="8" count="1">
            <x v="0"/>
          </reference>
        </references>
      </pivotArea>
    </format>
    <format dxfId="3631">
      <pivotArea dataOnly="0" labelOnly="1" fieldPosition="0">
        <references count="5">
          <reference field="1" count="1" selected="0">
            <x v="152"/>
          </reference>
          <reference field="5" count="1" selected="0">
            <x v="24"/>
          </reference>
          <reference field="6" count="1" selected="0">
            <x v="10"/>
          </reference>
          <reference field="7" count="1" selected="0">
            <x v="242"/>
          </reference>
          <reference field="8" count="1">
            <x v="109"/>
          </reference>
        </references>
      </pivotArea>
    </format>
    <format dxfId="3630">
      <pivotArea dataOnly="0" labelOnly="1" fieldPosition="0">
        <references count="5">
          <reference field="1" count="1" selected="0">
            <x v="152"/>
          </reference>
          <reference field="5" count="1" selected="0">
            <x v="28"/>
          </reference>
          <reference field="6" count="1" selected="0">
            <x v="8"/>
          </reference>
          <reference field="7" count="1" selected="0">
            <x v="242"/>
          </reference>
          <reference field="8" count="1">
            <x v="0"/>
          </reference>
        </references>
      </pivotArea>
    </format>
    <format dxfId="3629">
      <pivotArea dataOnly="0" labelOnly="1" fieldPosition="0">
        <references count="5">
          <reference field="1" count="1" selected="0">
            <x v="152"/>
          </reference>
          <reference field="5" count="1" selected="0">
            <x v="28"/>
          </reference>
          <reference field="6" count="1" selected="0">
            <x v="10"/>
          </reference>
          <reference field="7" count="1" selected="0">
            <x v="242"/>
          </reference>
          <reference field="8" count="1">
            <x v="1052"/>
          </reference>
        </references>
      </pivotArea>
    </format>
    <format dxfId="3628">
      <pivotArea dataOnly="0" labelOnly="1" fieldPosition="0">
        <references count="5">
          <reference field="1" count="1" selected="0">
            <x v="152"/>
          </reference>
          <reference field="5" count="1" selected="0">
            <x v="35"/>
          </reference>
          <reference field="6" count="1" selected="0">
            <x v="1"/>
          </reference>
          <reference field="7" count="1" selected="0">
            <x v="242"/>
          </reference>
          <reference field="8" count="2">
            <x v="80"/>
            <x v="500"/>
          </reference>
        </references>
      </pivotArea>
    </format>
    <format dxfId="3627">
      <pivotArea dataOnly="0" labelOnly="1" fieldPosition="0">
        <references count="5">
          <reference field="1" count="1" selected="0">
            <x v="152"/>
          </reference>
          <reference field="5" count="1" selected="0">
            <x v="37"/>
          </reference>
          <reference field="6" count="1" selected="0">
            <x v="8"/>
          </reference>
          <reference field="7" count="1" selected="0">
            <x v="242"/>
          </reference>
          <reference field="8" count="1">
            <x v="0"/>
          </reference>
        </references>
      </pivotArea>
    </format>
    <format dxfId="3626">
      <pivotArea dataOnly="0" labelOnly="1" fieldPosition="0">
        <references count="5">
          <reference field="1" count="1" selected="0">
            <x v="152"/>
          </reference>
          <reference field="5" count="1" selected="0">
            <x v="37"/>
          </reference>
          <reference field="6" count="1" selected="0">
            <x v="10"/>
          </reference>
          <reference field="7" count="1" selected="0">
            <x v="242"/>
          </reference>
          <reference field="8" count="1">
            <x v="283"/>
          </reference>
        </references>
      </pivotArea>
    </format>
    <format dxfId="3625">
      <pivotArea dataOnly="0" labelOnly="1" fieldPosition="0">
        <references count="5">
          <reference field="1" count="1" selected="0">
            <x v="153"/>
          </reference>
          <reference field="5" count="1" selected="0">
            <x v="0"/>
          </reference>
          <reference field="6" count="1" selected="0">
            <x v="8"/>
          </reference>
          <reference field="7" count="1" selected="0">
            <x v="243"/>
          </reference>
          <reference field="8" count="1">
            <x v="1157"/>
          </reference>
        </references>
      </pivotArea>
    </format>
    <format dxfId="3624">
      <pivotArea dataOnly="0" labelOnly="1" fieldPosition="0">
        <references count="5">
          <reference field="1" count="1" selected="0">
            <x v="153"/>
          </reference>
          <reference field="5" count="1" selected="0">
            <x v="0"/>
          </reference>
          <reference field="6" count="1" selected="0">
            <x v="9"/>
          </reference>
          <reference field="7" count="1" selected="0">
            <x v="243"/>
          </reference>
          <reference field="8" count="5">
            <x v="371"/>
            <x v="433"/>
            <x v="605"/>
            <x v="788"/>
            <x v="939"/>
          </reference>
        </references>
      </pivotArea>
    </format>
    <format dxfId="3623">
      <pivotArea dataOnly="0" labelOnly="1" fieldPosition="0">
        <references count="5">
          <reference field="1" count="1" selected="0">
            <x v="153"/>
          </reference>
          <reference field="5" count="1" selected="0">
            <x v="0"/>
          </reference>
          <reference field="6" count="1" selected="0">
            <x v="12"/>
          </reference>
          <reference field="7" count="1" selected="0">
            <x v="17"/>
          </reference>
          <reference field="8" count="1">
            <x v="96"/>
          </reference>
        </references>
      </pivotArea>
    </format>
    <format dxfId="3622">
      <pivotArea dataOnly="0" labelOnly="1" fieldPosition="0">
        <references count="5">
          <reference field="1" count="1" selected="0">
            <x v="153"/>
          </reference>
          <reference field="5" count="1" selected="0">
            <x v="0"/>
          </reference>
          <reference field="6" count="1" selected="0">
            <x v="12"/>
          </reference>
          <reference field="7" count="1" selected="0">
            <x v="19"/>
          </reference>
          <reference field="8" count="1">
            <x v="46"/>
          </reference>
        </references>
      </pivotArea>
    </format>
    <format dxfId="3621">
      <pivotArea dataOnly="0" labelOnly="1" fieldPosition="0">
        <references count="5">
          <reference field="1" count="1" selected="0">
            <x v="153"/>
          </reference>
          <reference field="5" count="1" selected="0">
            <x v="0"/>
          </reference>
          <reference field="6" count="1" selected="0">
            <x v="12"/>
          </reference>
          <reference field="7" count="1" selected="0">
            <x v="71"/>
          </reference>
          <reference field="8" count="1">
            <x v="37"/>
          </reference>
        </references>
      </pivotArea>
    </format>
    <format dxfId="3620">
      <pivotArea dataOnly="0" labelOnly="1" fieldPosition="0">
        <references count="5">
          <reference field="1" count="1" selected="0">
            <x v="153"/>
          </reference>
          <reference field="5" count="1" selected="0">
            <x v="2"/>
          </reference>
          <reference field="6" count="1" selected="0">
            <x v="10"/>
          </reference>
          <reference field="7" count="1" selected="0">
            <x v="243"/>
          </reference>
          <reference field="8" count="1">
            <x v="1756"/>
          </reference>
        </references>
      </pivotArea>
    </format>
    <format dxfId="3619">
      <pivotArea dataOnly="0" labelOnly="1" fieldPosition="0">
        <references count="5">
          <reference field="1" count="1" selected="0">
            <x v="153"/>
          </reference>
          <reference field="5" count="1" selected="0">
            <x v="3"/>
          </reference>
          <reference field="6" count="1" selected="0">
            <x v="10"/>
          </reference>
          <reference field="7" count="1" selected="0">
            <x v="243"/>
          </reference>
          <reference field="8" count="1">
            <x v="1401"/>
          </reference>
        </references>
      </pivotArea>
    </format>
    <format dxfId="3618">
      <pivotArea dataOnly="0" labelOnly="1" fieldPosition="0">
        <references count="5">
          <reference field="1" count="1" selected="0">
            <x v="153"/>
          </reference>
          <reference field="5" count="1" selected="0">
            <x v="7"/>
          </reference>
          <reference field="6" count="1" selected="0">
            <x v="8"/>
          </reference>
          <reference field="7" count="1" selected="0">
            <x v="243"/>
          </reference>
          <reference field="8" count="1">
            <x v="714"/>
          </reference>
        </references>
      </pivotArea>
    </format>
    <format dxfId="3617">
      <pivotArea dataOnly="0" labelOnly="1" fieldPosition="0">
        <references count="5">
          <reference field="1" count="1" selected="0">
            <x v="153"/>
          </reference>
          <reference field="5" count="1" selected="0">
            <x v="7"/>
          </reference>
          <reference field="6" count="1" selected="0">
            <x v="9"/>
          </reference>
          <reference field="7" count="1" selected="0">
            <x v="243"/>
          </reference>
          <reference field="8" count="1">
            <x v="40"/>
          </reference>
        </references>
      </pivotArea>
    </format>
    <format dxfId="3616">
      <pivotArea dataOnly="0" labelOnly="1" fieldPosition="0">
        <references count="5">
          <reference field="1" count="1" selected="0">
            <x v="153"/>
          </reference>
          <reference field="5" count="1" selected="0">
            <x v="9"/>
          </reference>
          <reference field="6" count="1" selected="0">
            <x v="8"/>
          </reference>
          <reference field="7" count="1" selected="0">
            <x v="243"/>
          </reference>
          <reference field="8" count="1">
            <x v="423"/>
          </reference>
        </references>
      </pivotArea>
    </format>
    <format dxfId="3615">
      <pivotArea dataOnly="0" labelOnly="1" fieldPosition="0">
        <references count="5">
          <reference field="1" count="1" selected="0">
            <x v="153"/>
          </reference>
          <reference field="5" count="1" selected="0">
            <x v="9"/>
          </reference>
          <reference field="6" count="1" selected="0">
            <x v="10"/>
          </reference>
          <reference field="7" count="1" selected="0">
            <x v="243"/>
          </reference>
          <reference field="8" count="1">
            <x v="60"/>
          </reference>
        </references>
      </pivotArea>
    </format>
    <format dxfId="3614">
      <pivotArea dataOnly="0" labelOnly="1" fieldPosition="0">
        <references count="5">
          <reference field="1" count="1" selected="0">
            <x v="153"/>
          </reference>
          <reference field="5" count="1" selected="0">
            <x v="15"/>
          </reference>
          <reference field="6" count="1" selected="0">
            <x v="8"/>
          </reference>
          <reference field="7" count="1" selected="0">
            <x v="243"/>
          </reference>
          <reference field="8" count="1">
            <x v="883"/>
          </reference>
        </references>
      </pivotArea>
    </format>
    <format dxfId="3613">
      <pivotArea dataOnly="0" labelOnly="1" fieldPosition="0">
        <references count="5">
          <reference field="1" count="1" selected="0">
            <x v="153"/>
          </reference>
          <reference field="5" count="1" selected="0">
            <x v="17"/>
          </reference>
          <reference field="6" count="1" selected="0">
            <x v="10"/>
          </reference>
          <reference field="7" count="1" selected="0">
            <x v="243"/>
          </reference>
          <reference field="8" count="1">
            <x v="1776"/>
          </reference>
        </references>
      </pivotArea>
    </format>
    <format dxfId="3612">
      <pivotArea dataOnly="0" labelOnly="1" fieldPosition="0">
        <references count="5">
          <reference field="1" count="1" selected="0">
            <x v="153"/>
          </reference>
          <reference field="5" count="1" selected="0">
            <x v="18"/>
          </reference>
          <reference field="6" count="1" selected="0">
            <x v="8"/>
          </reference>
          <reference field="7" count="1" selected="0">
            <x v="243"/>
          </reference>
          <reference field="8" count="1">
            <x v="831"/>
          </reference>
        </references>
      </pivotArea>
    </format>
    <format dxfId="3611">
      <pivotArea dataOnly="0" labelOnly="1" fieldPosition="0">
        <references count="5">
          <reference field="1" count="1" selected="0">
            <x v="153"/>
          </reference>
          <reference field="5" count="1" selected="0">
            <x v="24"/>
          </reference>
          <reference field="6" count="1" selected="0">
            <x v="9"/>
          </reference>
          <reference field="7" count="1" selected="0">
            <x v="243"/>
          </reference>
          <reference field="8" count="1">
            <x v="1353"/>
          </reference>
        </references>
      </pivotArea>
    </format>
    <format dxfId="3610">
      <pivotArea dataOnly="0" labelOnly="1" fieldPosition="0">
        <references count="5">
          <reference field="1" count="1" selected="0">
            <x v="153"/>
          </reference>
          <reference field="5" count="1" selected="0">
            <x v="24"/>
          </reference>
          <reference field="6" count="1" selected="0">
            <x v="10"/>
          </reference>
          <reference field="7" count="1" selected="0">
            <x v="243"/>
          </reference>
          <reference field="8" count="1">
            <x v="287"/>
          </reference>
        </references>
      </pivotArea>
    </format>
    <format dxfId="3609">
      <pivotArea dataOnly="0" labelOnly="1" fieldPosition="0">
        <references count="5">
          <reference field="1" count="1" selected="0">
            <x v="153"/>
          </reference>
          <reference field="5" count="1" selected="0">
            <x v="26"/>
          </reference>
          <reference field="6" count="1" selected="0">
            <x v="38"/>
          </reference>
          <reference field="7" count="1" selected="0">
            <x v="243"/>
          </reference>
          <reference field="8" count="1">
            <x v="371"/>
          </reference>
        </references>
      </pivotArea>
    </format>
    <format dxfId="3608">
      <pivotArea dataOnly="0" labelOnly="1" fieldPosition="0">
        <references count="5">
          <reference field="1" count="1" selected="0">
            <x v="153"/>
          </reference>
          <reference field="5" count="1" selected="0">
            <x v="35"/>
          </reference>
          <reference field="6" count="1" selected="0">
            <x v="1"/>
          </reference>
          <reference field="7" count="1" selected="0">
            <x v="243"/>
          </reference>
          <reference field="8" count="1">
            <x v="213"/>
          </reference>
        </references>
      </pivotArea>
    </format>
    <format dxfId="3607">
      <pivotArea dataOnly="0" labelOnly="1" fieldPosition="0">
        <references count="5">
          <reference field="1" count="1" selected="0">
            <x v="153"/>
          </reference>
          <reference field="5" count="1" selected="0">
            <x v="36"/>
          </reference>
          <reference field="6" count="1" selected="0">
            <x v="10"/>
          </reference>
          <reference field="7" count="1" selected="0">
            <x v="243"/>
          </reference>
          <reference field="8" count="1">
            <x v="1534"/>
          </reference>
        </references>
      </pivotArea>
    </format>
    <format dxfId="3606">
      <pivotArea dataOnly="0" labelOnly="1" fieldPosition="0">
        <references count="5">
          <reference field="1" count="1" selected="0">
            <x v="153"/>
          </reference>
          <reference field="5" count="1" selected="0">
            <x v="38"/>
          </reference>
          <reference field="6" count="1" selected="0">
            <x v="10"/>
          </reference>
          <reference field="7" count="1" selected="0">
            <x v="243"/>
          </reference>
          <reference field="8" count="1">
            <x v="1017"/>
          </reference>
        </references>
      </pivotArea>
    </format>
    <format dxfId="3605">
      <pivotArea dataOnly="0" labelOnly="1" fieldPosition="0">
        <references count="5">
          <reference field="1" count="1" selected="0">
            <x v="154"/>
          </reference>
          <reference field="5" count="1" selected="0">
            <x v="0"/>
          </reference>
          <reference field="6" count="1" selected="0">
            <x v="12"/>
          </reference>
          <reference field="7" count="1" selected="0">
            <x v="71"/>
          </reference>
          <reference field="8" count="1">
            <x v="11"/>
          </reference>
        </references>
      </pivotArea>
    </format>
    <format dxfId="3604">
      <pivotArea dataOnly="0" labelOnly="1" fieldPosition="0">
        <references count="5">
          <reference field="1" count="1" selected="0">
            <x v="154"/>
          </reference>
          <reference field="5" count="1" selected="0">
            <x v="0"/>
          </reference>
          <reference field="6" count="1" selected="0">
            <x v="38"/>
          </reference>
          <reference field="7" count="1" selected="0">
            <x v="244"/>
          </reference>
          <reference field="8" count="3">
            <x v="89"/>
            <x v="138"/>
            <x v="391"/>
          </reference>
        </references>
      </pivotArea>
    </format>
    <format dxfId="3603">
      <pivotArea dataOnly="0" labelOnly="1" fieldPosition="0">
        <references count="5">
          <reference field="1" count="1" selected="0">
            <x v="154"/>
          </reference>
          <reference field="5" count="1" selected="0">
            <x v="12"/>
          </reference>
          <reference field="6" count="1" selected="0">
            <x v="1"/>
          </reference>
          <reference field="7" count="1" selected="0">
            <x v="244"/>
          </reference>
          <reference field="8" count="3">
            <x v="80"/>
            <x v="213"/>
            <x v="352"/>
          </reference>
        </references>
      </pivotArea>
    </format>
    <format dxfId="3602">
      <pivotArea dataOnly="0" labelOnly="1" fieldPosition="0">
        <references count="5">
          <reference field="1" count="1" selected="0">
            <x v="154"/>
          </reference>
          <reference field="5" count="1" selected="0">
            <x v="17"/>
          </reference>
          <reference field="6" count="1" selected="0">
            <x v="38"/>
          </reference>
          <reference field="7" count="1" selected="0">
            <x v="244"/>
          </reference>
          <reference field="8" count="1">
            <x v="365"/>
          </reference>
        </references>
      </pivotArea>
    </format>
    <format dxfId="3601">
      <pivotArea dataOnly="0" labelOnly="1" fieldPosition="0">
        <references count="5">
          <reference field="1" count="1" selected="0">
            <x v="154"/>
          </reference>
          <reference field="5" count="1" selected="0">
            <x v="23"/>
          </reference>
          <reference field="6" count="1" selected="0">
            <x v="38"/>
          </reference>
          <reference field="7" count="1" selected="0">
            <x v="244"/>
          </reference>
          <reference field="8" count="1">
            <x v="1603"/>
          </reference>
        </references>
      </pivotArea>
    </format>
    <format dxfId="3600">
      <pivotArea dataOnly="0" labelOnly="1" fieldPosition="0">
        <references count="5">
          <reference field="1" count="1" selected="0">
            <x v="154"/>
          </reference>
          <reference field="5" count="1" selected="0">
            <x v="33"/>
          </reference>
          <reference field="6" count="1" selected="0">
            <x v="37"/>
          </reference>
          <reference field="7" count="1" selected="0">
            <x v="244"/>
          </reference>
          <reference field="8" count="1">
            <x v="897"/>
          </reference>
        </references>
      </pivotArea>
    </format>
    <format dxfId="3599">
      <pivotArea dataOnly="0" labelOnly="1" fieldPosition="0">
        <references count="5">
          <reference field="1" count="1" selected="0">
            <x v="154"/>
          </reference>
          <reference field="5" count="1" selected="0">
            <x v="33"/>
          </reference>
          <reference field="6" count="1" selected="0">
            <x v="38"/>
          </reference>
          <reference field="7" count="1" selected="0">
            <x v="244"/>
          </reference>
          <reference field="8" count="1">
            <x v="401"/>
          </reference>
        </references>
      </pivotArea>
    </format>
    <format dxfId="3598">
      <pivotArea dataOnly="0" labelOnly="1" fieldPosition="0">
        <references count="5">
          <reference field="1" count="1" selected="0">
            <x v="154"/>
          </reference>
          <reference field="5" count="1" selected="0">
            <x v="35"/>
          </reference>
          <reference field="6" count="1" selected="0">
            <x v="1"/>
          </reference>
          <reference field="7" count="1" selected="0">
            <x v="244"/>
          </reference>
          <reference field="8" count="3">
            <x v="80"/>
            <x v="213"/>
            <x v="352"/>
          </reference>
        </references>
      </pivotArea>
    </format>
    <format dxfId="3597">
      <pivotArea dataOnly="0" labelOnly="1" fieldPosition="0">
        <references count="5">
          <reference field="1" count="1" selected="0">
            <x v="154"/>
          </reference>
          <reference field="5" count="1" selected="0">
            <x v="36"/>
          </reference>
          <reference field="6" count="1" selected="0">
            <x v="38"/>
          </reference>
          <reference field="7" count="1" selected="0">
            <x v="244"/>
          </reference>
          <reference field="8" count="1">
            <x v="214"/>
          </reference>
        </references>
      </pivotArea>
    </format>
    <format dxfId="3596">
      <pivotArea dataOnly="0" labelOnly="1" fieldPosition="0">
        <references count="5">
          <reference field="1" count="1" selected="0">
            <x v="155"/>
          </reference>
          <reference field="5" count="1" selected="0">
            <x v="0"/>
          </reference>
          <reference field="6" count="1" selected="0">
            <x v="12"/>
          </reference>
          <reference field="7" count="1" selected="0">
            <x v="2"/>
          </reference>
          <reference field="8" count="1">
            <x v="12"/>
          </reference>
        </references>
      </pivotArea>
    </format>
    <format dxfId="3595">
      <pivotArea dataOnly="0" labelOnly="1" fieldPosition="0">
        <references count="5">
          <reference field="1" count="1" selected="0">
            <x v="155"/>
          </reference>
          <reference field="5" count="1" selected="0">
            <x v="0"/>
          </reference>
          <reference field="6" count="1" selected="0">
            <x v="12"/>
          </reference>
          <reference field="7" count="1" selected="0">
            <x v="10"/>
          </reference>
          <reference field="8" count="1">
            <x v="119"/>
          </reference>
        </references>
      </pivotArea>
    </format>
    <format dxfId="3594">
      <pivotArea dataOnly="0" labelOnly="1" fieldPosition="0">
        <references count="5">
          <reference field="1" count="1" selected="0">
            <x v="155"/>
          </reference>
          <reference field="5" count="1" selected="0">
            <x v="0"/>
          </reference>
          <reference field="6" count="1" selected="0">
            <x v="12"/>
          </reference>
          <reference field="7" count="1" selected="0">
            <x v="19"/>
          </reference>
          <reference field="8" count="1">
            <x v="35"/>
          </reference>
        </references>
      </pivotArea>
    </format>
    <format dxfId="3593">
      <pivotArea dataOnly="0" labelOnly="1" fieldPosition="0">
        <references count="5">
          <reference field="1" count="1" selected="0">
            <x v="155"/>
          </reference>
          <reference field="5" count="1" selected="0">
            <x v="0"/>
          </reference>
          <reference field="6" count="1" selected="0">
            <x v="12"/>
          </reference>
          <reference field="7" count="1" selected="0">
            <x v="39"/>
          </reference>
          <reference field="8" count="1">
            <x v="180"/>
          </reference>
        </references>
      </pivotArea>
    </format>
    <format dxfId="3592">
      <pivotArea dataOnly="0" labelOnly="1" fieldPosition="0">
        <references count="5">
          <reference field="1" count="1" selected="0">
            <x v="155"/>
          </reference>
          <reference field="5" count="1" selected="0">
            <x v="0"/>
          </reference>
          <reference field="6" count="1" selected="0">
            <x v="38"/>
          </reference>
          <reference field="7" count="1" selected="0">
            <x v="245"/>
          </reference>
          <reference field="8" count="1">
            <x v="1177"/>
          </reference>
        </references>
      </pivotArea>
    </format>
    <format dxfId="3591">
      <pivotArea dataOnly="0" labelOnly="1" fieldPosition="0">
        <references count="5">
          <reference field="1" count="1" selected="0">
            <x v="155"/>
          </reference>
          <reference field="5" count="1" selected="0">
            <x v="6"/>
          </reference>
          <reference field="6" count="1" selected="0">
            <x v="38"/>
          </reference>
          <reference field="7" count="1" selected="0">
            <x v="245"/>
          </reference>
          <reference field="8" count="1">
            <x v="1357"/>
          </reference>
        </references>
      </pivotArea>
    </format>
    <format dxfId="3590">
      <pivotArea dataOnly="0" labelOnly="1" fieldPosition="0">
        <references count="5">
          <reference field="1" count="1" selected="0">
            <x v="155"/>
          </reference>
          <reference field="5" count="1" selected="0">
            <x v="12"/>
          </reference>
          <reference field="6" count="1" selected="0">
            <x v="1"/>
          </reference>
          <reference field="7" count="1" selected="0">
            <x v="245"/>
          </reference>
          <reference field="8" count="3">
            <x v="80"/>
            <x v="213"/>
            <x v="352"/>
          </reference>
        </references>
      </pivotArea>
    </format>
    <format dxfId="3589">
      <pivotArea dataOnly="0" labelOnly="1" fieldPosition="0">
        <references count="5">
          <reference field="1" count="1" selected="0">
            <x v="155"/>
          </reference>
          <reference field="5" count="1" selected="0">
            <x v="33"/>
          </reference>
          <reference field="6" count="1" selected="0">
            <x v="38"/>
          </reference>
          <reference field="7" count="1" selected="0">
            <x v="245"/>
          </reference>
          <reference field="8" count="1">
            <x v="235"/>
          </reference>
        </references>
      </pivotArea>
    </format>
    <format dxfId="3588">
      <pivotArea dataOnly="0" labelOnly="1" fieldPosition="0">
        <references count="5">
          <reference field="1" count="1" selected="0">
            <x v="155"/>
          </reference>
          <reference field="5" count="1" selected="0">
            <x v="35"/>
          </reference>
          <reference field="6" count="1" selected="0">
            <x v="1"/>
          </reference>
          <reference field="7" count="1" selected="0">
            <x v="245"/>
          </reference>
          <reference field="8" count="1">
            <x v="80"/>
          </reference>
        </references>
      </pivotArea>
    </format>
    <format dxfId="3587">
      <pivotArea dataOnly="0" labelOnly="1" fieldPosition="0">
        <references count="5">
          <reference field="1" count="1" selected="0">
            <x v="156"/>
          </reference>
          <reference field="5" count="1" selected="0">
            <x v="0"/>
          </reference>
          <reference field="6" count="1" selected="0">
            <x v="12"/>
          </reference>
          <reference field="7" count="1" selected="0">
            <x v="2"/>
          </reference>
          <reference field="8" count="1">
            <x v="39"/>
          </reference>
        </references>
      </pivotArea>
    </format>
    <format dxfId="3586">
      <pivotArea dataOnly="0" labelOnly="1" fieldPosition="0">
        <references count="5">
          <reference field="1" count="1" selected="0">
            <x v="156"/>
          </reference>
          <reference field="5" count="1" selected="0">
            <x v="0"/>
          </reference>
          <reference field="6" count="1" selected="0">
            <x v="12"/>
          </reference>
          <reference field="7" count="1" selected="0">
            <x v="32"/>
          </reference>
          <reference field="8" count="1">
            <x v="391"/>
          </reference>
        </references>
      </pivotArea>
    </format>
    <format dxfId="3585">
      <pivotArea dataOnly="0" labelOnly="1" fieldPosition="0">
        <references count="5">
          <reference field="1" count="1" selected="0">
            <x v="156"/>
          </reference>
          <reference field="5" count="1" selected="0">
            <x v="0"/>
          </reference>
          <reference field="6" count="1" selected="0">
            <x v="12"/>
          </reference>
          <reference field="7" count="1" selected="0">
            <x v="38"/>
          </reference>
          <reference field="8" count="1">
            <x v="6"/>
          </reference>
        </references>
      </pivotArea>
    </format>
    <format dxfId="3584">
      <pivotArea dataOnly="0" labelOnly="1" fieldPosition="0">
        <references count="5">
          <reference field="1" count="1" selected="0">
            <x v="156"/>
          </reference>
          <reference field="5" count="1" selected="0">
            <x v="0"/>
          </reference>
          <reference field="6" count="1" selected="0">
            <x v="38"/>
          </reference>
          <reference field="7" count="1" selected="0">
            <x v="246"/>
          </reference>
          <reference field="8" count="1">
            <x v="138"/>
          </reference>
        </references>
      </pivotArea>
    </format>
    <format dxfId="3583">
      <pivotArea dataOnly="0" labelOnly="1" fieldPosition="0">
        <references count="5">
          <reference field="1" count="1" selected="0">
            <x v="156"/>
          </reference>
          <reference field="5" count="1" selected="0">
            <x v="6"/>
          </reference>
          <reference field="6" count="1" selected="0">
            <x v="38"/>
          </reference>
          <reference field="7" count="1" selected="0">
            <x v="246"/>
          </reference>
          <reference field="8" count="1">
            <x v="579"/>
          </reference>
        </references>
      </pivotArea>
    </format>
    <format dxfId="3582">
      <pivotArea dataOnly="0" labelOnly="1" fieldPosition="0">
        <references count="5">
          <reference field="1" count="1" selected="0">
            <x v="156"/>
          </reference>
          <reference field="5" count="1" selected="0">
            <x v="12"/>
          </reference>
          <reference field="6" count="1" selected="0">
            <x v="1"/>
          </reference>
          <reference field="7" count="1" selected="0">
            <x v="246"/>
          </reference>
          <reference field="8" count="4">
            <x v="80"/>
            <x v="213"/>
            <x v="500"/>
            <x v="607"/>
          </reference>
        </references>
      </pivotArea>
    </format>
    <format dxfId="3581">
      <pivotArea dataOnly="0" labelOnly="1" fieldPosition="0">
        <references count="5">
          <reference field="1" count="1" selected="0">
            <x v="156"/>
          </reference>
          <reference field="5" count="1" selected="0">
            <x v="12"/>
          </reference>
          <reference field="6" count="1" selected="0">
            <x v="38"/>
          </reference>
          <reference field="7" count="1" selected="0">
            <x v="246"/>
          </reference>
          <reference field="8" count="3">
            <x v="1271"/>
            <x v="1343"/>
            <x v="1528"/>
          </reference>
        </references>
      </pivotArea>
    </format>
    <format dxfId="3580">
      <pivotArea dataOnly="0" labelOnly="1" fieldPosition="0">
        <references count="5">
          <reference field="1" count="1" selected="0">
            <x v="156"/>
          </reference>
          <reference field="5" count="1" selected="0">
            <x v="31"/>
          </reference>
          <reference field="6" count="1" selected="0">
            <x v="6"/>
          </reference>
          <reference field="7" count="1" selected="0">
            <x v="246"/>
          </reference>
          <reference field="8" count="1">
            <x v="1793"/>
          </reference>
        </references>
      </pivotArea>
    </format>
    <format dxfId="3579">
      <pivotArea dataOnly="0" labelOnly="1" fieldPosition="0">
        <references count="5">
          <reference field="1" count="1" selected="0">
            <x v="156"/>
          </reference>
          <reference field="5" count="1" selected="0">
            <x v="35"/>
          </reference>
          <reference field="6" count="1" selected="0">
            <x v="1"/>
          </reference>
          <reference field="7" count="1" selected="0">
            <x v="246"/>
          </reference>
          <reference field="8" count="1">
            <x v="80"/>
          </reference>
        </references>
      </pivotArea>
    </format>
    <format dxfId="3578">
      <pivotArea dataOnly="0" labelOnly="1" fieldPosition="0">
        <references count="5">
          <reference field="1" count="1" selected="0">
            <x v="156"/>
          </reference>
          <reference field="5" count="1" selected="0">
            <x v="36"/>
          </reference>
          <reference field="6" count="1" selected="0">
            <x v="38"/>
          </reference>
          <reference field="7" count="1" selected="0">
            <x v="246"/>
          </reference>
          <reference field="8" count="1">
            <x v="214"/>
          </reference>
        </references>
      </pivotArea>
    </format>
    <format dxfId="3577">
      <pivotArea dataOnly="0" labelOnly="1" fieldPosition="0">
        <references count="5">
          <reference field="1" count="1" selected="0">
            <x v="157"/>
          </reference>
          <reference field="5" count="1" selected="0">
            <x v="0"/>
          </reference>
          <reference field="6" count="1" selected="0">
            <x v="38"/>
          </reference>
          <reference field="7" count="1" selected="0">
            <x v="247"/>
          </reference>
          <reference field="8" count="2">
            <x v="138"/>
            <x v="524"/>
          </reference>
        </references>
      </pivotArea>
    </format>
    <format dxfId="3576">
      <pivotArea dataOnly="0" labelOnly="1" fieldPosition="0">
        <references count="5">
          <reference field="1" count="1" selected="0">
            <x v="157"/>
          </reference>
          <reference field="5" count="1" selected="0">
            <x v="2"/>
          </reference>
          <reference field="6" count="1" selected="0">
            <x v="1"/>
          </reference>
          <reference field="7" count="1" selected="0">
            <x v="247"/>
          </reference>
          <reference field="8" count="1">
            <x v="1284"/>
          </reference>
        </references>
      </pivotArea>
    </format>
    <format dxfId="3575">
      <pivotArea dataOnly="0" labelOnly="1" fieldPosition="0">
        <references count="5">
          <reference field="1" count="1" selected="0">
            <x v="157"/>
          </reference>
          <reference field="5" count="1" selected="0">
            <x v="2"/>
          </reference>
          <reference field="6" count="1" selected="0">
            <x v="6"/>
          </reference>
          <reference field="7" count="1" selected="0">
            <x v="247"/>
          </reference>
          <reference field="8" count="1">
            <x v="909"/>
          </reference>
        </references>
      </pivotArea>
    </format>
    <format dxfId="3574">
      <pivotArea dataOnly="0" labelOnly="1" fieldPosition="0">
        <references count="5">
          <reference field="1" count="1" selected="0">
            <x v="157"/>
          </reference>
          <reference field="5" count="1" selected="0">
            <x v="3"/>
          </reference>
          <reference field="6" count="1" selected="0">
            <x v="38"/>
          </reference>
          <reference field="7" count="1" selected="0">
            <x v="247"/>
          </reference>
          <reference field="8" count="1">
            <x v="1070"/>
          </reference>
        </references>
      </pivotArea>
    </format>
    <format dxfId="3573">
      <pivotArea dataOnly="0" labelOnly="1" fieldPosition="0">
        <references count="5">
          <reference field="1" count="1" selected="0">
            <x v="157"/>
          </reference>
          <reference field="5" count="1" selected="0">
            <x v="7"/>
          </reference>
          <reference field="6" count="1" selected="0">
            <x v="38"/>
          </reference>
          <reference field="7" count="1" selected="0">
            <x v="247"/>
          </reference>
          <reference field="8" count="1">
            <x v="1770"/>
          </reference>
        </references>
      </pivotArea>
    </format>
    <format dxfId="3572">
      <pivotArea dataOnly="0" labelOnly="1" fieldPosition="0">
        <references count="5">
          <reference field="1" count="1" selected="0">
            <x v="157"/>
          </reference>
          <reference field="5" count="1" selected="0">
            <x v="12"/>
          </reference>
          <reference field="6" count="1" selected="0">
            <x v="1"/>
          </reference>
          <reference field="7" count="1" selected="0">
            <x v="247"/>
          </reference>
          <reference field="8" count="5">
            <x v="80"/>
            <x v="213"/>
            <x v="352"/>
            <x v="771"/>
            <x v="964"/>
          </reference>
        </references>
      </pivotArea>
    </format>
    <format dxfId="3571">
      <pivotArea dataOnly="0" labelOnly="1" fieldPosition="0">
        <references count="5">
          <reference field="1" count="1" selected="0">
            <x v="157"/>
          </reference>
          <reference field="5" count="1" selected="0">
            <x v="17"/>
          </reference>
          <reference field="6" count="1" selected="0">
            <x v="38"/>
          </reference>
          <reference field="7" count="1" selected="0">
            <x v="247"/>
          </reference>
          <reference field="8" count="1">
            <x v="1708"/>
          </reference>
        </references>
      </pivotArea>
    </format>
    <format dxfId="3570">
      <pivotArea dataOnly="0" labelOnly="1" fieldPosition="0">
        <references count="5">
          <reference field="1" count="1" selected="0">
            <x v="157"/>
          </reference>
          <reference field="5" count="1" selected="0">
            <x v="35"/>
          </reference>
          <reference field="6" count="1" selected="0">
            <x v="1"/>
          </reference>
          <reference field="7" count="1" selected="0">
            <x v="247"/>
          </reference>
          <reference field="8" count="1">
            <x v="80"/>
          </reference>
        </references>
      </pivotArea>
    </format>
    <format dxfId="3569">
      <pivotArea dataOnly="0" labelOnly="1" fieldPosition="0">
        <references count="5">
          <reference field="1" count="1" selected="0">
            <x v="158"/>
          </reference>
          <reference field="5" count="1" selected="0">
            <x v="0"/>
          </reference>
          <reference field="6" count="1" selected="0">
            <x v="12"/>
          </reference>
          <reference field="7" count="1" selected="0">
            <x v="52"/>
          </reference>
          <reference field="8" count="1">
            <x v="9"/>
          </reference>
        </references>
      </pivotArea>
    </format>
    <format dxfId="3568">
      <pivotArea dataOnly="0" labelOnly="1" fieldPosition="0">
        <references count="5">
          <reference field="1" count="1" selected="0">
            <x v="158"/>
          </reference>
          <reference field="5" count="1" selected="0">
            <x v="0"/>
          </reference>
          <reference field="6" count="1" selected="0">
            <x v="12"/>
          </reference>
          <reference field="7" count="1" selected="0">
            <x v="57"/>
          </reference>
          <reference field="8" count="1">
            <x v="6"/>
          </reference>
        </references>
      </pivotArea>
    </format>
    <format dxfId="3567">
      <pivotArea dataOnly="0" labelOnly="1" fieldPosition="0">
        <references count="5">
          <reference field="1" count="1" selected="0">
            <x v="158"/>
          </reference>
          <reference field="5" count="1" selected="0">
            <x v="5"/>
          </reference>
          <reference field="6" count="1" selected="0">
            <x v="10"/>
          </reference>
          <reference field="7" count="1" selected="0">
            <x v="248"/>
          </reference>
          <reference field="8" count="1">
            <x v="1336"/>
          </reference>
        </references>
      </pivotArea>
    </format>
    <format dxfId="3566">
      <pivotArea dataOnly="0" labelOnly="1" fieldPosition="0">
        <references count="5">
          <reference field="1" count="1" selected="0">
            <x v="158"/>
          </reference>
          <reference field="5" count="1" selected="0">
            <x v="9"/>
          </reference>
          <reference field="6" count="1" selected="0">
            <x v="10"/>
          </reference>
          <reference field="7" count="1" selected="0">
            <x v="248"/>
          </reference>
          <reference field="8" count="1">
            <x v="176"/>
          </reference>
        </references>
      </pivotArea>
    </format>
    <format dxfId="3565">
      <pivotArea dataOnly="0" labelOnly="1" fieldPosition="0">
        <references count="5">
          <reference field="1" count="1" selected="0">
            <x v="158"/>
          </reference>
          <reference field="5" count="1" selected="0">
            <x v="12"/>
          </reference>
          <reference field="6" count="1" selected="0">
            <x v="1"/>
          </reference>
          <reference field="7" count="1" selected="0">
            <x v="248"/>
          </reference>
          <reference field="8" count="6">
            <x v="213"/>
            <x v="352"/>
            <x v="500"/>
            <x v="607"/>
            <x v="702"/>
            <x v="771"/>
          </reference>
        </references>
      </pivotArea>
    </format>
    <format dxfId="3564">
      <pivotArea dataOnly="0" labelOnly="1" fieldPosition="0">
        <references count="5">
          <reference field="1" count="1" selected="0">
            <x v="158"/>
          </reference>
          <reference field="5" count="1" selected="0">
            <x v="15"/>
          </reference>
          <reference field="6" count="1" selected="0">
            <x v="10"/>
          </reference>
          <reference field="7" count="1" selected="0">
            <x v="248"/>
          </reference>
          <reference field="8" count="1">
            <x v="1807"/>
          </reference>
        </references>
      </pivotArea>
    </format>
    <format dxfId="3563">
      <pivotArea dataOnly="0" labelOnly="1" fieldPosition="0">
        <references count="5">
          <reference field="1" count="1" selected="0">
            <x v="158"/>
          </reference>
          <reference field="5" count="1" selected="0">
            <x v="15"/>
          </reference>
          <reference field="6" count="1" selected="0">
            <x v="38"/>
          </reference>
          <reference field="7" count="1" selected="0">
            <x v="248"/>
          </reference>
          <reference field="8" count="1">
            <x v="607"/>
          </reference>
        </references>
      </pivotArea>
    </format>
    <format dxfId="3562">
      <pivotArea dataOnly="0" labelOnly="1" fieldPosition="0">
        <references count="5">
          <reference field="1" count="1" selected="0">
            <x v="158"/>
          </reference>
          <reference field="5" count="1" selected="0">
            <x v="19"/>
          </reference>
          <reference field="6" count="1" selected="0">
            <x v="6"/>
          </reference>
          <reference field="7" count="1" selected="0">
            <x v="248"/>
          </reference>
          <reference field="8" count="1">
            <x v="902"/>
          </reference>
        </references>
      </pivotArea>
    </format>
    <format dxfId="3561">
      <pivotArea dataOnly="0" labelOnly="1" fieldPosition="0">
        <references count="5">
          <reference field="1" count="1" selected="0">
            <x v="158"/>
          </reference>
          <reference field="5" count="1" selected="0">
            <x v="23"/>
          </reference>
          <reference field="6" count="1" selected="0">
            <x v="1"/>
          </reference>
          <reference field="7" count="1" selected="0">
            <x v="248"/>
          </reference>
          <reference field="8" count="1">
            <x v="718"/>
          </reference>
        </references>
      </pivotArea>
    </format>
    <format dxfId="3560">
      <pivotArea dataOnly="0" labelOnly="1" fieldPosition="0">
        <references count="5">
          <reference field="1" count="1" selected="0">
            <x v="158"/>
          </reference>
          <reference field="5" count="1" selected="0">
            <x v="24"/>
          </reference>
          <reference field="6" count="1" selected="0">
            <x v="6"/>
          </reference>
          <reference field="7" count="1" selected="0">
            <x v="248"/>
          </reference>
          <reference field="8" count="1">
            <x v="1268"/>
          </reference>
        </references>
      </pivotArea>
    </format>
    <format dxfId="3559">
      <pivotArea dataOnly="0" labelOnly="1" fieldPosition="0">
        <references count="5">
          <reference field="1" count="1" selected="0">
            <x v="158"/>
          </reference>
          <reference field="5" count="1" selected="0">
            <x v="35"/>
          </reference>
          <reference field="6" count="1" selected="0">
            <x v="1"/>
          </reference>
          <reference field="7" count="1" selected="0">
            <x v="248"/>
          </reference>
          <reference field="8" count="1">
            <x v="80"/>
          </reference>
        </references>
      </pivotArea>
    </format>
    <format dxfId="3558">
      <pivotArea dataOnly="0" labelOnly="1" fieldPosition="0">
        <references count="5">
          <reference field="1" count="1" selected="0">
            <x v="159"/>
          </reference>
          <reference field="5" count="1" selected="0">
            <x v="0"/>
          </reference>
          <reference field="6" count="1" selected="0">
            <x v="6"/>
          </reference>
          <reference field="7" count="1" selected="0">
            <x v="250"/>
          </reference>
          <reference field="8" count="2">
            <x v="469"/>
            <x v="1345"/>
          </reference>
        </references>
      </pivotArea>
    </format>
    <format dxfId="3557">
      <pivotArea dataOnly="0" labelOnly="1" fieldPosition="0">
        <references count="5">
          <reference field="1" count="1" selected="0">
            <x v="159"/>
          </reference>
          <reference field="5" count="1" selected="0">
            <x v="0"/>
          </reference>
          <reference field="6" count="1" selected="0">
            <x v="9"/>
          </reference>
          <reference field="7" count="1" selected="0">
            <x v="250"/>
          </reference>
          <reference field="8" count="2">
            <x v="605"/>
            <x v="909"/>
          </reference>
        </references>
      </pivotArea>
    </format>
    <format dxfId="3556">
      <pivotArea dataOnly="0" labelOnly="1" fieldPosition="0">
        <references count="5">
          <reference field="1" count="1" selected="0">
            <x v="159"/>
          </reference>
          <reference field="5" count="1" selected="0">
            <x v="0"/>
          </reference>
          <reference field="6" count="1" selected="0">
            <x v="12"/>
          </reference>
          <reference field="7" count="1" selected="0">
            <x v="64"/>
          </reference>
          <reference field="8" count="1">
            <x v="69"/>
          </reference>
        </references>
      </pivotArea>
    </format>
    <format dxfId="3555">
      <pivotArea dataOnly="0" labelOnly="1" fieldPosition="0">
        <references count="5">
          <reference field="1" count="1" selected="0">
            <x v="159"/>
          </reference>
          <reference field="5" count="1" selected="0">
            <x v="12"/>
          </reference>
          <reference field="6" count="1" selected="0">
            <x v="1"/>
          </reference>
          <reference field="7" count="1" selected="0">
            <x v="250"/>
          </reference>
          <reference field="8" count="4">
            <x v="80"/>
            <x v="213"/>
            <x v="500"/>
            <x v="771"/>
          </reference>
        </references>
      </pivotArea>
    </format>
    <format dxfId="3554">
      <pivotArea dataOnly="0" labelOnly="1" fieldPosition="0">
        <references count="5">
          <reference field="1" count="1" selected="0">
            <x v="159"/>
          </reference>
          <reference field="5" count="1" selected="0">
            <x v="12"/>
          </reference>
          <reference field="6" count="1" selected="0">
            <x v="8"/>
          </reference>
          <reference field="7" count="1" selected="0">
            <x v="250"/>
          </reference>
          <reference field="8" count="1">
            <x v="0"/>
          </reference>
        </references>
      </pivotArea>
    </format>
    <format dxfId="3553">
      <pivotArea dataOnly="0" labelOnly="1" fieldPosition="0">
        <references count="5">
          <reference field="1" count="1" selected="0">
            <x v="159"/>
          </reference>
          <reference field="5" count="1" selected="0">
            <x v="12"/>
          </reference>
          <reference field="6" count="1" selected="0">
            <x v="29"/>
          </reference>
          <reference field="7" count="1" selected="0">
            <x v="249"/>
          </reference>
          <reference field="8" count="1">
            <x v="221"/>
          </reference>
        </references>
      </pivotArea>
    </format>
    <format dxfId="3552">
      <pivotArea dataOnly="0" labelOnly="1" fieldPosition="0">
        <references count="5">
          <reference field="1" count="1" selected="0">
            <x v="159"/>
          </reference>
          <reference field="5" count="1" selected="0">
            <x v="15"/>
          </reference>
          <reference field="6" count="1" selected="0">
            <x v="10"/>
          </reference>
          <reference field="7" count="1" selected="0">
            <x v="250"/>
          </reference>
          <reference field="8" count="1">
            <x v="1402"/>
          </reference>
        </references>
      </pivotArea>
    </format>
    <format dxfId="3551">
      <pivotArea dataOnly="0" labelOnly="1" fieldPosition="0">
        <references count="5">
          <reference field="1" count="1" selected="0">
            <x v="159"/>
          </reference>
          <reference field="5" count="1" selected="0">
            <x v="19"/>
          </reference>
          <reference field="6" count="1" selected="0">
            <x v="6"/>
          </reference>
          <reference field="7" count="1" selected="0">
            <x v="250"/>
          </reference>
          <reference field="8" count="1">
            <x v="840"/>
          </reference>
        </references>
      </pivotArea>
    </format>
    <format dxfId="3550">
      <pivotArea dataOnly="0" labelOnly="1" fieldPosition="0">
        <references count="5">
          <reference field="1" count="1" selected="0">
            <x v="159"/>
          </reference>
          <reference field="5" count="1" selected="0">
            <x v="33"/>
          </reference>
          <reference field="6" count="1" selected="0">
            <x v="6"/>
          </reference>
          <reference field="7" count="1" selected="0">
            <x v="250"/>
          </reference>
          <reference field="8" count="1">
            <x v="469"/>
          </reference>
        </references>
      </pivotArea>
    </format>
    <format dxfId="3549">
      <pivotArea dataOnly="0" labelOnly="1" fieldPosition="0">
        <references count="5">
          <reference field="1" count="1" selected="0">
            <x v="159"/>
          </reference>
          <reference field="5" count="1" selected="0">
            <x v="33"/>
          </reference>
          <reference field="6" count="1" selected="0">
            <x v="38"/>
          </reference>
          <reference field="7" count="1" selected="0">
            <x v="250"/>
          </reference>
          <reference field="8" count="1">
            <x v="82"/>
          </reference>
        </references>
      </pivotArea>
    </format>
    <format dxfId="3548">
      <pivotArea dataOnly="0" labelOnly="1" fieldPosition="0">
        <references count="5">
          <reference field="1" count="1" selected="0">
            <x v="159"/>
          </reference>
          <reference field="5" count="1" selected="0">
            <x v="35"/>
          </reference>
          <reference field="6" count="1" selected="0">
            <x v="1"/>
          </reference>
          <reference field="7" count="1" selected="0">
            <x v="250"/>
          </reference>
          <reference field="8" count="2">
            <x v="80"/>
            <x v="213"/>
          </reference>
        </references>
      </pivotArea>
    </format>
    <format dxfId="3547">
      <pivotArea dataOnly="0" labelOnly="1" fieldPosition="0">
        <references count="5">
          <reference field="1" count="1" selected="0">
            <x v="159"/>
          </reference>
          <reference field="5" count="1" selected="0">
            <x v="37"/>
          </reference>
          <reference field="6" count="1" selected="0">
            <x v="38"/>
          </reference>
          <reference field="7" count="1" selected="0">
            <x v="250"/>
          </reference>
          <reference field="8" count="1">
            <x v="256"/>
          </reference>
        </references>
      </pivotArea>
    </format>
    <format dxfId="3546">
      <pivotArea dataOnly="0" labelOnly="1" fieldPosition="0">
        <references count="5">
          <reference field="1" count="1" selected="0">
            <x v="160"/>
          </reference>
          <reference field="5" count="1" selected="0">
            <x v="0"/>
          </reference>
          <reference field="6" count="1" selected="0">
            <x v="38"/>
          </reference>
          <reference field="7" count="1" selected="0">
            <x v="251"/>
          </reference>
          <reference field="8" count="1">
            <x v="607"/>
          </reference>
        </references>
      </pivotArea>
    </format>
    <format dxfId="3545">
      <pivotArea dataOnly="0" labelOnly="1" fieldPosition="0">
        <references count="5">
          <reference field="1" count="1" selected="0">
            <x v="160"/>
          </reference>
          <reference field="5" count="1" selected="0">
            <x v="12"/>
          </reference>
          <reference field="6" count="1" selected="0">
            <x v="1"/>
          </reference>
          <reference field="7" count="1" selected="0">
            <x v="251"/>
          </reference>
          <reference field="8" count="4">
            <x v="80"/>
            <x v="213"/>
            <x v="352"/>
            <x v="500"/>
          </reference>
        </references>
      </pivotArea>
    </format>
    <format dxfId="3544">
      <pivotArea dataOnly="0" labelOnly="1" fieldPosition="0">
        <references count="5">
          <reference field="1" count="1" selected="0">
            <x v="160"/>
          </reference>
          <reference field="5" count="1" selected="0">
            <x v="15"/>
          </reference>
          <reference field="6" count="1" selected="0">
            <x v="38"/>
          </reference>
          <reference field="7" count="1" selected="0">
            <x v="251"/>
          </reference>
          <reference field="8" count="1">
            <x v="213"/>
          </reference>
        </references>
      </pivotArea>
    </format>
    <format dxfId="3543">
      <pivotArea dataOnly="0" labelOnly="1" fieldPosition="0">
        <references count="5">
          <reference field="1" count="1" selected="0">
            <x v="160"/>
          </reference>
          <reference field="5" count="1" selected="0">
            <x v="23"/>
          </reference>
          <reference field="6" count="1" selected="0">
            <x v="38"/>
          </reference>
          <reference field="7" count="1" selected="0">
            <x v="251"/>
          </reference>
          <reference field="8" count="1">
            <x v="972"/>
          </reference>
        </references>
      </pivotArea>
    </format>
    <format dxfId="3542">
      <pivotArea dataOnly="0" labelOnly="1" fieldPosition="0">
        <references count="5">
          <reference field="1" count="1" selected="0">
            <x v="160"/>
          </reference>
          <reference field="5" count="1" selected="0">
            <x v="35"/>
          </reference>
          <reference field="6" count="1" selected="0">
            <x v="1"/>
          </reference>
          <reference field="7" count="1" selected="0">
            <x v="251"/>
          </reference>
          <reference field="8" count="1">
            <x v="80"/>
          </reference>
        </references>
      </pivotArea>
    </format>
    <format dxfId="3541">
      <pivotArea dataOnly="0" labelOnly="1" fieldPosition="0">
        <references count="5">
          <reference field="1" count="1" selected="0">
            <x v="161"/>
          </reference>
          <reference field="5" count="1" selected="0">
            <x v="0"/>
          </reference>
          <reference field="6" count="1" selected="0">
            <x v="12"/>
          </reference>
          <reference field="7" count="1" selected="0">
            <x v="12"/>
          </reference>
          <reference field="8" count="1">
            <x v="199"/>
          </reference>
        </references>
      </pivotArea>
    </format>
    <format dxfId="3540">
      <pivotArea dataOnly="0" labelOnly="1" fieldPosition="0">
        <references count="5">
          <reference field="1" count="1" selected="0">
            <x v="161"/>
          </reference>
          <reference field="5" count="1" selected="0">
            <x v="0"/>
          </reference>
          <reference field="6" count="1" selected="0">
            <x v="12"/>
          </reference>
          <reference field="7" count="1" selected="0">
            <x v="20"/>
          </reference>
          <reference field="8" count="1">
            <x v="733"/>
          </reference>
        </references>
      </pivotArea>
    </format>
    <format dxfId="3539">
      <pivotArea dataOnly="0" labelOnly="1" fieldPosition="0">
        <references count="5">
          <reference field="1" count="1" selected="0">
            <x v="161"/>
          </reference>
          <reference field="5" count="1" selected="0">
            <x v="0"/>
          </reference>
          <reference field="6" count="1" selected="0">
            <x v="12"/>
          </reference>
          <reference field="7" count="1" selected="0">
            <x v="30"/>
          </reference>
          <reference field="8" count="1">
            <x v="6"/>
          </reference>
        </references>
      </pivotArea>
    </format>
    <format dxfId="3538">
      <pivotArea dataOnly="0" labelOnly="1" fieldPosition="0">
        <references count="5">
          <reference field="1" count="1" selected="0">
            <x v="161"/>
          </reference>
          <reference field="5" count="1" selected="0">
            <x v="12"/>
          </reference>
          <reference field="6" count="1" selected="0">
            <x v="1"/>
          </reference>
          <reference field="7" count="1" selected="0">
            <x v="252"/>
          </reference>
          <reference field="8" count="2">
            <x v="80"/>
            <x v="213"/>
          </reference>
        </references>
      </pivotArea>
    </format>
    <format dxfId="3537">
      <pivotArea dataOnly="0" labelOnly="1" fieldPosition="0">
        <references count="5">
          <reference field="1" count="1" selected="0">
            <x v="161"/>
          </reference>
          <reference field="5" count="1" selected="0">
            <x v="14"/>
          </reference>
          <reference field="6" count="1" selected="0">
            <x v="6"/>
          </reference>
          <reference field="7" count="1" selected="0">
            <x v="252"/>
          </reference>
          <reference field="8" count="1">
            <x v="1871"/>
          </reference>
        </references>
      </pivotArea>
    </format>
    <format dxfId="3536">
      <pivotArea dataOnly="0" labelOnly="1" fieldPosition="0">
        <references count="5">
          <reference field="1" count="1" selected="0">
            <x v="161"/>
          </reference>
          <reference field="5" count="1" selected="0">
            <x v="35"/>
          </reference>
          <reference field="6" count="1" selected="0">
            <x v="1"/>
          </reference>
          <reference field="7" count="1" selected="0">
            <x v="252"/>
          </reference>
          <reference field="8" count="1">
            <x v="213"/>
          </reference>
        </references>
      </pivotArea>
    </format>
    <format dxfId="3535">
      <pivotArea dataOnly="0" labelOnly="1" fieldPosition="0">
        <references count="5">
          <reference field="1" count="1" selected="0">
            <x v="162"/>
          </reference>
          <reference field="5" count="1" selected="0">
            <x v="0"/>
          </reference>
          <reference field="6" count="1" selected="0">
            <x v="6"/>
          </reference>
          <reference field="7" count="1" selected="0">
            <x v="253"/>
          </reference>
          <reference field="8" count="1">
            <x v="334"/>
          </reference>
        </references>
      </pivotArea>
    </format>
    <format dxfId="3534">
      <pivotArea dataOnly="0" labelOnly="1" fieldPosition="0">
        <references count="5">
          <reference field="1" count="1" selected="0">
            <x v="162"/>
          </reference>
          <reference field="5" count="1" selected="0">
            <x v="0"/>
          </reference>
          <reference field="6" count="1" selected="0">
            <x v="8"/>
          </reference>
          <reference field="7" count="1" selected="0">
            <x v="253"/>
          </reference>
          <reference field="8" count="3">
            <x v="74"/>
            <x v="846"/>
            <x v="910"/>
          </reference>
        </references>
      </pivotArea>
    </format>
    <format dxfId="3533">
      <pivotArea dataOnly="0" labelOnly="1" fieldPosition="0">
        <references count="5">
          <reference field="1" count="1" selected="0">
            <x v="162"/>
          </reference>
          <reference field="5" count="1" selected="0">
            <x v="0"/>
          </reference>
          <reference field="6" count="1" selected="0">
            <x v="9"/>
          </reference>
          <reference field="7" count="1" selected="0">
            <x v="253"/>
          </reference>
          <reference field="8" count="10">
            <x v="125"/>
            <x v="191"/>
            <x v="203"/>
            <x v="303"/>
            <x v="504"/>
            <x v="524"/>
            <x v="543"/>
            <x v="551"/>
            <x v="1007"/>
            <x v="1027"/>
          </reference>
        </references>
      </pivotArea>
    </format>
    <format dxfId="3532">
      <pivotArea dataOnly="0" labelOnly="1" fieldPosition="0">
        <references count="5">
          <reference field="1" count="1" selected="0">
            <x v="162"/>
          </reference>
          <reference field="5" count="1" selected="0">
            <x v="3"/>
          </reference>
          <reference field="6" count="1" selected="0">
            <x v="8"/>
          </reference>
          <reference field="7" count="1" selected="0">
            <x v="253"/>
          </reference>
          <reference field="8" count="1">
            <x v="865"/>
          </reference>
        </references>
      </pivotArea>
    </format>
    <format dxfId="3531">
      <pivotArea dataOnly="0" labelOnly="1" fieldPosition="0">
        <references count="5">
          <reference field="1" count="1" selected="0">
            <x v="162"/>
          </reference>
          <reference field="5" count="1" selected="0">
            <x v="3"/>
          </reference>
          <reference field="6" count="1" selected="0">
            <x v="37"/>
          </reference>
          <reference field="7" count="1" selected="0">
            <x v="253"/>
          </reference>
          <reference field="8" count="1">
            <x v="1069"/>
          </reference>
        </references>
      </pivotArea>
    </format>
    <format dxfId="3530">
      <pivotArea dataOnly="0" labelOnly="1" fieldPosition="0">
        <references count="5">
          <reference field="1" count="1" selected="0">
            <x v="162"/>
          </reference>
          <reference field="5" count="1" selected="0">
            <x v="3"/>
          </reference>
          <reference field="6" count="1" selected="0">
            <x v="38"/>
          </reference>
          <reference field="7" count="1" selected="0">
            <x v="253"/>
          </reference>
          <reference field="8" count="1">
            <x v="109"/>
          </reference>
        </references>
      </pivotArea>
    </format>
    <format dxfId="3529">
      <pivotArea dataOnly="0" labelOnly="1" fieldPosition="0">
        <references count="5">
          <reference field="1" count="1" selected="0">
            <x v="162"/>
          </reference>
          <reference field="5" count="1" selected="0">
            <x v="5"/>
          </reference>
          <reference field="6" count="1" selected="0">
            <x v="37"/>
          </reference>
          <reference field="7" count="1" selected="0">
            <x v="253"/>
          </reference>
          <reference field="8" count="1">
            <x v="1069"/>
          </reference>
        </references>
      </pivotArea>
    </format>
    <format dxfId="3528">
      <pivotArea dataOnly="0" labelOnly="1" fieldPosition="0">
        <references count="5">
          <reference field="1" count="1" selected="0">
            <x v="162"/>
          </reference>
          <reference field="5" count="1" selected="0">
            <x v="7"/>
          </reference>
          <reference field="6" count="1" selected="0">
            <x v="38"/>
          </reference>
          <reference field="7" count="1" selected="0">
            <x v="253"/>
          </reference>
          <reference field="8" count="1">
            <x v="304"/>
          </reference>
        </references>
      </pivotArea>
    </format>
    <format dxfId="3527">
      <pivotArea dataOnly="0" labelOnly="1" fieldPosition="0">
        <references count="5">
          <reference field="1" count="1" selected="0">
            <x v="162"/>
          </reference>
          <reference field="5" count="1" selected="0">
            <x v="9"/>
          </reference>
          <reference field="6" count="1" selected="0">
            <x v="8"/>
          </reference>
          <reference field="7" count="1" selected="0">
            <x v="253"/>
          </reference>
          <reference field="8" count="1">
            <x v="208"/>
          </reference>
        </references>
      </pivotArea>
    </format>
    <format dxfId="3526">
      <pivotArea dataOnly="0" labelOnly="1" fieldPosition="0">
        <references count="5">
          <reference field="1" count="1" selected="0">
            <x v="162"/>
          </reference>
          <reference field="5" count="1" selected="0">
            <x v="11"/>
          </reference>
          <reference field="6" count="1" selected="0">
            <x v="9"/>
          </reference>
          <reference field="7" count="1" selected="0">
            <x v="253"/>
          </reference>
          <reference field="8" count="1">
            <x v="410"/>
          </reference>
        </references>
      </pivotArea>
    </format>
    <format dxfId="3525">
      <pivotArea dataOnly="0" labelOnly="1" fieldPosition="0">
        <references count="5">
          <reference field="1" count="1" selected="0">
            <x v="162"/>
          </reference>
          <reference field="5" count="1" selected="0">
            <x v="12"/>
          </reference>
          <reference field="6" count="1" selected="0">
            <x v="1"/>
          </reference>
          <reference field="7" count="1" selected="0">
            <x v="253"/>
          </reference>
          <reference field="8" count="3">
            <x v="80"/>
            <x v="213"/>
            <x v="352"/>
          </reference>
        </references>
      </pivotArea>
    </format>
    <format dxfId="3524">
      <pivotArea dataOnly="0" labelOnly="1" fieldPosition="0">
        <references count="5">
          <reference field="1" count="1" selected="0">
            <x v="162"/>
          </reference>
          <reference field="5" count="1" selected="0">
            <x v="14"/>
          </reference>
          <reference field="6" count="1" selected="0">
            <x v="38"/>
          </reference>
          <reference field="7" count="1" selected="0">
            <x v="253"/>
          </reference>
          <reference field="8" count="1">
            <x v="177"/>
          </reference>
        </references>
      </pivotArea>
    </format>
    <format dxfId="3523">
      <pivotArea dataOnly="0" labelOnly="1" fieldPosition="0">
        <references count="5">
          <reference field="1" count="1" selected="0">
            <x v="162"/>
          </reference>
          <reference field="5" count="1" selected="0">
            <x v="15"/>
          </reference>
          <reference field="6" count="1" selected="0">
            <x v="7"/>
          </reference>
          <reference field="7" count="1" selected="0">
            <x v="253"/>
          </reference>
          <reference field="8" count="1">
            <x v="205"/>
          </reference>
        </references>
      </pivotArea>
    </format>
    <format dxfId="3522">
      <pivotArea dataOnly="0" labelOnly="1" fieldPosition="0">
        <references count="5">
          <reference field="1" count="1" selected="0">
            <x v="162"/>
          </reference>
          <reference field="5" count="1" selected="0">
            <x v="15"/>
          </reference>
          <reference field="6" count="1" selected="0">
            <x v="8"/>
          </reference>
          <reference field="7" count="1" selected="0">
            <x v="253"/>
          </reference>
          <reference field="8" count="1">
            <x v="356"/>
          </reference>
        </references>
      </pivotArea>
    </format>
    <format dxfId="3521">
      <pivotArea dataOnly="0" labelOnly="1" fieldPosition="0">
        <references count="5">
          <reference field="1" count="1" selected="0">
            <x v="162"/>
          </reference>
          <reference field="5" count="1" selected="0">
            <x v="15"/>
          </reference>
          <reference field="6" count="1" selected="0">
            <x v="38"/>
          </reference>
          <reference field="7" count="1" selected="0">
            <x v="253"/>
          </reference>
          <reference field="8" count="1">
            <x v="846"/>
          </reference>
        </references>
      </pivotArea>
    </format>
    <format dxfId="3520">
      <pivotArea dataOnly="0" labelOnly="1" fieldPosition="0">
        <references count="5">
          <reference field="1" count="1" selected="0">
            <x v="162"/>
          </reference>
          <reference field="5" count="1" selected="0">
            <x v="17"/>
          </reference>
          <reference field="6" count="1" selected="0">
            <x v="7"/>
          </reference>
          <reference field="7" count="1" selected="0">
            <x v="253"/>
          </reference>
          <reference field="8" count="1">
            <x v="275"/>
          </reference>
        </references>
      </pivotArea>
    </format>
    <format dxfId="3519">
      <pivotArea dataOnly="0" labelOnly="1" fieldPosition="0">
        <references count="5">
          <reference field="1" count="1" selected="0">
            <x v="162"/>
          </reference>
          <reference field="5" count="1" selected="0">
            <x v="17"/>
          </reference>
          <reference field="6" count="1" selected="0">
            <x v="8"/>
          </reference>
          <reference field="7" count="1" selected="0">
            <x v="253"/>
          </reference>
          <reference field="8" count="1">
            <x v="1071"/>
          </reference>
        </references>
      </pivotArea>
    </format>
    <format dxfId="3518">
      <pivotArea dataOnly="0" labelOnly="1" fieldPosition="0">
        <references count="5">
          <reference field="1" count="1" selected="0">
            <x v="162"/>
          </reference>
          <reference field="5" count="1" selected="0">
            <x v="23"/>
          </reference>
          <reference field="6" count="1" selected="0">
            <x v="6"/>
          </reference>
          <reference field="7" count="1" selected="0">
            <x v="253"/>
          </reference>
          <reference field="8" count="1">
            <x v="278"/>
          </reference>
        </references>
      </pivotArea>
    </format>
    <format dxfId="3517">
      <pivotArea dataOnly="0" labelOnly="1" fieldPosition="0">
        <references count="5">
          <reference field="1" count="1" selected="0">
            <x v="162"/>
          </reference>
          <reference field="5" count="1" selected="0">
            <x v="29"/>
          </reference>
          <reference field="6" count="1" selected="0">
            <x v="37"/>
          </reference>
          <reference field="7" count="1" selected="0">
            <x v="253"/>
          </reference>
          <reference field="8" count="1">
            <x v="721"/>
          </reference>
        </references>
      </pivotArea>
    </format>
    <format dxfId="3516">
      <pivotArea dataOnly="0" labelOnly="1" fieldPosition="0">
        <references count="5">
          <reference field="1" count="1" selected="0">
            <x v="162"/>
          </reference>
          <reference field="5" count="1" selected="0">
            <x v="33"/>
          </reference>
          <reference field="6" count="1" selected="0">
            <x v="8"/>
          </reference>
          <reference field="7" count="1" selected="0">
            <x v="253"/>
          </reference>
          <reference field="8" count="1">
            <x v="1080"/>
          </reference>
        </references>
      </pivotArea>
    </format>
    <format dxfId="3515">
      <pivotArea dataOnly="0" labelOnly="1" fieldPosition="0">
        <references count="5">
          <reference field="1" count="1" selected="0">
            <x v="162"/>
          </reference>
          <reference field="5" count="1" selected="0">
            <x v="33"/>
          </reference>
          <reference field="6" count="1" selected="0">
            <x v="9"/>
          </reference>
          <reference field="7" count="1" selected="0">
            <x v="253"/>
          </reference>
          <reference field="8" count="1">
            <x v="500"/>
          </reference>
        </references>
      </pivotArea>
    </format>
    <format dxfId="3514">
      <pivotArea dataOnly="0" labelOnly="1" fieldPosition="0">
        <references count="5">
          <reference field="1" count="1" selected="0">
            <x v="162"/>
          </reference>
          <reference field="5" count="1" selected="0">
            <x v="35"/>
          </reference>
          <reference field="6" count="1" selected="0">
            <x v="1"/>
          </reference>
          <reference field="7" count="1" selected="0">
            <x v="253"/>
          </reference>
          <reference field="8" count="1">
            <x v="80"/>
          </reference>
        </references>
      </pivotArea>
    </format>
    <format dxfId="3513">
      <pivotArea dataOnly="0" labelOnly="1" fieldPosition="0">
        <references count="5">
          <reference field="1" count="1" selected="0">
            <x v="162"/>
          </reference>
          <reference field="5" count="1" selected="0">
            <x v="36"/>
          </reference>
          <reference field="6" count="1" selected="0">
            <x v="8"/>
          </reference>
          <reference field="7" count="1" selected="0">
            <x v="253"/>
          </reference>
          <reference field="8" count="1">
            <x v="459"/>
          </reference>
        </references>
      </pivotArea>
    </format>
    <format dxfId="3512">
      <pivotArea dataOnly="0" labelOnly="1" fieldPosition="0">
        <references count="5">
          <reference field="1" count="1" selected="0">
            <x v="163"/>
          </reference>
          <reference field="5" count="1" selected="0">
            <x v="0"/>
          </reference>
          <reference field="6" count="1" selected="0">
            <x v="8"/>
          </reference>
          <reference field="7" count="1" selected="0">
            <x v="254"/>
          </reference>
          <reference field="8" count="1">
            <x v="0"/>
          </reference>
        </references>
      </pivotArea>
    </format>
    <format dxfId="3511">
      <pivotArea dataOnly="0" labelOnly="1" fieldPosition="0">
        <references count="5">
          <reference field="1" count="1" selected="0">
            <x v="163"/>
          </reference>
          <reference field="5" count="1" selected="0">
            <x v="0"/>
          </reference>
          <reference field="6" count="1" selected="0">
            <x v="12"/>
          </reference>
          <reference field="7" count="1" selected="0">
            <x v="23"/>
          </reference>
          <reference field="8" count="1">
            <x v="24"/>
          </reference>
        </references>
      </pivotArea>
    </format>
    <format dxfId="3510">
      <pivotArea dataOnly="0" labelOnly="1" fieldPosition="0">
        <references count="5">
          <reference field="1" count="1" selected="0">
            <x v="163"/>
          </reference>
          <reference field="5" count="1" selected="0">
            <x v="0"/>
          </reference>
          <reference field="6" count="1" selected="0">
            <x v="12"/>
          </reference>
          <reference field="7" count="1" selected="0">
            <x v="47"/>
          </reference>
          <reference field="8" count="1">
            <x v="654"/>
          </reference>
        </references>
      </pivotArea>
    </format>
    <format dxfId="3509">
      <pivotArea dataOnly="0" labelOnly="1" fieldPosition="0">
        <references count="5">
          <reference field="1" count="1" selected="0">
            <x v="163"/>
          </reference>
          <reference field="5" count="1" selected="0">
            <x v="0"/>
          </reference>
          <reference field="6" count="1" selected="0">
            <x v="12"/>
          </reference>
          <reference field="7" count="1" selected="0">
            <x v="58"/>
          </reference>
          <reference field="8" count="1">
            <x v="6"/>
          </reference>
        </references>
      </pivotArea>
    </format>
    <format dxfId="3508">
      <pivotArea dataOnly="0" labelOnly="1" fieldPosition="0">
        <references count="5">
          <reference field="1" count="1" selected="0">
            <x v="163"/>
          </reference>
          <reference field="5" count="1" selected="0">
            <x v="0"/>
          </reference>
          <reference field="6" count="1" selected="0">
            <x v="12"/>
          </reference>
          <reference field="7" count="1" selected="0">
            <x v="59"/>
          </reference>
          <reference field="8" count="1">
            <x v="77"/>
          </reference>
        </references>
      </pivotArea>
    </format>
    <format dxfId="3507">
      <pivotArea dataOnly="0" labelOnly="1" fieldPosition="0">
        <references count="5">
          <reference field="1" count="1" selected="0">
            <x v="163"/>
          </reference>
          <reference field="5" count="1" selected="0">
            <x v="6"/>
          </reference>
          <reference field="6" count="1" selected="0">
            <x v="38"/>
          </reference>
          <reference field="7" count="1" selected="0">
            <x v="254"/>
          </reference>
          <reference field="8" count="1">
            <x v="971"/>
          </reference>
        </references>
      </pivotArea>
    </format>
    <format dxfId="3506">
      <pivotArea dataOnly="0" labelOnly="1" fieldPosition="0">
        <references count="5">
          <reference field="1" count="1" selected="0">
            <x v="163"/>
          </reference>
          <reference field="5" count="1" selected="0">
            <x v="12"/>
          </reference>
          <reference field="6" count="1" selected="0">
            <x v="1"/>
          </reference>
          <reference field="7" count="1" selected="0">
            <x v="254"/>
          </reference>
          <reference field="8" count="2">
            <x v="80"/>
            <x v="352"/>
          </reference>
        </references>
      </pivotArea>
    </format>
    <format dxfId="3505">
      <pivotArea dataOnly="0" labelOnly="1" fieldPosition="0">
        <references count="5">
          <reference field="1" count="1" selected="0">
            <x v="163"/>
          </reference>
          <reference field="5" count="1" selected="0">
            <x v="19"/>
          </reference>
          <reference field="6" count="1" selected="0">
            <x v="37"/>
          </reference>
          <reference field="7" count="1" selected="0">
            <x v="254"/>
          </reference>
          <reference field="8" count="1">
            <x v="1464"/>
          </reference>
        </references>
      </pivotArea>
    </format>
    <format dxfId="3504">
      <pivotArea dataOnly="0" labelOnly="1" fieldPosition="0">
        <references count="5">
          <reference field="1" count="1" selected="0">
            <x v="163"/>
          </reference>
          <reference field="5" count="1" selected="0">
            <x v="33"/>
          </reference>
          <reference field="6" count="1" selected="0">
            <x v="38"/>
          </reference>
          <reference field="7" count="1" selected="0">
            <x v="254"/>
          </reference>
          <reference field="8" count="1">
            <x v="114"/>
          </reference>
        </references>
      </pivotArea>
    </format>
    <format dxfId="3503">
      <pivotArea dataOnly="0" labelOnly="1" fieldPosition="0">
        <references count="5">
          <reference field="1" count="1" selected="0">
            <x v="164"/>
          </reference>
          <reference field="5" count="1" selected="0">
            <x v="0"/>
          </reference>
          <reference field="6" count="1" selected="0">
            <x v="12"/>
          </reference>
          <reference field="7" count="1" selected="0">
            <x v="13"/>
          </reference>
          <reference field="8" count="1">
            <x v="140"/>
          </reference>
        </references>
      </pivotArea>
    </format>
    <format dxfId="3502">
      <pivotArea dataOnly="0" labelOnly="1" fieldPosition="0">
        <references count="5">
          <reference field="1" count="1" selected="0">
            <x v="164"/>
          </reference>
          <reference field="5" count="1" selected="0">
            <x v="0"/>
          </reference>
          <reference field="6" count="1" selected="0">
            <x v="12"/>
          </reference>
          <reference field="7" count="1" selected="0">
            <x v="18"/>
          </reference>
          <reference field="8" count="1">
            <x v="92"/>
          </reference>
        </references>
      </pivotArea>
    </format>
    <format dxfId="3501">
      <pivotArea dataOnly="0" labelOnly="1" fieldPosition="0">
        <references count="5">
          <reference field="1" count="1" selected="0">
            <x v="164"/>
          </reference>
          <reference field="5" count="1" selected="0">
            <x v="0"/>
          </reference>
          <reference field="6" count="1" selected="0">
            <x v="12"/>
          </reference>
          <reference field="7" count="1" selected="0">
            <x v="21"/>
          </reference>
          <reference field="8" count="1">
            <x v="310"/>
          </reference>
        </references>
      </pivotArea>
    </format>
    <format dxfId="3500">
      <pivotArea dataOnly="0" labelOnly="1" fieldPosition="0">
        <references count="5">
          <reference field="1" count="1" selected="0">
            <x v="164"/>
          </reference>
          <reference field="5" count="1" selected="0">
            <x v="0"/>
          </reference>
          <reference field="6" count="1" selected="0">
            <x v="12"/>
          </reference>
          <reference field="7" count="1" selected="0">
            <x v="40"/>
          </reference>
          <reference field="8" count="1">
            <x v="219"/>
          </reference>
        </references>
      </pivotArea>
    </format>
    <format dxfId="3499">
      <pivotArea dataOnly="0" labelOnly="1" fieldPosition="0">
        <references count="5">
          <reference field="1" count="1" selected="0">
            <x v="164"/>
          </reference>
          <reference field="5" count="1" selected="0">
            <x v="0"/>
          </reference>
          <reference field="6" count="1" selected="0">
            <x v="12"/>
          </reference>
          <reference field="7" count="1" selected="0">
            <x v="52"/>
          </reference>
          <reference field="8" count="1">
            <x v="9"/>
          </reference>
        </references>
      </pivotArea>
    </format>
    <format dxfId="3498">
      <pivotArea dataOnly="0" labelOnly="1" fieldPosition="0">
        <references count="5">
          <reference field="1" count="1" selected="0">
            <x v="164"/>
          </reference>
          <reference field="5" count="1" selected="0">
            <x v="0"/>
          </reference>
          <reference field="6" count="1" selected="0">
            <x v="12"/>
          </reference>
          <reference field="7" count="1" selected="0">
            <x v="55"/>
          </reference>
          <reference field="8" count="1">
            <x v="92"/>
          </reference>
        </references>
      </pivotArea>
    </format>
    <format dxfId="3497">
      <pivotArea dataOnly="0" labelOnly="1" fieldPosition="0">
        <references count="5">
          <reference field="1" count="1" selected="0">
            <x v="164"/>
          </reference>
          <reference field="5" count="1" selected="0">
            <x v="0"/>
          </reference>
          <reference field="6" count="1" selected="0">
            <x v="12"/>
          </reference>
          <reference field="7" count="1" selected="0">
            <x v="68"/>
          </reference>
          <reference field="8" count="1">
            <x v="134"/>
          </reference>
        </references>
      </pivotArea>
    </format>
    <format dxfId="3496">
      <pivotArea dataOnly="0" labelOnly="1" fieldPosition="0">
        <references count="5">
          <reference field="1" count="1" selected="0">
            <x v="164"/>
          </reference>
          <reference field="5" count="1" selected="0">
            <x v="0"/>
          </reference>
          <reference field="6" count="1" selected="0">
            <x v="12"/>
          </reference>
          <reference field="7" count="1" selected="0">
            <x v="71"/>
          </reference>
          <reference field="8" count="1">
            <x v="11"/>
          </reference>
        </references>
      </pivotArea>
    </format>
    <format dxfId="3495">
      <pivotArea dataOnly="0" labelOnly="1" fieldPosition="0">
        <references count="5">
          <reference field="1" count="1" selected="0">
            <x v="164"/>
          </reference>
          <reference field="5" count="1" selected="0">
            <x v="0"/>
          </reference>
          <reference field="6" count="1" selected="0">
            <x v="23"/>
          </reference>
          <reference field="7" count="1" selected="0">
            <x v="255"/>
          </reference>
          <reference field="8" count="6">
            <x v="705"/>
            <x v="735"/>
            <x v="752"/>
            <x v="842"/>
            <x v="884"/>
            <x v="922"/>
          </reference>
        </references>
      </pivotArea>
    </format>
    <format dxfId="3494">
      <pivotArea dataOnly="0" labelOnly="1" fieldPosition="0">
        <references count="5">
          <reference field="1" count="1" selected="0">
            <x v="164"/>
          </reference>
          <reference field="5" count="1" selected="0">
            <x v="0"/>
          </reference>
          <reference field="6" count="1" selected="0">
            <x v="38"/>
          </reference>
          <reference field="7" count="1" selected="0">
            <x v="256"/>
          </reference>
          <reference field="8" count="1">
            <x v="262"/>
          </reference>
        </references>
      </pivotArea>
    </format>
    <format dxfId="3493">
      <pivotArea dataOnly="0" labelOnly="1" fieldPosition="0">
        <references count="5">
          <reference field="1" count="1" selected="0">
            <x v="164"/>
          </reference>
          <reference field="5" count="1" selected="0">
            <x v="2"/>
          </reference>
          <reference field="6" count="1" selected="0">
            <x v="23"/>
          </reference>
          <reference field="7" count="1" selected="0">
            <x v="255"/>
          </reference>
          <reference field="8" count="1">
            <x v="1836"/>
          </reference>
        </references>
      </pivotArea>
    </format>
    <format dxfId="3492">
      <pivotArea dataOnly="0" labelOnly="1" fieldPosition="0">
        <references count="5">
          <reference field="1" count="1" selected="0">
            <x v="164"/>
          </reference>
          <reference field="5" count="1" selected="0">
            <x v="3"/>
          </reference>
          <reference field="6" count="1" selected="0">
            <x v="6"/>
          </reference>
          <reference field="7" count="1" selected="0">
            <x v="256"/>
          </reference>
          <reference field="8" count="1">
            <x v="387"/>
          </reference>
        </references>
      </pivotArea>
    </format>
    <format dxfId="3491">
      <pivotArea dataOnly="0" labelOnly="1" fieldPosition="0">
        <references count="5">
          <reference field="1" count="1" selected="0">
            <x v="164"/>
          </reference>
          <reference field="5" count="1" selected="0">
            <x v="3"/>
          </reference>
          <reference field="6" count="1" selected="0">
            <x v="23"/>
          </reference>
          <reference field="7" count="1" selected="0">
            <x v="255"/>
          </reference>
          <reference field="8" count="1">
            <x v="731"/>
          </reference>
        </references>
      </pivotArea>
    </format>
    <format dxfId="3490">
      <pivotArea dataOnly="0" labelOnly="1" fieldPosition="0">
        <references count="5">
          <reference field="1" count="1" selected="0">
            <x v="164"/>
          </reference>
          <reference field="5" count="1" selected="0">
            <x v="3"/>
          </reference>
          <reference field="6" count="1" selected="0">
            <x v="38"/>
          </reference>
          <reference field="7" count="1" selected="0">
            <x v="256"/>
          </reference>
          <reference field="8" count="1">
            <x v="176"/>
          </reference>
        </references>
      </pivotArea>
    </format>
    <format dxfId="3489">
      <pivotArea dataOnly="0" labelOnly="1" fieldPosition="0">
        <references count="5">
          <reference field="1" count="1" selected="0">
            <x v="164"/>
          </reference>
          <reference field="5" count="1" selected="0">
            <x v="12"/>
          </reference>
          <reference field="6" count="1" selected="0">
            <x v="1"/>
          </reference>
          <reference field="7" count="1" selected="0">
            <x v="256"/>
          </reference>
          <reference field="8" count="1">
            <x v="80"/>
          </reference>
        </references>
      </pivotArea>
    </format>
    <format dxfId="3488">
      <pivotArea dataOnly="0" labelOnly="1" fieldPosition="0">
        <references count="5">
          <reference field="1" count="1" selected="0">
            <x v="164"/>
          </reference>
          <reference field="5" count="1" selected="0">
            <x v="12"/>
          </reference>
          <reference field="6" count="1" selected="0">
            <x v="23"/>
          </reference>
          <reference field="7" count="1" selected="0">
            <x v="255"/>
          </reference>
          <reference field="8" count="30">
            <x v="171"/>
            <x v="188"/>
            <x v="189"/>
            <x v="225"/>
            <x v="339"/>
            <x v="392"/>
            <x v="607"/>
            <x v="638"/>
            <x v="995"/>
            <x v="1015"/>
            <x v="1331"/>
            <x v="1428"/>
            <x v="1437"/>
            <x v="1439"/>
            <x v="1447"/>
            <x v="1458"/>
            <x v="1478"/>
            <x v="1586"/>
            <x v="1602"/>
            <x v="1605"/>
            <x v="1632"/>
            <x v="1638"/>
            <x v="1646"/>
            <x v="1679"/>
            <x v="1692"/>
            <x v="1716"/>
            <x v="1762"/>
            <x v="1767"/>
            <x v="1774"/>
            <x v="1809"/>
          </reference>
        </references>
      </pivotArea>
    </format>
    <format dxfId="3487">
      <pivotArea dataOnly="0" labelOnly="1" fieldPosition="0">
        <references count="5">
          <reference field="1" count="1" selected="0">
            <x v="164"/>
          </reference>
          <reference field="5" count="1" selected="0">
            <x v="12"/>
          </reference>
          <reference field="6" count="1" selected="0">
            <x v="38"/>
          </reference>
          <reference field="7" count="1" selected="0">
            <x v="256"/>
          </reference>
          <reference field="8" count="1">
            <x v="6"/>
          </reference>
        </references>
      </pivotArea>
    </format>
    <format dxfId="3486">
      <pivotArea dataOnly="0" labelOnly="1" fieldPosition="0">
        <references count="5">
          <reference field="1" count="1" selected="0">
            <x v="164"/>
          </reference>
          <reference field="5" count="1" selected="0">
            <x v="14"/>
          </reference>
          <reference field="6" count="1" selected="0">
            <x v="1"/>
          </reference>
          <reference field="7" count="1" selected="0">
            <x v="256"/>
          </reference>
          <reference field="8" count="1">
            <x v="602"/>
          </reference>
        </references>
      </pivotArea>
    </format>
    <format dxfId="3485">
      <pivotArea dataOnly="0" labelOnly="1" fieldPosition="0">
        <references count="5">
          <reference field="1" count="1" selected="0">
            <x v="164"/>
          </reference>
          <reference field="5" count="1" selected="0">
            <x v="14"/>
          </reference>
          <reference field="6" count="1" selected="0">
            <x v="23"/>
          </reference>
          <reference field="7" count="1" selected="0">
            <x v="255"/>
          </reference>
          <reference field="8" count="1">
            <x v="294"/>
          </reference>
        </references>
      </pivotArea>
    </format>
    <format dxfId="3484">
      <pivotArea dataOnly="0" labelOnly="1" fieldPosition="0">
        <references count="5">
          <reference field="1" count="1" selected="0">
            <x v="164"/>
          </reference>
          <reference field="5" count="1" selected="0">
            <x v="15"/>
          </reference>
          <reference field="6" count="1" selected="0">
            <x v="23"/>
          </reference>
          <reference field="7" count="1" selected="0">
            <x v="255"/>
          </reference>
          <reference field="8" count="1">
            <x v="1843"/>
          </reference>
        </references>
      </pivotArea>
    </format>
    <format dxfId="3483">
      <pivotArea dataOnly="0" labelOnly="1" fieldPosition="0">
        <references count="5">
          <reference field="1" count="1" selected="0">
            <x v="164"/>
          </reference>
          <reference field="5" count="1" selected="0">
            <x v="15"/>
          </reference>
          <reference field="6" count="1" selected="0">
            <x v="38"/>
          </reference>
          <reference field="7" count="1" selected="0">
            <x v="256"/>
          </reference>
          <reference field="8" count="1">
            <x v="1619"/>
          </reference>
        </references>
      </pivotArea>
    </format>
    <format dxfId="3482">
      <pivotArea dataOnly="0" labelOnly="1" fieldPosition="0">
        <references count="5">
          <reference field="1" count="1" selected="0">
            <x v="164"/>
          </reference>
          <reference field="5" count="1" selected="0">
            <x v="23"/>
          </reference>
          <reference field="6" count="1" selected="0">
            <x v="23"/>
          </reference>
          <reference field="7" count="1" selected="0">
            <x v="255"/>
          </reference>
          <reference field="8" count="1">
            <x v="1811"/>
          </reference>
        </references>
      </pivotArea>
    </format>
    <format dxfId="3481">
      <pivotArea dataOnly="0" labelOnly="1" fieldPosition="0">
        <references count="5">
          <reference field="1" count="1" selected="0">
            <x v="164"/>
          </reference>
          <reference field="5" count="1" selected="0">
            <x v="23"/>
          </reference>
          <reference field="6" count="1" selected="0">
            <x v="38"/>
          </reference>
          <reference field="7" count="1" selected="0">
            <x v="256"/>
          </reference>
          <reference field="8" count="1">
            <x v="165"/>
          </reference>
        </references>
      </pivotArea>
    </format>
    <format dxfId="3480">
      <pivotArea dataOnly="0" labelOnly="1" fieldPosition="0">
        <references count="5">
          <reference field="1" count="1" selected="0">
            <x v="164"/>
          </reference>
          <reference field="5" count="1" selected="0">
            <x v="24"/>
          </reference>
          <reference field="6" count="1" selected="0">
            <x v="23"/>
          </reference>
          <reference field="7" count="1" selected="0">
            <x v="255"/>
          </reference>
          <reference field="8" count="1">
            <x v="1432"/>
          </reference>
        </references>
      </pivotArea>
    </format>
    <format dxfId="3479">
      <pivotArea dataOnly="0" labelOnly="1" fieldPosition="0">
        <references count="5">
          <reference field="1" count="1" selected="0">
            <x v="164"/>
          </reference>
          <reference field="5" count="1" selected="0">
            <x v="33"/>
          </reference>
          <reference field="6" count="1" selected="0">
            <x v="38"/>
          </reference>
          <reference field="7" count="1" selected="0">
            <x v="256"/>
          </reference>
          <reference field="8" count="1">
            <x v="541"/>
          </reference>
        </references>
      </pivotArea>
    </format>
    <format dxfId="3478">
      <pivotArea dataOnly="0" labelOnly="1" fieldPosition="0">
        <references count="5">
          <reference field="1" count="1" selected="0">
            <x v="164"/>
          </reference>
          <reference field="5" count="1" selected="0">
            <x v="35"/>
          </reference>
          <reference field="6" count="1" selected="0">
            <x v="23"/>
          </reference>
          <reference field="7" count="1" selected="0">
            <x v="255"/>
          </reference>
          <reference field="8" count="21">
            <x v="47"/>
            <x v="183"/>
            <x v="268"/>
            <x v="283"/>
            <x v="336"/>
            <x v="343"/>
            <x v="384"/>
            <x v="419"/>
            <x v="656"/>
            <x v="677"/>
            <x v="709"/>
            <x v="816"/>
            <x v="843"/>
            <x v="859"/>
            <x v="969"/>
            <x v="1016"/>
            <x v="1129"/>
            <x v="1209"/>
            <x v="1217"/>
            <x v="1257"/>
            <x v="1590"/>
          </reference>
        </references>
      </pivotArea>
    </format>
    <format dxfId="3477">
      <pivotArea dataOnly="0" labelOnly="1" fieldPosition="0">
        <references count="5">
          <reference field="1" count="1" selected="0">
            <x v="165"/>
          </reference>
          <reference field="5" count="1" selected="0">
            <x v="0"/>
          </reference>
          <reference field="6" count="1" selected="0">
            <x v="1"/>
          </reference>
          <reference field="7" count="1" selected="0">
            <x v="257"/>
          </reference>
          <reference field="8" count="1">
            <x v="213"/>
          </reference>
        </references>
      </pivotArea>
    </format>
    <format dxfId="3476">
      <pivotArea dataOnly="0" labelOnly="1" fieldPosition="0">
        <references count="5">
          <reference field="1" count="1" selected="0">
            <x v="165"/>
          </reference>
          <reference field="5" count="1" selected="0">
            <x v="0"/>
          </reference>
          <reference field="6" count="1" selected="0">
            <x v="8"/>
          </reference>
          <reference field="7" count="1" selected="0">
            <x v="257"/>
          </reference>
          <reference field="8" count="6">
            <x v="320"/>
            <x v="397"/>
            <x v="408"/>
            <x v="550"/>
            <x v="605"/>
            <x v="1158"/>
          </reference>
        </references>
      </pivotArea>
    </format>
    <format dxfId="3475">
      <pivotArea dataOnly="0" labelOnly="1" fieldPosition="0">
        <references count="5">
          <reference field="1" count="1" selected="0">
            <x v="165"/>
          </reference>
          <reference field="5" count="1" selected="0">
            <x v="0"/>
          </reference>
          <reference field="6" count="1" selected="0">
            <x v="9"/>
          </reference>
          <reference field="7" count="1" selected="0">
            <x v="257"/>
          </reference>
          <reference field="8" count="8">
            <x v="248"/>
            <x v="469"/>
            <x v="866"/>
            <x v="891"/>
            <x v="945"/>
            <x v="1036"/>
            <x v="1126"/>
            <x v="1234"/>
          </reference>
        </references>
      </pivotArea>
    </format>
    <format dxfId="3474">
      <pivotArea dataOnly="0" labelOnly="1" fieldPosition="0">
        <references count="5">
          <reference field="1" count="1" selected="0">
            <x v="165"/>
          </reference>
          <reference field="5" count="1" selected="0">
            <x v="0"/>
          </reference>
          <reference field="6" count="1" selected="0">
            <x v="12"/>
          </reference>
          <reference field="7" count="1" selected="0">
            <x v="9"/>
          </reference>
          <reference field="8" count="1">
            <x v="82"/>
          </reference>
        </references>
      </pivotArea>
    </format>
    <format dxfId="3473">
      <pivotArea dataOnly="0" labelOnly="1" fieldPosition="0">
        <references count="5">
          <reference field="1" count="1" selected="0">
            <x v="165"/>
          </reference>
          <reference field="5" count="1" selected="0">
            <x v="0"/>
          </reference>
          <reference field="6" count="1" selected="0">
            <x v="12"/>
          </reference>
          <reference field="7" count="1" selected="0">
            <x v="11"/>
          </reference>
          <reference field="8" count="1">
            <x v="138"/>
          </reference>
        </references>
      </pivotArea>
    </format>
    <format dxfId="3472">
      <pivotArea dataOnly="0" labelOnly="1" fieldPosition="0">
        <references count="5">
          <reference field="1" count="1" selected="0">
            <x v="165"/>
          </reference>
          <reference field="5" count="1" selected="0">
            <x v="0"/>
          </reference>
          <reference field="6" count="1" selected="0">
            <x v="12"/>
          </reference>
          <reference field="7" count="1" selected="0">
            <x v="19"/>
          </reference>
          <reference field="8" count="1">
            <x v="188"/>
          </reference>
        </references>
      </pivotArea>
    </format>
    <format dxfId="3471">
      <pivotArea dataOnly="0" labelOnly="1" fieldPosition="0">
        <references count="5">
          <reference field="1" count="1" selected="0">
            <x v="165"/>
          </reference>
          <reference field="5" count="1" selected="0">
            <x v="0"/>
          </reference>
          <reference field="6" count="1" selected="0">
            <x v="12"/>
          </reference>
          <reference field="7" count="1" selected="0">
            <x v="42"/>
          </reference>
          <reference field="8" count="1">
            <x v="69"/>
          </reference>
        </references>
      </pivotArea>
    </format>
    <format dxfId="3470">
      <pivotArea dataOnly="0" labelOnly="1" fieldPosition="0">
        <references count="5">
          <reference field="1" count="1" selected="0">
            <x v="165"/>
          </reference>
          <reference field="5" count="1" selected="0">
            <x v="0"/>
          </reference>
          <reference field="6" count="1" selected="0">
            <x v="38"/>
          </reference>
          <reference field="7" count="1" selected="0">
            <x v="257"/>
          </reference>
          <reference field="8" count="4">
            <x v="6"/>
            <x v="138"/>
            <x v="676"/>
            <x v="1830"/>
          </reference>
        </references>
      </pivotArea>
    </format>
    <format dxfId="3469">
      <pivotArea dataOnly="0" labelOnly="1" fieldPosition="0">
        <references count="5">
          <reference field="1" count="1" selected="0">
            <x v="165"/>
          </reference>
          <reference field="5" count="1" selected="0">
            <x v="2"/>
          </reference>
          <reference field="6" count="1" selected="0">
            <x v="6"/>
          </reference>
          <reference field="7" count="1" selected="0">
            <x v="257"/>
          </reference>
          <reference field="8" count="1">
            <x v="661"/>
          </reference>
        </references>
      </pivotArea>
    </format>
    <format dxfId="3468">
      <pivotArea dataOnly="0" labelOnly="1" fieldPosition="0">
        <references count="5">
          <reference field="1" count="1" selected="0">
            <x v="165"/>
          </reference>
          <reference field="5" count="1" selected="0">
            <x v="6"/>
          </reference>
          <reference field="6" count="1" selected="0">
            <x v="38"/>
          </reference>
          <reference field="7" count="1" selected="0">
            <x v="257"/>
          </reference>
          <reference field="8" count="1">
            <x v="763"/>
          </reference>
        </references>
      </pivotArea>
    </format>
    <format dxfId="3467">
      <pivotArea dataOnly="0" labelOnly="1" fieldPosition="0">
        <references count="5">
          <reference field="1" count="1" selected="0">
            <x v="165"/>
          </reference>
          <reference field="5" count="1" selected="0">
            <x v="12"/>
          </reference>
          <reference field="6" count="1" selected="0">
            <x v="1"/>
          </reference>
          <reference field="7" count="1" selected="0">
            <x v="257"/>
          </reference>
          <reference field="8" count="3">
            <x v="80"/>
            <x v="213"/>
            <x v="500"/>
          </reference>
        </references>
      </pivotArea>
    </format>
    <format dxfId="3466">
      <pivotArea dataOnly="0" labelOnly="1" fieldPosition="0">
        <references count="5">
          <reference field="1" count="1" selected="0">
            <x v="165"/>
          </reference>
          <reference field="5" count="1" selected="0">
            <x v="12"/>
          </reference>
          <reference field="6" count="1" selected="0">
            <x v="38"/>
          </reference>
          <reference field="7" count="1" selected="0">
            <x v="257"/>
          </reference>
          <reference field="8" count="2">
            <x v="6"/>
            <x v="49"/>
          </reference>
        </references>
      </pivotArea>
    </format>
    <format dxfId="3465">
      <pivotArea dataOnly="0" labelOnly="1" fieldPosition="0">
        <references count="5">
          <reference field="1" count="1" selected="0">
            <x v="165"/>
          </reference>
          <reference field="5" count="1" selected="0">
            <x v="14"/>
          </reference>
          <reference field="6" count="1" selected="0">
            <x v="38"/>
          </reference>
          <reference field="7" count="1" selected="0">
            <x v="257"/>
          </reference>
          <reference field="8" count="1">
            <x v="937"/>
          </reference>
        </references>
      </pivotArea>
    </format>
    <format dxfId="3464">
      <pivotArea dataOnly="0" labelOnly="1" fieldPosition="0">
        <references count="5">
          <reference field="1" count="1" selected="0">
            <x v="165"/>
          </reference>
          <reference field="5" count="1" selected="0">
            <x v="15"/>
          </reference>
          <reference field="6" count="1" selected="0">
            <x v="6"/>
          </reference>
          <reference field="7" count="1" selected="0">
            <x v="257"/>
          </reference>
          <reference field="8" count="1">
            <x v="410"/>
          </reference>
        </references>
      </pivotArea>
    </format>
    <format dxfId="3463">
      <pivotArea dataOnly="0" labelOnly="1" fieldPosition="0">
        <references count="5">
          <reference field="1" count="1" selected="0">
            <x v="165"/>
          </reference>
          <reference field="5" count="1" selected="0">
            <x v="15"/>
          </reference>
          <reference field="6" count="1" selected="0">
            <x v="9"/>
          </reference>
          <reference field="7" count="1" selected="0">
            <x v="257"/>
          </reference>
          <reference field="8" count="1">
            <x v="1044"/>
          </reference>
        </references>
      </pivotArea>
    </format>
    <format dxfId="3462">
      <pivotArea dataOnly="0" labelOnly="1" fieldPosition="0">
        <references count="5">
          <reference field="1" count="1" selected="0">
            <x v="165"/>
          </reference>
          <reference field="5" count="1" selected="0">
            <x v="15"/>
          </reference>
          <reference field="6" count="1" selected="0">
            <x v="38"/>
          </reference>
          <reference field="7" count="1" selected="0">
            <x v="257"/>
          </reference>
          <reference field="8" count="1">
            <x v="1122"/>
          </reference>
        </references>
      </pivotArea>
    </format>
    <format dxfId="3461">
      <pivotArea dataOnly="0" labelOnly="1" fieldPosition="0">
        <references count="5">
          <reference field="1" count="1" selected="0">
            <x v="165"/>
          </reference>
          <reference field="5" count="1" selected="0">
            <x v="28"/>
          </reference>
          <reference field="6" count="1" selected="0">
            <x v="1"/>
          </reference>
          <reference field="7" count="1" selected="0">
            <x v="257"/>
          </reference>
          <reference field="8" count="1">
            <x v="250"/>
          </reference>
        </references>
      </pivotArea>
    </format>
    <format dxfId="3460">
      <pivotArea dataOnly="0" labelOnly="1" fieldPosition="0">
        <references count="5">
          <reference field="1" count="1" selected="0">
            <x v="165"/>
          </reference>
          <reference field="5" count="1" selected="0">
            <x v="35"/>
          </reference>
          <reference field="6" count="1" selected="0">
            <x v="1"/>
          </reference>
          <reference field="7" count="1" selected="0">
            <x v="257"/>
          </reference>
          <reference field="8" count="2">
            <x v="213"/>
            <x v="352"/>
          </reference>
        </references>
      </pivotArea>
    </format>
    <format dxfId="3459">
      <pivotArea dataOnly="0" labelOnly="1" fieldPosition="0">
        <references count="5">
          <reference field="1" count="1" selected="0">
            <x v="166"/>
          </reference>
          <reference field="5" count="1" selected="0">
            <x v="0"/>
          </reference>
          <reference field="6" count="1" selected="0">
            <x v="12"/>
          </reference>
          <reference field="7" count="1" selected="0">
            <x v="6"/>
          </reference>
          <reference field="8" count="1">
            <x v="90"/>
          </reference>
        </references>
      </pivotArea>
    </format>
    <format dxfId="3458">
      <pivotArea dataOnly="0" labelOnly="1" fieldPosition="0">
        <references count="5">
          <reference field="1" count="1" selected="0">
            <x v="166"/>
          </reference>
          <reference field="5" count="1" selected="0">
            <x v="0"/>
          </reference>
          <reference field="6" count="1" selected="0">
            <x v="12"/>
          </reference>
          <reference field="7" count="1" selected="0">
            <x v="56"/>
          </reference>
          <reference field="8" count="1">
            <x v="69"/>
          </reference>
        </references>
      </pivotArea>
    </format>
    <format dxfId="3457">
      <pivotArea dataOnly="0" labelOnly="1" fieldPosition="0">
        <references count="5">
          <reference field="1" count="1" selected="0">
            <x v="166"/>
          </reference>
          <reference field="5" count="1" selected="0">
            <x v="12"/>
          </reference>
          <reference field="6" count="1" selected="0">
            <x v="1"/>
          </reference>
          <reference field="7" count="1" selected="0">
            <x v="258"/>
          </reference>
          <reference field="8" count="3">
            <x v="80"/>
            <x v="213"/>
            <x v="352"/>
          </reference>
        </references>
      </pivotArea>
    </format>
    <format dxfId="3456">
      <pivotArea dataOnly="0" labelOnly="1" fieldPosition="0">
        <references count="5">
          <reference field="1" count="1" selected="0">
            <x v="166"/>
          </reference>
          <reference field="5" count="1" selected="0">
            <x v="35"/>
          </reference>
          <reference field="6" count="1" selected="0">
            <x v="1"/>
          </reference>
          <reference field="7" count="1" selected="0">
            <x v="258"/>
          </reference>
          <reference field="8" count="1">
            <x v="80"/>
          </reference>
        </references>
      </pivotArea>
    </format>
    <format dxfId="3455">
      <pivotArea dataOnly="0" labelOnly="1" fieldPosition="0">
        <references count="5">
          <reference field="1" count="1" selected="0">
            <x v="167"/>
          </reference>
          <reference field="5" count="1" selected="0">
            <x v="0"/>
          </reference>
          <reference field="6" count="1" selected="0">
            <x v="8"/>
          </reference>
          <reference field="7" count="1" selected="0">
            <x v="260"/>
          </reference>
          <reference field="8" count="1">
            <x v="1199"/>
          </reference>
        </references>
      </pivotArea>
    </format>
    <format dxfId="3454">
      <pivotArea dataOnly="0" labelOnly="1" fieldPosition="0">
        <references count="5">
          <reference field="1" count="1" selected="0">
            <x v="167"/>
          </reference>
          <reference field="5" count="1" selected="0">
            <x v="0"/>
          </reference>
          <reference field="6" count="1" selected="0">
            <x v="10"/>
          </reference>
          <reference field="7" count="1" selected="0">
            <x v="260"/>
          </reference>
          <reference field="8" count="1">
            <x v="0"/>
          </reference>
        </references>
      </pivotArea>
    </format>
    <format dxfId="3453">
      <pivotArea dataOnly="0" labelOnly="1" fieldPosition="0">
        <references count="5">
          <reference field="1" count="1" selected="0">
            <x v="167"/>
          </reference>
          <reference field="5" count="1" selected="0">
            <x v="0"/>
          </reference>
          <reference field="6" count="1" selected="0">
            <x v="12"/>
          </reference>
          <reference field="7" count="1" selected="0">
            <x v="6"/>
          </reference>
          <reference field="8" count="1">
            <x v="90"/>
          </reference>
        </references>
      </pivotArea>
    </format>
    <format dxfId="3452">
      <pivotArea dataOnly="0" labelOnly="1" fieldPosition="0">
        <references count="5">
          <reference field="1" count="1" selected="0">
            <x v="167"/>
          </reference>
          <reference field="5" count="1" selected="0">
            <x v="0"/>
          </reference>
          <reference field="6" count="1" selected="0">
            <x v="12"/>
          </reference>
          <reference field="7" count="1" selected="0">
            <x v="16"/>
          </reference>
          <reference field="8" count="1">
            <x v="138"/>
          </reference>
        </references>
      </pivotArea>
    </format>
    <format dxfId="3451">
      <pivotArea dataOnly="0" labelOnly="1" fieldPosition="0">
        <references count="5">
          <reference field="1" count="1" selected="0">
            <x v="167"/>
          </reference>
          <reference field="5" count="1" selected="0">
            <x v="0"/>
          </reference>
          <reference field="6" count="1" selected="0">
            <x v="12"/>
          </reference>
          <reference field="7" count="1" selected="0">
            <x v="27"/>
          </reference>
          <reference field="8" count="1">
            <x v="92"/>
          </reference>
        </references>
      </pivotArea>
    </format>
    <format dxfId="3450">
      <pivotArea dataOnly="0" labelOnly="1" fieldPosition="0">
        <references count="5">
          <reference field="1" count="1" selected="0">
            <x v="167"/>
          </reference>
          <reference field="5" count="1" selected="0">
            <x v="0"/>
          </reference>
          <reference field="6" count="1" selected="0">
            <x v="12"/>
          </reference>
          <reference field="7" count="1" selected="0">
            <x v="30"/>
          </reference>
          <reference field="8" count="1">
            <x v="6"/>
          </reference>
        </references>
      </pivotArea>
    </format>
    <format dxfId="3449">
      <pivotArea dataOnly="0" labelOnly="1" fieldPosition="0">
        <references count="5">
          <reference field="1" count="1" selected="0">
            <x v="167"/>
          </reference>
          <reference field="5" count="1" selected="0">
            <x v="0"/>
          </reference>
          <reference field="6" count="1" selected="0">
            <x v="12"/>
          </reference>
          <reference field="7" count="1" selected="0">
            <x v="39"/>
          </reference>
          <reference field="8" count="1">
            <x v="61"/>
          </reference>
        </references>
      </pivotArea>
    </format>
    <format dxfId="3448">
      <pivotArea dataOnly="0" labelOnly="1" fieldPosition="0">
        <references count="5">
          <reference field="1" count="1" selected="0">
            <x v="167"/>
          </reference>
          <reference field="5" count="1" selected="0">
            <x v="0"/>
          </reference>
          <reference field="6" count="1" selected="0">
            <x v="12"/>
          </reference>
          <reference field="7" count="1" selected="0">
            <x v="57"/>
          </reference>
          <reference field="8" count="1">
            <x v="69"/>
          </reference>
        </references>
      </pivotArea>
    </format>
    <format dxfId="3447">
      <pivotArea dataOnly="0" labelOnly="1" fieldPosition="0">
        <references count="5">
          <reference field="1" count="1" selected="0">
            <x v="167"/>
          </reference>
          <reference field="5" count="1" selected="0">
            <x v="5"/>
          </reference>
          <reference field="6" count="1" selected="0">
            <x v="37"/>
          </reference>
          <reference field="7" count="1" selected="0">
            <x v="260"/>
          </reference>
          <reference field="8" count="1">
            <x v="1270"/>
          </reference>
        </references>
      </pivotArea>
    </format>
    <format dxfId="3446">
      <pivotArea dataOnly="0" labelOnly="1" fieldPosition="0">
        <references count="5">
          <reference field="1" count="1" selected="0">
            <x v="167"/>
          </reference>
          <reference field="5" count="1" selected="0">
            <x v="5"/>
          </reference>
          <reference field="6" count="1" selected="0">
            <x v="38"/>
          </reference>
          <reference field="7" count="1" selected="0">
            <x v="260"/>
          </reference>
          <reference field="8" count="1">
            <x v="607"/>
          </reference>
        </references>
      </pivotArea>
    </format>
    <format dxfId="3445">
      <pivotArea dataOnly="0" labelOnly="1" fieldPosition="0">
        <references count="5">
          <reference field="1" count="1" selected="0">
            <x v="167"/>
          </reference>
          <reference field="5" count="1" selected="0">
            <x v="6"/>
          </reference>
          <reference field="6" count="1" selected="0">
            <x v="38"/>
          </reference>
          <reference field="7" count="1" selected="0">
            <x v="260"/>
          </reference>
          <reference field="8" count="1">
            <x v="551"/>
          </reference>
        </references>
      </pivotArea>
    </format>
    <format dxfId="3444">
      <pivotArea dataOnly="0" labelOnly="1" fieldPosition="0">
        <references count="5">
          <reference field="1" count="1" selected="0">
            <x v="167"/>
          </reference>
          <reference field="5" count="1" selected="0">
            <x v="12"/>
          </reference>
          <reference field="6" count="1" selected="0">
            <x v="1"/>
          </reference>
          <reference field="7" count="1" selected="0">
            <x v="260"/>
          </reference>
          <reference field="8" count="1">
            <x v="80"/>
          </reference>
        </references>
      </pivotArea>
    </format>
    <format dxfId="3443">
      <pivotArea dataOnly="0" labelOnly="1" fieldPosition="0">
        <references count="5">
          <reference field="1" count="1" selected="0">
            <x v="167"/>
          </reference>
          <reference field="5" count="1" selected="0">
            <x v="14"/>
          </reference>
          <reference field="6" count="1" selected="0">
            <x v="6"/>
          </reference>
          <reference field="7" count="1" selected="0">
            <x v="260"/>
          </reference>
          <reference field="8" count="1">
            <x v="1792"/>
          </reference>
        </references>
      </pivotArea>
    </format>
    <format dxfId="3442">
      <pivotArea dataOnly="0" labelOnly="1" fieldPosition="0">
        <references count="5">
          <reference field="1" count="1" selected="0">
            <x v="167"/>
          </reference>
          <reference field="5" count="1" selected="0">
            <x v="14"/>
          </reference>
          <reference field="6" count="1" selected="0">
            <x v="29"/>
          </reference>
          <reference field="7" count="1" selected="0">
            <x v="259"/>
          </reference>
          <reference field="8" count="1">
            <x v="1182"/>
          </reference>
        </references>
      </pivotArea>
    </format>
    <format dxfId="3441">
      <pivotArea dataOnly="0" labelOnly="1" fieldPosition="0">
        <references count="5">
          <reference field="1" count="1" selected="0">
            <x v="167"/>
          </reference>
          <reference field="5" count="1" selected="0">
            <x v="15"/>
          </reference>
          <reference field="6" count="1" selected="0">
            <x v="10"/>
          </reference>
          <reference field="7" count="1" selected="0">
            <x v="260"/>
          </reference>
          <reference field="8" count="1">
            <x v="0"/>
          </reference>
        </references>
      </pivotArea>
    </format>
    <format dxfId="3440">
      <pivotArea dataOnly="0" labelOnly="1" fieldPosition="0">
        <references count="5">
          <reference field="1" count="1" selected="0">
            <x v="167"/>
          </reference>
          <reference field="5" count="1" selected="0">
            <x v="33"/>
          </reference>
          <reference field="6" count="1" selected="0">
            <x v="37"/>
          </reference>
          <reference field="7" count="1" selected="0">
            <x v="260"/>
          </reference>
          <reference field="8" count="1">
            <x v="1208"/>
          </reference>
        </references>
      </pivotArea>
    </format>
    <format dxfId="3439">
      <pivotArea dataOnly="0" labelOnly="1" fieldPosition="0">
        <references count="5">
          <reference field="1" count="1" selected="0">
            <x v="167"/>
          </reference>
          <reference field="5" count="1" selected="0">
            <x v="35"/>
          </reference>
          <reference field="6" count="1" selected="0">
            <x v="1"/>
          </reference>
          <reference field="7" count="1" selected="0">
            <x v="260"/>
          </reference>
          <reference field="8" count="1">
            <x v="80"/>
          </reference>
        </references>
      </pivotArea>
    </format>
    <format dxfId="3438">
      <pivotArea dataOnly="0" labelOnly="1" fieldPosition="0">
        <references count="5">
          <reference field="1" count="1" selected="0">
            <x v="168"/>
          </reference>
          <reference field="5" count="1" selected="0">
            <x v="0"/>
          </reference>
          <reference field="6" count="1" selected="0">
            <x v="11"/>
          </reference>
          <reference field="7" count="1" selected="0">
            <x v="51"/>
          </reference>
          <reference field="8" count="1">
            <x v="633"/>
          </reference>
        </references>
      </pivotArea>
    </format>
    <format dxfId="3437">
      <pivotArea dataOnly="0" labelOnly="1" fieldPosition="0">
        <references count="5">
          <reference field="1" count="1" selected="0">
            <x v="168"/>
          </reference>
          <reference field="5" count="1" selected="0">
            <x v="0"/>
          </reference>
          <reference field="6" count="1" selected="0">
            <x v="12"/>
          </reference>
          <reference field="7" count="1" selected="0">
            <x v="12"/>
          </reference>
          <reference field="8" count="1">
            <x v="39"/>
          </reference>
        </references>
      </pivotArea>
    </format>
    <format dxfId="3436">
      <pivotArea dataOnly="0" labelOnly="1" fieldPosition="0">
        <references count="5">
          <reference field="1" count="1" selected="0">
            <x v="168"/>
          </reference>
          <reference field="5" count="1" selected="0">
            <x v="0"/>
          </reference>
          <reference field="6" count="1" selected="0">
            <x v="12"/>
          </reference>
          <reference field="7" count="1" selected="0">
            <x v="38"/>
          </reference>
          <reference field="8" count="1">
            <x v="114"/>
          </reference>
        </references>
      </pivotArea>
    </format>
    <format dxfId="3435">
      <pivotArea dataOnly="0" labelOnly="1" fieldPosition="0">
        <references count="5">
          <reference field="1" count="1" selected="0">
            <x v="168"/>
          </reference>
          <reference field="5" count="1" selected="0">
            <x v="0"/>
          </reference>
          <reference field="6" count="1" selected="0">
            <x v="12"/>
          </reference>
          <reference field="7" count="1" selected="0">
            <x v="55"/>
          </reference>
          <reference field="8" count="1">
            <x v="92"/>
          </reference>
        </references>
      </pivotArea>
    </format>
    <format dxfId="3434">
      <pivotArea dataOnly="0" labelOnly="1" fieldPosition="0">
        <references count="5">
          <reference field="1" count="1" selected="0">
            <x v="168"/>
          </reference>
          <reference field="5" count="1" selected="0">
            <x v="0"/>
          </reference>
          <reference field="6" count="1" selected="0">
            <x v="12"/>
          </reference>
          <reference field="7" count="1" selected="0">
            <x v="57"/>
          </reference>
          <reference field="8" count="1">
            <x v="192"/>
          </reference>
        </references>
      </pivotArea>
    </format>
    <format dxfId="3433">
      <pivotArea dataOnly="0" labelOnly="1" fieldPosition="0">
        <references count="5">
          <reference field="1" count="1" selected="0">
            <x v="168"/>
          </reference>
          <reference field="5" count="1" selected="0">
            <x v="0"/>
          </reference>
          <reference field="6" count="1" selected="0">
            <x v="38"/>
          </reference>
          <reference field="7" count="1" selected="0">
            <x v="262"/>
          </reference>
          <reference field="8" count="3">
            <x v="262"/>
            <x v="1137"/>
            <x v="1343"/>
          </reference>
        </references>
      </pivotArea>
    </format>
    <format dxfId="3432">
      <pivotArea dataOnly="0" labelOnly="1" fieldPosition="0">
        <references count="5">
          <reference field="1" count="1" selected="0">
            <x v="168"/>
          </reference>
          <reference field="5" count="1" selected="0">
            <x v="3"/>
          </reference>
          <reference field="6" count="1" selected="0">
            <x v="38"/>
          </reference>
          <reference field="7" count="1" selected="0">
            <x v="262"/>
          </reference>
          <reference field="8" count="1">
            <x v="1133"/>
          </reference>
        </references>
      </pivotArea>
    </format>
    <format dxfId="3431">
      <pivotArea dataOnly="0" labelOnly="1" fieldPosition="0">
        <references count="5">
          <reference field="1" count="1" selected="0">
            <x v="168"/>
          </reference>
          <reference field="5" count="1" selected="0">
            <x v="12"/>
          </reference>
          <reference field="6" count="1" selected="0">
            <x v="1"/>
          </reference>
          <reference field="7" count="1" selected="0">
            <x v="262"/>
          </reference>
          <reference field="8" count="5">
            <x v="80"/>
            <x v="213"/>
            <x v="352"/>
            <x v="500"/>
            <x v="607"/>
          </reference>
        </references>
      </pivotArea>
    </format>
    <format dxfId="3430">
      <pivotArea dataOnly="0" labelOnly="1" fieldPosition="0">
        <references count="5">
          <reference field="1" count="1" selected="0">
            <x v="168"/>
          </reference>
          <reference field="5" count="1" selected="0">
            <x v="12"/>
          </reference>
          <reference field="6" count="1" selected="0">
            <x v="38"/>
          </reference>
          <reference field="7" count="1" selected="0">
            <x v="262"/>
          </reference>
          <reference field="8" count="1">
            <x v="1697"/>
          </reference>
        </references>
      </pivotArea>
    </format>
    <format dxfId="3429">
      <pivotArea dataOnly="0" labelOnly="1" fieldPosition="0">
        <references count="5">
          <reference field="1" count="1" selected="0">
            <x v="168"/>
          </reference>
          <reference field="5" count="1" selected="0">
            <x v="14"/>
          </reference>
          <reference field="6" count="1" selected="0">
            <x v="6"/>
          </reference>
          <reference field="7" count="1" selected="0">
            <x v="262"/>
          </reference>
          <reference field="8" count="1">
            <x v="1792"/>
          </reference>
        </references>
      </pivotArea>
    </format>
    <format dxfId="3428">
      <pivotArea dataOnly="0" labelOnly="1" fieldPosition="0">
        <references count="5">
          <reference field="1" count="1" selected="0">
            <x v="168"/>
          </reference>
          <reference field="5" count="1" selected="0">
            <x v="14"/>
          </reference>
          <reference field="6" count="1" selected="0">
            <x v="9"/>
          </reference>
          <reference field="7" count="1" selected="0">
            <x v="262"/>
          </reference>
          <reference field="8" count="1">
            <x v="0"/>
          </reference>
        </references>
      </pivotArea>
    </format>
    <format dxfId="3427">
      <pivotArea dataOnly="0" labelOnly="1" fieldPosition="0">
        <references count="5">
          <reference field="1" count="1" selected="0">
            <x v="168"/>
          </reference>
          <reference field="5" count="1" selected="0">
            <x v="14"/>
          </reference>
          <reference field="6" count="1" selected="0">
            <x v="29"/>
          </reference>
          <reference field="7" count="1" selected="0">
            <x v="261"/>
          </reference>
          <reference field="8" count="1">
            <x v="1238"/>
          </reference>
        </references>
      </pivotArea>
    </format>
    <format dxfId="3426">
      <pivotArea dataOnly="0" labelOnly="1" fieldPosition="0">
        <references count="5">
          <reference field="1" count="1" selected="0">
            <x v="168"/>
          </reference>
          <reference field="5" count="1" selected="0">
            <x v="15"/>
          </reference>
          <reference field="6" count="1" selected="0">
            <x v="33"/>
          </reference>
          <reference field="7" count="1" selected="0">
            <x v="262"/>
          </reference>
          <reference field="8" count="1">
            <x v="981"/>
          </reference>
        </references>
      </pivotArea>
    </format>
    <format dxfId="3425">
      <pivotArea dataOnly="0" labelOnly="1" fieldPosition="0">
        <references count="5">
          <reference field="1" count="1" selected="0">
            <x v="168"/>
          </reference>
          <reference field="5" count="1" selected="0">
            <x v="15"/>
          </reference>
          <reference field="6" count="1" selected="0">
            <x v="38"/>
          </reference>
          <reference field="7" count="1" selected="0">
            <x v="262"/>
          </reference>
          <reference field="8" count="1">
            <x v="500"/>
          </reference>
        </references>
      </pivotArea>
    </format>
    <format dxfId="3424">
      <pivotArea dataOnly="0" labelOnly="1" fieldPosition="0">
        <references count="5">
          <reference field="1" count="1" selected="0">
            <x v="168"/>
          </reference>
          <reference field="5" count="1" selected="0">
            <x v="26"/>
          </reference>
          <reference field="6" count="1" selected="0">
            <x v="38"/>
          </reference>
          <reference field="7" count="1" selected="0">
            <x v="262"/>
          </reference>
          <reference field="8" count="1">
            <x v="719"/>
          </reference>
        </references>
      </pivotArea>
    </format>
    <format dxfId="3423">
      <pivotArea dataOnly="0" labelOnly="1" fieldPosition="0">
        <references count="5">
          <reference field="1" count="1" selected="0">
            <x v="169"/>
          </reference>
          <reference field="5" count="1" selected="0">
            <x v="0"/>
          </reference>
          <reference field="6" count="1" selected="0">
            <x v="12"/>
          </reference>
          <reference field="7" count="1" selected="0">
            <x v="6"/>
          </reference>
          <reference field="8" count="1">
            <x v="32"/>
          </reference>
        </references>
      </pivotArea>
    </format>
    <format dxfId="3422">
      <pivotArea dataOnly="0" labelOnly="1" fieldPosition="0">
        <references count="5">
          <reference field="1" count="1" selected="0">
            <x v="169"/>
          </reference>
          <reference field="5" count="1" selected="0">
            <x v="0"/>
          </reference>
          <reference field="6" count="1" selected="0">
            <x v="12"/>
          </reference>
          <reference field="7" count="1" selected="0">
            <x v="61"/>
          </reference>
          <reference field="8" count="1">
            <x v="315"/>
          </reference>
        </references>
      </pivotArea>
    </format>
    <format dxfId="3421">
      <pivotArea dataOnly="0" labelOnly="1" fieldPosition="0">
        <references count="5">
          <reference field="1" count="1" selected="0">
            <x v="169"/>
          </reference>
          <reference field="5" count="1" selected="0">
            <x v="0"/>
          </reference>
          <reference field="6" count="1" selected="0">
            <x v="12"/>
          </reference>
          <reference field="7" count="1" selected="0">
            <x v="62"/>
          </reference>
          <reference field="8" count="1">
            <x v="81"/>
          </reference>
        </references>
      </pivotArea>
    </format>
    <format dxfId="3420">
      <pivotArea dataOnly="0" labelOnly="1" fieldPosition="0">
        <references count="6">
          <reference field="1" count="1" selected="0">
            <x v="0"/>
          </reference>
          <reference field="5" count="1" selected="0">
            <x v="0"/>
          </reference>
          <reference field="6" count="1" selected="0">
            <x v="1"/>
          </reference>
          <reference field="7" count="1" selected="0">
            <x v="77"/>
          </reference>
          <reference field="8" count="1" selected="0">
            <x v="213"/>
          </reference>
          <reference field="9" count="1">
            <x v="611"/>
          </reference>
        </references>
      </pivotArea>
    </format>
    <format dxfId="3419">
      <pivotArea dataOnly="0" labelOnly="1" fieldPosition="0">
        <references count="6">
          <reference field="1" count="1" selected="0">
            <x v="0"/>
          </reference>
          <reference field="5" count="1" selected="0">
            <x v="0"/>
          </reference>
          <reference field="6" count="1" selected="0">
            <x v="8"/>
          </reference>
          <reference field="7" count="1" selected="0">
            <x v="77"/>
          </reference>
          <reference field="8" count="1" selected="0">
            <x v="964"/>
          </reference>
          <reference field="9" count="1">
            <x v="611"/>
          </reference>
        </references>
      </pivotArea>
    </format>
    <format dxfId="3418">
      <pivotArea dataOnly="0" labelOnly="1" fieldPosition="0">
        <references count="6">
          <reference field="1" count="1" selected="0">
            <x v="0"/>
          </reference>
          <reference field="5" count="1" selected="0">
            <x v="0"/>
          </reference>
          <reference field="6" count="1" selected="0">
            <x v="12"/>
          </reference>
          <reference field="7" count="1" selected="0">
            <x v="21"/>
          </reference>
          <reference field="8" count="1" selected="0">
            <x v="24"/>
          </reference>
          <reference field="9" count="1">
            <x v="611"/>
          </reference>
        </references>
      </pivotArea>
    </format>
    <format dxfId="3417">
      <pivotArea dataOnly="0" labelOnly="1" fieldPosition="0">
        <references count="6">
          <reference field="1" count="1" selected="0">
            <x v="0"/>
          </reference>
          <reference field="5" count="1" selected="0">
            <x v="0"/>
          </reference>
          <reference field="6" count="1" selected="0">
            <x v="37"/>
          </reference>
          <reference field="7" count="1" selected="0">
            <x v="77"/>
          </reference>
          <reference field="8" count="1" selected="0">
            <x v="1421"/>
          </reference>
          <reference field="9" count="1">
            <x v="611"/>
          </reference>
        </references>
      </pivotArea>
    </format>
    <format dxfId="3416">
      <pivotArea dataOnly="0" labelOnly="1" fieldPosition="0">
        <references count="6">
          <reference field="1" count="1" selected="0">
            <x v="0"/>
          </reference>
          <reference field="5" count="1" selected="0">
            <x v="10"/>
          </reference>
          <reference field="6" count="1" selected="0">
            <x v="37"/>
          </reference>
          <reference field="7" count="1" selected="0">
            <x v="77"/>
          </reference>
          <reference field="8" count="1" selected="0">
            <x v="1361"/>
          </reference>
          <reference field="9" count="1">
            <x v="611"/>
          </reference>
        </references>
      </pivotArea>
    </format>
    <format dxfId="3415">
      <pivotArea dataOnly="0" labelOnly="1" fieldPosition="0">
        <references count="6">
          <reference field="1" count="1" selected="0">
            <x v="0"/>
          </reference>
          <reference field="5" count="1" selected="0">
            <x v="11"/>
          </reference>
          <reference field="6" count="1" selected="0">
            <x v="37"/>
          </reference>
          <reference field="7" count="1" selected="0">
            <x v="77"/>
          </reference>
          <reference field="8" count="1" selected="0">
            <x v="490"/>
          </reference>
          <reference field="9" count="1">
            <x v="611"/>
          </reference>
        </references>
      </pivotArea>
    </format>
    <format dxfId="3414">
      <pivotArea dataOnly="0" labelOnly="1" fieldPosition="0">
        <references count="6">
          <reference field="1" count="1" selected="0">
            <x v="0"/>
          </reference>
          <reference field="5" count="1" selected="0">
            <x v="12"/>
          </reference>
          <reference field="6" count="1" selected="0">
            <x v="1"/>
          </reference>
          <reference field="7" count="1" selected="0">
            <x v="77"/>
          </reference>
          <reference field="8" count="1" selected="0">
            <x v="80"/>
          </reference>
          <reference field="9" count="1">
            <x v="611"/>
          </reference>
        </references>
      </pivotArea>
    </format>
    <format dxfId="3413">
      <pivotArea dataOnly="0" labelOnly="1" fieldPosition="0">
        <references count="6">
          <reference field="1" count="1" selected="0">
            <x v="0"/>
          </reference>
          <reference field="5" count="1" selected="0">
            <x v="12"/>
          </reference>
          <reference field="6" count="1" selected="0">
            <x v="1"/>
          </reference>
          <reference field="7" count="1" selected="0">
            <x v="77"/>
          </reference>
          <reference field="8" count="1" selected="0">
            <x v="213"/>
          </reference>
          <reference field="9" count="1">
            <x v="611"/>
          </reference>
        </references>
      </pivotArea>
    </format>
    <format dxfId="3412">
      <pivotArea dataOnly="0" labelOnly="1" fieldPosition="0">
        <references count="6">
          <reference field="1" count="1" selected="0">
            <x v="0"/>
          </reference>
          <reference field="5" count="1" selected="0">
            <x v="12"/>
          </reference>
          <reference field="6" count="1" selected="0">
            <x v="1"/>
          </reference>
          <reference field="7" count="1" selected="0">
            <x v="77"/>
          </reference>
          <reference field="8" count="1" selected="0">
            <x v="352"/>
          </reference>
          <reference field="9" count="1">
            <x v="611"/>
          </reference>
        </references>
      </pivotArea>
    </format>
    <format dxfId="3411">
      <pivotArea dataOnly="0" labelOnly="1" fieldPosition="0">
        <references count="6">
          <reference field="1" count="1" selected="0">
            <x v="0"/>
          </reference>
          <reference field="5" count="1" selected="0">
            <x v="12"/>
          </reference>
          <reference field="6" count="1" selected="0">
            <x v="1"/>
          </reference>
          <reference field="7" count="1" selected="0">
            <x v="77"/>
          </reference>
          <reference field="8" count="1" selected="0">
            <x v="500"/>
          </reference>
          <reference field="9" count="1">
            <x v="611"/>
          </reference>
        </references>
      </pivotArea>
    </format>
    <format dxfId="3410">
      <pivotArea dataOnly="0" labelOnly="1" fieldPosition="0">
        <references count="6">
          <reference field="1" count="1" selected="0">
            <x v="0"/>
          </reference>
          <reference field="5" count="1" selected="0">
            <x v="12"/>
          </reference>
          <reference field="6" count="1" selected="0">
            <x v="1"/>
          </reference>
          <reference field="7" count="1" selected="0">
            <x v="77"/>
          </reference>
          <reference field="8" count="1" selected="0">
            <x v="1028"/>
          </reference>
          <reference field="9" count="1">
            <x v="611"/>
          </reference>
        </references>
      </pivotArea>
    </format>
    <format dxfId="3409">
      <pivotArea dataOnly="0" labelOnly="1" fieldPosition="0">
        <references count="6">
          <reference field="1" count="1" selected="0">
            <x v="0"/>
          </reference>
          <reference field="5" count="1" selected="0">
            <x v="12"/>
          </reference>
          <reference field="6" count="1" selected="0">
            <x v="37"/>
          </reference>
          <reference field="7" count="1" selected="0">
            <x v="77"/>
          </reference>
          <reference field="8" count="1" selected="0">
            <x v="947"/>
          </reference>
          <reference field="9" count="1">
            <x v="611"/>
          </reference>
        </references>
      </pivotArea>
    </format>
    <format dxfId="3408">
      <pivotArea dataOnly="0" labelOnly="1" fieldPosition="0">
        <references count="6">
          <reference field="1" count="1" selected="0">
            <x v="0"/>
          </reference>
          <reference field="5" count="1" selected="0">
            <x v="12"/>
          </reference>
          <reference field="6" count="1" selected="0">
            <x v="37"/>
          </reference>
          <reference field="7" count="1" selected="0">
            <x v="77"/>
          </reference>
          <reference field="8" count="1" selected="0">
            <x v="1421"/>
          </reference>
          <reference field="9" count="1">
            <x v="611"/>
          </reference>
        </references>
      </pivotArea>
    </format>
    <format dxfId="3407">
      <pivotArea dataOnly="0" labelOnly="1" fieldPosition="0">
        <references count="6">
          <reference field="1" count="1" selected="0">
            <x v="0"/>
          </reference>
          <reference field="5" count="1" selected="0">
            <x v="19"/>
          </reference>
          <reference field="6" count="1" selected="0">
            <x v="1"/>
          </reference>
          <reference field="7" count="1" selected="0">
            <x v="77"/>
          </reference>
          <reference field="8" count="1" selected="0">
            <x v="440"/>
          </reference>
          <reference field="9" count="1">
            <x v="611"/>
          </reference>
        </references>
      </pivotArea>
    </format>
    <format dxfId="3406">
      <pivotArea dataOnly="0" labelOnly="1" fieldPosition="0">
        <references count="6">
          <reference field="1" count="1" selected="0">
            <x v="0"/>
          </reference>
          <reference field="5" count="1" selected="0">
            <x v="35"/>
          </reference>
          <reference field="6" count="1" selected="0">
            <x v="1"/>
          </reference>
          <reference field="7" count="1" selected="0">
            <x v="77"/>
          </reference>
          <reference field="8" count="1" selected="0">
            <x v="80"/>
          </reference>
          <reference field="9" count="1">
            <x v="611"/>
          </reference>
        </references>
      </pivotArea>
    </format>
    <format dxfId="3405">
      <pivotArea dataOnly="0" labelOnly="1" fieldPosition="0">
        <references count="6">
          <reference field="1" count="1" selected="0">
            <x v="0"/>
          </reference>
          <reference field="5" count="1" selected="0">
            <x v="35"/>
          </reference>
          <reference field="6" count="1" selected="0">
            <x v="37"/>
          </reference>
          <reference field="7" count="1" selected="0">
            <x v="77"/>
          </reference>
          <reference field="8" count="1" selected="0">
            <x v="1194"/>
          </reference>
          <reference field="9" count="1">
            <x v="611"/>
          </reference>
        </references>
      </pivotArea>
    </format>
    <format dxfId="3404">
      <pivotArea dataOnly="0" labelOnly="1" fieldPosition="0">
        <references count="6">
          <reference field="1" count="1" selected="0">
            <x v="1"/>
          </reference>
          <reference field="5" count="1" selected="0">
            <x v="0"/>
          </reference>
          <reference field="6" count="1" selected="0">
            <x v="1"/>
          </reference>
          <reference field="7" count="1" selected="0">
            <x v="78"/>
          </reference>
          <reference field="8" count="1" selected="0">
            <x v="80"/>
          </reference>
          <reference field="9" count="1">
            <x v="611"/>
          </reference>
        </references>
      </pivotArea>
    </format>
    <format dxfId="3403">
      <pivotArea dataOnly="0" labelOnly="1" fieldPosition="0">
        <references count="6">
          <reference field="1" count="1" selected="0">
            <x v="1"/>
          </reference>
          <reference field="5" count="1" selected="0">
            <x v="0"/>
          </reference>
          <reference field="6" count="1" selected="0">
            <x v="7"/>
          </reference>
          <reference field="7" count="1" selected="0">
            <x v="78"/>
          </reference>
          <reference field="8" count="1" selected="0">
            <x v="231"/>
          </reference>
          <reference field="9" count="1">
            <x v="611"/>
          </reference>
        </references>
      </pivotArea>
    </format>
    <format dxfId="3402">
      <pivotArea dataOnly="0" labelOnly="1" fieldPosition="0">
        <references count="6">
          <reference field="1" count="1" selected="0">
            <x v="1"/>
          </reference>
          <reference field="5" count="1" selected="0">
            <x v="0"/>
          </reference>
          <reference field="6" count="1" selected="0">
            <x v="7"/>
          </reference>
          <reference field="7" count="1" selected="0">
            <x v="78"/>
          </reference>
          <reference field="8" count="1" selected="0">
            <x v="665"/>
          </reference>
          <reference field="9" count="1">
            <x v="611"/>
          </reference>
        </references>
      </pivotArea>
    </format>
    <format dxfId="3401">
      <pivotArea dataOnly="0" labelOnly="1" fieldPosition="0">
        <references count="6">
          <reference field="1" count="1" selected="0">
            <x v="1"/>
          </reference>
          <reference field="5" count="1" selected="0">
            <x v="0"/>
          </reference>
          <reference field="6" count="1" selected="0">
            <x v="7"/>
          </reference>
          <reference field="7" count="1" selected="0">
            <x v="78"/>
          </reference>
          <reference field="8" count="1" selected="0">
            <x v="754"/>
          </reference>
          <reference field="9" count="1">
            <x v="611"/>
          </reference>
        </references>
      </pivotArea>
    </format>
    <format dxfId="3400">
      <pivotArea dataOnly="0" labelOnly="1" fieldPosition="0">
        <references count="6">
          <reference field="1" count="1" selected="0">
            <x v="1"/>
          </reference>
          <reference field="5" count="1" selected="0">
            <x v="0"/>
          </reference>
          <reference field="6" count="1" selected="0">
            <x v="8"/>
          </reference>
          <reference field="7" count="1" selected="0">
            <x v="78"/>
          </reference>
          <reference field="8" count="1" selected="0">
            <x v="667"/>
          </reference>
          <reference field="9" count="1">
            <x v="611"/>
          </reference>
        </references>
      </pivotArea>
    </format>
    <format dxfId="3399">
      <pivotArea dataOnly="0" labelOnly="1" fieldPosition="0">
        <references count="6">
          <reference field="1" count="1" selected="0">
            <x v="1"/>
          </reference>
          <reference field="5" count="1" selected="0">
            <x v="0"/>
          </reference>
          <reference field="6" count="1" selected="0">
            <x v="8"/>
          </reference>
          <reference field="7" count="1" selected="0">
            <x v="78"/>
          </reference>
          <reference field="8" count="1" selected="0">
            <x v="1156"/>
          </reference>
          <reference field="9" count="1">
            <x v="611"/>
          </reference>
        </references>
      </pivotArea>
    </format>
    <format dxfId="3398">
      <pivotArea dataOnly="0" labelOnly="1" fieldPosition="0">
        <references count="6">
          <reference field="1" count="1" selected="0">
            <x v="1"/>
          </reference>
          <reference field="5" count="1" selected="0">
            <x v="0"/>
          </reference>
          <reference field="6" count="1" selected="0">
            <x v="12"/>
          </reference>
          <reference field="7" count="1" selected="0">
            <x v="25"/>
          </reference>
          <reference field="8" count="1" selected="0">
            <x v="180"/>
          </reference>
          <reference field="9" count="1">
            <x v="611"/>
          </reference>
        </references>
      </pivotArea>
    </format>
    <format dxfId="3397">
      <pivotArea dataOnly="0" labelOnly="1" fieldPosition="0">
        <references count="6">
          <reference field="1" count="1" selected="0">
            <x v="1"/>
          </reference>
          <reference field="5" count="1" selected="0">
            <x v="0"/>
          </reference>
          <reference field="6" count="1" selected="0">
            <x v="12"/>
          </reference>
          <reference field="7" count="1" selected="0">
            <x v="37"/>
          </reference>
          <reference field="8" count="1" selected="0">
            <x v="199"/>
          </reference>
          <reference field="9" count="1">
            <x v="611"/>
          </reference>
        </references>
      </pivotArea>
    </format>
    <format dxfId="3396">
      <pivotArea dataOnly="0" labelOnly="1" fieldPosition="0">
        <references count="6">
          <reference field="1" count="1" selected="0">
            <x v="1"/>
          </reference>
          <reference field="5" count="1" selected="0">
            <x v="3"/>
          </reference>
          <reference field="6" count="1" selected="0">
            <x v="37"/>
          </reference>
          <reference field="7" count="1" selected="0">
            <x v="78"/>
          </reference>
          <reference field="8" count="1" selected="0">
            <x v="109"/>
          </reference>
          <reference field="9" count="1">
            <x v="611"/>
          </reference>
        </references>
      </pivotArea>
    </format>
    <format dxfId="3395">
      <pivotArea dataOnly="0" labelOnly="1" fieldPosition="0">
        <references count="6">
          <reference field="1" count="1" selected="0">
            <x v="1"/>
          </reference>
          <reference field="5" count="1" selected="0">
            <x v="7"/>
          </reference>
          <reference field="6" count="1" selected="0">
            <x v="8"/>
          </reference>
          <reference field="7" count="1" selected="0">
            <x v="78"/>
          </reference>
          <reference field="8" count="1" selected="0">
            <x v="1148"/>
          </reference>
          <reference field="9" count="1">
            <x v="611"/>
          </reference>
        </references>
      </pivotArea>
    </format>
    <format dxfId="3394">
      <pivotArea dataOnly="0" labelOnly="1" fieldPosition="0">
        <references count="6">
          <reference field="1" count="1" selected="0">
            <x v="1"/>
          </reference>
          <reference field="5" count="1" selected="0">
            <x v="12"/>
          </reference>
          <reference field="6" count="1" selected="0">
            <x v="1"/>
          </reference>
          <reference field="7" count="1" selected="0">
            <x v="78"/>
          </reference>
          <reference field="8" count="1" selected="0">
            <x v="80"/>
          </reference>
          <reference field="9" count="1">
            <x v="611"/>
          </reference>
        </references>
      </pivotArea>
    </format>
    <format dxfId="3393">
      <pivotArea dataOnly="0" labelOnly="1" fieldPosition="0">
        <references count="6">
          <reference field="1" count="1" selected="0">
            <x v="1"/>
          </reference>
          <reference field="5" count="1" selected="0">
            <x v="12"/>
          </reference>
          <reference field="6" count="1" selected="0">
            <x v="1"/>
          </reference>
          <reference field="7" count="1" selected="0">
            <x v="78"/>
          </reference>
          <reference field="8" count="1" selected="0">
            <x v="352"/>
          </reference>
          <reference field="9" count="1">
            <x v="611"/>
          </reference>
        </references>
      </pivotArea>
    </format>
    <format dxfId="3392">
      <pivotArea dataOnly="0" labelOnly="1" fieldPosition="0">
        <references count="6">
          <reference field="1" count="1" selected="0">
            <x v="1"/>
          </reference>
          <reference field="5" count="1" selected="0">
            <x v="12"/>
          </reference>
          <reference field="6" count="1" selected="0">
            <x v="1"/>
          </reference>
          <reference field="7" count="1" selected="0">
            <x v="78"/>
          </reference>
          <reference field="8" count="1" selected="0">
            <x v="771"/>
          </reference>
          <reference field="9" count="1">
            <x v="611"/>
          </reference>
        </references>
      </pivotArea>
    </format>
    <format dxfId="3391">
      <pivotArea dataOnly="0" labelOnly="1" fieldPosition="0">
        <references count="6">
          <reference field="1" count="1" selected="0">
            <x v="1"/>
          </reference>
          <reference field="5" count="1" selected="0">
            <x v="12"/>
          </reference>
          <reference field="6" count="1" selected="0">
            <x v="37"/>
          </reference>
          <reference field="7" count="1" selected="0">
            <x v="78"/>
          </reference>
          <reference field="8" count="1" selected="0">
            <x v="1244"/>
          </reference>
          <reference field="9" count="1">
            <x v="611"/>
          </reference>
        </references>
      </pivotArea>
    </format>
    <format dxfId="3390">
      <pivotArea dataOnly="0" labelOnly="1" fieldPosition="0">
        <references count="6">
          <reference field="1" count="1" selected="0">
            <x v="1"/>
          </reference>
          <reference field="5" count="1" selected="0">
            <x v="15"/>
          </reference>
          <reference field="6" count="1" selected="0">
            <x v="7"/>
          </reference>
          <reference field="7" count="1" selected="0">
            <x v="78"/>
          </reference>
          <reference field="8" count="1" selected="0">
            <x v="469"/>
          </reference>
          <reference field="9" count="1">
            <x v="611"/>
          </reference>
        </references>
      </pivotArea>
    </format>
    <format dxfId="3389">
      <pivotArea dataOnly="0" labelOnly="1" fieldPosition="0">
        <references count="6">
          <reference field="1" count="1" selected="0">
            <x v="1"/>
          </reference>
          <reference field="5" count="1" selected="0">
            <x v="15"/>
          </reference>
          <reference field="6" count="1" selected="0">
            <x v="38"/>
          </reference>
          <reference field="7" count="1" selected="0">
            <x v="78"/>
          </reference>
          <reference field="8" count="1" selected="0">
            <x v="1274"/>
          </reference>
          <reference field="9" count="1">
            <x v="611"/>
          </reference>
        </references>
      </pivotArea>
    </format>
    <format dxfId="3388">
      <pivotArea dataOnly="0" labelOnly="1" fieldPosition="0">
        <references count="6">
          <reference field="1" count="1" selected="0">
            <x v="1"/>
          </reference>
          <reference field="5" count="1" selected="0">
            <x v="21"/>
          </reference>
          <reference field="6" count="1" selected="0">
            <x v="37"/>
          </reference>
          <reference field="7" count="1" selected="0">
            <x v="78"/>
          </reference>
          <reference field="8" count="1" selected="0">
            <x v="352"/>
          </reference>
          <reference field="9" count="1">
            <x v="611"/>
          </reference>
        </references>
      </pivotArea>
    </format>
    <format dxfId="3387">
      <pivotArea dataOnly="0" labelOnly="1" fieldPosition="0">
        <references count="6">
          <reference field="1" count="1" selected="0">
            <x v="1"/>
          </reference>
          <reference field="5" count="1" selected="0">
            <x v="21"/>
          </reference>
          <reference field="6" count="1" selected="0">
            <x v="38"/>
          </reference>
          <reference field="7" count="1" selected="0">
            <x v="78"/>
          </reference>
          <reference field="8" count="1" selected="0">
            <x v="1274"/>
          </reference>
          <reference field="9" count="1">
            <x v="611"/>
          </reference>
        </references>
      </pivotArea>
    </format>
    <format dxfId="3386">
      <pivotArea dataOnly="0" labelOnly="1" fieldPosition="0">
        <references count="6">
          <reference field="1" count="1" selected="0">
            <x v="1"/>
          </reference>
          <reference field="5" count="1" selected="0">
            <x v="23"/>
          </reference>
          <reference field="6" count="1" selected="0">
            <x v="38"/>
          </reference>
          <reference field="7" count="1" selected="0">
            <x v="78"/>
          </reference>
          <reference field="8" count="1" selected="0">
            <x v="1857"/>
          </reference>
          <reference field="9" count="1">
            <x v="611"/>
          </reference>
        </references>
      </pivotArea>
    </format>
    <format dxfId="3385">
      <pivotArea dataOnly="0" labelOnly="1" fieldPosition="0">
        <references count="6">
          <reference field="1" count="1" selected="0">
            <x v="1"/>
          </reference>
          <reference field="5" count="1" selected="0">
            <x v="35"/>
          </reference>
          <reference field="6" count="1" selected="0">
            <x v="1"/>
          </reference>
          <reference field="7" count="1" selected="0">
            <x v="78"/>
          </reference>
          <reference field="8" count="1" selected="0">
            <x v="80"/>
          </reference>
          <reference field="9" count="1">
            <x v="611"/>
          </reference>
        </references>
      </pivotArea>
    </format>
    <format dxfId="3384">
      <pivotArea dataOnly="0" labelOnly="1" fieldPosition="0">
        <references count="6">
          <reference field="1" count="1" selected="0">
            <x v="2"/>
          </reference>
          <reference field="5" count="1" selected="0">
            <x v="0"/>
          </reference>
          <reference field="6" count="1" selected="0">
            <x v="6"/>
          </reference>
          <reference field="7" count="1" selected="0">
            <x v="79"/>
          </reference>
          <reference field="8" count="1" selected="0">
            <x v="212"/>
          </reference>
          <reference field="9" count="1">
            <x v="611"/>
          </reference>
        </references>
      </pivotArea>
    </format>
    <format dxfId="3383">
      <pivotArea dataOnly="0" labelOnly="1" fieldPosition="0">
        <references count="6">
          <reference field="1" count="1" selected="0">
            <x v="2"/>
          </reference>
          <reference field="5" count="1" selected="0">
            <x v="0"/>
          </reference>
          <reference field="6" count="1" selected="0">
            <x v="7"/>
          </reference>
          <reference field="7" count="1" selected="0">
            <x v="79"/>
          </reference>
          <reference field="8" count="1" selected="0">
            <x v="255"/>
          </reference>
          <reference field="9" count="1">
            <x v="611"/>
          </reference>
        </references>
      </pivotArea>
    </format>
    <format dxfId="3382">
      <pivotArea dataOnly="0" labelOnly="1" fieldPosition="0">
        <references count="6">
          <reference field="1" count="1" selected="0">
            <x v="2"/>
          </reference>
          <reference field="5" count="1" selected="0">
            <x v="0"/>
          </reference>
          <reference field="6" count="1" selected="0">
            <x v="12"/>
          </reference>
          <reference field="7" count="1" selected="0">
            <x v="68"/>
          </reference>
          <reference field="8" count="1" selected="0">
            <x v="4"/>
          </reference>
          <reference field="9" count="1">
            <x v="611"/>
          </reference>
        </references>
      </pivotArea>
    </format>
    <format dxfId="3381">
      <pivotArea dataOnly="0" labelOnly="1" fieldPosition="0">
        <references count="6">
          <reference field="1" count="1" selected="0">
            <x v="2"/>
          </reference>
          <reference field="5" count="1" selected="0">
            <x v="0"/>
          </reference>
          <reference field="6" count="1" selected="0">
            <x v="12"/>
          </reference>
          <reference field="7" count="1" selected="0">
            <x v="70"/>
          </reference>
          <reference field="8" count="1" selected="0">
            <x v="11"/>
          </reference>
          <reference field="9" count="1">
            <x v="611"/>
          </reference>
        </references>
      </pivotArea>
    </format>
    <format dxfId="3380">
      <pivotArea dataOnly="0" labelOnly="1" fieldPosition="0">
        <references count="6">
          <reference field="1" count="1" selected="0">
            <x v="2"/>
          </reference>
          <reference field="5" count="1" selected="0">
            <x v="3"/>
          </reference>
          <reference field="6" count="1" selected="0">
            <x v="38"/>
          </reference>
          <reference field="7" count="1" selected="0">
            <x v="79"/>
          </reference>
          <reference field="8" count="1" selected="0">
            <x v="33"/>
          </reference>
          <reference field="9" count="1">
            <x v="611"/>
          </reference>
        </references>
      </pivotArea>
    </format>
    <format dxfId="3379">
      <pivotArea dataOnly="0" labelOnly="1" fieldPosition="0">
        <references count="6">
          <reference field="1" count="1" selected="0">
            <x v="2"/>
          </reference>
          <reference field="5" count="1" selected="0">
            <x v="8"/>
          </reference>
          <reference field="6" count="1" selected="0">
            <x v="37"/>
          </reference>
          <reference field="7" count="1" selected="0">
            <x v="79"/>
          </reference>
          <reference field="8" count="1" selected="0">
            <x v="988"/>
          </reference>
          <reference field="9" count="1">
            <x v="611"/>
          </reference>
        </references>
      </pivotArea>
    </format>
    <format dxfId="3378">
      <pivotArea dataOnly="0" labelOnly="1" fieldPosition="0">
        <references count="6">
          <reference field="1" count="1" selected="0">
            <x v="2"/>
          </reference>
          <reference field="5" count="1" selected="0">
            <x v="12"/>
          </reference>
          <reference field="6" count="1" selected="0">
            <x v="1"/>
          </reference>
          <reference field="7" count="1" selected="0">
            <x v="79"/>
          </reference>
          <reference field="8" count="1" selected="0">
            <x v="80"/>
          </reference>
          <reference field="9" count="1">
            <x v="611"/>
          </reference>
        </references>
      </pivotArea>
    </format>
    <format dxfId="3377">
      <pivotArea dataOnly="0" labelOnly="1" fieldPosition="0">
        <references count="6">
          <reference field="1" count="1" selected="0">
            <x v="2"/>
          </reference>
          <reference field="5" count="1" selected="0">
            <x v="12"/>
          </reference>
          <reference field="6" count="1" selected="0">
            <x v="1"/>
          </reference>
          <reference field="7" count="1" selected="0">
            <x v="79"/>
          </reference>
          <reference field="8" count="1" selected="0">
            <x v="213"/>
          </reference>
          <reference field="9" count="1">
            <x v="611"/>
          </reference>
        </references>
      </pivotArea>
    </format>
    <format dxfId="3376">
      <pivotArea dataOnly="0" labelOnly="1" fieldPosition="0">
        <references count="6">
          <reference field="1" count="1" selected="0">
            <x v="2"/>
          </reference>
          <reference field="5" count="1" selected="0">
            <x v="12"/>
          </reference>
          <reference field="6" count="1" selected="0">
            <x v="1"/>
          </reference>
          <reference field="7" count="1" selected="0">
            <x v="79"/>
          </reference>
          <reference field="8" count="1" selected="0">
            <x v="352"/>
          </reference>
          <reference field="9" count="1">
            <x v="611"/>
          </reference>
        </references>
      </pivotArea>
    </format>
    <format dxfId="3375">
      <pivotArea dataOnly="0" labelOnly="1" fieldPosition="0">
        <references count="6">
          <reference field="1" count="1" selected="0">
            <x v="2"/>
          </reference>
          <reference field="5" count="1" selected="0">
            <x v="12"/>
          </reference>
          <reference field="6" count="1" selected="0">
            <x v="1"/>
          </reference>
          <reference field="7" count="1" selected="0">
            <x v="79"/>
          </reference>
          <reference field="8" count="1" selected="0">
            <x v="500"/>
          </reference>
          <reference field="9" count="1">
            <x v="611"/>
          </reference>
        </references>
      </pivotArea>
    </format>
    <format dxfId="3374">
      <pivotArea dataOnly="0" labelOnly="1" fieldPosition="0">
        <references count="6">
          <reference field="1" count="1" selected="0">
            <x v="2"/>
          </reference>
          <reference field="5" count="1" selected="0">
            <x v="12"/>
          </reference>
          <reference field="6" count="1" selected="0">
            <x v="1"/>
          </reference>
          <reference field="7" count="1" selected="0">
            <x v="79"/>
          </reference>
          <reference field="8" count="1" selected="0">
            <x v="846"/>
          </reference>
          <reference field="9" count="1">
            <x v="611"/>
          </reference>
        </references>
      </pivotArea>
    </format>
    <format dxfId="3373">
      <pivotArea dataOnly="0" labelOnly="1" fieldPosition="0">
        <references count="6">
          <reference field="1" count="1" selected="0">
            <x v="2"/>
          </reference>
          <reference field="5" count="1" selected="0">
            <x v="21"/>
          </reference>
          <reference field="6" count="1" selected="0">
            <x v="37"/>
          </reference>
          <reference field="7" count="1" selected="0">
            <x v="79"/>
          </reference>
          <reference field="8" count="1" selected="0">
            <x v="352"/>
          </reference>
          <reference field="9" count="1">
            <x v="611"/>
          </reference>
        </references>
      </pivotArea>
    </format>
    <format dxfId="3372">
      <pivotArea dataOnly="0" labelOnly="1" fieldPosition="0">
        <references count="6">
          <reference field="1" count="1" selected="0">
            <x v="2"/>
          </reference>
          <reference field="5" count="1" selected="0">
            <x v="23"/>
          </reference>
          <reference field="6" count="1" selected="0">
            <x v="6"/>
          </reference>
          <reference field="7" count="1" selected="0">
            <x v="79"/>
          </reference>
          <reference field="8" count="1" selected="0">
            <x v="86"/>
          </reference>
          <reference field="9" count="1">
            <x v="611"/>
          </reference>
        </references>
      </pivotArea>
    </format>
    <format dxfId="3371">
      <pivotArea dataOnly="0" labelOnly="1" fieldPosition="0">
        <references count="6">
          <reference field="1" count="1" selected="0">
            <x v="2"/>
          </reference>
          <reference field="5" count="1" selected="0">
            <x v="24"/>
          </reference>
          <reference field="6" count="1" selected="0">
            <x v="37"/>
          </reference>
          <reference field="7" count="1" selected="0">
            <x v="79"/>
          </reference>
          <reference field="8" count="1" selected="0">
            <x v="352"/>
          </reference>
          <reference field="9" count="1">
            <x v="611"/>
          </reference>
        </references>
      </pivotArea>
    </format>
    <format dxfId="3370">
      <pivotArea dataOnly="0" labelOnly="1" fieldPosition="0">
        <references count="6">
          <reference field="1" count="1" selected="0">
            <x v="2"/>
          </reference>
          <reference field="5" count="1" selected="0">
            <x v="27"/>
          </reference>
          <reference field="6" count="1" selected="0">
            <x v="6"/>
          </reference>
          <reference field="7" count="1" selected="0">
            <x v="79"/>
          </reference>
          <reference field="8" count="1" selected="0">
            <x v="1495"/>
          </reference>
          <reference field="9" count="1">
            <x v="611"/>
          </reference>
        </references>
      </pivotArea>
    </format>
    <format dxfId="3369">
      <pivotArea dataOnly="0" labelOnly="1" fieldPosition="0">
        <references count="6">
          <reference field="1" count="1" selected="0">
            <x v="2"/>
          </reference>
          <reference field="5" count="1" selected="0">
            <x v="35"/>
          </reference>
          <reference field="6" count="1" selected="0">
            <x v="1"/>
          </reference>
          <reference field="7" count="1" selected="0">
            <x v="79"/>
          </reference>
          <reference field="8" count="1" selected="0">
            <x v="80"/>
          </reference>
          <reference field="9" count="1">
            <x v="611"/>
          </reference>
        </references>
      </pivotArea>
    </format>
    <format dxfId="3368">
      <pivotArea dataOnly="0" labelOnly="1" fieldPosition="0">
        <references count="6">
          <reference field="1" count="1" selected="0">
            <x v="3"/>
          </reference>
          <reference field="5" count="1" selected="0">
            <x v="0"/>
          </reference>
          <reference field="6" count="1" selected="0">
            <x v="6"/>
          </reference>
          <reference field="7" count="1" selected="0">
            <x v="80"/>
          </reference>
          <reference field="8" count="1" selected="0">
            <x v="795"/>
          </reference>
          <reference field="9" count="1">
            <x v="611"/>
          </reference>
        </references>
      </pivotArea>
    </format>
    <format dxfId="3367">
      <pivotArea dataOnly="0" labelOnly="1" fieldPosition="0">
        <references count="6">
          <reference field="1" count="1" selected="0">
            <x v="3"/>
          </reference>
          <reference field="5" count="1" selected="0">
            <x v="0"/>
          </reference>
          <reference field="6" count="1" selected="0">
            <x v="12"/>
          </reference>
          <reference field="7" count="1" selected="0">
            <x v="25"/>
          </reference>
          <reference field="8" count="1" selected="0">
            <x v="895"/>
          </reference>
          <reference field="9" count="1">
            <x v="611"/>
          </reference>
        </references>
      </pivotArea>
    </format>
    <format dxfId="3366">
      <pivotArea dataOnly="0" labelOnly="1" fieldPosition="0">
        <references count="6">
          <reference field="1" count="1" selected="0">
            <x v="3"/>
          </reference>
          <reference field="5" count="1" selected="0">
            <x v="12"/>
          </reference>
          <reference field="6" count="1" selected="0">
            <x v="1"/>
          </reference>
          <reference field="7" count="1" selected="0">
            <x v="80"/>
          </reference>
          <reference field="8" count="1" selected="0">
            <x v="80"/>
          </reference>
          <reference field="9" count="1">
            <x v="611"/>
          </reference>
        </references>
      </pivotArea>
    </format>
    <format dxfId="3365">
      <pivotArea dataOnly="0" labelOnly="1" fieldPosition="0">
        <references count="6">
          <reference field="1" count="1" selected="0">
            <x v="3"/>
          </reference>
          <reference field="5" count="1" selected="0">
            <x v="12"/>
          </reference>
          <reference field="6" count="1" selected="0">
            <x v="1"/>
          </reference>
          <reference field="7" count="1" selected="0">
            <x v="80"/>
          </reference>
          <reference field="8" count="1" selected="0">
            <x v="500"/>
          </reference>
          <reference field="9" count="1">
            <x v="611"/>
          </reference>
        </references>
      </pivotArea>
    </format>
    <format dxfId="3364">
      <pivotArea dataOnly="0" labelOnly="1" fieldPosition="0">
        <references count="6">
          <reference field="1" count="1" selected="0">
            <x v="3"/>
          </reference>
          <reference field="5" count="1" selected="0">
            <x v="12"/>
          </reference>
          <reference field="6" count="1" selected="0">
            <x v="1"/>
          </reference>
          <reference field="7" count="1" selected="0">
            <x v="80"/>
          </reference>
          <reference field="8" count="1" selected="0">
            <x v="911"/>
          </reference>
          <reference field="9" count="1">
            <x v="611"/>
          </reference>
        </references>
      </pivotArea>
    </format>
    <format dxfId="3363">
      <pivotArea dataOnly="0" labelOnly="1" fieldPosition="0">
        <references count="6">
          <reference field="1" count="1" selected="0">
            <x v="3"/>
          </reference>
          <reference field="5" count="1" selected="0">
            <x v="35"/>
          </reference>
          <reference field="6" count="1" selected="0">
            <x v="1"/>
          </reference>
          <reference field="7" count="1" selected="0">
            <x v="80"/>
          </reference>
          <reference field="8" count="1" selected="0">
            <x v="80"/>
          </reference>
          <reference field="9" count="1">
            <x v="611"/>
          </reference>
        </references>
      </pivotArea>
    </format>
    <format dxfId="3362">
      <pivotArea dataOnly="0" labelOnly="1" fieldPosition="0">
        <references count="6">
          <reference field="1" count="1" selected="0">
            <x v="4"/>
          </reference>
          <reference field="5" count="1" selected="0">
            <x v="0"/>
          </reference>
          <reference field="6" count="1" selected="0">
            <x v="7"/>
          </reference>
          <reference field="7" count="1" selected="0">
            <x v="81"/>
          </reference>
          <reference field="8" count="1" selected="0">
            <x v="1163"/>
          </reference>
          <reference field="9" count="1">
            <x v="611"/>
          </reference>
        </references>
      </pivotArea>
    </format>
    <format dxfId="3361">
      <pivotArea dataOnly="0" labelOnly="1" fieldPosition="0">
        <references count="6">
          <reference field="1" count="1" selected="0">
            <x v="4"/>
          </reference>
          <reference field="5" count="1" selected="0">
            <x v="0"/>
          </reference>
          <reference field="6" count="1" selected="0">
            <x v="8"/>
          </reference>
          <reference field="7" count="1" selected="0">
            <x v="81"/>
          </reference>
          <reference field="8" count="1" selected="0">
            <x v="854"/>
          </reference>
          <reference field="9" count="1">
            <x v="611"/>
          </reference>
        </references>
      </pivotArea>
    </format>
    <format dxfId="3360">
      <pivotArea dataOnly="0" labelOnly="1" fieldPosition="0">
        <references count="6">
          <reference field="1" count="1" selected="0">
            <x v="4"/>
          </reference>
          <reference field="5" count="1" selected="0">
            <x v="0"/>
          </reference>
          <reference field="6" count="1" selected="0">
            <x v="12"/>
          </reference>
          <reference field="7" count="1" selected="0">
            <x v="29"/>
          </reference>
          <reference field="8" count="1" selected="0">
            <x v="98"/>
          </reference>
          <reference field="9" count="1">
            <x v="611"/>
          </reference>
        </references>
      </pivotArea>
    </format>
    <format dxfId="3359">
      <pivotArea dataOnly="0" labelOnly="1" fieldPosition="0">
        <references count="6">
          <reference field="1" count="1" selected="0">
            <x v="4"/>
          </reference>
          <reference field="5" count="1" selected="0">
            <x v="0"/>
          </reference>
          <reference field="6" count="1" selected="0">
            <x v="12"/>
          </reference>
          <reference field="7" count="1" selected="0">
            <x v="59"/>
          </reference>
          <reference field="8" count="1" selected="0">
            <x v="6"/>
          </reference>
          <reference field="9" count="1">
            <x v="611"/>
          </reference>
        </references>
      </pivotArea>
    </format>
    <format dxfId="3358">
      <pivotArea dataOnly="0" labelOnly="1" fieldPosition="0">
        <references count="6">
          <reference field="1" count="1" selected="0">
            <x v="4"/>
          </reference>
          <reference field="5" count="1" selected="0">
            <x v="0"/>
          </reference>
          <reference field="6" count="1" selected="0">
            <x v="12"/>
          </reference>
          <reference field="7" count="1" selected="0">
            <x v="68"/>
          </reference>
          <reference field="8" count="1" selected="0">
            <x v="11"/>
          </reference>
          <reference field="9" count="1">
            <x v="611"/>
          </reference>
        </references>
      </pivotArea>
    </format>
    <format dxfId="3357">
      <pivotArea dataOnly="0" labelOnly="1" fieldPosition="0">
        <references count="6">
          <reference field="1" count="1" selected="0">
            <x v="4"/>
          </reference>
          <reference field="5" count="1" selected="0">
            <x v="0"/>
          </reference>
          <reference field="6" count="1" selected="0">
            <x v="12"/>
          </reference>
          <reference field="7" count="1" selected="0">
            <x v="71"/>
          </reference>
          <reference field="8" count="1" selected="0">
            <x v="55"/>
          </reference>
          <reference field="9" count="1">
            <x v="611"/>
          </reference>
        </references>
      </pivotArea>
    </format>
    <format dxfId="3356">
      <pivotArea dataOnly="0" labelOnly="1" fieldPosition="0">
        <references count="6">
          <reference field="1" count="1" selected="0">
            <x v="4"/>
          </reference>
          <reference field="5" count="1" selected="0">
            <x v="8"/>
          </reference>
          <reference field="6" count="1" selected="0">
            <x v="37"/>
          </reference>
          <reference field="7" count="1" selected="0">
            <x v="81"/>
          </reference>
          <reference field="8" count="1" selected="0">
            <x v="1022"/>
          </reference>
          <reference field="9" count="1">
            <x v="611"/>
          </reference>
        </references>
      </pivotArea>
    </format>
    <format dxfId="3355">
      <pivotArea dataOnly="0" labelOnly="1" fieldPosition="0">
        <references count="6">
          <reference field="1" count="1" selected="0">
            <x v="4"/>
          </reference>
          <reference field="5" count="1" selected="0">
            <x v="12"/>
          </reference>
          <reference field="6" count="1" selected="0">
            <x v="1"/>
          </reference>
          <reference field="7" count="1" selected="0">
            <x v="81"/>
          </reference>
          <reference field="8" count="1" selected="0">
            <x v="213"/>
          </reference>
          <reference field="9" count="1">
            <x v="611"/>
          </reference>
        </references>
      </pivotArea>
    </format>
    <format dxfId="3354">
      <pivotArea dataOnly="0" labelOnly="1" fieldPosition="0">
        <references count="6">
          <reference field="1" count="1" selected="0">
            <x v="4"/>
          </reference>
          <reference field="5" count="1" selected="0">
            <x v="12"/>
          </reference>
          <reference field="6" count="1" selected="0">
            <x v="1"/>
          </reference>
          <reference field="7" count="1" selected="0">
            <x v="81"/>
          </reference>
          <reference field="8" count="1" selected="0">
            <x v="607"/>
          </reference>
          <reference field="9" count="1">
            <x v="611"/>
          </reference>
        </references>
      </pivotArea>
    </format>
    <format dxfId="3353">
      <pivotArea dataOnly="0" labelOnly="1" fieldPosition="0">
        <references count="6">
          <reference field="1" count="1" selected="0">
            <x v="4"/>
          </reference>
          <reference field="5" count="1" selected="0">
            <x v="27"/>
          </reference>
          <reference field="6" count="1" selected="0">
            <x v="37"/>
          </reference>
          <reference field="7" count="1" selected="0">
            <x v="81"/>
          </reference>
          <reference field="8" count="1" selected="0">
            <x v="1587"/>
          </reference>
          <reference field="9" count="1">
            <x v="611"/>
          </reference>
        </references>
      </pivotArea>
    </format>
    <format dxfId="3352">
      <pivotArea dataOnly="0" labelOnly="1" fieldPosition="0">
        <references count="6">
          <reference field="1" count="1" selected="0">
            <x v="5"/>
          </reference>
          <reference field="5" count="1" selected="0">
            <x v="0"/>
          </reference>
          <reference field="6" count="1" selected="0">
            <x v="10"/>
          </reference>
          <reference field="7" count="1" selected="0">
            <x v="82"/>
          </reference>
          <reference field="8" count="1" selected="0">
            <x v="0"/>
          </reference>
          <reference field="9" count="1">
            <x v="338"/>
          </reference>
        </references>
      </pivotArea>
    </format>
    <format dxfId="3351">
      <pivotArea dataOnly="0" labelOnly="1" fieldPosition="0">
        <references count="6">
          <reference field="1" count="1" selected="0">
            <x v="5"/>
          </reference>
          <reference field="5" count="1" selected="0">
            <x v="0"/>
          </reference>
          <reference field="6" count="1" selected="0">
            <x v="12"/>
          </reference>
          <reference field="7" count="1" selected="0">
            <x v="18"/>
          </reference>
          <reference field="8" count="1" selected="0">
            <x v="11"/>
          </reference>
          <reference field="9" count="1">
            <x v="611"/>
          </reference>
        </references>
      </pivotArea>
    </format>
    <format dxfId="3350">
      <pivotArea dataOnly="0" labelOnly="1" fieldPosition="0">
        <references count="6">
          <reference field="1" count="1" selected="0">
            <x v="5"/>
          </reference>
          <reference field="5" count="1" selected="0">
            <x v="0"/>
          </reference>
          <reference field="6" count="1" selected="0">
            <x v="12"/>
          </reference>
          <reference field="7" count="1" selected="0">
            <x v="59"/>
          </reference>
          <reference field="8" count="1" selected="0">
            <x v="6"/>
          </reference>
          <reference field="9" count="1">
            <x v="611"/>
          </reference>
        </references>
      </pivotArea>
    </format>
    <format dxfId="3349">
      <pivotArea dataOnly="0" labelOnly="1" fieldPosition="0">
        <references count="6">
          <reference field="1" count="1" selected="0">
            <x v="5"/>
          </reference>
          <reference field="5" count="1" selected="0">
            <x v="3"/>
          </reference>
          <reference field="6" count="1" selected="0">
            <x v="1"/>
          </reference>
          <reference field="7" count="1" selected="0">
            <x v="82"/>
          </reference>
          <reference field="8" count="1" selected="0">
            <x v="956"/>
          </reference>
          <reference field="9" count="1">
            <x v="611"/>
          </reference>
        </references>
      </pivotArea>
    </format>
    <format dxfId="3348">
      <pivotArea dataOnly="0" labelOnly="1" fieldPosition="0">
        <references count="6">
          <reference field="1" count="1" selected="0">
            <x v="5"/>
          </reference>
          <reference field="5" count="1" selected="0">
            <x v="3"/>
          </reference>
          <reference field="6" count="1" selected="0">
            <x v="6"/>
          </reference>
          <reference field="7" count="1" selected="0">
            <x v="82"/>
          </reference>
          <reference field="8" count="1" selected="0">
            <x v="387"/>
          </reference>
          <reference field="9" count="1">
            <x v="611"/>
          </reference>
        </references>
      </pivotArea>
    </format>
    <format dxfId="3347">
      <pivotArea dataOnly="0" labelOnly="1" fieldPosition="0">
        <references count="6">
          <reference field="1" count="1" selected="0">
            <x v="5"/>
          </reference>
          <reference field="5" count="1" selected="0">
            <x v="10"/>
          </reference>
          <reference field="6" count="1" selected="0">
            <x v="37"/>
          </reference>
          <reference field="7" count="1" selected="0">
            <x v="82"/>
          </reference>
          <reference field="8" count="1" selected="0">
            <x v="1398"/>
          </reference>
          <reference field="9" count="1">
            <x v="611"/>
          </reference>
        </references>
      </pivotArea>
    </format>
    <format dxfId="3346">
      <pivotArea dataOnly="0" labelOnly="1" fieldPosition="0">
        <references count="6">
          <reference field="1" count="1" selected="0">
            <x v="5"/>
          </reference>
          <reference field="5" count="1" selected="0">
            <x v="12"/>
          </reference>
          <reference field="6" count="1" selected="0">
            <x v="1"/>
          </reference>
          <reference field="7" count="1" selected="0">
            <x v="82"/>
          </reference>
          <reference field="8" count="1" selected="0">
            <x v="80"/>
          </reference>
          <reference field="9" count="1">
            <x v="611"/>
          </reference>
        </references>
      </pivotArea>
    </format>
    <format dxfId="3345">
      <pivotArea dataOnly="0" labelOnly="1" fieldPosition="0">
        <references count="6">
          <reference field="1" count="1" selected="0">
            <x v="5"/>
          </reference>
          <reference field="5" count="1" selected="0">
            <x v="12"/>
          </reference>
          <reference field="6" count="1" selected="0">
            <x v="1"/>
          </reference>
          <reference field="7" count="1" selected="0">
            <x v="82"/>
          </reference>
          <reference field="8" count="1" selected="0">
            <x v="213"/>
          </reference>
          <reference field="9" count="1">
            <x v="611"/>
          </reference>
        </references>
      </pivotArea>
    </format>
    <format dxfId="3344">
      <pivotArea dataOnly="0" labelOnly="1" fieldPosition="0">
        <references count="6">
          <reference field="1" count="1" selected="0">
            <x v="5"/>
          </reference>
          <reference field="5" count="1" selected="0">
            <x v="12"/>
          </reference>
          <reference field="6" count="1" selected="0">
            <x v="1"/>
          </reference>
          <reference field="7" count="1" selected="0">
            <x v="82"/>
          </reference>
          <reference field="8" count="1" selected="0">
            <x v="771"/>
          </reference>
          <reference field="9" count="1">
            <x v="611"/>
          </reference>
        </references>
      </pivotArea>
    </format>
    <format dxfId="3343">
      <pivotArea dataOnly="0" labelOnly="1" fieldPosition="0">
        <references count="6">
          <reference field="1" count="1" selected="0">
            <x v="5"/>
          </reference>
          <reference field="5" count="1" selected="0">
            <x v="19"/>
          </reference>
          <reference field="6" count="1" selected="0">
            <x v="37"/>
          </reference>
          <reference field="7" count="1" selected="0">
            <x v="82"/>
          </reference>
          <reference field="8" count="1" selected="0">
            <x v="1427"/>
          </reference>
          <reference field="9" count="1">
            <x v="611"/>
          </reference>
        </references>
      </pivotArea>
    </format>
    <format dxfId="3342">
      <pivotArea dataOnly="0" labelOnly="1" fieldPosition="0">
        <references count="6">
          <reference field="1" count="1" selected="0">
            <x v="6"/>
          </reference>
          <reference field="5" count="1" selected="0">
            <x v="0"/>
          </reference>
          <reference field="6" count="1" selected="0">
            <x v="8"/>
          </reference>
          <reference field="7" count="1" selected="0">
            <x v="84"/>
          </reference>
          <reference field="8" count="1" selected="0">
            <x v="113"/>
          </reference>
          <reference field="9" count="1">
            <x v="611"/>
          </reference>
        </references>
      </pivotArea>
    </format>
    <format dxfId="3341">
      <pivotArea dataOnly="0" labelOnly="1" fieldPosition="0">
        <references count="6">
          <reference field="1" count="1" selected="0">
            <x v="6"/>
          </reference>
          <reference field="5" count="1" selected="0">
            <x v="0"/>
          </reference>
          <reference field="6" count="1" selected="0">
            <x v="8"/>
          </reference>
          <reference field="7" count="1" selected="0">
            <x v="84"/>
          </reference>
          <reference field="8" count="1" selected="0">
            <x v="854"/>
          </reference>
          <reference field="9" count="1">
            <x v="611"/>
          </reference>
        </references>
      </pivotArea>
    </format>
    <format dxfId="3340">
      <pivotArea dataOnly="0" labelOnly="1" fieldPosition="0">
        <references count="6">
          <reference field="1" count="1" selected="0">
            <x v="6"/>
          </reference>
          <reference field="5" count="1" selected="0">
            <x v="0"/>
          </reference>
          <reference field="6" count="1" selected="0">
            <x v="9"/>
          </reference>
          <reference field="7" count="1" selected="0">
            <x v="84"/>
          </reference>
          <reference field="8" count="1" selected="0">
            <x v="387"/>
          </reference>
          <reference field="9" count="1">
            <x v="611"/>
          </reference>
        </references>
      </pivotArea>
    </format>
    <format dxfId="3339">
      <pivotArea dataOnly="0" labelOnly="1" fieldPosition="0">
        <references count="6">
          <reference field="1" count="1" selected="0">
            <x v="6"/>
          </reference>
          <reference field="5" count="1" selected="0">
            <x v="0"/>
          </reference>
          <reference field="6" count="1" selected="0">
            <x v="9"/>
          </reference>
          <reference field="7" count="1" selected="0">
            <x v="84"/>
          </reference>
          <reference field="8" count="1" selected="0">
            <x v="517"/>
          </reference>
          <reference field="9" count="1">
            <x v="611"/>
          </reference>
        </references>
      </pivotArea>
    </format>
    <format dxfId="3338">
      <pivotArea dataOnly="0" labelOnly="1" fieldPosition="0">
        <references count="6">
          <reference field="1" count="1" selected="0">
            <x v="6"/>
          </reference>
          <reference field="5" count="1" selected="0">
            <x v="0"/>
          </reference>
          <reference field="6" count="1" selected="0">
            <x v="9"/>
          </reference>
          <reference field="7" count="1" selected="0">
            <x v="84"/>
          </reference>
          <reference field="8" count="1" selected="0">
            <x v="645"/>
          </reference>
          <reference field="9" count="1">
            <x v="611"/>
          </reference>
        </references>
      </pivotArea>
    </format>
    <format dxfId="3337">
      <pivotArea dataOnly="0" labelOnly="1" fieldPosition="0">
        <references count="6">
          <reference field="1" count="1" selected="0">
            <x v="6"/>
          </reference>
          <reference field="5" count="1" selected="0">
            <x v="0"/>
          </reference>
          <reference field="6" count="1" selected="0">
            <x v="9"/>
          </reference>
          <reference field="7" count="1" selected="0">
            <x v="84"/>
          </reference>
          <reference field="8" count="1" selected="0">
            <x v="741"/>
          </reference>
          <reference field="9" count="1">
            <x v="611"/>
          </reference>
        </references>
      </pivotArea>
    </format>
    <format dxfId="3336">
      <pivotArea dataOnly="0" labelOnly="1" fieldPosition="0">
        <references count="6">
          <reference field="1" count="1" selected="0">
            <x v="6"/>
          </reference>
          <reference field="5" count="1" selected="0">
            <x v="0"/>
          </reference>
          <reference field="6" count="1" selected="0">
            <x v="12"/>
          </reference>
          <reference field="7" count="1" selected="0">
            <x v="16"/>
          </reference>
          <reference field="8" count="1" selected="0">
            <x v="258"/>
          </reference>
          <reference field="9" count="1">
            <x v="611"/>
          </reference>
        </references>
      </pivotArea>
    </format>
    <format dxfId="3335">
      <pivotArea dataOnly="0" labelOnly="1" fieldPosition="0">
        <references count="6">
          <reference field="1" count="1" selected="0">
            <x v="6"/>
          </reference>
          <reference field="5" count="1" selected="0">
            <x v="0"/>
          </reference>
          <reference field="6" count="1" selected="0">
            <x v="12"/>
          </reference>
          <reference field="7" count="1" selected="0">
            <x v="30"/>
          </reference>
          <reference field="8" count="1" selected="0">
            <x v="59"/>
          </reference>
          <reference field="9" count="1">
            <x v="611"/>
          </reference>
        </references>
      </pivotArea>
    </format>
    <format dxfId="3334">
      <pivotArea dataOnly="0" labelOnly="1" fieldPosition="0">
        <references count="6">
          <reference field="1" count="1" selected="0">
            <x v="6"/>
          </reference>
          <reference field="5" count="1" selected="0">
            <x v="0"/>
          </reference>
          <reference field="6" count="1" selected="0">
            <x v="12"/>
          </reference>
          <reference field="7" count="1" selected="0">
            <x v="48"/>
          </reference>
          <reference field="8" count="1" selected="0">
            <x v="6"/>
          </reference>
          <reference field="9" count="1">
            <x v="611"/>
          </reference>
        </references>
      </pivotArea>
    </format>
    <format dxfId="3333">
      <pivotArea dataOnly="0" labelOnly="1" fieldPosition="0">
        <references count="6">
          <reference field="1" count="1" selected="0">
            <x v="6"/>
          </reference>
          <reference field="5" count="1" selected="0">
            <x v="0"/>
          </reference>
          <reference field="6" count="1" selected="0">
            <x v="12"/>
          </reference>
          <reference field="7" count="1" selected="0">
            <x v="58"/>
          </reference>
          <reference field="8" count="1" selected="0">
            <x v="18"/>
          </reference>
          <reference field="9" count="1">
            <x v="611"/>
          </reference>
        </references>
      </pivotArea>
    </format>
    <format dxfId="3332">
      <pivotArea dataOnly="0" labelOnly="1" fieldPosition="0">
        <references count="6">
          <reference field="1" count="1" selected="0">
            <x v="6"/>
          </reference>
          <reference field="5" count="1" selected="0">
            <x v="0"/>
          </reference>
          <reference field="6" count="1" selected="0">
            <x v="14"/>
          </reference>
          <reference field="7" count="1" selected="0">
            <x v="83"/>
          </reference>
          <reference field="8" count="1" selected="0">
            <x v="546"/>
          </reference>
          <reference field="9" count="1">
            <x v="611"/>
          </reference>
        </references>
      </pivotArea>
    </format>
    <format dxfId="3331">
      <pivotArea dataOnly="0" labelOnly="1" fieldPosition="0">
        <references count="6">
          <reference field="1" count="1" selected="0">
            <x v="6"/>
          </reference>
          <reference field="5" count="1" selected="0">
            <x v="0"/>
          </reference>
          <reference field="6" count="1" selected="0">
            <x v="14"/>
          </reference>
          <reference field="7" count="1" selected="0">
            <x v="83"/>
          </reference>
          <reference field="8" count="1" selected="0">
            <x v="668"/>
          </reference>
          <reference field="9" count="1">
            <x v="611"/>
          </reference>
        </references>
      </pivotArea>
    </format>
    <format dxfId="3330">
      <pivotArea dataOnly="0" labelOnly="1" fieldPosition="0">
        <references count="6">
          <reference field="1" count="1" selected="0">
            <x v="6"/>
          </reference>
          <reference field="5" count="1" selected="0">
            <x v="0"/>
          </reference>
          <reference field="6" count="1" selected="0">
            <x v="14"/>
          </reference>
          <reference field="7" count="1" selected="0">
            <x v="83"/>
          </reference>
          <reference field="8" count="1" selected="0">
            <x v="821"/>
          </reference>
          <reference field="9" count="1">
            <x v="611"/>
          </reference>
        </references>
      </pivotArea>
    </format>
    <format dxfId="3329">
      <pivotArea dataOnly="0" labelOnly="1" fieldPosition="0">
        <references count="6">
          <reference field="1" count="1" selected="0">
            <x v="6"/>
          </reference>
          <reference field="5" count="1" selected="0">
            <x v="0"/>
          </reference>
          <reference field="6" count="1" selected="0">
            <x v="14"/>
          </reference>
          <reference field="7" count="1" selected="0">
            <x v="83"/>
          </reference>
          <reference field="8" count="1" selected="0">
            <x v="829"/>
          </reference>
          <reference field="9" count="1">
            <x v="611"/>
          </reference>
        </references>
      </pivotArea>
    </format>
    <format dxfId="3328">
      <pivotArea dataOnly="0" labelOnly="1" fieldPosition="0">
        <references count="6">
          <reference field="1" count="1" selected="0">
            <x v="6"/>
          </reference>
          <reference field="5" count="1" selected="0">
            <x v="2"/>
          </reference>
          <reference field="6" count="1" selected="0">
            <x v="14"/>
          </reference>
          <reference field="7" count="1" selected="0">
            <x v="83"/>
          </reference>
          <reference field="8" count="1" selected="0">
            <x v="1867"/>
          </reference>
          <reference field="9" count="1">
            <x v="611"/>
          </reference>
        </references>
      </pivotArea>
    </format>
    <format dxfId="3327">
      <pivotArea dataOnly="0" labelOnly="1" fieldPosition="0">
        <references count="6">
          <reference field="1" count="1" selected="0">
            <x v="6"/>
          </reference>
          <reference field="5" count="1" selected="0">
            <x v="3"/>
          </reference>
          <reference field="6" count="1" selected="0">
            <x v="14"/>
          </reference>
          <reference field="7" count="1" selected="0">
            <x v="83"/>
          </reference>
          <reference field="8" count="1" selected="0">
            <x v="1313"/>
          </reference>
          <reference field="9" count="1">
            <x v="611"/>
          </reference>
        </references>
      </pivotArea>
    </format>
    <format dxfId="3326">
      <pivotArea dataOnly="0" labelOnly="1" fieldPosition="0">
        <references count="6">
          <reference field="1" count="1" selected="0">
            <x v="6"/>
          </reference>
          <reference field="5" count="1" selected="0">
            <x v="3"/>
          </reference>
          <reference field="6" count="1" selected="0">
            <x v="37"/>
          </reference>
          <reference field="7" count="1" selected="0">
            <x v="84"/>
          </reference>
          <reference field="8" count="1" selected="0">
            <x v="410"/>
          </reference>
          <reference field="9" count="1">
            <x v="611"/>
          </reference>
        </references>
      </pivotArea>
    </format>
    <format dxfId="3325">
      <pivotArea dataOnly="0" labelOnly="1" fieldPosition="0">
        <references count="6">
          <reference field="1" count="1" selected="0">
            <x v="6"/>
          </reference>
          <reference field="5" count="1" selected="0">
            <x v="12"/>
          </reference>
          <reference field="6" count="1" selected="0">
            <x v="1"/>
          </reference>
          <reference field="7" count="1" selected="0">
            <x v="84"/>
          </reference>
          <reference field="8" count="1" selected="0">
            <x v="80"/>
          </reference>
          <reference field="9" count="1">
            <x v="611"/>
          </reference>
        </references>
      </pivotArea>
    </format>
    <format dxfId="3324">
      <pivotArea dataOnly="0" labelOnly="1" fieldPosition="0">
        <references count="6">
          <reference field="1" count="1" selected="0">
            <x v="6"/>
          </reference>
          <reference field="5" count="1" selected="0">
            <x v="12"/>
          </reference>
          <reference field="6" count="1" selected="0">
            <x v="1"/>
          </reference>
          <reference field="7" count="1" selected="0">
            <x v="84"/>
          </reference>
          <reference field="8" count="1" selected="0">
            <x v="352"/>
          </reference>
          <reference field="9" count="1">
            <x v="611"/>
          </reference>
        </references>
      </pivotArea>
    </format>
    <format dxfId="3323">
      <pivotArea dataOnly="0" labelOnly="1" fieldPosition="0">
        <references count="6">
          <reference field="1" count="1" selected="0">
            <x v="6"/>
          </reference>
          <reference field="5" count="1" selected="0">
            <x v="12"/>
          </reference>
          <reference field="6" count="1" selected="0">
            <x v="1"/>
          </reference>
          <reference field="7" count="1" selected="0">
            <x v="84"/>
          </reference>
          <reference field="8" count="1" selected="0">
            <x v="771"/>
          </reference>
          <reference field="9" count="1">
            <x v="611"/>
          </reference>
        </references>
      </pivotArea>
    </format>
    <format dxfId="3322">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4"/>
          </reference>
          <reference field="9" count="1">
            <x v="611"/>
          </reference>
        </references>
      </pivotArea>
    </format>
    <format dxfId="3321">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242"/>
          </reference>
          <reference field="9" count="1">
            <x v="611"/>
          </reference>
        </references>
      </pivotArea>
    </format>
    <format dxfId="3320">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254"/>
          </reference>
          <reference field="9" count="1">
            <x v="611"/>
          </reference>
        </references>
      </pivotArea>
    </format>
    <format dxfId="3319">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417"/>
          </reference>
          <reference field="9" count="1">
            <x v="611"/>
          </reference>
        </references>
      </pivotArea>
    </format>
    <format dxfId="3318">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548"/>
          </reference>
          <reference field="9" count="1">
            <x v="611"/>
          </reference>
        </references>
      </pivotArea>
    </format>
    <format dxfId="3317">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568"/>
          </reference>
          <reference field="9" count="1">
            <x v="611"/>
          </reference>
        </references>
      </pivotArea>
    </format>
    <format dxfId="3316">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949"/>
          </reference>
          <reference field="9" count="1">
            <x v="611"/>
          </reference>
        </references>
      </pivotArea>
    </format>
    <format dxfId="3315">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298"/>
          </reference>
          <reference field="9" count="1">
            <x v="611"/>
          </reference>
        </references>
      </pivotArea>
    </format>
    <format dxfId="3314">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440"/>
          </reference>
          <reference field="9" count="1">
            <x v="611"/>
          </reference>
        </references>
      </pivotArea>
    </format>
    <format dxfId="3313">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499"/>
          </reference>
          <reference field="9" count="1">
            <x v="611"/>
          </reference>
        </references>
      </pivotArea>
    </format>
    <format dxfId="3312">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567"/>
          </reference>
          <reference field="9" count="1">
            <x v="611"/>
          </reference>
        </references>
      </pivotArea>
    </format>
    <format dxfId="3311">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569"/>
          </reference>
          <reference field="9" count="1">
            <x v="611"/>
          </reference>
        </references>
      </pivotArea>
    </format>
    <format dxfId="3310">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18"/>
          </reference>
          <reference field="9" count="1">
            <x v="611"/>
          </reference>
        </references>
      </pivotArea>
    </format>
    <format dxfId="3309">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26"/>
          </reference>
          <reference field="9" count="1">
            <x v="611"/>
          </reference>
        </references>
      </pivotArea>
    </format>
    <format dxfId="3308">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39"/>
          </reference>
          <reference field="9" count="1">
            <x v="611"/>
          </reference>
        </references>
      </pivotArea>
    </format>
    <format dxfId="3307">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55"/>
          </reference>
          <reference field="9" count="1">
            <x v="611"/>
          </reference>
        </references>
      </pivotArea>
    </format>
    <format dxfId="3306">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71"/>
          </reference>
          <reference field="9" count="1">
            <x v="611"/>
          </reference>
        </references>
      </pivotArea>
    </format>
    <format dxfId="3305">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81"/>
          </reference>
          <reference field="9" count="1">
            <x v="611"/>
          </reference>
        </references>
      </pivotArea>
    </format>
    <format dxfId="3304">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88"/>
          </reference>
          <reference field="9" count="1">
            <x v="611"/>
          </reference>
        </references>
      </pivotArea>
    </format>
    <format dxfId="3303">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693"/>
          </reference>
          <reference field="9" count="1">
            <x v="611"/>
          </reference>
        </references>
      </pivotArea>
    </format>
    <format dxfId="3302">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714"/>
          </reference>
          <reference field="9" count="1">
            <x v="611"/>
          </reference>
        </references>
      </pivotArea>
    </format>
    <format dxfId="3301">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745"/>
          </reference>
          <reference field="9" count="1">
            <x v="611"/>
          </reference>
        </references>
      </pivotArea>
    </format>
    <format dxfId="3300">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748"/>
          </reference>
          <reference field="9" count="1">
            <x v="611"/>
          </reference>
        </references>
      </pivotArea>
    </format>
    <format dxfId="3299">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757"/>
          </reference>
          <reference field="9" count="1">
            <x v="611"/>
          </reference>
        </references>
      </pivotArea>
    </format>
    <format dxfId="3298">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794"/>
          </reference>
          <reference field="9" count="1">
            <x v="611"/>
          </reference>
        </references>
      </pivotArea>
    </format>
    <format dxfId="3297">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829"/>
          </reference>
          <reference field="9" count="1">
            <x v="611"/>
          </reference>
        </references>
      </pivotArea>
    </format>
    <format dxfId="3296">
      <pivotArea dataOnly="0" labelOnly="1" fieldPosition="0">
        <references count="6">
          <reference field="1" count="1" selected="0">
            <x v="6"/>
          </reference>
          <reference field="5" count="1" selected="0">
            <x v="12"/>
          </reference>
          <reference field="6" count="1" selected="0">
            <x v="14"/>
          </reference>
          <reference field="7" count="1" selected="0">
            <x v="83"/>
          </reference>
          <reference field="8" count="1" selected="0">
            <x v="1841"/>
          </reference>
          <reference field="9" count="1">
            <x v="611"/>
          </reference>
        </references>
      </pivotArea>
    </format>
    <format dxfId="3295">
      <pivotArea dataOnly="0" labelOnly="1" fieldPosition="0">
        <references count="6">
          <reference field="1" count="1" selected="0">
            <x v="6"/>
          </reference>
          <reference field="5" count="1" selected="0">
            <x v="15"/>
          </reference>
          <reference field="6" count="1" selected="0">
            <x v="7"/>
          </reference>
          <reference field="7" count="1" selected="0">
            <x v="84"/>
          </reference>
          <reference field="8" count="1" selected="0">
            <x v="882"/>
          </reference>
          <reference field="9" count="1">
            <x v="611"/>
          </reference>
        </references>
      </pivotArea>
    </format>
    <format dxfId="3294">
      <pivotArea dataOnly="0" labelOnly="1" fieldPosition="0">
        <references count="6">
          <reference field="1" count="1" selected="0">
            <x v="6"/>
          </reference>
          <reference field="5" count="1" selected="0">
            <x v="17"/>
          </reference>
          <reference field="6" count="1" selected="0">
            <x v="14"/>
          </reference>
          <reference field="7" count="1" selected="0">
            <x v="83"/>
          </reference>
          <reference field="8" count="1" selected="0">
            <x v="1471"/>
          </reference>
          <reference field="9" count="1">
            <x v="611"/>
          </reference>
        </references>
      </pivotArea>
    </format>
    <format dxfId="3293">
      <pivotArea dataOnly="0" labelOnly="1" fieldPosition="0">
        <references count="6">
          <reference field="1" count="1" selected="0">
            <x v="6"/>
          </reference>
          <reference field="5" count="1" selected="0">
            <x v="21"/>
          </reference>
          <reference field="6" count="1" selected="0">
            <x v="14"/>
          </reference>
          <reference field="7" count="1" selected="0">
            <x v="83"/>
          </reference>
          <reference field="8" count="1" selected="0">
            <x v="1185"/>
          </reference>
          <reference field="9" count="1">
            <x v="611"/>
          </reference>
        </references>
      </pivotArea>
    </format>
    <format dxfId="3292">
      <pivotArea dataOnly="0" labelOnly="1" fieldPosition="0">
        <references count="6">
          <reference field="1" count="1" selected="0">
            <x v="6"/>
          </reference>
          <reference field="5" count="1" selected="0">
            <x v="21"/>
          </reference>
          <reference field="6" count="1" selected="0">
            <x v="37"/>
          </reference>
          <reference field="7" count="1" selected="0">
            <x v="84"/>
          </reference>
          <reference field="8" count="1" selected="0">
            <x v="1068"/>
          </reference>
          <reference field="9" count="1">
            <x v="611"/>
          </reference>
        </references>
      </pivotArea>
    </format>
    <format dxfId="3291">
      <pivotArea dataOnly="0" labelOnly="1" fieldPosition="0">
        <references count="6">
          <reference field="1" count="1" selected="0">
            <x v="6"/>
          </reference>
          <reference field="5" count="1" selected="0">
            <x v="23"/>
          </reference>
          <reference field="6" count="1" selected="0">
            <x v="14"/>
          </reference>
          <reference field="7" count="1" selected="0">
            <x v="83"/>
          </reference>
          <reference field="8" count="1" selected="0">
            <x v="1728"/>
          </reference>
          <reference field="9" count="1">
            <x v="611"/>
          </reference>
        </references>
      </pivotArea>
    </format>
    <format dxfId="3290">
      <pivotArea dataOnly="0" labelOnly="1" fieldPosition="0">
        <references count="6">
          <reference field="1" count="1" selected="0">
            <x v="6"/>
          </reference>
          <reference field="5" count="1" selected="0">
            <x v="24"/>
          </reference>
          <reference field="6" count="1" selected="0">
            <x v="14"/>
          </reference>
          <reference field="7" count="1" selected="0">
            <x v="83"/>
          </reference>
          <reference field="8" count="1" selected="0">
            <x v="885"/>
          </reference>
          <reference field="9" count="1">
            <x v="611"/>
          </reference>
        </references>
      </pivotArea>
    </format>
    <format dxfId="3289">
      <pivotArea dataOnly="0" labelOnly="1" fieldPosition="0">
        <references count="6">
          <reference field="1" count="1" selected="0">
            <x v="6"/>
          </reference>
          <reference field="5" count="1" selected="0">
            <x v="27"/>
          </reference>
          <reference field="6" count="1" selected="0">
            <x v="14"/>
          </reference>
          <reference field="7" count="1" selected="0">
            <x v="83"/>
          </reference>
          <reference field="8" count="1" selected="0">
            <x v="599"/>
          </reference>
          <reference field="9" count="1">
            <x v="611"/>
          </reference>
        </references>
      </pivotArea>
    </format>
    <format dxfId="3288">
      <pivotArea dataOnly="0" labelOnly="1" fieldPosition="0">
        <references count="6">
          <reference field="1" count="1" selected="0">
            <x v="6"/>
          </reference>
          <reference field="5" count="1" selected="0">
            <x v="35"/>
          </reference>
          <reference field="6" count="1" selected="0">
            <x v="1"/>
          </reference>
          <reference field="7" count="1" selected="0">
            <x v="84"/>
          </reference>
          <reference field="8" count="1" selected="0">
            <x v="80"/>
          </reference>
          <reference field="9" count="1">
            <x v="611"/>
          </reference>
        </references>
      </pivotArea>
    </format>
    <format dxfId="3287">
      <pivotArea dataOnly="0" labelOnly="1" fieldPosition="0">
        <references count="6">
          <reference field="1" count="1" selected="0">
            <x v="6"/>
          </reference>
          <reference field="5" count="1" selected="0">
            <x v="35"/>
          </reference>
          <reference field="6" count="1" selected="0">
            <x v="1"/>
          </reference>
          <reference field="7" count="1" selected="0">
            <x v="84"/>
          </reference>
          <reference field="8" count="1" selected="0">
            <x v="213"/>
          </reference>
          <reference field="9" count="1">
            <x v="611"/>
          </reference>
        </references>
      </pivotArea>
    </format>
    <format dxfId="3286">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154"/>
          </reference>
          <reference field="9" count="1">
            <x v="611"/>
          </reference>
        </references>
      </pivotArea>
    </format>
    <format dxfId="3285">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259"/>
          </reference>
          <reference field="9" count="1">
            <x v="611"/>
          </reference>
        </references>
      </pivotArea>
    </format>
    <format dxfId="3284">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264"/>
          </reference>
          <reference field="9" count="1">
            <x v="611"/>
          </reference>
        </references>
      </pivotArea>
    </format>
    <format dxfId="3283">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478"/>
          </reference>
          <reference field="9" count="1">
            <x v="611"/>
          </reference>
        </references>
      </pivotArea>
    </format>
    <format dxfId="3282">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525"/>
          </reference>
          <reference field="9" count="1">
            <x v="611"/>
          </reference>
        </references>
      </pivotArea>
    </format>
    <format dxfId="3281">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527"/>
          </reference>
          <reference field="9" count="1">
            <x v="611"/>
          </reference>
        </references>
      </pivotArea>
    </format>
    <format dxfId="3280">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618"/>
          </reference>
          <reference field="9" count="1">
            <x v="611"/>
          </reference>
        </references>
      </pivotArea>
    </format>
    <format dxfId="3279">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730"/>
          </reference>
          <reference field="9" count="1">
            <x v="611"/>
          </reference>
        </references>
      </pivotArea>
    </format>
    <format dxfId="3278">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746"/>
          </reference>
          <reference field="9" count="1">
            <x v="611"/>
          </reference>
        </references>
      </pivotArea>
    </format>
    <format dxfId="3277">
      <pivotArea dataOnly="0" labelOnly="1" fieldPosition="0">
        <references count="6">
          <reference field="1" count="1" selected="0">
            <x v="6"/>
          </reference>
          <reference field="5" count="1" selected="0">
            <x v="35"/>
          </reference>
          <reference field="6" count="1" selected="0">
            <x v="14"/>
          </reference>
          <reference field="7" count="1" selected="0">
            <x v="83"/>
          </reference>
          <reference field="8" count="1" selected="0">
            <x v="1131"/>
          </reference>
          <reference field="9" count="1">
            <x v="611"/>
          </reference>
        </references>
      </pivotArea>
    </format>
    <format dxfId="3276">
      <pivotArea dataOnly="0" labelOnly="1" fieldPosition="0">
        <references count="6">
          <reference field="1" count="1" selected="0">
            <x v="7"/>
          </reference>
          <reference field="5" count="1" selected="0">
            <x v="0"/>
          </reference>
          <reference field="6" count="1" selected="0">
            <x v="1"/>
          </reference>
          <reference field="7" count="1" selected="0">
            <x v="85"/>
          </reference>
          <reference field="8" count="1" selected="0">
            <x v="80"/>
          </reference>
          <reference field="9" count="1">
            <x v="611"/>
          </reference>
        </references>
      </pivotArea>
    </format>
    <format dxfId="3275">
      <pivotArea dataOnly="0" labelOnly="1" fieldPosition="0">
        <references count="6">
          <reference field="1" count="1" selected="0">
            <x v="7"/>
          </reference>
          <reference field="5" count="1" selected="0">
            <x v="0"/>
          </reference>
          <reference field="6" count="1" selected="0">
            <x v="12"/>
          </reference>
          <reference field="7" count="1" selected="0">
            <x v="16"/>
          </reference>
          <reference field="8" count="1" selected="0">
            <x v="258"/>
          </reference>
          <reference field="9" count="1">
            <x v="611"/>
          </reference>
        </references>
      </pivotArea>
    </format>
    <format dxfId="3274">
      <pivotArea dataOnly="0" labelOnly="1" fieldPosition="0">
        <references count="6">
          <reference field="1" count="1" selected="0">
            <x v="7"/>
          </reference>
          <reference field="5" count="1" selected="0">
            <x v="0"/>
          </reference>
          <reference field="6" count="1" selected="0">
            <x v="12"/>
          </reference>
          <reference field="7" count="1" selected="0">
            <x v="18"/>
          </reference>
          <reference field="8" count="1" selected="0">
            <x v="18"/>
          </reference>
          <reference field="9" count="1">
            <x v="611"/>
          </reference>
        </references>
      </pivotArea>
    </format>
    <format dxfId="3273">
      <pivotArea dataOnly="0" labelOnly="1" fieldPosition="0">
        <references count="6">
          <reference field="1" count="1" selected="0">
            <x v="7"/>
          </reference>
          <reference field="5" count="1" selected="0">
            <x v="6"/>
          </reference>
          <reference field="6" count="1" selected="0">
            <x v="37"/>
          </reference>
          <reference field="7" count="1" selected="0">
            <x v="85"/>
          </reference>
          <reference field="8" count="1" selected="0">
            <x v="1234"/>
          </reference>
          <reference field="9" count="1">
            <x v="611"/>
          </reference>
        </references>
      </pivotArea>
    </format>
    <format dxfId="3272">
      <pivotArea dataOnly="0" labelOnly="1" fieldPosition="0">
        <references count="6">
          <reference field="1" count="1" selected="0">
            <x v="7"/>
          </reference>
          <reference field="5" count="1" selected="0">
            <x v="9"/>
          </reference>
          <reference field="6" count="1" selected="0">
            <x v="1"/>
          </reference>
          <reference field="7" count="1" selected="0">
            <x v="85"/>
          </reference>
          <reference field="8" count="1" selected="0">
            <x v="1019"/>
          </reference>
          <reference field="9" count="1">
            <x v="611"/>
          </reference>
        </references>
      </pivotArea>
    </format>
    <format dxfId="3271">
      <pivotArea dataOnly="0" labelOnly="1" fieldPosition="0">
        <references count="6">
          <reference field="1" count="1" selected="0">
            <x v="7"/>
          </reference>
          <reference field="5" count="1" selected="0">
            <x v="12"/>
          </reference>
          <reference field="6" count="1" selected="0">
            <x v="1"/>
          </reference>
          <reference field="7" count="1" selected="0">
            <x v="85"/>
          </reference>
          <reference field="8" count="1" selected="0">
            <x v="80"/>
          </reference>
          <reference field="9" count="1">
            <x v="611"/>
          </reference>
        </references>
      </pivotArea>
    </format>
    <format dxfId="3270">
      <pivotArea dataOnly="0" labelOnly="1" fieldPosition="0">
        <references count="6">
          <reference field="1" count="1" selected="0">
            <x v="7"/>
          </reference>
          <reference field="5" count="1" selected="0">
            <x v="12"/>
          </reference>
          <reference field="6" count="1" selected="0">
            <x v="1"/>
          </reference>
          <reference field="7" count="1" selected="0">
            <x v="85"/>
          </reference>
          <reference field="8" count="1" selected="0">
            <x v="213"/>
          </reference>
          <reference field="9" count="1">
            <x v="611"/>
          </reference>
        </references>
      </pivotArea>
    </format>
    <format dxfId="3269">
      <pivotArea dataOnly="0" labelOnly="1" fieldPosition="0">
        <references count="6">
          <reference field="1" count="1" selected="0">
            <x v="7"/>
          </reference>
          <reference field="5" count="1" selected="0">
            <x v="12"/>
          </reference>
          <reference field="6" count="1" selected="0">
            <x v="37"/>
          </reference>
          <reference field="7" count="1" selected="0">
            <x v="85"/>
          </reference>
          <reference field="8" count="1" selected="0">
            <x v="800"/>
          </reference>
          <reference field="9" count="1">
            <x v="611"/>
          </reference>
        </references>
      </pivotArea>
    </format>
    <format dxfId="3268">
      <pivotArea dataOnly="0" labelOnly="1" fieldPosition="0">
        <references count="6">
          <reference field="1" count="1" selected="0">
            <x v="7"/>
          </reference>
          <reference field="5" count="1" selected="0">
            <x v="15"/>
          </reference>
          <reference field="6" count="1" selected="0">
            <x v="37"/>
          </reference>
          <reference field="7" count="1" selected="0">
            <x v="85"/>
          </reference>
          <reference field="8" count="1" selected="0">
            <x v="456"/>
          </reference>
          <reference field="9" count="1">
            <x v="611"/>
          </reference>
        </references>
      </pivotArea>
    </format>
    <format dxfId="3267">
      <pivotArea dataOnly="0" labelOnly="1" fieldPosition="0">
        <references count="6">
          <reference field="1" count="1" selected="0">
            <x v="7"/>
          </reference>
          <reference field="5" count="1" selected="0">
            <x v="19"/>
          </reference>
          <reference field="6" count="1" selected="0">
            <x v="37"/>
          </reference>
          <reference field="7" count="1" selected="0">
            <x v="85"/>
          </reference>
          <reference field="8" count="1" selected="0">
            <x v="137"/>
          </reference>
          <reference field="9" count="1">
            <x v="611"/>
          </reference>
        </references>
      </pivotArea>
    </format>
    <format dxfId="3266">
      <pivotArea dataOnly="0" labelOnly="1" fieldPosition="0">
        <references count="6">
          <reference field="1" count="1" selected="0">
            <x v="7"/>
          </reference>
          <reference field="5" count="1" selected="0">
            <x v="21"/>
          </reference>
          <reference field="6" count="1" selected="0">
            <x v="37"/>
          </reference>
          <reference field="7" count="1" selected="0">
            <x v="85"/>
          </reference>
          <reference field="8" count="1" selected="0">
            <x v="352"/>
          </reference>
          <reference field="9" count="1">
            <x v="611"/>
          </reference>
        </references>
      </pivotArea>
    </format>
    <format dxfId="3265">
      <pivotArea dataOnly="0" labelOnly="1" fieldPosition="0">
        <references count="6">
          <reference field="1" count="1" selected="0">
            <x v="7"/>
          </reference>
          <reference field="5" count="1" selected="0">
            <x v="26"/>
          </reference>
          <reference field="6" count="1" selected="0">
            <x v="38"/>
          </reference>
          <reference field="7" count="1" selected="0">
            <x v="85"/>
          </reference>
          <reference field="8" count="1" selected="0">
            <x v="371"/>
          </reference>
          <reference field="9" count="1">
            <x v="611"/>
          </reference>
        </references>
      </pivotArea>
    </format>
    <format dxfId="3264">
      <pivotArea dataOnly="0" labelOnly="1" fieldPosition="0">
        <references count="6">
          <reference field="1" count="1" selected="0">
            <x v="7"/>
          </reference>
          <reference field="5" count="1" selected="0">
            <x v="35"/>
          </reference>
          <reference field="6" count="1" selected="0">
            <x v="1"/>
          </reference>
          <reference field="7" count="1" selected="0">
            <x v="85"/>
          </reference>
          <reference field="8" count="1" selected="0">
            <x v="80"/>
          </reference>
          <reference field="9" count="1">
            <x v="611"/>
          </reference>
        </references>
      </pivotArea>
    </format>
    <format dxfId="3263">
      <pivotArea dataOnly="0" labelOnly="1" fieldPosition="0">
        <references count="6">
          <reference field="1" count="1" selected="0">
            <x v="7"/>
          </reference>
          <reference field="5" count="1" selected="0">
            <x v="35"/>
          </reference>
          <reference field="6" count="1" selected="0">
            <x v="1"/>
          </reference>
          <reference field="7" count="1" selected="0">
            <x v="85"/>
          </reference>
          <reference field="8" count="1" selected="0">
            <x v="213"/>
          </reference>
          <reference field="9" count="1">
            <x v="611"/>
          </reference>
        </references>
      </pivotArea>
    </format>
    <format dxfId="3262">
      <pivotArea dataOnly="0" labelOnly="1" fieldPosition="0">
        <references count="6">
          <reference field="1" count="1" selected="0">
            <x v="7"/>
          </reference>
          <reference field="5" count="1" selected="0">
            <x v="35"/>
          </reference>
          <reference field="6" count="1" selected="0">
            <x v="1"/>
          </reference>
          <reference field="7" count="1" selected="0">
            <x v="85"/>
          </reference>
          <reference field="8" count="1" selected="0">
            <x v="352"/>
          </reference>
          <reference field="9" count="1">
            <x v="611"/>
          </reference>
        </references>
      </pivotArea>
    </format>
    <format dxfId="3261">
      <pivotArea dataOnly="0" labelOnly="1" fieldPosition="0">
        <references count="6">
          <reference field="1" count="1" selected="0">
            <x v="8"/>
          </reference>
          <reference field="5" count="1" selected="0">
            <x v="0"/>
          </reference>
          <reference field="6" count="1" selected="0">
            <x v="8"/>
          </reference>
          <reference field="7" count="1" selected="0">
            <x v="86"/>
          </reference>
          <reference field="8" count="1" selected="0">
            <x v="585"/>
          </reference>
          <reference field="9" count="1">
            <x v="611"/>
          </reference>
        </references>
      </pivotArea>
    </format>
    <format dxfId="3260">
      <pivotArea dataOnly="0" labelOnly="1" fieldPosition="0">
        <references count="6">
          <reference field="1" count="1" selected="0">
            <x v="8"/>
          </reference>
          <reference field="5" count="1" selected="0">
            <x v="0"/>
          </reference>
          <reference field="6" count="1" selected="0">
            <x v="9"/>
          </reference>
          <reference field="7" count="1" selected="0">
            <x v="86"/>
          </reference>
          <reference field="8" count="1" selected="0">
            <x v="559"/>
          </reference>
          <reference field="9" count="1">
            <x v="611"/>
          </reference>
        </references>
      </pivotArea>
    </format>
    <format dxfId="3259">
      <pivotArea dataOnly="0" labelOnly="1" fieldPosition="0">
        <references count="6">
          <reference field="1" count="1" selected="0">
            <x v="8"/>
          </reference>
          <reference field="5" count="1" selected="0">
            <x v="0"/>
          </reference>
          <reference field="6" count="1" selected="0">
            <x v="12"/>
          </reference>
          <reference field="7" count="1" selected="0">
            <x v="4"/>
          </reference>
          <reference field="8" count="1" selected="0">
            <x v="197"/>
          </reference>
          <reference field="9" count="1">
            <x v="611"/>
          </reference>
        </references>
      </pivotArea>
    </format>
    <format dxfId="3258">
      <pivotArea dataOnly="0" labelOnly="1" fieldPosition="0">
        <references count="6">
          <reference field="1" count="1" selected="0">
            <x v="8"/>
          </reference>
          <reference field="5" count="1" selected="0">
            <x v="0"/>
          </reference>
          <reference field="6" count="1" selected="0">
            <x v="12"/>
          </reference>
          <reference field="7" count="1" selected="0">
            <x v="48"/>
          </reference>
          <reference field="8" count="1" selected="0">
            <x v="6"/>
          </reference>
          <reference field="9" count="1">
            <x v="611"/>
          </reference>
        </references>
      </pivotArea>
    </format>
    <format dxfId="3257">
      <pivotArea dataOnly="0" labelOnly="1" fieldPosition="0">
        <references count="6">
          <reference field="1" count="1" selected="0">
            <x v="8"/>
          </reference>
          <reference field="5" count="1" selected="0">
            <x v="3"/>
          </reference>
          <reference field="6" count="1" selected="0">
            <x v="38"/>
          </reference>
          <reference field="7" count="1" selected="0">
            <x v="86"/>
          </reference>
          <reference field="8" count="1" selected="0">
            <x v="278"/>
          </reference>
          <reference field="9" count="1">
            <x v="611"/>
          </reference>
        </references>
      </pivotArea>
    </format>
    <format dxfId="3256">
      <pivotArea dataOnly="0" labelOnly="1" fieldPosition="0">
        <references count="6">
          <reference field="1" count="1" selected="0">
            <x v="8"/>
          </reference>
          <reference field="5" count="1" selected="0">
            <x v="5"/>
          </reference>
          <reference field="6" count="1" selected="0">
            <x v="37"/>
          </reference>
          <reference field="7" count="1" selected="0">
            <x v="86"/>
          </reference>
          <reference field="8" count="1" selected="0">
            <x v="834"/>
          </reference>
          <reference field="9" count="1">
            <x v="611"/>
          </reference>
        </references>
      </pivotArea>
    </format>
    <format dxfId="3255">
      <pivotArea dataOnly="0" labelOnly="1" fieldPosition="0">
        <references count="6">
          <reference field="1" count="1" selected="0">
            <x v="8"/>
          </reference>
          <reference field="5" count="1" selected="0">
            <x v="5"/>
          </reference>
          <reference field="6" count="1" selected="0">
            <x v="38"/>
          </reference>
          <reference field="7" count="1" selected="0">
            <x v="86"/>
          </reference>
          <reference field="8" count="1" selected="0">
            <x v="1723"/>
          </reference>
          <reference field="9" count="1">
            <x v="611"/>
          </reference>
        </references>
      </pivotArea>
    </format>
    <format dxfId="3254">
      <pivotArea dataOnly="0" labelOnly="1" fieldPosition="0">
        <references count="6">
          <reference field="1" count="1" selected="0">
            <x v="8"/>
          </reference>
          <reference field="5" count="1" selected="0">
            <x v="9"/>
          </reference>
          <reference field="6" count="1" selected="0">
            <x v="8"/>
          </reference>
          <reference field="7" count="1" selected="0">
            <x v="86"/>
          </reference>
          <reference field="8" count="1" selected="0">
            <x v="1035"/>
          </reference>
          <reference field="9" count="1">
            <x v="611"/>
          </reference>
        </references>
      </pivotArea>
    </format>
    <format dxfId="3253">
      <pivotArea dataOnly="0" labelOnly="1" fieldPosition="0">
        <references count="6">
          <reference field="1" count="1" selected="0">
            <x v="8"/>
          </reference>
          <reference field="5" count="1" selected="0">
            <x v="12"/>
          </reference>
          <reference field="6" count="1" selected="0">
            <x v="1"/>
          </reference>
          <reference field="7" count="1" selected="0">
            <x v="86"/>
          </reference>
          <reference field="8" count="1" selected="0">
            <x v="80"/>
          </reference>
          <reference field="9" count="1">
            <x v="611"/>
          </reference>
        </references>
      </pivotArea>
    </format>
    <format dxfId="3252">
      <pivotArea dataOnly="0" labelOnly="1" fieldPosition="0">
        <references count="6">
          <reference field="1" count="1" selected="0">
            <x v="8"/>
          </reference>
          <reference field="5" count="1" selected="0">
            <x v="12"/>
          </reference>
          <reference field="6" count="1" selected="0">
            <x v="1"/>
          </reference>
          <reference field="7" count="1" selected="0">
            <x v="86"/>
          </reference>
          <reference field="8" count="1" selected="0">
            <x v="352"/>
          </reference>
          <reference field="9" count="1">
            <x v="611"/>
          </reference>
        </references>
      </pivotArea>
    </format>
    <format dxfId="3251">
      <pivotArea dataOnly="0" labelOnly="1" fieldPosition="0">
        <references count="6">
          <reference field="1" count="1" selected="0">
            <x v="8"/>
          </reference>
          <reference field="5" count="1" selected="0">
            <x v="12"/>
          </reference>
          <reference field="6" count="1" selected="0">
            <x v="1"/>
          </reference>
          <reference field="7" count="1" selected="0">
            <x v="86"/>
          </reference>
          <reference field="8" count="1" selected="0">
            <x v="500"/>
          </reference>
          <reference field="9" count="1">
            <x v="611"/>
          </reference>
        </references>
      </pivotArea>
    </format>
    <format dxfId="3250">
      <pivotArea dataOnly="0" labelOnly="1" fieldPosition="0">
        <references count="6">
          <reference field="1" count="1" selected="0">
            <x v="8"/>
          </reference>
          <reference field="5" count="1" selected="0">
            <x v="23"/>
          </reference>
          <reference field="6" count="1" selected="0">
            <x v="37"/>
          </reference>
          <reference field="7" count="1" selected="0">
            <x v="86"/>
          </reference>
          <reference field="8" count="1" selected="0">
            <x v="653"/>
          </reference>
          <reference field="9" count="1">
            <x v="611"/>
          </reference>
        </references>
      </pivotArea>
    </format>
    <format dxfId="3249">
      <pivotArea dataOnly="0" labelOnly="1" fieldPosition="0">
        <references count="6">
          <reference field="1" count="1" selected="0">
            <x v="9"/>
          </reference>
          <reference field="5" count="1" selected="0">
            <x v="0"/>
          </reference>
          <reference field="6" count="1" selected="0">
            <x v="37"/>
          </reference>
          <reference field="7" count="1" selected="0">
            <x v="87"/>
          </reference>
          <reference field="8" count="1" selected="0">
            <x v="744"/>
          </reference>
          <reference field="9" count="1">
            <x v="611"/>
          </reference>
        </references>
      </pivotArea>
    </format>
    <format dxfId="3248">
      <pivotArea dataOnly="0" labelOnly="1" fieldPosition="0">
        <references count="6">
          <reference field="1" count="1" selected="0">
            <x v="9"/>
          </reference>
          <reference field="5" count="1" selected="0">
            <x v="8"/>
          </reference>
          <reference field="6" count="1" selected="0">
            <x v="37"/>
          </reference>
          <reference field="7" count="1" selected="0">
            <x v="87"/>
          </reference>
          <reference field="8" count="1" selected="0">
            <x v="1341"/>
          </reference>
          <reference field="9" count="1">
            <x v="611"/>
          </reference>
        </references>
      </pivotArea>
    </format>
    <format dxfId="3247">
      <pivotArea dataOnly="0" labelOnly="1" fieldPosition="0">
        <references count="6">
          <reference field="1" count="1" selected="0">
            <x v="9"/>
          </reference>
          <reference field="5" count="1" selected="0">
            <x v="12"/>
          </reference>
          <reference field="6" count="1" selected="0">
            <x v="1"/>
          </reference>
          <reference field="7" count="1" selected="0">
            <x v="87"/>
          </reference>
          <reference field="8" count="1" selected="0">
            <x v="80"/>
          </reference>
          <reference field="9" count="1">
            <x v="611"/>
          </reference>
        </references>
      </pivotArea>
    </format>
    <format dxfId="3246">
      <pivotArea dataOnly="0" labelOnly="1" fieldPosition="0">
        <references count="6">
          <reference field="1" count="1" selected="0">
            <x v="9"/>
          </reference>
          <reference field="5" count="1" selected="0">
            <x v="12"/>
          </reference>
          <reference field="6" count="1" selected="0">
            <x v="1"/>
          </reference>
          <reference field="7" count="1" selected="0">
            <x v="87"/>
          </reference>
          <reference field="8" count="1" selected="0">
            <x v="213"/>
          </reference>
          <reference field="9" count="1">
            <x v="611"/>
          </reference>
        </references>
      </pivotArea>
    </format>
    <format dxfId="3245">
      <pivotArea dataOnly="0" labelOnly="1" fieldPosition="0">
        <references count="6">
          <reference field="1" count="1" selected="0">
            <x v="9"/>
          </reference>
          <reference field="5" count="1" selected="0">
            <x v="12"/>
          </reference>
          <reference field="6" count="1" selected="0">
            <x v="1"/>
          </reference>
          <reference field="7" count="1" selected="0">
            <x v="87"/>
          </reference>
          <reference field="8" count="1" selected="0">
            <x v="352"/>
          </reference>
          <reference field="9" count="1">
            <x v="611"/>
          </reference>
        </references>
      </pivotArea>
    </format>
    <format dxfId="3244">
      <pivotArea dataOnly="0" labelOnly="1" fieldPosition="0">
        <references count="6">
          <reference field="1" count="1" selected="0">
            <x v="9"/>
          </reference>
          <reference field="5" count="1" selected="0">
            <x v="12"/>
          </reference>
          <reference field="6" count="1" selected="0">
            <x v="1"/>
          </reference>
          <reference field="7" count="1" selected="0">
            <x v="87"/>
          </reference>
          <reference field="8" count="1" selected="0">
            <x v="500"/>
          </reference>
          <reference field="9" count="1">
            <x v="611"/>
          </reference>
        </references>
      </pivotArea>
    </format>
    <format dxfId="3243">
      <pivotArea dataOnly="0" labelOnly="1" fieldPosition="0">
        <references count="6">
          <reference field="1" count="1" selected="0">
            <x v="9"/>
          </reference>
          <reference field="5" count="1" selected="0">
            <x v="12"/>
          </reference>
          <reference field="6" count="1" selected="0">
            <x v="37"/>
          </reference>
          <reference field="7" count="1" selected="0">
            <x v="87"/>
          </reference>
          <reference field="8" count="1" selected="0">
            <x v="1028"/>
          </reference>
          <reference field="9" count="1">
            <x v="611"/>
          </reference>
        </references>
      </pivotArea>
    </format>
    <format dxfId="3242">
      <pivotArea dataOnly="0" labelOnly="1" fieldPosition="0">
        <references count="6">
          <reference field="1" count="1" selected="0">
            <x v="9"/>
          </reference>
          <reference field="5" count="1" selected="0">
            <x v="12"/>
          </reference>
          <reference field="6" count="1" selected="0">
            <x v="37"/>
          </reference>
          <reference field="7" count="1" selected="0">
            <x v="87"/>
          </reference>
          <reference field="8" count="1" selected="0">
            <x v="1079"/>
          </reference>
          <reference field="9" count="1">
            <x v="611"/>
          </reference>
        </references>
      </pivotArea>
    </format>
    <format dxfId="3241">
      <pivotArea dataOnly="0" labelOnly="1" fieldPosition="0">
        <references count="6">
          <reference field="1" count="1" selected="0">
            <x v="9"/>
          </reference>
          <reference field="5" count="1" selected="0">
            <x v="23"/>
          </reference>
          <reference field="6" count="1" selected="0">
            <x v="1"/>
          </reference>
          <reference field="7" count="1" selected="0">
            <x v="87"/>
          </reference>
          <reference field="8" count="1" selected="0">
            <x v="278"/>
          </reference>
          <reference field="9" count="1">
            <x v="611"/>
          </reference>
        </references>
      </pivotArea>
    </format>
    <format dxfId="3240">
      <pivotArea dataOnly="0" labelOnly="1" fieldPosition="0">
        <references count="6">
          <reference field="1" count="1" selected="0">
            <x v="9"/>
          </reference>
          <reference field="5" count="1" selected="0">
            <x v="23"/>
          </reference>
          <reference field="6" count="1" selected="0">
            <x v="37"/>
          </reference>
          <reference field="7" count="1" selected="0">
            <x v="87"/>
          </reference>
          <reference field="8" count="1" selected="0">
            <x v="294"/>
          </reference>
          <reference field="9" count="1">
            <x v="611"/>
          </reference>
        </references>
      </pivotArea>
    </format>
    <format dxfId="3239">
      <pivotArea dataOnly="0" labelOnly="1" fieldPosition="0">
        <references count="6">
          <reference field="1" count="1" selected="0">
            <x v="9"/>
          </reference>
          <reference field="5" count="1" selected="0">
            <x v="26"/>
          </reference>
          <reference field="6" count="1" selected="0">
            <x v="37"/>
          </reference>
          <reference field="7" count="1" selected="0">
            <x v="87"/>
          </reference>
          <reference field="8" count="1" selected="0">
            <x v="352"/>
          </reference>
          <reference field="9" count="1">
            <x v="611"/>
          </reference>
        </references>
      </pivotArea>
    </format>
    <format dxfId="3238">
      <pivotArea dataOnly="0" labelOnly="1" fieldPosition="0">
        <references count="6">
          <reference field="1" count="1" selected="0">
            <x v="9"/>
          </reference>
          <reference field="5" count="1" selected="0">
            <x v="35"/>
          </reference>
          <reference field="6" count="1" selected="0">
            <x v="1"/>
          </reference>
          <reference field="7" count="1" selected="0">
            <x v="87"/>
          </reference>
          <reference field="8" count="1" selected="0">
            <x v="80"/>
          </reference>
          <reference field="9" count="1">
            <x v="611"/>
          </reference>
        </references>
      </pivotArea>
    </format>
    <format dxfId="3237">
      <pivotArea dataOnly="0" labelOnly="1" fieldPosition="0">
        <references count="6">
          <reference field="1" count="1" selected="0">
            <x v="10"/>
          </reference>
          <reference field="5" count="1" selected="0">
            <x v="0"/>
          </reference>
          <reference field="6" count="1" selected="0">
            <x v="8"/>
          </reference>
          <reference field="7" count="1" selected="0">
            <x v="88"/>
          </reference>
          <reference field="8" count="1" selected="0">
            <x v="1114"/>
          </reference>
          <reference field="9" count="1">
            <x v="611"/>
          </reference>
        </references>
      </pivotArea>
    </format>
    <format dxfId="3236">
      <pivotArea dataOnly="0" labelOnly="1" fieldPosition="0">
        <references count="6">
          <reference field="1" count="1" selected="0">
            <x v="10"/>
          </reference>
          <reference field="5" count="1" selected="0">
            <x v="0"/>
          </reference>
          <reference field="6" count="1" selected="0">
            <x v="9"/>
          </reference>
          <reference field="7" count="1" selected="0">
            <x v="88"/>
          </reference>
          <reference field="8" count="1" selected="0">
            <x v="212"/>
          </reference>
          <reference field="9" count="1">
            <x v="611"/>
          </reference>
        </references>
      </pivotArea>
    </format>
    <format dxfId="3235">
      <pivotArea dataOnly="0" labelOnly="1" fieldPosition="0">
        <references count="6">
          <reference field="1" count="1" selected="0">
            <x v="10"/>
          </reference>
          <reference field="5" count="1" selected="0">
            <x v="0"/>
          </reference>
          <reference field="6" count="1" selected="0">
            <x v="9"/>
          </reference>
          <reference field="7" count="1" selected="0">
            <x v="88"/>
          </reference>
          <reference field="8" count="1" selected="0">
            <x v="220"/>
          </reference>
          <reference field="9" count="1">
            <x v="611"/>
          </reference>
        </references>
      </pivotArea>
    </format>
    <format dxfId="3234">
      <pivotArea dataOnly="0" labelOnly="1" fieldPosition="0">
        <references count="6">
          <reference field="1" count="1" selected="0">
            <x v="10"/>
          </reference>
          <reference field="5" count="1" selected="0">
            <x v="0"/>
          </reference>
          <reference field="6" count="1" selected="0">
            <x v="9"/>
          </reference>
          <reference field="7" count="1" selected="0">
            <x v="88"/>
          </reference>
          <reference field="8" count="1" selected="0">
            <x v="240"/>
          </reference>
          <reference field="9" count="1">
            <x v="611"/>
          </reference>
        </references>
      </pivotArea>
    </format>
    <format dxfId="3233">
      <pivotArea dataOnly="0" labelOnly="1" fieldPosition="0">
        <references count="6">
          <reference field="1" count="1" selected="0">
            <x v="10"/>
          </reference>
          <reference field="5" count="1" selected="0">
            <x v="0"/>
          </reference>
          <reference field="6" count="1" selected="0">
            <x v="12"/>
          </reference>
          <reference field="7" count="1" selected="0">
            <x v="22"/>
          </reference>
          <reference field="8" count="1" selected="0">
            <x v="18"/>
          </reference>
          <reference field="9" count="1">
            <x v="611"/>
          </reference>
        </references>
      </pivotArea>
    </format>
    <format dxfId="3232">
      <pivotArea dataOnly="0" labelOnly="1" fieldPosition="0">
        <references count="6">
          <reference field="1" count="1" selected="0">
            <x v="10"/>
          </reference>
          <reference field="5" count="1" selected="0">
            <x v="0"/>
          </reference>
          <reference field="6" count="1" selected="0">
            <x v="37"/>
          </reference>
          <reference field="7" count="1" selected="0">
            <x v="88"/>
          </reference>
          <reference field="8" count="1" selected="0">
            <x v="273"/>
          </reference>
          <reference field="9" count="1">
            <x v="611"/>
          </reference>
        </references>
      </pivotArea>
    </format>
    <format dxfId="3231">
      <pivotArea dataOnly="0" labelOnly="1" fieldPosition="0">
        <references count="6">
          <reference field="1" count="1" selected="0">
            <x v="10"/>
          </reference>
          <reference field="5" count="1" selected="0">
            <x v="12"/>
          </reference>
          <reference field="6" count="1" selected="0">
            <x v="1"/>
          </reference>
          <reference field="7" count="1" selected="0">
            <x v="88"/>
          </reference>
          <reference field="8" count="1" selected="0">
            <x v="80"/>
          </reference>
          <reference field="9" count="1">
            <x v="611"/>
          </reference>
        </references>
      </pivotArea>
    </format>
    <format dxfId="3230">
      <pivotArea dataOnly="0" labelOnly="1" fieldPosition="0">
        <references count="6">
          <reference field="1" count="1" selected="0">
            <x v="10"/>
          </reference>
          <reference field="5" count="1" selected="0">
            <x v="12"/>
          </reference>
          <reference field="6" count="1" selected="0">
            <x v="1"/>
          </reference>
          <reference field="7" count="1" selected="0">
            <x v="88"/>
          </reference>
          <reference field="8" count="1" selected="0">
            <x v="213"/>
          </reference>
          <reference field="9" count="1">
            <x v="611"/>
          </reference>
        </references>
      </pivotArea>
    </format>
    <format dxfId="3229">
      <pivotArea dataOnly="0" labelOnly="1" fieldPosition="0">
        <references count="6">
          <reference field="1" count="1" selected="0">
            <x v="10"/>
          </reference>
          <reference field="5" count="1" selected="0">
            <x v="12"/>
          </reference>
          <reference field="6" count="1" selected="0">
            <x v="1"/>
          </reference>
          <reference field="7" count="1" selected="0">
            <x v="88"/>
          </reference>
          <reference field="8" count="1" selected="0">
            <x v="771"/>
          </reference>
          <reference field="9" count="1">
            <x v="611"/>
          </reference>
        </references>
      </pivotArea>
    </format>
    <format dxfId="3228">
      <pivotArea dataOnly="0" labelOnly="1" fieldPosition="0">
        <references count="6">
          <reference field="1" count="1" selected="0">
            <x v="10"/>
          </reference>
          <reference field="5" count="1" selected="0">
            <x v="12"/>
          </reference>
          <reference field="6" count="1" selected="0">
            <x v="1"/>
          </reference>
          <reference field="7" count="1" selected="0">
            <x v="88"/>
          </reference>
          <reference field="8" count="1" selected="0">
            <x v="846"/>
          </reference>
          <reference field="9" count="1">
            <x v="611"/>
          </reference>
        </references>
      </pivotArea>
    </format>
    <format dxfId="3227">
      <pivotArea dataOnly="0" labelOnly="1" fieldPosition="0">
        <references count="6">
          <reference field="1" count="1" selected="0">
            <x v="10"/>
          </reference>
          <reference field="5" count="1" selected="0">
            <x v="24"/>
          </reference>
          <reference field="6" count="1" selected="0">
            <x v="1"/>
          </reference>
          <reference field="7" count="1" selected="0">
            <x v="88"/>
          </reference>
          <reference field="8" count="1" selected="0">
            <x v="213"/>
          </reference>
          <reference field="9" count="1">
            <x v="611"/>
          </reference>
        </references>
      </pivotArea>
    </format>
    <format dxfId="3226">
      <pivotArea dataOnly="0" labelOnly="1" fieldPosition="0">
        <references count="6">
          <reference field="1" count="1" selected="0">
            <x v="10"/>
          </reference>
          <reference field="5" count="1" selected="0">
            <x v="35"/>
          </reference>
          <reference field="6" count="1" selected="0">
            <x v="1"/>
          </reference>
          <reference field="7" count="1" selected="0">
            <x v="88"/>
          </reference>
          <reference field="8" count="1" selected="0">
            <x v="80"/>
          </reference>
          <reference field="9" count="1">
            <x v="611"/>
          </reference>
        </references>
      </pivotArea>
    </format>
    <format dxfId="3225">
      <pivotArea dataOnly="0" labelOnly="1" fieldPosition="0">
        <references count="6">
          <reference field="1" count="1" selected="0">
            <x v="11"/>
          </reference>
          <reference field="5" count="1" selected="0">
            <x v="0"/>
          </reference>
          <reference field="6" count="1" selected="0">
            <x v="12"/>
          </reference>
          <reference field="7" count="1" selected="0">
            <x v="10"/>
          </reference>
          <reference field="8" count="1" selected="0">
            <x v="248"/>
          </reference>
          <reference field="9" count="1">
            <x v="611"/>
          </reference>
        </references>
      </pivotArea>
    </format>
    <format dxfId="3224">
      <pivotArea dataOnly="0" labelOnly="1" fieldPosition="0">
        <references count="6">
          <reference field="1" count="1" selected="0">
            <x v="11"/>
          </reference>
          <reference field="5" count="1" selected="0">
            <x v="0"/>
          </reference>
          <reference field="6" count="1" selected="0">
            <x v="12"/>
          </reference>
          <reference field="7" count="1" selected="0">
            <x v="33"/>
          </reference>
          <reference field="8" count="1" selected="0">
            <x v="18"/>
          </reference>
          <reference field="9" count="1">
            <x v="611"/>
          </reference>
        </references>
      </pivotArea>
    </format>
    <format dxfId="3223">
      <pivotArea dataOnly="0" labelOnly="1" fieldPosition="0">
        <references count="6">
          <reference field="1" count="1" selected="0">
            <x v="11"/>
          </reference>
          <reference field="5" count="1" selected="0">
            <x v="0"/>
          </reference>
          <reference field="6" count="1" selected="0">
            <x v="12"/>
          </reference>
          <reference field="7" count="1" selected="0">
            <x v="39"/>
          </reference>
          <reference field="8" count="1" selected="0">
            <x v="180"/>
          </reference>
          <reference field="9" count="1">
            <x v="611"/>
          </reference>
        </references>
      </pivotArea>
    </format>
    <format dxfId="3222">
      <pivotArea dataOnly="0" labelOnly="1" fieldPosition="0">
        <references count="6">
          <reference field="1" count="1" selected="0">
            <x v="11"/>
          </reference>
          <reference field="5" count="1" selected="0">
            <x v="0"/>
          </reference>
          <reference field="6" count="1" selected="0">
            <x v="12"/>
          </reference>
          <reference field="7" count="1" selected="0">
            <x v="59"/>
          </reference>
          <reference field="8" count="1" selected="0">
            <x v="6"/>
          </reference>
          <reference field="9" count="1">
            <x v="611"/>
          </reference>
        </references>
      </pivotArea>
    </format>
    <format dxfId="3221">
      <pivotArea dataOnly="0" labelOnly="1" fieldPosition="0">
        <references count="6">
          <reference field="1" count="1" selected="0">
            <x v="11"/>
          </reference>
          <reference field="5" count="1" selected="0">
            <x v="0"/>
          </reference>
          <reference field="6" count="1" selected="0">
            <x v="12"/>
          </reference>
          <reference field="7" count="1" selected="0">
            <x v="70"/>
          </reference>
          <reference field="8" count="1" selected="0">
            <x v="14"/>
          </reference>
          <reference field="9" count="1">
            <x v="611"/>
          </reference>
        </references>
      </pivotArea>
    </format>
    <format dxfId="3220">
      <pivotArea dataOnly="0" labelOnly="1" fieldPosition="0">
        <references count="6">
          <reference field="1" count="1" selected="0">
            <x v="11"/>
          </reference>
          <reference field="5" count="1" selected="0">
            <x v="5"/>
          </reference>
          <reference field="6" count="1" selected="0">
            <x v="37"/>
          </reference>
          <reference field="7" count="1" selected="0">
            <x v="89"/>
          </reference>
          <reference field="8" count="1" selected="0">
            <x v="1403"/>
          </reference>
          <reference field="9" count="1">
            <x v="611"/>
          </reference>
        </references>
      </pivotArea>
    </format>
    <format dxfId="3219">
      <pivotArea dataOnly="0" labelOnly="1" fieldPosition="0">
        <references count="6">
          <reference field="1" count="1" selected="0">
            <x v="11"/>
          </reference>
          <reference field="5" count="1" selected="0">
            <x v="12"/>
          </reference>
          <reference field="6" count="1" selected="0">
            <x v="1"/>
          </reference>
          <reference field="7" count="1" selected="0">
            <x v="89"/>
          </reference>
          <reference field="8" count="1" selected="0">
            <x v="352"/>
          </reference>
          <reference field="9" count="1">
            <x v="611"/>
          </reference>
        </references>
      </pivotArea>
    </format>
    <format dxfId="3218">
      <pivotArea dataOnly="0" labelOnly="1" fieldPosition="0">
        <references count="6">
          <reference field="1" count="1" selected="0">
            <x v="11"/>
          </reference>
          <reference field="5" count="1" selected="0">
            <x v="15"/>
          </reference>
          <reference field="6" count="1" selected="0">
            <x v="1"/>
          </reference>
          <reference field="7" count="1" selected="0">
            <x v="89"/>
          </reference>
          <reference field="8" count="1" selected="0">
            <x v="607"/>
          </reference>
          <reference field="9" count="1">
            <x v="611"/>
          </reference>
        </references>
      </pivotArea>
    </format>
    <format dxfId="3217">
      <pivotArea dataOnly="0" labelOnly="1" fieldPosition="0">
        <references count="6">
          <reference field="1" count="1" selected="0">
            <x v="11"/>
          </reference>
          <reference field="5" count="1" selected="0">
            <x v="15"/>
          </reference>
          <reference field="6" count="1" selected="0">
            <x v="37"/>
          </reference>
          <reference field="7" count="1" selected="0">
            <x v="89"/>
          </reference>
          <reference field="8" count="1" selected="0">
            <x v="213"/>
          </reference>
          <reference field="9" count="1">
            <x v="611"/>
          </reference>
        </references>
      </pivotArea>
    </format>
    <format dxfId="3216">
      <pivotArea dataOnly="0" labelOnly="1" fieldPosition="0">
        <references count="6">
          <reference field="1" count="1" selected="0">
            <x v="11"/>
          </reference>
          <reference field="5" count="1" selected="0">
            <x v="23"/>
          </reference>
          <reference field="6" count="1" selected="0">
            <x v="37"/>
          </reference>
          <reference field="7" count="1" selected="0">
            <x v="89"/>
          </reference>
          <reference field="8" count="1" selected="0">
            <x v="111"/>
          </reference>
          <reference field="9" count="1">
            <x v="611"/>
          </reference>
        </references>
      </pivotArea>
    </format>
    <format dxfId="3215">
      <pivotArea dataOnly="0" labelOnly="1" fieldPosition="0">
        <references count="6">
          <reference field="1" count="1" selected="0">
            <x v="12"/>
          </reference>
          <reference field="5" count="1" selected="0">
            <x v="0"/>
          </reference>
          <reference field="6" count="1" selected="0">
            <x v="9"/>
          </reference>
          <reference field="7" count="1" selected="0">
            <x v="90"/>
          </reference>
          <reference field="8" count="1" selected="0">
            <x v="300"/>
          </reference>
          <reference field="9" count="1">
            <x v="611"/>
          </reference>
        </references>
      </pivotArea>
    </format>
    <format dxfId="3214">
      <pivotArea dataOnly="0" labelOnly="1" fieldPosition="0">
        <references count="6">
          <reference field="1" count="1" selected="0">
            <x v="12"/>
          </reference>
          <reference field="5" count="1" selected="0">
            <x v="0"/>
          </reference>
          <reference field="6" count="1" selected="0">
            <x v="9"/>
          </reference>
          <reference field="7" count="1" selected="0">
            <x v="90"/>
          </reference>
          <reference field="8" count="1" selected="0">
            <x v="623"/>
          </reference>
          <reference field="9" count="1">
            <x v="611"/>
          </reference>
        </references>
      </pivotArea>
    </format>
    <format dxfId="3213">
      <pivotArea dataOnly="0" labelOnly="1" fieldPosition="0">
        <references count="6">
          <reference field="1" count="1" selected="0">
            <x v="12"/>
          </reference>
          <reference field="5" count="1" selected="0">
            <x v="0"/>
          </reference>
          <reference field="6" count="1" selected="0">
            <x v="9"/>
          </reference>
          <reference field="7" count="1" selected="0">
            <x v="90"/>
          </reference>
          <reference field="8" count="1" selected="0">
            <x v="1009"/>
          </reference>
          <reference field="9" count="1">
            <x v="611"/>
          </reference>
        </references>
      </pivotArea>
    </format>
    <format dxfId="3212">
      <pivotArea dataOnly="0" labelOnly="1" fieldPosition="0">
        <references count="6">
          <reference field="1" count="1" selected="0">
            <x v="12"/>
          </reference>
          <reference field="5" count="1" selected="0">
            <x v="0"/>
          </reference>
          <reference field="6" count="1" selected="0">
            <x v="12"/>
          </reference>
          <reference field="7" count="1" selected="0">
            <x v="22"/>
          </reference>
          <reference field="8" count="1" selected="0">
            <x v="18"/>
          </reference>
          <reference field="9" count="1">
            <x v="611"/>
          </reference>
        </references>
      </pivotArea>
    </format>
    <format dxfId="3211">
      <pivotArea dataOnly="0" labelOnly="1" fieldPosition="0">
        <references count="6">
          <reference field="1" count="1" selected="0">
            <x v="12"/>
          </reference>
          <reference field="5" count="1" selected="0">
            <x v="0"/>
          </reference>
          <reference field="6" count="1" selected="0">
            <x v="12"/>
          </reference>
          <reference field="7" count="1" selected="0">
            <x v="26"/>
          </reference>
          <reference field="8" count="1" selected="0">
            <x v="123"/>
          </reference>
          <reference field="9" count="1">
            <x v="611"/>
          </reference>
        </references>
      </pivotArea>
    </format>
    <format dxfId="3210">
      <pivotArea dataOnly="0" labelOnly="1" fieldPosition="0">
        <references count="6">
          <reference field="1" count="1" selected="0">
            <x v="12"/>
          </reference>
          <reference field="5" count="1" selected="0">
            <x v="0"/>
          </reference>
          <reference field="6" count="1" selected="0">
            <x v="12"/>
          </reference>
          <reference field="7" count="1" selected="0">
            <x v="48"/>
          </reference>
          <reference field="8" count="1" selected="0">
            <x v="35"/>
          </reference>
          <reference field="9" count="1">
            <x v="611"/>
          </reference>
        </references>
      </pivotArea>
    </format>
    <format dxfId="3209">
      <pivotArea dataOnly="0" labelOnly="1" fieldPosition="0">
        <references count="6">
          <reference field="1" count="1" selected="0">
            <x v="12"/>
          </reference>
          <reference field="5" count="1" selected="0">
            <x v="0"/>
          </reference>
          <reference field="6" count="1" selected="0">
            <x v="12"/>
          </reference>
          <reference field="7" count="1" selected="0">
            <x v="60"/>
          </reference>
          <reference field="8" count="1" selected="0">
            <x v="138"/>
          </reference>
          <reference field="9" count="1">
            <x v="611"/>
          </reference>
        </references>
      </pivotArea>
    </format>
    <format dxfId="3208">
      <pivotArea dataOnly="0" labelOnly="1" fieldPosition="0">
        <references count="6">
          <reference field="1" count="1" selected="0">
            <x v="12"/>
          </reference>
          <reference field="5" count="1" selected="0">
            <x v="0"/>
          </reference>
          <reference field="6" count="1" selected="0">
            <x v="12"/>
          </reference>
          <reference field="7" count="1" selected="0">
            <x v="65"/>
          </reference>
          <reference field="8" count="1" selected="0">
            <x v="2"/>
          </reference>
          <reference field="9" count="1">
            <x v="611"/>
          </reference>
        </references>
      </pivotArea>
    </format>
    <format dxfId="3207">
      <pivotArea dataOnly="0" labelOnly="1" fieldPosition="0">
        <references count="6">
          <reference field="1" count="1" selected="0">
            <x v="12"/>
          </reference>
          <reference field="5" count="1" selected="0">
            <x v="0"/>
          </reference>
          <reference field="6" count="1" selected="0">
            <x v="12"/>
          </reference>
          <reference field="7" count="1" selected="0">
            <x v="70"/>
          </reference>
          <reference field="8" count="1" selected="0">
            <x v="23"/>
          </reference>
          <reference field="9" count="1">
            <x v="611"/>
          </reference>
        </references>
      </pivotArea>
    </format>
    <format dxfId="3206">
      <pivotArea dataOnly="0" labelOnly="1" fieldPosition="0">
        <references count="6">
          <reference field="1" count="1" selected="0">
            <x v="12"/>
          </reference>
          <reference field="5" count="1" selected="0">
            <x v="0"/>
          </reference>
          <reference field="6" count="1" selected="0">
            <x v="37"/>
          </reference>
          <reference field="7" count="1" selected="0">
            <x v="90"/>
          </reference>
          <reference field="8" count="1" selected="0">
            <x v="1206"/>
          </reference>
          <reference field="9" count="1">
            <x v="611"/>
          </reference>
        </references>
      </pivotArea>
    </format>
    <format dxfId="3205">
      <pivotArea dataOnly="0" labelOnly="1" fieldPosition="0">
        <references count="6">
          <reference field="1" count="1" selected="0">
            <x v="12"/>
          </reference>
          <reference field="5" count="1" selected="0">
            <x v="3"/>
          </reference>
          <reference field="6" count="1" selected="0">
            <x v="37"/>
          </reference>
          <reference field="7" count="1" selected="0">
            <x v="90"/>
          </reference>
          <reference field="8" count="1" selected="0">
            <x v="1104"/>
          </reference>
          <reference field="9" count="1">
            <x v="611"/>
          </reference>
        </references>
      </pivotArea>
    </format>
    <format dxfId="3204">
      <pivotArea dataOnly="0" labelOnly="1" fieldPosition="0">
        <references count="6">
          <reference field="1" count="1" selected="0">
            <x v="12"/>
          </reference>
          <reference field="5" count="1" selected="0">
            <x v="5"/>
          </reference>
          <reference field="6" count="1" selected="0">
            <x v="37"/>
          </reference>
          <reference field="7" count="1" selected="0">
            <x v="90"/>
          </reference>
          <reference field="8" count="1" selected="0">
            <x v="1600"/>
          </reference>
          <reference field="9" count="1">
            <x v="611"/>
          </reference>
        </references>
      </pivotArea>
    </format>
    <format dxfId="3203">
      <pivotArea dataOnly="0" labelOnly="1" fieldPosition="0">
        <references count="6">
          <reference field="1" count="1" selected="0">
            <x v="12"/>
          </reference>
          <reference field="5" count="1" selected="0">
            <x v="8"/>
          </reference>
          <reference field="6" count="1" selected="0">
            <x v="37"/>
          </reference>
          <reference field="7" count="1" selected="0">
            <x v="90"/>
          </reference>
          <reference field="8" count="1" selected="0">
            <x v="1085"/>
          </reference>
          <reference field="9" count="1">
            <x v="611"/>
          </reference>
        </references>
      </pivotArea>
    </format>
    <format dxfId="3202">
      <pivotArea dataOnly="0" labelOnly="1" fieldPosition="0">
        <references count="6">
          <reference field="1" count="1" selected="0">
            <x v="12"/>
          </reference>
          <reference field="5" count="1" selected="0">
            <x v="12"/>
          </reference>
          <reference field="6" count="1" selected="0">
            <x v="1"/>
          </reference>
          <reference field="7" count="1" selected="0">
            <x v="90"/>
          </reference>
          <reference field="8" count="1" selected="0">
            <x v="80"/>
          </reference>
          <reference field="9" count="1">
            <x v="611"/>
          </reference>
        </references>
      </pivotArea>
    </format>
    <format dxfId="3201">
      <pivotArea dataOnly="0" labelOnly="1" fieldPosition="0">
        <references count="6">
          <reference field="1" count="1" selected="0">
            <x v="12"/>
          </reference>
          <reference field="5" count="1" selected="0">
            <x v="12"/>
          </reference>
          <reference field="6" count="1" selected="0">
            <x v="1"/>
          </reference>
          <reference field="7" count="1" selected="0">
            <x v="90"/>
          </reference>
          <reference field="8" count="1" selected="0">
            <x v="213"/>
          </reference>
          <reference field="9" count="1">
            <x v="611"/>
          </reference>
        </references>
      </pivotArea>
    </format>
    <format dxfId="3200">
      <pivotArea dataOnly="0" labelOnly="1" fieldPosition="0">
        <references count="6">
          <reference field="1" count="1" selected="0">
            <x v="12"/>
          </reference>
          <reference field="5" count="1" selected="0">
            <x v="12"/>
          </reference>
          <reference field="6" count="1" selected="0">
            <x v="1"/>
          </reference>
          <reference field="7" count="1" selected="0">
            <x v="90"/>
          </reference>
          <reference field="8" count="1" selected="0">
            <x v="500"/>
          </reference>
          <reference field="9" count="1">
            <x v="611"/>
          </reference>
        </references>
      </pivotArea>
    </format>
    <format dxfId="3199">
      <pivotArea dataOnly="0" labelOnly="1" fieldPosition="0">
        <references count="6">
          <reference field="1" count="1" selected="0">
            <x v="12"/>
          </reference>
          <reference field="5" count="1" selected="0">
            <x v="12"/>
          </reference>
          <reference field="6" count="1" selected="0">
            <x v="1"/>
          </reference>
          <reference field="7" count="1" selected="0">
            <x v="90"/>
          </reference>
          <reference field="8" count="1" selected="0">
            <x v="702"/>
          </reference>
          <reference field="9" count="1">
            <x v="611"/>
          </reference>
        </references>
      </pivotArea>
    </format>
    <format dxfId="3198">
      <pivotArea dataOnly="0" labelOnly="1" fieldPosition="0">
        <references count="6">
          <reference field="1" count="1" selected="0">
            <x v="12"/>
          </reference>
          <reference field="5" count="1" selected="0">
            <x v="17"/>
          </reference>
          <reference field="6" count="1" selected="0">
            <x v="7"/>
          </reference>
          <reference field="7" count="1" selected="0">
            <x v="90"/>
          </reference>
          <reference field="8" count="1" selected="0">
            <x v="758"/>
          </reference>
          <reference field="9" count="1">
            <x v="611"/>
          </reference>
        </references>
      </pivotArea>
    </format>
    <format dxfId="3197">
      <pivotArea dataOnly="0" labelOnly="1" fieldPosition="0">
        <references count="6">
          <reference field="1" count="1" selected="0">
            <x v="12"/>
          </reference>
          <reference field="5" count="1" selected="0">
            <x v="24"/>
          </reference>
          <reference field="6" count="1" selected="0">
            <x v="1"/>
          </reference>
          <reference field="7" count="1" selected="0">
            <x v="90"/>
          </reference>
          <reference field="8" count="1" selected="0">
            <x v="109"/>
          </reference>
          <reference field="9" count="1">
            <x v="611"/>
          </reference>
        </references>
      </pivotArea>
    </format>
    <format dxfId="3196">
      <pivotArea dataOnly="0" labelOnly="1" fieldPosition="0">
        <references count="6">
          <reference field="1" count="1" selected="0">
            <x v="12"/>
          </reference>
          <reference field="5" count="1" selected="0">
            <x v="24"/>
          </reference>
          <reference field="6" count="1" selected="0">
            <x v="37"/>
          </reference>
          <reference field="7" count="1" selected="0">
            <x v="90"/>
          </reference>
          <reference field="8" count="1" selected="0">
            <x v="138"/>
          </reference>
          <reference field="9" count="1">
            <x v="611"/>
          </reference>
        </references>
      </pivotArea>
    </format>
    <format dxfId="3195">
      <pivotArea dataOnly="0" labelOnly="1" fieldPosition="0">
        <references count="6">
          <reference field="1" count="1" selected="0">
            <x v="12"/>
          </reference>
          <reference field="5" count="1" selected="0">
            <x v="26"/>
          </reference>
          <reference field="6" count="1" selected="0">
            <x v="37"/>
          </reference>
          <reference field="7" count="1" selected="0">
            <x v="90"/>
          </reference>
          <reference field="8" count="1" selected="0">
            <x v="278"/>
          </reference>
          <reference field="9" count="1">
            <x v="611"/>
          </reference>
        </references>
      </pivotArea>
    </format>
    <format dxfId="3194">
      <pivotArea dataOnly="0" labelOnly="1" fieldPosition="0">
        <references count="6">
          <reference field="1" count="1" selected="0">
            <x v="12"/>
          </reference>
          <reference field="5" count="1" selected="0">
            <x v="27"/>
          </reference>
          <reference field="6" count="1" selected="0">
            <x v="37"/>
          </reference>
          <reference field="7" count="1" selected="0">
            <x v="90"/>
          </reference>
          <reference field="8" count="1" selected="0">
            <x v="1445"/>
          </reference>
          <reference field="9" count="1">
            <x v="611"/>
          </reference>
        </references>
      </pivotArea>
    </format>
    <format dxfId="3193">
      <pivotArea dataOnly="0" labelOnly="1" fieldPosition="0">
        <references count="6">
          <reference field="1" count="1" selected="0">
            <x v="12"/>
          </reference>
          <reference field="5" count="1" selected="0">
            <x v="36"/>
          </reference>
          <reference field="6" count="1" selected="0">
            <x v="8"/>
          </reference>
          <reference field="7" count="1" selected="0">
            <x v="90"/>
          </reference>
          <reference field="8" count="1" selected="0">
            <x v="1518"/>
          </reference>
          <reference field="9" count="1">
            <x v="611"/>
          </reference>
        </references>
      </pivotArea>
    </format>
    <format dxfId="3192">
      <pivotArea dataOnly="0" labelOnly="1" fieldPosition="0">
        <references count="6">
          <reference field="1" count="1" selected="0">
            <x v="13"/>
          </reference>
          <reference field="5" count="1" selected="0">
            <x v="2"/>
          </reference>
          <reference field="6" count="1" selected="0">
            <x v="10"/>
          </reference>
          <reference field="7" count="1" selected="0">
            <x v="91"/>
          </reference>
          <reference field="8" count="1" selected="0">
            <x v="1706"/>
          </reference>
          <reference field="9" count="1">
            <x v="611"/>
          </reference>
        </references>
      </pivotArea>
    </format>
    <format dxfId="3191">
      <pivotArea dataOnly="0" labelOnly="1" fieldPosition="0">
        <references count="6">
          <reference field="1" count="1" selected="0">
            <x v="13"/>
          </reference>
          <reference field="5" count="1" selected="0">
            <x v="3"/>
          </reference>
          <reference field="6" count="1" selected="0">
            <x v="10"/>
          </reference>
          <reference field="7" count="1" selected="0">
            <x v="91"/>
          </reference>
          <reference field="8" count="1" selected="0">
            <x v="1466"/>
          </reference>
          <reference field="9" count="1">
            <x v="611"/>
          </reference>
        </references>
      </pivotArea>
    </format>
    <format dxfId="3190">
      <pivotArea dataOnly="0" labelOnly="1" fieldPosition="0">
        <references count="6">
          <reference field="1" count="1" selected="0">
            <x v="13"/>
          </reference>
          <reference field="5" count="1" selected="0">
            <x v="9"/>
          </reference>
          <reference field="6" count="1" selected="0">
            <x v="10"/>
          </reference>
          <reference field="7" count="1" selected="0">
            <x v="91"/>
          </reference>
          <reference field="8" count="1" selected="0">
            <x v="346"/>
          </reference>
          <reference field="9" count="1">
            <x v="611"/>
          </reference>
        </references>
      </pivotArea>
    </format>
    <format dxfId="3189">
      <pivotArea dataOnly="0" labelOnly="1" fieldPosition="0">
        <references count="6">
          <reference field="1" count="1" selected="0">
            <x v="13"/>
          </reference>
          <reference field="5" count="1" selected="0">
            <x v="11"/>
          </reference>
          <reference field="6" count="1" selected="0">
            <x v="10"/>
          </reference>
          <reference field="7" count="1" selected="0">
            <x v="91"/>
          </reference>
          <reference field="8" count="1" selected="0">
            <x v="845"/>
          </reference>
          <reference field="9" count="1">
            <x v="611"/>
          </reference>
        </references>
      </pivotArea>
    </format>
    <format dxfId="3188">
      <pivotArea dataOnly="0" labelOnly="1" fieldPosition="0">
        <references count="6">
          <reference field="1" count="1" selected="0">
            <x v="13"/>
          </reference>
          <reference field="5" count="1" selected="0">
            <x v="36"/>
          </reference>
          <reference field="6" count="1" selected="0">
            <x v="10"/>
          </reference>
          <reference field="7" count="1" selected="0">
            <x v="91"/>
          </reference>
          <reference field="8" count="1" selected="0">
            <x v="1611"/>
          </reference>
          <reference field="9" count="1">
            <x v="611"/>
          </reference>
        </references>
      </pivotArea>
    </format>
    <format dxfId="3187">
      <pivotArea dataOnly="0" labelOnly="1" fieldPosition="0">
        <references count="6">
          <reference field="1" count="1" selected="0">
            <x v="13"/>
          </reference>
          <reference field="5" count="1" selected="0">
            <x v="37"/>
          </reference>
          <reference field="6" count="1" selected="0">
            <x v="10"/>
          </reference>
          <reference field="7" count="1" selected="0">
            <x v="91"/>
          </reference>
          <reference field="8" count="1" selected="0">
            <x v="1673"/>
          </reference>
          <reference field="9" count="1">
            <x v="611"/>
          </reference>
        </references>
      </pivotArea>
    </format>
    <format dxfId="3186">
      <pivotArea dataOnly="0" labelOnly="1" fieldPosition="0">
        <references count="6">
          <reference field="1" count="1" selected="0">
            <x v="13"/>
          </reference>
          <reference field="5" count="1" selected="0">
            <x v="38"/>
          </reference>
          <reference field="6" count="1" selected="0">
            <x v="10"/>
          </reference>
          <reference field="7" count="1" selected="0">
            <x v="91"/>
          </reference>
          <reference field="8" count="1" selected="0">
            <x v="954"/>
          </reference>
          <reference field="9" count="1">
            <x v="611"/>
          </reference>
        </references>
      </pivotArea>
    </format>
    <format dxfId="3185">
      <pivotArea dataOnly="0" labelOnly="1" fieldPosition="0">
        <references count="6">
          <reference field="1" count="1" selected="0">
            <x v="14"/>
          </reference>
          <reference field="5" count="1" selected="0">
            <x v="0"/>
          </reference>
          <reference field="6" count="1" selected="0">
            <x v="1"/>
          </reference>
          <reference field="7" count="1" selected="0">
            <x v="92"/>
          </reference>
          <reference field="8" count="1" selected="0">
            <x v="80"/>
          </reference>
          <reference field="9" count="1">
            <x v="611"/>
          </reference>
        </references>
      </pivotArea>
    </format>
    <format dxfId="3184">
      <pivotArea dataOnly="0" labelOnly="1" fieldPosition="0">
        <references count="6">
          <reference field="1" count="1" selected="0">
            <x v="14"/>
          </reference>
          <reference field="5" count="1" selected="0">
            <x v="0"/>
          </reference>
          <reference field="6" count="1" selected="0">
            <x v="1"/>
          </reference>
          <reference field="7" count="1" selected="0">
            <x v="92"/>
          </reference>
          <reference field="8" count="1" selected="0">
            <x v="213"/>
          </reference>
          <reference field="9" count="1">
            <x v="611"/>
          </reference>
        </references>
      </pivotArea>
    </format>
    <format dxfId="3183">
      <pivotArea dataOnly="0" labelOnly="1" fieldPosition="0">
        <references count="6">
          <reference field="1" count="1" selected="0">
            <x v="14"/>
          </reference>
          <reference field="5" count="1" selected="0">
            <x v="0"/>
          </reference>
          <reference field="6" count="1" selected="0">
            <x v="12"/>
          </reference>
          <reference field="7" count="1" selected="0">
            <x v="30"/>
          </reference>
          <reference field="8" count="1" selected="0">
            <x v="32"/>
          </reference>
          <reference field="9" count="1">
            <x v="611"/>
          </reference>
        </references>
      </pivotArea>
    </format>
    <format dxfId="3182">
      <pivotArea dataOnly="0" labelOnly="1" fieldPosition="0">
        <references count="6">
          <reference field="1" count="1" selected="0">
            <x v="14"/>
          </reference>
          <reference field="5" count="1" selected="0">
            <x v="0"/>
          </reference>
          <reference field="6" count="1" selected="0">
            <x v="12"/>
          </reference>
          <reference field="7" count="1" selected="0">
            <x v="42"/>
          </reference>
          <reference field="8" count="1" selected="0">
            <x v="9"/>
          </reference>
          <reference field="9" count="1">
            <x v="611"/>
          </reference>
        </references>
      </pivotArea>
    </format>
    <format dxfId="3181">
      <pivotArea dataOnly="0" labelOnly="1" fieldPosition="0">
        <references count="6">
          <reference field="1" count="1" selected="0">
            <x v="14"/>
          </reference>
          <reference field="5" count="1" selected="0">
            <x v="12"/>
          </reference>
          <reference field="6" count="1" selected="0">
            <x v="1"/>
          </reference>
          <reference field="7" count="1" selected="0">
            <x v="92"/>
          </reference>
          <reference field="8" count="1" selected="0">
            <x v="80"/>
          </reference>
          <reference field="9" count="1">
            <x v="611"/>
          </reference>
        </references>
      </pivotArea>
    </format>
    <format dxfId="3180">
      <pivotArea dataOnly="0" labelOnly="1" fieldPosition="0">
        <references count="6">
          <reference field="1" count="1" selected="0">
            <x v="14"/>
          </reference>
          <reference field="5" count="1" selected="0">
            <x v="12"/>
          </reference>
          <reference field="6" count="1" selected="0">
            <x v="1"/>
          </reference>
          <reference field="7" count="1" selected="0">
            <x v="92"/>
          </reference>
          <reference field="8" count="1" selected="0">
            <x v="213"/>
          </reference>
          <reference field="9" count="1">
            <x v="611"/>
          </reference>
        </references>
      </pivotArea>
    </format>
    <format dxfId="3179">
      <pivotArea dataOnly="0" labelOnly="1" fieldPosition="0">
        <references count="6">
          <reference field="1" count="1" selected="0">
            <x v="14"/>
          </reference>
          <reference field="5" count="1" selected="0">
            <x v="12"/>
          </reference>
          <reference field="6" count="1" selected="0">
            <x v="1"/>
          </reference>
          <reference field="7" count="1" selected="0">
            <x v="92"/>
          </reference>
          <reference field="8" count="1" selected="0">
            <x v="352"/>
          </reference>
          <reference field="9" count="1">
            <x v="611"/>
          </reference>
        </references>
      </pivotArea>
    </format>
    <format dxfId="3178">
      <pivotArea dataOnly="0" labelOnly="1" fieldPosition="0">
        <references count="6">
          <reference field="1" count="1" selected="0">
            <x v="14"/>
          </reference>
          <reference field="5" count="1" selected="0">
            <x v="12"/>
          </reference>
          <reference field="6" count="1" selected="0">
            <x v="1"/>
          </reference>
          <reference field="7" count="1" selected="0">
            <x v="92"/>
          </reference>
          <reference field="8" count="1" selected="0">
            <x v="500"/>
          </reference>
          <reference field="9" count="1">
            <x v="611"/>
          </reference>
        </references>
      </pivotArea>
    </format>
    <format dxfId="3177">
      <pivotArea dataOnly="0" labelOnly="1" fieldPosition="0">
        <references count="6">
          <reference field="1" count="1" selected="0">
            <x v="14"/>
          </reference>
          <reference field="5" count="1" selected="0">
            <x v="12"/>
          </reference>
          <reference field="6" count="1" selected="0">
            <x v="1"/>
          </reference>
          <reference field="7" count="1" selected="0">
            <x v="92"/>
          </reference>
          <reference field="8" count="1" selected="0">
            <x v="964"/>
          </reference>
          <reference field="9" count="1">
            <x v="611"/>
          </reference>
        </references>
      </pivotArea>
    </format>
    <format dxfId="3176">
      <pivotArea dataOnly="0" labelOnly="1" fieldPosition="0">
        <references count="6">
          <reference field="1" count="1" selected="0">
            <x v="14"/>
          </reference>
          <reference field="5" count="1" selected="0">
            <x v="12"/>
          </reference>
          <reference field="6" count="1" selected="0">
            <x v="1"/>
          </reference>
          <reference field="7" count="1" selected="0">
            <x v="92"/>
          </reference>
          <reference field="8" count="1" selected="0">
            <x v="1028"/>
          </reference>
          <reference field="9" count="1">
            <x v="611"/>
          </reference>
        </references>
      </pivotArea>
    </format>
    <format dxfId="3175">
      <pivotArea dataOnly="0" labelOnly="1" fieldPosition="0">
        <references count="6">
          <reference field="1" count="1" selected="0">
            <x v="14"/>
          </reference>
          <reference field="5" count="1" selected="0">
            <x v="23"/>
          </reference>
          <reference field="6" count="1" selected="0">
            <x v="37"/>
          </reference>
          <reference field="7" count="1" selected="0">
            <x v="92"/>
          </reference>
          <reference field="8" count="1" selected="0">
            <x v="1031"/>
          </reference>
          <reference field="9" count="1">
            <x v="611"/>
          </reference>
        </references>
      </pivotArea>
    </format>
    <format dxfId="3174">
      <pivotArea dataOnly="0" labelOnly="1" fieldPosition="0">
        <references count="6">
          <reference field="1" count="1" selected="0">
            <x v="14"/>
          </reference>
          <reference field="5" count="1" selected="0">
            <x v="28"/>
          </reference>
          <reference field="6" count="1" selected="0">
            <x v="1"/>
          </reference>
          <reference field="7" count="1" selected="0">
            <x v="92"/>
          </reference>
          <reference field="8" count="1" selected="0">
            <x v="1086"/>
          </reference>
          <reference field="9" count="1">
            <x v="611"/>
          </reference>
        </references>
      </pivotArea>
    </format>
    <format dxfId="3173">
      <pivotArea dataOnly="0" labelOnly="1" fieldPosition="0">
        <references count="6">
          <reference field="1" count="1" selected="0">
            <x v="14"/>
          </reference>
          <reference field="5" count="1" selected="0">
            <x v="35"/>
          </reference>
          <reference field="6" count="1" selected="0">
            <x v="1"/>
          </reference>
          <reference field="7" count="1" selected="0">
            <x v="92"/>
          </reference>
          <reference field="8" count="1" selected="0">
            <x v="80"/>
          </reference>
          <reference field="9" count="1">
            <x v="611"/>
          </reference>
        </references>
      </pivotArea>
    </format>
    <format dxfId="3172">
      <pivotArea dataOnly="0" labelOnly="1" fieldPosition="0">
        <references count="6">
          <reference field="1" count="1" selected="0">
            <x v="14"/>
          </reference>
          <reference field="5" count="1" selected="0">
            <x v="35"/>
          </reference>
          <reference field="6" count="1" selected="0">
            <x v="1"/>
          </reference>
          <reference field="7" count="1" selected="0">
            <x v="92"/>
          </reference>
          <reference field="8" count="1" selected="0">
            <x v="213"/>
          </reference>
          <reference field="9" count="1">
            <x v="611"/>
          </reference>
        </references>
      </pivotArea>
    </format>
    <format dxfId="3171">
      <pivotArea dataOnly="0" labelOnly="1" fieldPosition="0">
        <references count="6">
          <reference field="1" count="1" selected="0">
            <x v="15"/>
          </reference>
          <reference field="5" count="1" selected="0">
            <x v="0"/>
          </reference>
          <reference field="6" count="1" selected="0">
            <x v="9"/>
          </reference>
          <reference field="7" count="1" selected="0">
            <x v="93"/>
          </reference>
          <reference field="8" count="1" selected="0">
            <x v="291"/>
          </reference>
          <reference field="9" count="1">
            <x v="611"/>
          </reference>
        </references>
      </pivotArea>
    </format>
    <format dxfId="3170">
      <pivotArea dataOnly="0" labelOnly="1" fieldPosition="0">
        <references count="6">
          <reference field="1" count="1" selected="0">
            <x v="15"/>
          </reference>
          <reference field="5" count="1" selected="0">
            <x v="0"/>
          </reference>
          <reference field="6" count="1" selected="0">
            <x v="9"/>
          </reference>
          <reference field="7" count="1" selected="0">
            <x v="93"/>
          </reference>
          <reference field="8" count="1" selected="0">
            <x v="587"/>
          </reference>
          <reference field="9" count="1">
            <x v="611"/>
          </reference>
        </references>
      </pivotArea>
    </format>
    <format dxfId="3169">
      <pivotArea dataOnly="0" labelOnly="1" fieldPosition="0">
        <references count="6">
          <reference field="1" count="1" selected="0">
            <x v="15"/>
          </reference>
          <reference field="5" count="1" selected="0">
            <x v="3"/>
          </reference>
          <reference field="6" count="1" selected="0">
            <x v="37"/>
          </reference>
          <reference field="7" count="1" selected="0">
            <x v="93"/>
          </reference>
          <reference field="8" count="1" selected="0">
            <x v="109"/>
          </reference>
          <reference field="9" count="1">
            <x v="611"/>
          </reference>
        </references>
      </pivotArea>
    </format>
    <format dxfId="3168">
      <pivotArea dataOnly="0" labelOnly="1" fieldPosition="0">
        <references count="6">
          <reference field="1" count="1" selected="0">
            <x v="15"/>
          </reference>
          <reference field="5" count="1" selected="0">
            <x v="5"/>
          </reference>
          <reference field="6" count="1" selected="0">
            <x v="8"/>
          </reference>
          <reference field="7" count="1" selected="0">
            <x v="93"/>
          </reference>
          <reference field="8" count="1" selected="0">
            <x v="673"/>
          </reference>
          <reference field="9" count="1">
            <x v="611"/>
          </reference>
        </references>
      </pivotArea>
    </format>
    <format dxfId="3167">
      <pivotArea dataOnly="0" labelOnly="1" fieldPosition="0">
        <references count="6">
          <reference field="1" count="1" selected="0">
            <x v="15"/>
          </reference>
          <reference field="5" count="1" selected="0">
            <x v="5"/>
          </reference>
          <reference field="6" count="1" selected="0">
            <x v="37"/>
          </reference>
          <reference field="7" count="1" selected="0">
            <x v="93"/>
          </reference>
          <reference field="8" count="1" selected="0">
            <x v="1321"/>
          </reference>
          <reference field="9" count="1">
            <x v="611"/>
          </reference>
        </references>
      </pivotArea>
    </format>
    <format dxfId="3166">
      <pivotArea dataOnly="0" labelOnly="1" fieldPosition="0">
        <references count="6">
          <reference field="1" count="1" selected="0">
            <x v="15"/>
          </reference>
          <reference field="5" count="1" selected="0">
            <x v="7"/>
          </reference>
          <reference field="6" count="1" selected="0">
            <x v="8"/>
          </reference>
          <reference field="7" count="1" selected="0">
            <x v="93"/>
          </reference>
          <reference field="8" count="1" selected="0">
            <x v="723"/>
          </reference>
          <reference field="9" count="1">
            <x v="611"/>
          </reference>
        </references>
      </pivotArea>
    </format>
    <format dxfId="3165">
      <pivotArea dataOnly="0" labelOnly="1" fieldPosition="0">
        <references count="6">
          <reference field="1" count="1" selected="0">
            <x v="15"/>
          </reference>
          <reference field="5" count="1" selected="0">
            <x v="7"/>
          </reference>
          <reference field="6" count="1" selected="0">
            <x v="10"/>
          </reference>
          <reference field="7" count="1" selected="0">
            <x v="93"/>
          </reference>
          <reference field="8" count="1" selected="0">
            <x v="1554"/>
          </reference>
          <reference field="9" count="1">
            <x v="611"/>
          </reference>
        </references>
      </pivotArea>
    </format>
    <format dxfId="3164">
      <pivotArea dataOnly="0" labelOnly="1" fieldPosition="0">
        <references count="6">
          <reference field="1" count="1" selected="0">
            <x v="15"/>
          </reference>
          <reference field="5" count="1" selected="0">
            <x v="12"/>
          </reference>
          <reference field="6" count="1" selected="0">
            <x v="1"/>
          </reference>
          <reference field="7" count="1" selected="0">
            <x v="93"/>
          </reference>
          <reference field="8" count="1" selected="0">
            <x v="80"/>
          </reference>
          <reference field="9" count="1">
            <x v="611"/>
          </reference>
        </references>
      </pivotArea>
    </format>
    <format dxfId="3163">
      <pivotArea dataOnly="0" labelOnly="1" fieldPosition="0">
        <references count="6">
          <reference field="1" count="1" selected="0">
            <x v="15"/>
          </reference>
          <reference field="5" count="1" selected="0">
            <x v="12"/>
          </reference>
          <reference field="6" count="1" selected="0">
            <x v="1"/>
          </reference>
          <reference field="7" count="1" selected="0">
            <x v="93"/>
          </reference>
          <reference field="8" count="1" selected="0">
            <x v="213"/>
          </reference>
          <reference field="9" count="1">
            <x v="611"/>
          </reference>
        </references>
      </pivotArea>
    </format>
    <format dxfId="3162">
      <pivotArea dataOnly="0" labelOnly="1" fieldPosition="0">
        <references count="6">
          <reference field="1" count="1" selected="0">
            <x v="15"/>
          </reference>
          <reference field="5" count="1" selected="0">
            <x v="12"/>
          </reference>
          <reference field="6" count="1" selected="0">
            <x v="1"/>
          </reference>
          <reference field="7" count="1" selected="0">
            <x v="93"/>
          </reference>
          <reference field="8" count="1" selected="0">
            <x v="352"/>
          </reference>
          <reference field="9" count="1">
            <x v="611"/>
          </reference>
        </references>
      </pivotArea>
    </format>
    <format dxfId="3161">
      <pivotArea dataOnly="0" labelOnly="1" fieldPosition="0">
        <references count="6">
          <reference field="1" count="1" selected="0">
            <x v="15"/>
          </reference>
          <reference field="5" count="1" selected="0">
            <x v="12"/>
          </reference>
          <reference field="6" count="1" selected="0">
            <x v="1"/>
          </reference>
          <reference field="7" count="1" selected="0">
            <x v="93"/>
          </reference>
          <reference field="8" count="1" selected="0">
            <x v="771"/>
          </reference>
          <reference field="9" count="1">
            <x v="611"/>
          </reference>
        </references>
      </pivotArea>
    </format>
    <format dxfId="3160">
      <pivotArea dataOnly="0" labelOnly="1" fieldPosition="0">
        <references count="6">
          <reference field="1" count="1" selected="0">
            <x v="15"/>
          </reference>
          <reference field="5" count="1" selected="0">
            <x v="12"/>
          </reference>
          <reference field="6" count="1" selected="0">
            <x v="1"/>
          </reference>
          <reference field="7" count="1" selected="0">
            <x v="93"/>
          </reference>
          <reference field="8" count="1" selected="0">
            <x v="964"/>
          </reference>
          <reference field="9" count="1">
            <x v="611"/>
          </reference>
        </references>
      </pivotArea>
    </format>
    <format dxfId="3159">
      <pivotArea dataOnly="0" labelOnly="1" fieldPosition="0">
        <references count="6">
          <reference field="1" count="1" selected="0">
            <x v="15"/>
          </reference>
          <reference field="5" count="1" selected="0">
            <x v="15"/>
          </reference>
          <reference field="6" count="1" selected="0">
            <x v="37"/>
          </reference>
          <reference field="7" count="1" selected="0">
            <x v="93"/>
          </reference>
          <reference field="8" count="1" selected="0">
            <x v="1007"/>
          </reference>
          <reference field="9" count="1">
            <x v="611"/>
          </reference>
        </references>
      </pivotArea>
    </format>
    <format dxfId="3158">
      <pivotArea dataOnly="0" labelOnly="1" fieldPosition="0">
        <references count="6">
          <reference field="1" count="1" selected="0">
            <x v="15"/>
          </reference>
          <reference field="5" count="1" selected="0">
            <x v="23"/>
          </reference>
          <reference field="6" count="1" selected="0">
            <x v="7"/>
          </reference>
          <reference field="7" count="1" selected="0">
            <x v="93"/>
          </reference>
          <reference field="8" count="1" selected="0">
            <x v="1188"/>
          </reference>
          <reference field="9" count="1">
            <x v="611"/>
          </reference>
        </references>
      </pivotArea>
    </format>
    <format dxfId="3157">
      <pivotArea dataOnly="0" labelOnly="1" fieldPosition="0">
        <references count="6">
          <reference field="1" count="1" selected="0">
            <x v="15"/>
          </reference>
          <reference field="5" count="1" selected="0">
            <x v="35"/>
          </reference>
          <reference field="6" count="1" selected="0">
            <x v="1"/>
          </reference>
          <reference field="7" count="1" selected="0">
            <x v="93"/>
          </reference>
          <reference field="8" count="1" selected="0">
            <x v="80"/>
          </reference>
          <reference field="9" count="1">
            <x v="611"/>
          </reference>
        </references>
      </pivotArea>
    </format>
    <format dxfId="3156">
      <pivotArea dataOnly="0" labelOnly="1" fieldPosition="0">
        <references count="6">
          <reference field="1" count="1" selected="0">
            <x v="15"/>
          </reference>
          <reference field="5" count="1" selected="0">
            <x v="36"/>
          </reference>
          <reference field="6" count="1" selected="0">
            <x v="8"/>
          </reference>
          <reference field="7" count="1" selected="0">
            <x v="93"/>
          </reference>
          <reference field="8" count="1" selected="0">
            <x v="1111"/>
          </reference>
          <reference field="9" count="1">
            <x v="611"/>
          </reference>
        </references>
      </pivotArea>
    </format>
    <format dxfId="3155">
      <pivotArea dataOnly="0" labelOnly="1" fieldPosition="0">
        <references count="6">
          <reference field="1" count="1" selected="0">
            <x v="16"/>
          </reference>
          <reference field="5" count="1" selected="0">
            <x v="0"/>
          </reference>
          <reference field="6" count="1" selected="0">
            <x v="9"/>
          </reference>
          <reference field="7" count="1" selected="0">
            <x v="94"/>
          </reference>
          <reference field="8" count="1" selected="0">
            <x v="0"/>
          </reference>
          <reference field="9" count="1">
            <x v="576"/>
          </reference>
        </references>
      </pivotArea>
    </format>
    <format dxfId="3154">
      <pivotArea dataOnly="0" labelOnly="1" fieldPosition="0">
        <references count="6">
          <reference field="1" count="1" selected="0">
            <x v="16"/>
          </reference>
          <reference field="5" count="1" selected="0">
            <x v="0"/>
          </reference>
          <reference field="6" count="1" selected="0">
            <x v="9"/>
          </reference>
          <reference field="7" count="1" selected="0">
            <x v="94"/>
          </reference>
          <reference field="8" count="1" selected="0">
            <x v="220"/>
          </reference>
          <reference field="9" count="1">
            <x v="611"/>
          </reference>
        </references>
      </pivotArea>
    </format>
    <format dxfId="3153">
      <pivotArea dataOnly="0" labelOnly="1" fieldPosition="0">
        <references count="6">
          <reference field="1" count="1" selected="0">
            <x v="16"/>
          </reference>
          <reference field="5" count="1" selected="0">
            <x v="0"/>
          </reference>
          <reference field="6" count="1" selected="0">
            <x v="12"/>
          </reference>
          <reference field="7" count="1" selected="0">
            <x v="60"/>
          </reference>
          <reference field="8" count="1" selected="0">
            <x v="32"/>
          </reference>
          <reference field="9" count="1">
            <x v="611"/>
          </reference>
        </references>
      </pivotArea>
    </format>
    <format dxfId="3152">
      <pivotArea dataOnly="0" labelOnly="1" fieldPosition="0">
        <references count="6">
          <reference field="1" count="1" selected="0">
            <x v="16"/>
          </reference>
          <reference field="5" count="1" selected="0">
            <x v="12"/>
          </reference>
          <reference field="6" count="1" selected="0">
            <x v="1"/>
          </reference>
          <reference field="7" count="1" selected="0">
            <x v="94"/>
          </reference>
          <reference field="8" count="1" selected="0">
            <x v="702"/>
          </reference>
          <reference field="9" count="1">
            <x v="611"/>
          </reference>
        </references>
      </pivotArea>
    </format>
    <format dxfId="3151">
      <pivotArea dataOnly="0" labelOnly="1" fieldPosition="0">
        <references count="6">
          <reference field="1" count="1" selected="0">
            <x v="17"/>
          </reference>
          <reference field="5" count="1" selected="0">
            <x v="0"/>
          </reference>
          <reference field="6" count="1" selected="0">
            <x v="12"/>
          </reference>
          <reference field="7" count="1" selected="0">
            <x v="36"/>
          </reference>
          <reference field="8" count="1" selected="0">
            <x v="236"/>
          </reference>
          <reference field="9" count="1">
            <x v="611"/>
          </reference>
        </references>
      </pivotArea>
    </format>
    <format dxfId="3150">
      <pivotArea dataOnly="0" labelOnly="1" fieldPosition="0">
        <references count="6">
          <reference field="1" count="1" selected="0">
            <x v="17"/>
          </reference>
          <reference field="5" count="1" selected="0">
            <x v="0"/>
          </reference>
          <reference field="6" count="1" selected="0">
            <x v="37"/>
          </reference>
          <reference field="7" count="1" selected="0">
            <x v="95"/>
          </reference>
          <reference field="8" count="1" selected="0">
            <x v="51"/>
          </reference>
          <reference field="9" count="1">
            <x v="611"/>
          </reference>
        </references>
      </pivotArea>
    </format>
    <format dxfId="3149">
      <pivotArea dataOnly="0" labelOnly="1" fieldPosition="0">
        <references count="6">
          <reference field="1" count="1" selected="0">
            <x v="17"/>
          </reference>
          <reference field="5" count="1" selected="0">
            <x v="0"/>
          </reference>
          <reference field="6" count="1" selected="0">
            <x v="37"/>
          </reference>
          <reference field="7" count="1" selected="0">
            <x v="95"/>
          </reference>
          <reference field="8" count="1" selected="0">
            <x v="262"/>
          </reference>
          <reference field="9" count="1">
            <x v="611"/>
          </reference>
        </references>
      </pivotArea>
    </format>
    <format dxfId="3148">
      <pivotArea dataOnly="0" labelOnly="1" fieldPosition="0">
        <references count="6">
          <reference field="1" count="1" selected="0">
            <x v="17"/>
          </reference>
          <reference field="5" count="1" selected="0">
            <x v="3"/>
          </reference>
          <reference field="6" count="1" selected="0">
            <x v="37"/>
          </reference>
          <reference field="7" count="1" selected="0">
            <x v="95"/>
          </reference>
          <reference field="8" count="1" selected="0">
            <x v="846"/>
          </reference>
          <reference field="9" count="1">
            <x v="611"/>
          </reference>
        </references>
      </pivotArea>
    </format>
    <format dxfId="3147">
      <pivotArea dataOnly="0" labelOnly="1" fieldPosition="0">
        <references count="6">
          <reference field="1" count="1" selected="0">
            <x v="17"/>
          </reference>
          <reference field="5" count="1" selected="0">
            <x v="12"/>
          </reference>
          <reference field="6" count="1" selected="0">
            <x v="1"/>
          </reference>
          <reference field="7" count="1" selected="0">
            <x v="95"/>
          </reference>
          <reference field="8" count="1" selected="0">
            <x v="213"/>
          </reference>
          <reference field="9" count="1">
            <x v="611"/>
          </reference>
        </references>
      </pivotArea>
    </format>
    <format dxfId="3146">
      <pivotArea dataOnly="0" labelOnly="1" fieldPosition="0">
        <references count="6">
          <reference field="1" count="1" selected="0">
            <x v="17"/>
          </reference>
          <reference field="5" count="1" selected="0">
            <x v="23"/>
          </reference>
          <reference field="6" count="1" selected="0">
            <x v="37"/>
          </reference>
          <reference field="7" count="1" selected="0">
            <x v="95"/>
          </reference>
          <reference field="8" count="1" selected="0">
            <x v="299"/>
          </reference>
          <reference field="9" count="1">
            <x v="611"/>
          </reference>
        </references>
      </pivotArea>
    </format>
    <format dxfId="3145">
      <pivotArea dataOnly="0" labelOnly="1" fieldPosition="0">
        <references count="6">
          <reference field="1" count="1" selected="0">
            <x v="18"/>
          </reference>
          <reference field="5" count="1" selected="0">
            <x v="0"/>
          </reference>
          <reference field="6" count="1" selected="0">
            <x v="7"/>
          </reference>
          <reference field="7" count="1" selected="0">
            <x v="97"/>
          </reference>
          <reference field="8" count="1" selected="0">
            <x v="102"/>
          </reference>
          <reference field="9" count="1">
            <x v="611"/>
          </reference>
        </references>
      </pivotArea>
    </format>
    <format dxfId="3144">
      <pivotArea dataOnly="0" labelOnly="1" fieldPosition="0">
        <references count="6">
          <reference field="1" count="1" selected="0">
            <x v="18"/>
          </reference>
          <reference field="5" count="1" selected="0">
            <x v="0"/>
          </reference>
          <reference field="6" count="1" selected="0">
            <x v="9"/>
          </reference>
          <reference field="7" count="1" selected="0">
            <x v="97"/>
          </reference>
          <reference field="8" count="1" selected="0">
            <x v="0"/>
          </reference>
          <reference field="9" count="1">
            <x v="609"/>
          </reference>
        </references>
      </pivotArea>
    </format>
    <format dxfId="3143">
      <pivotArea dataOnly="0" labelOnly="1" fieldPosition="0">
        <references count="6">
          <reference field="1" count="1" selected="0">
            <x v="18"/>
          </reference>
          <reference field="5" count="1" selected="0">
            <x v="0"/>
          </reference>
          <reference field="6" count="1" selected="0">
            <x v="9"/>
          </reference>
          <reference field="7" count="1" selected="0">
            <x v="97"/>
          </reference>
          <reference field="8" count="1" selected="0">
            <x v="212"/>
          </reference>
          <reference field="9" count="1">
            <x v="611"/>
          </reference>
        </references>
      </pivotArea>
    </format>
    <format dxfId="3142">
      <pivotArea dataOnly="0" labelOnly="1" fieldPosition="0">
        <references count="6">
          <reference field="1" count="1" selected="0">
            <x v="18"/>
          </reference>
          <reference field="5" count="1" selected="0">
            <x v="0"/>
          </reference>
          <reference field="6" count="1" selected="0">
            <x v="9"/>
          </reference>
          <reference field="7" count="1" selected="0">
            <x v="97"/>
          </reference>
          <reference field="8" count="1" selected="0">
            <x v="617"/>
          </reference>
          <reference field="9" count="1">
            <x v="611"/>
          </reference>
        </references>
      </pivotArea>
    </format>
    <format dxfId="3141">
      <pivotArea dataOnly="0" labelOnly="1" fieldPosition="0">
        <references count="6">
          <reference field="1" count="1" selected="0">
            <x v="18"/>
          </reference>
          <reference field="5" count="1" selected="0">
            <x v="0"/>
          </reference>
          <reference field="6" count="1" selected="0">
            <x v="9"/>
          </reference>
          <reference field="7" count="1" selected="0">
            <x v="97"/>
          </reference>
          <reference field="8" count="1" selected="0">
            <x v="702"/>
          </reference>
          <reference field="9" count="1">
            <x v="611"/>
          </reference>
        </references>
      </pivotArea>
    </format>
    <format dxfId="3140">
      <pivotArea dataOnly="0" labelOnly="1" fieldPosition="0">
        <references count="6">
          <reference field="1" count="1" selected="0">
            <x v="18"/>
          </reference>
          <reference field="5" count="1" selected="0">
            <x v="0"/>
          </reference>
          <reference field="6" count="1" selected="0">
            <x v="12"/>
          </reference>
          <reference field="7" count="1" selected="0">
            <x v="50"/>
          </reference>
          <reference field="8" count="1" selected="0">
            <x v="551"/>
          </reference>
          <reference field="9" count="1">
            <x v="611"/>
          </reference>
        </references>
      </pivotArea>
    </format>
    <format dxfId="3139">
      <pivotArea dataOnly="0" labelOnly="1" fieldPosition="0">
        <references count="6">
          <reference field="1" count="1" selected="0">
            <x v="18"/>
          </reference>
          <reference field="5" count="1" selected="0">
            <x v="0"/>
          </reference>
          <reference field="6" count="1" selected="0">
            <x v="21"/>
          </reference>
          <reference field="7" count="1" selected="0">
            <x v="96"/>
          </reference>
          <reference field="8" count="1" selected="0">
            <x v="557"/>
          </reference>
          <reference field="9" count="1">
            <x v="611"/>
          </reference>
        </references>
      </pivotArea>
    </format>
    <format dxfId="3138">
      <pivotArea dataOnly="0" labelOnly="1" fieldPosition="0">
        <references count="6">
          <reference field="1" count="1" selected="0">
            <x v="18"/>
          </reference>
          <reference field="5" count="1" selected="0">
            <x v="0"/>
          </reference>
          <reference field="6" count="1" selected="0">
            <x v="21"/>
          </reference>
          <reference field="7" count="1" selected="0">
            <x v="96"/>
          </reference>
          <reference field="8" count="1" selected="0">
            <x v="651"/>
          </reference>
          <reference field="9" count="1">
            <x v="611"/>
          </reference>
        </references>
      </pivotArea>
    </format>
    <format dxfId="3137">
      <pivotArea dataOnly="0" labelOnly="1" fieldPosition="0">
        <references count="6">
          <reference field="1" count="1" selected="0">
            <x v="18"/>
          </reference>
          <reference field="5" count="1" selected="0">
            <x v="0"/>
          </reference>
          <reference field="6" count="1" selected="0">
            <x v="21"/>
          </reference>
          <reference field="7" count="1" selected="0">
            <x v="96"/>
          </reference>
          <reference field="8" count="1" selected="0">
            <x v="698"/>
          </reference>
          <reference field="9" count="1">
            <x v="611"/>
          </reference>
        </references>
      </pivotArea>
    </format>
    <format dxfId="3136">
      <pivotArea dataOnly="0" labelOnly="1" fieldPosition="0">
        <references count="6">
          <reference field="1" count="1" selected="0">
            <x v="18"/>
          </reference>
          <reference field="5" count="1" selected="0">
            <x v="0"/>
          </reference>
          <reference field="6" count="1" selected="0">
            <x v="21"/>
          </reference>
          <reference field="7" count="1" selected="0">
            <x v="96"/>
          </reference>
          <reference field="8" count="1" selected="0">
            <x v="1262"/>
          </reference>
          <reference field="9" count="1">
            <x v="611"/>
          </reference>
        </references>
      </pivotArea>
    </format>
    <format dxfId="3135">
      <pivotArea dataOnly="0" labelOnly="1" fieldPosition="0">
        <references count="6">
          <reference field="1" count="1" selected="0">
            <x v="18"/>
          </reference>
          <reference field="5" count="1" selected="0">
            <x v="0"/>
          </reference>
          <reference field="6" count="1" selected="0">
            <x v="37"/>
          </reference>
          <reference field="7" count="1" selected="0">
            <x v="97"/>
          </reference>
          <reference field="8" count="1" selected="0">
            <x v="262"/>
          </reference>
          <reference field="9" count="1">
            <x v="611"/>
          </reference>
        </references>
      </pivotArea>
    </format>
    <format dxfId="3134">
      <pivotArea dataOnly="0" labelOnly="1" fieldPosition="0">
        <references count="6">
          <reference field="1" count="1" selected="0">
            <x v="18"/>
          </reference>
          <reference field="5" count="1" selected="0">
            <x v="2"/>
          </reference>
          <reference field="6" count="1" selected="0">
            <x v="21"/>
          </reference>
          <reference field="7" count="1" selected="0">
            <x v="96"/>
          </reference>
          <reference field="8" count="1" selected="0">
            <x v="1768"/>
          </reference>
          <reference field="9" count="1">
            <x v="611"/>
          </reference>
        </references>
      </pivotArea>
    </format>
    <format dxfId="3133">
      <pivotArea dataOnly="0" labelOnly="1" fieldPosition="0">
        <references count="6">
          <reference field="1" count="1" selected="0">
            <x v="18"/>
          </reference>
          <reference field="5" count="1" selected="0">
            <x v="8"/>
          </reference>
          <reference field="6" count="1" selected="0">
            <x v="37"/>
          </reference>
          <reference field="7" count="1" selected="0">
            <x v="97"/>
          </reference>
          <reference field="8" count="1" selected="0">
            <x v="1143"/>
          </reference>
          <reference field="9" count="1">
            <x v="611"/>
          </reference>
        </references>
      </pivotArea>
    </format>
    <format dxfId="3132">
      <pivotArea dataOnly="0" labelOnly="1" fieldPosition="0">
        <references count="6">
          <reference field="1" count="1" selected="0">
            <x v="18"/>
          </reference>
          <reference field="5" count="1" selected="0">
            <x v="12"/>
          </reference>
          <reference field="6" count="1" selected="0">
            <x v="1"/>
          </reference>
          <reference field="7" count="1" selected="0">
            <x v="97"/>
          </reference>
          <reference field="8" count="1" selected="0">
            <x v="80"/>
          </reference>
          <reference field="9" count="1">
            <x v="611"/>
          </reference>
        </references>
      </pivotArea>
    </format>
    <format dxfId="3131">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61"/>
          </reference>
          <reference field="9" count="1">
            <x v="611"/>
          </reference>
        </references>
      </pivotArea>
    </format>
    <format dxfId="3130">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76"/>
          </reference>
          <reference field="9" count="1">
            <x v="611"/>
          </reference>
        </references>
      </pivotArea>
    </format>
    <format dxfId="3129">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96"/>
          </reference>
          <reference field="9" count="1">
            <x v="611"/>
          </reference>
        </references>
      </pivotArea>
    </format>
    <format dxfId="3128">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237"/>
          </reference>
          <reference field="9" count="1">
            <x v="611"/>
          </reference>
        </references>
      </pivotArea>
    </format>
    <format dxfId="3127">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348"/>
          </reference>
          <reference field="9" count="1">
            <x v="611"/>
          </reference>
        </references>
      </pivotArea>
    </format>
    <format dxfId="3126">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367"/>
          </reference>
          <reference field="9" count="1">
            <x v="611"/>
          </reference>
        </references>
      </pivotArea>
    </format>
    <format dxfId="3125">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399"/>
          </reference>
          <reference field="9" count="1">
            <x v="611"/>
          </reference>
        </references>
      </pivotArea>
    </format>
    <format dxfId="3124">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417"/>
          </reference>
          <reference field="9" count="1">
            <x v="611"/>
          </reference>
        </references>
      </pivotArea>
    </format>
    <format dxfId="3123">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426"/>
          </reference>
          <reference field="9" count="1">
            <x v="611"/>
          </reference>
        </references>
      </pivotArea>
    </format>
    <format dxfId="3122">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531"/>
          </reference>
          <reference field="9" count="1">
            <x v="611"/>
          </reference>
        </references>
      </pivotArea>
    </format>
    <format dxfId="3121">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566"/>
          </reference>
          <reference field="9" count="1">
            <x v="611"/>
          </reference>
        </references>
      </pivotArea>
    </format>
    <format dxfId="3120">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586"/>
          </reference>
          <reference field="9" count="1">
            <x v="611"/>
          </reference>
        </references>
      </pivotArea>
    </format>
    <format dxfId="3119">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597"/>
          </reference>
          <reference field="9" count="1">
            <x v="611"/>
          </reference>
        </references>
      </pivotArea>
    </format>
    <format dxfId="3118">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625"/>
          </reference>
          <reference field="9" count="1">
            <x v="611"/>
          </reference>
        </references>
      </pivotArea>
    </format>
    <format dxfId="3117">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660"/>
          </reference>
          <reference field="9" count="1">
            <x v="611"/>
          </reference>
        </references>
      </pivotArea>
    </format>
    <format dxfId="3116">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724"/>
          </reference>
          <reference field="9" count="1">
            <x v="611"/>
          </reference>
        </references>
      </pivotArea>
    </format>
    <format dxfId="3115">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861"/>
          </reference>
          <reference field="9" count="1">
            <x v="611"/>
          </reference>
        </references>
      </pivotArea>
    </format>
    <format dxfId="3114">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968"/>
          </reference>
          <reference field="9" count="1">
            <x v="611"/>
          </reference>
        </references>
      </pivotArea>
    </format>
    <format dxfId="3113">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999"/>
          </reference>
          <reference field="9" count="1">
            <x v="611"/>
          </reference>
        </references>
      </pivotArea>
    </format>
    <format dxfId="3112">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023"/>
          </reference>
          <reference field="9" count="1">
            <x v="611"/>
          </reference>
        </references>
      </pivotArea>
    </format>
    <format dxfId="3111">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063"/>
          </reference>
          <reference field="9" count="1">
            <x v="611"/>
          </reference>
        </references>
      </pivotArea>
    </format>
    <format dxfId="3110">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072"/>
          </reference>
          <reference field="9" count="1">
            <x v="611"/>
          </reference>
        </references>
      </pivotArea>
    </format>
    <format dxfId="3109">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096"/>
          </reference>
          <reference field="9" count="1">
            <x v="611"/>
          </reference>
        </references>
      </pivotArea>
    </format>
    <format dxfId="3108">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112"/>
          </reference>
          <reference field="9" count="1">
            <x v="611"/>
          </reference>
        </references>
      </pivotArea>
    </format>
    <format dxfId="3107">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113"/>
          </reference>
          <reference field="9" count="1">
            <x v="611"/>
          </reference>
        </references>
      </pivotArea>
    </format>
    <format dxfId="3106">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142"/>
          </reference>
          <reference field="9" count="1">
            <x v="611"/>
          </reference>
        </references>
      </pivotArea>
    </format>
    <format dxfId="3105">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223"/>
          </reference>
          <reference field="9" count="1">
            <x v="611"/>
          </reference>
        </references>
      </pivotArea>
    </format>
    <format dxfId="3104">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329"/>
          </reference>
          <reference field="9" count="1">
            <x v="611"/>
          </reference>
        </references>
      </pivotArea>
    </format>
    <format dxfId="3103">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426"/>
          </reference>
          <reference field="9" count="1">
            <x v="611"/>
          </reference>
        </references>
      </pivotArea>
    </format>
    <format dxfId="3102">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446"/>
          </reference>
          <reference field="9" count="1">
            <x v="611"/>
          </reference>
        </references>
      </pivotArea>
    </format>
    <format dxfId="3101">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461"/>
          </reference>
          <reference field="9" count="1">
            <x v="611"/>
          </reference>
        </references>
      </pivotArea>
    </format>
    <format dxfId="3100">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490"/>
          </reference>
          <reference field="9" count="1">
            <x v="611"/>
          </reference>
        </references>
      </pivotArea>
    </format>
    <format dxfId="3099">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540"/>
          </reference>
          <reference field="9" count="1">
            <x v="611"/>
          </reference>
        </references>
      </pivotArea>
    </format>
    <format dxfId="3098">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545"/>
          </reference>
          <reference field="9" count="1">
            <x v="611"/>
          </reference>
        </references>
      </pivotArea>
    </format>
    <format dxfId="3097">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579"/>
          </reference>
          <reference field="9" count="1">
            <x v="611"/>
          </reference>
        </references>
      </pivotArea>
    </format>
    <format dxfId="3096">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593"/>
          </reference>
          <reference field="9" count="1">
            <x v="611"/>
          </reference>
        </references>
      </pivotArea>
    </format>
    <format dxfId="3095">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597"/>
          </reference>
          <reference field="9" count="1">
            <x v="611"/>
          </reference>
        </references>
      </pivotArea>
    </format>
    <format dxfId="3094">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623"/>
          </reference>
          <reference field="9" count="1">
            <x v="611"/>
          </reference>
        </references>
      </pivotArea>
    </format>
    <format dxfId="3093">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625"/>
          </reference>
          <reference field="9" count="1">
            <x v="611"/>
          </reference>
        </references>
      </pivotArea>
    </format>
    <format dxfId="3092">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683"/>
          </reference>
          <reference field="9" count="1">
            <x v="611"/>
          </reference>
        </references>
      </pivotArea>
    </format>
    <format dxfId="3091">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726"/>
          </reference>
          <reference field="9" count="1">
            <x v="611"/>
          </reference>
        </references>
      </pivotArea>
    </format>
    <format dxfId="3090">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784"/>
          </reference>
          <reference field="9" count="1">
            <x v="611"/>
          </reference>
        </references>
      </pivotArea>
    </format>
    <format dxfId="3089">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798"/>
          </reference>
          <reference field="9" count="1">
            <x v="611"/>
          </reference>
        </references>
      </pivotArea>
    </format>
    <format dxfId="3088">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802"/>
          </reference>
          <reference field="9" count="1">
            <x v="611"/>
          </reference>
        </references>
      </pivotArea>
    </format>
    <format dxfId="3087">
      <pivotArea dataOnly="0" labelOnly="1" fieldPosition="0">
        <references count="6">
          <reference field="1" count="1" selected="0">
            <x v="18"/>
          </reference>
          <reference field="5" count="1" selected="0">
            <x v="12"/>
          </reference>
          <reference field="6" count="1" selected="0">
            <x v="21"/>
          </reference>
          <reference field="7" count="1" selected="0">
            <x v="96"/>
          </reference>
          <reference field="8" count="1" selected="0">
            <x v="1814"/>
          </reference>
          <reference field="9" count="1">
            <x v="611"/>
          </reference>
        </references>
      </pivotArea>
    </format>
    <format dxfId="3086">
      <pivotArea dataOnly="0" labelOnly="1" fieldPosition="0">
        <references count="6">
          <reference field="1" count="1" selected="0">
            <x v="18"/>
          </reference>
          <reference field="5" count="1" selected="0">
            <x v="15"/>
          </reference>
          <reference field="6" count="1" selected="0">
            <x v="21"/>
          </reference>
          <reference field="7" count="1" selected="0">
            <x v="96"/>
          </reference>
          <reference field="8" count="1" selected="0">
            <x v="1709"/>
          </reference>
          <reference field="9" count="1">
            <x v="611"/>
          </reference>
        </references>
      </pivotArea>
    </format>
    <format dxfId="3085">
      <pivotArea dataOnly="0" labelOnly="1" fieldPosition="0">
        <references count="6">
          <reference field="1" count="1" selected="0">
            <x v="18"/>
          </reference>
          <reference field="5" count="1" selected="0">
            <x v="17"/>
          </reference>
          <reference field="6" count="1" selected="0">
            <x v="21"/>
          </reference>
          <reference field="7" count="1" selected="0">
            <x v="96"/>
          </reference>
          <reference field="8" count="1" selected="0">
            <x v="402"/>
          </reference>
          <reference field="9" count="1">
            <x v="611"/>
          </reference>
        </references>
      </pivotArea>
    </format>
    <format dxfId="3084">
      <pivotArea dataOnly="0" labelOnly="1" fieldPosition="0">
        <references count="6">
          <reference field="1" count="1" selected="0">
            <x v="18"/>
          </reference>
          <reference field="5" count="1" selected="0">
            <x v="23"/>
          </reference>
          <reference field="6" count="1" selected="0">
            <x v="21"/>
          </reference>
          <reference field="7" count="1" selected="0">
            <x v="96"/>
          </reference>
          <reference field="8" count="1" selected="0">
            <x v="1278"/>
          </reference>
          <reference field="9" count="1">
            <x v="611"/>
          </reference>
        </references>
      </pivotArea>
    </format>
    <format dxfId="3083">
      <pivotArea dataOnly="0" labelOnly="1" fieldPosition="0">
        <references count="6">
          <reference field="1" count="1" selected="0">
            <x v="18"/>
          </reference>
          <reference field="5" count="1" selected="0">
            <x v="23"/>
          </reference>
          <reference field="6" count="1" selected="0">
            <x v="37"/>
          </reference>
          <reference field="7" count="1" selected="0">
            <x v="97"/>
          </reference>
          <reference field="8" count="1" selected="0">
            <x v="50"/>
          </reference>
          <reference field="9" count="1">
            <x v="611"/>
          </reference>
        </references>
      </pivotArea>
    </format>
    <format dxfId="3082">
      <pivotArea dataOnly="0" labelOnly="1" fieldPosition="0">
        <references count="6">
          <reference field="1" count="1" selected="0">
            <x v="18"/>
          </reference>
          <reference field="5" count="1" selected="0">
            <x v="24"/>
          </reference>
          <reference field="6" count="1" selected="0">
            <x v="21"/>
          </reference>
          <reference field="7" count="1" selected="0">
            <x v="96"/>
          </reference>
          <reference field="8" count="1" selected="0">
            <x v="1118"/>
          </reference>
          <reference field="9" count="1">
            <x v="611"/>
          </reference>
        </references>
      </pivotArea>
    </format>
    <format dxfId="3081">
      <pivotArea dataOnly="0" labelOnly="1" fieldPosition="0">
        <references count="6">
          <reference field="1" count="1" selected="0">
            <x v="18"/>
          </reference>
          <reference field="5" count="1" selected="0">
            <x v="35"/>
          </reference>
          <reference field="6" count="1" selected="0">
            <x v="21"/>
          </reference>
          <reference field="7" count="1" selected="0">
            <x v="96"/>
          </reference>
          <reference field="8" count="1" selected="0">
            <x v="56"/>
          </reference>
          <reference field="9" count="1">
            <x v="611"/>
          </reference>
        </references>
      </pivotArea>
    </format>
    <format dxfId="3080">
      <pivotArea dataOnly="0" labelOnly="1" fieldPosition="0">
        <references count="6">
          <reference field="1" count="1" selected="0">
            <x v="18"/>
          </reference>
          <reference field="5" count="1" selected="0">
            <x v="35"/>
          </reference>
          <reference field="6" count="1" selected="0">
            <x v="21"/>
          </reference>
          <reference field="7" count="1" selected="0">
            <x v="96"/>
          </reference>
          <reference field="8" count="1" selected="0">
            <x v="409"/>
          </reference>
          <reference field="9" count="1">
            <x v="611"/>
          </reference>
        </references>
      </pivotArea>
    </format>
    <format dxfId="3079">
      <pivotArea dataOnly="0" labelOnly="1" fieldPosition="0">
        <references count="6">
          <reference field="1" count="1" selected="0">
            <x v="18"/>
          </reference>
          <reference field="5" count="1" selected="0">
            <x v="35"/>
          </reference>
          <reference field="6" count="1" selected="0">
            <x v="21"/>
          </reference>
          <reference field="7" count="1" selected="0">
            <x v="96"/>
          </reference>
          <reference field="8" count="1" selected="0">
            <x v="457"/>
          </reference>
          <reference field="9" count="1">
            <x v="611"/>
          </reference>
        </references>
      </pivotArea>
    </format>
    <format dxfId="3078">
      <pivotArea dataOnly="0" labelOnly="1" fieldPosition="0">
        <references count="6">
          <reference field="1" count="1" selected="0">
            <x v="18"/>
          </reference>
          <reference field="5" count="1" selected="0">
            <x v="35"/>
          </reference>
          <reference field="6" count="1" selected="0">
            <x v="21"/>
          </reference>
          <reference field="7" count="1" selected="0">
            <x v="96"/>
          </reference>
          <reference field="8" count="1" selected="0">
            <x v="786"/>
          </reference>
          <reference field="9" count="1">
            <x v="611"/>
          </reference>
        </references>
      </pivotArea>
    </format>
    <format dxfId="3077">
      <pivotArea dataOnly="0" labelOnly="1" fieldPosition="0">
        <references count="6">
          <reference field="1" count="1" selected="0">
            <x v="18"/>
          </reference>
          <reference field="5" count="1" selected="0">
            <x v="35"/>
          </reference>
          <reference field="6" count="1" selected="0">
            <x v="21"/>
          </reference>
          <reference field="7" count="1" selected="0">
            <x v="96"/>
          </reference>
          <reference field="8" count="1" selected="0">
            <x v="950"/>
          </reference>
          <reference field="9" count="1">
            <x v="611"/>
          </reference>
        </references>
      </pivotArea>
    </format>
    <format dxfId="3076">
      <pivotArea dataOnly="0" labelOnly="1" fieldPosition="0">
        <references count="6">
          <reference field="1" count="1" selected="0">
            <x v="19"/>
          </reference>
          <reference field="5" count="1" selected="0">
            <x v="0"/>
          </reference>
          <reference field="6" count="1" selected="0">
            <x v="8"/>
          </reference>
          <reference field="7" count="1" selected="0">
            <x v="98"/>
          </reference>
          <reference field="8" count="1" selected="0">
            <x v="351"/>
          </reference>
          <reference field="9" count="1">
            <x v="611"/>
          </reference>
        </references>
      </pivotArea>
    </format>
    <format dxfId="3075">
      <pivotArea dataOnly="0" labelOnly="1" fieldPosition="0">
        <references count="6">
          <reference field="1" count="1" selected="0">
            <x v="19"/>
          </reference>
          <reference field="5" count="1" selected="0">
            <x v="0"/>
          </reference>
          <reference field="6" count="1" selected="0">
            <x v="9"/>
          </reference>
          <reference field="7" count="1" selected="0">
            <x v="98"/>
          </reference>
          <reference field="8" count="1" selected="0">
            <x v="702"/>
          </reference>
          <reference field="9" count="1">
            <x v="611"/>
          </reference>
        </references>
      </pivotArea>
    </format>
    <format dxfId="3074">
      <pivotArea dataOnly="0" labelOnly="1" fieldPosition="0">
        <references count="6">
          <reference field="1" count="1" selected="0">
            <x v="19"/>
          </reference>
          <reference field="5" count="1" selected="0">
            <x v="0"/>
          </reference>
          <reference field="6" count="1" selected="0">
            <x v="9"/>
          </reference>
          <reference field="7" count="1" selected="0">
            <x v="98"/>
          </reference>
          <reference field="8" count="1" selected="0">
            <x v="958"/>
          </reference>
          <reference field="9" count="1">
            <x v="611"/>
          </reference>
        </references>
      </pivotArea>
    </format>
    <format dxfId="3073">
      <pivotArea dataOnly="0" labelOnly="1" fieldPosition="0">
        <references count="6">
          <reference field="1" count="1" selected="0">
            <x v="19"/>
          </reference>
          <reference field="5" count="1" selected="0">
            <x v="0"/>
          </reference>
          <reference field="6" count="1" selected="0">
            <x v="9"/>
          </reference>
          <reference field="7" count="1" selected="0">
            <x v="98"/>
          </reference>
          <reference field="8" count="1" selected="0">
            <x v="1417"/>
          </reference>
          <reference field="9" count="1">
            <x v="611"/>
          </reference>
        </references>
      </pivotArea>
    </format>
    <format dxfId="3072">
      <pivotArea dataOnly="0" labelOnly="1" fieldPosition="0">
        <references count="6">
          <reference field="1" count="1" selected="0">
            <x v="19"/>
          </reference>
          <reference field="5" count="1" selected="0">
            <x v="0"/>
          </reference>
          <reference field="6" count="1" selected="0">
            <x v="12"/>
          </reference>
          <reference field="7" count="1" selected="0">
            <x v="18"/>
          </reference>
          <reference field="8" count="1" selected="0">
            <x v="44"/>
          </reference>
          <reference field="9" count="1">
            <x v="611"/>
          </reference>
        </references>
      </pivotArea>
    </format>
    <format dxfId="3071">
      <pivotArea dataOnly="0" labelOnly="1" fieldPosition="0">
        <references count="6">
          <reference field="1" count="1" selected="0">
            <x v="19"/>
          </reference>
          <reference field="5" count="1" selected="0">
            <x v="0"/>
          </reference>
          <reference field="6" count="1" selected="0">
            <x v="12"/>
          </reference>
          <reference field="7" count="1" selected="0">
            <x v="68"/>
          </reference>
          <reference field="8" count="1" selected="0">
            <x v="18"/>
          </reference>
          <reference field="9" count="1">
            <x v="611"/>
          </reference>
        </references>
      </pivotArea>
    </format>
    <format dxfId="3070">
      <pivotArea dataOnly="0" labelOnly="1" fieldPosition="0">
        <references count="6">
          <reference field="1" count="1" selected="0">
            <x v="19"/>
          </reference>
          <reference field="5" count="1" selected="0">
            <x v="6"/>
          </reference>
          <reference field="6" count="1" selected="0">
            <x v="37"/>
          </reference>
          <reference field="7" count="1" selected="0">
            <x v="98"/>
          </reference>
          <reference field="8" count="1" selected="0">
            <x v="1025"/>
          </reference>
          <reference field="9" count="1">
            <x v="611"/>
          </reference>
        </references>
      </pivotArea>
    </format>
    <format dxfId="3069">
      <pivotArea dataOnly="0" labelOnly="1" fieldPosition="0">
        <references count="6">
          <reference field="1" count="1" selected="0">
            <x v="19"/>
          </reference>
          <reference field="5" count="1" selected="0">
            <x v="15"/>
          </reference>
          <reference field="6" count="1" selected="0">
            <x v="7"/>
          </reference>
          <reference field="7" count="1" selected="0">
            <x v="98"/>
          </reference>
          <reference field="8" count="1" selected="0">
            <x v="711"/>
          </reference>
          <reference field="9" count="1">
            <x v="611"/>
          </reference>
        </references>
      </pivotArea>
    </format>
    <format dxfId="3068">
      <pivotArea dataOnly="0" labelOnly="1" fieldPosition="0">
        <references count="6">
          <reference field="1" count="1" selected="0">
            <x v="19"/>
          </reference>
          <reference field="5" count="1" selected="0">
            <x v="15"/>
          </reference>
          <reference field="6" count="1" selected="0">
            <x v="8"/>
          </reference>
          <reference field="7" count="1" selected="0">
            <x v="98"/>
          </reference>
          <reference field="8" count="1" selected="0">
            <x v="794"/>
          </reference>
          <reference field="9" count="1">
            <x v="611"/>
          </reference>
        </references>
      </pivotArea>
    </format>
    <format dxfId="3067">
      <pivotArea dataOnly="0" labelOnly="1" fieldPosition="0">
        <references count="6">
          <reference field="1" count="1" selected="0">
            <x v="19"/>
          </reference>
          <reference field="5" count="1" selected="0">
            <x v="15"/>
          </reference>
          <reference field="6" count="1" selected="0">
            <x v="9"/>
          </reference>
          <reference field="7" count="1" selected="0">
            <x v="98"/>
          </reference>
          <reference field="8" count="1" selected="0">
            <x v="1213"/>
          </reference>
          <reference field="9" count="1">
            <x v="611"/>
          </reference>
        </references>
      </pivotArea>
    </format>
    <format dxfId="3066">
      <pivotArea dataOnly="0" labelOnly="1" fieldPosition="0">
        <references count="6">
          <reference field="1" count="1" selected="0">
            <x v="20"/>
          </reference>
          <reference field="5" count="1" selected="0">
            <x v="0"/>
          </reference>
          <reference field="6" count="1" selected="0">
            <x v="9"/>
          </reference>
          <reference field="7" count="1" selected="0">
            <x v="99"/>
          </reference>
          <reference field="8" count="1" selected="0">
            <x v="412"/>
          </reference>
          <reference field="9" count="1">
            <x v="611"/>
          </reference>
        </references>
      </pivotArea>
    </format>
    <format dxfId="3065">
      <pivotArea dataOnly="0" labelOnly="1" fieldPosition="0">
        <references count="6">
          <reference field="1" count="1" selected="0">
            <x v="20"/>
          </reference>
          <reference field="5" count="1" selected="0">
            <x v="0"/>
          </reference>
          <reference field="6" count="1" selected="0">
            <x v="12"/>
          </reference>
          <reference field="7" count="1" selected="0">
            <x v="46"/>
          </reference>
          <reference field="8" count="1" selected="0">
            <x v="325"/>
          </reference>
          <reference field="9" count="1">
            <x v="611"/>
          </reference>
        </references>
      </pivotArea>
    </format>
    <format dxfId="3064">
      <pivotArea dataOnly="0" labelOnly="1" fieldPosition="0">
        <references count="6">
          <reference field="1" count="1" selected="0">
            <x v="20"/>
          </reference>
          <reference field="5" count="1" selected="0">
            <x v="0"/>
          </reference>
          <reference field="6" count="1" selected="0">
            <x v="12"/>
          </reference>
          <reference field="7" count="1" selected="0">
            <x v="50"/>
          </reference>
          <reference field="8" count="1" selected="0">
            <x v="137"/>
          </reference>
          <reference field="9" count="1">
            <x v="611"/>
          </reference>
        </references>
      </pivotArea>
    </format>
    <format dxfId="3063">
      <pivotArea dataOnly="0" labelOnly="1" fieldPosition="0">
        <references count="6">
          <reference field="1" count="1" selected="0">
            <x v="20"/>
          </reference>
          <reference field="5" count="1" selected="0">
            <x v="0"/>
          </reference>
          <reference field="6" count="1" selected="0">
            <x v="12"/>
          </reference>
          <reference field="7" count="1" selected="0">
            <x v="56"/>
          </reference>
          <reference field="8" count="1" selected="0">
            <x v="194"/>
          </reference>
          <reference field="9" count="1">
            <x v="611"/>
          </reference>
        </references>
      </pivotArea>
    </format>
    <format dxfId="3062">
      <pivotArea dataOnly="0" labelOnly="1" fieldPosition="0">
        <references count="6">
          <reference field="1" count="1" selected="0">
            <x v="20"/>
          </reference>
          <reference field="5" count="1" selected="0">
            <x v="0"/>
          </reference>
          <reference field="6" count="1" selected="0">
            <x v="12"/>
          </reference>
          <reference field="7" count="1" selected="0">
            <x v="65"/>
          </reference>
          <reference field="8" count="1" selected="0">
            <x v="18"/>
          </reference>
          <reference field="9" count="1">
            <x v="611"/>
          </reference>
        </references>
      </pivotArea>
    </format>
    <format dxfId="3061">
      <pivotArea dataOnly="0" labelOnly="1" fieldPosition="0">
        <references count="6">
          <reference field="1" count="1" selected="0">
            <x v="20"/>
          </reference>
          <reference field="5" count="1" selected="0">
            <x v="3"/>
          </reference>
          <reference field="6" count="1" selected="0">
            <x v="37"/>
          </reference>
          <reference field="7" count="1" selected="0">
            <x v="99"/>
          </reference>
          <reference field="8" count="1" selected="0">
            <x v="143"/>
          </reference>
          <reference field="9" count="1">
            <x v="611"/>
          </reference>
        </references>
      </pivotArea>
    </format>
    <format dxfId="3060">
      <pivotArea dataOnly="0" labelOnly="1" fieldPosition="0">
        <references count="6">
          <reference field="1" count="1" selected="0">
            <x v="20"/>
          </reference>
          <reference field="5" count="1" selected="0">
            <x v="11"/>
          </reference>
          <reference field="6" count="1" selected="0">
            <x v="1"/>
          </reference>
          <reference field="7" count="1" selected="0">
            <x v="99"/>
          </reference>
          <reference field="8" count="1" selected="0">
            <x v="528"/>
          </reference>
          <reference field="9" count="1">
            <x v="611"/>
          </reference>
        </references>
      </pivotArea>
    </format>
    <format dxfId="3059">
      <pivotArea dataOnly="0" labelOnly="1" fieldPosition="0">
        <references count="6">
          <reference field="1" count="1" selected="0">
            <x v="20"/>
          </reference>
          <reference field="5" count="1" selected="0">
            <x v="15"/>
          </reference>
          <reference field="6" count="1" selected="0">
            <x v="32"/>
          </reference>
          <reference field="7" count="1" selected="0">
            <x v="74"/>
          </reference>
          <reference field="8" count="1" selected="0">
            <x v="1882"/>
          </reference>
          <reference field="9" count="1">
            <x v="611"/>
          </reference>
        </references>
      </pivotArea>
    </format>
    <format dxfId="3058">
      <pivotArea dataOnly="0" labelOnly="1" fieldPosition="0">
        <references count="6">
          <reference field="1" count="1" selected="0">
            <x v="20"/>
          </reference>
          <reference field="5" count="1" selected="0">
            <x v="17"/>
          </reference>
          <reference field="6" count="1" selected="0">
            <x v="6"/>
          </reference>
          <reference field="7" count="1" selected="0">
            <x v="99"/>
          </reference>
          <reference field="8" count="1" selected="0">
            <x v="1249"/>
          </reference>
          <reference field="9" count="1">
            <x v="611"/>
          </reference>
        </references>
      </pivotArea>
    </format>
    <format dxfId="3057">
      <pivotArea dataOnly="0" labelOnly="1" fieldPosition="0">
        <references count="6">
          <reference field="1" count="1" selected="0">
            <x v="20"/>
          </reference>
          <reference field="5" count="1" selected="0">
            <x v="23"/>
          </reference>
          <reference field="6" count="1" selected="0">
            <x v="9"/>
          </reference>
          <reference field="7" count="1" selected="0">
            <x v="99"/>
          </reference>
          <reference field="8" count="1" selected="0">
            <x v="1344"/>
          </reference>
          <reference field="9" count="1">
            <x v="611"/>
          </reference>
        </references>
      </pivotArea>
    </format>
    <format dxfId="3056">
      <pivotArea dataOnly="0" labelOnly="1" fieldPosition="0">
        <references count="6">
          <reference field="1" count="1" selected="0">
            <x v="21"/>
          </reference>
          <reference field="5" count="1" selected="0">
            <x v="0"/>
          </reference>
          <reference field="6" count="1" selected="0">
            <x v="9"/>
          </reference>
          <reference field="7" count="1" selected="0">
            <x v="100"/>
          </reference>
          <reference field="8" count="1" selected="0">
            <x v="1543"/>
          </reference>
          <reference field="9" count="1">
            <x v="611"/>
          </reference>
        </references>
      </pivotArea>
    </format>
    <format dxfId="3055">
      <pivotArea dataOnly="0" labelOnly="1" fieldPosition="0">
        <references count="6">
          <reference field="1" count="1" selected="0">
            <x v="21"/>
          </reference>
          <reference field="5" count="1" selected="0">
            <x v="0"/>
          </reference>
          <reference field="6" count="1" selected="0">
            <x v="12"/>
          </reference>
          <reference field="7" count="1" selected="0">
            <x v="10"/>
          </reference>
          <reference field="8" count="1" selected="0">
            <x v="90"/>
          </reference>
          <reference field="9" count="1">
            <x v="611"/>
          </reference>
        </references>
      </pivotArea>
    </format>
    <format dxfId="3054">
      <pivotArea dataOnly="0" labelOnly="1" fieldPosition="0">
        <references count="6">
          <reference field="1" count="1" selected="0">
            <x v="21"/>
          </reference>
          <reference field="5" count="1" selected="0">
            <x v="0"/>
          </reference>
          <reference field="6" count="1" selected="0">
            <x v="12"/>
          </reference>
          <reference field="7" count="1" selected="0">
            <x v="19"/>
          </reference>
          <reference field="8" count="1" selected="0">
            <x v="39"/>
          </reference>
          <reference field="9" count="1">
            <x v="611"/>
          </reference>
        </references>
      </pivotArea>
    </format>
    <format dxfId="3053">
      <pivotArea dataOnly="0" labelOnly="1" fieldPosition="0">
        <references count="6">
          <reference field="1" count="1" selected="0">
            <x v="21"/>
          </reference>
          <reference field="5" count="1" selected="0">
            <x v="0"/>
          </reference>
          <reference field="6" count="1" selected="0">
            <x v="12"/>
          </reference>
          <reference field="7" count="1" selected="0">
            <x v="30"/>
          </reference>
          <reference field="8" count="1" selected="0">
            <x v="92"/>
          </reference>
          <reference field="9" count="1">
            <x v="611"/>
          </reference>
        </references>
      </pivotArea>
    </format>
    <format dxfId="3052">
      <pivotArea dataOnly="0" labelOnly="1" fieldPosition="0">
        <references count="6">
          <reference field="1" count="1" selected="0">
            <x v="21"/>
          </reference>
          <reference field="5" count="1" selected="0">
            <x v="3"/>
          </reference>
          <reference field="6" count="1" selected="0">
            <x v="1"/>
          </reference>
          <reference field="7" count="1" selected="0">
            <x v="100"/>
          </reference>
          <reference field="8" count="1" selected="0">
            <x v="935"/>
          </reference>
          <reference field="9" count="1">
            <x v="611"/>
          </reference>
        </references>
      </pivotArea>
    </format>
    <format dxfId="3051">
      <pivotArea dataOnly="0" labelOnly="1" fieldPosition="0">
        <references count="6">
          <reference field="1" count="1" selected="0">
            <x v="21"/>
          </reference>
          <reference field="5" count="1" selected="0">
            <x v="3"/>
          </reference>
          <reference field="6" count="1" selected="0">
            <x v="6"/>
          </reference>
          <reference field="7" count="1" selected="0">
            <x v="100"/>
          </reference>
          <reference field="8" count="1" selected="0">
            <x v="387"/>
          </reference>
          <reference field="9" count="1">
            <x v="611"/>
          </reference>
        </references>
      </pivotArea>
    </format>
    <format dxfId="3050">
      <pivotArea dataOnly="0" labelOnly="1" fieldPosition="0">
        <references count="6">
          <reference field="1" count="1" selected="0">
            <x v="21"/>
          </reference>
          <reference field="5" count="1" selected="0">
            <x v="3"/>
          </reference>
          <reference field="6" count="1" selected="0">
            <x v="37"/>
          </reference>
          <reference field="7" count="1" selected="0">
            <x v="100"/>
          </reference>
          <reference field="8" count="1" selected="0">
            <x v="737"/>
          </reference>
          <reference field="9" count="1">
            <x v="611"/>
          </reference>
        </references>
      </pivotArea>
    </format>
    <format dxfId="3049">
      <pivotArea dataOnly="0" labelOnly="1" fieldPosition="0">
        <references count="6">
          <reference field="1" count="1" selected="0">
            <x v="21"/>
          </reference>
          <reference field="5" count="1" selected="0">
            <x v="9"/>
          </reference>
          <reference field="6" count="1" selected="0">
            <x v="8"/>
          </reference>
          <reference field="7" count="1" selected="0">
            <x v="100"/>
          </reference>
          <reference field="8" count="1" selected="0">
            <x v="490"/>
          </reference>
          <reference field="9" count="1">
            <x v="611"/>
          </reference>
        </references>
      </pivotArea>
    </format>
    <format dxfId="3048">
      <pivotArea dataOnly="0" labelOnly="1" fieldPosition="0">
        <references count="6">
          <reference field="1" count="1" selected="0">
            <x v="21"/>
          </reference>
          <reference field="5" count="1" selected="0">
            <x v="12"/>
          </reference>
          <reference field="6" count="1" selected="0">
            <x v="1"/>
          </reference>
          <reference field="7" count="1" selected="0">
            <x v="100"/>
          </reference>
          <reference field="8" count="1" selected="0">
            <x v="80"/>
          </reference>
          <reference field="9" count="1">
            <x v="611"/>
          </reference>
        </references>
      </pivotArea>
    </format>
    <format dxfId="3047">
      <pivotArea dataOnly="0" labelOnly="1" fieldPosition="0">
        <references count="6">
          <reference field="1" count="1" selected="0">
            <x v="21"/>
          </reference>
          <reference field="5" count="1" selected="0">
            <x v="12"/>
          </reference>
          <reference field="6" count="1" selected="0">
            <x v="1"/>
          </reference>
          <reference field="7" count="1" selected="0">
            <x v="100"/>
          </reference>
          <reference field="8" count="1" selected="0">
            <x v="702"/>
          </reference>
          <reference field="9" count="1">
            <x v="611"/>
          </reference>
        </references>
      </pivotArea>
    </format>
    <format dxfId="3046">
      <pivotArea dataOnly="0" labelOnly="1" fieldPosition="0">
        <references count="6">
          <reference field="1" count="1" selected="0">
            <x v="22"/>
          </reference>
          <reference field="5" count="1" selected="0">
            <x v="0"/>
          </reference>
          <reference field="6" count="1" selected="0">
            <x v="12"/>
          </reference>
          <reference field="7" count="1" selected="0">
            <x v="8"/>
          </reference>
          <reference field="8" count="1" selected="0">
            <x v="92"/>
          </reference>
          <reference field="9" count="1">
            <x v="611"/>
          </reference>
        </references>
      </pivotArea>
    </format>
    <format dxfId="3045">
      <pivotArea dataOnly="0" labelOnly="1" fieldPosition="0">
        <references count="6">
          <reference field="1" count="1" selected="0">
            <x v="22"/>
          </reference>
          <reference field="5" count="1" selected="0">
            <x v="0"/>
          </reference>
          <reference field="6" count="1" selected="0">
            <x v="12"/>
          </reference>
          <reference field="7" count="1" selected="0">
            <x v="25"/>
          </reference>
          <reference field="8" count="1" selected="0">
            <x v="180"/>
          </reference>
          <reference field="9" count="1">
            <x v="611"/>
          </reference>
        </references>
      </pivotArea>
    </format>
    <format dxfId="3044">
      <pivotArea dataOnly="0" labelOnly="1" fieldPosition="0">
        <references count="6">
          <reference field="1" count="1" selected="0">
            <x v="22"/>
          </reference>
          <reference field="5" count="1" selected="0">
            <x v="0"/>
          </reference>
          <reference field="6" count="1" selected="0">
            <x v="12"/>
          </reference>
          <reference field="7" count="1" selected="0">
            <x v="26"/>
          </reference>
          <reference field="8" count="1" selected="0">
            <x v="53"/>
          </reference>
          <reference field="9" count="1">
            <x v="611"/>
          </reference>
        </references>
      </pivotArea>
    </format>
    <format dxfId="3043">
      <pivotArea dataOnly="0" labelOnly="1" fieldPosition="0">
        <references count="6">
          <reference field="1" count="1" selected="0">
            <x v="22"/>
          </reference>
          <reference field="5" count="1" selected="0">
            <x v="0"/>
          </reference>
          <reference field="6" count="1" selected="0">
            <x v="12"/>
          </reference>
          <reference field="7" count="1" selected="0">
            <x v="70"/>
          </reference>
          <reference field="8" count="1" selected="0">
            <x v="18"/>
          </reference>
          <reference field="9" count="1">
            <x v="611"/>
          </reference>
        </references>
      </pivotArea>
    </format>
    <format dxfId="3042">
      <pivotArea dataOnly="0" labelOnly="1" fieldPosition="0">
        <references count="6">
          <reference field="1" count="1" selected="0">
            <x v="22"/>
          </reference>
          <reference field="5" count="1" selected="0">
            <x v="12"/>
          </reference>
          <reference field="6" count="1" selected="0">
            <x v="1"/>
          </reference>
          <reference field="7" count="1" selected="0">
            <x v="101"/>
          </reference>
          <reference field="8" count="1" selected="0">
            <x v="213"/>
          </reference>
          <reference field="9" count="1">
            <x v="611"/>
          </reference>
        </references>
      </pivotArea>
    </format>
    <format dxfId="3041">
      <pivotArea dataOnly="0" labelOnly="1" fieldPosition="0">
        <references count="6">
          <reference field="1" count="1" selected="0">
            <x v="22"/>
          </reference>
          <reference field="5" count="1" selected="0">
            <x v="23"/>
          </reference>
          <reference field="6" count="1" selected="0">
            <x v="6"/>
          </reference>
          <reference field="7" count="1" selected="0">
            <x v="101"/>
          </reference>
          <reference field="8" count="1" selected="0">
            <x v="701"/>
          </reference>
          <reference field="9" count="1">
            <x v="611"/>
          </reference>
        </references>
      </pivotArea>
    </format>
    <format dxfId="3040">
      <pivotArea dataOnly="0" labelOnly="1" fieldPosition="0">
        <references count="6">
          <reference field="1" count="1" selected="0">
            <x v="22"/>
          </reference>
          <reference field="5" count="1" selected="0">
            <x v="35"/>
          </reference>
          <reference field="6" count="1" selected="0">
            <x v="1"/>
          </reference>
          <reference field="7" count="1" selected="0">
            <x v="101"/>
          </reference>
          <reference field="8" count="1" selected="0">
            <x v="80"/>
          </reference>
          <reference field="9" count="1">
            <x v="611"/>
          </reference>
        </references>
      </pivotArea>
    </format>
    <format dxfId="3039">
      <pivotArea dataOnly="0" labelOnly="1" fieldPosition="0">
        <references count="6">
          <reference field="1" count="1" selected="0">
            <x v="23"/>
          </reference>
          <reference field="5" count="1" selected="0">
            <x v="0"/>
          </reference>
          <reference field="6" count="1" selected="0">
            <x v="8"/>
          </reference>
          <reference field="7" count="1" selected="0">
            <x v="102"/>
          </reference>
          <reference field="8" count="1" selected="0">
            <x v="1114"/>
          </reference>
          <reference field="9" count="1">
            <x v="611"/>
          </reference>
        </references>
      </pivotArea>
    </format>
    <format dxfId="3038">
      <pivotArea dataOnly="0" labelOnly="1" fieldPosition="0">
        <references count="6">
          <reference field="1" count="1" selected="0">
            <x v="23"/>
          </reference>
          <reference field="5" count="1" selected="0">
            <x v="0"/>
          </reference>
          <reference field="6" count="1" selected="0">
            <x v="9"/>
          </reference>
          <reference field="7" count="1" selected="0">
            <x v="102"/>
          </reference>
          <reference field="8" count="1" selected="0">
            <x v="170"/>
          </reference>
          <reference field="9" count="1">
            <x v="611"/>
          </reference>
        </references>
      </pivotArea>
    </format>
    <format dxfId="3037">
      <pivotArea dataOnly="0" labelOnly="1" fieldPosition="0">
        <references count="6">
          <reference field="1" count="1" selected="0">
            <x v="23"/>
          </reference>
          <reference field="5" count="1" selected="0">
            <x v="0"/>
          </reference>
          <reference field="6" count="1" selected="0">
            <x v="9"/>
          </reference>
          <reference field="7" count="1" selected="0">
            <x v="102"/>
          </reference>
          <reference field="8" count="1" selected="0">
            <x v="255"/>
          </reference>
          <reference field="9" count="1">
            <x v="611"/>
          </reference>
        </references>
      </pivotArea>
    </format>
    <format dxfId="3036">
      <pivotArea dataOnly="0" labelOnly="1" fieldPosition="0">
        <references count="6">
          <reference field="1" count="1" selected="0">
            <x v="23"/>
          </reference>
          <reference field="5" count="1" selected="0">
            <x v="0"/>
          </reference>
          <reference field="6" count="1" selected="0">
            <x v="9"/>
          </reference>
          <reference field="7" count="1" selected="0">
            <x v="102"/>
          </reference>
          <reference field="8" count="1" selected="0">
            <x v="1106"/>
          </reference>
          <reference field="9" count="1">
            <x v="611"/>
          </reference>
        </references>
      </pivotArea>
    </format>
    <format dxfId="3035">
      <pivotArea dataOnly="0" labelOnly="1" fieldPosition="0">
        <references count="6">
          <reference field="1" count="1" selected="0">
            <x v="23"/>
          </reference>
          <reference field="5" count="1" selected="0">
            <x v="0"/>
          </reference>
          <reference field="6" count="1" selected="0">
            <x v="12"/>
          </reference>
          <reference field="7" count="1" selected="0">
            <x v="31"/>
          </reference>
          <reference field="8" count="1" selected="0">
            <x v="488"/>
          </reference>
          <reference field="9" count="1">
            <x v="611"/>
          </reference>
        </references>
      </pivotArea>
    </format>
    <format dxfId="3034">
      <pivotArea dataOnly="0" labelOnly="1" fieldPosition="0">
        <references count="6">
          <reference field="1" count="1" selected="0">
            <x v="23"/>
          </reference>
          <reference field="5" count="1" selected="0">
            <x v="0"/>
          </reference>
          <reference field="6" count="1" selected="0">
            <x v="12"/>
          </reference>
          <reference field="7" count="1" selected="0">
            <x v="39"/>
          </reference>
          <reference field="8" count="1" selected="0">
            <x v="61"/>
          </reference>
          <reference field="9" count="1">
            <x v="611"/>
          </reference>
        </references>
      </pivotArea>
    </format>
    <format dxfId="3033">
      <pivotArea dataOnly="0" labelOnly="1" fieldPosition="0">
        <references count="6">
          <reference field="1" count="1" selected="0">
            <x v="23"/>
          </reference>
          <reference field="5" count="1" selected="0">
            <x v="0"/>
          </reference>
          <reference field="6" count="1" selected="0">
            <x v="12"/>
          </reference>
          <reference field="7" count="1" selected="0">
            <x v="70"/>
          </reference>
          <reference field="8" count="1" selected="0">
            <x v="18"/>
          </reference>
          <reference field="9" count="1">
            <x v="611"/>
          </reference>
        </references>
      </pivotArea>
    </format>
    <format dxfId="3032">
      <pivotArea dataOnly="0" labelOnly="1" fieldPosition="0">
        <references count="6">
          <reference field="1" count="1" selected="0">
            <x v="23"/>
          </reference>
          <reference field="5" count="1" selected="0">
            <x v="0"/>
          </reference>
          <reference field="6" count="1" selected="0">
            <x v="37"/>
          </reference>
          <reference field="7" count="1" selected="0">
            <x v="102"/>
          </reference>
          <reference field="8" count="1" selected="0">
            <x v="1137"/>
          </reference>
          <reference field="9" count="1">
            <x v="611"/>
          </reference>
        </references>
      </pivotArea>
    </format>
    <format dxfId="3031">
      <pivotArea dataOnly="0" labelOnly="1" fieldPosition="0">
        <references count="6">
          <reference field="1" count="1" selected="0">
            <x v="23"/>
          </reference>
          <reference field="5" count="1" selected="0">
            <x v="6"/>
          </reference>
          <reference field="6" count="1" selected="0">
            <x v="37"/>
          </reference>
          <reference field="7" count="1" selected="0">
            <x v="102"/>
          </reference>
          <reference field="8" count="1" selected="0">
            <x v="469"/>
          </reference>
          <reference field="9" count="1">
            <x v="611"/>
          </reference>
        </references>
      </pivotArea>
    </format>
    <format dxfId="3030">
      <pivotArea dataOnly="0" labelOnly="1" fieldPosition="0">
        <references count="6">
          <reference field="1" count="1" selected="0">
            <x v="23"/>
          </reference>
          <reference field="5" count="1" selected="0">
            <x v="9"/>
          </reference>
          <reference field="6" count="1" selected="0">
            <x v="8"/>
          </reference>
          <reference field="7" count="1" selected="0">
            <x v="102"/>
          </reference>
          <reference field="8" count="1" selected="0">
            <x v="592"/>
          </reference>
          <reference field="9" count="1">
            <x v="611"/>
          </reference>
        </references>
      </pivotArea>
    </format>
    <format dxfId="3029">
      <pivotArea dataOnly="0" labelOnly="1" fieldPosition="0">
        <references count="6">
          <reference field="1" count="1" selected="0">
            <x v="23"/>
          </reference>
          <reference field="5" count="1" selected="0">
            <x v="12"/>
          </reference>
          <reference field="6" count="1" selected="0">
            <x v="1"/>
          </reference>
          <reference field="7" count="1" selected="0">
            <x v="102"/>
          </reference>
          <reference field="8" count="1" selected="0">
            <x v="80"/>
          </reference>
          <reference field="9" count="1">
            <x v="611"/>
          </reference>
        </references>
      </pivotArea>
    </format>
    <format dxfId="3028">
      <pivotArea dataOnly="0" labelOnly="1" fieldPosition="0">
        <references count="6">
          <reference field="1" count="1" selected="0">
            <x v="23"/>
          </reference>
          <reference field="5" count="1" selected="0">
            <x v="12"/>
          </reference>
          <reference field="6" count="1" selected="0">
            <x v="1"/>
          </reference>
          <reference field="7" count="1" selected="0">
            <x v="102"/>
          </reference>
          <reference field="8" count="1" selected="0">
            <x v="213"/>
          </reference>
          <reference field="9" count="1">
            <x v="611"/>
          </reference>
        </references>
      </pivotArea>
    </format>
    <format dxfId="3027">
      <pivotArea dataOnly="0" labelOnly="1" fieldPosition="0">
        <references count="6">
          <reference field="1" count="1" selected="0">
            <x v="23"/>
          </reference>
          <reference field="5" count="1" selected="0">
            <x v="12"/>
          </reference>
          <reference field="6" count="1" selected="0">
            <x v="1"/>
          </reference>
          <reference field="7" count="1" selected="0">
            <x v="102"/>
          </reference>
          <reference field="8" count="1" selected="0">
            <x v="352"/>
          </reference>
          <reference field="9" count="1">
            <x v="611"/>
          </reference>
        </references>
      </pivotArea>
    </format>
    <format dxfId="3026">
      <pivotArea dataOnly="0" labelOnly="1" fieldPosition="0">
        <references count="6">
          <reference field="1" count="1" selected="0">
            <x v="23"/>
          </reference>
          <reference field="5" count="1" selected="0">
            <x v="12"/>
          </reference>
          <reference field="6" count="1" selected="0">
            <x v="1"/>
          </reference>
          <reference field="7" count="1" selected="0">
            <x v="102"/>
          </reference>
          <reference field="8" count="1" selected="0">
            <x v="607"/>
          </reference>
          <reference field="9" count="1">
            <x v="611"/>
          </reference>
        </references>
      </pivotArea>
    </format>
    <format dxfId="3025">
      <pivotArea dataOnly="0" labelOnly="1" fieldPosition="0">
        <references count="6">
          <reference field="1" count="1" selected="0">
            <x v="23"/>
          </reference>
          <reference field="5" count="1" selected="0">
            <x v="12"/>
          </reference>
          <reference field="6" count="1" selected="0">
            <x v="1"/>
          </reference>
          <reference field="7" count="1" selected="0">
            <x v="102"/>
          </reference>
          <reference field="8" count="1" selected="0">
            <x v="911"/>
          </reference>
          <reference field="9" count="1">
            <x v="611"/>
          </reference>
        </references>
      </pivotArea>
    </format>
    <format dxfId="3024">
      <pivotArea dataOnly="0" labelOnly="1" fieldPosition="0">
        <references count="6">
          <reference field="1" count="1" selected="0">
            <x v="23"/>
          </reference>
          <reference field="5" count="1" selected="0">
            <x v="12"/>
          </reference>
          <reference field="6" count="1" selected="0">
            <x v="37"/>
          </reference>
          <reference field="7" count="1" selected="0">
            <x v="102"/>
          </reference>
          <reference field="8" count="1" selected="0">
            <x v="248"/>
          </reference>
          <reference field="9" count="1">
            <x v="611"/>
          </reference>
        </references>
      </pivotArea>
    </format>
    <format dxfId="3023">
      <pivotArea dataOnly="0" labelOnly="1" fieldPosition="0">
        <references count="6">
          <reference field="1" count="1" selected="0">
            <x v="23"/>
          </reference>
          <reference field="5" count="1" selected="0">
            <x v="12"/>
          </reference>
          <reference field="6" count="1" selected="0">
            <x v="37"/>
          </reference>
          <reference field="7" count="1" selected="0">
            <x v="102"/>
          </reference>
          <reference field="8" count="1" selected="0">
            <x v="1192"/>
          </reference>
          <reference field="9" count="1">
            <x v="611"/>
          </reference>
        </references>
      </pivotArea>
    </format>
    <format dxfId="3022">
      <pivotArea dataOnly="0" labelOnly="1" fieldPosition="0">
        <references count="6">
          <reference field="1" count="1" selected="0">
            <x v="23"/>
          </reference>
          <reference field="5" count="1" selected="0">
            <x v="16"/>
          </reference>
          <reference field="6" count="1" selected="0">
            <x v="37"/>
          </reference>
          <reference field="7" count="1" selected="0">
            <x v="102"/>
          </reference>
          <reference field="8" count="1" selected="0">
            <x v="39"/>
          </reference>
          <reference field="9" count="1">
            <x v="611"/>
          </reference>
        </references>
      </pivotArea>
    </format>
    <format dxfId="3021">
      <pivotArea dataOnly="0" labelOnly="1" fieldPosition="0">
        <references count="6">
          <reference field="1" count="1" selected="0">
            <x v="23"/>
          </reference>
          <reference field="5" count="1" selected="0">
            <x v="19"/>
          </reference>
          <reference field="6" count="1" selected="0">
            <x v="6"/>
          </reference>
          <reference field="7" count="1" selected="0">
            <x v="102"/>
          </reference>
          <reference field="8" count="1" selected="0">
            <x v="872"/>
          </reference>
          <reference field="9" count="1">
            <x v="611"/>
          </reference>
        </references>
      </pivotArea>
    </format>
    <format dxfId="3020">
      <pivotArea dataOnly="0" labelOnly="1" fieldPosition="0">
        <references count="6">
          <reference field="1" count="1" selected="0">
            <x v="23"/>
          </reference>
          <reference field="5" count="1" selected="0">
            <x v="23"/>
          </reference>
          <reference field="6" count="1" selected="0">
            <x v="6"/>
          </reference>
          <reference field="7" count="1" selected="0">
            <x v="102"/>
          </reference>
          <reference field="8" count="1" selected="0">
            <x v="1149"/>
          </reference>
          <reference field="9" count="1">
            <x v="611"/>
          </reference>
        </references>
      </pivotArea>
    </format>
    <format dxfId="3019">
      <pivotArea dataOnly="0" labelOnly="1" fieldPosition="0">
        <references count="6">
          <reference field="1" count="1" selected="0">
            <x v="23"/>
          </reference>
          <reference field="5" count="1" selected="0">
            <x v="23"/>
          </reference>
          <reference field="6" count="1" selected="0">
            <x v="7"/>
          </reference>
          <reference field="7" count="1" selected="0">
            <x v="102"/>
          </reference>
          <reference field="8" count="1" selected="0">
            <x v="371"/>
          </reference>
          <reference field="9" count="1">
            <x v="611"/>
          </reference>
        </references>
      </pivotArea>
    </format>
    <format dxfId="3018">
      <pivotArea dataOnly="0" labelOnly="1" fieldPosition="0">
        <references count="6">
          <reference field="1" count="1" selected="0">
            <x v="23"/>
          </reference>
          <reference field="5" count="1" selected="0">
            <x v="35"/>
          </reference>
          <reference field="6" count="1" selected="0">
            <x v="1"/>
          </reference>
          <reference field="7" count="1" selected="0">
            <x v="102"/>
          </reference>
          <reference field="8" count="1" selected="0">
            <x v="80"/>
          </reference>
          <reference field="9" count="1">
            <x v="611"/>
          </reference>
        </references>
      </pivotArea>
    </format>
    <format dxfId="3017">
      <pivotArea dataOnly="0" labelOnly="1" fieldPosition="0">
        <references count="6">
          <reference field="1" count="1" selected="0">
            <x v="24"/>
          </reference>
          <reference field="5" count="1" selected="0">
            <x v="0"/>
          </reference>
          <reference field="6" count="1" selected="0">
            <x v="6"/>
          </reference>
          <reference field="7" count="1" selected="0">
            <x v="103"/>
          </reference>
          <reference field="8" count="1" selected="0">
            <x v="469"/>
          </reference>
          <reference field="9" count="1">
            <x v="611"/>
          </reference>
        </references>
      </pivotArea>
    </format>
    <format dxfId="3016">
      <pivotArea dataOnly="0" labelOnly="1" fieldPosition="0">
        <references count="6">
          <reference field="1" count="1" selected="0">
            <x v="24"/>
          </reference>
          <reference field="5" count="1" selected="0">
            <x v="0"/>
          </reference>
          <reference field="6" count="1" selected="0">
            <x v="12"/>
          </reference>
          <reference field="7" count="1" selected="0">
            <x v="6"/>
          </reference>
          <reference field="8" count="1" selected="0">
            <x v="101"/>
          </reference>
          <reference field="9" count="1">
            <x v="611"/>
          </reference>
        </references>
      </pivotArea>
    </format>
    <format dxfId="3015">
      <pivotArea dataOnly="0" labelOnly="1" fieldPosition="0">
        <references count="6">
          <reference field="1" count="1" selected="0">
            <x v="24"/>
          </reference>
          <reference field="5" count="1" selected="0">
            <x v="0"/>
          </reference>
          <reference field="6" count="1" selected="0">
            <x v="12"/>
          </reference>
          <reference field="7" count="1" selected="0">
            <x v="57"/>
          </reference>
          <reference field="8" count="1" selected="0">
            <x v="9"/>
          </reference>
          <reference field="9" count="1">
            <x v="611"/>
          </reference>
        </references>
      </pivotArea>
    </format>
    <format dxfId="3014">
      <pivotArea dataOnly="0" labelOnly="1" fieldPosition="0">
        <references count="6">
          <reference field="1" count="1" selected="0">
            <x v="24"/>
          </reference>
          <reference field="5" count="1" selected="0">
            <x v="6"/>
          </reference>
          <reference field="6" count="1" selected="0">
            <x v="37"/>
          </reference>
          <reference field="7" count="1" selected="0">
            <x v="103"/>
          </reference>
          <reference field="8" count="1" selected="0">
            <x v="607"/>
          </reference>
          <reference field="9" count="1">
            <x v="611"/>
          </reference>
        </references>
      </pivotArea>
    </format>
    <format dxfId="3013">
      <pivotArea dataOnly="0" labelOnly="1" fieldPosition="0">
        <references count="6">
          <reference field="1" count="1" selected="0">
            <x v="24"/>
          </reference>
          <reference field="5" count="1" selected="0">
            <x v="15"/>
          </reference>
          <reference field="6" count="1" selected="0">
            <x v="33"/>
          </reference>
          <reference field="7" count="1" selected="0">
            <x v="103"/>
          </reference>
          <reference field="8" count="1" selected="0">
            <x v="1879"/>
          </reference>
          <reference field="9" count="1">
            <x v="611"/>
          </reference>
        </references>
      </pivotArea>
    </format>
    <format dxfId="3012">
      <pivotArea dataOnly="0" labelOnly="1" fieldPosition="0">
        <references count="6">
          <reference field="1" count="1" selected="0">
            <x v="24"/>
          </reference>
          <reference field="5" count="1" selected="0">
            <x v="19"/>
          </reference>
          <reference field="6" count="1" selected="0">
            <x v="6"/>
          </reference>
          <reference field="7" count="1" selected="0">
            <x v="103"/>
          </reference>
          <reference field="8" count="1" selected="0">
            <x v="371"/>
          </reference>
          <reference field="9" count="1">
            <x v="611"/>
          </reference>
        </references>
      </pivotArea>
    </format>
    <format dxfId="3011">
      <pivotArea dataOnly="0" labelOnly="1" fieldPosition="0">
        <references count="6">
          <reference field="1" count="1" selected="0">
            <x v="24"/>
          </reference>
          <reference field="5" count="1" selected="0">
            <x v="23"/>
          </reference>
          <reference field="6" count="1" selected="0">
            <x v="37"/>
          </reference>
          <reference field="7" count="1" selected="0">
            <x v="103"/>
          </reference>
          <reference field="8" count="1" selected="0">
            <x v="562"/>
          </reference>
          <reference field="9" count="1">
            <x v="611"/>
          </reference>
        </references>
      </pivotArea>
    </format>
    <format dxfId="3010">
      <pivotArea dataOnly="0" labelOnly="1" fieldPosition="0">
        <references count="6">
          <reference field="1" count="1" selected="0">
            <x v="25"/>
          </reference>
          <reference field="5" count="1" selected="0">
            <x v="0"/>
          </reference>
          <reference field="6" count="1" selected="0">
            <x v="10"/>
          </reference>
          <reference field="7" count="1" selected="0">
            <x v="105"/>
          </reference>
          <reference field="8" count="1" selected="0">
            <x v="0"/>
          </reference>
          <reference field="9" count="1">
            <x v="364"/>
          </reference>
        </references>
      </pivotArea>
    </format>
    <format dxfId="3009">
      <pivotArea dataOnly="0" labelOnly="1" fieldPosition="0">
        <references count="6">
          <reference field="1" count="1" selected="0">
            <x v="25"/>
          </reference>
          <reference field="5" count="1" selected="0">
            <x v="0"/>
          </reference>
          <reference field="6" count="1" selected="0">
            <x v="12"/>
          </reference>
          <reference field="7" count="1" selected="0">
            <x v="26"/>
          </reference>
          <reference field="8" count="1" selected="0">
            <x v="52"/>
          </reference>
          <reference field="9" count="1">
            <x v="611"/>
          </reference>
        </references>
      </pivotArea>
    </format>
    <format dxfId="3008">
      <pivotArea dataOnly="0" labelOnly="1" fieldPosition="0">
        <references count="6">
          <reference field="1" count="1" selected="0">
            <x v="25"/>
          </reference>
          <reference field="5" count="1" selected="0">
            <x v="0"/>
          </reference>
          <reference field="6" count="1" selected="0">
            <x v="12"/>
          </reference>
          <reference field="7" count="1" selected="0">
            <x v="29"/>
          </reference>
          <reference field="8" count="1" selected="0">
            <x v="11"/>
          </reference>
          <reference field="9" count="1">
            <x v="611"/>
          </reference>
        </references>
      </pivotArea>
    </format>
    <format dxfId="3007">
      <pivotArea dataOnly="0" labelOnly="1" fieldPosition="0">
        <references count="6">
          <reference field="1" count="1" selected="0">
            <x v="25"/>
          </reference>
          <reference field="5" count="1" selected="0">
            <x v="0"/>
          </reference>
          <reference field="6" count="1" selected="0">
            <x v="12"/>
          </reference>
          <reference field="7" count="1" selected="0">
            <x v="53"/>
          </reference>
          <reference field="8" count="1" selected="0">
            <x v="52"/>
          </reference>
          <reference field="9" count="1">
            <x v="611"/>
          </reference>
        </references>
      </pivotArea>
    </format>
    <format dxfId="3006">
      <pivotArea dataOnly="0" labelOnly="1" fieldPosition="0">
        <references count="6">
          <reference field="1" count="1" selected="0">
            <x v="25"/>
          </reference>
          <reference field="5" count="1" selected="0">
            <x v="0"/>
          </reference>
          <reference field="6" count="1" selected="0">
            <x v="37"/>
          </reference>
          <reference field="7" count="1" selected="0">
            <x v="105"/>
          </reference>
          <reference field="8" count="1" selected="0">
            <x v="1348"/>
          </reference>
          <reference field="9" count="1">
            <x v="611"/>
          </reference>
        </references>
      </pivotArea>
    </format>
    <format dxfId="3005">
      <pivotArea dataOnly="0" labelOnly="1" fieldPosition="0">
        <references count="6">
          <reference field="1" count="1" selected="0">
            <x v="25"/>
          </reference>
          <reference field="5" count="1" selected="0">
            <x v="0"/>
          </reference>
          <reference field="6" count="1" selected="0">
            <x v="37"/>
          </reference>
          <reference field="7" count="1" selected="0">
            <x v="105"/>
          </reference>
          <reference field="8" count="1" selected="0">
            <x v="1674"/>
          </reference>
          <reference field="9" count="1">
            <x v="611"/>
          </reference>
        </references>
      </pivotArea>
    </format>
    <format dxfId="3004">
      <pivotArea dataOnly="0" labelOnly="1" fieldPosition="0">
        <references count="6">
          <reference field="1" count="1" selected="0">
            <x v="25"/>
          </reference>
          <reference field="5" count="1" selected="0">
            <x v="2"/>
          </reference>
          <reference field="6" count="1" selected="0">
            <x v="28"/>
          </reference>
          <reference field="7" count="1" selected="0">
            <x v="104"/>
          </reference>
          <reference field="8" count="1" selected="0">
            <x v="34"/>
          </reference>
          <reference field="9" count="1">
            <x v="611"/>
          </reference>
        </references>
      </pivotArea>
    </format>
    <format dxfId="3003">
      <pivotArea dataOnly="0" labelOnly="1" fieldPosition="0">
        <references count="6">
          <reference field="1" count="1" selected="0">
            <x v="25"/>
          </reference>
          <reference field="5" count="1" selected="0">
            <x v="8"/>
          </reference>
          <reference field="6" count="1" selected="0">
            <x v="37"/>
          </reference>
          <reference field="7" count="1" selected="0">
            <x v="105"/>
          </reference>
          <reference field="8" count="1" selected="0">
            <x v="1165"/>
          </reference>
          <reference field="9" count="1">
            <x v="611"/>
          </reference>
        </references>
      </pivotArea>
    </format>
    <format dxfId="3002">
      <pivotArea dataOnly="0" labelOnly="1" fieldPosition="0">
        <references count="6">
          <reference field="1" count="1" selected="0">
            <x v="25"/>
          </reference>
          <reference field="5" count="1" selected="0">
            <x v="10"/>
          </reference>
          <reference field="6" count="1" selected="0">
            <x v="38"/>
          </reference>
          <reference field="7" count="1" selected="0">
            <x v="105"/>
          </reference>
          <reference field="8" count="1" selected="0">
            <x v="1500"/>
          </reference>
          <reference field="9" count="1">
            <x v="611"/>
          </reference>
        </references>
      </pivotArea>
    </format>
    <format dxfId="3001">
      <pivotArea dataOnly="0" labelOnly="1" fieldPosition="0">
        <references count="6">
          <reference field="1" count="1" selected="0">
            <x v="25"/>
          </reference>
          <reference field="5" count="1" selected="0">
            <x v="12"/>
          </reference>
          <reference field="6" count="1" selected="0">
            <x v="1"/>
          </reference>
          <reference field="7" count="1" selected="0">
            <x v="105"/>
          </reference>
          <reference field="8" count="1" selected="0">
            <x v="80"/>
          </reference>
          <reference field="9" count="1">
            <x v="611"/>
          </reference>
        </references>
      </pivotArea>
    </format>
    <format dxfId="3000">
      <pivotArea dataOnly="0" labelOnly="1" fieldPosition="0">
        <references count="6">
          <reference field="1" count="1" selected="0">
            <x v="25"/>
          </reference>
          <reference field="5" count="1" selected="0">
            <x v="12"/>
          </reference>
          <reference field="6" count="1" selected="0">
            <x v="1"/>
          </reference>
          <reference field="7" count="1" selected="0">
            <x v="105"/>
          </reference>
          <reference field="8" count="1" selected="0">
            <x v="213"/>
          </reference>
          <reference field="9" count="1">
            <x v="611"/>
          </reference>
        </references>
      </pivotArea>
    </format>
    <format dxfId="2999">
      <pivotArea dataOnly="0" labelOnly="1" fieldPosition="0">
        <references count="6">
          <reference field="1" count="1" selected="0">
            <x v="25"/>
          </reference>
          <reference field="5" count="1" selected="0">
            <x v="12"/>
          </reference>
          <reference field="6" count="1" selected="0">
            <x v="1"/>
          </reference>
          <reference field="7" count="1" selected="0">
            <x v="105"/>
          </reference>
          <reference field="8" count="1" selected="0">
            <x v="352"/>
          </reference>
          <reference field="9" count="1">
            <x v="611"/>
          </reference>
        </references>
      </pivotArea>
    </format>
    <format dxfId="2998">
      <pivotArea dataOnly="0" labelOnly="1" fieldPosition="0">
        <references count="6">
          <reference field="1" count="1" selected="0">
            <x v="25"/>
          </reference>
          <reference field="5" count="1" selected="0">
            <x v="12"/>
          </reference>
          <reference field="6" count="1" selected="0">
            <x v="1"/>
          </reference>
          <reference field="7" count="1" selected="0">
            <x v="105"/>
          </reference>
          <reference field="8" count="1" selected="0">
            <x v="500"/>
          </reference>
          <reference field="9" count="1">
            <x v="611"/>
          </reference>
        </references>
      </pivotArea>
    </format>
    <format dxfId="2997">
      <pivotArea dataOnly="0" labelOnly="1" fieldPosition="0">
        <references count="6">
          <reference field="1" count="1" selected="0">
            <x v="25"/>
          </reference>
          <reference field="5" count="1" selected="0">
            <x v="12"/>
          </reference>
          <reference field="6" count="1" selected="0">
            <x v="1"/>
          </reference>
          <reference field="7" count="1" selected="0">
            <x v="105"/>
          </reference>
          <reference field="8" count="1" selected="0">
            <x v="964"/>
          </reference>
          <reference field="9" count="1">
            <x v="611"/>
          </reference>
        </references>
      </pivotArea>
    </format>
    <format dxfId="2996">
      <pivotArea dataOnly="0" labelOnly="1" fieldPosition="0">
        <references count="6">
          <reference field="1" count="1" selected="0">
            <x v="25"/>
          </reference>
          <reference field="5" count="1" selected="0">
            <x v="12"/>
          </reference>
          <reference field="6" count="1" selected="0">
            <x v="1"/>
          </reference>
          <reference field="7" count="1" selected="0">
            <x v="105"/>
          </reference>
          <reference field="8" count="1" selected="0">
            <x v="1069"/>
          </reference>
          <reference field="9" count="1">
            <x v="611"/>
          </reference>
        </references>
      </pivotArea>
    </format>
    <format dxfId="2995">
      <pivotArea dataOnly="0" labelOnly="1" fieldPosition="0">
        <references count="6">
          <reference field="1" count="1" selected="0">
            <x v="25"/>
          </reference>
          <reference field="5" count="1" selected="0">
            <x v="15"/>
          </reference>
          <reference field="6" count="1" selected="0">
            <x v="38"/>
          </reference>
          <reference field="7" count="1" selected="0">
            <x v="105"/>
          </reference>
          <reference field="8" count="1" selected="0">
            <x v="1274"/>
          </reference>
          <reference field="9" count="1">
            <x v="611"/>
          </reference>
        </references>
      </pivotArea>
    </format>
    <format dxfId="2994">
      <pivotArea dataOnly="0" labelOnly="1" fieldPosition="0">
        <references count="6">
          <reference field="1" count="1" selected="0">
            <x v="25"/>
          </reference>
          <reference field="5" count="1" selected="0">
            <x v="21"/>
          </reference>
          <reference field="6" count="1" selected="0">
            <x v="38"/>
          </reference>
          <reference field="7" count="1" selected="0">
            <x v="105"/>
          </reference>
          <reference field="8" count="1" selected="0">
            <x v="1274"/>
          </reference>
          <reference field="9" count="1">
            <x v="611"/>
          </reference>
        </references>
      </pivotArea>
    </format>
    <format dxfId="2993">
      <pivotArea dataOnly="0" labelOnly="1" fieldPosition="0">
        <references count="6">
          <reference field="1" count="1" selected="0">
            <x v="25"/>
          </reference>
          <reference field="5" count="1" selected="0">
            <x v="23"/>
          </reference>
          <reference field="6" count="1" selected="0">
            <x v="38"/>
          </reference>
          <reference field="7" count="1" selected="0">
            <x v="105"/>
          </reference>
          <reference field="8" count="1" selected="0">
            <x v="1858"/>
          </reference>
          <reference field="9" count="1">
            <x v="611"/>
          </reference>
        </references>
      </pivotArea>
    </format>
    <format dxfId="2992">
      <pivotArea dataOnly="0" labelOnly="1" fieldPosition="0">
        <references count="6">
          <reference field="1" count="1" selected="0">
            <x v="25"/>
          </reference>
          <reference field="5" count="1" selected="0">
            <x v="36"/>
          </reference>
          <reference field="6" count="1" selected="0">
            <x v="1"/>
          </reference>
          <reference field="7" count="1" selected="0">
            <x v="105"/>
          </reference>
          <reference field="8" count="1" selected="0">
            <x v="351"/>
          </reference>
          <reference field="9" count="1">
            <x v="611"/>
          </reference>
        </references>
      </pivotArea>
    </format>
    <format dxfId="2991">
      <pivotArea dataOnly="0" labelOnly="1" fieldPosition="0">
        <references count="6">
          <reference field="1" count="1" selected="0">
            <x v="26"/>
          </reference>
          <reference field="5" count="1" selected="0">
            <x v="0"/>
          </reference>
          <reference field="6" count="1" selected="0">
            <x v="6"/>
          </reference>
          <reference field="7" count="1" selected="0">
            <x v="106"/>
          </reference>
          <reference field="8" count="1" selected="0">
            <x v="248"/>
          </reference>
          <reference field="9" count="1">
            <x v="611"/>
          </reference>
        </references>
      </pivotArea>
    </format>
    <format dxfId="2990">
      <pivotArea dataOnly="0" labelOnly="1" fieldPosition="0">
        <references count="6">
          <reference field="1" count="1" selected="0">
            <x v="26"/>
          </reference>
          <reference field="5" count="1" selected="0">
            <x v="0"/>
          </reference>
          <reference field="6" count="1" selected="0">
            <x v="9"/>
          </reference>
          <reference field="7" count="1" selected="0">
            <x v="106"/>
          </reference>
          <reference field="8" count="1" selected="0">
            <x v="212"/>
          </reference>
          <reference field="9" count="1">
            <x v="611"/>
          </reference>
        </references>
      </pivotArea>
    </format>
    <format dxfId="2989">
      <pivotArea dataOnly="0" labelOnly="1" fieldPosition="0">
        <references count="6">
          <reference field="1" count="1" selected="0">
            <x v="26"/>
          </reference>
          <reference field="5" count="1" selected="0">
            <x v="0"/>
          </reference>
          <reference field="6" count="1" selected="0">
            <x v="9"/>
          </reference>
          <reference field="7" count="1" selected="0">
            <x v="106"/>
          </reference>
          <reference field="8" count="1" selected="0">
            <x v="350"/>
          </reference>
          <reference field="9" count="1">
            <x v="611"/>
          </reference>
        </references>
      </pivotArea>
    </format>
    <format dxfId="2988">
      <pivotArea dataOnly="0" labelOnly="1" fieldPosition="0">
        <references count="6">
          <reference field="1" count="1" selected="0">
            <x v="26"/>
          </reference>
          <reference field="5" count="1" selected="0">
            <x v="0"/>
          </reference>
          <reference field="6" count="1" selected="0">
            <x v="9"/>
          </reference>
          <reference field="7" count="1" selected="0">
            <x v="106"/>
          </reference>
          <reference field="8" count="1" selected="0">
            <x v="510"/>
          </reference>
          <reference field="9" count="1">
            <x v="611"/>
          </reference>
        </references>
      </pivotArea>
    </format>
    <format dxfId="2987">
      <pivotArea dataOnly="0" labelOnly="1" fieldPosition="0">
        <references count="6">
          <reference field="1" count="1" selected="0">
            <x v="26"/>
          </reference>
          <reference field="5" count="1" selected="0">
            <x v="0"/>
          </reference>
          <reference field="6" count="1" selected="0">
            <x v="9"/>
          </reference>
          <reference field="7" count="1" selected="0">
            <x v="106"/>
          </reference>
          <reference field="8" count="1" selected="0">
            <x v="572"/>
          </reference>
          <reference field="9" count="1">
            <x v="611"/>
          </reference>
        </references>
      </pivotArea>
    </format>
    <format dxfId="2986">
      <pivotArea dataOnly="0" labelOnly="1" fieldPosition="0">
        <references count="6">
          <reference field="1" count="1" selected="0">
            <x v="26"/>
          </reference>
          <reference field="5" count="1" selected="0">
            <x v="0"/>
          </reference>
          <reference field="6" count="1" selected="0">
            <x v="9"/>
          </reference>
          <reference field="7" count="1" selected="0">
            <x v="106"/>
          </reference>
          <reference field="8" count="1" selected="0">
            <x v="664"/>
          </reference>
          <reference field="9" count="1">
            <x v="611"/>
          </reference>
        </references>
      </pivotArea>
    </format>
    <format dxfId="2985">
      <pivotArea dataOnly="0" labelOnly="1" fieldPosition="0">
        <references count="6">
          <reference field="1" count="1" selected="0">
            <x v="26"/>
          </reference>
          <reference field="5" count="1" selected="0">
            <x v="0"/>
          </reference>
          <reference field="6" count="1" selected="0">
            <x v="9"/>
          </reference>
          <reference field="7" count="1" selected="0">
            <x v="106"/>
          </reference>
          <reference field="8" count="1" selected="0">
            <x v="867"/>
          </reference>
          <reference field="9" count="1">
            <x v="611"/>
          </reference>
        </references>
      </pivotArea>
    </format>
    <format dxfId="2984">
      <pivotArea dataOnly="0" labelOnly="1" fieldPosition="0">
        <references count="6">
          <reference field="1" count="1" selected="0">
            <x v="26"/>
          </reference>
          <reference field="5" count="1" selected="0">
            <x v="0"/>
          </reference>
          <reference field="6" count="1" selected="0">
            <x v="9"/>
          </reference>
          <reference field="7" count="1" selected="0">
            <x v="106"/>
          </reference>
          <reference field="8" count="1" selected="0">
            <x v="963"/>
          </reference>
          <reference field="9" count="1">
            <x v="611"/>
          </reference>
        </references>
      </pivotArea>
    </format>
    <format dxfId="2983">
      <pivotArea dataOnly="0" labelOnly="1" fieldPosition="0">
        <references count="6">
          <reference field="1" count="1" selected="0">
            <x v="26"/>
          </reference>
          <reference field="5" count="1" selected="0">
            <x v="0"/>
          </reference>
          <reference field="6" count="1" selected="0">
            <x v="12"/>
          </reference>
          <reference field="7" count="1" selected="0">
            <x v="26"/>
          </reference>
          <reference field="8" count="1" selected="0">
            <x v="52"/>
          </reference>
          <reference field="9" count="1">
            <x v="611"/>
          </reference>
        </references>
      </pivotArea>
    </format>
    <format dxfId="2982">
      <pivotArea dataOnly="0" labelOnly="1" fieldPosition="0">
        <references count="6">
          <reference field="1" count="1" selected="0">
            <x v="26"/>
          </reference>
          <reference field="5" count="1" selected="0">
            <x v="0"/>
          </reference>
          <reference field="6" count="1" selected="0">
            <x v="12"/>
          </reference>
          <reference field="7" count="1" selected="0">
            <x v="50"/>
          </reference>
          <reference field="8" count="1" selected="0">
            <x v="248"/>
          </reference>
          <reference field="9" count="1">
            <x v="611"/>
          </reference>
        </references>
      </pivotArea>
    </format>
    <format dxfId="2981">
      <pivotArea dataOnly="0" labelOnly="1" fieldPosition="0">
        <references count="6">
          <reference field="1" count="1" selected="0">
            <x v="26"/>
          </reference>
          <reference field="5" count="1" selected="0">
            <x v="0"/>
          </reference>
          <reference field="6" count="1" selected="0">
            <x v="37"/>
          </reference>
          <reference field="7" count="1" selected="0">
            <x v="106"/>
          </reference>
          <reference field="8" count="1" selected="0">
            <x v="685"/>
          </reference>
          <reference field="9" count="1">
            <x v="611"/>
          </reference>
        </references>
      </pivotArea>
    </format>
    <format dxfId="2980">
      <pivotArea dataOnly="0" labelOnly="1" fieldPosition="0">
        <references count="6">
          <reference field="1" count="1" selected="0">
            <x v="26"/>
          </reference>
          <reference field="5" count="1" selected="0">
            <x v="0"/>
          </reference>
          <reference field="6" count="1" selected="0">
            <x v="37"/>
          </reference>
          <reference field="7" count="1" selected="0">
            <x v="106"/>
          </reference>
          <reference field="8" count="1" selected="0">
            <x v="1547"/>
          </reference>
          <reference field="9" count="1">
            <x v="611"/>
          </reference>
        </references>
      </pivotArea>
    </format>
    <format dxfId="2979">
      <pivotArea dataOnly="0" labelOnly="1" fieldPosition="0">
        <references count="6">
          <reference field="1" count="1" selected="0">
            <x v="26"/>
          </reference>
          <reference field="5" count="1" selected="0">
            <x v="5"/>
          </reference>
          <reference field="6" count="1" selected="0">
            <x v="37"/>
          </reference>
          <reference field="7" count="1" selected="0">
            <x v="106"/>
          </reference>
          <reference field="8" count="1" selected="0">
            <x v="1334"/>
          </reference>
          <reference field="9" count="1">
            <x v="611"/>
          </reference>
        </references>
      </pivotArea>
    </format>
    <format dxfId="2978">
      <pivotArea dataOnly="0" labelOnly="1" fieldPosition="0">
        <references count="6">
          <reference field="1" count="1" selected="0">
            <x v="26"/>
          </reference>
          <reference field="5" count="1" selected="0">
            <x v="9"/>
          </reference>
          <reference field="6" count="1" selected="0">
            <x v="8"/>
          </reference>
          <reference field="7" count="1" selected="0">
            <x v="106"/>
          </reference>
          <reference field="8" count="1" selected="0">
            <x v="428"/>
          </reference>
          <reference field="9" count="1">
            <x v="611"/>
          </reference>
        </references>
      </pivotArea>
    </format>
    <format dxfId="2977">
      <pivotArea dataOnly="0" labelOnly="1" fieldPosition="0">
        <references count="6">
          <reference field="1" count="1" selected="0">
            <x v="26"/>
          </reference>
          <reference field="5" count="1" selected="0">
            <x v="12"/>
          </reference>
          <reference field="6" count="1" selected="0">
            <x v="0"/>
          </reference>
          <reference field="7" count="1" selected="0">
            <x v="106"/>
          </reference>
          <reference field="8" count="1" selected="0">
            <x v="80"/>
          </reference>
          <reference field="9" count="1">
            <x v="611"/>
          </reference>
        </references>
      </pivotArea>
    </format>
    <format dxfId="2976">
      <pivotArea dataOnly="0" labelOnly="1" fieldPosition="0">
        <references count="6">
          <reference field="1" count="1" selected="0">
            <x v="26"/>
          </reference>
          <reference field="5" count="1" selected="0">
            <x v="12"/>
          </reference>
          <reference field="6" count="1" selected="0">
            <x v="1"/>
          </reference>
          <reference field="7" count="1" selected="0">
            <x v="106"/>
          </reference>
          <reference field="8" count="1" selected="0">
            <x v="352"/>
          </reference>
          <reference field="9" count="1">
            <x v="611"/>
          </reference>
        </references>
      </pivotArea>
    </format>
    <format dxfId="2975">
      <pivotArea dataOnly="0" labelOnly="1" fieldPosition="0">
        <references count="6">
          <reference field="1" count="1" selected="0">
            <x v="26"/>
          </reference>
          <reference field="5" count="1" selected="0">
            <x v="12"/>
          </reference>
          <reference field="6" count="1" selected="0">
            <x v="1"/>
          </reference>
          <reference field="7" count="1" selected="0">
            <x v="106"/>
          </reference>
          <reference field="8" count="1" selected="0">
            <x v="500"/>
          </reference>
          <reference field="9" count="1">
            <x v="611"/>
          </reference>
        </references>
      </pivotArea>
    </format>
    <format dxfId="2974">
      <pivotArea dataOnly="0" labelOnly="1" fieldPosition="0">
        <references count="6">
          <reference field="1" count="1" selected="0">
            <x v="26"/>
          </reference>
          <reference field="5" count="1" selected="0">
            <x v="15"/>
          </reference>
          <reference field="6" count="1" selected="0">
            <x v="9"/>
          </reference>
          <reference field="7" count="1" selected="0">
            <x v="106"/>
          </reference>
          <reference field="8" count="1" selected="0">
            <x v="466"/>
          </reference>
          <reference field="9" count="1">
            <x v="611"/>
          </reference>
        </references>
      </pivotArea>
    </format>
    <format dxfId="2973">
      <pivotArea dataOnly="0" labelOnly="1" fieldPosition="0">
        <references count="6">
          <reference field="1" count="1" selected="0">
            <x v="26"/>
          </reference>
          <reference field="5" count="1" selected="0">
            <x v="19"/>
          </reference>
          <reference field="6" count="1" selected="0">
            <x v="37"/>
          </reference>
          <reference field="7" count="1" selected="0">
            <x v="106"/>
          </reference>
          <reference field="8" count="1" selected="0">
            <x v="633"/>
          </reference>
          <reference field="9" count="1">
            <x v="611"/>
          </reference>
        </references>
      </pivotArea>
    </format>
    <format dxfId="2972">
      <pivotArea dataOnly="0" labelOnly="1" fieldPosition="0">
        <references count="6">
          <reference field="1" count="1" selected="0">
            <x v="26"/>
          </reference>
          <reference field="5" count="1" selected="0">
            <x v="27"/>
          </reference>
          <reference field="6" count="1" selected="0">
            <x v="6"/>
          </reference>
          <reference field="7" count="1" selected="0">
            <x v="106"/>
          </reference>
          <reference field="8" count="1" selected="0">
            <x v="1459"/>
          </reference>
          <reference field="9" count="1">
            <x v="611"/>
          </reference>
        </references>
      </pivotArea>
    </format>
    <format dxfId="2971">
      <pivotArea dataOnly="0" labelOnly="1" fieldPosition="0">
        <references count="6">
          <reference field="1" count="1" selected="0">
            <x v="27"/>
          </reference>
          <reference field="5" count="1" selected="0">
            <x v="0"/>
          </reference>
          <reference field="6" count="1" selected="0">
            <x v="12"/>
          </reference>
          <reference field="7" count="1" selected="0">
            <x v="60"/>
          </reference>
          <reference field="8" count="1" selected="0">
            <x v="9"/>
          </reference>
          <reference field="9" count="1">
            <x v="611"/>
          </reference>
        </references>
      </pivotArea>
    </format>
    <format dxfId="2970">
      <pivotArea dataOnly="0" labelOnly="1" fieldPosition="0">
        <references count="6">
          <reference field="1" count="1" selected="0">
            <x v="27"/>
          </reference>
          <reference field="5" count="1" selected="0">
            <x v="0"/>
          </reference>
          <reference field="6" count="1" selected="0">
            <x v="37"/>
          </reference>
          <reference field="7" count="1" selected="0">
            <x v="107"/>
          </reference>
          <reference field="8" count="1" selected="0">
            <x v="371"/>
          </reference>
          <reference field="9" count="1">
            <x v="611"/>
          </reference>
        </references>
      </pivotArea>
    </format>
    <format dxfId="2969">
      <pivotArea dataOnly="0" labelOnly="1" fieldPosition="0">
        <references count="6">
          <reference field="1" count="1" selected="0">
            <x v="27"/>
          </reference>
          <reference field="5" count="1" selected="0">
            <x v="8"/>
          </reference>
          <reference field="6" count="1" selected="0">
            <x v="37"/>
          </reference>
          <reference field="7" count="1" selected="0">
            <x v="107"/>
          </reference>
          <reference field="8" count="1" selected="0">
            <x v="1525"/>
          </reference>
          <reference field="9" count="1">
            <x v="611"/>
          </reference>
        </references>
      </pivotArea>
    </format>
    <format dxfId="2968">
      <pivotArea dataOnly="0" labelOnly="1" fieldPosition="0">
        <references count="6">
          <reference field="1" count="1" selected="0">
            <x v="27"/>
          </reference>
          <reference field="5" count="1" selected="0">
            <x v="12"/>
          </reference>
          <reference field="6" count="1" selected="0">
            <x v="1"/>
          </reference>
          <reference field="7" count="1" selected="0">
            <x v="107"/>
          </reference>
          <reference field="8" count="1" selected="0">
            <x v="213"/>
          </reference>
          <reference field="9" count="1">
            <x v="611"/>
          </reference>
        </references>
      </pivotArea>
    </format>
    <format dxfId="2967">
      <pivotArea dataOnly="0" labelOnly="1" fieldPosition="0">
        <references count="6">
          <reference field="1" count="1" selected="0">
            <x v="27"/>
          </reference>
          <reference field="5" count="1" selected="0">
            <x v="23"/>
          </reference>
          <reference field="6" count="1" selected="0">
            <x v="37"/>
          </reference>
          <reference field="7" count="1" selected="0">
            <x v="107"/>
          </reference>
          <reference field="8" count="1" selected="0">
            <x v="121"/>
          </reference>
          <reference field="9" count="1">
            <x v="611"/>
          </reference>
        </references>
      </pivotArea>
    </format>
    <format dxfId="2966">
      <pivotArea dataOnly="0" labelOnly="1" fieldPosition="0">
        <references count="6">
          <reference field="1" count="1" selected="0">
            <x v="28"/>
          </reference>
          <reference field="5" count="1" selected="0">
            <x v="0"/>
          </reference>
          <reference field="6" count="1" selected="0">
            <x v="7"/>
          </reference>
          <reference field="7" count="1" selected="0">
            <x v="108"/>
          </reference>
          <reference field="8" count="1" selected="0">
            <x v="503"/>
          </reference>
          <reference field="9" count="1">
            <x v="611"/>
          </reference>
        </references>
      </pivotArea>
    </format>
    <format dxfId="2965">
      <pivotArea dataOnly="0" labelOnly="1" fieldPosition="0">
        <references count="6">
          <reference field="1" count="1" selected="0">
            <x v="28"/>
          </reference>
          <reference field="5" count="1" selected="0">
            <x v="0"/>
          </reference>
          <reference field="6" count="1" selected="0">
            <x v="9"/>
          </reference>
          <reference field="7" count="1" selected="0">
            <x v="108"/>
          </reference>
          <reference field="8" count="1" selected="0">
            <x v="230"/>
          </reference>
          <reference field="9" count="1">
            <x v="611"/>
          </reference>
        </references>
      </pivotArea>
    </format>
    <format dxfId="2964">
      <pivotArea dataOnly="0" labelOnly="1" fieldPosition="0">
        <references count="6">
          <reference field="1" count="1" selected="0">
            <x v="28"/>
          </reference>
          <reference field="5" count="1" selected="0">
            <x v="0"/>
          </reference>
          <reference field="6" count="1" selected="0">
            <x v="9"/>
          </reference>
          <reference field="7" count="1" selected="0">
            <x v="108"/>
          </reference>
          <reference field="8" count="1" selected="0">
            <x v="248"/>
          </reference>
          <reference field="9" count="1">
            <x v="611"/>
          </reference>
        </references>
      </pivotArea>
    </format>
    <format dxfId="2963">
      <pivotArea dataOnly="0" labelOnly="1" fieldPosition="0">
        <references count="6">
          <reference field="1" count="1" selected="0">
            <x v="28"/>
          </reference>
          <reference field="5" count="1" selected="0">
            <x v="0"/>
          </reference>
          <reference field="6" count="1" selected="0">
            <x v="9"/>
          </reference>
          <reference field="7" count="1" selected="0">
            <x v="108"/>
          </reference>
          <reference field="8" count="1" selected="0">
            <x v="485"/>
          </reference>
          <reference field="9" count="1">
            <x v="611"/>
          </reference>
        </references>
      </pivotArea>
    </format>
    <format dxfId="2962">
      <pivotArea dataOnly="0" labelOnly="1" fieldPosition="0">
        <references count="6">
          <reference field="1" count="1" selected="0">
            <x v="28"/>
          </reference>
          <reference field="5" count="1" selected="0">
            <x v="0"/>
          </reference>
          <reference field="6" count="1" selected="0">
            <x v="9"/>
          </reference>
          <reference field="7" count="1" selected="0">
            <x v="108"/>
          </reference>
          <reference field="8" count="1" selected="0">
            <x v="712"/>
          </reference>
          <reference field="9" count="1">
            <x v="611"/>
          </reference>
        </references>
      </pivotArea>
    </format>
    <format dxfId="2961">
      <pivotArea dataOnly="0" labelOnly="1" fieldPosition="0">
        <references count="6">
          <reference field="1" count="1" selected="0">
            <x v="28"/>
          </reference>
          <reference field="5" count="1" selected="0">
            <x v="0"/>
          </reference>
          <reference field="6" count="1" selected="0">
            <x v="9"/>
          </reference>
          <reference field="7" count="1" selected="0">
            <x v="108"/>
          </reference>
          <reference field="8" count="1" selected="0">
            <x v="871"/>
          </reference>
          <reference field="9" count="1">
            <x v="611"/>
          </reference>
        </references>
      </pivotArea>
    </format>
    <format dxfId="2960">
      <pivotArea dataOnly="0" labelOnly="1" fieldPosition="0">
        <references count="6">
          <reference field="1" count="1" selected="0">
            <x v="28"/>
          </reference>
          <reference field="5" count="1" selected="0">
            <x v="0"/>
          </reference>
          <reference field="6" count="1" selected="0">
            <x v="9"/>
          </reference>
          <reference field="7" count="1" selected="0">
            <x v="108"/>
          </reference>
          <reference field="8" count="1" selected="0">
            <x v="1103"/>
          </reference>
          <reference field="9" count="1">
            <x v="611"/>
          </reference>
        </references>
      </pivotArea>
    </format>
    <format dxfId="2959">
      <pivotArea dataOnly="0" labelOnly="1" fieldPosition="0">
        <references count="6">
          <reference field="1" count="1" selected="0">
            <x v="28"/>
          </reference>
          <reference field="5" count="1" selected="0">
            <x v="0"/>
          </reference>
          <reference field="6" count="1" selected="0">
            <x v="10"/>
          </reference>
          <reference field="7" count="1" selected="0">
            <x v="108"/>
          </reference>
          <reference field="8" count="1" selected="0">
            <x v="433"/>
          </reference>
          <reference field="9" count="1">
            <x v="611"/>
          </reference>
        </references>
      </pivotArea>
    </format>
    <format dxfId="2958">
      <pivotArea dataOnly="0" labelOnly="1" fieldPosition="0">
        <references count="6">
          <reference field="1" count="1" selected="0">
            <x v="28"/>
          </reference>
          <reference field="5" count="1" selected="0">
            <x v="0"/>
          </reference>
          <reference field="6" count="1" selected="0">
            <x v="12"/>
          </reference>
          <reference field="7" count="1" selected="0">
            <x v="65"/>
          </reference>
          <reference field="8" count="1" selected="0">
            <x v="11"/>
          </reference>
          <reference field="9" count="1">
            <x v="611"/>
          </reference>
        </references>
      </pivotArea>
    </format>
    <format dxfId="2957">
      <pivotArea dataOnly="0" labelOnly="1" fieldPosition="0">
        <references count="6">
          <reference field="1" count="1" selected="0">
            <x v="28"/>
          </reference>
          <reference field="5" count="1" selected="0">
            <x v="12"/>
          </reference>
          <reference field="6" count="1" selected="0">
            <x v="1"/>
          </reference>
          <reference field="7" count="1" selected="0">
            <x v="108"/>
          </reference>
          <reference field="8" count="1" selected="0">
            <x v="80"/>
          </reference>
          <reference field="9" count="1">
            <x v="611"/>
          </reference>
        </references>
      </pivotArea>
    </format>
    <format dxfId="2956">
      <pivotArea dataOnly="0" labelOnly="1" fieldPosition="0">
        <references count="6">
          <reference field="1" count="1" selected="0">
            <x v="28"/>
          </reference>
          <reference field="5" count="1" selected="0">
            <x v="12"/>
          </reference>
          <reference field="6" count="1" selected="0">
            <x v="1"/>
          </reference>
          <reference field="7" count="1" selected="0">
            <x v="108"/>
          </reference>
          <reference field="8" count="1" selected="0">
            <x v="213"/>
          </reference>
          <reference field="9" count="1">
            <x v="611"/>
          </reference>
        </references>
      </pivotArea>
    </format>
    <format dxfId="2955">
      <pivotArea dataOnly="0" labelOnly="1" fieldPosition="0">
        <references count="6">
          <reference field="1" count="1" selected="0">
            <x v="28"/>
          </reference>
          <reference field="5" count="1" selected="0">
            <x v="12"/>
          </reference>
          <reference field="6" count="1" selected="0">
            <x v="1"/>
          </reference>
          <reference field="7" count="1" selected="0">
            <x v="108"/>
          </reference>
          <reference field="8" count="1" selected="0">
            <x v="846"/>
          </reference>
          <reference field="9" count="1">
            <x v="611"/>
          </reference>
        </references>
      </pivotArea>
    </format>
    <format dxfId="2954">
      <pivotArea dataOnly="0" labelOnly="1" fieldPosition="0">
        <references count="6">
          <reference field="1" count="1" selected="0">
            <x v="28"/>
          </reference>
          <reference field="5" count="1" selected="0">
            <x v="19"/>
          </reference>
          <reference field="6" count="1" selected="0">
            <x v="10"/>
          </reference>
          <reference field="7" count="1" selected="0">
            <x v="108"/>
          </reference>
          <reference field="8" count="1" selected="0">
            <x v="1659"/>
          </reference>
          <reference field="9" count="1">
            <x v="611"/>
          </reference>
        </references>
      </pivotArea>
    </format>
    <format dxfId="2953">
      <pivotArea dataOnly="0" labelOnly="1" fieldPosition="0">
        <references count="6">
          <reference field="1" count="1" selected="0">
            <x v="28"/>
          </reference>
          <reference field="5" count="1" selected="0">
            <x v="21"/>
          </reference>
          <reference field="6" count="1" selected="0">
            <x v="37"/>
          </reference>
          <reference field="7" count="1" selected="0">
            <x v="108"/>
          </reference>
          <reference field="8" count="1" selected="0">
            <x v="947"/>
          </reference>
          <reference field="9" count="1">
            <x v="611"/>
          </reference>
        </references>
      </pivotArea>
    </format>
    <format dxfId="2952">
      <pivotArea dataOnly="0" labelOnly="1" fieldPosition="0">
        <references count="6">
          <reference field="1" count="1" selected="0">
            <x v="28"/>
          </reference>
          <reference field="5" count="1" selected="0">
            <x v="35"/>
          </reference>
          <reference field="6" count="1" selected="0">
            <x v="1"/>
          </reference>
          <reference field="7" count="1" selected="0">
            <x v="108"/>
          </reference>
          <reference field="8" count="1" selected="0">
            <x v="80"/>
          </reference>
          <reference field="9" count="1">
            <x v="611"/>
          </reference>
        </references>
      </pivotArea>
    </format>
    <format dxfId="2951">
      <pivotArea dataOnly="0" labelOnly="1" fieldPosition="0">
        <references count="6">
          <reference field="1" count="1" selected="0">
            <x v="29"/>
          </reference>
          <reference field="5" count="1" selected="0">
            <x v="0"/>
          </reference>
          <reference field="6" count="1" selected="0">
            <x v="6"/>
          </reference>
          <reference field="7" count="1" selected="0">
            <x v="109"/>
          </reference>
          <reference field="8" count="1" selected="0">
            <x v="228"/>
          </reference>
          <reference field="9" count="1">
            <x v="611"/>
          </reference>
        </references>
      </pivotArea>
    </format>
    <format dxfId="2950">
      <pivotArea dataOnly="0" labelOnly="1" fieldPosition="0">
        <references count="6">
          <reference field="1" count="1" selected="0">
            <x v="29"/>
          </reference>
          <reference field="5" count="1" selected="0">
            <x v="0"/>
          </reference>
          <reference field="6" count="1" selected="0">
            <x v="6"/>
          </reference>
          <reference field="7" count="1" selected="0">
            <x v="109"/>
          </reference>
          <reference field="8" count="1" selected="0">
            <x v="321"/>
          </reference>
          <reference field="9" count="1">
            <x v="611"/>
          </reference>
        </references>
      </pivotArea>
    </format>
    <format dxfId="2949">
      <pivotArea dataOnly="0" labelOnly="1" fieldPosition="0">
        <references count="6">
          <reference field="1" count="1" selected="0">
            <x v="29"/>
          </reference>
          <reference field="5" count="1" selected="0">
            <x v="0"/>
          </reference>
          <reference field="6" count="1" selected="0">
            <x v="12"/>
          </reference>
          <reference field="7" count="1" selected="0">
            <x v="10"/>
          </reference>
          <reference field="8" count="1" selected="0">
            <x v="9"/>
          </reference>
          <reference field="9" count="1">
            <x v="611"/>
          </reference>
        </references>
      </pivotArea>
    </format>
    <format dxfId="2948">
      <pivotArea dataOnly="0" labelOnly="1" fieldPosition="0">
        <references count="6">
          <reference field="1" count="1" selected="0">
            <x v="29"/>
          </reference>
          <reference field="5" count="1" selected="0">
            <x v="0"/>
          </reference>
          <reference field="6" count="1" selected="0">
            <x v="12"/>
          </reference>
          <reference field="7" count="1" selected="0">
            <x v="58"/>
          </reference>
          <reference field="8" count="1" selected="0">
            <x v="11"/>
          </reference>
          <reference field="9" count="1">
            <x v="611"/>
          </reference>
        </references>
      </pivotArea>
    </format>
    <format dxfId="2947">
      <pivotArea dataOnly="0" labelOnly="1" fieldPosition="0">
        <references count="6">
          <reference field="1" count="1" selected="0">
            <x v="29"/>
          </reference>
          <reference field="5" count="1" selected="0">
            <x v="0"/>
          </reference>
          <reference field="6" count="1" selected="0">
            <x v="12"/>
          </reference>
          <reference field="7" count="1" selected="0">
            <x v="64"/>
          </reference>
          <reference field="8" count="1" selected="0">
            <x v="64"/>
          </reference>
          <reference field="9" count="1">
            <x v="611"/>
          </reference>
        </references>
      </pivotArea>
    </format>
    <format dxfId="2946">
      <pivotArea dataOnly="0" labelOnly="1" fieldPosition="0">
        <references count="6">
          <reference field="1" count="1" selected="0">
            <x v="29"/>
          </reference>
          <reference field="5" count="1" selected="0">
            <x v="3"/>
          </reference>
          <reference field="6" count="1" selected="0">
            <x v="37"/>
          </reference>
          <reference field="7" count="1" selected="0">
            <x v="109"/>
          </reference>
          <reference field="8" count="1" selected="0">
            <x v="187"/>
          </reference>
          <reference field="9" count="1">
            <x v="611"/>
          </reference>
        </references>
      </pivotArea>
    </format>
    <format dxfId="2945">
      <pivotArea dataOnly="0" labelOnly="1" fieldPosition="0">
        <references count="6">
          <reference field="1" count="1" selected="0">
            <x v="29"/>
          </reference>
          <reference field="5" count="1" selected="0">
            <x v="5"/>
          </reference>
          <reference field="6" count="1" selected="0">
            <x v="37"/>
          </reference>
          <reference field="7" count="1" selected="0">
            <x v="109"/>
          </reference>
          <reference field="8" count="1" selected="0">
            <x v="592"/>
          </reference>
          <reference field="9" count="1">
            <x v="611"/>
          </reference>
        </references>
      </pivotArea>
    </format>
    <format dxfId="2944">
      <pivotArea dataOnly="0" labelOnly="1" fieldPosition="0">
        <references count="6">
          <reference field="1" count="1" selected="0">
            <x v="29"/>
          </reference>
          <reference field="5" count="1" selected="0">
            <x v="7"/>
          </reference>
          <reference field="6" count="1" selected="0">
            <x v="37"/>
          </reference>
          <reference field="7" count="1" selected="0">
            <x v="109"/>
          </reference>
          <reference field="8" count="1" selected="0">
            <x v="314"/>
          </reference>
          <reference field="9" count="1">
            <x v="611"/>
          </reference>
        </references>
      </pivotArea>
    </format>
    <format dxfId="2943">
      <pivotArea dataOnly="0" labelOnly="1" fieldPosition="0">
        <references count="6">
          <reference field="1" count="1" selected="0">
            <x v="29"/>
          </reference>
          <reference field="5" count="1" selected="0">
            <x v="8"/>
          </reference>
          <reference field="6" count="1" selected="0">
            <x v="37"/>
          </reference>
          <reference field="7" count="1" selected="0">
            <x v="109"/>
          </reference>
          <reference field="8" count="1" selected="0">
            <x v="697"/>
          </reference>
          <reference field="9" count="1">
            <x v="611"/>
          </reference>
        </references>
      </pivotArea>
    </format>
    <format dxfId="2942">
      <pivotArea dataOnly="0" labelOnly="1" fieldPosition="0">
        <references count="6">
          <reference field="1" count="1" selected="0">
            <x v="29"/>
          </reference>
          <reference field="5" count="1" selected="0">
            <x v="9"/>
          </reference>
          <reference field="6" count="1" selected="0">
            <x v="8"/>
          </reference>
          <reference field="7" count="1" selected="0">
            <x v="109"/>
          </reference>
          <reference field="8" count="1" selected="0">
            <x v="1297"/>
          </reference>
          <reference field="9" count="1">
            <x v="611"/>
          </reference>
        </references>
      </pivotArea>
    </format>
    <format dxfId="2941">
      <pivotArea dataOnly="0" labelOnly="1" fieldPosition="0">
        <references count="6">
          <reference field="1" count="1" selected="0">
            <x v="29"/>
          </reference>
          <reference field="5" count="1" selected="0">
            <x v="12"/>
          </reference>
          <reference field="6" count="1" selected="0">
            <x v="1"/>
          </reference>
          <reference field="7" count="1" selected="0">
            <x v="109"/>
          </reference>
          <reference field="8" count="1" selected="0">
            <x v="80"/>
          </reference>
          <reference field="9" count="1">
            <x v="611"/>
          </reference>
        </references>
      </pivotArea>
    </format>
    <format dxfId="2940">
      <pivotArea dataOnly="0" labelOnly="1" fieldPosition="0">
        <references count="6">
          <reference field="1" count="1" selected="0">
            <x v="29"/>
          </reference>
          <reference field="5" count="1" selected="0">
            <x v="12"/>
          </reference>
          <reference field="6" count="1" selected="0">
            <x v="1"/>
          </reference>
          <reference field="7" count="1" selected="0">
            <x v="109"/>
          </reference>
          <reference field="8" count="1" selected="0">
            <x v="213"/>
          </reference>
          <reference field="9" count="1">
            <x v="611"/>
          </reference>
        </references>
      </pivotArea>
    </format>
    <format dxfId="2939">
      <pivotArea dataOnly="0" labelOnly="1" fieldPosition="0">
        <references count="6">
          <reference field="1" count="1" selected="0">
            <x v="29"/>
          </reference>
          <reference field="5" count="1" selected="0">
            <x v="12"/>
          </reference>
          <reference field="6" count="1" selected="0">
            <x v="1"/>
          </reference>
          <reference field="7" count="1" selected="0">
            <x v="109"/>
          </reference>
          <reference field="8" count="1" selected="0">
            <x v="352"/>
          </reference>
          <reference field="9" count="1">
            <x v="611"/>
          </reference>
        </references>
      </pivotArea>
    </format>
    <format dxfId="2938">
      <pivotArea dataOnly="0" labelOnly="1" fieldPosition="0">
        <references count="6">
          <reference field="1" count="1" selected="0">
            <x v="29"/>
          </reference>
          <reference field="5" count="1" selected="0">
            <x v="12"/>
          </reference>
          <reference field="6" count="1" selected="0">
            <x v="1"/>
          </reference>
          <reference field="7" count="1" selected="0">
            <x v="109"/>
          </reference>
          <reference field="8" count="1" selected="0">
            <x v="500"/>
          </reference>
          <reference field="9" count="1">
            <x v="611"/>
          </reference>
        </references>
      </pivotArea>
    </format>
    <format dxfId="2937">
      <pivotArea dataOnly="0" labelOnly="1" fieldPosition="0">
        <references count="6">
          <reference field="1" count="1" selected="0">
            <x v="29"/>
          </reference>
          <reference field="5" count="1" selected="0">
            <x v="12"/>
          </reference>
          <reference field="6" count="1" selected="0">
            <x v="1"/>
          </reference>
          <reference field="7" count="1" selected="0">
            <x v="109"/>
          </reference>
          <reference field="8" count="1" selected="0">
            <x v="607"/>
          </reference>
          <reference field="9" count="1">
            <x v="611"/>
          </reference>
        </references>
      </pivotArea>
    </format>
    <format dxfId="2936">
      <pivotArea dataOnly="0" labelOnly="1" fieldPosition="0">
        <references count="6">
          <reference field="1" count="1" selected="0">
            <x v="29"/>
          </reference>
          <reference field="5" count="1" selected="0">
            <x v="12"/>
          </reference>
          <reference field="6" count="1" selected="0">
            <x v="1"/>
          </reference>
          <reference field="7" count="1" selected="0">
            <x v="109"/>
          </reference>
          <reference field="8" count="1" selected="0">
            <x v="911"/>
          </reference>
          <reference field="9" count="1">
            <x v="611"/>
          </reference>
        </references>
      </pivotArea>
    </format>
    <format dxfId="2935">
      <pivotArea dataOnly="0" labelOnly="1" fieldPosition="0">
        <references count="6">
          <reference field="1" count="1" selected="0">
            <x v="29"/>
          </reference>
          <reference field="5" count="1" selected="0">
            <x v="12"/>
          </reference>
          <reference field="6" count="1" selected="0">
            <x v="37"/>
          </reference>
          <reference field="7" count="1" selected="0">
            <x v="109"/>
          </reference>
          <reference field="8" count="1" selected="0">
            <x v="1244"/>
          </reference>
          <reference field="9" count="1">
            <x v="611"/>
          </reference>
        </references>
      </pivotArea>
    </format>
    <format dxfId="2934">
      <pivotArea dataOnly="0" labelOnly="1" fieldPosition="0">
        <references count="6">
          <reference field="1" count="1" selected="0">
            <x v="29"/>
          </reference>
          <reference field="5" count="1" selected="0">
            <x v="15"/>
          </reference>
          <reference field="6" count="1" selected="0">
            <x v="1"/>
          </reference>
          <reference field="7" count="1" selected="0">
            <x v="109"/>
          </reference>
          <reference field="8" count="1" selected="0">
            <x v="1698"/>
          </reference>
          <reference field="9" count="1">
            <x v="611"/>
          </reference>
        </references>
      </pivotArea>
    </format>
    <format dxfId="2933">
      <pivotArea dataOnly="0" labelOnly="1" fieldPosition="0">
        <references count="6">
          <reference field="1" count="1" selected="0">
            <x v="29"/>
          </reference>
          <reference field="5" count="1" selected="0">
            <x v="21"/>
          </reference>
          <reference field="6" count="1" selected="0">
            <x v="6"/>
          </reference>
          <reference field="7" count="1" selected="0">
            <x v="109"/>
          </reference>
          <reference field="8" count="1" selected="0">
            <x v="551"/>
          </reference>
          <reference field="9" count="1">
            <x v="611"/>
          </reference>
        </references>
      </pivotArea>
    </format>
    <format dxfId="2932">
      <pivotArea dataOnly="0" labelOnly="1" fieldPosition="0">
        <references count="6">
          <reference field="1" count="1" selected="0">
            <x v="29"/>
          </reference>
          <reference field="5" count="1" selected="0">
            <x v="21"/>
          </reference>
          <reference field="6" count="1" selected="0">
            <x v="37"/>
          </reference>
          <reference field="7" count="1" selected="0">
            <x v="109"/>
          </reference>
          <reference field="8" count="1" selected="0">
            <x v="352"/>
          </reference>
          <reference field="9" count="1">
            <x v="611"/>
          </reference>
        </references>
      </pivotArea>
    </format>
    <format dxfId="2931">
      <pivotArea dataOnly="0" labelOnly="1" fieldPosition="0">
        <references count="6">
          <reference field="1" count="1" selected="0">
            <x v="29"/>
          </reference>
          <reference field="5" count="1" selected="0">
            <x v="23"/>
          </reference>
          <reference field="6" count="1" selected="0">
            <x v="1"/>
          </reference>
          <reference field="7" count="1" selected="0">
            <x v="109"/>
          </reference>
          <reference field="8" count="1" selected="0">
            <x v="109"/>
          </reference>
          <reference field="9" count="1">
            <x v="611"/>
          </reference>
        </references>
      </pivotArea>
    </format>
    <format dxfId="2930">
      <pivotArea dataOnly="0" labelOnly="1" fieldPosition="0">
        <references count="6">
          <reference field="1" count="1" selected="0">
            <x v="29"/>
          </reference>
          <reference field="5" count="1" selected="0">
            <x v="23"/>
          </reference>
          <reference field="6" count="1" selected="0">
            <x v="37"/>
          </reference>
          <reference field="7" count="1" selected="0">
            <x v="109"/>
          </reference>
          <reference field="8" count="1" selected="0">
            <x v="286"/>
          </reference>
          <reference field="9" count="1">
            <x v="611"/>
          </reference>
        </references>
      </pivotArea>
    </format>
    <format dxfId="2929">
      <pivotArea dataOnly="0" labelOnly="1" fieldPosition="0">
        <references count="6">
          <reference field="1" count="1" selected="0">
            <x v="29"/>
          </reference>
          <reference field="5" count="1" selected="0">
            <x v="24"/>
          </reference>
          <reference field="6" count="1" selected="0">
            <x v="37"/>
          </reference>
          <reference field="7" count="1" selected="0">
            <x v="109"/>
          </reference>
          <reference field="8" count="1" selected="0">
            <x v="80"/>
          </reference>
          <reference field="9" count="1">
            <x v="611"/>
          </reference>
        </references>
      </pivotArea>
    </format>
    <format dxfId="2928">
      <pivotArea dataOnly="0" labelOnly="1" fieldPosition="0">
        <references count="6">
          <reference field="1" count="1" selected="0">
            <x v="29"/>
          </reference>
          <reference field="5" count="1" selected="0">
            <x v="26"/>
          </reference>
          <reference field="6" count="1" selected="0">
            <x v="37"/>
          </reference>
          <reference field="7" count="1" selected="0">
            <x v="109"/>
          </reference>
          <reference field="8" count="1" selected="0">
            <x v="109"/>
          </reference>
          <reference field="9" count="1">
            <x v="611"/>
          </reference>
        </references>
      </pivotArea>
    </format>
    <format dxfId="2927">
      <pivotArea dataOnly="0" labelOnly="1" fieldPosition="0">
        <references count="6">
          <reference field="1" count="1" selected="0">
            <x v="29"/>
          </reference>
          <reference field="5" count="1" selected="0">
            <x v="28"/>
          </reference>
          <reference field="6" count="1" selected="0">
            <x v="8"/>
          </reference>
          <reference field="7" count="1" selected="0">
            <x v="109"/>
          </reference>
          <reference field="8" count="1" selected="0">
            <x v="669"/>
          </reference>
          <reference field="9" count="1">
            <x v="611"/>
          </reference>
        </references>
      </pivotArea>
    </format>
    <format dxfId="2926">
      <pivotArea dataOnly="0" labelOnly="1" fieldPosition="0">
        <references count="6">
          <reference field="1" count="1" selected="0">
            <x v="29"/>
          </reference>
          <reference field="5" count="1" selected="0">
            <x v="33"/>
          </reference>
          <reference field="6" count="1" selected="0">
            <x v="6"/>
          </reference>
          <reference field="7" count="1" selected="0">
            <x v="109"/>
          </reference>
          <reference field="8" count="1" selected="0">
            <x v="469"/>
          </reference>
          <reference field="9" count="1">
            <x v="611"/>
          </reference>
        </references>
      </pivotArea>
    </format>
    <format dxfId="2925">
      <pivotArea dataOnly="0" labelOnly="1" fieldPosition="0">
        <references count="6">
          <reference field="1" count="1" selected="0">
            <x v="29"/>
          </reference>
          <reference field="5" count="1" selected="0">
            <x v="35"/>
          </reference>
          <reference field="6" count="1" selected="0">
            <x v="1"/>
          </reference>
          <reference field="7" count="1" selected="0">
            <x v="109"/>
          </reference>
          <reference field="8" count="1" selected="0">
            <x v="80"/>
          </reference>
          <reference field="9" count="1">
            <x v="611"/>
          </reference>
        </references>
      </pivotArea>
    </format>
    <format dxfId="2924">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643"/>
          </reference>
          <reference field="9" count="1">
            <x v="611"/>
          </reference>
        </references>
      </pivotArea>
    </format>
    <format dxfId="2923">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646"/>
          </reference>
          <reference field="9" count="1">
            <x v="611"/>
          </reference>
        </references>
      </pivotArea>
    </format>
    <format dxfId="2922">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651"/>
          </reference>
          <reference field="9" count="1">
            <x v="611"/>
          </reference>
        </references>
      </pivotArea>
    </format>
    <format dxfId="2921">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655"/>
          </reference>
          <reference field="9" count="1">
            <x v="611"/>
          </reference>
        </references>
      </pivotArea>
    </format>
    <format dxfId="2920">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820"/>
          </reference>
          <reference field="9" count="1">
            <x v="611"/>
          </reference>
        </references>
      </pivotArea>
    </format>
    <format dxfId="2919">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873"/>
          </reference>
          <reference field="9" count="1">
            <x v="611"/>
          </reference>
        </references>
      </pivotArea>
    </format>
    <format dxfId="2918">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948"/>
          </reference>
          <reference field="9" count="1">
            <x v="611"/>
          </reference>
        </references>
      </pivotArea>
    </format>
    <format dxfId="2917">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1135"/>
          </reference>
          <reference field="9" count="1">
            <x v="611"/>
          </reference>
        </references>
      </pivotArea>
    </format>
    <format dxfId="2916">
      <pivotArea dataOnly="0" labelOnly="1" fieldPosition="0">
        <references count="6">
          <reference field="1" count="1" selected="0">
            <x v="30"/>
          </reference>
          <reference field="5" count="1" selected="0">
            <x v="0"/>
          </reference>
          <reference field="6" count="1" selected="0">
            <x v="15"/>
          </reference>
          <reference field="7" count="1" selected="0">
            <x v="110"/>
          </reference>
          <reference field="8" count="1" selected="0">
            <x v="1140"/>
          </reference>
          <reference field="9" count="1">
            <x v="611"/>
          </reference>
        </references>
      </pivotArea>
    </format>
    <format dxfId="2915">
      <pivotArea dataOnly="0" labelOnly="1" fieldPosition="0">
        <references count="6">
          <reference field="1" count="1" selected="0">
            <x v="30"/>
          </reference>
          <reference field="5" count="1" selected="0">
            <x v="2"/>
          </reference>
          <reference field="6" count="1" selected="0">
            <x v="15"/>
          </reference>
          <reference field="7" count="1" selected="0">
            <x v="110"/>
          </reference>
          <reference field="8" count="1" selected="0">
            <x v="1876"/>
          </reference>
          <reference field="9" count="1">
            <x v="611"/>
          </reference>
        </references>
      </pivotArea>
    </format>
    <format dxfId="2914">
      <pivotArea dataOnly="0" labelOnly="1" fieldPosition="0">
        <references count="6">
          <reference field="1" count="1" selected="0">
            <x v="30"/>
          </reference>
          <reference field="5" count="1" selected="0">
            <x v="3"/>
          </reference>
          <reference field="6" count="1" selected="0">
            <x v="15"/>
          </reference>
          <reference field="7" count="1" selected="0">
            <x v="110"/>
          </reference>
          <reference field="8" count="1" selected="0">
            <x v="1277"/>
          </reference>
          <reference field="9" count="1">
            <x v="611"/>
          </reference>
        </references>
      </pivotArea>
    </format>
    <format dxfId="2913">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222"/>
          </reference>
          <reference field="9" count="1">
            <x v="611"/>
          </reference>
        </references>
      </pivotArea>
    </format>
    <format dxfId="2912">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324"/>
          </reference>
          <reference field="9" count="1">
            <x v="611"/>
          </reference>
        </references>
      </pivotArea>
    </format>
    <format dxfId="2911">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594"/>
          </reference>
          <reference field="9" count="1">
            <x v="611"/>
          </reference>
        </references>
      </pivotArea>
    </format>
    <format dxfId="2910">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006"/>
          </reference>
          <reference field="9" count="1">
            <x v="611"/>
          </reference>
        </references>
      </pivotArea>
    </format>
    <format dxfId="2909">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010"/>
          </reference>
          <reference field="9" count="1">
            <x v="611"/>
          </reference>
        </references>
      </pivotArea>
    </format>
    <format dxfId="2908">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184"/>
          </reference>
          <reference field="9" count="1">
            <x v="611"/>
          </reference>
        </references>
      </pivotArea>
    </format>
    <format dxfId="2907">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373"/>
          </reference>
          <reference field="9" count="1">
            <x v="611"/>
          </reference>
        </references>
      </pivotArea>
    </format>
    <format dxfId="2906">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383"/>
          </reference>
          <reference field="9" count="1">
            <x v="611"/>
          </reference>
        </references>
      </pivotArea>
    </format>
    <format dxfId="2905">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386"/>
          </reference>
          <reference field="9" count="1">
            <x v="611"/>
          </reference>
        </references>
      </pivotArea>
    </format>
    <format dxfId="2904">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397"/>
          </reference>
          <reference field="9" count="1">
            <x v="611"/>
          </reference>
        </references>
      </pivotArea>
    </format>
    <format dxfId="2903">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462"/>
          </reference>
          <reference field="9" count="1">
            <x v="611"/>
          </reference>
        </references>
      </pivotArea>
    </format>
    <format dxfId="2902">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489"/>
          </reference>
          <reference field="9" count="1">
            <x v="611"/>
          </reference>
        </references>
      </pivotArea>
    </format>
    <format dxfId="2901">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506"/>
          </reference>
          <reference field="9" count="1">
            <x v="611"/>
          </reference>
        </references>
      </pivotArea>
    </format>
    <format dxfId="2900">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570"/>
          </reference>
          <reference field="9" count="1">
            <x v="611"/>
          </reference>
        </references>
      </pivotArea>
    </format>
    <format dxfId="2899">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591"/>
          </reference>
          <reference field="9" count="1">
            <x v="611"/>
          </reference>
        </references>
      </pivotArea>
    </format>
    <format dxfId="2898">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595"/>
          </reference>
          <reference field="9" count="1">
            <x v="611"/>
          </reference>
        </references>
      </pivotArea>
    </format>
    <format dxfId="2897">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635"/>
          </reference>
          <reference field="9" count="1">
            <x v="611"/>
          </reference>
        </references>
      </pivotArea>
    </format>
    <format dxfId="2896">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742"/>
          </reference>
          <reference field="9" count="1">
            <x v="611"/>
          </reference>
        </references>
      </pivotArea>
    </format>
    <format dxfId="2895">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746"/>
          </reference>
          <reference field="9" count="1">
            <x v="611"/>
          </reference>
        </references>
      </pivotArea>
    </format>
    <format dxfId="2894">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763"/>
          </reference>
          <reference field="9" count="1">
            <x v="611"/>
          </reference>
        </references>
      </pivotArea>
    </format>
    <format dxfId="2893">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771"/>
          </reference>
          <reference field="9" count="1">
            <x v="611"/>
          </reference>
        </references>
      </pivotArea>
    </format>
    <format dxfId="2892">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785"/>
          </reference>
          <reference field="9" count="1">
            <x v="611"/>
          </reference>
        </references>
      </pivotArea>
    </format>
    <format dxfId="2891">
      <pivotArea dataOnly="0" labelOnly="1" fieldPosition="0">
        <references count="6">
          <reference field="1" count="1" selected="0">
            <x v="30"/>
          </reference>
          <reference field="5" count="1" selected="0">
            <x v="12"/>
          </reference>
          <reference field="6" count="1" selected="0">
            <x v="15"/>
          </reference>
          <reference field="7" count="1" selected="0">
            <x v="110"/>
          </reference>
          <reference field="8" count="1" selected="0">
            <x v="1789"/>
          </reference>
          <reference field="9" count="1">
            <x v="611"/>
          </reference>
        </references>
      </pivotArea>
    </format>
    <format dxfId="2890">
      <pivotArea dataOnly="0" labelOnly="1" fieldPosition="0">
        <references count="6">
          <reference field="1" count="1" selected="0">
            <x v="30"/>
          </reference>
          <reference field="5" count="1" selected="0">
            <x v="15"/>
          </reference>
          <reference field="6" count="1" selected="0">
            <x v="15"/>
          </reference>
          <reference field="7" count="1" selected="0">
            <x v="110"/>
          </reference>
          <reference field="8" count="1" selected="0">
            <x v="1138"/>
          </reference>
          <reference field="9" count="1">
            <x v="611"/>
          </reference>
        </references>
      </pivotArea>
    </format>
    <format dxfId="2889">
      <pivotArea dataOnly="0" labelOnly="1" fieldPosition="0">
        <references count="6">
          <reference field="1" count="1" selected="0">
            <x v="30"/>
          </reference>
          <reference field="5" count="1" selected="0">
            <x v="17"/>
          </reference>
          <reference field="6" count="1" selected="0">
            <x v="15"/>
          </reference>
          <reference field="7" count="1" selected="0">
            <x v="110"/>
          </reference>
          <reference field="8" count="1" selected="0">
            <x v="742"/>
          </reference>
          <reference field="9" count="1">
            <x v="611"/>
          </reference>
        </references>
      </pivotArea>
    </format>
    <format dxfId="2888">
      <pivotArea dataOnly="0" labelOnly="1" fieldPosition="0">
        <references count="6">
          <reference field="1" count="1" selected="0">
            <x v="30"/>
          </reference>
          <reference field="5" count="1" selected="0">
            <x v="21"/>
          </reference>
          <reference field="6" count="1" selected="0">
            <x v="15"/>
          </reference>
          <reference field="7" count="1" selected="0">
            <x v="110"/>
          </reference>
          <reference field="8" count="1" selected="0">
            <x v="1810"/>
          </reference>
          <reference field="9" count="1">
            <x v="611"/>
          </reference>
        </references>
      </pivotArea>
    </format>
    <format dxfId="2887">
      <pivotArea dataOnly="0" labelOnly="1" fieldPosition="0">
        <references count="6">
          <reference field="1" count="1" selected="0">
            <x v="30"/>
          </reference>
          <reference field="5" count="1" selected="0">
            <x v="23"/>
          </reference>
          <reference field="6" count="1" selected="0">
            <x v="15"/>
          </reference>
          <reference field="7" count="1" selected="0">
            <x v="110"/>
          </reference>
          <reference field="8" count="1" selected="0">
            <x v="1650"/>
          </reference>
          <reference field="9" count="1">
            <x v="611"/>
          </reference>
        </references>
      </pivotArea>
    </format>
    <format dxfId="2886">
      <pivotArea dataOnly="0" labelOnly="1" fieldPosition="0">
        <references count="6">
          <reference field="1" count="1" selected="0">
            <x v="30"/>
          </reference>
          <reference field="5" count="1" selected="0">
            <x v="23"/>
          </reference>
          <reference field="6" count="1" selected="0">
            <x v="37"/>
          </reference>
          <reference field="7" count="1" selected="0">
            <x v="111"/>
          </reference>
          <reference field="8" count="1" selected="0">
            <x v="1285"/>
          </reference>
          <reference field="9" count="1">
            <x v="611"/>
          </reference>
        </references>
      </pivotArea>
    </format>
    <format dxfId="2885">
      <pivotArea dataOnly="0" labelOnly="1" fieldPosition="0">
        <references count="6">
          <reference field="1" count="1" selected="0">
            <x v="30"/>
          </reference>
          <reference field="5" count="1" selected="0">
            <x v="24"/>
          </reference>
          <reference field="6" count="1" selected="0">
            <x v="15"/>
          </reference>
          <reference field="7" count="1" selected="0">
            <x v="110"/>
          </reference>
          <reference field="8" count="1" selected="0">
            <x v="1510"/>
          </reference>
          <reference field="9" count="1">
            <x v="611"/>
          </reference>
        </references>
      </pivotArea>
    </format>
    <format dxfId="2884">
      <pivotArea dataOnly="0" labelOnly="1" fieldPosition="0">
        <references count="6">
          <reference field="1" count="1" selected="0">
            <x v="30"/>
          </reference>
          <reference field="5" count="1" selected="0">
            <x v="27"/>
          </reference>
          <reference field="6" count="1" selected="0">
            <x v="15"/>
          </reference>
          <reference field="7" count="1" selected="0">
            <x v="110"/>
          </reference>
          <reference field="8" count="1" selected="0">
            <x v="1469"/>
          </reference>
          <reference field="9" count="1">
            <x v="611"/>
          </reference>
        </references>
      </pivotArea>
    </format>
    <format dxfId="2883">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253"/>
          </reference>
          <reference field="9" count="1">
            <x v="611"/>
          </reference>
        </references>
      </pivotArea>
    </format>
    <format dxfId="2882">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332"/>
          </reference>
          <reference field="9" count="1">
            <x v="611"/>
          </reference>
        </references>
      </pivotArea>
    </format>
    <format dxfId="2881">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362"/>
          </reference>
          <reference field="9" count="1">
            <x v="611"/>
          </reference>
        </references>
      </pivotArea>
    </format>
    <format dxfId="2880">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377"/>
          </reference>
          <reference field="9" count="1">
            <x v="611"/>
          </reference>
        </references>
      </pivotArea>
    </format>
    <format dxfId="2879">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415"/>
          </reference>
          <reference field="9" count="1">
            <x v="611"/>
          </reference>
        </references>
      </pivotArea>
    </format>
    <format dxfId="2878">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446"/>
          </reference>
          <reference field="9" count="1">
            <x v="611"/>
          </reference>
        </references>
      </pivotArea>
    </format>
    <format dxfId="2877">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554"/>
          </reference>
          <reference field="9" count="1">
            <x v="611"/>
          </reference>
        </references>
      </pivotArea>
    </format>
    <format dxfId="2876">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735"/>
          </reference>
          <reference field="9" count="1">
            <x v="611"/>
          </reference>
        </references>
      </pivotArea>
    </format>
    <format dxfId="2875">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952"/>
          </reference>
          <reference field="9" count="1">
            <x v="611"/>
          </reference>
        </references>
      </pivotArea>
    </format>
    <format dxfId="2874">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1040"/>
          </reference>
          <reference field="9" count="1">
            <x v="611"/>
          </reference>
        </references>
      </pivotArea>
    </format>
    <format dxfId="2873">
      <pivotArea dataOnly="0" labelOnly="1" fieldPosition="0">
        <references count="6">
          <reference field="1" count="1" selected="0">
            <x v="30"/>
          </reference>
          <reference field="5" count="1" selected="0">
            <x v="35"/>
          </reference>
          <reference field="6" count="1" selected="0">
            <x v="15"/>
          </reference>
          <reference field="7" count="1" selected="0">
            <x v="110"/>
          </reference>
          <reference field="8" count="1" selected="0">
            <x v="1154"/>
          </reference>
          <reference field="9" count="1">
            <x v="611"/>
          </reference>
        </references>
      </pivotArea>
    </format>
    <format dxfId="2872">
      <pivotArea dataOnly="0" labelOnly="1" fieldPosition="0">
        <references count="6">
          <reference field="1" count="1" selected="0">
            <x v="30"/>
          </reference>
          <reference field="5" count="1" selected="0">
            <x v="36"/>
          </reference>
          <reference field="6" count="1" selected="0">
            <x v="6"/>
          </reference>
          <reference field="7" count="1" selected="0">
            <x v="111"/>
          </reference>
          <reference field="8" count="1" selected="0">
            <x v="279"/>
          </reference>
          <reference field="9" count="1">
            <x v="611"/>
          </reference>
        </references>
      </pivotArea>
    </format>
    <format dxfId="2871">
      <pivotArea dataOnly="0" labelOnly="1" fieldPosition="0">
        <references count="6">
          <reference field="1" count="1" selected="0">
            <x v="31"/>
          </reference>
          <reference field="5" count="1" selected="0">
            <x v="0"/>
          </reference>
          <reference field="6" count="1" selected="0">
            <x v="12"/>
          </reference>
          <reference field="7" count="1" selected="0">
            <x v="50"/>
          </reference>
          <reference field="8" count="1" selected="0">
            <x v="248"/>
          </reference>
          <reference field="9" count="1">
            <x v="611"/>
          </reference>
        </references>
      </pivotArea>
    </format>
    <format dxfId="2870">
      <pivotArea dataOnly="0" labelOnly="1" fieldPosition="0">
        <references count="6">
          <reference field="1" count="1" selected="0">
            <x v="31"/>
          </reference>
          <reference field="5" count="1" selected="0">
            <x v="0"/>
          </reference>
          <reference field="6" count="1" selected="0">
            <x v="12"/>
          </reference>
          <reference field="7" count="1" selected="0">
            <x v="60"/>
          </reference>
          <reference field="8" count="1" selected="0">
            <x v="32"/>
          </reference>
          <reference field="9" count="1">
            <x v="611"/>
          </reference>
        </references>
      </pivotArea>
    </format>
    <format dxfId="2869">
      <pivotArea dataOnly="0" labelOnly="1" fieldPosition="0">
        <references count="6">
          <reference field="1" count="1" selected="0">
            <x v="31"/>
          </reference>
          <reference field="5" count="1" selected="0">
            <x v="12"/>
          </reference>
          <reference field="6" count="1" selected="0">
            <x v="1"/>
          </reference>
          <reference field="7" count="1" selected="0">
            <x v="112"/>
          </reference>
          <reference field="8" count="1" selected="0">
            <x v="80"/>
          </reference>
          <reference field="9" count="1">
            <x v="611"/>
          </reference>
        </references>
      </pivotArea>
    </format>
    <format dxfId="2868">
      <pivotArea dataOnly="0" labelOnly="1" fieldPosition="0">
        <references count="6">
          <reference field="1" count="1" selected="0">
            <x v="31"/>
          </reference>
          <reference field="5" count="1" selected="0">
            <x v="12"/>
          </reference>
          <reference field="6" count="1" selected="0">
            <x v="1"/>
          </reference>
          <reference field="7" count="1" selected="0">
            <x v="112"/>
          </reference>
          <reference field="8" count="1" selected="0">
            <x v="500"/>
          </reference>
          <reference field="9" count="1">
            <x v="611"/>
          </reference>
        </references>
      </pivotArea>
    </format>
    <format dxfId="2867">
      <pivotArea dataOnly="0" labelOnly="1" fieldPosition="0">
        <references count="6">
          <reference field="1" count="1" selected="0">
            <x v="31"/>
          </reference>
          <reference field="5" count="1" selected="0">
            <x v="15"/>
          </reference>
          <reference field="6" count="1" selected="0">
            <x v="38"/>
          </reference>
          <reference field="7" count="1" selected="0">
            <x v="112"/>
          </reference>
          <reference field="8" count="1" selected="0">
            <x v="1799"/>
          </reference>
          <reference field="9" count="1">
            <x v="611"/>
          </reference>
        </references>
      </pivotArea>
    </format>
    <format dxfId="2866">
      <pivotArea dataOnly="0" labelOnly="1" fieldPosition="0">
        <references count="6">
          <reference field="1" count="1" selected="0">
            <x v="31"/>
          </reference>
          <reference field="5" count="1" selected="0">
            <x v="19"/>
          </reference>
          <reference field="6" count="1" selected="0">
            <x v="37"/>
          </reference>
          <reference field="7" count="1" selected="0">
            <x v="112"/>
          </reference>
          <reference field="8" count="1" selected="0">
            <x v="156"/>
          </reference>
          <reference field="9" count="1">
            <x v="611"/>
          </reference>
        </references>
      </pivotArea>
    </format>
    <format dxfId="2865">
      <pivotArea dataOnly="0" labelOnly="1" fieldPosition="0">
        <references count="6">
          <reference field="1" count="1" selected="0">
            <x v="31"/>
          </reference>
          <reference field="5" count="1" selected="0">
            <x v="35"/>
          </reference>
          <reference field="6" count="1" selected="0">
            <x v="1"/>
          </reference>
          <reference field="7" count="1" selected="0">
            <x v="112"/>
          </reference>
          <reference field="8" count="1" selected="0">
            <x v="80"/>
          </reference>
          <reference field="9" count="1">
            <x v="611"/>
          </reference>
        </references>
      </pivotArea>
    </format>
    <format dxfId="2864">
      <pivotArea dataOnly="0" labelOnly="1" fieldPosition="0">
        <references count="6">
          <reference field="1" count="1" selected="0">
            <x v="32"/>
          </reference>
          <reference field="5" count="1" selected="0">
            <x v="0"/>
          </reference>
          <reference field="6" count="1" selected="0">
            <x v="12"/>
          </reference>
          <reference field="7" count="1" selected="0">
            <x v="47"/>
          </reference>
          <reference field="8" count="1" selected="0">
            <x v="314"/>
          </reference>
          <reference field="9" count="1">
            <x v="611"/>
          </reference>
        </references>
      </pivotArea>
    </format>
    <format dxfId="2863">
      <pivotArea dataOnly="0" labelOnly="1" fieldPosition="0">
        <references count="6">
          <reference field="1" count="1" selected="0">
            <x v="32"/>
          </reference>
          <reference field="5" count="1" selected="0">
            <x v="0"/>
          </reference>
          <reference field="6" count="1" selected="0">
            <x v="12"/>
          </reference>
          <reference field="7" count="1" selected="0">
            <x v="70"/>
          </reference>
          <reference field="8" count="1" selected="0">
            <x v="18"/>
          </reference>
          <reference field="9" count="1">
            <x v="611"/>
          </reference>
        </references>
      </pivotArea>
    </format>
    <format dxfId="2862">
      <pivotArea dataOnly="0" labelOnly="1" fieldPosition="0">
        <references count="6">
          <reference field="1" count="1" selected="0">
            <x v="32"/>
          </reference>
          <reference field="5" count="1" selected="0">
            <x v="5"/>
          </reference>
          <reference field="6" count="1" selected="0">
            <x v="37"/>
          </reference>
          <reference field="7" count="1" selected="0">
            <x v="113"/>
          </reference>
          <reference field="8" count="1" selected="0">
            <x v="1043"/>
          </reference>
          <reference field="9" count="1">
            <x v="611"/>
          </reference>
        </references>
      </pivotArea>
    </format>
    <format dxfId="2861">
      <pivotArea dataOnly="0" labelOnly="1" fieldPosition="0">
        <references count="6">
          <reference field="1" count="1" selected="0">
            <x v="32"/>
          </reference>
          <reference field="5" count="1" selected="0">
            <x v="24"/>
          </reference>
          <reference field="6" count="1" selected="0">
            <x v="37"/>
          </reference>
          <reference field="7" count="1" selected="0">
            <x v="113"/>
          </reference>
          <reference field="8" count="1" selected="0">
            <x v="352"/>
          </reference>
          <reference field="9" count="1">
            <x v="611"/>
          </reference>
        </references>
      </pivotArea>
    </format>
    <format dxfId="2860">
      <pivotArea dataOnly="0" labelOnly="1" fieldPosition="0">
        <references count="6">
          <reference field="1" count="1" selected="0">
            <x v="33"/>
          </reference>
          <reference field="5" count="1" selected="0">
            <x v="0"/>
          </reference>
          <reference field="6" count="1" selected="0">
            <x v="1"/>
          </reference>
          <reference field="7" count="1" selected="0">
            <x v="114"/>
          </reference>
          <reference field="8" count="1" selected="0">
            <x v="213"/>
          </reference>
          <reference field="9" count="1">
            <x v="611"/>
          </reference>
        </references>
      </pivotArea>
    </format>
    <format dxfId="2859">
      <pivotArea dataOnly="0" labelOnly="1" fieldPosition="0">
        <references count="6">
          <reference field="1" count="1" selected="0">
            <x v="33"/>
          </reference>
          <reference field="5" count="1" selected="0">
            <x v="0"/>
          </reference>
          <reference field="6" count="1" selected="0">
            <x v="6"/>
          </reference>
          <reference field="7" count="1" selected="0">
            <x v="114"/>
          </reference>
          <reference field="8" count="1" selected="0">
            <x v="248"/>
          </reference>
          <reference field="9" count="1">
            <x v="611"/>
          </reference>
        </references>
      </pivotArea>
    </format>
    <format dxfId="2858">
      <pivotArea dataOnly="0" labelOnly="1" fieldPosition="0">
        <references count="6">
          <reference field="1" count="1" selected="0">
            <x v="33"/>
          </reference>
          <reference field="5" count="1" selected="0">
            <x v="0"/>
          </reference>
          <reference field="6" count="1" selected="0">
            <x v="8"/>
          </reference>
          <reference field="7" count="1" selected="0">
            <x v="114"/>
          </reference>
          <reference field="8" count="1" selected="0">
            <x v="996"/>
          </reference>
          <reference field="9" count="1">
            <x v="611"/>
          </reference>
        </references>
      </pivotArea>
    </format>
    <format dxfId="2857">
      <pivotArea dataOnly="0" labelOnly="1" fieldPosition="0">
        <references count="6">
          <reference field="1" count="1" selected="0">
            <x v="33"/>
          </reference>
          <reference field="5" count="1" selected="0">
            <x v="0"/>
          </reference>
          <reference field="6" count="1" selected="0">
            <x v="9"/>
          </reference>
          <reference field="7" count="1" selected="0">
            <x v="114"/>
          </reference>
          <reference field="8" count="1" selected="0">
            <x v="337"/>
          </reference>
          <reference field="9" count="1">
            <x v="611"/>
          </reference>
        </references>
      </pivotArea>
    </format>
    <format dxfId="2856">
      <pivotArea dataOnly="0" labelOnly="1" fieldPosition="0">
        <references count="6">
          <reference field="1" count="1" selected="0">
            <x v="33"/>
          </reference>
          <reference field="5" count="1" selected="0">
            <x v="0"/>
          </reference>
          <reference field="6" count="1" selected="0">
            <x v="9"/>
          </reference>
          <reference field="7" count="1" selected="0">
            <x v="114"/>
          </reference>
          <reference field="8" count="1" selected="0">
            <x v="338"/>
          </reference>
          <reference field="9" count="1">
            <x v="611"/>
          </reference>
        </references>
      </pivotArea>
    </format>
    <format dxfId="2855">
      <pivotArea dataOnly="0" labelOnly="1" fieldPosition="0">
        <references count="6">
          <reference field="1" count="1" selected="0">
            <x v="33"/>
          </reference>
          <reference field="5" count="1" selected="0">
            <x v="0"/>
          </reference>
          <reference field="6" count="1" selected="0">
            <x v="9"/>
          </reference>
          <reference field="7" count="1" selected="0">
            <x v="114"/>
          </reference>
          <reference field="8" count="1" selected="0">
            <x v="649"/>
          </reference>
          <reference field="9" count="1">
            <x v="611"/>
          </reference>
        </references>
      </pivotArea>
    </format>
    <format dxfId="2854">
      <pivotArea dataOnly="0" labelOnly="1" fieldPosition="0">
        <references count="6">
          <reference field="1" count="1" selected="0">
            <x v="33"/>
          </reference>
          <reference field="5" count="1" selected="0">
            <x v="0"/>
          </reference>
          <reference field="6" count="1" selected="0">
            <x v="9"/>
          </reference>
          <reference field="7" count="1" selected="0">
            <x v="114"/>
          </reference>
          <reference field="8" count="1" selected="0">
            <x v="865"/>
          </reference>
          <reference field="9" count="1">
            <x v="611"/>
          </reference>
        </references>
      </pivotArea>
    </format>
    <format dxfId="2853">
      <pivotArea dataOnly="0" labelOnly="1" fieldPosition="0">
        <references count="6">
          <reference field="1" count="1" selected="0">
            <x v="33"/>
          </reference>
          <reference field="5" count="1" selected="0">
            <x v="0"/>
          </reference>
          <reference field="6" count="1" selected="0">
            <x v="9"/>
          </reference>
          <reference field="7" count="1" selected="0">
            <x v="114"/>
          </reference>
          <reference field="8" count="1" selected="0">
            <x v="980"/>
          </reference>
          <reference field="9" count="1">
            <x v="611"/>
          </reference>
        </references>
      </pivotArea>
    </format>
    <format dxfId="2852">
      <pivotArea dataOnly="0" labelOnly="1" fieldPosition="0">
        <references count="6">
          <reference field="1" count="1" selected="0">
            <x v="33"/>
          </reference>
          <reference field="5" count="1" selected="0">
            <x v="0"/>
          </reference>
          <reference field="6" count="1" selected="0">
            <x v="9"/>
          </reference>
          <reference field="7" count="1" selected="0">
            <x v="114"/>
          </reference>
          <reference field="8" count="1" selected="0">
            <x v="1116"/>
          </reference>
          <reference field="9" count="1">
            <x v="611"/>
          </reference>
        </references>
      </pivotArea>
    </format>
    <format dxfId="2851">
      <pivotArea dataOnly="0" labelOnly="1" fieldPosition="0">
        <references count="6">
          <reference field="1" count="1" selected="0">
            <x v="33"/>
          </reference>
          <reference field="5" count="1" selected="0">
            <x v="0"/>
          </reference>
          <reference field="6" count="1" selected="0">
            <x v="9"/>
          </reference>
          <reference field="7" count="1" selected="0">
            <x v="114"/>
          </reference>
          <reference field="8" count="1" selected="0">
            <x v="1434"/>
          </reference>
          <reference field="9" count="1">
            <x v="611"/>
          </reference>
        </references>
      </pivotArea>
    </format>
    <format dxfId="2850">
      <pivotArea dataOnly="0" labelOnly="1" fieldPosition="0">
        <references count="6">
          <reference field="1" count="1" selected="0">
            <x v="33"/>
          </reference>
          <reference field="5" count="1" selected="0">
            <x v="0"/>
          </reference>
          <reference field="6" count="1" selected="0">
            <x v="12"/>
          </reference>
          <reference field="7" count="1" selected="0">
            <x v="5"/>
          </reference>
          <reference field="8" count="1" selected="0">
            <x v="69"/>
          </reference>
          <reference field="9" count="1">
            <x v="611"/>
          </reference>
        </references>
      </pivotArea>
    </format>
    <format dxfId="2849">
      <pivotArea dataOnly="0" labelOnly="1" fieldPosition="0">
        <references count="6">
          <reference field="1" count="1" selected="0">
            <x v="33"/>
          </reference>
          <reference field="5" count="1" selected="0">
            <x v="0"/>
          </reference>
          <reference field="6" count="1" selected="0">
            <x v="12"/>
          </reference>
          <reference field="7" count="1" selected="0">
            <x v="18"/>
          </reference>
          <reference field="8" count="1" selected="0">
            <x v="11"/>
          </reference>
          <reference field="9" count="1">
            <x v="611"/>
          </reference>
        </references>
      </pivotArea>
    </format>
    <format dxfId="2848">
      <pivotArea dataOnly="0" labelOnly="1" fieldPosition="0">
        <references count="6">
          <reference field="1" count="1" selected="0">
            <x v="33"/>
          </reference>
          <reference field="5" count="1" selected="0">
            <x v="0"/>
          </reference>
          <reference field="6" count="1" selected="0">
            <x v="12"/>
          </reference>
          <reference field="7" count="1" selected="0">
            <x v="32"/>
          </reference>
          <reference field="8" count="1" selected="0">
            <x v="90"/>
          </reference>
          <reference field="9" count="1">
            <x v="611"/>
          </reference>
        </references>
      </pivotArea>
    </format>
    <format dxfId="2847">
      <pivotArea dataOnly="0" labelOnly="1" fieldPosition="0">
        <references count="6">
          <reference field="1" count="1" selected="0">
            <x v="33"/>
          </reference>
          <reference field="5" count="1" selected="0">
            <x v="0"/>
          </reference>
          <reference field="6" count="1" selected="0">
            <x v="12"/>
          </reference>
          <reference field="7" count="1" selected="0">
            <x v="47"/>
          </reference>
          <reference field="8" count="1" selected="0">
            <x v="314"/>
          </reference>
          <reference field="9" count="1">
            <x v="611"/>
          </reference>
        </references>
      </pivotArea>
    </format>
    <format dxfId="2846">
      <pivotArea dataOnly="0" labelOnly="1" fieldPosition="0">
        <references count="6">
          <reference field="1" count="1" selected="0">
            <x v="33"/>
          </reference>
          <reference field="5" count="1" selected="0">
            <x v="0"/>
          </reference>
          <reference field="6" count="1" selected="0">
            <x v="12"/>
          </reference>
          <reference field="7" count="1" selected="0">
            <x v="64"/>
          </reference>
          <reference field="8" count="1" selected="0">
            <x v="9"/>
          </reference>
          <reference field="9" count="1">
            <x v="611"/>
          </reference>
        </references>
      </pivotArea>
    </format>
    <format dxfId="2845">
      <pivotArea dataOnly="0" labelOnly="1" fieldPosition="0">
        <references count="6">
          <reference field="1" count="1" selected="0">
            <x v="33"/>
          </reference>
          <reference field="5" count="1" selected="0">
            <x v="0"/>
          </reference>
          <reference field="6" count="1" selected="0">
            <x v="12"/>
          </reference>
          <reference field="7" count="1" selected="0">
            <x v="67"/>
          </reference>
          <reference field="8" count="1" selected="0">
            <x v="92"/>
          </reference>
          <reference field="9" count="1">
            <x v="611"/>
          </reference>
        </references>
      </pivotArea>
    </format>
    <format dxfId="2844">
      <pivotArea dataOnly="0" labelOnly="1" fieldPosition="0">
        <references count="6">
          <reference field="1" count="1" selected="0">
            <x v="33"/>
          </reference>
          <reference field="5" count="1" selected="0">
            <x v="0"/>
          </reference>
          <reference field="6" count="1" selected="0">
            <x v="37"/>
          </reference>
          <reference field="7" count="1" selected="0">
            <x v="114"/>
          </reference>
          <reference field="8" count="1" selected="0">
            <x v="138"/>
          </reference>
          <reference field="9" count="1">
            <x v="611"/>
          </reference>
        </references>
      </pivotArea>
    </format>
    <format dxfId="2843">
      <pivotArea dataOnly="0" labelOnly="1" fieldPosition="0">
        <references count="6">
          <reference field="1" count="1" selected="0">
            <x v="33"/>
          </reference>
          <reference field="5" count="1" selected="0">
            <x v="3"/>
          </reference>
          <reference field="6" count="1" selected="0">
            <x v="37"/>
          </reference>
          <reference field="7" count="1" selected="0">
            <x v="114"/>
          </reference>
          <reference field="8" count="1" selected="0">
            <x v="278"/>
          </reference>
          <reference field="9" count="1">
            <x v="611"/>
          </reference>
        </references>
      </pivotArea>
    </format>
    <format dxfId="2842">
      <pivotArea dataOnly="0" labelOnly="1" fieldPosition="0">
        <references count="6">
          <reference field="1" count="1" selected="0">
            <x v="33"/>
          </reference>
          <reference field="5" count="1" selected="0">
            <x v="5"/>
          </reference>
          <reference field="6" count="1" selected="0">
            <x v="8"/>
          </reference>
          <reference field="7" count="1" selected="0">
            <x v="114"/>
          </reference>
          <reference field="8" count="1" selected="0">
            <x v="1295"/>
          </reference>
          <reference field="9" count="1">
            <x v="611"/>
          </reference>
        </references>
      </pivotArea>
    </format>
    <format dxfId="2841">
      <pivotArea dataOnly="0" labelOnly="1" fieldPosition="0">
        <references count="6">
          <reference field="1" count="1" selected="0">
            <x v="33"/>
          </reference>
          <reference field="5" count="1" selected="0">
            <x v="7"/>
          </reference>
          <reference field="6" count="1" selected="0">
            <x v="8"/>
          </reference>
          <reference field="7" count="1" selected="0">
            <x v="114"/>
          </reference>
          <reference field="8" count="1" selected="0">
            <x v="1258"/>
          </reference>
          <reference field="9" count="1">
            <x v="611"/>
          </reference>
        </references>
      </pivotArea>
    </format>
    <format dxfId="2840">
      <pivotArea dataOnly="0" labelOnly="1" fieldPosition="0">
        <references count="6">
          <reference field="1" count="1" selected="0">
            <x v="33"/>
          </reference>
          <reference field="5" count="1" selected="0">
            <x v="7"/>
          </reference>
          <reference field="6" count="1" selected="0">
            <x v="10"/>
          </reference>
          <reference field="7" count="1" selected="0">
            <x v="114"/>
          </reference>
          <reference field="8" count="1" selected="0">
            <x v="214"/>
          </reference>
          <reference field="9" count="1">
            <x v="611"/>
          </reference>
        </references>
      </pivotArea>
    </format>
    <format dxfId="2839">
      <pivotArea dataOnly="0" labelOnly="1" fieldPosition="0">
        <references count="6">
          <reference field="1" count="1" selected="0">
            <x v="33"/>
          </reference>
          <reference field="5" count="1" selected="0">
            <x v="12"/>
          </reference>
          <reference field="6" count="1" selected="0">
            <x v="1"/>
          </reference>
          <reference field="7" count="1" selected="0">
            <x v="114"/>
          </reference>
          <reference field="8" count="1" selected="0">
            <x v="80"/>
          </reference>
          <reference field="9" count="1">
            <x v="611"/>
          </reference>
        </references>
      </pivotArea>
    </format>
    <format dxfId="2838">
      <pivotArea dataOnly="0" labelOnly="1" fieldPosition="0">
        <references count="6">
          <reference field="1" count="1" selected="0">
            <x v="33"/>
          </reference>
          <reference field="5" count="1" selected="0">
            <x v="12"/>
          </reference>
          <reference field="6" count="1" selected="0">
            <x v="1"/>
          </reference>
          <reference field="7" count="1" selected="0">
            <x v="114"/>
          </reference>
          <reference field="8" count="1" selected="0">
            <x v="352"/>
          </reference>
          <reference field="9" count="1">
            <x v="611"/>
          </reference>
        </references>
      </pivotArea>
    </format>
    <format dxfId="2837">
      <pivotArea dataOnly="0" labelOnly="1" fieldPosition="0">
        <references count="6">
          <reference field="1" count="1" selected="0">
            <x v="33"/>
          </reference>
          <reference field="5" count="1" selected="0">
            <x v="12"/>
          </reference>
          <reference field="6" count="1" selected="0">
            <x v="1"/>
          </reference>
          <reference field="7" count="1" selected="0">
            <x v="114"/>
          </reference>
          <reference field="8" count="1" selected="0">
            <x v="500"/>
          </reference>
          <reference field="9" count="1">
            <x v="611"/>
          </reference>
        </references>
      </pivotArea>
    </format>
    <format dxfId="2836">
      <pivotArea dataOnly="0" labelOnly="1" fieldPosition="0">
        <references count="6">
          <reference field="1" count="1" selected="0">
            <x v="33"/>
          </reference>
          <reference field="5" count="1" selected="0">
            <x v="12"/>
          </reference>
          <reference field="6" count="1" selected="0">
            <x v="1"/>
          </reference>
          <reference field="7" count="1" selected="0">
            <x v="114"/>
          </reference>
          <reference field="8" count="1" selected="0">
            <x v="607"/>
          </reference>
          <reference field="9" count="1">
            <x v="611"/>
          </reference>
        </references>
      </pivotArea>
    </format>
    <format dxfId="2835">
      <pivotArea dataOnly="0" labelOnly="1" fieldPosition="0">
        <references count="6">
          <reference field="1" count="1" selected="0">
            <x v="33"/>
          </reference>
          <reference field="5" count="1" selected="0">
            <x v="12"/>
          </reference>
          <reference field="6" count="1" selected="0">
            <x v="1"/>
          </reference>
          <reference field="7" count="1" selected="0">
            <x v="114"/>
          </reference>
          <reference field="8" count="1" selected="0">
            <x v="702"/>
          </reference>
          <reference field="9" count="1">
            <x v="611"/>
          </reference>
        </references>
      </pivotArea>
    </format>
    <format dxfId="2834">
      <pivotArea dataOnly="0" labelOnly="1" fieldPosition="0">
        <references count="6">
          <reference field="1" count="1" selected="0">
            <x v="33"/>
          </reference>
          <reference field="5" count="1" selected="0">
            <x v="14"/>
          </reference>
          <reference field="6" count="1" selected="0">
            <x v="1"/>
          </reference>
          <reference field="7" count="1" selected="0">
            <x v="114"/>
          </reference>
          <reference field="8" count="1" selected="0">
            <x v="1497"/>
          </reference>
          <reference field="9" count="1">
            <x v="611"/>
          </reference>
        </references>
      </pivotArea>
    </format>
    <format dxfId="2833">
      <pivotArea dataOnly="0" labelOnly="1" fieldPosition="0">
        <references count="6">
          <reference field="1" count="1" selected="0">
            <x v="33"/>
          </reference>
          <reference field="5" count="1" selected="0">
            <x v="19"/>
          </reference>
          <reference field="6" count="1" selected="0">
            <x v="37"/>
          </reference>
          <reference field="7" count="1" selected="0">
            <x v="114"/>
          </reference>
          <reference field="8" count="1" selected="0">
            <x v="1199"/>
          </reference>
          <reference field="9" count="1">
            <x v="611"/>
          </reference>
        </references>
      </pivotArea>
    </format>
    <format dxfId="2832">
      <pivotArea dataOnly="0" labelOnly="1" fieldPosition="0">
        <references count="6">
          <reference field="1" count="1" selected="0">
            <x v="33"/>
          </reference>
          <reference field="5" count="1" selected="0">
            <x v="21"/>
          </reference>
          <reference field="6" count="1" selected="0">
            <x v="33"/>
          </reference>
          <reference field="7" count="1" selected="0">
            <x v="114"/>
          </reference>
          <reference field="8" count="1" selected="0">
            <x v="1093"/>
          </reference>
          <reference field="9" count="1">
            <x v="611"/>
          </reference>
        </references>
      </pivotArea>
    </format>
    <format dxfId="2831">
      <pivotArea dataOnly="0" labelOnly="1" fieldPosition="0">
        <references count="6">
          <reference field="1" count="1" selected="0">
            <x v="33"/>
          </reference>
          <reference field="5" count="1" selected="0">
            <x v="35"/>
          </reference>
          <reference field="6" count="1" selected="0">
            <x v="1"/>
          </reference>
          <reference field="7" count="1" selected="0">
            <x v="114"/>
          </reference>
          <reference field="8" count="1" selected="0">
            <x v="80"/>
          </reference>
          <reference field="9" count="1">
            <x v="611"/>
          </reference>
        </references>
      </pivotArea>
    </format>
    <format dxfId="2830">
      <pivotArea dataOnly="0" labelOnly="1" fieldPosition="0">
        <references count="6">
          <reference field="1" count="1" selected="0">
            <x v="34"/>
          </reference>
          <reference field="5" count="1" selected="0">
            <x v="0"/>
          </reference>
          <reference field="6" count="1" selected="0">
            <x v="12"/>
          </reference>
          <reference field="7" count="1" selected="0">
            <x v="2"/>
          </reference>
          <reference field="8" count="1" selected="0">
            <x v="134"/>
          </reference>
          <reference field="9" count="1">
            <x v="611"/>
          </reference>
        </references>
      </pivotArea>
    </format>
    <format dxfId="2829">
      <pivotArea dataOnly="0" labelOnly="1" fieldPosition="0">
        <references count="6">
          <reference field="1" count="1" selected="0">
            <x v="34"/>
          </reference>
          <reference field="5" count="1" selected="0">
            <x v="0"/>
          </reference>
          <reference field="6" count="1" selected="0">
            <x v="12"/>
          </reference>
          <reference field="7" count="1" selected="0">
            <x v="19"/>
          </reference>
          <reference field="8" count="1" selected="0">
            <x v="73"/>
          </reference>
          <reference field="9" count="1">
            <x v="611"/>
          </reference>
        </references>
      </pivotArea>
    </format>
    <format dxfId="2828">
      <pivotArea dataOnly="0" labelOnly="1" fieldPosition="0">
        <references count="6">
          <reference field="1" count="1" selected="0">
            <x v="34"/>
          </reference>
          <reference field="5" count="1" selected="0">
            <x v="0"/>
          </reference>
          <reference field="6" count="1" selected="0">
            <x v="12"/>
          </reference>
          <reference field="7" count="1" selected="0">
            <x v="27"/>
          </reference>
          <reference field="8" count="1" selected="0">
            <x v="92"/>
          </reference>
          <reference field="9" count="1">
            <x v="611"/>
          </reference>
        </references>
      </pivotArea>
    </format>
    <format dxfId="2827">
      <pivotArea dataOnly="0" labelOnly="1" fieldPosition="0">
        <references count="6">
          <reference field="1" count="1" selected="0">
            <x v="34"/>
          </reference>
          <reference field="5" count="1" selected="0">
            <x v="0"/>
          </reference>
          <reference field="6" count="1" selected="0">
            <x v="12"/>
          </reference>
          <reference field="7" count="1" selected="0">
            <x v="42"/>
          </reference>
          <reference field="8" count="1" selected="0">
            <x v="69"/>
          </reference>
          <reference field="9" count="1">
            <x v="611"/>
          </reference>
        </references>
      </pivotArea>
    </format>
    <format dxfId="2826">
      <pivotArea dataOnly="0" labelOnly="1" fieldPosition="0">
        <references count="6">
          <reference field="1" count="1" selected="0">
            <x v="34"/>
          </reference>
          <reference field="5" count="1" selected="0">
            <x v="0"/>
          </reference>
          <reference field="6" count="1" selected="0">
            <x v="12"/>
          </reference>
          <reference field="7" count="1" selected="0">
            <x v="62"/>
          </reference>
          <reference field="8" count="1" selected="0">
            <x v="52"/>
          </reference>
          <reference field="9" count="1">
            <x v="611"/>
          </reference>
        </references>
      </pivotArea>
    </format>
    <format dxfId="2825">
      <pivotArea dataOnly="0" labelOnly="1" fieldPosition="0">
        <references count="6">
          <reference field="1" count="1" selected="0">
            <x v="34"/>
          </reference>
          <reference field="5" count="1" selected="0">
            <x v="12"/>
          </reference>
          <reference field="6" count="1" selected="0">
            <x v="1"/>
          </reference>
          <reference field="7" count="1" selected="0">
            <x v="115"/>
          </reference>
          <reference field="8" count="1" selected="0">
            <x v="80"/>
          </reference>
          <reference field="9" count="1">
            <x v="611"/>
          </reference>
        </references>
      </pivotArea>
    </format>
    <format dxfId="2824">
      <pivotArea dataOnly="0" labelOnly="1" fieldPosition="0">
        <references count="6">
          <reference field="1" count="1" selected="0">
            <x v="34"/>
          </reference>
          <reference field="5" count="1" selected="0">
            <x v="26"/>
          </reference>
          <reference field="6" count="1" selected="0">
            <x v="37"/>
          </reference>
          <reference field="7" count="1" selected="0">
            <x v="115"/>
          </reference>
          <reference field="8" count="1" selected="0">
            <x v="109"/>
          </reference>
          <reference field="9" count="1">
            <x v="611"/>
          </reference>
        </references>
      </pivotArea>
    </format>
    <format dxfId="2823">
      <pivotArea dataOnly="0" labelOnly="1" fieldPosition="0">
        <references count="6">
          <reference field="1" count="1" selected="0">
            <x v="34"/>
          </reference>
          <reference field="5" count="1" selected="0">
            <x v="27"/>
          </reference>
          <reference field="6" count="1" selected="0">
            <x v="37"/>
          </reference>
          <reference field="7" count="1" selected="0">
            <x v="115"/>
          </reference>
          <reference field="8" count="1" selected="0">
            <x v="39"/>
          </reference>
          <reference field="9" count="1">
            <x v="611"/>
          </reference>
        </references>
      </pivotArea>
    </format>
    <format dxfId="2822">
      <pivotArea dataOnly="0" labelOnly="1" fieldPosition="0">
        <references count="6">
          <reference field="1" count="1" selected="0">
            <x v="35"/>
          </reference>
          <reference field="5" count="1" selected="0">
            <x v="0"/>
          </reference>
          <reference field="6" count="1" selected="0">
            <x v="1"/>
          </reference>
          <reference field="7" count="1" selected="0">
            <x v="116"/>
          </reference>
          <reference field="8" count="1" selected="0">
            <x v="352"/>
          </reference>
          <reference field="9" count="1">
            <x v="611"/>
          </reference>
        </references>
      </pivotArea>
    </format>
    <format dxfId="2821">
      <pivotArea dataOnly="0" labelOnly="1" fieldPosition="0">
        <references count="6">
          <reference field="1" count="1" selected="0">
            <x v="35"/>
          </reference>
          <reference field="5" count="1" selected="0">
            <x v="0"/>
          </reference>
          <reference field="6" count="1" selected="0">
            <x v="8"/>
          </reference>
          <reference field="7" count="1" selected="0">
            <x v="116"/>
          </reference>
          <reference field="8" count="1" selected="0">
            <x v="376"/>
          </reference>
          <reference field="9" count="1">
            <x v="611"/>
          </reference>
        </references>
      </pivotArea>
    </format>
    <format dxfId="2820">
      <pivotArea dataOnly="0" labelOnly="1" fieldPosition="0">
        <references count="6">
          <reference field="1" count="1" selected="0">
            <x v="35"/>
          </reference>
          <reference field="5" count="1" selected="0">
            <x v="0"/>
          </reference>
          <reference field="6" count="1" selected="0">
            <x v="8"/>
          </reference>
          <reference field="7" count="1" selected="0">
            <x v="116"/>
          </reference>
          <reference field="8" count="1" selected="0">
            <x v="773"/>
          </reference>
          <reference field="9" count="1">
            <x v="611"/>
          </reference>
        </references>
      </pivotArea>
    </format>
    <format dxfId="2819">
      <pivotArea dataOnly="0" labelOnly="1" fieldPosition="0">
        <references count="6">
          <reference field="1" count="1" selected="0">
            <x v="35"/>
          </reference>
          <reference field="5" count="1" selected="0">
            <x v="0"/>
          </reference>
          <reference field="6" count="1" selected="0">
            <x v="9"/>
          </reference>
          <reference field="7" count="1" selected="0">
            <x v="116"/>
          </reference>
          <reference field="8" count="1" selected="0">
            <x v="345"/>
          </reference>
          <reference field="9" count="1">
            <x v="611"/>
          </reference>
        </references>
      </pivotArea>
    </format>
    <format dxfId="2818">
      <pivotArea dataOnly="0" labelOnly="1" fieldPosition="0">
        <references count="6">
          <reference field="1" count="1" selected="0">
            <x v="35"/>
          </reference>
          <reference field="5" count="1" selected="0">
            <x v="0"/>
          </reference>
          <reference field="6" count="1" selected="0">
            <x v="9"/>
          </reference>
          <reference field="7" count="1" selected="0">
            <x v="116"/>
          </reference>
          <reference field="8" count="1" selected="0">
            <x v="589"/>
          </reference>
          <reference field="9" count="1">
            <x v="611"/>
          </reference>
        </references>
      </pivotArea>
    </format>
    <format dxfId="2817">
      <pivotArea dataOnly="0" labelOnly="1" fieldPosition="0">
        <references count="6">
          <reference field="1" count="1" selected="0">
            <x v="35"/>
          </reference>
          <reference field="5" count="1" selected="0">
            <x v="0"/>
          </reference>
          <reference field="6" count="1" selected="0">
            <x v="9"/>
          </reference>
          <reference field="7" count="1" selected="0">
            <x v="116"/>
          </reference>
          <reference field="8" count="1" selected="0">
            <x v="681"/>
          </reference>
          <reference field="9" count="1">
            <x v="611"/>
          </reference>
        </references>
      </pivotArea>
    </format>
    <format dxfId="2816">
      <pivotArea dataOnly="0" labelOnly="1" fieldPosition="0">
        <references count="6">
          <reference field="1" count="1" selected="0">
            <x v="35"/>
          </reference>
          <reference field="5" count="1" selected="0">
            <x v="0"/>
          </reference>
          <reference field="6" count="1" selected="0">
            <x v="9"/>
          </reference>
          <reference field="7" count="1" selected="0">
            <x v="116"/>
          </reference>
          <reference field="8" count="1" selected="0">
            <x v="1253"/>
          </reference>
          <reference field="9" count="1">
            <x v="611"/>
          </reference>
        </references>
      </pivotArea>
    </format>
    <format dxfId="2815">
      <pivotArea dataOnly="0" labelOnly="1" fieldPosition="0">
        <references count="6">
          <reference field="1" count="1" selected="0">
            <x v="35"/>
          </reference>
          <reference field="5" count="1" selected="0">
            <x v="0"/>
          </reference>
          <reference field="6" count="1" selected="0">
            <x v="12"/>
          </reference>
          <reference field="7" count="1" selected="0">
            <x v="21"/>
          </reference>
          <reference field="8" count="1" selected="0">
            <x v="69"/>
          </reference>
          <reference field="9" count="1">
            <x v="611"/>
          </reference>
        </references>
      </pivotArea>
    </format>
    <format dxfId="2814">
      <pivotArea dataOnly="0" labelOnly="1" fieldPosition="0">
        <references count="6">
          <reference field="1" count="1" selected="0">
            <x v="35"/>
          </reference>
          <reference field="5" count="1" selected="0">
            <x v="0"/>
          </reference>
          <reference field="6" count="1" selected="0">
            <x v="12"/>
          </reference>
          <reference field="7" count="1" selected="0">
            <x v="61"/>
          </reference>
          <reference field="8" count="1" selected="0">
            <x v="69"/>
          </reference>
          <reference field="9" count="1">
            <x v="611"/>
          </reference>
        </references>
      </pivotArea>
    </format>
    <format dxfId="2813">
      <pivotArea dataOnly="0" labelOnly="1" fieldPosition="0">
        <references count="6">
          <reference field="1" count="1" selected="0">
            <x v="35"/>
          </reference>
          <reference field="5" count="1" selected="0">
            <x v="0"/>
          </reference>
          <reference field="6" count="1" selected="0">
            <x v="12"/>
          </reference>
          <reference field="7" count="1" selected="0">
            <x v="62"/>
          </reference>
          <reference field="8" count="1" selected="0">
            <x v="85"/>
          </reference>
          <reference field="9" count="1">
            <x v="611"/>
          </reference>
        </references>
      </pivotArea>
    </format>
    <format dxfId="2812">
      <pivotArea dataOnly="0" labelOnly="1" fieldPosition="0">
        <references count="6">
          <reference field="1" count="1" selected="0">
            <x v="35"/>
          </reference>
          <reference field="5" count="1" selected="0">
            <x v="0"/>
          </reference>
          <reference field="6" count="1" selected="0">
            <x v="12"/>
          </reference>
          <reference field="7" count="1" selected="0">
            <x v="64"/>
          </reference>
          <reference field="8" count="1" selected="0">
            <x v="69"/>
          </reference>
          <reference field="9" count="1">
            <x v="611"/>
          </reference>
        </references>
      </pivotArea>
    </format>
    <format dxfId="2811">
      <pivotArea dataOnly="0" labelOnly="1" fieldPosition="0">
        <references count="6">
          <reference field="1" count="1" selected="0">
            <x v="35"/>
          </reference>
          <reference field="5" count="1" selected="0">
            <x v="2"/>
          </reference>
          <reference field="6" count="1" selected="0">
            <x v="10"/>
          </reference>
          <reference field="7" count="1" selected="0">
            <x v="116"/>
          </reference>
          <reference field="8" count="1" selected="0">
            <x v="1669"/>
          </reference>
          <reference field="9" count="1">
            <x v="611"/>
          </reference>
        </references>
      </pivotArea>
    </format>
    <format dxfId="2810">
      <pivotArea dataOnly="0" labelOnly="1" fieldPosition="0">
        <references count="6">
          <reference field="1" count="1" selected="0">
            <x v="35"/>
          </reference>
          <reference field="5" count="1" selected="0">
            <x v="3"/>
          </reference>
          <reference field="6" count="1" selected="0">
            <x v="10"/>
          </reference>
          <reference field="7" count="1" selected="0">
            <x v="116"/>
          </reference>
          <reference field="8" count="1" selected="0">
            <x v="1365"/>
          </reference>
          <reference field="9" count="1">
            <x v="611"/>
          </reference>
        </references>
      </pivotArea>
    </format>
    <format dxfId="2809">
      <pivotArea dataOnly="0" labelOnly="1" fieldPosition="0">
        <references count="6">
          <reference field="1" count="1" selected="0">
            <x v="35"/>
          </reference>
          <reference field="5" count="1" selected="0">
            <x v="7"/>
          </reference>
          <reference field="6" count="1" selected="0">
            <x v="8"/>
          </reference>
          <reference field="7" count="1" selected="0">
            <x v="116"/>
          </reference>
          <reference field="8" count="1" selected="0">
            <x v="216"/>
          </reference>
          <reference field="9" count="1">
            <x v="611"/>
          </reference>
        </references>
      </pivotArea>
    </format>
    <format dxfId="2808">
      <pivotArea dataOnly="0" labelOnly="1" fieldPosition="0">
        <references count="6">
          <reference field="1" count="1" selected="0">
            <x v="35"/>
          </reference>
          <reference field="5" count="1" selected="0">
            <x v="7"/>
          </reference>
          <reference field="6" count="1" selected="0">
            <x v="10"/>
          </reference>
          <reference field="7" count="1" selected="0">
            <x v="116"/>
          </reference>
          <reference field="8" count="1" selected="0">
            <x v="692"/>
          </reference>
          <reference field="9" count="1">
            <x v="611"/>
          </reference>
        </references>
      </pivotArea>
    </format>
    <format dxfId="2807">
      <pivotArea dataOnly="0" labelOnly="1" fieldPosition="0">
        <references count="6">
          <reference field="1" count="1" selected="0">
            <x v="35"/>
          </reference>
          <reference field="5" count="1" selected="0">
            <x v="9"/>
          </reference>
          <reference field="6" count="1" selected="0">
            <x v="10"/>
          </reference>
          <reference field="7" count="1" selected="0">
            <x v="116"/>
          </reference>
          <reference field="8" count="1" selected="0">
            <x v="329"/>
          </reference>
          <reference field="9" count="1">
            <x v="611"/>
          </reference>
        </references>
      </pivotArea>
    </format>
    <format dxfId="2806">
      <pivotArea dataOnly="0" labelOnly="1" fieldPosition="0">
        <references count="6">
          <reference field="1" count="1" selected="0">
            <x v="35"/>
          </reference>
          <reference field="5" count="1" selected="0">
            <x v="11"/>
          </reference>
          <reference field="6" count="1" selected="0">
            <x v="10"/>
          </reference>
          <reference field="7" count="1" selected="0">
            <x v="116"/>
          </reference>
          <reference field="8" count="1" selected="0">
            <x v="819"/>
          </reference>
          <reference field="9" count="1">
            <x v="611"/>
          </reference>
        </references>
      </pivotArea>
    </format>
    <format dxfId="2805">
      <pivotArea dataOnly="0" labelOnly="1" fieldPosition="0">
        <references count="6">
          <reference field="1" count="1" selected="0">
            <x v="35"/>
          </reference>
          <reference field="5" count="1" selected="0">
            <x v="12"/>
          </reference>
          <reference field="6" count="1" selected="0">
            <x v="1"/>
          </reference>
          <reference field="7" count="1" selected="0">
            <x v="116"/>
          </reference>
          <reference field="8" count="1" selected="0">
            <x v="213"/>
          </reference>
          <reference field="9" count="1">
            <x v="611"/>
          </reference>
        </references>
      </pivotArea>
    </format>
    <format dxfId="2804">
      <pivotArea dataOnly="0" labelOnly="1" fieldPosition="0">
        <references count="6">
          <reference field="1" count="1" selected="0">
            <x v="35"/>
          </reference>
          <reference field="5" count="1" selected="0">
            <x v="12"/>
          </reference>
          <reference field="6" count="1" selected="0">
            <x v="1"/>
          </reference>
          <reference field="7" count="1" selected="0">
            <x v="116"/>
          </reference>
          <reference field="8" count="1" selected="0">
            <x v="500"/>
          </reference>
          <reference field="9" count="1">
            <x v="611"/>
          </reference>
        </references>
      </pivotArea>
    </format>
    <format dxfId="2803">
      <pivotArea dataOnly="0" labelOnly="1" fieldPosition="0">
        <references count="6">
          <reference field="1" count="1" selected="0">
            <x v="35"/>
          </reference>
          <reference field="5" count="1" selected="0">
            <x v="21"/>
          </reference>
          <reference field="6" count="1" selected="0">
            <x v="37"/>
          </reference>
          <reference field="7" count="1" selected="0">
            <x v="116"/>
          </reference>
          <reference field="8" count="1" selected="0">
            <x v="1050"/>
          </reference>
          <reference field="9" count="1">
            <x v="611"/>
          </reference>
        </references>
      </pivotArea>
    </format>
    <format dxfId="2802">
      <pivotArea dataOnly="0" labelOnly="1" fieldPosition="0">
        <references count="6">
          <reference field="1" count="1" selected="0">
            <x v="35"/>
          </reference>
          <reference field="5" count="1" selected="0">
            <x v="23"/>
          </reference>
          <reference field="6" count="1" selected="0">
            <x v="37"/>
          </reference>
          <reference field="7" count="1" selected="0">
            <x v="116"/>
          </reference>
          <reference field="8" count="1" selected="0">
            <x v="288"/>
          </reference>
          <reference field="9" count="1">
            <x v="611"/>
          </reference>
        </references>
      </pivotArea>
    </format>
    <format dxfId="2801">
      <pivotArea dataOnly="0" labelOnly="1" fieldPosition="0">
        <references count="6">
          <reference field="1" count="1" selected="0">
            <x v="35"/>
          </reference>
          <reference field="5" count="1" selected="0">
            <x v="26"/>
          </reference>
          <reference field="6" count="1" selected="0">
            <x v="37"/>
          </reference>
          <reference field="7" count="1" selected="0">
            <x v="116"/>
          </reference>
          <reference field="8" count="1" selected="0">
            <x v="920"/>
          </reference>
          <reference field="9" count="1">
            <x v="611"/>
          </reference>
        </references>
      </pivotArea>
    </format>
    <format dxfId="2800">
      <pivotArea dataOnly="0" labelOnly="1" fieldPosition="0">
        <references count="6">
          <reference field="1" count="1" selected="0">
            <x v="35"/>
          </reference>
          <reference field="5" count="1" selected="0">
            <x v="27"/>
          </reference>
          <reference field="6" count="1" selected="0">
            <x v="37"/>
          </reference>
          <reference field="7" count="1" selected="0">
            <x v="116"/>
          </reference>
          <reference field="8" count="1" selected="0">
            <x v="39"/>
          </reference>
          <reference field="9" count="1">
            <x v="611"/>
          </reference>
        </references>
      </pivotArea>
    </format>
    <format dxfId="2799">
      <pivotArea dataOnly="0" labelOnly="1" fieldPosition="0">
        <references count="6">
          <reference field="1" count="1" selected="0">
            <x v="35"/>
          </reference>
          <reference field="5" count="1" selected="0">
            <x v="35"/>
          </reference>
          <reference field="6" count="1" selected="0">
            <x v="1"/>
          </reference>
          <reference field="7" count="1" selected="0">
            <x v="116"/>
          </reference>
          <reference field="8" count="1" selected="0">
            <x v="80"/>
          </reference>
          <reference field="9" count="1">
            <x v="611"/>
          </reference>
        </references>
      </pivotArea>
    </format>
    <format dxfId="2798">
      <pivotArea dataOnly="0" labelOnly="1" fieldPosition="0">
        <references count="6">
          <reference field="1" count="1" selected="0">
            <x v="35"/>
          </reference>
          <reference field="5" count="1" selected="0">
            <x v="36"/>
          </reference>
          <reference field="6" count="1" selected="0">
            <x v="8"/>
          </reference>
          <reference field="7" count="1" selected="0">
            <x v="116"/>
          </reference>
          <reference field="8" count="1" selected="0">
            <x v="832"/>
          </reference>
          <reference field="9" count="1">
            <x v="611"/>
          </reference>
        </references>
      </pivotArea>
    </format>
    <format dxfId="2797">
      <pivotArea dataOnly="0" labelOnly="1" fieldPosition="0">
        <references count="6">
          <reference field="1" count="1" selected="0">
            <x v="35"/>
          </reference>
          <reference field="5" count="1" selected="0">
            <x v="36"/>
          </reference>
          <reference field="6" count="1" selected="0">
            <x v="10"/>
          </reference>
          <reference field="7" count="1" selected="0">
            <x v="116"/>
          </reference>
          <reference field="8" count="1" selected="0">
            <x v="1616"/>
          </reference>
          <reference field="9" count="1">
            <x v="611"/>
          </reference>
        </references>
      </pivotArea>
    </format>
    <format dxfId="2796">
      <pivotArea dataOnly="0" labelOnly="1" fieldPosition="0">
        <references count="6">
          <reference field="1" count="1" selected="0">
            <x v="35"/>
          </reference>
          <reference field="5" count="1" selected="0">
            <x v="37"/>
          </reference>
          <reference field="6" count="1" selected="0">
            <x v="10"/>
          </reference>
          <reference field="7" count="1" selected="0">
            <x v="116"/>
          </reference>
          <reference field="8" count="1" selected="0">
            <x v="1712"/>
          </reference>
          <reference field="9" count="1">
            <x v="611"/>
          </reference>
        </references>
      </pivotArea>
    </format>
    <format dxfId="2795">
      <pivotArea dataOnly="0" labelOnly="1" fieldPosition="0">
        <references count="6">
          <reference field="1" count="1" selected="0">
            <x v="35"/>
          </reference>
          <reference field="5" count="1" selected="0">
            <x v="38"/>
          </reference>
          <reference field="6" count="1" selected="0">
            <x v="10"/>
          </reference>
          <reference field="7" count="1" selected="0">
            <x v="116"/>
          </reference>
          <reference field="8" count="1" selected="0">
            <x v="1152"/>
          </reference>
          <reference field="9" count="1">
            <x v="611"/>
          </reference>
        </references>
      </pivotArea>
    </format>
    <format dxfId="2794">
      <pivotArea dataOnly="0" labelOnly="1" fieldPosition="0">
        <references count="6">
          <reference field="1" count="1" selected="0">
            <x v="36"/>
          </reference>
          <reference field="5" count="1" selected="0">
            <x v="0"/>
          </reference>
          <reference field="6" count="1" selected="0">
            <x v="12"/>
          </reference>
          <reference field="7" count="1" selected="0">
            <x v="20"/>
          </reference>
          <reference field="8" count="1" selected="0">
            <x v="119"/>
          </reference>
          <reference field="9" count="1">
            <x v="611"/>
          </reference>
        </references>
      </pivotArea>
    </format>
    <format dxfId="2793">
      <pivotArea dataOnly="0" labelOnly="1" fieldPosition="0">
        <references count="6">
          <reference field="1" count="1" selected="0">
            <x v="36"/>
          </reference>
          <reference field="5" count="1" selected="0">
            <x v="0"/>
          </reference>
          <reference field="6" count="1" selected="0">
            <x v="12"/>
          </reference>
          <reference field="7" count="1" selected="0">
            <x v="70"/>
          </reference>
          <reference field="8" count="1" selected="0">
            <x v="9"/>
          </reference>
          <reference field="9" count="1">
            <x v="611"/>
          </reference>
        </references>
      </pivotArea>
    </format>
    <format dxfId="2792">
      <pivotArea dataOnly="0" labelOnly="1" fieldPosition="0">
        <references count="6">
          <reference field="1" count="1" selected="0">
            <x v="36"/>
          </reference>
          <reference field="5" count="1" selected="0">
            <x v="6"/>
          </reference>
          <reference field="6" count="1" selected="0">
            <x v="37"/>
          </reference>
          <reference field="7" count="1" selected="0">
            <x v="117"/>
          </reference>
          <reference field="8" count="1" selected="0">
            <x v="517"/>
          </reference>
          <reference field="9" count="1">
            <x v="611"/>
          </reference>
        </references>
      </pivotArea>
    </format>
    <format dxfId="2791">
      <pivotArea dataOnly="0" labelOnly="1" fieldPosition="0">
        <references count="6">
          <reference field="1" count="1" selected="0">
            <x v="36"/>
          </reference>
          <reference field="5" count="1" selected="0">
            <x v="32"/>
          </reference>
          <reference field="6" count="1" selected="0">
            <x v="6"/>
          </reference>
          <reference field="7" count="1" selected="0">
            <x v="117"/>
          </reference>
          <reference field="8" count="1" selected="0">
            <x v="1793"/>
          </reference>
          <reference field="9" count="1">
            <x v="611"/>
          </reference>
        </references>
      </pivotArea>
    </format>
    <format dxfId="2790">
      <pivotArea dataOnly="0" labelOnly="1" fieldPosition="0">
        <references count="6">
          <reference field="1" count="1" selected="0">
            <x v="37"/>
          </reference>
          <reference field="5" count="1" selected="0">
            <x v="0"/>
          </reference>
          <reference field="6" count="1" selected="0">
            <x v="8"/>
          </reference>
          <reference field="7" count="1" selected="0">
            <x v="118"/>
          </reference>
          <reference field="8" count="1" selected="0">
            <x v="964"/>
          </reference>
          <reference field="9" count="1">
            <x v="611"/>
          </reference>
        </references>
      </pivotArea>
    </format>
    <format dxfId="2789">
      <pivotArea dataOnly="0" labelOnly="1" fieldPosition="0">
        <references count="6">
          <reference field="1" count="1" selected="0">
            <x v="37"/>
          </reference>
          <reference field="5" count="1" selected="0">
            <x v="0"/>
          </reference>
          <reference field="6" count="1" selected="0">
            <x v="12"/>
          </reference>
          <reference field="7" count="1" selected="0">
            <x v="13"/>
          </reference>
          <reference field="8" count="1" selected="0">
            <x v="140"/>
          </reference>
          <reference field="9" count="1">
            <x v="611"/>
          </reference>
        </references>
      </pivotArea>
    </format>
    <format dxfId="2788">
      <pivotArea dataOnly="0" labelOnly="1" fieldPosition="0">
        <references count="6">
          <reference field="1" count="1" selected="0">
            <x v="37"/>
          </reference>
          <reference field="5" count="1" selected="0">
            <x v="0"/>
          </reference>
          <reference field="6" count="1" selected="0">
            <x v="12"/>
          </reference>
          <reference field="7" count="1" selected="0">
            <x v="17"/>
          </reference>
          <reference field="8" count="1" selected="0">
            <x v="96"/>
          </reference>
          <reference field="9" count="1">
            <x v="611"/>
          </reference>
        </references>
      </pivotArea>
    </format>
    <format dxfId="2787">
      <pivotArea dataOnly="0" labelOnly="1" fieldPosition="0">
        <references count="6">
          <reference field="1" count="1" selected="0">
            <x v="37"/>
          </reference>
          <reference field="5" count="1" selected="0">
            <x v="0"/>
          </reference>
          <reference field="6" count="1" selected="0">
            <x v="12"/>
          </reference>
          <reference field="7" count="1" selected="0">
            <x v="28"/>
          </reference>
          <reference field="8" count="1" selected="0">
            <x v="73"/>
          </reference>
          <reference field="9" count="1">
            <x v="611"/>
          </reference>
        </references>
      </pivotArea>
    </format>
    <format dxfId="2786">
      <pivotArea dataOnly="0" labelOnly="1" fieldPosition="0">
        <references count="6">
          <reference field="1" count="1" selected="0">
            <x v="37"/>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2785">
      <pivotArea dataOnly="0" labelOnly="1" fieldPosition="0">
        <references count="6">
          <reference field="1" count="1" selected="0">
            <x v="37"/>
          </reference>
          <reference field="5" count="1" selected="0">
            <x v="0"/>
          </reference>
          <reference field="6" count="1" selected="0">
            <x v="12"/>
          </reference>
          <reference field="7" count="1" selected="0">
            <x v="69"/>
          </reference>
          <reference field="8" count="1" selected="0">
            <x v="248"/>
          </reference>
          <reference field="9" count="1">
            <x v="611"/>
          </reference>
        </references>
      </pivotArea>
    </format>
    <format dxfId="2784">
      <pivotArea dataOnly="0" labelOnly="1" fieldPosition="0">
        <references count="6">
          <reference field="1" count="1" selected="0">
            <x v="37"/>
          </reference>
          <reference field="5" count="1" selected="0">
            <x v="0"/>
          </reference>
          <reference field="6" count="1" selected="0">
            <x v="12"/>
          </reference>
          <reference field="7" count="1" selected="0">
            <x v="70"/>
          </reference>
          <reference field="8" count="1" selected="0">
            <x v="92"/>
          </reference>
          <reference field="9" count="1">
            <x v="611"/>
          </reference>
        </references>
      </pivotArea>
    </format>
    <format dxfId="2783">
      <pivotArea dataOnly="0" labelOnly="1" fieldPosition="0">
        <references count="6">
          <reference field="1" count="1" selected="0">
            <x v="37"/>
          </reference>
          <reference field="5" count="1" selected="0">
            <x v="0"/>
          </reference>
          <reference field="6" count="1" selected="0">
            <x v="37"/>
          </reference>
          <reference field="7" count="1" selected="0">
            <x v="118"/>
          </reference>
          <reference field="8" count="1" selected="0">
            <x v="138"/>
          </reference>
          <reference field="9" count="1">
            <x v="611"/>
          </reference>
        </references>
      </pivotArea>
    </format>
    <format dxfId="2782">
      <pivotArea dataOnly="0" labelOnly="1" fieldPosition="0">
        <references count="6">
          <reference field="1" count="1" selected="0">
            <x v="37"/>
          </reference>
          <reference field="5" count="1" selected="0">
            <x v="0"/>
          </reference>
          <reference field="6" count="1" selected="0">
            <x v="37"/>
          </reference>
          <reference field="7" count="1" selected="0">
            <x v="118"/>
          </reference>
          <reference field="8" count="1" selected="0">
            <x v="453"/>
          </reference>
          <reference field="9" count="1">
            <x v="611"/>
          </reference>
        </references>
      </pivotArea>
    </format>
    <format dxfId="2781">
      <pivotArea dataOnly="0" labelOnly="1" fieldPosition="0">
        <references count="6">
          <reference field="1" count="1" selected="0">
            <x v="37"/>
          </reference>
          <reference field="5" count="1" selected="0">
            <x v="0"/>
          </reference>
          <reference field="6" count="1" selected="0">
            <x v="37"/>
          </reference>
          <reference field="7" count="1" selected="0">
            <x v="118"/>
          </reference>
          <reference field="8" count="1" selected="0">
            <x v="1232"/>
          </reference>
          <reference field="9" count="1">
            <x v="611"/>
          </reference>
        </references>
      </pivotArea>
    </format>
    <format dxfId="2780">
      <pivotArea dataOnly="0" labelOnly="1" fieldPosition="0">
        <references count="6">
          <reference field="1" count="1" selected="0">
            <x v="37"/>
          </reference>
          <reference field="5" count="1" selected="0">
            <x v="5"/>
          </reference>
          <reference field="6" count="1" selected="0">
            <x v="37"/>
          </reference>
          <reference field="7" count="1" selected="0">
            <x v="118"/>
          </reference>
          <reference field="8" count="1" selected="0">
            <x v="501"/>
          </reference>
          <reference field="9" count="1">
            <x v="611"/>
          </reference>
        </references>
      </pivotArea>
    </format>
    <format dxfId="2779">
      <pivotArea dataOnly="0" labelOnly="1" fieldPosition="0">
        <references count="6">
          <reference field="1" count="1" selected="0">
            <x v="37"/>
          </reference>
          <reference field="5" count="1" selected="0">
            <x v="5"/>
          </reference>
          <reference field="6" count="1" selected="0">
            <x v="38"/>
          </reference>
          <reference field="7" count="1" selected="0">
            <x v="118"/>
          </reference>
          <reference field="8" count="1" selected="0">
            <x v="1450"/>
          </reference>
          <reference field="9" count="1">
            <x v="611"/>
          </reference>
        </references>
      </pivotArea>
    </format>
    <format dxfId="2778">
      <pivotArea dataOnly="0" labelOnly="1" fieldPosition="0">
        <references count="6">
          <reference field="1" count="1" selected="0">
            <x v="37"/>
          </reference>
          <reference field="5" count="1" selected="0">
            <x v="6"/>
          </reference>
          <reference field="6" count="1" selected="0">
            <x v="37"/>
          </reference>
          <reference field="7" count="1" selected="0">
            <x v="118"/>
          </reference>
          <reference field="8" count="1" selected="0">
            <x v="774"/>
          </reference>
          <reference field="9" count="1">
            <x v="611"/>
          </reference>
        </references>
      </pivotArea>
    </format>
    <format dxfId="2777">
      <pivotArea dataOnly="0" labelOnly="1" fieldPosition="0">
        <references count="6">
          <reference field="1" count="1" selected="0">
            <x v="37"/>
          </reference>
          <reference field="5" count="1" selected="0">
            <x v="12"/>
          </reference>
          <reference field="6" count="1" selected="0">
            <x v="1"/>
          </reference>
          <reference field="7" count="1" selected="0">
            <x v="118"/>
          </reference>
          <reference field="8" count="1" selected="0">
            <x v="80"/>
          </reference>
          <reference field="9" count="1">
            <x v="611"/>
          </reference>
        </references>
      </pivotArea>
    </format>
    <format dxfId="2776">
      <pivotArea dataOnly="0" labelOnly="1" fieldPosition="0">
        <references count="6">
          <reference field="1" count="1" selected="0">
            <x v="37"/>
          </reference>
          <reference field="5" count="1" selected="0">
            <x v="12"/>
          </reference>
          <reference field="6" count="1" selected="0">
            <x v="1"/>
          </reference>
          <reference field="7" count="1" selected="0">
            <x v="118"/>
          </reference>
          <reference field="8" count="1" selected="0">
            <x v="213"/>
          </reference>
          <reference field="9" count="1">
            <x v="611"/>
          </reference>
        </references>
      </pivotArea>
    </format>
    <format dxfId="2775">
      <pivotArea dataOnly="0" labelOnly="1" fieldPosition="0">
        <references count="6">
          <reference field="1" count="1" selected="0">
            <x v="37"/>
          </reference>
          <reference field="5" count="1" selected="0">
            <x v="12"/>
          </reference>
          <reference field="6" count="1" selected="0">
            <x v="1"/>
          </reference>
          <reference field="7" count="1" selected="0">
            <x v="118"/>
          </reference>
          <reference field="8" count="1" selected="0">
            <x v="500"/>
          </reference>
          <reference field="9" count="1">
            <x v="611"/>
          </reference>
        </references>
      </pivotArea>
    </format>
    <format dxfId="2774">
      <pivotArea dataOnly="0" labelOnly="1" fieldPosition="0">
        <references count="6">
          <reference field="1" count="1" selected="0">
            <x v="37"/>
          </reference>
          <reference field="5" count="1" selected="0">
            <x v="12"/>
          </reference>
          <reference field="6" count="1" selected="0">
            <x v="1"/>
          </reference>
          <reference field="7" count="1" selected="0">
            <x v="118"/>
          </reference>
          <reference field="8" count="1" selected="0">
            <x v="607"/>
          </reference>
          <reference field="9" count="1">
            <x v="611"/>
          </reference>
        </references>
      </pivotArea>
    </format>
    <format dxfId="2773">
      <pivotArea dataOnly="0" labelOnly="1" fieldPosition="0">
        <references count="6">
          <reference field="1" count="1" selected="0">
            <x v="37"/>
          </reference>
          <reference field="5" count="1" selected="0">
            <x v="12"/>
          </reference>
          <reference field="6" count="1" selected="0">
            <x v="1"/>
          </reference>
          <reference field="7" count="1" selected="0">
            <x v="118"/>
          </reference>
          <reference field="8" count="1" selected="0">
            <x v="702"/>
          </reference>
          <reference field="9" count="1">
            <x v="611"/>
          </reference>
        </references>
      </pivotArea>
    </format>
    <format dxfId="2772">
      <pivotArea dataOnly="0" labelOnly="1" fieldPosition="0">
        <references count="6">
          <reference field="1" count="1" selected="0">
            <x v="37"/>
          </reference>
          <reference field="5" count="1" selected="0">
            <x v="12"/>
          </reference>
          <reference field="6" count="1" selected="0">
            <x v="1"/>
          </reference>
          <reference field="7" count="1" selected="0">
            <x v="118"/>
          </reference>
          <reference field="8" count="1" selected="0">
            <x v="846"/>
          </reference>
          <reference field="9" count="1">
            <x v="611"/>
          </reference>
        </references>
      </pivotArea>
    </format>
    <format dxfId="2771">
      <pivotArea dataOnly="0" labelOnly="1" fieldPosition="0">
        <references count="6">
          <reference field="1" count="1" selected="0">
            <x v="37"/>
          </reference>
          <reference field="5" count="1" selected="0">
            <x v="19"/>
          </reference>
          <reference field="6" count="1" selected="0">
            <x v="38"/>
          </reference>
          <reference field="7" count="1" selected="0">
            <x v="118"/>
          </reference>
          <reference field="8" count="1" selected="0">
            <x v="702"/>
          </reference>
          <reference field="9" count="1">
            <x v="611"/>
          </reference>
        </references>
      </pivotArea>
    </format>
    <format dxfId="2770">
      <pivotArea dataOnly="0" labelOnly="1" fieldPosition="0">
        <references count="6">
          <reference field="1" count="1" selected="0">
            <x v="37"/>
          </reference>
          <reference field="5" count="1" selected="0">
            <x v="23"/>
          </reference>
          <reference field="6" count="1" selected="0">
            <x v="37"/>
          </reference>
          <reference field="7" count="1" selected="0">
            <x v="118"/>
          </reference>
          <reference field="8" count="1" selected="0">
            <x v="48"/>
          </reference>
          <reference field="9" count="1">
            <x v="611"/>
          </reference>
        </references>
      </pivotArea>
    </format>
    <format dxfId="2769">
      <pivotArea dataOnly="0" labelOnly="1" fieldPosition="0">
        <references count="6">
          <reference field="1" count="1" selected="0">
            <x v="37"/>
          </reference>
          <reference field="5" count="1" selected="0">
            <x v="27"/>
          </reference>
          <reference field="6" count="1" selected="0">
            <x v="37"/>
          </reference>
          <reference field="7" count="1" selected="0">
            <x v="118"/>
          </reference>
          <reference field="8" count="1" selected="0">
            <x v="437"/>
          </reference>
          <reference field="9" count="1">
            <x v="611"/>
          </reference>
        </references>
      </pivotArea>
    </format>
    <format dxfId="2768">
      <pivotArea dataOnly="0" labelOnly="1" fieldPosition="0">
        <references count="6">
          <reference field="1" count="1" selected="0">
            <x v="37"/>
          </reference>
          <reference field="5" count="1" selected="0">
            <x v="35"/>
          </reference>
          <reference field="6" count="1" selected="0">
            <x v="1"/>
          </reference>
          <reference field="7" count="1" selected="0">
            <x v="118"/>
          </reference>
          <reference field="8" count="1" selected="0">
            <x v="80"/>
          </reference>
          <reference field="9" count="1">
            <x v="611"/>
          </reference>
        </references>
      </pivotArea>
    </format>
    <format dxfId="2767">
      <pivotArea dataOnly="0" labelOnly="1" fieldPosition="0">
        <references count="6">
          <reference field="1" count="1" selected="0">
            <x v="37"/>
          </reference>
          <reference field="5" count="1" selected="0">
            <x v="36"/>
          </reference>
          <reference field="6" count="1" selected="0">
            <x v="6"/>
          </reference>
          <reference field="7" count="1" selected="0">
            <x v="118"/>
          </reference>
          <reference field="8" count="1" selected="0">
            <x v="793"/>
          </reference>
          <reference field="9" count="1">
            <x v="611"/>
          </reference>
        </references>
      </pivotArea>
    </format>
    <format dxfId="2766">
      <pivotArea dataOnly="0" labelOnly="1" fieldPosition="0">
        <references count="6">
          <reference field="1" count="1" selected="0">
            <x v="38"/>
          </reference>
          <reference field="5" count="1" selected="0">
            <x v="0"/>
          </reference>
          <reference field="6" count="1" selected="0">
            <x v="8"/>
          </reference>
          <reference field="7" count="1" selected="0">
            <x v="119"/>
          </reference>
          <reference field="8" count="1" selected="0">
            <x v="188"/>
          </reference>
          <reference field="9" count="1">
            <x v="611"/>
          </reference>
        </references>
      </pivotArea>
    </format>
    <format dxfId="2765">
      <pivotArea dataOnly="0" labelOnly="1" fieldPosition="0">
        <references count="6">
          <reference field="1" count="1" selected="0">
            <x v="38"/>
          </reference>
          <reference field="5" count="1" selected="0">
            <x v="0"/>
          </reference>
          <reference field="6" count="1" selected="0">
            <x v="9"/>
          </reference>
          <reference field="7" count="1" selected="0">
            <x v="119"/>
          </reference>
          <reference field="8" count="1" selected="0">
            <x v="117"/>
          </reference>
          <reference field="9" count="1">
            <x v="611"/>
          </reference>
        </references>
      </pivotArea>
    </format>
    <format dxfId="2764">
      <pivotArea dataOnly="0" labelOnly="1" fieldPosition="0">
        <references count="6">
          <reference field="1" count="1" selected="0">
            <x v="38"/>
          </reference>
          <reference field="5" count="1" selected="0">
            <x v="0"/>
          </reference>
          <reference field="6" count="1" selected="0">
            <x v="9"/>
          </reference>
          <reference field="7" count="1" selected="0">
            <x v="119"/>
          </reference>
          <reference field="8" count="1" selected="0">
            <x v="363"/>
          </reference>
          <reference field="9" count="1">
            <x v="611"/>
          </reference>
        </references>
      </pivotArea>
    </format>
    <format dxfId="2763">
      <pivotArea dataOnly="0" labelOnly="1" fieldPosition="0">
        <references count="6">
          <reference field="1" count="1" selected="0">
            <x v="38"/>
          </reference>
          <reference field="5" count="1" selected="0">
            <x v="0"/>
          </reference>
          <reference field="6" count="1" selected="0">
            <x v="9"/>
          </reference>
          <reference field="7" count="1" selected="0">
            <x v="119"/>
          </reference>
          <reference field="8" count="1" selected="0">
            <x v="716"/>
          </reference>
          <reference field="9" count="1">
            <x v="611"/>
          </reference>
        </references>
      </pivotArea>
    </format>
    <format dxfId="2762">
      <pivotArea dataOnly="0" labelOnly="1" fieldPosition="0">
        <references count="6">
          <reference field="1" count="1" selected="0">
            <x v="38"/>
          </reference>
          <reference field="5" count="1" selected="0">
            <x v="0"/>
          </reference>
          <reference field="6" count="1" selected="0">
            <x v="9"/>
          </reference>
          <reference field="7" count="1" selected="0">
            <x v="119"/>
          </reference>
          <reference field="8" count="1" selected="0">
            <x v="1095"/>
          </reference>
          <reference field="9" count="1">
            <x v="611"/>
          </reference>
        </references>
      </pivotArea>
    </format>
    <format dxfId="2761">
      <pivotArea dataOnly="0" labelOnly="1" fieldPosition="0">
        <references count="6">
          <reference field="1" count="1" selected="0">
            <x v="38"/>
          </reference>
          <reference field="5" count="1" selected="0">
            <x v="0"/>
          </reference>
          <reference field="6" count="1" selected="0">
            <x v="9"/>
          </reference>
          <reference field="7" count="1" selected="0">
            <x v="119"/>
          </reference>
          <reference field="8" count="1" selected="0">
            <x v="1359"/>
          </reference>
          <reference field="9" count="1">
            <x v="611"/>
          </reference>
        </references>
      </pivotArea>
    </format>
    <format dxfId="2760">
      <pivotArea dataOnly="0" labelOnly="1" fieldPosition="0">
        <references count="6">
          <reference field="1" count="1" selected="0">
            <x v="38"/>
          </reference>
          <reference field="5" count="1" selected="0">
            <x v="0"/>
          </reference>
          <reference field="6" count="1" selected="0">
            <x v="9"/>
          </reference>
          <reference field="7" count="1" selected="0">
            <x v="119"/>
          </reference>
          <reference field="8" count="1" selected="0">
            <x v="1360"/>
          </reference>
          <reference field="9" count="1">
            <x v="611"/>
          </reference>
        </references>
      </pivotArea>
    </format>
    <format dxfId="2759">
      <pivotArea dataOnly="0" labelOnly="1" fieldPosition="0">
        <references count="6">
          <reference field="1" count="1" selected="0">
            <x v="38"/>
          </reference>
          <reference field="5" count="1" selected="0">
            <x v="0"/>
          </reference>
          <reference field="6" count="1" selected="0">
            <x v="12"/>
          </reference>
          <reference field="7" count="1" selected="0">
            <x v="3"/>
          </reference>
          <reference field="8" count="1" selected="0">
            <x v="114"/>
          </reference>
          <reference field="9" count="1">
            <x v="611"/>
          </reference>
        </references>
      </pivotArea>
    </format>
    <format dxfId="2758">
      <pivotArea dataOnly="0" labelOnly="1" fieldPosition="0">
        <references count="6">
          <reference field="1" count="1" selected="0">
            <x v="38"/>
          </reference>
          <reference field="5" count="1" selected="0">
            <x v="0"/>
          </reference>
          <reference field="6" count="1" selected="0">
            <x v="12"/>
          </reference>
          <reference field="7" count="1" selected="0">
            <x v="7"/>
          </reference>
          <reference field="8" count="1" selected="0">
            <x v="386"/>
          </reference>
          <reference field="9" count="1">
            <x v="611"/>
          </reference>
        </references>
      </pivotArea>
    </format>
    <format dxfId="2757">
      <pivotArea dataOnly="0" labelOnly="1" fieldPosition="0">
        <references count="6">
          <reference field="1" count="1" selected="0">
            <x v="38"/>
          </reference>
          <reference field="5" count="1" selected="0">
            <x v="0"/>
          </reference>
          <reference field="6" count="1" selected="0">
            <x v="12"/>
          </reference>
          <reference field="7" count="1" selected="0">
            <x v="10"/>
          </reference>
          <reference field="8" count="1" selected="0">
            <x v="371"/>
          </reference>
          <reference field="9" count="1">
            <x v="611"/>
          </reference>
        </references>
      </pivotArea>
    </format>
    <format dxfId="2756">
      <pivotArea dataOnly="0" labelOnly="1" fieldPosition="0">
        <references count="6">
          <reference field="1" count="1" selected="0">
            <x v="38"/>
          </reference>
          <reference field="5" count="1" selected="0">
            <x v="0"/>
          </reference>
          <reference field="6" count="1" selected="0">
            <x v="12"/>
          </reference>
          <reference field="7" count="1" selected="0">
            <x v="21"/>
          </reference>
          <reference field="8" count="1" selected="0">
            <x v="11"/>
          </reference>
          <reference field="9" count="1">
            <x v="611"/>
          </reference>
        </references>
      </pivotArea>
    </format>
    <format dxfId="2755">
      <pivotArea dataOnly="0" labelOnly="1" fieldPosition="0">
        <references count="6">
          <reference field="1" count="1" selected="0">
            <x v="38"/>
          </reference>
          <reference field="5" count="1" selected="0">
            <x v="0"/>
          </reference>
          <reference field="6" count="1" selected="0">
            <x v="12"/>
          </reference>
          <reference field="7" count="1" selected="0">
            <x v="22"/>
          </reference>
          <reference field="8" count="1" selected="0">
            <x v="285"/>
          </reference>
          <reference field="9" count="1">
            <x v="611"/>
          </reference>
        </references>
      </pivotArea>
    </format>
    <format dxfId="2754">
      <pivotArea dataOnly="0" labelOnly="1" fieldPosition="0">
        <references count="6">
          <reference field="1" count="1" selected="0">
            <x v="38"/>
          </reference>
          <reference field="5" count="1" selected="0">
            <x v="0"/>
          </reference>
          <reference field="6" count="1" selected="0">
            <x v="12"/>
          </reference>
          <reference field="7" count="1" selected="0">
            <x v="34"/>
          </reference>
          <reference field="8" count="1" selected="0">
            <x v="607"/>
          </reference>
          <reference field="9" count="1">
            <x v="611"/>
          </reference>
        </references>
      </pivotArea>
    </format>
    <format dxfId="2753">
      <pivotArea dataOnly="0" labelOnly="1" fieldPosition="0">
        <references count="6">
          <reference field="1" count="1" selected="0">
            <x v="38"/>
          </reference>
          <reference field="5" count="1" selected="0">
            <x v="0"/>
          </reference>
          <reference field="6" count="1" selected="0">
            <x v="12"/>
          </reference>
          <reference field="7" count="1" selected="0">
            <x v="43"/>
          </reference>
          <reference field="8" count="1" selected="0">
            <x v="92"/>
          </reference>
          <reference field="9" count="1">
            <x v="611"/>
          </reference>
        </references>
      </pivotArea>
    </format>
    <format dxfId="2752">
      <pivotArea dataOnly="0" labelOnly="1" fieldPosition="0">
        <references count="6">
          <reference field="1" count="1" selected="0">
            <x v="38"/>
          </reference>
          <reference field="5" count="1" selected="0">
            <x v="0"/>
          </reference>
          <reference field="6" count="1" selected="0">
            <x v="12"/>
          </reference>
          <reference field="7" count="1" selected="0">
            <x v="64"/>
          </reference>
          <reference field="8" count="1" selected="0">
            <x v="69"/>
          </reference>
          <reference field="9" count="1">
            <x v="611"/>
          </reference>
        </references>
      </pivotArea>
    </format>
    <format dxfId="2751">
      <pivotArea dataOnly="0" labelOnly="1" fieldPosition="0">
        <references count="6">
          <reference field="1" count="1" selected="0">
            <x v="38"/>
          </reference>
          <reference field="5" count="1" selected="0">
            <x v="0"/>
          </reference>
          <reference field="6" count="1" selected="0">
            <x v="12"/>
          </reference>
          <reference field="7" count="1" selected="0">
            <x v="68"/>
          </reference>
          <reference field="8" count="1" selected="0">
            <x v="134"/>
          </reference>
          <reference field="9" count="1">
            <x v="611"/>
          </reference>
        </references>
      </pivotArea>
    </format>
    <format dxfId="2750">
      <pivotArea dataOnly="0" labelOnly="1" fieldPosition="0">
        <references count="6">
          <reference field="1" count="1" selected="0">
            <x v="38"/>
          </reference>
          <reference field="5" count="1" selected="0">
            <x v="0"/>
          </reference>
          <reference field="6" count="1" selected="0">
            <x v="12"/>
          </reference>
          <reference field="7" count="1" selected="0">
            <x v="71"/>
          </reference>
          <reference field="8" count="1" selected="0">
            <x v="114"/>
          </reference>
          <reference field="9" count="1">
            <x v="611"/>
          </reference>
        </references>
      </pivotArea>
    </format>
    <format dxfId="2749">
      <pivotArea dataOnly="0" labelOnly="1" fieldPosition="0">
        <references count="6">
          <reference field="1" count="1" selected="0">
            <x v="38"/>
          </reference>
          <reference field="5" count="1" selected="0">
            <x v="5"/>
          </reference>
          <reference field="6" count="1" selected="0">
            <x v="8"/>
          </reference>
          <reference field="7" count="1" selected="0">
            <x v="119"/>
          </reference>
          <reference field="8" count="1" selected="0">
            <x v="290"/>
          </reference>
          <reference field="9" count="1">
            <x v="611"/>
          </reference>
        </references>
      </pivotArea>
    </format>
    <format dxfId="2748">
      <pivotArea dataOnly="0" labelOnly="1" fieldPosition="0">
        <references count="6">
          <reference field="1" count="1" selected="0">
            <x v="38"/>
          </reference>
          <reference field="5" count="1" selected="0">
            <x v="8"/>
          </reference>
          <reference field="6" count="1" selected="0">
            <x v="37"/>
          </reference>
          <reference field="7" count="1" selected="0">
            <x v="119"/>
          </reference>
          <reference field="8" count="1" selected="0">
            <x v="1289"/>
          </reference>
          <reference field="9" count="1">
            <x v="611"/>
          </reference>
        </references>
      </pivotArea>
    </format>
    <format dxfId="2747">
      <pivotArea dataOnly="0" labelOnly="1" fieldPosition="0">
        <references count="6">
          <reference field="1" count="1" selected="0">
            <x v="38"/>
          </reference>
          <reference field="5" count="1" selected="0">
            <x v="12"/>
          </reference>
          <reference field="6" count="1" selected="0">
            <x v="1"/>
          </reference>
          <reference field="7" count="1" selected="0">
            <x v="119"/>
          </reference>
          <reference field="8" count="1" selected="0">
            <x v="213"/>
          </reference>
          <reference field="9" count="1">
            <x v="611"/>
          </reference>
        </references>
      </pivotArea>
    </format>
    <format dxfId="2746">
      <pivotArea dataOnly="0" labelOnly="1" fieldPosition="0">
        <references count="6">
          <reference field="1" count="1" selected="0">
            <x v="38"/>
          </reference>
          <reference field="5" count="1" selected="0">
            <x v="12"/>
          </reference>
          <reference field="6" count="1" selected="0">
            <x v="1"/>
          </reference>
          <reference field="7" count="1" selected="0">
            <x v="119"/>
          </reference>
          <reference field="8" count="1" selected="0">
            <x v="500"/>
          </reference>
          <reference field="9" count="1">
            <x v="611"/>
          </reference>
        </references>
      </pivotArea>
    </format>
    <format dxfId="2745">
      <pivotArea dataOnly="0" labelOnly="1" fieldPosition="0">
        <references count="6">
          <reference field="1" count="1" selected="0">
            <x v="38"/>
          </reference>
          <reference field="5" count="1" selected="0">
            <x v="15"/>
          </reference>
          <reference field="6" count="1" selected="0">
            <x v="10"/>
          </reference>
          <reference field="7" count="1" selected="0">
            <x v="119"/>
          </reference>
          <reference field="8" count="1" selected="0">
            <x v="604"/>
          </reference>
          <reference field="9" count="1">
            <x v="611"/>
          </reference>
        </references>
      </pivotArea>
    </format>
    <format dxfId="2744">
      <pivotArea dataOnly="0" labelOnly="1" fieldPosition="0">
        <references count="6">
          <reference field="1" count="1" selected="0">
            <x v="38"/>
          </reference>
          <reference field="5" count="1" selected="0">
            <x v="23"/>
          </reference>
          <reference field="6" count="1" selected="0">
            <x v="9"/>
          </reference>
          <reference field="7" count="1" selected="0">
            <x v="119"/>
          </reference>
          <reference field="8" count="1" selected="0">
            <x v="696"/>
          </reference>
          <reference field="9" count="1">
            <x v="611"/>
          </reference>
        </references>
      </pivotArea>
    </format>
    <format dxfId="2743">
      <pivotArea dataOnly="0" labelOnly="1" fieldPosition="0">
        <references count="6">
          <reference field="1" count="1" selected="0">
            <x v="38"/>
          </reference>
          <reference field="5" count="1" selected="0">
            <x v="26"/>
          </reference>
          <reference field="6" count="1" selected="0">
            <x v="37"/>
          </reference>
          <reference field="7" count="1" selected="0">
            <x v="119"/>
          </reference>
          <reference field="8" count="1" selected="0">
            <x v="846"/>
          </reference>
          <reference field="9" count="1">
            <x v="611"/>
          </reference>
        </references>
      </pivotArea>
    </format>
    <format dxfId="2742">
      <pivotArea dataOnly="0" labelOnly="1" fieldPosition="0">
        <references count="6">
          <reference field="1" count="1" selected="0">
            <x v="38"/>
          </reference>
          <reference field="5" count="1" selected="0">
            <x v="26"/>
          </reference>
          <reference field="6" count="1" selected="0">
            <x v="38"/>
          </reference>
          <reference field="7" count="1" selected="0">
            <x v="119"/>
          </reference>
          <reference field="8" count="1" selected="0">
            <x v="1845"/>
          </reference>
          <reference field="9" count="1">
            <x v="611"/>
          </reference>
        </references>
      </pivotArea>
    </format>
    <format dxfId="2741">
      <pivotArea dataOnly="0" labelOnly="1" fieldPosition="0">
        <references count="6">
          <reference field="1" count="1" selected="0">
            <x v="38"/>
          </reference>
          <reference field="5" count="1" selected="0">
            <x v="35"/>
          </reference>
          <reference field="6" count="1" selected="0">
            <x v="1"/>
          </reference>
          <reference field="7" count="1" selected="0">
            <x v="119"/>
          </reference>
          <reference field="8" count="1" selected="0">
            <x v="80"/>
          </reference>
          <reference field="9" count="1">
            <x v="611"/>
          </reference>
        </references>
      </pivotArea>
    </format>
    <format dxfId="2740">
      <pivotArea dataOnly="0" labelOnly="1" fieldPosition="0">
        <references count="6">
          <reference field="1" count="1" selected="0">
            <x v="39"/>
          </reference>
          <reference field="5" count="1" selected="0">
            <x v="0"/>
          </reference>
          <reference field="6" count="1" selected="0">
            <x v="12"/>
          </reference>
          <reference field="7" count="1" selected="0">
            <x v="2"/>
          </reference>
          <reference field="8" count="1" selected="0">
            <x v="39"/>
          </reference>
          <reference field="9" count="1">
            <x v="611"/>
          </reference>
        </references>
      </pivotArea>
    </format>
    <format dxfId="2739">
      <pivotArea dataOnly="0" labelOnly="1" fieldPosition="0">
        <references count="6">
          <reference field="1" count="1" selected="0">
            <x v="39"/>
          </reference>
          <reference field="5" count="1" selected="0">
            <x v="0"/>
          </reference>
          <reference field="6" count="1" selected="0">
            <x v="12"/>
          </reference>
          <reference field="7" count="1" selected="0">
            <x v="3"/>
          </reference>
          <reference field="8" count="1" selected="0">
            <x v="114"/>
          </reference>
          <reference field="9" count="1">
            <x v="611"/>
          </reference>
        </references>
      </pivotArea>
    </format>
    <format dxfId="2738">
      <pivotArea dataOnly="0" labelOnly="1" fieldPosition="0">
        <references count="6">
          <reference field="1" count="1" selected="0">
            <x v="39"/>
          </reference>
          <reference field="5" count="1" selected="0">
            <x v="0"/>
          </reference>
          <reference field="6" count="1" selected="0">
            <x v="12"/>
          </reference>
          <reference field="7" count="1" selected="0">
            <x v="8"/>
          </reference>
          <reference field="8" count="1" selected="0">
            <x v="92"/>
          </reference>
          <reference field="9" count="1">
            <x v="611"/>
          </reference>
        </references>
      </pivotArea>
    </format>
    <format dxfId="2737">
      <pivotArea dataOnly="0" labelOnly="1" fieldPosition="0">
        <references count="6">
          <reference field="1" count="1" selected="0">
            <x v="39"/>
          </reference>
          <reference field="5" count="1" selected="0">
            <x v="0"/>
          </reference>
          <reference field="6" count="1" selected="0">
            <x v="12"/>
          </reference>
          <reference field="7" count="1" selected="0">
            <x v="18"/>
          </reference>
          <reference field="8" count="1" selected="0">
            <x v="92"/>
          </reference>
          <reference field="9" count="1">
            <x v="611"/>
          </reference>
        </references>
      </pivotArea>
    </format>
    <format dxfId="2736">
      <pivotArea dataOnly="0" labelOnly="1" fieldPosition="0">
        <references count="6">
          <reference field="1" count="1" selected="0">
            <x v="39"/>
          </reference>
          <reference field="5" count="1" selected="0">
            <x v="0"/>
          </reference>
          <reference field="6" count="1" selected="0">
            <x v="12"/>
          </reference>
          <reference field="7" count="1" selected="0">
            <x v="48"/>
          </reference>
          <reference field="8" count="1" selected="0">
            <x v="92"/>
          </reference>
          <reference field="9" count="1">
            <x v="611"/>
          </reference>
        </references>
      </pivotArea>
    </format>
    <format dxfId="2735">
      <pivotArea dataOnly="0" labelOnly="1" fieldPosition="0">
        <references count="6">
          <reference field="1" count="1" selected="0">
            <x v="39"/>
          </reference>
          <reference field="5" count="1" selected="0">
            <x v="0"/>
          </reference>
          <reference field="6" count="1" selected="0">
            <x v="12"/>
          </reference>
          <reference field="7" count="1" selected="0">
            <x v="53"/>
          </reference>
          <reference field="8" count="1" selected="0">
            <x v="70"/>
          </reference>
          <reference field="9" count="1">
            <x v="611"/>
          </reference>
        </references>
      </pivotArea>
    </format>
    <format dxfId="2734">
      <pivotArea dataOnly="0" labelOnly="1" fieldPosition="0">
        <references count="6">
          <reference field="1" count="1" selected="0">
            <x v="39"/>
          </reference>
          <reference field="5" count="1" selected="0">
            <x v="0"/>
          </reference>
          <reference field="6" count="1" selected="0">
            <x v="12"/>
          </reference>
          <reference field="7" count="1" selected="0">
            <x v="56"/>
          </reference>
          <reference field="8" count="1" selected="0">
            <x v="69"/>
          </reference>
          <reference field="9" count="1">
            <x v="611"/>
          </reference>
        </references>
      </pivotArea>
    </format>
    <format dxfId="2733">
      <pivotArea dataOnly="0" labelOnly="1" fieldPosition="0">
        <references count="6">
          <reference field="1" count="1" selected="0">
            <x v="39"/>
          </reference>
          <reference field="5" count="1" selected="0">
            <x v="0"/>
          </reference>
          <reference field="6" count="1" selected="0">
            <x v="12"/>
          </reference>
          <reference field="7" count="1" selected="0">
            <x v="61"/>
          </reference>
          <reference field="8" count="1" selected="0">
            <x v="69"/>
          </reference>
          <reference field="9" count="1">
            <x v="611"/>
          </reference>
        </references>
      </pivotArea>
    </format>
    <format dxfId="2732">
      <pivotArea dataOnly="0" labelOnly="1" fieldPosition="0">
        <references count="6">
          <reference field="1" count="1" selected="0">
            <x v="39"/>
          </reference>
          <reference field="5" count="1" selected="0">
            <x v="12"/>
          </reference>
          <reference field="6" count="1" selected="0">
            <x v="1"/>
          </reference>
          <reference field="7" count="1" selected="0">
            <x v="120"/>
          </reference>
          <reference field="8" count="1" selected="0">
            <x v="80"/>
          </reference>
          <reference field="9" count="1">
            <x v="611"/>
          </reference>
        </references>
      </pivotArea>
    </format>
    <format dxfId="2731">
      <pivotArea dataOnly="0" labelOnly="1" fieldPosition="0">
        <references count="6">
          <reference field="1" count="1" selected="0">
            <x v="39"/>
          </reference>
          <reference field="5" count="1" selected="0">
            <x v="12"/>
          </reference>
          <reference field="6" count="1" selected="0">
            <x v="1"/>
          </reference>
          <reference field="7" count="1" selected="0">
            <x v="120"/>
          </reference>
          <reference field="8" count="1" selected="0">
            <x v="607"/>
          </reference>
          <reference field="9" count="1">
            <x v="611"/>
          </reference>
        </references>
      </pivotArea>
    </format>
    <format dxfId="2730">
      <pivotArea dataOnly="0" labelOnly="1" fieldPosition="0">
        <references count="6">
          <reference field="1" count="1" selected="0">
            <x v="39"/>
          </reference>
          <reference field="5" count="1" selected="0">
            <x v="12"/>
          </reference>
          <reference field="6" count="1" selected="0">
            <x v="1"/>
          </reference>
          <reference field="7" count="1" selected="0">
            <x v="120"/>
          </reference>
          <reference field="8" count="1" selected="0">
            <x v="702"/>
          </reference>
          <reference field="9" count="1">
            <x v="611"/>
          </reference>
        </references>
      </pivotArea>
    </format>
    <format dxfId="2729">
      <pivotArea dataOnly="0" labelOnly="1" fieldPosition="0">
        <references count="6">
          <reference field="1" count="1" selected="0">
            <x v="39"/>
          </reference>
          <reference field="5" count="1" selected="0">
            <x v="14"/>
          </reference>
          <reference field="6" count="1" selected="0">
            <x v="1"/>
          </reference>
          <reference field="7" count="1" selected="0">
            <x v="120"/>
          </reference>
          <reference field="8" count="1" selected="0">
            <x v="887"/>
          </reference>
          <reference field="9" count="1">
            <x v="611"/>
          </reference>
        </references>
      </pivotArea>
    </format>
    <format dxfId="2728">
      <pivotArea dataOnly="0" labelOnly="1" fieldPosition="0">
        <references count="6">
          <reference field="1" count="1" selected="0">
            <x v="39"/>
          </reference>
          <reference field="5" count="1" selected="0">
            <x v="15"/>
          </reference>
          <reference field="6" count="1" selected="0">
            <x v="37"/>
          </reference>
          <reference field="7" count="1" selected="0">
            <x v="120"/>
          </reference>
          <reference field="8" count="1" selected="0">
            <x v="295"/>
          </reference>
          <reference field="9" count="1">
            <x v="611"/>
          </reference>
        </references>
      </pivotArea>
    </format>
    <format dxfId="2727">
      <pivotArea dataOnly="0" labelOnly="1" fieldPosition="0">
        <references count="6">
          <reference field="1" count="1" selected="0">
            <x v="39"/>
          </reference>
          <reference field="5" count="1" selected="0">
            <x v="19"/>
          </reference>
          <reference field="6" count="1" selected="0">
            <x v="6"/>
          </reference>
          <reference field="7" count="1" selected="0">
            <x v="120"/>
          </reference>
          <reference field="8" count="1" selected="0">
            <x v="371"/>
          </reference>
          <reference field="9" count="1">
            <x v="611"/>
          </reference>
        </references>
      </pivotArea>
    </format>
    <format dxfId="2726">
      <pivotArea dataOnly="0" labelOnly="1" fieldPosition="0">
        <references count="6">
          <reference field="1" count="1" selected="0">
            <x v="39"/>
          </reference>
          <reference field="5" count="1" selected="0">
            <x v="24"/>
          </reference>
          <reference field="6" count="1" selected="0">
            <x v="37"/>
          </reference>
          <reference field="7" count="1" selected="0">
            <x v="120"/>
          </reference>
          <reference field="8" count="1" selected="0">
            <x v="37"/>
          </reference>
          <reference field="9" count="1">
            <x v="611"/>
          </reference>
        </references>
      </pivotArea>
    </format>
    <format dxfId="2725">
      <pivotArea dataOnly="0" labelOnly="1" fieldPosition="0">
        <references count="6">
          <reference field="1" count="1" selected="0">
            <x v="39"/>
          </reference>
          <reference field="5" count="1" selected="0">
            <x v="26"/>
          </reference>
          <reference field="6" count="1" selected="0">
            <x v="37"/>
          </reference>
          <reference field="7" count="1" selected="0">
            <x v="120"/>
          </reference>
          <reference field="8" count="1" selected="0">
            <x v="80"/>
          </reference>
          <reference field="9" count="1">
            <x v="611"/>
          </reference>
        </references>
      </pivotArea>
    </format>
    <format dxfId="2724">
      <pivotArea dataOnly="0" labelOnly="1" fieldPosition="0">
        <references count="6">
          <reference field="1" count="1" selected="0">
            <x v="39"/>
          </reference>
          <reference field="5" count="1" selected="0">
            <x v="26"/>
          </reference>
          <reference field="6" count="1" selected="0">
            <x v="38"/>
          </reference>
          <reference field="7" count="1" selected="0">
            <x v="120"/>
          </reference>
          <reference field="8" count="1" selected="0">
            <x v="1542"/>
          </reference>
          <reference field="9" count="1">
            <x v="611"/>
          </reference>
        </references>
      </pivotArea>
    </format>
    <format dxfId="2723">
      <pivotArea dataOnly="0" labelOnly="1" fieldPosition="0">
        <references count="6">
          <reference field="1" count="1" selected="0">
            <x v="39"/>
          </reference>
          <reference field="5" count="1" selected="0">
            <x v="30"/>
          </reference>
          <reference field="6" count="1" selected="0">
            <x v="6"/>
          </reference>
          <reference field="7" count="1" selected="0">
            <x v="120"/>
          </reference>
          <reference field="8" count="1" selected="0">
            <x v="1713"/>
          </reference>
          <reference field="9" count="1">
            <x v="611"/>
          </reference>
        </references>
      </pivotArea>
    </format>
    <format dxfId="2722">
      <pivotArea dataOnly="0" labelOnly="1" fieldPosition="0">
        <references count="6">
          <reference field="1" count="1" selected="0">
            <x v="40"/>
          </reference>
          <reference field="5" count="1" selected="0">
            <x v="0"/>
          </reference>
          <reference field="6" count="1" selected="0">
            <x v="12"/>
          </reference>
          <reference field="7" count="1" selected="0">
            <x v="17"/>
          </reference>
          <reference field="8" count="1" selected="0">
            <x v="1136"/>
          </reference>
          <reference field="9" count="1">
            <x v="611"/>
          </reference>
        </references>
      </pivotArea>
    </format>
    <format dxfId="2721">
      <pivotArea dataOnly="0" labelOnly="1" fieldPosition="0">
        <references count="6">
          <reference field="1" count="1" selected="0">
            <x v="40"/>
          </reference>
          <reference field="5" count="1" selected="0">
            <x v="0"/>
          </reference>
          <reference field="6" count="1" selected="0">
            <x v="12"/>
          </reference>
          <reference field="7" count="1" selected="0">
            <x v="19"/>
          </reference>
          <reference field="8" count="1" selected="0">
            <x v="73"/>
          </reference>
          <reference field="9" count="1">
            <x v="611"/>
          </reference>
        </references>
      </pivotArea>
    </format>
    <format dxfId="2720">
      <pivotArea dataOnly="0" labelOnly="1" fieldPosition="0">
        <references count="6">
          <reference field="1" count="1" selected="0">
            <x v="40"/>
          </reference>
          <reference field="5" count="1" selected="0">
            <x v="0"/>
          </reference>
          <reference field="6" count="1" selected="0">
            <x v="12"/>
          </reference>
          <reference field="7" count="1" selected="0">
            <x v="24"/>
          </reference>
          <reference field="8" count="1" selected="0">
            <x v="18"/>
          </reference>
          <reference field="9" count="1">
            <x v="611"/>
          </reference>
        </references>
      </pivotArea>
    </format>
    <format dxfId="2719">
      <pivotArea dataOnly="0" labelOnly="1" fieldPosition="0">
        <references count="6">
          <reference field="1" count="1" selected="0">
            <x v="40"/>
          </reference>
          <reference field="5" count="1" selected="0">
            <x v="0"/>
          </reference>
          <reference field="6" count="1" selected="0">
            <x v="12"/>
          </reference>
          <reference field="7" count="1" selected="0">
            <x v="29"/>
          </reference>
          <reference field="8" count="1" selected="0">
            <x v="11"/>
          </reference>
          <reference field="9" count="1">
            <x v="611"/>
          </reference>
        </references>
      </pivotArea>
    </format>
    <format dxfId="2718">
      <pivotArea dataOnly="0" labelOnly="1" fieldPosition="0">
        <references count="6">
          <reference field="1" count="1" selected="0">
            <x v="40"/>
          </reference>
          <reference field="5" count="1" selected="0">
            <x v="0"/>
          </reference>
          <reference field="6" count="1" selected="0">
            <x v="12"/>
          </reference>
          <reference field="7" count="1" selected="0">
            <x v="43"/>
          </reference>
          <reference field="8" count="1" selected="0">
            <x v="92"/>
          </reference>
          <reference field="9" count="1">
            <x v="611"/>
          </reference>
        </references>
      </pivotArea>
    </format>
    <format dxfId="2717">
      <pivotArea dataOnly="0" labelOnly="1" fieldPosition="0">
        <references count="6">
          <reference field="1" count="1" selected="0">
            <x v="40"/>
          </reference>
          <reference field="5" count="1" selected="0">
            <x v="0"/>
          </reference>
          <reference field="6" count="1" selected="0">
            <x v="12"/>
          </reference>
          <reference field="7" count="1" selected="0">
            <x v="48"/>
          </reference>
          <reference field="8" count="1" selected="0">
            <x v="63"/>
          </reference>
          <reference field="9" count="1">
            <x v="611"/>
          </reference>
        </references>
      </pivotArea>
    </format>
    <format dxfId="2716">
      <pivotArea dataOnly="0" labelOnly="1" fieldPosition="0">
        <references count="6">
          <reference field="1" count="1" selected="0">
            <x v="40"/>
          </reference>
          <reference field="5" count="1" selected="0">
            <x v="0"/>
          </reference>
          <reference field="6" count="1" selected="0">
            <x v="12"/>
          </reference>
          <reference field="7" count="1" selected="0">
            <x v="52"/>
          </reference>
          <reference field="8" count="1" selected="0">
            <x v="252"/>
          </reference>
          <reference field="9" count="1">
            <x v="611"/>
          </reference>
        </references>
      </pivotArea>
    </format>
    <format dxfId="2715">
      <pivotArea dataOnly="0" labelOnly="1" fieldPosition="0">
        <references count="6">
          <reference field="1" count="1" selected="0">
            <x v="40"/>
          </reference>
          <reference field="5" count="1" selected="0">
            <x v="12"/>
          </reference>
          <reference field="6" count="1" selected="0">
            <x v="1"/>
          </reference>
          <reference field="7" count="1" selected="0">
            <x v="121"/>
          </reference>
          <reference field="8" count="1" selected="0">
            <x v="80"/>
          </reference>
          <reference field="9" count="1">
            <x v="611"/>
          </reference>
        </references>
      </pivotArea>
    </format>
    <format dxfId="2714">
      <pivotArea dataOnly="0" labelOnly="1" fieldPosition="0">
        <references count="6">
          <reference field="1" count="1" selected="0">
            <x v="40"/>
          </reference>
          <reference field="5" count="1" selected="0">
            <x v="12"/>
          </reference>
          <reference field="6" count="1" selected="0">
            <x v="1"/>
          </reference>
          <reference field="7" count="1" selected="0">
            <x v="121"/>
          </reference>
          <reference field="8" count="1" selected="0">
            <x v="213"/>
          </reference>
          <reference field="9" count="1">
            <x v="611"/>
          </reference>
        </references>
      </pivotArea>
    </format>
    <format dxfId="2713">
      <pivotArea dataOnly="0" labelOnly="1" fieldPosition="0">
        <references count="6">
          <reference field="1" count="1" selected="0">
            <x v="40"/>
          </reference>
          <reference field="5" count="1" selected="0">
            <x v="26"/>
          </reference>
          <reference field="6" count="1" selected="0">
            <x v="10"/>
          </reference>
          <reference field="7" count="1" selected="0">
            <x v="121"/>
          </reference>
          <reference field="8" count="1" selected="0">
            <x v="0"/>
          </reference>
          <reference field="9" count="1">
            <x v="607"/>
          </reference>
        </references>
      </pivotArea>
    </format>
    <format dxfId="2712">
      <pivotArea dataOnly="0" labelOnly="1" fieldPosition="0">
        <references count="6">
          <reference field="1" count="1" selected="0">
            <x v="41"/>
          </reference>
          <reference field="5" count="1" selected="0">
            <x v="0"/>
          </reference>
          <reference field="6" count="1" selected="0">
            <x v="8"/>
          </reference>
          <reference field="7" count="1" selected="0">
            <x v="122"/>
          </reference>
          <reference field="8" count="1" selected="0">
            <x v="630"/>
          </reference>
          <reference field="9" count="1">
            <x v="611"/>
          </reference>
        </references>
      </pivotArea>
    </format>
    <format dxfId="2711">
      <pivotArea dataOnly="0" labelOnly="1" fieldPosition="0">
        <references count="6">
          <reference field="1" count="1" selected="0">
            <x v="41"/>
          </reference>
          <reference field="5" count="1" selected="0">
            <x v="0"/>
          </reference>
          <reference field="6" count="1" selected="0">
            <x v="9"/>
          </reference>
          <reference field="7" count="1" selected="0">
            <x v="122"/>
          </reference>
          <reference field="8" count="1" selected="0">
            <x v="243"/>
          </reference>
          <reference field="9" count="1">
            <x v="611"/>
          </reference>
        </references>
      </pivotArea>
    </format>
    <format dxfId="2710">
      <pivotArea dataOnly="0" labelOnly="1" fieldPosition="0">
        <references count="6">
          <reference field="1" count="1" selected="0">
            <x v="41"/>
          </reference>
          <reference field="5" count="1" selected="0">
            <x v="0"/>
          </reference>
          <reference field="6" count="1" selected="0">
            <x v="9"/>
          </reference>
          <reference field="7" count="1" selected="0">
            <x v="122"/>
          </reference>
          <reference field="8" count="1" selected="0">
            <x v="335"/>
          </reference>
          <reference field="9" count="1">
            <x v="611"/>
          </reference>
        </references>
      </pivotArea>
    </format>
    <format dxfId="2709">
      <pivotArea dataOnly="0" labelOnly="1" fieldPosition="0">
        <references count="6">
          <reference field="1" count="1" selected="0">
            <x v="41"/>
          </reference>
          <reference field="5" count="1" selected="0">
            <x v="0"/>
          </reference>
          <reference field="6" count="1" selected="0">
            <x v="9"/>
          </reference>
          <reference field="7" count="1" selected="0">
            <x v="122"/>
          </reference>
          <reference field="8" count="1" selected="0">
            <x v="595"/>
          </reference>
          <reference field="9" count="1">
            <x v="611"/>
          </reference>
        </references>
      </pivotArea>
    </format>
    <format dxfId="2708">
      <pivotArea dataOnly="0" labelOnly="1" fieldPosition="0">
        <references count="6">
          <reference field="1" count="1" selected="0">
            <x v="41"/>
          </reference>
          <reference field="5" count="1" selected="0">
            <x v="0"/>
          </reference>
          <reference field="6" count="1" selected="0">
            <x v="9"/>
          </reference>
          <reference field="7" count="1" selected="0">
            <x v="122"/>
          </reference>
          <reference field="8" count="1" selected="0">
            <x v="662"/>
          </reference>
          <reference field="9" count="1">
            <x v="611"/>
          </reference>
        </references>
      </pivotArea>
    </format>
    <format dxfId="2707">
      <pivotArea dataOnly="0" labelOnly="1" fieldPosition="0">
        <references count="6">
          <reference field="1" count="1" selected="0">
            <x v="41"/>
          </reference>
          <reference field="5" count="1" selected="0">
            <x v="0"/>
          </reference>
          <reference field="6" count="1" selected="0">
            <x v="12"/>
          </reference>
          <reference field="7" count="1" selected="0">
            <x v="22"/>
          </reference>
          <reference field="8" count="1" selected="0">
            <x v="114"/>
          </reference>
          <reference field="9" count="1">
            <x v="611"/>
          </reference>
        </references>
      </pivotArea>
    </format>
    <format dxfId="2706">
      <pivotArea dataOnly="0" labelOnly="1" fieldPosition="0">
        <references count="6">
          <reference field="1" count="1" selected="0">
            <x v="41"/>
          </reference>
          <reference field="5" count="1" selected="0">
            <x v="0"/>
          </reference>
          <reference field="6" count="1" selected="0">
            <x v="12"/>
          </reference>
          <reference field="7" count="1" selected="0">
            <x v="23"/>
          </reference>
          <reference field="8" count="1" selected="0">
            <x v="152"/>
          </reference>
          <reference field="9" count="1">
            <x v="611"/>
          </reference>
        </references>
      </pivotArea>
    </format>
    <format dxfId="2705">
      <pivotArea dataOnly="0" labelOnly="1" fieldPosition="0">
        <references count="6">
          <reference field="1" count="1" selected="0">
            <x v="41"/>
          </reference>
          <reference field="5" count="1" selected="0">
            <x v="0"/>
          </reference>
          <reference field="6" count="1" selected="0">
            <x v="12"/>
          </reference>
          <reference field="7" count="1" selected="0">
            <x v="36"/>
          </reference>
          <reference field="8" count="1" selected="0">
            <x v="330"/>
          </reference>
          <reference field="9" count="1">
            <x v="611"/>
          </reference>
        </references>
      </pivotArea>
    </format>
    <format dxfId="2704">
      <pivotArea dataOnly="0" labelOnly="1" fieldPosition="0">
        <references count="6">
          <reference field="1" count="1" selected="0">
            <x v="41"/>
          </reference>
          <reference field="5" count="1" selected="0">
            <x v="0"/>
          </reference>
          <reference field="6" count="1" selected="0">
            <x v="12"/>
          </reference>
          <reference field="7" count="1" selected="0">
            <x v="45"/>
          </reference>
          <reference field="8" count="1" selected="0">
            <x v="18"/>
          </reference>
          <reference field="9" count="1">
            <x v="611"/>
          </reference>
        </references>
      </pivotArea>
    </format>
    <format dxfId="2703">
      <pivotArea dataOnly="0" labelOnly="1" fieldPosition="0">
        <references count="6">
          <reference field="1" count="1" selected="0">
            <x v="41"/>
          </reference>
          <reference field="5" count="1" selected="0">
            <x v="0"/>
          </reference>
          <reference field="6" count="1" selected="0">
            <x v="12"/>
          </reference>
          <reference field="7" count="1" selected="0">
            <x v="48"/>
          </reference>
          <reference field="8" count="1" selected="0">
            <x v="92"/>
          </reference>
          <reference field="9" count="1">
            <x v="611"/>
          </reference>
        </references>
      </pivotArea>
    </format>
    <format dxfId="2702">
      <pivotArea dataOnly="0" labelOnly="1" fieldPosition="0">
        <references count="6">
          <reference field="1" count="1" selected="0">
            <x v="41"/>
          </reference>
          <reference field="5" count="1" selected="0">
            <x v="0"/>
          </reference>
          <reference field="6" count="1" selected="0">
            <x v="12"/>
          </reference>
          <reference field="7" count="1" selected="0">
            <x v="57"/>
          </reference>
          <reference field="8" count="1" selected="0">
            <x v="24"/>
          </reference>
          <reference field="9" count="1">
            <x v="611"/>
          </reference>
        </references>
      </pivotArea>
    </format>
    <format dxfId="2701">
      <pivotArea dataOnly="0" labelOnly="1" fieldPosition="0">
        <references count="6">
          <reference field="1" count="1" selected="0">
            <x v="41"/>
          </reference>
          <reference field="5" count="1" selected="0">
            <x v="0"/>
          </reference>
          <reference field="6" count="1" selected="0">
            <x v="12"/>
          </reference>
          <reference field="7" count="1" selected="0">
            <x v="61"/>
          </reference>
          <reference field="8" count="1" selected="0">
            <x v="16"/>
          </reference>
          <reference field="9" count="1">
            <x v="611"/>
          </reference>
        </references>
      </pivotArea>
    </format>
    <format dxfId="2700">
      <pivotArea dataOnly="0" labelOnly="1" fieldPosition="0">
        <references count="6">
          <reference field="1" count="1" selected="0">
            <x v="41"/>
          </reference>
          <reference field="5" count="1" selected="0">
            <x v="0"/>
          </reference>
          <reference field="6" count="1" selected="0">
            <x v="12"/>
          </reference>
          <reference field="7" count="1" selected="0">
            <x v="73"/>
          </reference>
          <reference field="8" count="1" selected="0">
            <x v="132"/>
          </reference>
          <reference field="9" count="1">
            <x v="611"/>
          </reference>
        </references>
      </pivotArea>
    </format>
    <format dxfId="2699">
      <pivotArea dataOnly="0" labelOnly="1" fieldPosition="0">
        <references count="6">
          <reference field="1" count="1" selected="0">
            <x v="41"/>
          </reference>
          <reference field="5" count="1" selected="0">
            <x v="5"/>
          </reference>
          <reference field="6" count="1" selected="0">
            <x v="37"/>
          </reference>
          <reference field="7" count="1" selected="0">
            <x v="122"/>
          </reference>
          <reference field="8" count="1" selected="0">
            <x v="1011"/>
          </reference>
          <reference field="9" count="1">
            <x v="611"/>
          </reference>
        </references>
      </pivotArea>
    </format>
    <format dxfId="2698">
      <pivotArea dataOnly="0" labelOnly="1" fieldPosition="0">
        <references count="6">
          <reference field="1" count="1" selected="0">
            <x v="41"/>
          </reference>
          <reference field="5" count="1" selected="0">
            <x v="7"/>
          </reference>
          <reference field="6" count="1" selected="0">
            <x v="8"/>
          </reference>
          <reference field="7" count="1" selected="0">
            <x v="122"/>
          </reference>
          <reference field="8" count="1" selected="0">
            <x v="1324"/>
          </reference>
          <reference field="9" count="1">
            <x v="611"/>
          </reference>
        </references>
      </pivotArea>
    </format>
    <format dxfId="2697">
      <pivotArea dataOnly="0" labelOnly="1" fieldPosition="0">
        <references count="6">
          <reference field="1" count="1" selected="0">
            <x v="41"/>
          </reference>
          <reference field="5" count="1" selected="0">
            <x v="8"/>
          </reference>
          <reference field="6" count="1" selected="0">
            <x v="37"/>
          </reference>
          <reference field="7" count="1" selected="0">
            <x v="122"/>
          </reference>
          <reference field="8" count="1" selected="0">
            <x v="1412"/>
          </reference>
          <reference field="9" count="1">
            <x v="611"/>
          </reference>
        </references>
      </pivotArea>
    </format>
    <format dxfId="2696">
      <pivotArea dataOnly="0" labelOnly="1" fieldPosition="0">
        <references count="6">
          <reference field="1" count="1" selected="0">
            <x v="41"/>
          </reference>
          <reference field="5" count="1" selected="0">
            <x v="12"/>
          </reference>
          <reference field="6" count="1" selected="0">
            <x v="1"/>
          </reference>
          <reference field="7" count="1" selected="0">
            <x v="122"/>
          </reference>
          <reference field="8" count="1" selected="0">
            <x v="213"/>
          </reference>
          <reference field="9" count="1">
            <x v="611"/>
          </reference>
        </references>
      </pivotArea>
    </format>
    <format dxfId="2695">
      <pivotArea dataOnly="0" labelOnly="1" fieldPosition="0">
        <references count="6">
          <reference field="1" count="1" selected="0">
            <x v="41"/>
          </reference>
          <reference field="5" count="1" selected="0">
            <x v="15"/>
          </reference>
          <reference field="6" count="1" selected="0">
            <x v="9"/>
          </reference>
          <reference field="7" count="1" selected="0">
            <x v="122"/>
          </reference>
          <reference field="8" count="1" selected="0">
            <x v="779"/>
          </reference>
          <reference field="9" count="1">
            <x v="611"/>
          </reference>
        </references>
      </pivotArea>
    </format>
    <format dxfId="2694">
      <pivotArea dataOnly="0" labelOnly="1" fieldPosition="0">
        <references count="6">
          <reference field="1" count="1" selected="0">
            <x v="41"/>
          </reference>
          <reference field="5" count="1" selected="0">
            <x v="15"/>
          </reference>
          <reference field="6" count="1" selected="0">
            <x v="38"/>
          </reference>
          <reference field="7" count="1" selected="0">
            <x v="122"/>
          </reference>
          <reference field="8" count="1" selected="0">
            <x v="1796"/>
          </reference>
          <reference field="9" count="1">
            <x v="611"/>
          </reference>
        </references>
      </pivotArea>
    </format>
    <format dxfId="2693">
      <pivotArea dataOnly="0" labelOnly="1" fieldPosition="0">
        <references count="6">
          <reference field="1" count="1" selected="0">
            <x v="41"/>
          </reference>
          <reference field="5" count="1" selected="0">
            <x v="23"/>
          </reference>
          <reference field="6" count="1" selected="0">
            <x v="8"/>
          </reference>
          <reference field="7" count="1" selected="0">
            <x v="122"/>
          </reference>
          <reference field="8" count="1" selected="0">
            <x v="422"/>
          </reference>
          <reference field="9" count="1">
            <x v="611"/>
          </reference>
        </references>
      </pivotArea>
    </format>
    <format dxfId="2692">
      <pivotArea dataOnly="0" labelOnly="1" fieldPosition="0">
        <references count="6">
          <reference field="1" count="1" selected="0">
            <x v="41"/>
          </reference>
          <reference field="5" count="1" selected="0">
            <x v="26"/>
          </reference>
          <reference field="6" count="1" selected="0">
            <x v="6"/>
          </reference>
          <reference field="7" count="1" selected="0">
            <x v="122"/>
          </reference>
          <reference field="8" count="1" selected="0">
            <x v="201"/>
          </reference>
          <reference field="9" count="1">
            <x v="611"/>
          </reference>
        </references>
      </pivotArea>
    </format>
    <format dxfId="2691">
      <pivotArea dataOnly="0" labelOnly="1" fieldPosition="0">
        <references count="6">
          <reference field="1" count="1" selected="0">
            <x v="41"/>
          </reference>
          <reference field="5" count="1" selected="0">
            <x v="26"/>
          </reference>
          <reference field="6" count="1" selected="0">
            <x v="37"/>
          </reference>
          <reference field="7" count="1" selected="0">
            <x v="122"/>
          </reference>
          <reference field="8" count="1" selected="0">
            <x v="291"/>
          </reference>
          <reference field="9" count="1">
            <x v="611"/>
          </reference>
        </references>
      </pivotArea>
    </format>
    <format dxfId="2690">
      <pivotArea dataOnly="0" labelOnly="1" fieldPosition="0">
        <references count="6">
          <reference field="1" count="1" selected="0">
            <x v="41"/>
          </reference>
          <reference field="5" count="1" selected="0">
            <x v="27"/>
          </reference>
          <reference field="6" count="1" selected="0">
            <x v="37"/>
          </reference>
          <reference field="7" count="1" selected="0">
            <x v="122"/>
          </reference>
          <reference field="8" count="1" selected="0">
            <x v="109"/>
          </reference>
          <reference field="9" count="1">
            <x v="611"/>
          </reference>
        </references>
      </pivotArea>
    </format>
    <format dxfId="2689">
      <pivotArea dataOnly="0" labelOnly="1" fieldPosition="0">
        <references count="6">
          <reference field="1" count="1" selected="0">
            <x v="41"/>
          </reference>
          <reference field="5" count="1" selected="0">
            <x v="37"/>
          </reference>
          <reference field="6" count="1" selected="0">
            <x v="8"/>
          </reference>
          <reference field="7" count="1" selected="0">
            <x v="122"/>
          </reference>
          <reference field="8" count="1" selected="0">
            <x v="1002"/>
          </reference>
          <reference field="9" count="1">
            <x v="611"/>
          </reference>
        </references>
      </pivotArea>
    </format>
    <format dxfId="2688">
      <pivotArea dataOnly="0" labelOnly="1" fieldPosition="0">
        <references count="6">
          <reference field="1" count="1" selected="0">
            <x v="41"/>
          </reference>
          <reference field="5" count="1" selected="0">
            <x v="37"/>
          </reference>
          <reference field="6" count="1" selected="0">
            <x v="10"/>
          </reference>
          <reference field="7" count="1" selected="0">
            <x v="122"/>
          </reference>
          <reference field="8" count="1" selected="0">
            <x v="1293"/>
          </reference>
          <reference field="9" count="1">
            <x v="611"/>
          </reference>
        </references>
      </pivotArea>
    </format>
    <format dxfId="2687">
      <pivotArea dataOnly="0" labelOnly="1" fieldPosition="0">
        <references count="6">
          <reference field="1" count="1" selected="0">
            <x v="42"/>
          </reference>
          <reference field="5" count="1" selected="0">
            <x v="0"/>
          </reference>
          <reference field="6" count="1" selected="0">
            <x v="1"/>
          </reference>
          <reference field="7" count="1" selected="0">
            <x v="124"/>
          </reference>
          <reference field="8" count="1" selected="0">
            <x v="80"/>
          </reference>
          <reference field="9" count="1">
            <x v="611"/>
          </reference>
        </references>
      </pivotArea>
    </format>
    <format dxfId="2686">
      <pivotArea dataOnly="0" labelOnly="1" fieldPosition="0">
        <references count="6">
          <reference field="1" count="1" selected="0">
            <x v="42"/>
          </reference>
          <reference field="5" count="1" selected="0">
            <x v="0"/>
          </reference>
          <reference field="6" count="1" selected="0">
            <x v="12"/>
          </reference>
          <reference field="7" count="1" selected="0">
            <x v="10"/>
          </reference>
          <reference field="8" count="1" selected="0">
            <x v="371"/>
          </reference>
          <reference field="9" count="1">
            <x v="611"/>
          </reference>
        </references>
      </pivotArea>
    </format>
    <format dxfId="2685">
      <pivotArea dataOnly="0" labelOnly="1" fieldPosition="0">
        <references count="6">
          <reference field="1" count="1" selected="0">
            <x v="42"/>
          </reference>
          <reference field="5" count="1" selected="0">
            <x v="0"/>
          </reference>
          <reference field="6" count="1" selected="0">
            <x v="12"/>
          </reference>
          <reference field="7" count="1" selected="0">
            <x v="50"/>
          </reference>
          <reference field="8" count="1" selected="0">
            <x v="21"/>
          </reference>
          <reference field="9" count="1">
            <x v="611"/>
          </reference>
        </references>
      </pivotArea>
    </format>
    <format dxfId="2684">
      <pivotArea dataOnly="0" labelOnly="1" fieldPosition="0">
        <references count="6">
          <reference field="1" count="1" selected="0">
            <x v="42"/>
          </reference>
          <reference field="5" count="1" selected="0">
            <x v="0"/>
          </reference>
          <reference field="6" count="1" selected="0">
            <x v="12"/>
          </reference>
          <reference field="7" count="1" selected="0">
            <x v="61"/>
          </reference>
          <reference field="8" count="1" selected="0">
            <x v="28"/>
          </reference>
          <reference field="9" count="1">
            <x v="611"/>
          </reference>
        </references>
      </pivotArea>
    </format>
    <format dxfId="2683">
      <pivotArea dataOnly="0" labelOnly="1" fieldPosition="0">
        <references count="6">
          <reference field="1" count="1" selected="0">
            <x v="42"/>
          </reference>
          <reference field="5" count="1" selected="0">
            <x v="0"/>
          </reference>
          <reference field="6" count="1" selected="0">
            <x v="22"/>
          </reference>
          <reference field="7" count="1" selected="0">
            <x v="123"/>
          </reference>
          <reference field="8" count="1" selected="0">
            <x v="298"/>
          </reference>
          <reference field="9" count="1">
            <x v="611"/>
          </reference>
        </references>
      </pivotArea>
    </format>
    <format dxfId="2682">
      <pivotArea dataOnly="0" labelOnly="1" fieldPosition="0">
        <references count="6">
          <reference field="1" count="1" selected="0">
            <x v="42"/>
          </reference>
          <reference field="5" count="1" selected="0">
            <x v="0"/>
          </reference>
          <reference field="6" count="1" selected="0">
            <x v="22"/>
          </reference>
          <reference field="7" count="1" selected="0">
            <x v="123"/>
          </reference>
          <reference field="8" count="1" selected="0">
            <x v="651"/>
          </reference>
          <reference field="9" count="1">
            <x v="611"/>
          </reference>
        </references>
      </pivotArea>
    </format>
    <format dxfId="2681">
      <pivotArea dataOnly="0" labelOnly="1" fieldPosition="0">
        <references count="6">
          <reference field="1" count="1" selected="0">
            <x v="42"/>
          </reference>
          <reference field="5" count="1" selected="0">
            <x v="0"/>
          </reference>
          <reference field="6" count="1" selected="0">
            <x v="22"/>
          </reference>
          <reference field="7" count="1" selected="0">
            <x v="123"/>
          </reference>
          <reference field="8" count="1" selected="0">
            <x v="661"/>
          </reference>
          <reference field="9" count="1">
            <x v="611"/>
          </reference>
        </references>
      </pivotArea>
    </format>
    <format dxfId="2680">
      <pivotArea dataOnly="0" labelOnly="1" fieldPosition="0">
        <references count="6">
          <reference field="1" count="1" selected="0">
            <x v="42"/>
          </reference>
          <reference field="5" count="1" selected="0">
            <x v="2"/>
          </reference>
          <reference field="6" count="1" selected="0">
            <x v="22"/>
          </reference>
          <reference field="7" count="1" selected="0">
            <x v="123"/>
          </reference>
          <reference field="8" count="1" selected="0">
            <x v="1790"/>
          </reference>
          <reference field="9" count="1">
            <x v="611"/>
          </reference>
        </references>
      </pivotArea>
    </format>
    <format dxfId="2679">
      <pivotArea dataOnly="0" labelOnly="1" fieldPosition="0">
        <references count="6">
          <reference field="1" count="1" selected="0">
            <x v="42"/>
          </reference>
          <reference field="5" count="1" selected="0">
            <x v="3"/>
          </reference>
          <reference field="6" count="1" selected="0">
            <x v="22"/>
          </reference>
          <reference field="7" count="1" selected="0">
            <x v="123"/>
          </reference>
          <reference field="8" count="1" selected="0">
            <x v="1092"/>
          </reference>
          <reference field="9" count="1">
            <x v="611"/>
          </reference>
        </references>
      </pivotArea>
    </format>
    <format dxfId="2678">
      <pivotArea dataOnly="0" labelOnly="1" fieldPosition="0">
        <references count="6">
          <reference field="1" count="1" selected="0">
            <x v="42"/>
          </reference>
          <reference field="5" count="1" selected="0">
            <x v="6"/>
          </reference>
          <reference field="6" count="1" selected="0">
            <x v="37"/>
          </reference>
          <reference field="7" count="1" selected="0">
            <x v="124"/>
          </reference>
          <reference field="8" count="1" selected="0">
            <x v="539"/>
          </reference>
          <reference field="9" count="1">
            <x v="611"/>
          </reference>
        </references>
      </pivotArea>
    </format>
    <format dxfId="2677">
      <pivotArea dataOnly="0" labelOnly="1" fieldPosition="0">
        <references count="6">
          <reference field="1" count="1" selected="0">
            <x v="42"/>
          </reference>
          <reference field="5" count="1" selected="0">
            <x v="12"/>
          </reference>
          <reference field="6" count="1" selected="0">
            <x v="1"/>
          </reference>
          <reference field="7" count="1" selected="0">
            <x v="124"/>
          </reference>
          <reference field="8" count="1" selected="0">
            <x v="80"/>
          </reference>
          <reference field="9" count="1">
            <x v="611"/>
          </reference>
        </references>
      </pivotArea>
    </format>
    <format dxfId="2676">
      <pivotArea dataOnly="0" labelOnly="1" fieldPosition="0">
        <references count="6">
          <reference field="1" count="1" selected="0">
            <x v="42"/>
          </reference>
          <reference field="5" count="1" selected="0">
            <x v="12"/>
          </reference>
          <reference field="6" count="1" selected="0">
            <x v="1"/>
          </reference>
          <reference field="7" count="1" selected="0">
            <x v="124"/>
          </reference>
          <reference field="8" count="1" selected="0">
            <x v="213"/>
          </reference>
          <reference field="9" count="1">
            <x v="611"/>
          </reference>
        </references>
      </pivotArea>
    </format>
    <format dxfId="2675">
      <pivotArea dataOnly="0" labelOnly="1" fieldPosition="0">
        <references count="6">
          <reference field="1" count="1" selected="0">
            <x v="42"/>
          </reference>
          <reference field="5" count="1" selected="0">
            <x v="12"/>
          </reference>
          <reference field="6" count="1" selected="0">
            <x v="1"/>
          </reference>
          <reference field="7" count="1" selected="0">
            <x v="124"/>
          </reference>
          <reference field="8" count="1" selected="0">
            <x v="352"/>
          </reference>
          <reference field="9" count="1">
            <x v="611"/>
          </reference>
        </references>
      </pivotArea>
    </format>
    <format dxfId="2674">
      <pivotArea dataOnly="0" labelOnly="1" fieldPosition="0">
        <references count="6">
          <reference field="1" count="1" selected="0">
            <x v="42"/>
          </reference>
          <reference field="5" count="1" selected="0">
            <x v="12"/>
          </reference>
          <reference field="6" count="1" selected="0">
            <x v="1"/>
          </reference>
          <reference field="7" count="1" selected="0">
            <x v="124"/>
          </reference>
          <reference field="8" count="1" selected="0">
            <x v="500"/>
          </reference>
          <reference field="9" count="1">
            <x v="611"/>
          </reference>
        </references>
      </pivotArea>
    </format>
    <format dxfId="2673">
      <pivotArea dataOnly="0" labelOnly="1" fieldPosition="0">
        <references count="6">
          <reference field="1" count="1" selected="0">
            <x v="42"/>
          </reference>
          <reference field="5" count="1" selected="0">
            <x v="12"/>
          </reference>
          <reference field="6" count="1" selected="0">
            <x v="1"/>
          </reference>
          <reference field="7" count="1" selected="0">
            <x v="124"/>
          </reference>
          <reference field="8" count="1" selected="0">
            <x v="702"/>
          </reference>
          <reference field="9" count="1">
            <x v="611"/>
          </reference>
        </references>
      </pivotArea>
    </format>
    <format dxfId="2672">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16"/>
          </reference>
          <reference field="9" count="1">
            <x v="611"/>
          </reference>
        </references>
      </pivotArea>
    </format>
    <format dxfId="2671">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49"/>
          </reference>
          <reference field="9" count="1">
            <x v="611"/>
          </reference>
        </references>
      </pivotArea>
    </format>
    <format dxfId="2670">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666"/>
          </reference>
          <reference field="9" count="1">
            <x v="611"/>
          </reference>
        </references>
      </pivotArea>
    </format>
    <format dxfId="2669">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674"/>
          </reference>
          <reference field="9" count="1">
            <x v="611"/>
          </reference>
        </references>
      </pivotArea>
    </format>
    <format dxfId="2668">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690"/>
          </reference>
          <reference field="9" count="1">
            <x v="611"/>
          </reference>
        </references>
      </pivotArea>
    </format>
    <format dxfId="2667">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088"/>
          </reference>
          <reference field="9" count="1">
            <x v="611"/>
          </reference>
        </references>
      </pivotArea>
    </format>
    <format dxfId="2666">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100"/>
          </reference>
          <reference field="9" count="1">
            <x v="611"/>
          </reference>
        </references>
      </pivotArea>
    </format>
    <format dxfId="2665">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198"/>
          </reference>
          <reference field="9" count="1">
            <x v="611"/>
          </reference>
        </references>
      </pivotArea>
    </format>
    <format dxfId="2664">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202"/>
          </reference>
          <reference field="9" count="1">
            <x v="611"/>
          </reference>
        </references>
      </pivotArea>
    </format>
    <format dxfId="2663">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247"/>
          </reference>
          <reference field="9" count="1">
            <x v="611"/>
          </reference>
        </references>
      </pivotArea>
    </format>
    <format dxfId="2662">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307"/>
          </reference>
          <reference field="9" count="1">
            <x v="611"/>
          </reference>
        </references>
      </pivotArea>
    </format>
    <format dxfId="2661">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393"/>
          </reference>
          <reference field="9" count="1">
            <x v="611"/>
          </reference>
        </references>
      </pivotArea>
    </format>
    <format dxfId="2660">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410"/>
          </reference>
          <reference field="9" count="1">
            <x v="611"/>
          </reference>
        </references>
      </pivotArea>
    </format>
    <format dxfId="2659">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423"/>
          </reference>
          <reference field="9" count="1">
            <x v="611"/>
          </reference>
        </references>
      </pivotArea>
    </format>
    <format dxfId="2658">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479"/>
          </reference>
          <reference field="9" count="1">
            <x v="611"/>
          </reference>
        </references>
      </pivotArea>
    </format>
    <format dxfId="2657">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507"/>
          </reference>
          <reference field="9" count="1">
            <x v="611"/>
          </reference>
        </references>
      </pivotArea>
    </format>
    <format dxfId="2656">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514"/>
          </reference>
          <reference field="9" count="1">
            <x v="611"/>
          </reference>
        </references>
      </pivotArea>
    </format>
    <format dxfId="2655">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558"/>
          </reference>
          <reference field="9" count="1">
            <x v="611"/>
          </reference>
        </references>
      </pivotArea>
    </format>
    <format dxfId="2654">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577"/>
          </reference>
          <reference field="9" count="1">
            <x v="611"/>
          </reference>
        </references>
      </pivotArea>
    </format>
    <format dxfId="2653">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643"/>
          </reference>
          <reference field="9" count="1">
            <x v="611"/>
          </reference>
        </references>
      </pivotArea>
    </format>
    <format dxfId="2652">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675"/>
          </reference>
          <reference field="9" count="1">
            <x v="611"/>
          </reference>
        </references>
      </pivotArea>
    </format>
    <format dxfId="2651">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719"/>
          </reference>
          <reference field="9" count="1">
            <x v="611"/>
          </reference>
        </references>
      </pivotArea>
    </format>
    <format dxfId="2650">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722"/>
          </reference>
          <reference field="9" count="1">
            <x v="611"/>
          </reference>
        </references>
      </pivotArea>
    </format>
    <format dxfId="2649">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743"/>
          </reference>
          <reference field="9" count="1">
            <x v="611"/>
          </reference>
        </references>
      </pivotArea>
    </format>
    <format dxfId="2648">
      <pivotArea dataOnly="0" labelOnly="1" fieldPosition="0">
        <references count="6">
          <reference field="1" count="1" selected="0">
            <x v="42"/>
          </reference>
          <reference field="5" count="1" selected="0">
            <x v="12"/>
          </reference>
          <reference field="6" count="1" selected="0">
            <x v="22"/>
          </reference>
          <reference field="7" count="1" selected="0">
            <x v="123"/>
          </reference>
          <reference field="8" count="1" selected="0">
            <x v="1749"/>
          </reference>
          <reference field="9" count="1">
            <x v="611"/>
          </reference>
        </references>
      </pivotArea>
    </format>
    <format dxfId="2647">
      <pivotArea dataOnly="0" labelOnly="1" fieldPosition="0">
        <references count="6">
          <reference field="1" count="1" selected="0">
            <x v="42"/>
          </reference>
          <reference field="5" count="1" selected="0">
            <x v="17"/>
          </reference>
          <reference field="6" count="1" selected="0">
            <x v="22"/>
          </reference>
          <reference field="7" count="1" selected="0">
            <x v="123"/>
          </reference>
          <reference field="8" count="1" selected="0">
            <x v="1039"/>
          </reference>
          <reference field="9" count="1">
            <x v="611"/>
          </reference>
        </references>
      </pivotArea>
    </format>
    <format dxfId="2646">
      <pivotArea dataOnly="0" labelOnly="1" fieldPosition="0">
        <references count="6">
          <reference field="1" count="1" selected="0">
            <x v="42"/>
          </reference>
          <reference field="5" count="1" selected="0">
            <x v="19"/>
          </reference>
          <reference field="6" count="1" selected="0">
            <x v="1"/>
          </reference>
          <reference field="7" count="1" selected="0">
            <x v="124"/>
          </reference>
          <reference field="8" count="1" selected="0">
            <x v="352"/>
          </reference>
          <reference field="9" count="1">
            <x v="611"/>
          </reference>
        </references>
      </pivotArea>
    </format>
    <format dxfId="2645">
      <pivotArea dataOnly="0" labelOnly="1" fieldPosition="0">
        <references count="6">
          <reference field="1" count="1" selected="0">
            <x v="42"/>
          </reference>
          <reference field="5" count="1" selected="0">
            <x v="19"/>
          </reference>
          <reference field="6" count="1" selected="0">
            <x v="37"/>
          </reference>
          <reference field="7" count="1" selected="0">
            <x v="124"/>
          </reference>
          <reference field="8" count="1" selected="0">
            <x v="104"/>
          </reference>
          <reference field="9" count="1">
            <x v="611"/>
          </reference>
        </references>
      </pivotArea>
    </format>
    <format dxfId="2644">
      <pivotArea dataOnly="0" labelOnly="1" fieldPosition="0">
        <references count="6">
          <reference field="1" count="1" selected="0">
            <x v="42"/>
          </reference>
          <reference field="5" count="1" selected="0">
            <x v="21"/>
          </reference>
          <reference field="6" count="1" selected="0">
            <x v="22"/>
          </reference>
          <reference field="7" count="1" selected="0">
            <x v="123"/>
          </reference>
          <reference field="8" count="1" selected="0">
            <x v="1363"/>
          </reference>
          <reference field="9" count="1">
            <x v="611"/>
          </reference>
        </references>
      </pivotArea>
    </format>
    <format dxfId="2643">
      <pivotArea dataOnly="0" labelOnly="1" fieldPosition="0">
        <references count="6">
          <reference field="1" count="1" selected="0">
            <x v="42"/>
          </reference>
          <reference field="5" count="1" selected="0">
            <x v="23"/>
          </reference>
          <reference field="6" count="1" selected="0">
            <x v="22"/>
          </reference>
          <reference field="7" count="1" selected="0">
            <x v="123"/>
          </reference>
          <reference field="8" count="1" selected="0">
            <x v="1290"/>
          </reference>
          <reference field="9" count="1">
            <x v="611"/>
          </reference>
        </references>
      </pivotArea>
    </format>
    <format dxfId="2642">
      <pivotArea dataOnly="0" labelOnly="1" fieldPosition="0">
        <references count="6">
          <reference field="1" count="1" selected="0">
            <x v="42"/>
          </reference>
          <reference field="5" count="1" selected="0">
            <x v="23"/>
          </reference>
          <reference field="6" count="1" selected="0">
            <x v="37"/>
          </reference>
          <reference field="7" count="1" selected="0">
            <x v="124"/>
          </reference>
          <reference field="8" count="1" selected="0">
            <x v="1483"/>
          </reference>
          <reference field="9" count="1">
            <x v="611"/>
          </reference>
        </references>
      </pivotArea>
    </format>
    <format dxfId="2641">
      <pivotArea dataOnly="0" labelOnly="1" fieldPosition="0">
        <references count="6">
          <reference field="1" count="1" selected="0">
            <x v="42"/>
          </reference>
          <reference field="5" count="1" selected="0">
            <x v="26"/>
          </reference>
          <reference field="6" count="1" selected="0">
            <x v="37"/>
          </reference>
          <reference field="7" count="1" selected="0">
            <x v="124"/>
          </reference>
          <reference field="8" count="1" selected="0">
            <x v="930"/>
          </reference>
          <reference field="9" count="1">
            <x v="611"/>
          </reference>
        </references>
      </pivotArea>
    </format>
    <format dxfId="2640">
      <pivotArea dataOnly="0" labelOnly="1" fieldPosition="0">
        <references count="6">
          <reference field="1" count="1" selected="0">
            <x v="42"/>
          </reference>
          <reference field="5" count="1" selected="0">
            <x v="33"/>
          </reference>
          <reference field="6" count="1" selected="0">
            <x v="6"/>
          </reference>
          <reference field="7" count="1" selected="0">
            <x v="124"/>
          </reference>
          <reference field="8" count="1" selected="0">
            <x v="466"/>
          </reference>
          <reference field="9" count="1">
            <x v="611"/>
          </reference>
        </references>
      </pivotArea>
    </format>
    <format dxfId="2639">
      <pivotArea dataOnly="0" labelOnly="1" fieldPosition="0">
        <references count="6">
          <reference field="1" count="1" selected="0">
            <x v="42"/>
          </reference>
          <reference field="5" count="1" selected="0">
            <x v="35"/>
          </reference>
          <reference field="6" count="1" selected="0">
            <x v="1"/>
          </reference>
          <reference field="7" count="1" selected="0">
            <x v="124"/>
          </reference>
          <reference field="8" count="1" selected="0">
            <x v="80"/>
          </reference>
          <reference field="9" count="1">
            <x v="611"/>
          </reference>
        </references>
      </pivotArea>
    </format>
    <format dxfId="2638">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123"/>
          </reference>
          <reference field="9" count="1">
            <x v="611"/>
          </reference>
        </references>
      </pivotArea>
    </format>
    <format dxfId="2637">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126"/>
          </reference>
          <reference field="9" count="1">
            <x v="611"/>
          </reference>
        </references>
      </pivotArea>
    </format>
    <format dxfId="2636">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130"/>
          </reference>
          <reference field="9" count="1">
            <x v="611"/>
          </reference>
        </references>
      </pivotArea>
    </format>
    <format dxfId="2635">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239"/>
          </reference>
          <reference field="9" count="1">
            <x v="611"/>
          </reference>
        </references>
      </pivotArea>
    </format>
    <format dxfId="2634">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308"/>
          </reference>
          <reference field="9" count="1">
            <x v="611"/>
          </reference>
        </references>
      </pivotArea>
    </format>
    <format dxfId="2633">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427"/>
          </reference>
          <reference field="9" count="1">
            <x v="611"/>
          </reference>
        </references>
      </pivotArea>
    </format>
    <format dxfId="2632">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441"/>
          </reference>
          <reference field="9" count="1">
            <x v="611"/>
          </reference>
        </references>
      </pivotArea>
    </format>
    <format dxfId="2631">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766"/>
          </reference>
          <reference field="9" count="1">
            <x v="611"/>
          </reference>
        </references>
      </pivotArea>
    </format>
    <format dxfId="2630">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775"/>
          </reference>
          <reference field="9" count="1">
            <x v="611"/>
          </reference>
        </references>
      </pivotArea>
    </format>
    <format dxfId="2629">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814"/>
          </reference>
          <reference field="9" count="1">
            <x v="611"/>
          </reference>
        </references>
      </pivotArea>
    </format>
    <format dxfId="2628">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826"/>
          </reference>
          <reference field="9" count="1">
            <x v="611"/>
          </reference>
        </references>
      </pivotArea>
    </format>
    <format dxfId="2627">
      <pivotArea dataOnly="0" labelOnly="1" fieldPosition="0">
        <references count="6">
          <reference field="1" count="1" selected="0">
            <x v="42"/>
          </reference>
          <reference field="5" count="1" selected="0">
            <x v="35"/>
          </reference>
          <reference field="6" count="1" selected="0">
            <x v="22"/>
          </reference>
          <reference field="7" count="1" selected="0">
            <x v="123"/>
          </reference>
          <reference field="8" count="1" selected="0">
            <x v="1299"/>
          </reference>
          <reference field="9" count="1">
            <x v="611"/>
          </reference>
        </references>
      </pivotArea>
    </format>
    <format dxfId="2626">
      <pivotArea dataOnly="0" labelOnly="1" fieldPosition="0">
        <references count="6">
          <reference field="1" count="1" selected="0">
            <x v="42"/>
          </reference>
          <reference field="5" count="1" selected="0">
            <x v="36"/>
          </reference>
          <reference field="6" count="1" selected="0">
            <x v="22"/>
          </reference>
          <reference field="7" count="1" selected="0">
            <x v="123"/>
          </reference>
          <reference field="8" count="1" selected="0">
            <x v="1519"/>
          </reference>
          <reference field="9" count="1">
            <x v="611"/>
          </reference>
        </references>
      </pivotArea>
    </format>
    <format dxfId="2625">
      <pivotArea dataOnly="0" labelOnly="1" fieldPosition="0">
        <references count="6">
          <reference field="1" count="1" selected="0">
            <x v="43"/>
          </reference>
          <reference field="5" count="1" selected="0">
            <x v="0"/>
          </reference>
          <reference field="6" count="1" selected="0">
            <x v="8"/>
          </reference>
          <reference field="7" count="1" selected="0">
            <x v="125"/>
          </reference>
          <reference field="8" count="1" selected="0">
            <x v="1157"/>
          </reference>
          <reference field="9" count="1">
            <x v="611"/>
          </reference>
        </references>
      </pivotArea>
    </format>
    <format dxfId="2624">
      <pivotArea dataOnly="0" labelOnly="1" fieldPosition="0">
        <references count="6">
          <reference field="1" count="1" selected="0">
            <x v="43"/>
          </reference>
          <reference field="5" count="1" selected="0">
            <x v="0"/>
          </reference>
          <reference field="6" count="1" selected="0">
            <x v="8"/>
          </reference>
          <reference field="7" count="1" selected="0">
            <x v="125"/>
          </reference>
          <reference field="8" count="1" selected="0">
            <x v="1292"/>
          </reference>
          <reference field="9" count="1">
            <x v="611"/>
          </reference>
        </references>
      </pivotArea>
    </format>
    <format dxfId="2623">
      <pivotArea dataOnly="0" labelOnly="1" fieldPosition="0">
        <references count="6">
          <reference field="1" count="1" selected="0">
            <x v="43"/>
          </reference>
          <reference field="5" count="1" selected="0">
            <x v="0"/>
          </reference>
          <reference field="6" count="1" selected="0">
            <x v="9"/>
          </reference>
          <reference field="7" count="1" selected="0">
            <x v="125"/>
          </reference>
          <reference field="8" count="1" selected="0">
            <x v="128"/>
          </reference>
          <reference field="9" count="1">
            <x v="611"/>
          </reference>
        </references>
      </pivotArea>
    </format>
    <format dxfId="2622">
      <pivotArea dataOnly="0" labelOnly="1" fieldPosition="0">
        <references count="6">
          <reference field="1" count="1" selected="0">
            <x v="43"/>
          </reference>
          <reference field="5" count="1" selected="0">
            <x v="0"/>
          </reference>
          <reference field="6" count="1" selected="0">
            <x v="9"/>
          </reference>
          <reference field="7" count="1" selected="0">
            <x v="125"/>
          </reference>
          <reference field="8" count="1" selected="0">
            <x v="218"/>
          </reference>
          <reference field="9" count="1">
            <x v="611"/>
          </reference>
        </references>
      </pivotArea>
    </format>
    <format dxfId="2621">
      <pivotArea dataOnly="0" labelOnly="1" fieldPosition="0">
        <references count="6">
          <reference field="1" count="1" selected="0">
            <x v="43"/>
          </reference>
          <reference field="5" count="1" selected="0">
            <x v="0"/>
          </reference>
          <reference field="6" count="1" selected="0">
            <x v="9"/>
          </reference>
          <reference field="7" count="1" selected="0">
            <x v="125"/>
          </reference>
          <reference field="8" count="1" selected="0">
            <x v="529"/>
          </reference>
          <reference field="9" count="1">
            <x v="611"/>
          </reference>
        </references>
      </pivotArea>
    </format>
    <format dxfId="2620">
      <pivotArea dataOnly="0" labelOnly="1" fieldPosition="0">
        <references count="6">
          <reference field="1" count="1" selected="0">
            <x v="43"/>
          </reference>
          <reference field="5" count="1" selected="0">
            <x v="0"/>
          </reference>
          <reference field="6" count="1" selected="0">
            <x v="9"/>
          </reference>
          <reference field="7" count="1" selected="0">
            <x v="125"/>
          </reference>
          <reference field="8" count="1" selected="0">
            <x v="760"/>
          </reference>
          <reference field="9" count="1">
            <x v="611"/>
          </reference>
        </references>
      </pivotArea>
    </format>
    <format dxfId="2619">
      <pivotArea dataOnly="0" labelOnly="1" fieldPosition="0">
        <references count="6">
          <reference field="1" count="1" selected="0">
            <x v="43"/>
          </reference>
          <reference field="5" count="1" selected="0">
            <x v="0"/>
          </reference>
          <reference field="6" count="1" selected="0">
            <x v="9"/>
          </reference>
          <reference field="7" count="1" selected="0">
            <x v="125"/>
          </reference>
          <reference field="8" count="1" selected="0">
            <x v="863"/>
          </reference>
          <reference field="9" count="1">
            <x v="611"/>
          </reference>
        </references>
      </pivotArea>
    </format>
    <format dxfId="2618">
      <pivotArea dataOnly="0" labelOnly="1" fieldPosition="0">
        <references count="6">
          <reference field="1" count="1" selected="0">
            <x v="43"/>
          </reference>
          <reference field="5" count="1" selected="0">
            <x v="0"/>
          </reference>
          <reference field="6" count="1" selected="0">
            <x v="9"/>
          </reference>
          <reference field="7" count="1" selected="0">
            <x v="125"/>
          </reference>
          <reference field="8" count="1" selected="0">
            <x v="964"/>
          </reference>
          <reference field="9" count="1">
            <x v="611"/>
          </reference>
        </references>
      </pivotArea>
    </format>
    <format dxfId="2617">
      <pivotArea dataOnly="0" labelOnly="1" fieldPosition="0">
        <references count="6">
          <reference field="1" count="1" selected="0">
            <x v="43"/>
          </reference>
          <reference field="5" count="1" selected="0">
            <x v="0"/>
          </reference>
          <reference field="6" count="1" selected="0">
            <x v="9"/>
          </reference>
          <reference field="7" count="1" selected="0">
            <x v="125"/>
          </reference>
          <reference field="8" count="1" selected="0">
            <x v="989"/>
          </reference>
          <reference field="9" count="1">
            <x v="611"/>
          </reference>
        </references>
      </pivotArea>
    </format>
    <format dxfId="2616">
      <pivotArea dataOnly="0" labelOnly="1" fieldPosition="0">
        <references count="6">
          <reference field="1" count="1" selected="0">
            <x v="43"/>
          </reference>
          <reference field="5" count="1" selected="0">
            <x v="0"/>
          </reference>
          <reference field="6" count="1" selected="0">
            <x v="12"/>
          </reference>
          <reference field="7" count="1" selected="0">
            <x v="6"/>
          </reference>
          <reference field="8" count="1" selected="0">
            <x v="101"/>
          </reference>
          <reference field="9" count="1">
            <x v="611"/>
          </reference>
        </references>
      </pivotArea>
    </format>
    <format dxfId="2615">
      <pivotArea dataOnly="0" labelOnly="1" fieldPosition="0">
        <references count="6">
          <reference field="1" count="1" selected="0">
            <x v="43"/>
          </reference>
          <reference field="5" count="1" selected="0">
            <x v="0"/>
          </reference>
          <reference field="6" count="1" selected="0">
            <x v="37"/>
          </reference>
          <reference field="7" count="1" selected="0">
            <x v="125"/>
          </reference>
          <reference field="8" count="1" selected="0">
            <x v="592"/>
          </reference>
          <reference field="9" count="1">
            <x v="611"/>
          </reference>
        </references>
      </pivotArea>
    </format>
    <format dxfId="2614">
      <pivotArea dataOnly="0" labelOnly="1" fieldPosition="0">
        <references count="6">
          <reference field="1" count="1" selected="0">
            <x v="43"/>
          </reference>
          <reference field="5" count="1" selected="0">
            <x v="0"/>
          </reference>
          <reference field="6" count="1" selected="0">
            <x v="37"/>
          </reference>
          <reference field="7" count="1" selected="0">
            <x v="125"/>
          </reference>
          <reference field="8" count="1" selected="0">
            <x v="1348"/>
          </reference>
          <reference field="9" count="1">
            <x v="611"/>
          </reference>
        </references>
      </pivotArea>
    </format>
    <format dxfId="2613">
      <pivotArea dataOnly="0" labelOnly="1" fieldPosition="0">
        <references count="6">
          <reference field="1" count="1" selected="0">
            <x v="43"/>
          </reference>
          <reference field="5" count="1" selected="0">
            <x v="2"/>
          </reference>
          <reference field="6" count="1" selected="0">
            <x v="6"/>
          </reference>
          <reference field="7" count="1" selected="0">
            <x v="125"/>
          </reference>
          <reference field="8" count="1" selected="0">
            <x v="433"/>
          </reference>
          <reference field="9" count="1">
            <x v="611"/>
          </reference>
        </references>
      </pivotArea>
    </format>
    <format dxfId="2612">
      <pivotArea dataOnly="0" labelOnly="1" fieldPosition="0">
        <references count="6">
          <reference field="1" count="1" selected="0">
            <x v="43"/>
          </reference>
          <reference field="5" count="1" selected="0">
            <x v="5"/>
          </reference>
          <reference field="6" count="1" selected="0">
            <x v="37"/>
          </reference>
          <reference field="7" count="1" selected="0">
            <x v="125"/>
          </reference>
          <reference field="8" count="1" selected="0">
            <x v="1701"/>
          </reference>
          <reference field="9" count="1">
            <x v="611"/>
          </reference>
        </references>
      </pivotArea>
    </format>
    <format dxfId="2611">
      <pivotArea dataOnly="0" labelOnly="1" fieldPosition="0">
        <references count="6">
          <reference field="1" count="1" selected="0">
            <x v="43"/>
          </reference>
          <reference field="5" count="1" selected="0">
            <x v="9"/>
          </reference>
          <reference field="6" count="1" selected="0">
            <x v="9"/>
          </reference>
          <reference field="7" count="1" selected="0">
            <x v="125"/>
          </reference>
          <reference field="8" count="1" selected="0">
            <x v="855"/>
          </reference>
          <reference field="9" count="1">
            <x v="611"/>
          </reference>
        </references>
      </pivotArea>
    </format>
    <format dxfId="2610">
      <pivotArea dataOnly="0" labelOnly="1" fieldPosition="0">
        <references count="6">
          <reference field="1" count="1" selected="0">
            <x v="43"/>
          </reference>
          <reference field="5" count="1" selected="0">
            <x v="12"/>
          </reference>
          <reference field="6" count="1" selected="0">
            <x v="1"/>
          </reference>
          <reference field="7" count="1" selected="0">
            <x v="125"/>
          </reference>
          <reference field="8" count="1" selected="0">
            <x v="80"/>
          </reference>
          <reference field="9" count="1">
            <x v="611"/>
          </reference>
        </references>
      </pivotArea>
    </format>
    <format dxfId="2609">
      <pivotArea dataOnly="0" labelOnly="1" fieldPosition="0">
        <references count="6">
          <reference field="1" count="1" selected="0">
            <x v="43"/>
          </reference>
          <reference field="5" count="1" selected="0">
            <x v="15"/>
          </reference>
          <reference field="6" count="1" selected="0">
            <x v="9"/>
          </reference>
          <reference field="7" count="1" selected="0">
            <x v="125"/>
          </reference>
          <reference field="8" count="1" selected="0">
            <x v="398"/>
          </reference>
          <reference field="9" count="1">
            <x v="611"/>
          </reference>
        </references>
      </pivotArea>
    </format>
    <format dxfId="2608">
      <pivotArea dataOnly="0" labelOnly="1" fieldPosition="0">
        <references count="6">
          <reference field="1" count="1" selected="0">
            <x v="43"/>
          </reference>
          <reference field="5" count="1" selected="0">
            <x v="15"/>
          </reference>
          <reference field="6" count="1" selected="0">
            <x v="10"/>
          </reference>
          <reference field="7" count="1" selected="0">
            <x v="125"/>
          </reference>
          <reference field="8" count="1" selected="0">
            <x v="781"/>
          </reference>
          <reference field="9" count="1">
            <x v="611"/>
          </reference>
        </references>
      </pivotArea>
    </format>
    <format dxfId="2607">
      <pivotArea dataOnly="0" labelOnly="1" fieldPosition="0">
        <references count="6">
          <reference field="1" count="1" selected="0">
            <x v="43"/>
          </reference>
          <reference field="5" count="1" selected="0">
            <x v="15"/>
          </reference>
          <reference field="6" count="1" selected="0">
            <x v="34"/>
          </reference>
          <reference field="7" count="1" selected="0">
            <x v="76"/>
          </reference>
          <reference field="8" count="1" selected="0">
            <x v="0"/>
          </reference>
          <reference field="9" count="1">
            <x v="14"/>
          </reference>
        </references>
      </pivotArea>
    </format>
    <format dxfId="2606">
      <pivotArea dataOnly="0" labelOnly="1" fieldPosition="0">
        <references count="6">
          <reference field="1" count="1" selected="0">
            <x v="43"/>
          </reference>
          <reference field="5" count="1" selected="0">
            <x v="15"/>
          </reference>
          <reference field="6" count="1" selected="0">
            <x v="37"/>
          </reference>
          <reference field="7" count="1" selected="0">
            <x v="125"/>
          </reference>
          <reference field="8" count="1" selected="0">
            <x v="1553"/>
          </reference>
          <reference field="9" count="1">
            <x v="611"/>
          </reference>
        </references>
      </pivotArea>
    </format>
    <format dxfId="2605">
      <pivotArea dataOnly="0" labelOnly="1" fieldPosition="0">
        <references count="6">
          <reference field="1" count="1" selected="0">
            <x v="43"/>
          </reference>
          <reference field="5" count="1" selected="0">
            <x v="19"/>
          </reference>
          <reference field="6" count="1" selected="0">
            <x v="37"/>
          </reference>
          <reference field="7" count="1" selected="0">
            <x v="125"/>
          </reference>
          <reference field="8" count="1" selected="0">
            <x v="114"/>
          </reference>
          <reference field="9" count="1">
            <x v="611"/>
          </reference>
        </references>
      </pivotArea>
    </format>
    <format dxfId="2604">
      <pivotArea dataOnly="0" labelOnly="1" fieldPosition="0">
        <references count="6">
          <reference field="1" count="1" selected="0">
            <x v="43"/>
          </reference>
          <reference field="5" count="1" selected="0">
            <x v="25"/>
          </reference>
          <reference field="6" count="1" selected="0">
            <x v="9"/>
          </reference>
          <reference field="7" count="1" selected="0">
            <x v="125"/>
          </reference>
          <reference field="8" count="1" selected="0">
            <x v="894"/>
          </reference>
          <reference field="9" count="1">
            <x v="611"/>
          </reference>
        </references>
      </pivotArea>
    </format>
    <format dxfId="2603">
      <pivotArea dataOnly="0" labelOnly="1" fieldPosition="0">
        <references count="6">
          <reference field="1" count="1" selected="0">
            <x v="43"/>
          </reference>
          <reference field="5" count="1" selected="0">
            <x v="27"/>
          </reference>
          <reference field="6" count="1" selected="0">
            <x v="37"/>
          </reference>
          <reference field="7" count="1" selected="0">
            <x v="125"/>
          </reference>
          <reference field="8" count="1" selected="0">
            <x v="1338"/>
          </reference>
          <reference field="9" count="1">
            <x v="611"/>
          </reference>
        </references>
      </pivotArea>
    </format>
    <format dxfId="2602">
      <pivotArea dataOnly="0" labelOnly="1" fieldPosition="0">
        <references count="6">
          <reference field="1" count="1" selected="0">
            <x v="43"/>
          </reference>
          <reference field="5" count="1" selected="0">
            <x v="36"/>
          </reference>
          <reference field="6" count="1" selected="0">
            <x v="1"/>
          </reference>
          <reference field="7" count="1" selected="0">
            <x v="125"/>
          </reference>
          <reference field="8" count="1" selected="0">
            <x v="936"/>
          </reference>
          <reference field="9" count="1">
            <x v="611"/>
          </reference>
        </references>
      </pivotArea>
    </format>
    <format dxfId="2601">
      <pivotArea dataOnly="0" labelOnly="1" fieldPosition="0">
        <references count="6">
          <reference field="1" count="1" selected="0">
            <x v="44"/>
          </reference>
          <reference field="5" count="1" selected="0">
            <x v="0"/>
          </reference>
          <reference field="6" count="1" selected="0">
            <x v="6"/>
          </reference>
          <reference field="7" count="1" selected="0">
            <x v="127"/>
          </reference>
          <reference field="8" count="1" selected="0">
            <x v="693"/>
          </reference>
          <reference field="9" count="1">
            <x v="611"/>
          </reference>
        </references>
      </pivotArea>
    </format>
    <format dxfId="2600">
      <pivotArea dataOnly="0" labelOnly="1" fieldPosition="0">
        <references count="6">
          <reference field="1" count="1" selected="0">
            <x v="44"/>
          </reference>
          <reference field="5" count="1" selected="0">
            <x v="0"/>
          </reference>
          <reference field="6" count="1" selected="0">
            <x v="8"/>
          </reference>
          <reference field="7" count="1" selected="0">
            <x v="127"/>
          </reference>
          <reference field="8" count="1" selected="0">
            <x v="596"/>
          </reference>
          <reference field="9" count="1">
            <x v="611"/>
          </reference>
        </references>
      </pivotArea>
    </format>
    <format dxfId="2599">
      <pivotArea dataOnly="0" labelOnly="1" fieldPosition="0">
        <references count="6">
          <reference field="1" count="1" selected="0">
            <x v="44"/>
          </reference>
          <reference field="5" count="1" selected="0">
            <x v="0"/>
          </reference>
          <reference field="6" count="1" selected="0">
            <x v="9"/>
          </reference>
          <reference field="7" count="1" selected="0">
            <x v="127"/>
          </reference>
          <reference field="8" count="1" selected="0">
            <x v="350"/>
          </reference>
          <reference field="9" count="1">
            <x v="611"/>
          </reference>
        </references>
      </pivotArea>
    </format>
    <format dxfId="2598">
      <pivotArea dataOnly="0" labelOnly="1" fieldPosition="0">
        <references count="6">
          <reference field="1" count="1" selected="0">
            <x v="44"/>
          </reference>
          <reference field="5" count="1" selected="0">
            <x v="0"/>
          </reference>
          <reference field="6" count="1" selected="0">
            <x v="12"/>
          </reference>
          <reference field="7" count="1" selected="0">
            <x v="39"/>
          </reference>
          <reference field="8" count="1" selected="0">
            <x v="433"/>
          </reference>
          <reference field="9" count="1">
            <x v="611"/>
          </reference>
        </references>
      </pivotArea>
    </format>
    <format dxfId="2597">
      <pivotArea dataOnly="0" labelOnly="1" fieldPosition="0">
        <references count="6">
          <reference field="1" count="1" selected="0">
            <x v="44"/>
          </reference>
          <reference field="5" count="1" selected="0">
            <x v="0"/>
          </reference>
          <reference field="6" count="1" selected="0">
            <x v="37"/>
          </reference>
          <reference field="7" count="1" selected="0">
            <x v="127"/>
          </reference>
          <reference field="8" count="1" selected="0">
            <x v="740"/>
          </reference>
          <reference field="9" count="1">
            <x v="611"/>
          </reference>
        </references>
      </pivotArea>
    </format>
    <format dxfId="2596">
      <pivotArea dataOnly="0" labelOnly="1" fieldPosition="0">
        <references count="6">
          <reference field="1" count="1" selected="0">
            <x v="44"/>
          </reference>
          <reference field="5" count="1" selected="0">
            <x v="12"/>
          </reference>
          <reference field="6" count="1" selected="0">
            <x v="1"/>
          </reference>
          <reference field="7" count="1" selected="0">
            <x v="127"/>
          </reference>
          <reference field="8" count="1" selected="0">
            <x v="352"/>
          </reference>
          <reference field="9" count="1">
            <x v="611"/>
          </reference>
        </references>
      </pivotArea>
    </format>
    <format dxfId="2595">
      <pivotArea dataOnly="0" labelOnly="1" fieldPosition="0">
        <references count="6">
          <reference field="1" count="1" selected="0">
            <x v="44"/>
          </reference>
          <reference field="5" count="1" selected="0">
            <x v="12"/>
          </reference>
          <reference field="6" count="1" selected="0">
            <x v="1"/>
          </reference>
          <reference field="7" count="1" selected="0">
            <x v="127"/>
          </reference>
          <reference field="8" count="1" selected="0">
            <x v="500"/>
          </reference>
          <reference field="9" count="1">
            <x v="611"/>
          </reference>
        </references>
      </pivotArea>
    </format>
    <format dxfId="2594">
      <pivotArea dataOnly="0" labelOnly="1" fieldPosition="0">
        <references count="6">
          <reference field="1" count="1" selected="0">
            <x v="44"/>
          </reference>
          <reference field="5" count="1" selected="0">
            <x v="12"/>
          </reference>
          <reference field="6" count="1" selected="0">
            <x v="28"/>
          </reference>
          <reference field="7" count="1" selected="0">
            <x v="126"/>
          </reference>
          <reference field="8" count="1" selected="0">
            <x v="941"/>
          </reference>
          <reference field="9" count="1">
            <x v="611"/>
          </reference>
        </references>
      </pivotArea>
    </format>
    <format dxfId="2593">
      <pivotArea dataOnly="0" labelOnly="1" fieldPosition="0">
        <references count="6">
          <reference field="1" count="1" selected="0">
            <x v="44"/>
          </reference>
          <reference field="5" count="1" selected="0">
            <x v="15"/>
          </reference>
          <reference field="6" count="1" selected="0">
            <x v="8"/>
          </reference>
          <reference field="7" count="1" selected="0">
            <x v="127"/>
          </reference>
          <reference field="8" count="1" selected="0">
            <x v="654"/>
          </reference>
          <reference field="9" count="1">
            <x v="611"/>
          </reference>
        </references>
      </pivotArea>
    </format>
    <format dxfId="2592">
      <pivotArea dataOnly="0" labelOnly="1" fieldPosition="0">
        <references count="6">
          <reference field="1" count="1" selected="0">
            <x v="44"/>
          </reference>
          <reference field="5" count="1" selected="0">
            <x v="19"/>
          </reference>
          <reference field="6" count="1" selected="0">
            <x v="6"/>
          </reference>
          <reference field="7" count="1" selected="0">
            <x v="127"/>
          </reference>
          <reference field="8" count="1" selected="0">
            <x v="911"/>
          </reference>
          <reference field="9" count="1">
            <x v="611"/>
          </reference>
        </references>
      </pivotArea>
    </format>
    <format dxfId="2591">
      <pivotArea dataOnly="0" labelOnly="1" fieldPosition="0">
        <references count="6">
          <reference field="1" count="1" selected="0">
            <x v="44"/>
          </reference>
          <reference field="5" count="1" selected="0">
            <x v="35"/>
          </reference>
          <reference field="6" count="1" selected="0">
            <x v="1"/>
          </reference>
          <reference field="7" count="1" selected="0">
            <x v="127"/>
          </reference>
          <reference field="8" count="1" selected="0">
            <x v="80"/>
          </reference>
          <reference field="9" count="1">
            <x v="611"/>
          </reference>
        </references>
      </pivotArea>
    </format>
    <format dxfId="2590">
      <pivotArea dataOnly="0" labelOnly="1" fieldPosition="0">
        <references count="6">
          <reference field="1" count="1" selected="0">
            <x v="44"/>
          </reference>
          <reference field="5" count="1" selected="0">
            <x v="35"/>
          </reference>
          <reference field="6" count="1" selected="0">
            <x v="1"/>
          </reference>
          <reference field="7" count="1" selected="0">
            <x v="127"/>
          </reference>
          <reference field="8" count="1" selected="0">
            <x v="213"/>
          </reference>
          <reference field="9" count="1">
            <x v="611"/>
          </reference>
        </references>
      </pivotArea>
    </format>
    <format dxfId="2589">
      <pivotArea dataOnly="0" labelOnly="1" fieldPosition="0">
        <references count="6">
          <reference field="1" count="1" selected="0">
            <x v="45"/>
          </reference>
          <reference field="5" count="1" selected="0">
            <x v="0"/>
          </reference>
          <reference field="6" count="1" selected="0">
            <x v="12"/>
          </reference>
          <reference field="7" count="1" selected="0">
            <x v="21"/>
          </reference>
          <reference field="8" count="1" selected="0">
            <x v="69"/>
          </reference>
          <reference field="9" count="1">
            <x v="611"/>
          </reference>
        </references>
      </pivotArea>
    </format>
    <format dxfId="2588">
      <pivotArea dataOnly="0" labelOnly="1" fieldPosition="0">
        <references count="6">
          <reference field="1" count="1" selected="0">
            <x v="46"/>
          </reference>
          <reference field="5" count="1" selected="0">
            <x v="0"/>
          </reference>
          <reference field="6" count="1" selected="0">
            <x v="8"/>
          </reference>
          <reference field="7" count="1" selected="0">
            <x v="128"/>
          </reference>
          <reference field="8" count="1" selected="0">
            <x v="156"/>
          </reference>
          <reference field="9" count="1">
            <x v="611"/>
          </reference>
        </references>
      </pivotArea>
    </format>
    <format dxfId="2587">
      <pivotArea dataOnly="0" labelOnly="1" fieldPosition="0">
        <references count="6">
          <reference field="1" count="1" selected="0">
            <x v="46"/>
          </reference>
          <reference field="5" count="1" selected="0">
            <x v="0"/>
          </reference>
          <reference field="6" count="1" selected="0">
            <x v="8"/>
          </reference>
          <reference field="7" count="1" selected="0">
            <x v="128"/>
          </reference>
          <reference field="8" count="1" selected="0">
            <x v="700"/>
          </reference>
          <reference field="9" count="1">
            <x v="611"/>
          </reference>
        </references>
      </pivotArea>
    </format>
    <format dxfId="2586">
      <pivotArea dataOnly="0" labelOnly="1" fieldPosition="0">
        <references count="6">
          <reference field="1" count="1" selected="0">
            <x v="46"/>
          </reference>
          <reference field="5" count="1" selected="0">
            <x v="0"/>
          </reference>
          <reference field="6" count="1" selected="0">
            <x v="8"/>
          </reference>
          <reference field="7" count="1" selected="0">
            <x v="128"/>
          </reference>
          <reference field="8" count="1" selected="0">
            <x v="964"/>
          </reference>
          <reference field="9" count="1">
            <x v="611"/>
          </reference>
        </references>
      </pivotArea>
    </format>
    <format dxfId="2585">
      <pivotArea dataOnly="0" labelOnly="1" fieldPosition="0">
        <references count="6">
          <reference field="1" count="1" selected="0">
            <x v="46"/>
          </reference>
          <reference field="5" count="1" selected="0">
            <x v="0"/>
          </reference>
          <reference field="6" count="1" selected="0">
            <x v="9"/>
          </reference>
          <reference field="7" count="1" selected="0">
            <x v="128"/>
          </reference>
          <reference field="8" count="1" selected="0">
            <x v="210"/>
          </reference>
          <reference field="9" count="1">
            <x v="611"/>
          </reference>
        </references>
      </pivotArea>
    </format>
    <format dxfId="2584">
      <pivotArea dataOnly="0" labelOnly="1" fieldPosition="0">
        <references count="6">
          <reference field="1" count="1" selected="0">
            <x v="46"/>
          </reference>
          <reference field="5" count="1" selected="0">
            <x v="0"/>
          </reference>
          <reference field="6" count="1" selected="0">
            <x v="9"/>
          </reference>
          <reference field="7" count="1" selected="0">
            <x v="128"/>
          </reference>
          <reference field="8" count="1" selected="0">
            <x v="396"/>
          </reference>
          <reference field="9" count="1">
            <x v="611"/>
          </reference>
        </references>
      </pivotArea>
    </format>
    <format dxfId="2583">
      <pivotArea dataOnly="0" labelOnly="1" fieldPosition="0">
        <references count="6">
          <reference field="1" count="1" selected="0">
            <x v="46"/>
          </reference>
          <reference field="5" count="1" selected="0">
            <x v="0"/>
          </reference>
          <reference field="6" count="1" selected="0">
            <x v="9"/>
          </reference>
          <reference field="7" count="1" selected="0">
            <x v="128"/>
          </reference>
          <reference field="8" count="1" selected="0">
            <x v="798"/>
          </reference>
          <reference field="9" count="1">
            <x v="611"/>
          </reference>
        </references>
      </pivotArea>
    </format>
    <format dxfId="2582">
      <pivotArea dataOnly="0" labelOnly="1" fieldPosition="0">
        <references count="6">
          <reference field="1" count="1" selected="0">
            <x v="46"/>
          </reference>
          <reference field="5" count="1" selected="0">
            <x v="0"/>
          </reference>
          <reference field="6" count="1" selected="0">
            <x v="9"/>
          </reference>
          <reference field="7" count="1" selected="0">
            <x v="128"/>
          </reference>
          <reference field="8" count="1" selected="0">
            <x v="818"/>
          </reference>
          <reference field="9" count="1">
            <x v="611"/>
          </reference>
        </references>
      </pivotArea>
    </format>
    <format dxfId="2581">
      <pivotArea dataOnly="0" labelOnly="1" fieldPosition="0">
        <references count="6">
          <reference field="1" count="1" selected="0">
            <x v="46"/>
          </reference>
          <reference field="5" count="1" selected="0">
            <x v="0"/>
          </reference>
          <reference field="6" count="1" selected="0">
            <x v="9"/>
          </reference>
          <reference field="7" count="1" selected="0">
            <x v="128"/>
          </reference>
          <reference field="8" count="1" selected="0">
            <x v="858"/>
          </reference>
          <reference field="9" count="1">
            <x v="611"/>
          </reference>
        </references>
      </pivotArea>
    </format>
    <format dxfId="2580">
      <pivotArea dataOnly="0" labelOnly="1" fieldPosition="0">
        <references count="6">
          <reference field="1" count="1" selected="0">
            <x v="46"/>
          </reference>
          <reference field="5" count="1" selected="0">
            <x v="0"/>
          </reference>
          <reference field="6" count="1" selected="0">
            <x v="12"/>
          </reference>
          <reference field="7" count="1" selected="0">
            <x v="39"/>
          </reference>
          <reference field="8" count="1" selected="0">
            <x v="180"/>
          </reference>
          <reference field="9" count="1">
            <x v="611"/>
          </reference>
        </references>
      </pivotArea>
    </format>
    <format dxfId="2579">
      <pivotArea dataOnly="0" labelOnly="1" fieldPosition="0">
        <references count="6">
          <reference field="1" count="1" selected="0">
            <x v="46"/>
          </reference>
          <reference field="5" count="1" selected="0">
            <x v="0"/>
          </reference>
          <reference field="6" count="1" selected="0">
            <x v="12"/>
          </reference>
          <reference field="7" count="1" selected="0">
            <x v="50"/>
          </reference>
          <reference field="8" count="1" selected="0">
            <x v="248"/>
          </reference>
          <reference field="9" count="1">
            <x v="611"/>
          </reference>
        </references>
      </pivotArea>
    </format>
    <format dxfId="2578">
      <pivotArea dataOnly="0" labelOnly="1" fieldPosition="0">
        <references count="6">
          <reference field="1" count="1" selected="0">
            <x v="46"/>
          </reference>
          <reference field="5" count="1" selected="0">
            <x v="2"/>
          </reference>
          <reference field="6" count="1" selected="0">
            <x v="8"/>
          </reference>
          <reference field="7" count="1" selected="0">
            <x v="128"/>
          </reference>
          <reference field="8" count="1" selected="0">
            <x v="910"/>
          </reference>
          <reference field="9" count="1">
            <x v="611"/>
          </reference>
        </references>
      </pivotArea>
    </format>
    <format dxfId="2577">
      <pivotArea dataOnly="0" labelOnly="1" fieldPosition="0">
        <references count="6">
          <reference field="1" count="1" selected="0">
            <x v="46"/>
          </reference>
          <reference field="5" count="1" selected="0">
            <x v="11"/>
          </reference>
          <reference field="6" count="1" selected="0">
            <x v="8"/>
          </reference>
          <reference field="7" count="1" selected="0">
            <x v="128"/>
          </reference>
          <reference field="8" count="1" selected="0">
            <x v="591"/>
          </reference>
          <reference field="9" count="1">
            <x v="611"/>
          </reference>
        </references>
      </pivotArea>
    </format>
    <format dxfId="2576">
      <pivotArea dataOnly="0" labelOnly="1" fieldPosition="0">
        <references count="6">
          <reference field="1" count="1" selected="0">
            <x v="46"/>
          </reference>
          <reference field="5" count="1" selected="0">
            <x v="15"/>
          </reference>
          <reference field="6" count="1" selected="0">
            <x v="38"/>
          </reference>
          <reference field="7" count="1" selected="0">
            <x v="128"/>
          </reference>
          <reference field="8" count="1" selected="0">
            <x v="1274"/>
          </reference>
          <reference field="9" count="1">
            <x v="611"/>
          </reference>
        </references>
      </pivotArea>
    </format>
    <format dxfId="2575">
      <pivotArea dataOnly="0" labelOnly="1" fieldPosition="0">
        <references count="6">
          <reference field="1" count="1" selected="0">
            <x v="46"/>
          </reference>
          <reference field="5" count="1" selected="0">
            <x v="19"/>
          </reference>
          <reference field="6" count="1" selected="0">
            <x v="37"/>
          </reference>
          <reference field="7" count="1" selected="0">
            <x v="128"/>
          </reference>
          <reference field="8" count="1" selected="0">
            <x v="445"/>
          </reference>
          <reference field="9" count="1">
            <x v="611"/>
          </reference>
        </references>
      </pivotArea>
    </format>
    <format dxfId="2574">
      <pivotArea dataOnly="0" labelOnly="1" fieldPosition="0">
        <references count="6">
          <reference field="1" count="1" selected="0">
            <x v="46"/>
          </reference>
          <reference field="5" count="1" selected="0">
            <x v="21"/>
          </reference>
          <reference field="6" count="1" selected="0">
            <x v="38"/>
          </reference>
          <reference field="7" count="1" selected="0">
            <x v="128"/>
          </reference>
          <reference field="8" count="1" selected="0">
            <x v="1274"/>
          </reference>
          <reference field="9" count="1">
            <x v="611"/>
          </reference>
        </references>
      </pivotArea>
    </format>
    <format dxfId="2573">
      <pivotArea dataOnly="0" labelOnly="1" fieldPosition="0">
        <references count="6">
          <reference field="1" count="1" selected="0">
            <x v="46"/>
          </reference>
          <reference field="5" count="1" selected="0">
            <x v="23"/>
          </reference>
          <reference field="6" count="1" selected="0">
            <x v="38"/>
          </reference>
          <reference field="7" count="1" selected="0">
            <x v="128"/>
          </reference>
          <reference field="8" count="1" selected="0">
            <x v="1853"/>
          </reference>
          <reference field="9" count="1">
            <x v="611"/>
          </reference>
        </references>
      </pivotArea>
    </format>
    <format dxfId="2572">
      <pivotArea dataOnly="0" labelOnly="1" fieldPosition="0">
        <references count="6">
          <reference field="1" count="1" selected="0">
            <x v="46"/>
          </reference>
          <reference field="5" count="1" selected="0">
            <x v="35"/>
          </reference>
          <reference field="6" count="1" selected="0">
            <x v="37"/>
          </reference>
          <reference field="7" count="1" selected="0">
            <x v="128"/>
          </reference>
          <reference field="8" count="1" selected="0">
            <x v="1245"/>
          </reference>
          <reference field="9" count="1">
            <x v="611"/>
          </reference>
        </references>
      </pivotArea>
    </format>
    <format dxfId="2571">
      <pivotArea dataOnly="0" labelOnly="1" fieldPosition="0">
        <references count="6">
          <reference field="1" count="1" selected="0">
            <x v="46"/>
          </reference>
          <reference field="5" count="1" selected="0">
            <x v="35"/>
          </reference>
          <reference field="6" count="1" selected="0">
            <x v="37"/>
          </reference>
          <reference field="7" count="1" selected="0">
            <x v="128"/>
          </reference>
          <reference field="8" count="1" selected="0">
            <x v="1325"/>
          </reference>
          <reference field="9" count="1">
            <x v="611"/>
          </reference>
        </references>
      </pivotArea>
    </format>
    <format dxfId="2570">
      <pivotArea dataOnly="0" labelOnly="1" fieldPosition="0">
        <references count="6">
          <reference field="1" count="1" selected="0">
            <x v="47"/>
          </reference>
          <reference field="5" count="1" selected="0">
            <x v="0"/>
          </reference>
          <reference field="6" count="1" selected="0">
            <x v="12"/>
          </reference>
          <reference field="7" count="1" selected="0">
            <x v="36"/>
          </reference>
          <reference field="8" count="1" selected="0">
            <x v="748"/>
          </reference>
          <reference field="9" count="1">
            <x v="611"/>
          </reference>
        </references>
      </pivotArea>
    </format>
    <format dxfId="2569">
      <pivotArea dataOnly="0" labelOnly="1" fieldPosition="0">
        <references count="6">
          <reference field="1" count="1" selected="0">
            <x v="48"/>
          </reference>
          <reference field="5" count="1" selected="0">
            <x v="6"/>
          </reference>
          <reference field="6" count="1" selected="0">
            <x v="37"/>
          </reference>
          <reference field="7" count="1" selected="0">
            <x v="129"/>
          </reference>
          <reference field="8" count="1" selected="0">
            <x v="1369"/>
          </reference>
          <reference field="9" count="1">
            <x v="611"/>
          </reference>
        </references>
      </pivotArea>
    </format>
    <format dxfId="2568">
      <pivotArea dataOnly="0" labelOnly="1" fieldPosition="0">
        <references count="6">
          <reference field="1" count="1" selected="0">
            <x v="48"/>
          </reference>
          <reference field="5" count="1" selected="0">
            <x v="8"/>
          </reference>
          <reference field="6" count="1" selected="0">
            <x v="37"/>
          </reference>
          <reference field="7" count="1" selected="0">
            <x v="129"/>
          </reference>
          <reference field="8" count="1" selected="0">
            <x v="1306"/>
          </reference>
          <reference field="9" count="1">
            <x v="611"/>
          </reference>
        </references>
      </pivotArea>
    </format>
    <format dxfId="2567">
      <pivotArea dataOnly="0" labelOnly="1" fieldPosition="0">
        <references count="6">
          <reference field="1" count="1" selected="0">
            <x v="48"/>
          </reference>
          <reference field="5" count="1" selected="0">
            <x v="12"/>
          </reference>
          <reference field="6" count="1" selected="0">
            <x v="1"/>
          </reference>
          <reference field="7" count="1" selected="0">
            <x v="129"/>
          </reference>
          <reference field="8" count="1" selected="0">
            <x v="80"/>
          </reference>
          <reference field="9" count="1">
            <x v="611"/>
          </reference>
        </references>
      </pivotArea>
    </format>
    <format dxfId="2566">
      <pivotArea dataOnly="0" labelOnly="1" fieldPosition="0">
        <references count="6">
          <reference field="1" count="1" selected="0">
            <x v="48"/>
          </reference>
          <reference field="5" count="1" selected="0">
            <x v="12"/>
          </reference>
          <reference field="6" count="1" selected="0">
            <x v="1"/>
          </reference>
          <reference field="7" count="1" selected="0">
            <x v="129"/>
          </reference>
          <reference field="8" count="1" selected="0">
            <x v="213"/>
          </reference>
          <reference field="9" count="1">
            <x v="611"/>
          </reference>
        </references>
      </pivotArea>
    </format>
    <format dxfId="2565">
      <pivotArea dataOnly="0" labelOnly="1" fieldPosition="0">
        <references count="6">
          <reference field="1" count="1" selected="0">
            <x v="48"/>
          </reference>
          <reference field="5" count="1" selected="0">
            <x v="12"/>
          </reference>
          <reference field="6" count="1" selected="0">
            <x v="1"/>
          </reference>
          <reference field="7" count="1" selected="0">
            <x v="129"/>
          </reference>
          <reference field="8" count="1" selected="0">
            <x v="352"/>
          </reference>
          <reference field="9" count="1">
            <x v="611"/>
          </reference>
        </references>
      </pivotArea>
    </format>
    <format dxfId="2564">
      <pivotArea dataOnly="0" labelOnly="1" fieldPosition="0">
        <references count="6">
          <reference field="1" count="1" selected="0">
            <x v="48"/>
          </reference>
          <reference field="5" count="1" selected="0">
            <x v="12"/>
          </reference>
          <reference field="6" count="1" selected="0">
            <x v="1"/>
          </reference>
          <reference field="7" count="1" selected="0">
            <x v="129"/>
          </reference>
          <reference field="8" count="1" selected="0">
            <x v="607"/>
          </reference>
          <reference field="9" count="1">
            <x v="611"/>
          </reference>
        </references>
      </pivotArea>
    </format>
    <format dxfId="2563">
      <pivotArea dataOnly="0" labelOnly="1" fieldPosition="0">
        <references count="6">
          <reference field="1" count="1" selected="0">
            <x v="48"/>
          </reference>
          <reference field="5" count="1" selected="0">
            <x v="12"/>
          </reference>
          <reference field="6" count="1" selected="0">
            <x v="1"/>
          </reference>
          <reference field="7" count="1" selected="0">
            <x v="129"/>
          </reference>
          <reference field="8" count="1" selected="0">
            <x v="702"/>
          </reference>
          <reference field="9" count="1">
            <x v="611"/>
          </reference>
        </references>
      </pivotArea>
    </format>
    <format dxfId="2562">
      <pivotArea dataOnly="0" labelOnly="1" fieldPosition="0">
        <references count="6">
          <reference field="1" count="1" selected="0">
            <x v="48"/>
          </reference>
          <reference field="5" count="1" selected="0">
            <x v="12"/>
          </reference>
          <reference field="6" count="1" selected="0">
            <x v="1"/>
          </reference>
          <reference field="7" count="1" selected="0">
            <x v="129"/>
          </reference>
          <reference field="8" count="1" selected="0">
            <x v="846"/>
          </reference>
          <reference field="9" count="1">
            <x v="611"/>
          </reference>
        </references>
      </pivotArea>
    </format>
    <format dxfId="2561">
      <pivotArea dataOnly="0" labelOnly="1" fieldPosition="0">
        <references count="6">
          <reference field="1" count="1" selected="0">
            <x v="48"/>
          </reference>
          <reference field="5" count="1" selected="0">
            <x v="12"/>
          </reference>
          <reference field="6" count="1" selected="0">
            <x v="1"/>
          </reference>
          <reference field="7" count="1" selected="0">
            <x v="129"/>
          </reference>
          <reference field="8" count="1" selected="0">
            <x v="1199"/>
          </reference>
          <reference field="9" count="1">
            <x v="611"/>
          </reference>
        </references>
      </pivotArea>
    </format>
    <format dxfId="2560">
      <pivotArea dataOnly="0" labelOnly="1" fieldPosition="0">
        <references count="6">
          <reference field="1" count="1" selected="0">
            <x v="48"/>
          </reference>
          <reference field="5" count="1" selected="0">
            <x v="19"/>
          </reference>
          <reference field="6" count="1" selected="0">
            <x v="37"/>
          </reference>
          <reference field="7" count="1" selected="0">
            <x v="129"/>
          </reference>
          <reference field="8" count="1" selected="0">
            <x v="641"/>
          </reference>
          <reference field="9" count="1">
            <x v="611"/>
          </reference>
        </references>
      </pivotArea>
    </format>
    <format dxfId="2559">
      <pivotArea dataOnly="0" labelOnly="1" fieldPosition="0">
        <references count="6">
          <reference field="1" count="1" selected="0">
            <x v="48"/>
          </reference>
          <reference field="5" count="1" selected="0">
            <x v="23"/>
          </reference>
          <reference field="6" count="1" selected="0">
            <x v="6"/>
          </reference>
          <reference field="7" count="1" selected="0">
            <x v="129"/>
          </reference>
          <reference field="8" count="1" selected="0">
            <x v="1028"/>
          </reference>
          <reference field="9" count="1">
            <x v="611"/>
          </reference>
        </references>
      </pivotArea>
    </format>
    <format dxfId="2558">
      <pivotArea dataOnly="0" labelOnly="1" fieldPosition="0">
        <references count="6">
          <reference field="1" count="1" selected="0">
            <x v="48"/>
          </reference>
          <reference field="5" count="1" selected="0">
            <x v="23"/>
          </reference>
          <reference field="6" count="1" selected="0">
            <x v="37"/>
          </reference>
          <reference field="7" count="1" selected="0">
            <x v="129"/>
          </reference>
          <reference field="8" count="1" selected="0">
            <x v="301"/>
          </reference>
          <reference field="9" count="1">
            <x v="611"/>
          </reference>
        </references>
      </pivotArea>
    </format>
    <format dxfId="2557">
      <pivotArea dataOnly="0" labelOnly="1" fieldPosition="0">
        <references count="6">
          <reference field="1" count="1" selected="0">
            <x v="48"/>
          </reference>
          <reference field="5" count="1" selected="0">
            <x v="35"/>
          </reference>
          <reference field="6" count="1" selected="0">
            <x v="1"/>
          </reference>
          <reference field="7" count="1" selected="0">
            <x v="129"/>
          </reference>
          <reference field="8" count="1" selected="0">
            <x v="213"/>
          </reference>
          <reference field="9" count="1">
            <x v="611"/>
          </reference>
        </references>
      </pivotArea>
    </format>
    <format dxfId="2556">
      <pivotArea dataOnly="0" labelOnly="1" fieldPosition="0">
        <references count="6">
          <reference field="1" count="1" selected="0">
            <x v="48"/>
          </reference>
          <reference field="5" count="1" selected="0">
            <x v="36"/>
          </reference>
          <reference field="6" count="1" selected="0">
            <x v="6"/>
          </reference>
          <reference field="7" count="1" selected="0">
            <x v="129"/>
          </reference>
          <reference field="8" count="1" selected="0">
            <x v="274"/>
          </reference>
          <reference field="9" count="1">
            <x v="611"/>
          </reference>
        </references>
      </pivotArea>
    </format>
    <format dxfId="2555">
      <pivotArea dataOnly="0" labelOnly="1" fieldPosition="0">
        <references count="6">
          <reference field="1" count="1" selected="0">
            <x v="49"/>
          </reference>
          <reference field="5" count="1" selected="0">
            <x v="0"/>
          </reference>
          <reference field="6" count="1" selected="0">
            <x v="6"/>
          </reference>
          <reference field="7" count="1" selected="0">
            <x v="130"/>
          </reference>
          <reference field="8" count="1" selected="0">
            <x v="248"/>
          </reference>
          <reference field="9" count="1">
            <x v="611"/>
          </reference>
        </references>
      </pivotArea>
    </format>
    <format dxfId="2554">
      <pivotArea dataOnly="0" labelOnly="1" fieldPosition="0">
        <references count="6">
          <reference field="1" count="1" selected="0">
            <x v="49"/>
          </reference>
          <reference field="5" count="1" selected="0">
            <x v="0"/>
          </reference>
          <reference field="6" count="1" selected="0">
            <x v="8"/>
          </reference>
          <reference field="7" count="1" selected="0">
            <x v="130"/>
          </reference>
          <reference field="8" count="1" selected="0">
            <x v="351"/>
          </reference>
          <reference field="9" count="1">
            <x v="611"/>
          </reference>
        </references>
      </pivotArea>
    </format>
    <format dxfId="2553">
      <pivotArea dataOnly="0" labelOnly="1" fieldPosition="0">
        <references count="6">
          <reference field="1" count="1" selected="0">
            <x v="49"/>
          </reference>
          <reference field="5" count="1" selected="0">
            <x v="0"/>
          </reference>
          <reference field="6" count="1" selected="0">
            <x v="8"/>
          </reference>
          <reference field="7" count="1" selected="0">
            <x v="130"/>
          </reference>
          <reference field="8" count="1" selected="0">
            <x v="809"/>
          </reference>
          <reference field="9" count="1">
            <x v="611"/>
          </reference>
        </references>
      </pivotArea>
    </format>
    <format dxfId="2552">
      <pivotArea dataOnly="0" labelOnly="1" fieldPosition="0">
        <references count="6">
          <reference field="1" count="1" selected="0">
            <x v="49"/>
          </reference>
          <reference field="5" count="1" selected="0">
            <x v="0"/>
          </reference>
          <reference field="6" count="1" selected="0">
            <x v="9"/>
          </reference>
          <reference field="7" count="1" selected="0">
            <x v="130"/>
          </reference>
          <reference field="8" count="1" selected="0">
            <x v="552"/>
          </reference>
          <reference field="9" count="1">
            <x v="611"/>
          </reference>
        </references>
      </pivotArea>
    </format>
    <format dxfId="2551">
      <pivotArea dataOnly="0" labelOnly="1" fieldPosition="0">
        <references count="6">
          <reference field="1" count="1" selected="0">
            <x v="49"/>
          </reference>
          <reference field="5" count="1" selected="0">
            <x v="0"/>
          </reference>
          <reference field="6" count="1" selected="0">
            <x v="9"/>
          </reference>
          <reference field="7" count="1" selected="0">
            <x v="130"/>
          </reference>
          <reference field="8" count="1" selected="0">
            <x v="576"/>
          </reference>
          <reference field="9" count="1">
            <x v="611"/>
          </reference>
        </references>
      </pivotArea>
    </format>
    <format dxfId="2550">
      <pivotArea dataOnly="0" labelOnly="1" fieldPosition="0">
        <references count="6">
          <reference field="1" count="1" selected="0">
            <x v="49"/>
          </reference>
          <reference field="5" count="1" selected="0">
            <x v="0"/>
          </reference>
          <reference field="6" count="1" selected="0">
            <x v="9"/>
          </reference>
          <reference field="7" count="1" selected="0">
            <x v="130"/>
          </reference>
          <reference field="8" count="1" selected="0">
            <x v="836"/>
          </reference>
          <reference field="9" count="1">
            <x v="611"/>
          </reference>
        </references>
      </pivotArea>
    </format>
    <format dxfId="2549">
      <pivotArea dataOnly="0" labelOnly="1" fieldPosition="0">
        <references count="6">
          <reference field="1" count="1" selected="0">
            <x v="49"/>
          </reference>
          <reference field="5" count="1" selected="0">
            <x v="0"/>
          </reference>
          <reference field="6" count="1" selected="0">
            <x v="9"/>
          </reference>
          <reference field="7" count="1" selected="0">
            <x v="130"/>
          </reference>
          <reference field="8" count="1" selected="0">
            <x v="1018"/>
          </reference>
          <reference field="9" count="1">
            <x v="611"/>
          </reference>
        </references>
      </pivotArea>
    </format>
    <format dxfId="2548">
      <pivotArea dataOnly="0" labelOnly="1" fieldPosition="0">
        <references count="6">
          <reference field="1" count="1" selected="0">
            <x v="49"/>
          </reference>
          <reference field="5" count="1" selected="0">
            <x v="0"/>
          </reference>
          <reference field="6" count="1" selected="0">
            <x v="12"/>
          </reference>
          <reference field="7" count="1" selected="0">
            <x v="18"/>
          </reference>
          <reference field="8" count="1" selected="0">
            <x v="20"/>
          </reference>
          <reference field="9" count="1">
            <x v="611"/>
          </reference>
        </references>
      </pivotArea>
    </format>
    <format dxfId="2547">
      <pivotArea dataOnly="0" labelOnly="1" fieldPosition="0">
        <references count="6">
          <reference field="1" count="1" selected="0">
            <x v="49"/>
          </reference>
          <reference field="5" count="1" selected="0">
            <x v="0"/>
          </reference>
          <reference field="6" count="1" selected="0">
            <x v="12"/>
          </reference>
          <reference field="7" count="1" selected="0">
            <x v="48"/>
          </reference>
          <reference field="8" count="1" selected="0">
            <x v="18"/>
          </reference>
          <reference field="9" count="1">
            <x v="611"/>
          </reference>
        </references>
      </pivotArea>
    </format>
    <format dxfId="2546">
      <pivotArea dataOnly="0" labelOnly="1" fieldPosition="0">
        <references count="6">
          <reference field="1" count="1" selected="0">
            <x v="49"/>
          </reference>
          <reference field="5" count="1" selected="0">
            <x v="0"/>
          </reference>
          <reference field="6" count="1" selected="0">
            <x v="12"/>
          </reference>
          <reference field="7" count="1" selected="0">
            <x v="58"/>
          </reference>
          <reference field="8" count="1" selected="0">
            <x v="6"/>
          </reference>
          <reference field="9" count="1">
            <x v="611"/>
          </reference>
        </references>
      </pivotArea>
    </format>
    <format dxfId="2545">
      <pivotArea dataOnly="0" labelOnly="1" fieldPosition="0">
        <references count="6">
          <reference field="1" count="1" selected="0">
            <x v="49"/>
          </reference>
          <reference field="5" count="1" selected="0">
            <x v="7"/>
          </reference>
          <reference field="6" count="1" selected="0">
            <x v="8"/>
          </reference>
          <reference field="7" count="1" selected="0">
            <x v="130"/>
          </reference>
          <reference field="8" count="1" selected="0">
            <x v="782"/>
          </reference>
          <reference field="9" count="1">
            <x v="611"/>
          </reference>
        </references>
      </pivotArea>
    </format>
    <format dxfId="2544">
      <pivotArea dataOnly="0" labelOnly="1" fieldPosition="0">
        <references count="6">
          <reference field="1" count="1" selected="0">
            <x v="49"/>
          </reference>
          <reference field="5" count="1" selected="0">
            <x v="7"/>
          </reference>
          <reference field="6" count="1" selected="0">
            <x v="10"/>
          </reference>
          <reference field="7" count="1" selected="0">
            <x v="130"/>
          </reference>
          <reference field="8" count="1" selected="0">
            <x v="607"/>
          </reference>
          <reference field="9" count="1">
            <x v="611"/>
          </reference>
        </references>
      </pivotArea>
    </format>
    <format dxfId="2543">
      <pivotArea dataOnly="0" labelOnly="1" fieldPosition="0">
        <references count="6">
          <reference field="1" count="1" selected="0">
            <x v="49"/>
          </reference>
          <reference field="5" count="1" selected="0">
            <x v="12"/>
          </reference>
          <reference field="6" count="1" selected="0">
            <x v="1"/>
          </reference>
          <reference field="7" count="1" selected="0">
            <x v="130"/>
          </reference>
          <reference field="8" count="1" selected="0">
            <x v="500"/>
          </reference>
          <reference field="9" count="1">
            <x v="611"/>
          </reference>
        </references>
      </pivotArea>
    </format>
    <format dxfId="2542">
      <pivotArea dataOnly="0" labelOnly="1" fieldPosition="0">
        <references count="6">
          <reference field="1" count="1" selected="0">
            <x v="49"/>
          </reference>
          <reference field="5" count="1" selected="0">
            <x v="12"/>
          </reference>
          <reference field="6" count="1" selected="0">
            <x v="1"/>
          </reference>
          <reference field="7" count="1" selected="0">
            <x v="130"/>
          </reference>
          <reference field="8" count="1" selected="0">
            <x v="846"/>
          </reference>
          <reference field="9" count="1">
            <x v="611"/>
          </reference>
        </references>
      </pivotArea>
    </format>
    <format dxfId="2541">
      <pivotArea dataOnly="0" labelOnly="1" fieldPosition="0">
        <references count="6">
          <reference field="1" count="1" selected="0">
            <x v="49"/>
          </reference>
          <reference field="5" count="1" selected="0">
            <x v="12"/>
          </reference>
          <reference field="6" count="1" selected="0">
            <x v="1"/>
          </reference>
          <reference field="7" count="1" selected="0">
            <x v="130"/>
          </reference>
          <reference field="8" count="1" selected="0">
            <x v="964"/>
          </reference>
          <reference field="9" count="1">
            <x v="611"/>
          </reference>
        </references>
      </pivotArea>
    </format>
    <format dxfId="2540">
      <pivotArea dataOnly="0" labelOnly="1" fieldPosition="0">
        <references count="6">
          <reference field="1" count="1" selected="0">
            <x v="49"/>
          </reference>
          <reference field="5" count="1" selected="0">
            <x v="15"/>
          </reference>
          <reference field="6" count="1" selected="0">
            <x v="37"/>
          </reference>
          <reference field="7" count="1" selected="0">
            <x v="130"/>
          </reference>
          <reference field="8" count="1" selected="0">
            <x v="1367"/>
          </reference>
          <reference field="9" count="1">
            <x v="611"/>
          </reference>
        </references>
      </pivotArea>
    </format>
    <format dxfId="2539">
      <pivotArea dataOnly="0" labelOnly="1" fieldPosition="0">
        <references count="6">
          <reference field="1" count="1" selected="0">
            <x v="49"/>
          </reference>
          <reference field="5" count="1" selected="0">
            <x v="21"/>
          </reference>
          <reference field="6" count="1" selected="0">
            <x v="37"/>
          </reference>
          <reference field="7" count="1" selected="0">
            <x v="130"/>
          </reference>
          <reference field="8" count="1" selected="0">
            <x v="755"/>
          </reference>
          <reference field="9" count="1">
            <x v="611"/>
          </reference>
        </references>
      </pivotArea>
    </format>
    <format dxfId="2538">
      <pivotArea dataOnly="0" labelOnly="1" fieldPosition="0">
        <references count="6">
          <reference field="1" count="1" selected="0">
            <x v="49"/>
          </reference>
          <reference field="5" count="1" selected="0">
            <x v="27"/>
          </reference>
          <reference field="6" count="1" selected="0">
            <x v="6"/>
          </reference>
          <reference field="7" count="1" selected="0">
            <x v="130"/>
          </reference>
          <reference field="8" count="1" selected="0">
            <x v="1442"/>
          </reference>
          <reference field="9" count="1">
            <x v="611"/>
          </reference>
        </references>
      </pivotArea>
    </format>
    <format dxfId="2537">
      <pivotArea dataOnly="0" labelOnly="1" fieldPosition="0">
        <references count="6">
          <reference field="1" count="1" selected="0">
            <x v="49"/>
          </reference>
          <reference field="5" count="1" selected="0">
            <x v="27"/>
          </reference>
          <reference field="6" count="1" selected="0">
            <x v="37"/>
          </reference>
          <reference field="7" count="1" selected="0">
            <x v="130"/>
          </reference>
          <reference field="8" count="1" selected="0">
            <x v="1335"/>
          </reference>
          <reference field="9" count="1">
            <x v="611"/>
          </reference>
        </references>
      </pivotArea>
    </format>
    <format dxfId="2536">
      <pivotArea dataOnly="0" labelOnly="1" fieldPosition="0">
        <references count="6">
          <reference field="1" count="1" selected="0">
            <x v="49"/>
          </reference>
          <reference field="5" count="1" selected="0">
            <x v="35"/>
          </reference>
          <reference field="6" count="1" selected="0">
            <x v="1"/>
          </reference>
          <reference field="7" count="1" selected="0">
            <x v="130"/>
          </reference>
          <reference field="8" count="1" selected="0">
            <x v="80"/>
          </reference>
          <reference field="9" count="1">
            <x v="611"/>
          </reference>
        </references>
      </pivotArea>
    </format>
    <format dxfId="2535">
      <pivotArea dataOnly="0" labelOnly="1" fieldPosition="0">
        <references count="6">
          <reference field="1" count="1" selected="0">
            <x v="50"/>
          </reference>
          <reference field="5" count="1" selected="0">
            <x v="0"/>
          </reference>
          <reference field="6" count="1" selected="0">
            <x v="6"/>
          </reference>
          <reference field="7" count="1" selected="0">
            <x v="131"/>
          </reference>
          <reference field="8" count="1" selected="0">
            <x v="366"/>
          </reference>
          <reference field="9" count="1">
            <x v="611"/>
          </reference>
        </references>
      </pivotArea>
    </format>
    <format dxfId="2534">
      <pivotArea dataOnly="0" labelOnly="1" fieldPosition="0">
        <references count="6">
          <reference field="1" count="1" selected="0">
            <x v="50"/>
          </reference>
          <reference field="5" count="1" selected="0">
            <x v="0"/>
          </reference>
          <reference field="6" count="1" selected="0">
            <x v="12"/>
          </reference>
          <reference field="7" count="1" selected="0">
            <x v="21"/>
          </reference>
          <reference field="8" count="1" selected="0">
            <x v="194"/>
          </reference>
          <reference field="9" count="1">
            <x v="611"/>
          </reference>
        </references>
      </pivotArea>
    </format>
    <format dxfId="2533">
      <pivotArea dataOnly="0" labelOnly="1" fieldPosition="0">
        <references count="6">
          <reference field="1" count="1" selected="0">
            <x v="50"/>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2532">
      <pivotArea dataOnly="0" labelOnly="1" fieldPosition="0">
        <references count="6">
          <reference field="1" count="1" selected="0">
            <x v="50"/>
          </reference>
          <reference field="5" count="1" selected="0">
            <x v="0"/>
          </reference>
          <reference field="6" count="1" selected="0">
            <x v="12"/>
          </reference>
          <reference field="7" count="1" selected="0">
            <x v="47"/>
          </reference>
          <reference field="8" count="1" selected="0">
            <x v="23"/>
          </reference>
          <reference field="9" count="1">
            <x v="611"/>
          </reference>
        </references>
      </pivotArea>
    </format>
    <format dxfId="2531">
      <pivotArea dataOnly="0" labelOnly="1" fieldPosition="0">
        <references count="6">
          <reference field="1" count="1" selected="0">
            <x v="50"/>
          </reference>
          <reference field="5" count="1" selected="0">
            <x v="0"/>
          </reference>
          <reference field="6" count="1" selected="0">
            <x v="37"/>
          </reference>
          <reference field="7" count="1" selected="0">
            <x v="131"/>
          </reference>
          <reference field="8" count="1" selected="0">
            <x v="633"/>
          </reference>
          <reference field="9" count="1">
            <x v="611"/>
          </reference>
        </references>
      </pivotArea>
    </format>
    <format dxfId="2530">
      <pivotArea dataOnly="0" labelOnly="1" fieldPosition="0">
        <references count="6">
          <reference field="1" count="1" selected="0">
            <x v="50"/>
          </reference>
          <reference field="5" count="1" selected="0">
            <x v="3"/>
          </reference>
          <reference field="6" count="1" selected="0">
            <x v="37"/>
          </reference>
          <reference field="7" count="1" selected="0">
            <x v="131"/>
          </reference>
          <reference field="8" count="1" selected="0">
            <x v="92"/>
          </reference>
          <reference field="9" count="1">
            <x v="611"/>
          </reference>
        </references>
      </pivotArea>
    </format>
    <format dxfId="2529">
      <pivotArea dataOnly="0" labelOnly="1" fieldPosition="0">
        <references count="6">
          <reference field="1" count="1" selected="0">
            <x v="50"/>
          </reference>
          <reference field="5" count="1" selected="0">
            <x v="8"/>
          </reference>
          <reference field="6" count="1" selected="0">
            <x v="37"/>
          </reference>
          <reference field="7" count="1" selected="0">
            <x v="131"/>
          </reference>
          <reference field="8" count="1" selected="0">
            <x v="1081"/>
          </reference>
          <reference field="9" count="1">
            <x v="611"/>
          </reference>
        </references>
      </pivotArea>
    </format>
    <format dxfId="2528">
      <pivotArea dataOnly="0" labelOnly="1" fieldPosition="0">
        <references count="6">
          <reference field="1" count="1" selected="0">
            <x v="50"/>
          </reference>
          <reference field="5" count="1" selected="0">
            <x v="12"/>
          </reference>
          <reference field="6" count="1" selected="0">
            <x v="1"/>
          </reference>
          <reference field="7" count="1" selected="0">
            <x v="131"/>
          </reference>
          <reference field="8" count="1" selected="0">
            <x v="213"/>
          </reference>
          <reference field="9" count="1">
            <x v="611"/>
          </reference>
        </references>
      </pivotArea>
    </format>
    <format dxfId="2527">
      <pivotArea dataOnly="0" labelOnly="1" fieldPosition="0">
        <references count="6">
          <reference field="1" count="1" selected="0">
            <x v="50"/>
          </reference>
          <reference field="5" count="1" selected="0">
            <x v="12"/>
          </reference>
          <reference field="6" count="1" selected="0">
            <x v="1"/>
          </reference>
          <reference field="7" count="1" selected="0">
            <x v="131"/>
          </reference>
          <reference field="8" count="1" selected="0">
            <x v="352"/>
          </reference>
          <reference field="9" count="1">
            <x v="611"/>
          </reference>
        </references>
      </pivotArea>
    </format>
    <format dxfId="2526">
      <pivotArea dataOnly="0" labelOnly="1" fieldPosition="0">
        <references count="6">
          <reference field="1" count="1" selected="0">
            <x v="50"/>
          </reference>
          <reference field="5" count="1" selected="0">
            <x v="12"/>
          </reference>
          <reference field="6" count="1" selected="0">
            <x v="1"/>
          </reference>
          <reference field="7" count="1" selected="0">
            <x v="131"/>
          </reference>
          <reference field="8" count="1" selected="0">
            <x v="1069"/>
          </reference>
          <reference field="9" count="1">
            <x v="611"/>
          </reference>
        </references>
      </pivotArea>
    </format>
    <format dxfId="2525">
      <pivotArea dataOnly="0" labelOnly="1" fieldPosition="0">
        <references count="6">
          <reference field="1" count="1" selected="0">
            <x v="50"/>
          </reference>
          <reference field="5" count="1" selected="0">
            <x v="14"/>
          </reference>
          <reference field="6" count="1" selected="0">
            <x v="37"/>
          </reference>
          <reference field="7" count="1" selected="0">
            <x v="131"/>
          </reference>
          <reference field="8" count="1" selected="0">
            <x v="352"/>
          </reference>
          <reference field="9" count="1">
            <x v="611"/>
          </reference>
        </references>
      </pivotArea>
    </format>
    <format dxfId="2524">
      <pivotArea dataOnly="0" labelOnly="1" fieldPosition="0">
        <references count="6">
          <reference field="1" count="1" selected="0">
            <x v="50"/>
          </reference>
          <reference field="5" count="1" selected="0">
            <x v="26"/>
          </reference>
          <reference field="6" count="1" selected="0">
            <x v="37"/>
          </reference>
          <reference field="7" count="1" selected="0">
            <x v="131"/>
          </reference>
          <reference field="8" count="1" selected="0">
            <x v="352"/>
          </reference>
          <reference field="9" count="1">
            <x v="611"/>
          </reference>
        </references>
      </pivotArea>
    </format>
    <format dxfId="2523">
      <pivotArea dataOnly="0" labelOnly="1" fieldPosition="0">
        <references count="6">
          <reference field="1" count="1" selected="0">
            <x v="50"/>
          </reference>
          <reference field="5" count="1" selected="0">
            <x v="35"/>
          </reference>
          <reference field="6" count="1" selected="0">
            <x v="1"/>
          </reference>
          <reference field="7" count="1" selected="0">
            <x v="131"/>
          </reference>
          <reference field="8" count="1" selected="0">
            <x v="213"/>
          </reference>
          <reference field="9" count="1">
            <x v="611"/>
          </reference>
        </references>
      </pivotArea>
    </format>
    <format dxfId="2522">
      <pivotArea dataOnly="0" labelOnly="1" fieldPosition="0">
        <references count="6">
          <reference field="1" count="1" selected="0">
            <x v="51"/>
          </reference>
          <reference field="5" count="1" selected="0">
            <x v="0"/>
          </reference>
          <reference field="6" count="1" selected="0">
            <x v="8"/>
          </reference>
          <reference field="7" count="1" selected="0">
            <x v="133"/>
          </reference>
          <reference field="8" count="1" selected="0">
            <x v="351"/>
          </reference>
          <reference field="9" count="1">
            <x v="611"/>
          </reference>
        </references>
      </pivotArea>
    </format>
    <format dxfId="2521">
      <pivotArea dataOnly="0" labelOnly="1" fieldPosition="0">
        <references count="6">
          <reference field="1" count="1" selected="0">
            <x v="51"/>
          </reference>
          <reference field="5" count="1" selected="0">
            <x v="0"/>
          </reference>
          <reference field="6" count="1" selected="0">
            <x v="8"/>
          </reference>
          <reference field="7" count="1" selected="0">
            <x v="133"/>
          </reference>
          <reference field="8" count="1" selected="0">
            <x v="616"/>
          </reference>
          <reference field="9" count="1">
            <x v="611"/>
          </reference>
        </references>
      </pivotArea>
    </format>
    <format dxfId="2520">
      <pivotArea dataOnly="0" labelOnly="1" fieldPosition="0">
        <references count="6">
          <reference field="1" count="1" selected="0">
            <x v="51"/>
          </reference>
          <reference field="5" count="1" selected="0">
            <x v="0"/>
          </reference>
          <reference field="6" count="1" selected="0">
            <x v="9"/>
          </reference>
          <reference field="7" count="1" selected="0">
            <x v="133"/>
          </reference>
          <reference field="8" count="1" selected="0">
            <x v="300"/>
          </reference>
          <reference field="9" count="1">
            <x v="611"/>
          </reference>
        </references>
      </pivotArea>
    </format>
    <format dxfId="2519">
      <pivotArea dataOnly="0" labelOnly="1" fieldPosition="0">
        <references count="6">
          <reference field="1" count="1" selected="0">
            <x v="51"/>
          </reference>
          <reference field="5" count="1" selected="0">
            <x v="0"/>
          </reference>
          <reference field="6" count="1" selected="0">
            <x v="9"/>
          </reference>
          <reference field="7" count="1" selected="0">
            <x v="133"/>
          </reference>
          <reference field="8" count="1" selected="0">
            <x v="502"/>
          </reference>
          <reference field="9" count="1">
            <x v="611"/>
          </reference>
        </references>
      </pivotArea>
    </format>
    <format dxfId="2518">
      <pivotArea dataOnly="0" labelOnly="1" fieldPosition="0">
        <references count="6">
          <reference field="1" count="1" selected="0">
            <x v="51"/>
          </reference>
          <reference field="5" count="1" selected="0">
            <x v="0"/>
          </reference>
          <reference field="6" count="1" selected="0">
            <x v="9"/>
          </reference>
          <reference field="7" count="1" selected="0">
            <x v="133"/>
          </reference>
          <reference field="8" count="1" selected="0">
            <x v="553"/>
          </reference>
          <reference field="9" count="1">
            <x v="611"/>
          </reference>
        </references>
      </pivotArea>
    </format>
    <format dxfId="2517">
      <pivotArea dataOnly="0" labelOnly="1" fieldPosition="0">
        <references count="6">
          <reference field="1" count="1" selected="0">
            <x v="51"/>
          </reference>
          <reference field="5" count="1" selected="0">
            <x v="0"/>
          </reference>
          <reference field="6" count="1" selected="0">
            <x v="12"/>
          </reference>
          <reference field="7" count="1" selected="0">
            <x v="50"/>
          </reference>
          <reference field="8" count="1" selected="0">
            <x v="248"/>
          </reference>
          <reference field="9" count="1">
            <x v="611"/>
          </reference>
        </references>
      </pivotArea>
    </format>
    <format dxfId="2516">
      <pivotArea dataOnly="0" labelOnly="1" fieldPosition="0">
        <references count="6">
          <reference field="1" count="1" selected="0">
            <x v="51"/>
          </reference>
          <reference field="5" count="1" selected="0">
            <x v="0"/>
          </reference>
          <reference field="6" count="1" selected="0">
            <x v="12"/>
          </reference>
          <reference field="7" count="1" selected="0">
            <x v="58"/>
          </reference>
          <reference field="8" count="1" selected="0">
            <x v="11"/>
          </reference>
          <reference field="9" count="1">
            <x v="611"/>
          </reference>
        </references>
      </pivotArea>
    </format>
    <format dxfId="2515">
      <pivotArea dataOnly="0" labelOnly="1" fieldPosition="0">
        <references count="6">
          <reference field="1" count="1" selected="0">
            <x v="51"/>
          </reference>
          <reference field="5" count="1" selected="0">
            <x v="0"/>
          </reference>
          <reference field="6" count="1" selected="0">
            <x v="18"/>
          </reference>
          <reference field="7" count="1" selected="0">
            <x v="132"/>
          </reference>
          <reference field="8" count="1" selected="0">
            <x v="302"/>
          </reference>
          <reference field="9" count="1">
            <x v="611"/>
          </reference>
        </references>
      </pivotArea>
    </format>
    <format dxfId="2514">
      <pivotArea dataOnly="0" labelOnly="1" fieldPosition="0">
        <references count="6">
          <reference field="1" count="1" selected="0">
            <x v="51"/>
          </reference>
          <reference field="5" count="1" selected="0">
            <x v="0"/>
          </reference>
          <reference field="6" count="1" selected="0">
            <x v="18"/>
          </reference>
          <reference field="7" count="1" selected="0">
            <x v="132"/>
          </reference>
          <reference field="8" count="1" selected="0">
            <x v="507"/>
          </reference>
          <reference field="9" count="1">
            <x v="611"/>
          </reference>
        </references>
      </pivotArea>
    </format>
    <format dxfId="2513">
      <pivotArea dataOnly="0" labelOnly="1" fieldPosition="0">
        <references count="6">
          <reference field="1" count="1" selected="0">
            <x v="51"/>
          </reference>
          <reference field="5" count="1" selected="0">
            <x v="0"/>
          </reference>
          <reference field="6" count="1" selected="0">
            <x v="18"/>
          </reference>
          <reference field="7" count="1" selected="0">
            <x v="132"/>
          </reference>
          <reference field="8" count="1" selected="0">
            <x v="573"/>
          </reference>
          <reference field="9" count="1">
            <x v="611"/>
          </reference>
        </references>
      </pivotArea>
    </format>
    <format dxfId="2512">
      <pivotArea dataOnly="0" labelOnly="1" fieldPosition="0">
        <references count="6">
          <reference field="1" count="1" selected="0">
            <x v="51"/>
          </reference>
          <reference field="5" count="1" selected="0">
            <x v="0"/>
          </reference>
          <reference field="6" count="1" selected="0">
            <x v="18"/>
          </reference>
          <reference field="7" count="1" selected="0">
            <x v="132"/>
          </reference>
          <reference field="8" count="1" selected="0">
            <x v="626"/>
          </reference>
          <reference field="9" count="1">
            <x v="611"/>
          </reference>
        </references>
      </pivotArea>
    </format>
    <format dxfId="2511">
      <pivotArea dataOnly="0" labelOnly="1" fieldPosition="0">
        <references count="6">
          <reference field="1" count="1" selected="0">
            <x v="51"/>
          </reference>
          <reference field="5" count="1" selected="0">
            <x v="0"/>
          </reference>
          <reference field="6" count="1" selected="0">
            <x v="18"/>
          </reference>
          <reference field="7" count="1" selected="0">
            <x v="132"/>
          </reference>
          <reference field="8" count="1" selected="0">
            <x v="637"/>
          </reference>
          <reference field="9" count="1">
            <x v="611"/>
          </reference>
        </references>
      </pivotArea>
    </format>
    <format dxfId="2510">
      <pivotArea dataOnly="0" labelOnly="1" fieldPosition="0">
        <references count="6">
          <reference field="1" count="1" selected="0">
            <x v="51"/>
          </reference>
          <reference field="5" count="1" selected="0">
            <x v="0"/>
          </reference>
          <reference field="6" count="1" selected="0">
            <x v="18"/>
          </reference>
          <reference field="7" count="1" selected="0">
            <x v="132"/>
          </reference>
          <reference field="8" count="1" selected="0">
            <x v="1030"/>
          </reference>
          <reference field="9" count="1">
            <x v="611"/>
          </reference>
        </references>
      </pivotArea>
    </format>
    <format dxfId="2509">
      <pivotArea dataOnly="0" labelOnly="1" fieldPosition="0">
        <references count="6">
          <reference field="1" count="1" selected="0">
            <x v="51"/>
          </reference>
          <reference field="5" count="1" selected="0">
            <x v="0"/>
          </reference>
          <reference field="6" count="1" selected="0">
            <x v="18"/>
          </reference>
          <reference field="7" count="1" selected="0">
            <x v="132"/>
          </reference>
          <reference field="8" count="1" selected="0">
            <x v="1196"/>
          </reference>
          <reference field="9" count="1">
            <x v="611"/>
          </reference>
        </references>
      </pivotArea>
    </format>
    <format dxfId="2508">
      <pivotArea dataOnly="0" labelOnly="1" fieldPosition="0">
        <references count="6">
          <reference field="1" count="1" selected="0">
            <x v="51"/>
          </reference>
          <reference field="5" count="1" selected="0">
            <x v="2"/>
          </reference>
          <reference field="6" count="1" selected="0">
            <x v="18"/>
          </reference>
          <reference field="7" count="1" selected="0">
            <x v="132"/>
          </reference>
          <reference field="8" count="1" selected="0">
            <x v="1821"/>
          </reference>
          <reference field="9" count="1">
            <x v="611"/>
          </reference>
        </references>
      </pivotArea>
    </format>
    <format dxfId="2507">
      <pivotArea dataOnly="0" labelOnly="1" fieldPosition="0">
        <references count="6">
          <reference field="1" count="1" selected="0">
            <x v="51"/>
          </reference>
          <reference field="5" count="1" selected="0">
            <x v="10"/>
          </reference>
          <reference field="6" count="1" selected="0">
            <x v="10"/>
          </reference>
          <reference field="7" count="1" selected="0">
            <x v="133"/>
          </reference>
          <reference field="8" count="1" selected="0">
            <x v="1758"/>
          </reference>
          <reference field="9" count="1">
            <x v="611"/>
          </reference>
        </references>
      </pivotArea>
    </format>
    <format dxfId="2506">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54"/>
          </reference>
          <reference field="9" count="1">
            <x v="611"/>
          </reference>
        </references>
      </pivotArea>
    </format>
    <format dxfId="2505">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95"/>
          </reference>
          <reference field="9" count="1">
            <x v="611"/>
          </reference>
        </references>
      </pivotArea>
    </format>
    <format dxfId="2504">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367"/>
          </reference>
          <reference field="9" count="1">
            <x v="611"/>
          </reference>
        </references>
      </pivotArea>
    </format>
    <format dxfId="2503">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468"/>
          </reference>
          <reference field="9" count="1">
            <x v="611"/>
          </reference>
        </references>
      </pivotArea>
    </format>
    <format dxfId="2502">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808"/>
          </reference>
          <reference field="9" count="1">
            <x v="611"/>
          </reference>
        </references>
      </pivotArea>
    </format>
    <format dxfId="2501">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082"/>
          </reference>
          <reference field="9" count="1">
            <x v="611"/>
          </reference>
        </references>
      </pivotArea>
    </format>
    <format dxfId="2500">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120"/>
          </reference>
          <reference field="9" count="1">
            <x v="611"/>
          </reference>
        </references>
      </pivotArea>
    </format>
    <format dxfId="2499">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215"/>
          </reference>
          <reference field="9" count="1">
            <x v="611"/>
          </reference>
        </references>
      </pivotArea>
    </format>
    <format dxfId="2498">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222"/>
          </reference>
          <reference field="9" count="1">
            <x v="611"/>
          </reference>
        </references>
      </pivotArea>
    </format>
    <format dxfId="2497">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340"/>
          </reference>
          <reference field="9" count="1">
            <x v="611"/>
          </reference>
        </references>
      </pivotArea>
    </format>
    <format dxfId="2496">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371"/>
          </reference>
          <reference field="9" count="1">
            <x v="611"/>
          </reference>
        </references>
      </pivotArea>
    </format>
    <format dxfId="2495">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431"/>
          </reference>
          <reference field="9" count="1">
            <x v="611"/>
          </reference>
        </references>
      </pivotArea>
    </format>
    <format dxfId="2494">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444"/>
          </reference>
          <reference field="9" count="1">
            <x v="611"/>
          </reference>
        </references>
      </pivotArea>
    </format>
    <format dxfId="2493">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449"/>
          </reference>
          <reference field="9" count="1">
            <x v="611"/>
          </reference>
        </references>
      </pivotArea>
    </format>
    <format dxfId="2492">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457"/>
          </reference>
          <reference field="9" count="1">
            <x v="611"/>
          </reference>
        </references>
      </pivotArea>
    </format>
    <format dxfId="2491">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475"/>
          </reference>
          <reference field="9" count="1">
            <x v="611"/>
          </reference>
        </references>
      </pivotArea>
    </format>
    <format dxfId="2490">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493"/>
          </reference>
          <reference field="9" count="1">
            <x v="611"/>
          </reference>
        </references>
      </pivotArea>
    </format>
    <format dxfId="2489">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559"/>
          </reference>
          <reference field="9" count="1">
            <x v="611"/>
          </reference>
        </references>
      </pivotArea>
    </format>
    <format dxfId="2488">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630"/>
          </reference>
          <reference field="9" count="1">
            <x v="611"/>
          </reference>
        </references>
      </pivotArea>
    </format>
    <format dxfId="2487">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637"/>
          </reference>
          <reference field="9" count="1">
            <x v="611"/>
          </reference>
        </references>
      </pivotArea>
    </format>
    <format dxfId="2486">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741"/>
          </reference>
          <reference field="9" count="1">
            <x v="611"/>
          </reference>
        </references>
      </pivotArea>
    </format>
    <format dxfId="2485">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764"/>
          </reference>
          <reference field="9" count="1">
            <x v="611"/>
          </reference>
        </references>
      </pivotArea>
    </format>
    <format dxfId="2484">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786"/>
          </reference>
          <reference field="9" count="1">
            <x v="611"/>
          </reference>
        </references>
      </pivotArea>
    </format>
    <format dxfId="2483">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808"/>
          </reference>
          <reference field="9" count="1">
            <x v="611"/>
          </reference>
        </references>
      </pivotArea>
    </format>
    <format dxfId="2482">
      <pivotArea dataOnly="0" labelOnly="1" fieldPosition="0">
        <references count="6">
          <reference field="1" count="1" selected="0">
            <x v="51"/>
          </reference>
          <reference field="5" count="1" selected="0">
            <x v="12"/>
          </reference>
          <reference field="6" count="1" selected="0">
            <x v="18"/>
          </reference>
          <reference field="7" count="1" selected="0">
            <x v="132"/>
          </reference>
          <reference field="8" count="1" selected="0">
            <x v="1816"/>
          </reference>
          <reference field="9" count="1">
            <x v="611"/>
          </reference>
        </references>
      </pivotArea>
    </format>
    <format dxfId="2481">
      <pivotArea dataOnly="0" labelOnly="1" fieldPosition="0">
        <references count="6">
          <reference field="1" count="1" selected="0">
            <x v="51"/>
          </reference>
          <reference field="5" count="1" selected="0">
            <x v="21"/>
          </reference>
          <reference field="6" count="1" selected="0">
            <x v="18"/>
          </reference>
          <reference field="7" count="1" selected="0">
            <x v="132"/>
          </reference>
          <reference field="8" count="1" selected="0">
            <x v="1501"/>
          </reference>
          <reference field="9" count="1">
            <x v="611"/>
          </reference>
        </references>
      </pivotArea>
    </format>
    <format dxfId="2480">
      <pivotArea dataOnly="0" labelOnly="1" fieldPosition="0">
        <references count="6">
          <reference field="1" count="1" selected="0">
            <x v="51"/>
          </reference>
          <reference field="5" count="1" selected="0">
            <x v="23"/>
          </reference>
          <reference field="6" count="1" selected="0">
            <x v="9"/>
          </reference>
          <reference field="7" count="1" selected="0">
            <x v="133"/>
          </reference>
          <reference field="8" count="1" selected="0">
            <x v="1318"/>
          </reference>
          <reference field="9" count="1">
            <x v="611"/>
          </reference>
        </references>
      </pivotArea>
    </format>
    <format dxfId="2479">
      <pivotArea dataOnly="0" labelOnly="1" fieldPosition="0">
        <references count="6">
          <reference field="1" count="1" selected="0">
            <x v="51"/>
          </reference>
          <reference field="5" count="1" selected="0">
            <x v="23"/>
          </reference>
          <reference field="6" count="1" selected="0">
            <x v="18"/>
          </reference>
          <reference field="7" count="1" selected="0">
            <x v="132"/>
          </reference>
          <reference field="8" count="1" selected="0">
            <x v="1613"/>
          </reference>
          <reference field="9" count="1">
            <x v="611"/>
          </reference>
        </references>
      </pivotArea>
    </format>
    <format dxfId="2478">
      <pivotArea dataOnly="0" labelOnly="1" fieldPosition="0">
        <references count="6">
          <reference field="1" count="1" selected="0">
            <x v="51"/>
          </reference>
          <reference field="5" count="1" selected="0">
            <x v="24"/>
          </reference>
          <reference field="6" count="1" selected="0">
            <x v="18"/>
          </reference>
          <reference field="7" count="1" selected="0">
            <x v="132"/>
          </reference>
          <reference field="8" count="1" selected="0">
            <x v="1451"/>
          </reference>
          <reference field="9" count="1">
            <x v="611"/>
          </reference>
        </references>
      </pivotArea>
    </format>
    <format dxfId="2477">
      <pivotArea dataOnly="0" labelOnly="1" fieldPosition="0">
        <references count="6">
          <reference field="1" count="1" selected="0">
            <x v="51"/>
          </reference>
          <reference field="5" count="1" selected="0">
            <x v="27"/>
          </reference>
          <reference field="6" count="1" selected="0">
            <x v="18"/>
          </reference>
          <reference field="7" count="1" selected="0">
            <x v="132"/>
          </reference>
          <reference field="8" count="1" selected="0">
            <x v="1020"/>
          </reference>
          <reference field="9" count="1">
            <x v="611"/>
          </reference>
        </references>
      </pivotArea>
    </format>
    <format dxfId="2476">
      <pivotArea dataOnly="0" labelOnly="1" fieldPosition="0">
        <references count="6">
          <reference field="1" count="1" selected="0">
            <x v="51"/>
          </reference>
          <reference field="5" count="1" selected="0">
            <x v="32"/>
          </reference>
          <reference field="6" count="1" selected="0">
            <x v="37"/>
          </reference>
          <reference field="7" count="1" selected="0">
            <x v="133"/>
          </reference>
          <reference field="8" count="1" selected="0">
            <x v="1274"/>
          </reference>
          <reference field="9" count="1">
            <x v="611"/>
          </reference>
        </references>
      </pivotArea>
    </format>
    <format dxfId="2475">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142"/>
          </reference>
          <reference field="9" count="1">
            <x v="611"/>
          </reference>
        </references>
      </pivotArea>
    </format>
    <format dxfId="2474">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146"/>
          </reference>
          <reference field="9" count="1">
            <x v="611"/>
          </reference>
        </references>
      </pivotArea>
    </format>
    <format dxfId="2473">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184"/>
          </reference>
          <reference field="9" count="1">
            <x v="611"/>
          </reference>
        </references>
      </pivotArea>
    </format>
    <format dxfId="2472">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211"/>
          </reference>
          <reference field="9" count="1">
            <x v="611"/>
          </reference>
        </references>
      </pivotArea>
    </format>
    <format dxfId="2471">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246"/>
          </reference>
          <reference field="9" count="1">
            <x v="611"/>
          </reference>
        </references>
      </pivotArea>
    </format>
    <format dxfId="2470">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290"/>
          </reference>
          <reference field="9" count="1">
            <x v="611"/>
          </reference>
        </references>
      </pivotArea>
    </format>
    <format dxfId="2469">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407"/>
          </reference>
          <reference field="9" count="1">
            <x v="611"/>
          </reference>
        </references>
      </pivotArea>
    </format>
    <format dxfId="2468">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436"/>
          </reference>
          <reference field="9" count="1">
            <x v="611"/>
          </reference>
        </references>
      </pivotArea>
    </format>
    <format dxfId="2467">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590"/>
          </reference>
          <reference field="9" count="1">
            <x v="611"/>
          </reference>
        </references>
      </pivotArea>
    </format>
    <format dxfId="2466">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703"/>
          </reference>
          <reference field="9" count="1">
            <x v="611"/>
          </reference>
        </references>
      </pivotArea>
    </format>
    <format dxfId="2465">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713"/>
          </reference>
          <reference field="9" count="1">
            <x v="611"/>
          </reference>
        </references>
      </pivotArea>
    </format>
    <format dxfId="2464">
      <pivotArea dataOnly="0" labelOnly="1" fieldPosition="0">
        <references count="6">
          <reference field="1" count="1" selected="0">
            <x v="51"/>
          </reference>
          <reference field="5" count="1" selected="0">
            <x v="35"/>
          </reference>
          <reference field="6" count="1" selected="0">
            <x v="18"/>
          </reference>
          <reference field="7" count="1" selected="0">
            <x v="132"/>
          </reference>
          <reference field="8" count="1" selected="0">
            <x v="822"/>
          </reference>
          <reference field="9" count="1">
            <x v="611"/>
          </reference>
        </references>
      </pivotArea>
    </format>
    <format dxfId="2463">
      <pivotArea dataOnly="0" labelOnly="1" fieldPosition="0">
        <references count="6">
          <reference field="1" count="1" selected="0">
            <x v="52"/>
          </reference>
          <reference field="5" count="1" selected="0">
            <x v="0"/>
          </reference>
          <reference field="6" count="1" selected="0">
            <x v="8"/>
          </reference>
          <reference field="7" count="1" selected="0">
            <x v="134"/>
          </reference>
          <reference field="8" count="1" selected="0">
            <x v="0"/>
          </reference>
          <reference field="9" count="1">
            <x v="387"/>
          </reference>
        </references>
      </pivotArea>
    </format>
    <format dxfId="2462">
      <pivotArea dataOnly="0" labelOnly="1" fieldPosition="0">
        <references count="6">
          <reference field="1" count="1" selected="0">
            <x v="52"/>
          </reference>
          <reference field="5" count="1" selected="0">
            <x v="0"/>
          </reference>
          <reference field="6" count="1" selected="0">
            <x v="12"/>
          </reference>
          <reference field="7" count="1" selected="0">
            <x v="17"/>
          </reference>
          <reference field="8" count="1" selected="0">
            <x v="29"/>
          </reference>
          <reference field="9" count="1">
            <x v="611"/>
          </reference>
        </references>
      </pivotArea>
    </format>
    <format dxfId="2461">
      <pivotArea dataOnly="0" labelOnly="1" fieldPosition="0">
        <references count="6">
          <reference field="1" count="1" selected="0">
            <x v="52"/>
          </reference>
          <reference field="5" count="1" selected="0">
            <x v="0"/>
          </reference>
          <reference field="6" count="1" selected="0">
            <x v="12"/>
          </reference>
          <reference field="7" count="1" selected="0">
            <x v="50"/>
          </reference>
          <reference field="8" count="1" selected="0">
            <x v="248"/>
          </reference>
          <reference field="9" count="1">
            <x v="611"/>
          </reference>
        </references>
      </pivotArea>
    </format>
    <format dxfId="2460">
      <pivotArea dataOnly="0" labelOnly="1" fieldPosition="0">
        <references count="6">
          <reference field="1" count="1" selected="0">
            <x v="52"/>
          </reference>
          <reference field="5" count="1" selected="0">
            <x v="0"/>
          </reference>
          <reference field="6" count="1" selected="0">
            <x v="12"/>
          </reference>
          <reference field="7" count="1" selected="0">
            <x v="58"/>
          </reference>
          <reference field="8" count="1" selected="0">
            <x v="6"/>
          </reference>
          <reference field="9" count="1">
            <x v="611"/>
          </reference>
        </references>
      </pivotArea>
    </format>
    <format dxfId="2459">
      <pivotArea dataOnly="0" labelOnly="1" fieldPosition="0">
        <references count="6">
          <reference field="1" count="1" selected="0">
            <x v="52"/>
          </reference>
          <reference field="5" count="1" selected="0">
            <x v="0"/>
          </reference>
          <reference field="6" count="1" selected="0">
            <x v="12"/>
          </reference>
          <reference field="7" count="1" selected="0">
            <x v="60"/>
          </reference>
          <reference field="8" count="1" selected="0">
            <x v="9"/>
          </reference>
          <reference field="9" count="1">
            <x v="611"/>
          </reference>
        </references>
      </pivotArea>
    </format>
    <format dxfId="2458">
      <pivotArea dataOnly="0" labelOnly="1" fieldPosition="0">
        <references count="6">
          <reference field="1" count="1" selected="0">
            <x v="52"/>
          </reference>
          <reference field="5" count="1" selected="0">
            <x v="3"/>
          </reference>
          <reference field="6" count="1" selected="0">
            <x v="37"/>
          </reference>
          <reference field="7" count="1" selected="0">
            <x v="134"/>
          </reference>
          <reference field="8" count="1" selected="0">
            <x v="322"/>
          </reference>
          <reference field="9" count="1">
            <x v="611"/>
          </reference>
        </references>
      </pivotArea>
    </format>
    <format dxfId="2457">
      <pivotArea dataOnly="0" labelOnly="1" fieldPosition="0">
        <references count="6">
          <reference field="1" count="1" selected="0">
            <x v="52"/>
          </reference>
          <reference field="5" count="1" selected="0">
            <x v="6"/>
          </reference>
          <reference field="6" count="1" selected="0">
            <x v="37"/>
          </reference>
          <reference field="7" count="1" selected="0">
            <x v="134"/>
          </reference>
          <reference field="8" count="1" selected="0">
            <x v="1051"/>
          </reference>
          <reference field="9" count="1">
            <x v="611"/>
          </reference>
        </references>
      </pivotArea>
    </format>
    <format dxfId="2456">
      <pivotArea dataOnly="0" labelOnly="1" fieldPosition="0">
        <references count="6">
          <reference field="1" count="1" selected="0">
            <x v="52"/>
          </reference>
          <reference field="5" count="1" selected="0">
            <x v="10"/>
          </reference>
          <reference field="6" count="1" selected="0">
            <x v="33"/>
          </reference>
          <reference field="7" count="1" selected="0">
            <x v="134"/>
          </reference>
          <reference field="8" count="1" selected="0">
            <x v="1197"/>
          </reference>
          <reference field="9" count="1">
            <x v="611"/>
          </reference>
        </references>
      </pivotArea>
    </format>
    <format dxfId="2455">
      <pivotArea dataOnly="0" labelOnly="1" fieldPosition="0">
        <references count="6">
          <reference field="1" count="1" selected="0">
            <x v="52"/>
          </reference>
          <reference field="5" count="1" selected="0">
            <x v="12"/>
          </reference>
          <reference field="6" count="1" selected="0">
            <x v="1"/>
          </reference>
          <reference field="7" count="1" selected="0">
            <x v="134"/>
          </reference>
          <reference field="8" count="1" selected="0">
            <x v="80"/>
          </reference>
          <reference field="9" count="1">
            <x v="611"/>
          </reference>
        </references>
      </pivotArea>
    </format>
    <format dxfId="2454">
      <pivotArea dataOnly="0" labelOnly="1" fieldPosition="0">
        <references count="6">
          <reference field="1" count="1" selected="0">
            <x v="52"/>
          </reference>
          <reference field="5" count="1" selected="0">
            <x v="12"/>
          </reference>
          <reference field="6" count="1" selected="0">
            <x v="1"/>
          </reference>
          <reference field="7" count="1" selected="0">
            <x v="134"/>
          </reference>
          <reference field="8" count="1" selected="0">
            <x v="213"/>
          </reference>
          <reference field="9" count="1">
            <x v="611"/>
          </reference>
        </references>
      </pivotArea>
    </format>
    <format dxfId="2453">
      <pivotArea dataOnly="0" labelOnly="1" fieldPosition="0">
        <references count="6">
          <reference field="1" count="1" selected="0">
            <x v="52"/>
          </reference>
          <reference field="5" count="1" selected="0">
            <x v="12"/>
          </reference>
          <reference field="6" count="1" selected="0">
            <x v="1"/>
          </reference>
          <reference field="7" count="1" selected="0">
            <x v="134"/>
          </reference>
          <reference field="8" count="1" selected="0">
            <x v="352"/>
          </reference>
          <reference field="9" count="1">
            <x v="611"/>
          </reference>
        </references>
      </pivotArea>
    </format>
    <format dxfId="2452">
      <pivotArea dataOnly="0" labelOnly="1" fieldPosition="0">
        <references count="6">
          <reference field="1" count="1" selected="0">
            <x v="52"/>
          </reference>
          <reference field="5" count="1" selected="0">
            <x v="12"/>
          </reference>
          <reference field="6" count="1" selected="0">
            <x v="1"/>
          </reference>
          <reference field="7" count="1" selected="0">
            <x v="134"/>
          </reference>
          <reference field="8" count="1" selected="0">
            <x v="607"/>
          </reference>
          <reference field="9" count="1">
            <x v="611"/>
          </reference>
        </references>
      </pivotArea>
    </format>
    <format dxfId="2451">
      <pivotArea dataOnly="0" labelOnly="1" fieldPosition="0">
        <references count="6">
          <reference field="1" count="1" selected="0">
            <x v="52"/>
          </reference>
          <reference field="5" count="1" selected="0">
            <x v="12"/>
          </reference>
          <reference field="6" count="1" selected="0">
            <x v="1"/>
          </reference>
          <reference field="7" count="1" selected="0">
            <x v="134"/>
          </reference>
          <reference field="8" count="1" selected="0">
            <x v="771"/>
          </reference>
          <reference field="9" count="1">
            <x v="611"/>
          </reference>
        </references>
      </pivotArea>
    </format>
    <format dxfId="2450">
      <pivotArea dataOnly="0" labelOnly="1" fieldPosition="0">
        <references count="6">
          <reference field="1" count="1" selected="0">
            <x v="52"/>
          </reference>
          <reference field="5" count="1" selected="0">
            <x v="12"/>
          </reference>
          <reference field="6" count="1" selected="0">
            <x v="1"/>
          </reference>
          <reference field="7" count="1" selected="0">
            <x v="134"/>
          </reference>
          <reference field="8" count="1" selected="0">
            <x v="964"/>
          </reference>
          <reference field="9" count="1">
            <x v="611"/>
          </reference>
        </references>
      </pivotArea>
    </format>
    <format dxfId="2449">
      <pivotArea dataOnly="0" labelOnly="1" fieldPosition="0">
        <references count="6">
          <reference field="1" count="1" selected="0">
            <x v="52"/>
          </reference>
          <reference field="5" count="1" selected="0">
            <x v="12"/>
          </reference>
          <reference field="6" count="1" selected="0">
            <x v="37"/>
          </reference>
          <reference field="7" count="1" selected="0">
            <x v="134"/>
          </reference>
          <reference field="8" count="1" selected="0">
            <x v="1244"/>
          </reference>
          <reference field="9" count="1">
            <x v="611"/>
          </reference>
        </references>
      </pivotArea>
    </format>
    <format dxfId="2448">
      <pivotArea dataOnly="0" labelOnly="1" fieldPosition="0">
        <references count="6">
          <reference field="1" count="1" selected="0">
            <x v="52"/>
          </reference>
          <reference field="5" count="1" selected="0">
            <x v="21"/>
          </reference>
          <reference field="6" count="1" selected="0">
            <x v="37"/>
          </reference>
          <reference field="7" count="1" selected="0">
            <x v="134"/>
          </reference>
          <reference field="8" count="1" selected="0">
            <x v="80"/>
          </reference>
          <reference field="9" count="1">
            <x v="611"/>
          </reference>
        </references>
      </pivotArea>
    </format>
    <format dxfId="2447">
      <pivotArea dataOnly="0" labelOnly="1" fieldPosition="0">
        <references count="6">
          <reference field="1" count="1" selected="0">
            <x v="52"/>
          </reference>
          <reference field="5" count="1" selected="0">
            <x v="23"/>
          </reference>
          <reference field="6" count="1" selected="0">
            <x v="37"/>
          </reference>
          <reference field="7" count="1" selected="0">
            <x v="134"/>
          </reference>
          <reference field="8" count="1" selected="0">
            <x v="43"/>
          </reference>
          <reference field="9" count="1">
            <x v="611"/>
          </reference>
        </references>
      </pivotArea>
    </format>
    <format dxfId="2446">
      <pivotArea dataOnly="0" labelOnly="1" fieldPosition="0">
        <references count="6">
          <reference field="1" count="1" selected="0">
            <x v="52"/>
          </reference>
          <reference field="5" count="1" selected="0">
            <x v="35"/>
          </reference>
          <reference field="6" count="1" selected="0">
            <x v="1"/>
          </reference>
          <reference field="7" count="1" selected="0">
            <x v="134"/>
          </reference>
          <reference field="8" count="1" selected="0">
            <x v="80"/>
          </reference>
          <reference field="9" count="1">
            <x v="611"/>
          </reference>
        </references>
      </pivotArea>
    </format>
    <format dxfId="2445">
      <pivotArea dataOnly="0" labelOnly="1" fieldPosition="0">
        <references count="6">
          <reference field="1" count="1" selected="0">
            <x v="52"/>
          </reference>
          <reference field="5" count="1" selected="0">
            <x v="35"/>
          </reference>
          <reference field="6" count="1" selected="0">
            <x v="37"/>
          </reference>
          <reference field="7" count="1" selected="0">
            <x v="134"/>
          </reference>
          <reference field="8" count="1" selected="0">
            <x v="51"/>
          </reference>
          <reference field="9" count="1">
            <x v="611"/>
          </reference>
        </references>
      </pivotArea>
    </format>
    <format dxfId="2444">
      <pivotArea dataOnly="0" labelOnly="1" fieldPosition="0">
        <references count="6">
          <reference field="1" count="1" selected="0">
            <x v="53"/>
          </reference>
          <reference field="5" count="1" selected="0">
            <x v="0"/>
          </reference>
          <reference field="6" count="1" selected="0">
            <x v="1"/>
          </reference>
          <reference field="7" count="1" selected="0">
            <x v="136"/>
          </reference>
          <reference field="8" count="1" selected="0">
            <x v="80"/>
          </reference>
          <reference field="9" count="1">
            <x v="611"/>
          </reference>
        </references>
      </pivotArea>
    </format>
    <format dxfId="2443">
      <pivotArea dataOnly="0" labelOnly="1" fieldPosition="0">
        <references count="6">
          <reference field="1" count="1" selected="0">
            <x v="53"/>
          </reference>
          <reference field="5" count="1" selected="0">
            <x v="0"/>
          </reference>
          <reference field="6" count="1" selected="0">
            <x v="8"/>
          </reference>
          <reference field="7" count="1" selected="0">
            <x v="136"/>
          </reference>
          <reference field="8" count="1" selected="0">
            <x v="209"/>
          </reference>
          <reference field="9" count="1">
            <x v="611"/>
          </reference>
        </references>
      </pivotArea>
    </format>
    <format dxfId="2442">
      <pivotArea dataOnly="0" labelOnly="1" fieldPosition="0">
        <references count="6">
          <reference field="1" count="1" selected="0">
            <x v="53"/>
          </reference>
          <reference field="5" count="1" selected="0">
            <x v="0"/>
          </reference>
          <reference field="6" count="1" selected="0">
            <x v="8"/>
          </reference>
          <reference field="7" count="1" selected="0">
            <x v="136"/>
          </reference>
          <reference field="8" count="1" selected="0">
            <x v="578"/>
          </reference>
          <reference field="9" count="1">
            <x v="611"/>
          </reference>
        </references>
      </pivotArea>
    </format>
    <format dxfId="2441">
      <pivotArea dataOnly="0" labelOnly="1" fieldPosition="0">
        <references count="6">
          <reference field="1" count="1" selected="0">
            <x v="53"/>
          </reference>
          <reference field="5" count="1" selected="0">
            <x v="0"/>
          </reference>
          <reference field="6" count="1" selected="0">
            <x v="8"/>
          </reference>
          <reference field="7" count="1" selected="0">
            <x v="136"/>
          </reference>
          <reference field="8" count="1" selected="0">
            <x v="694"/>
          </reference>
          <reference field="9" count="1">
            <x v="611"/>
          </reference>
        </references>
      </pivotArea>
    </format>
    <format dxfId="2440">
      <pivotArea dataOnly="0" labelOnly="1" fieldPosition="0">
        <references count="6">
          <reference field="1" count="1" selected="0">
            <x v="53"/>
          </reference>
          <reference field="5" count="1" selected="0">
            <x v="0"/>
          </reference>
          <reference field="6" count="1" selected="0">
            <x v="8"/>
          </reference>
          <reference field="7" count="1" selected="0">
            <x v="136"/>
          </reference>
          <reference field="8" count="1" selected="0">
            <x v="1289"/>
          </reference>
          <reference field="9" count="1">
            <x v="611"/>
          </reference>
        </references>
      </pivotArea>
    </format>
    <format dxfId="2439">
      <pivotArea dataOnly="0" labelOnly="1" fieldPosition="0">
        <references count="6">
          <reference field="1" count="1" selected="0">
            <x v="53"/>
          </reference>
          <reference field="5" count="1" selected="0">
            <x v="0"/>
          </reference>
          <reference field="6" count="1" selected="0">
            <x v="8"/>
          </reference>
          <reference field="7" count="1" selected="0">
            <x v="136"/>
          </reference>
          <reference field="8" count="1" selected="0">
            <x v="1470"/>
          </reference>
          <reference field="9" count="1">
            <x v="611"/>
          </reference>
        </references>
      </pivotArea>
    </format>
    <format dxfId="2438">
      <pivotArea dataOnly="0" labelOnly="1" fieldPosition="0">
        <references count="6">
          <reference field="1" count="1" selected="0">
            <x v="53"/>
          </reference>
          <reference field="5" count="1" selected="0">
            <x v="0"/>
          </reference>
          <reference field="6" count="1" selected="0">
            <x v="9"/>
          </reference>
          <reference field="7" count="1" selected="0">
            <x v="136"/>
          </reference>
          <reference field="8" count="1" selected="0">
            <x v="248"/>
          </reference>
          <reference field="9" count="1">
            <x v="611"/>
          </reference>
        </references>
      </pivotArea>
    </format>
    <format dxfId="2437">
      <pivotArea dataOnly="0" labelOnly="1" fieldPosition="0">
        <references count="6">
          <reference field="1" count="1" selected="0">
            <x v="53"/>
          </reference>
          <reference field="5" count="1" selected="0">
            <x v="0"/>
          </reference>
          <reference field="6" count="1" selected="0">
            <x v="9"/>
          </reference>
          <reference field="7" count="1" selected="0">
            <x v="136"/>
          </reference>
          <reference field="8" count="1" selected="0">
            <x v="277"/>
          </reference>
          <reference field="9" count="1">
            <x v="611"/>
          </reference>
        </references>
      </pivotArea>
    </format>
    <format dxfId="2436">
      <pivotArea dataOnly="0" labelOnly="1" fieldPosition="0">
        <references count="6">
          <reference field="1" count="1" selected="0">
            <x v="53"/>
          </reference>
          <reference field="5" count="1" selected="0">
            <x v="0"/>
          </reference>
          <reference field="6" count="1" selected="0">
            <x v="9"/>
          </reference>
          <reference field="7" count="1" selected="0">
            <x v="136"/>
          </reference>
          <reference field="8" count="1" selected="0">
            <x v="404"/>
          </reference>
          <reference field="9" count="1">
            <x v="611"/>
          </reference>
        </references>
      </pivotArea>
    </format>
    <format dxfId="2435">
      <pivotArea dataOnly="0" labelOnly="1" fieldPosition="0">
        <references count="6">
          <reference field="1" count="1" selected="0">
            <x v="53"/>
          </reference>
          <reference field="5" count="1" selected="0">
            <x v="0"/>
          </reference>
          <reference field="6" count="1" selected="0">
            <x v="9"/>
          </reference>
          <reference field="7" count="1" selected="0">
            <x v="136"/>
          </reference>
          <reference field="8" count="1" selected="0">
            <x v="726"/>
          </reference>
          <reference field="9" count="1">
            <x v="611"/>
          </reference>
        </references>
      </pivotArea>
    </format>
    <format dxfId="2434">
      <pivotArea dataOnly="0" labelOnly="1" fieldPosition="0">
        <references count="6">
          <reference field="1" count="1" selected="0">
            <x v="53"/>
          </reference>
          <reference field="5" count="1" selected="0">
            <x v="0"/>
          </reference>
          <reference field="6" count="1" selected="0">
            <x v="9"/>
          </reference>
          <reference field="7" count="1" selected="0">
            <x v="136"/>
          </reference>
          <reference field="8" count="1" selected="0">
            <x v="1145"/>
          </reference>
          <reference field="9" count="1">
            <x v="611"/>
          </reference>
        </references>
      </pivotArea>
    </format>
    <format dxfId="2433">
      <pivotArea dataOnly="0" labelOnly="1" fieldPosition="0">
        <references count="6">
          <reference field="1" count="1" selected="0">
            <x v="53"/>
          </reference>
          <reference field="5" count="1" selected="0">
            <x v="0"/>
          </reference>
          <reference field="6" count="1" selected="0">
            <x v="12"/>
          </reference>
          <reference field="7" count="1" selected="0">
            <x v="48"/>
          </reference>
          <reference field="8" count="1" selected="0">
            <x v="6"/>
          </reference>
          <reference field="9" count="1">
            <x v="611"/>
          </reference>
        </references>
      </pivotArea>
    </format>
    <format dxfId="2432">
      <pivotArea dataOnly="0" labelOnly="1" fieldPosition="0">
        <references count="6">
          <reference field="1" count="1" selected="0">
            <x v="53"/>
          </reference>
          <reference field="5" count="1" selected="0">
            <x v="0"/>
          </reference>
          <reference field="6" count="1" selected="0">
            <x v="12"/>
          </reference>
          <reference field="7" count="1" selected="0">
            <x v="55"/>
          </reference>
          <reference field="8" count="1" selected="0">
            <x v="8"/>
          </reference>
          <reference field="9" count="1">
            <x v="611"/>
          </reference>
        </references>
      </pivotArea>
    </format>
    <format dxfId="2431">
      <pivotArea dataOnly="0" labelOnly="1" fieldPosition="0">
        <references count="6">
          <reference field="1" count="1" selected="0">
            <x v="53"/>
          </reference>
          <reference field="5" count="1" selected="0">
            <x v="0"/>
          </reference>
          <reference field="6" count="1" selected="0">
            <x v="12"/>
          </reference>
          <reference field="7" count="1" selected="0">
            <x v="62"/>
          </reference>
          <reference field="8" count="1" selected="0">
            <x v="20"/>
          </reference>
          <reference field="9" count="1">
            <x v="611"/>
          </reference>
        </references>
      </pivotArea>
    </format>
    <format dxfId="2430">
      <pivotArea dataOnly="0" labelOnly="1" fieldPosition="0">
        <references count="6">
          <reference field="1" count="1" selected="0">
            <x v="53"/>
          </reference>
          <reference field="5" count="1" selected="0">
            <x v="0"/>
          </reference>
          <reference field="6" count="1" selected="0">
            <x v="12"/>
          </reference>
          <reference field="7" count="1" selected="0">
            <x v="68"/>
          </reference>
          <reference field="8" count="1" selected="0">
            <x v="18"/>
          </reference>
          <reference field="9" count="1">
            <x v="611"/>
          </reference>
        </references>
      </pivotArea>
    </format>
    <format dxfId="2429">
      <pivotArea dataOnly="0" labelOnly="1" fieldPosition="0">
        <references count="6">
          <reference field="1" count="1" selected="0">
            <x v="53"/>
          </reference>
          <reference field="5" count="1" selected="0">
            <x v="0"/>
          </reference>
          <reference field="6" count="1" selected="0">
            <x v="12"/>
          </reference>
          <reference field="7" count="1" selected="0">
            <x v="71"/>
          </reference>
          <reference field="8" count="1" selected="0">
            <x v="18"/>
          </reference>
          <reference field="9" count="1">
            <x v="611"/>
          </reference>
        </references>
      </pivotArea>
    </format>
    <format dxfId="2428">
      <pivotArea dataOnly="0" labelOnly="1" fieldPosition="0">
        <references count="6">
          <reference field="1" count="1" selected="0">
            <x v="53"/>
          </reference>
          <reference field="5" count="1" selected="0">
            <x v="2"/>
          </reference>
          <reference field="6" count="1" selected="0">
            <x v="1"/>
          </reference>
          <reference field="7" count="1" selected="0">
            <x v="136"/>
          </reference>
          <reference field="8" count="1" selected="0">
            <x v="621"/>
          </reference>
          <reference field="9" count="1">
            <x v="611"/>
          </reference>
        </references>
      </pivotArea>
    </format>
    <format dxfId="2427">
      <pivotArea dataOnly="0" labelOnly="1" fieldPosition="0">
        <references count="6">
          <reference field="1" count="1" selected="0">
            <x v="53"/>
          </reference>
          <reference field="5" count="1" selected="0">
            <x v="2"/>
          </reference>
          <reference field="6" count="1" selected="0">
            <x v="6"/>
          </reference>
          <reference field="7" count="1" selected="0">
            <x v="136"/>
          </reference>
          <reference field="8" count="1" selected="0">
            <x v="632"/>
          </reference>
          <reference field="9" count="1">
            <x v="611"/>
          </reference>
        </references>
      </pivotArea>
    </format>
    <format dxfId="2426">
      <pivotArea dataOnly="0" labelOnly="1" fieldPosition="0">
        <references count="6">
          <reference field="1" count="1" selected="0">
            <x v="53"/>
          </reference>
          <reference field="5" count="1" selected="0">
            <x v="2"/>
          </reference>
          <reference field="6" count="1" selected="0">
            <x v="8"/>
          </reference>
          <reference field="7" count="1" selected="0">
            <x v="136"/>
          </reference>
          <reference field="8" count="1" selected="0">
            <x v="1294"/>
          </reference>
          <reference field="9" count="1">
            <x v="611"/>
          </reference>
        </references>
      </pivotArea>
    </format>
    <format dxfId="2425">
      <pivotArea dataOnly="0" labelOnly="1" fieldPosition="0">
        <references count="6">
          <reference field="1" count="1" selected="0">
            <x v="53"/>
          </reference>
          <reference field="5" count="1" selected="0">
            <x v="5"/>
          </reference>
          <reference field="6" count="1" selected="0">
            <x v="1"/>
          </reference>
          <reference field="7" count="1" selected="0">
            <x v="136"/>
          </reference>
          <reference field="8" count="1" selected="0">
            <x v="1176"/>
          </reference>
          <reference field="9" count="1">
            <x v="611"/>
          </reference>
        </references>
      </pivotArea>
    </format>
    <format dxfId="2424">
      <pivotArea dataOnly="0" labelOnly="1" fieldPosition="0">
        <references count="6">
          <reference field="1" count="1" selected="0">
            <x v="53"/>
          </reference>
          <reference field="5" count="1" selected="0">
            <x v="6"/>
          </reference>
          <reference field="6" count="1" selected="0">
            <x v="37"/>
          </reference>
          <reference field="7" count="1" selected="0">
            <x v="136"/>
          </reference>
          <reference field="8" count="1" selected="0">
            <x v="500"/>
          </reference>
          <reference field="9" count="1">
            <x v="611"/>
          </reference>
        </references>
      </pivotArea>
    </format>
    <format dxfId="2423">
      <pivotArea dataOnly="0" labelOnly="1" fieldPosition="0">
        <references count="6">
          <reference field="1" count="1" selected="0">
            <x v="53"/>
          </reference>
          <reference field="5" count="1" selected="0">
            <x v="7"/>
          </reference>
          <reference field="6" count="1" selected="0">
            <x v="10"/>
          </reference>
          <reference field="7" count="1" selected="0">
            <x v="136"/>
          </reference>
          <reference field="8" count="1" selected="0">
            <x v="1715"/>
          </reference>
          <reference field="9" count="1">
            <x v="611"/>
          </reference>
        </references>
      </pivotArea>
    </format>
    <format dxfId="2422">
      <pivotArea dataOnly="0" labelOnly="1" fieldPosition="0">
        <references count="6">
          <reference field="1" count="1" selected="0">
            <x v="53"/>
          </reference>
          <reference field="5" count="1" selected="0">
            <x v="10"/>
          </reference>
          <reference field="6" count="1" selected="0">
            <x v="37"/>
          </reference>
          <reference field="7" count="1" selected="0">
            <x v="136"/>
          </reference>
          <reference field="8" count="1" selected="0">
            <x v="1563"/>
          </reference>
          <reference field="9" count="1">
            <x v="611"/>
          </reference>
        </references>
      </pivotArea>
    </format>
    <format dxfId="2421">
      <pivotArea dataOnly="0" labelOnly="1" fieldPosition="0">
        <references count="6">
          <reference field="1" count="1" selected="0">
            <x v="53"/>
          </reference>
          <reference field="5" count="1" selected="0">
            <x v="12"/>
          </reference>
          <reference field="6" count="1" selected="0">
            <x v="1"/>
          </reference>
          <reference field="7" count="1" selected="0">
            <x v="136"/>
          </reference>
          <reference field="8" count="1" selected="0">
            <x v="80"/>
          </reference>
          <reference field="9" count="1">
            <x v="611"/>
          </reference>
        </references>
      </pivotArea>
    </format>
    <format dxfId="2420">
      <pivotArea dataOnly="0" labelOnly="1" fieldPosition="0">
        <references count="6">
          <reference field="1" count="1" selected="0">
            <x v="53"/>
          </reference>
          <reference field="5" count="1" selected="0">
            <x v="12"/>
          </reference>
          <reference field="6" count="1" selected="0">
            <x v="1"/>
          </reference>
          <reference field="7" count="1" selected="0">
            <x v="136"/>
          </reference>
          <reference field="8" count="1" selected="0">
            <x v="213"/>
          </reference>
          <reference field="9" count="1">
            <x v="611"/>
          </reference>
        </references>
      </pivotArea>
    </format>
    <format dxfId="2419">
      <pivotArea dataOnly="0" labelOnly="1" fieldPosition="0">
        <references count="6">
          <reference field="1" count="1" selected="0">
            <x v="53"/>
          </reference>
          <reference field="5" count="1" selected="0">
            <x v="12"/>
          </reference>
          <reference field="6" count="1" selected="0">
            <x v="1"/>
          </reference>
          <reference field="7" count="1" selected="0">
            <x v="136"/>
          </reference>
          <reference field="8" count="1" selected="0">
            <x v="352"/>
          </reference>
          <reference field="9" count="1">
            <x v="611"/>
          </reference>
        </references>
      </pivotArea>
    </format>
    <format dxfId="2418">
      <pivotArea dataOnly="0" labelOnly="1" fieldPosition="0">
        <references count="6">
          <reference field="1" count="1" selected="0">
            <x v="53"/>
          </reference>
          <reference field="5" count="1" selected="0">
            <x v="12"/>
          </reference>
          <reference field="6" count="1" selected="0">
            <x v="1"/>
          </reference>
          <reference field="7" count="1" selected="0">
            <x v="136"/>
          </reference>
          <reference field="8" count="1" selected="0">
            <x v="500"/>
          </reference>
          <reference field="9" count="1">
            <x v="611"/>
          </reference>
        </references>
      </pivotArea>
    </format>
    <format dxfId="2417">
      <pivotArea dataOnly="0" labelOnly="1" fieldPosition="0">
        <references count="6">
          <reference field="1" count="1" selected="0">
            <x v="53"/>
          </reference>
          <reference field="5" count="1" selected="0">
            <x v="12"/>
          </reference>
          <reference field="6" count="1" selected="0">
            <x v="1"/>
          </reference>
          <reference field="7" count="1" selected="0">
            <x v="136"/>
          </reference>
          <reference field="8" count="1" selected="0">
            <x v="771"/>
          </reference>
          <reference field="9" count="1">
            <x v="611"/>
          </reference>
        </references>
      </pivotArea>
    </format>
    <format dxfId="2416">
      <pivotArea dataOnly="0" labelOnly="1" fieldPosition="0">
        <references count="6">
          <reference field="1" count="1" selected="0">
            <x v="53"/>
          </reference>
          <reference field="5" count="1" selected="0">
            <x v="15"/>
          </reference>
          <reference field="6" count="1" selected="0">
            <x v="1"/>
          </reference>
          <reference field="7" count="1" selected="0">
            <x v="136"/>
          </reference>
          <reference field="8" count="1" selected="0">
            <x v="607"/>
          </reference>
          <reference field="9" count="1">
            <x v="611"/>
          </reference>
        </references>
      </pivotArea>
    </format>
    <format dxfId="2415">
      <pivotArea dataOnly="0" labelOnly="1" fieldPosition="0">
        <references count="6">
          <reference field="1" count="1" selected="0">
            <x v="53"/>
          </reference>
          <reference field="5" count="1" selected="0">
            <x v="19"/>
          </reference>
          <reference field="6" count="1" selected="0">
            <x v="37"/>
          </reference>
          <reference field="7" count="1" selected="0">
            <x v="136"/>
          </reference>
          <reference field="8" count="1" selected="0">
            <x v="1609"/>
          </reference>
          <reference field="9" count="1">
            <x v="611"/>
          </reference>
        </references>
      </pivotArea>
    </format>
    <format dxfId="2414">
      <pivotArea dataOnly="0" labelOnly="1" fieldPosition="0">
        <references count="6">
          <reference field="1" count="1" selected="0">
            <x v="53"/>
          </reference>
          <reference field="5" count="1" selected="0">
            <x v="21"/>
          </reference>
          <reference field="6" count="1" selected="0">
            <x v="30"/>
          </reference>
          <reference field="7" count="1" selected="0">
            <x v="135"/>
          </reference>
          <reference field="8" count="1" selected="0">
            <x v="1296"/>
          </reference>
          <reference field="9" count="1">
            <x v="611"/>
          </reference>
        </references>
      </pivotArea>
    </format>
    <format dxfId="2413">
      <pivotArea dataOnly="0" labelOnly="1" fieldPosition="0">
        <references count="6">
          <reference field="1" count="1" selected="0">
            <x v="53"/>
          </reference>
          <reference field="5" count="1" selected="0">
            <x v="23"/>
          </reference>
          <reference field="6" count="1" selected="0">
            <x v="6"/>
          </reference>
          <reference field="7" count="1" selected="0">
            <x v="136"/>
          </reference>
          <reference field="8" count="1" selected="0">
            <x v="158"/>
          </reference>
          <reference field="9" count="1">
            <x v="611"/>
          </reference>
        </references>
      </pivotArea>
    </format>
    <format dxfId="2412">
      <pivotArea dataOnly="0" labelOnly="1" fieldPosition="0">
        <references count="6">
          <reference field="1" count="1" selected="0">
            <x v="53"/>
          </reference>
          <reference field="5" count="1" selected="0">
            <x v="26"/>
          </reference>
          <reference field="6" count="1" selected="0">
            <x v="1"/>
          </reference>
          <reference field="7" count="1" selected="0">
            <x v="136"/>
          </reference>
          <reference field="8" count="1" selected="0">
            <x v="109"/>
          </reference>
          <reference field="9" count="1">
            <x v="611"/>
          </reference>
        </references>
      </pivotArea>
    </format>
    <format dxfId="2411">
      <pivotArea dataOnly="0" labelOnly="1" fieldPosition="0">
        <references count="6">
          <reference field="1" count="1" selected="0">
            <x v="53"/>
          </reference>
          <reference field="5" count="1" selected="0">
            <x v="35"/>
          </reference>
          <reference field="6" count="1" selected="0">
            <x v="1"/>
          </reference>
          <reference field="7" count="1" selected="0">
            <x v="136"/>
          </reference>
          <reference field="8" count="1" selected="0">
            <x v="80"/>
          </reference>
          <reference field="9" count="1">
            <x v="611"/>
          </reference>
        </references>
      </pivotArea>
    </format>
    <format dxfId="2410">
      <pivotArea dataOnly="0" labelOnly="1" fieldPosition="0">
        <references count="6">
          <reference field="1" count="1" selected="0">
            <x v="54"/>
          </reference>
          <reference field="5" count="1" selected="0">
            <x v="0"/>
          </reference>
          <reference field="6" count="1" selected="0">
            <x v="8"/>
          </reference>
          <reference field="7" count="1" selected="0">
            <x v="137"/>
          </reference>
          <reference field="8" count="1" selected="0">
            <x v="878"/>
          </reference>
          <reference field="9" count="1">
            <x v="611"/>
          </reference>
        </references>
      </pivotArea>
    </format>
    <format dxfId="2409">
      <pivotArea dataOnly="0" labelOnly="1" fieldPosition="0">
        <references count="6">
          <reference field="1" count="1" selected="0">
            <x v="54"/>
          </reference>
          <reference field="5" count="1" selected="0">
            <x v="0"/>
          </reference>
          <reference field="6" count="1" selected="0">
            <x v="9"/>
          </reference>
          <reference field="7" count="1" selected="0">
            <x v="137"/>
          </reference>
          <reference field="8" count="1" selected="0">
            <x v="513"/>
          </reference>
          <reference field="9" count="1">
            <x v="611"/>
          </reference>
        </references>
      </pivotArea>
    </format>
    <format dxfId="2408">
      <pivotArea dataOnly="0" labelOnly="1" fieldPosition="0">
        <references count="6">
          <reference field="1" count="1" selected="0">
            <x v="54"/>
          </reference>
          <reference field="5" count="1" selected="0">
            <x v="0"/>
          </reference>
          <reference field="6" count="1" selected="0">
            <x v="9"/>
          </reference>
          <reference field="7" count="1" selected="0">
            <x v="137"/>
          </reference>
          <reference field="8" count="1" selected="0">
            <x v="1151"/>
          </reference>
          <reference field="9" count="1">
            <x v="611"/>
          </reference>
        </references>
      </pivotArea>
    </format>
    <format dxfId="2407">
      <pivotArea dataOnly="0" labelOnly="1" fieldPosition="0">
        <references count="6">
          <reference field="1" count="1" selected="0">
            <x v="54"/>
          </reference>
          <reference field="5" count="1" selected="0">
            <x v="0"/>
          </reference>
          <reference field="6" count="1" selected="0">
            <x v="12"/>
          </reference>
          <reference field="7" count="1" selected="0">
            <x v="35"/>
          </reference>
          <reference field="8" count="1" selected="0">
            <x v="9"/>
          </reference>
          <reference field="9" count="1">
            <x v="611"/>
          </reference>
        </references>
      </pivotArea>
    </format>
    <format dxfId="2406">
      <pivotArea dataOnly="0" labelOnly="1" fieldPosition="0">
        <references count="6">
          <reference field="1" count="1" selected="0">
            <x v="54"/>
          </reference>
          <reference field="5" count="1" selected="0">
            <x v="0"/>
          </reference>
          <reference field="6" count="1" selected="0">
            <x v="12"/>
          </reference>
          <reference field="7" count="1" selected="0">
            <x v="47"/>
          </reference>
          <reference field="8" count="1" selected="0">
            <x v="61"/>
          </reference>
          <reference field="9" count="1">
            <x v="611"/>
          </reference>
        </references>
      </pivotArea>
    </format>
    <format dxfId="2405">
      <pivotArea dataOnly="0" labelOnly="1" fieldPosition="0">
        <references count="6">
          <reference field="1" count="1" selected="0">
            <x v="54"/>
          </reference>
          <reference field="5" count="1" selected="0">
            <x v="0"/>
          </reference>
          <reference field="6" count="1" selected="0">
            <x v="12"/>
          </reference>
          <reference field="7" count="1" selected="0">
            <x v="49"/>
          </reference>
          <reference field="8" count="1" selected="0">
            <x v="20"/>
          </reference>
          <reference field="9" count="1">
            <x v="611"/>
          </reference>
        </references>
      </pivotArea>
    </format>
    <format dxfId="2404">
      <pivotArea dataOnly="0" labelOnly="1" fieldPosition="0">
        <references count="6">
          <reference field="1" count="1" selected="0">
            <x v="54"/>
          </reference>
          <reference field="5" count="1" selected="0">
            <x v="0"/>
          </reference>
          <reference field="6" count="1" selected="0">
            <x v="12"/>
          </reference>
          <reference field="7" count="1" selected="0">
            <x v="60"/>
          </reference>
          <reference field="8" count="1" selected="0">
            <x v="138"/>
          </reference>
          <reference field="9" count="1">
            <x v="611"/>
          </reference>
        </references>
      </pivotArea>
    </format>
    <format dxfId="2403">
      <pivotArea dataOnly="0" labelOnly="1" fieldPosition="0">
        <references count="6">
          <reference field="1" count="1" selected="0">
            <x v="54"/>
          </reference>
          <reference field="5" count="1" selected="0">
            <x v="0"/>
          </reference>
          <reference field="6" count="1" selected="0">
            <x v="12"/>
          </reference>
          <reference field="7" count="1" selected="0">
            <x v="68"/>
          </reference>
          <reference field="8" count="1" selected="0">
            <x v="18"/>
          </reference>
          <reference field="9" count="1">
            <x v="611"/>
          </reference>
        </references>
      </pivotArea>
    </format>
    <format dxfId="2402">
      <pivotArea dataOnly="0" labelOnly="1" fieldPosition="0">
        <references count="6">
          <reference field="1" count="1" selected="0">
            <x v="54"/>
          </reference>
          <reference field="5" count="1" selected="0">
            <x v="0"/>
          </reference>
          <reference field="6" count="1" selected="0">
            <x v="38"/>
          </reference>
          <reference field="7" count="1" selected="0">
            <x v="137"/>
          </reference>
          <reference field="8" count="1" selected="0">
            <x v="1170"/>
          </reference>
          <reference field="9" count="1">
            <x v="611"/>
          </reference>
        </references>
      </pivotArea>
    </format>
    <format dxfId="2401">
      <pivotArea dataOnly="0" labelOnly="1" fieldPosition="0">
        <references count="6">
          <reference field="1" count="1" selected="0">
            <x v="54"/>
          </reference>
          <reference field="5" count="1" selected="0">
            <x v="0"/>
          </reference>
          <reference field="6" count="1" selected="0">
            <x v="38"/>
          </reference>
          <reference field="7" count="1" selected="0">
            <x v="137"/>
          </reference>
          <reference field="8" count="1" selected="0">
            <x v="1216"/>
          </reference>
          <reference field="9" count="1">
            <x v="611"/>
          </reference>
        </references>
      </pivotArea>
    </format>
    <format dxfId="2400">
      <pivotArea dataOnly="0" labelOnly="1" fieldPosition="0">
        <references count="6">
          <reference field="1" count="1" selected="0">
            <x v="54"/>
          </reference>
          <reference field="5" count="1" selected="0">
            <x v="6"/>
          </reference>
          <reference field="6" count="1" selected="0">
            <x v="37"/>
          </reference>
          <reference field="7" count="1" selected="0">
            <x v="137"/>
          </reference>
          <reference field="8" count="1" selected="0">
            <x v="817"/>
          </reference>
          <reference field="9" count="1">
            <x v="611"/>
          </reference>
        </references>
      </pivotArea>
    </format>
    <format dxfId="2399">
      <pivotArea dataOnly="0" labelOnly="1" fieldPosition="0">
        <references count="6">
          <reference field="1" count="1" selected="0">
            <x v="54"/>
          </reference>
          <reference field="5" count="1" selected="0">
            <x v="8"/>
          </reference>
          <reference field="6" count="1" selected="0">
            <x v="37"/>
          </reference>
          <reference field="7" count="1" selected="0">
            <x v="137"/>
          </reference>
          <reference field="8" count="1" selected="0">
            <x v="1094"/>
          </reference>
          <reference field="9" count="1">
            <x v="611"/>
          </reference>
        </references>
      </pivotArea>
    </format>
    <format dxfId="2398">
      <pivotArea dataOnly="0" labelOnly="1" fieldPosition="0">
        <references count="6">
          <reference field="1" count="1" selected="0">
            <x v="54"/>
          </reference>
          <reference field="5" count="1" selected="0">
            <x v="12"/>
          </reference>
          <reference field="6" count="1" selected="0">
            <x v="1"/>
          </reference>
          <reference field="7" count="1" selected="0">
            <x v="137"/>
          </reference>
          <reference field="8" count="1" selected="0">
            <x v="213"/>
          </reference>
          <reference field="9" count="1">
            <x v="611"/>
          </reference>
        </references>
      </pivotArea>
    </format>
    <format dxfId="2397">
      <pivotArea dataOnly="0" labelOnly="1" fieldPosition="0">
        <references count="6">
          <reference field="1" count="1" selected="0">
            <x v="54"/>
          </reference>
          <reference field="5" count="1" selected="0">
            <x v="17"/>
          </reference>
          <reference field="6" count="1" selected="0">
            <x v="8"/>
          </reference>
          <reference field="7" count="1" selected="0">
            <x v="137"/>
          </reference>
          <reference field="8" count="1" selected="0">
            <x v="1530"/>
          </reference>
          <reference field="9" count="1">
            <x v="611"/>
          </reference>
        </references>
      </pivotArea>
    </format>
    <format dxfId="2396">
      <pivotArea dataOnly="0" labelOnly="1" fieldPosition="0">
        <references count="6">
          <reference field="1" count="1" selected="0">
            <x v="54"/>
          </reference>
          <reference field="5" count="1" selected="0">
            <x v="17"/>
          </reference>
          <reference field="6" count="1" selected="0">
            <x v="9"/>
          </reference>
          <reference field="7" count="1" selected="0">
            <x v="137"/>
          </reference>
          <reference field="8" count="1" selected="0">
            <x v="526"/>
          </reference>
          <reference field="9" count="1">
            <x v="611"/>
          </reference>
        </references>
      </pivotArea>
    </format>
    <format dxfId="2395">
      <pivotArea dataOnly="0" labelOnly="1" fieldPosition="0">
        <references count="6">
          <reference field="1" count="1" selected="0">
            <x v="54"/>
          </reference>
          <reference field="5" count="1" selected="0">
            <x v="19"/>
          </reference>
          <reference field="6" count="1" selected="0">
            <x v="7"/>
          </reference>
          <reference field="7" count="1" selected="0">
            <x v="137"/>
          </reference>
          <reference field="8" count="1" selected="0">
            <x v="1872"/>
          </reference>
          <reference field="9" count="1">
            <x v="611"/>
          </reference>
        </references>
      </pivotArea>
    </format>
    <format dxfId="2394">
      <pivotArea dataOnly="0" labelOnly="1" fieldPosition="0">
        <references count="6">
          <reference field="1" count="1" selected="0">
            <x v="54"/>
          </reference>
          <reference field="5" count="1" selected="0">
            <x v="22"/>
          </reference>
          <reference field="6" count="1" selected="0">
            <x v="38"/>
          </reference>
          <reference field="7" count="1" selected="0">
            <x v="137"/>
          </reference>
          <reference field="8" count="1" selected="0">
            <x v="1825"/>
          </reference>
          <reference field="9" count="1">
            <x v="611"/>
          </reference>
        </references>
      </pivotArea>
    </format>
    <format dxfId="2393">
      <pivotArea dataOnly="0" labelOnly="1" fieldPosition="0">
        <references count="6">
          <reference field="1" count="1" selected="0">
            <x v="54"/>
          </reference>
          <reference field="5" count="1" selected="0">
            <x v="27"/>
          </reference>
          <reference field="6" count="1" selected="0">
            <x v="37"/>
          </reference>
          <reference field="7" count="1" selected="0">
            <x v="137"/>
          </reference>
          <reference field="8" count="1" selected="0">
            <x v="903"/>
          </reference>
          <reference field="9" count="1">
            <x v="611"/>
          </reference>
        </references>
      </pivotArea>
    </format>
    <format dxfId="2392">
      <pivotArea dataOnly="0" labelOnly="1" fieldPosition="0">
        <references count="6">
          <reference field="1" count="1" selected="0">
            <x v="54"/>
          </reference>
          <reference field="5" count="1" selected="0">
            <x v="35"/>
          </reference>
          <reference field="6" count="1" selected="0">
            <x v="1"/>
          </reference>
          <reference field="7" count="1" selected="0">
            <x v="137"/>
          </reference>
          <reference field="8" count="1" selected="0">
            <x v="80"/>
          </reference>
          <reference field="9" count="1">
            <x v="611"/>
          </reference>
        </references>
      </pivotArea>
    </format>
    <format dxfId="2391">
      <pivotArea dataOnly="0" labelOnly="1" fieldPosition="0">
        <references count="6">
          <reference field="1" count="1" selected="0">
            <x v="54"/>
          </reference>
          <reference field="5" count="1" selected="0">
            <x v="35"/>
          </reference>
          <reference field="6" count="1" selected="0">
            <x v="38"/>
          </reference>
          <reference field="7" count="1" selected="0">
            <x v="137"/>
          </reference>
          <reference field="8" count="1" selected="0">
            <x v="1069"/>
          </reference>
          <reference field="9" count="1">
            <x v="611"/>
          </reference>
        </references>
      </pivotArea>
    </format>
    <format dxfId="2390">
      <pivotArea dataOnly="0" labelOnly="1" fieldPosition="0">
        <references count="6">
          <reference field="1" count="1" selected="0">
            <x v="54"/>
          </reference>
          <reference field="5" count="1" selected="0">
            <x v="35"/>
          </reference>
          <reference field="6" count="1" selected="0">
            <x v="38"/>
          </reference>
          <reference field="7" count="1" selected="0">
            <x v="137"/>
          </reference>
          <reference field="8" count="1" selected="0">
            <x v="1656"/>
          </reference>
          <reference field="9" count="1">
            <x v="611"/>
          </reference>
        </references>
      </pivotArea>
    </format>
    <format dxfId="2389">
      <pivotArea dataOnly="0" labelOnly="1" fieldPosition="0">
        <references count="6">
          <reference field="1" count="1" selected="0">
            <x v="55"/>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2388">
      <pivotArea dataOnly="0" labelOnly="1" fieldPosition="0">
        <references count="6">
          <reference field="1" count="1" selected="0">
            <x v="55"/>
          </reference>
          <reference field="5" count="1" selected="0">
            <x v="0"/>
          </reference>
          <reference field="6" count="1" selected="0">
            <x v="12"/>
          </reference>
          <reference field="7" count="1" selected="0">
            <x v="39"/>
          </reference>
          <reference field="8" count="1" selected="0">
            <x v="180"/>
          </reference>
          <reference field="9" count="1">
            <x v="611"/>
          </reference>
        </references>
      </pivotArea>
    </format>
    <format dxfId="2387">
      <pivotArea dataOnly="0" labelOnly="1" fieldPosition="0">
        <references count="6">
          <reference field="1" count="1" selected="0">
            <x v="55"/>
          </reference>
          <reference field="5" count="1" selected="0">
            <x v="0"/>
          </reference>
          <reference field="6" count="1" selected="0">
            <x v="12"/>
          </reference>
          <reference field="7" count="1" selected="0">
            <x v="42"/>
          </reference>
          <reference field="8" count="1" selected="0">
            <x v="69"/>
          </reference>
          <reference field="9" count="1">
            <x v="611"/>
          </reference>
        </references>
      </pivotArea>
    </format>
    <format dxfId="2386">
      <pivotArea dataOnly="0" labelOnly="1" fieldPosition="0">
        <references count="6">
          <reference field="1" count="1" selected="0">
            <x v="55"/>
          </reference>
          <reference field="5" count="1" selected="0">
            <x v="0"/>
          </reference>
          <reference field="6" count="1" selected="0">
            <x v="12"/>
          </reference>
          <reference field="7" count="1" selected="0">
            <x v="46"/>
          </reference>
          <reference field="8" count="1" selected="0">
            <x v="325"/>
          </reference>
          <reference field="9" count="1">
            <x v="611"/>
          </reference>
        </references>
      </pivotArea>
    </format>
    <format dxfId="2385">
      <pivotArea dataOnly="0" labelOnly="1" fieldPosition="0">
        <references count="6">
          <reference field="1" count="1" selected="0">
            <x v="55"/>
          </reference>
          <reference field="5" count="1" selected="0">
            <x v="12"/>
          </reference>
          <reference field="6" count="1" selected="0">
            <x v="1"/>
          </reference>
          <reference field="7" count="1" selected="0">
            <x v="138"/>
          </reference>
          <reference field="8" count="1" selected="0">
            <x v="213"/>
          </reference>
          <reference field="9" count="1">
            <x v="611"/>
          </reference>
        </references>
      </pivotArea>
    </format>
    <format dxfId="2384">
      <pivotArea dataOnly="0" labelOnly="1" fieldPosition="0">
        <references count="6">
          <reference field="1" count="1" selected="0">
            <x v="55"/>
          </reference>
          <reference field="5" count="1" selected="0">
            <x v="15"/>
          </reference>
          <reference field="6" count="1" selected="0">
            <x v="6"/>
          </reference>
          <reference field="7" count="1" selected="0">
            <x v="138"/>
          </reference>
          <reference field="8" count="1" selected="0">
            <x v="22"/>
          </reference>
          <reference field="9" count="1">
            <x v="611"/>
          </reference>
        </references>
      </pivotArea>
    </format>
    <format dxfId="2383">
      <pivotArea dataOnly="0" labelOnly="1" fieldPosition="0">
        <references count="6">
          <reference field="1" count="1" selected="0">
            <x v="55"/>
          </reference>
          <reference field="5" count="1" selected="0">
            <x v="26"/>
          </reference>
          <reference field="6" count="1" selected="0">
            <x v="38"/>
          </reference>
          <reference field="7" count="1" selected="0">
            <x v="138"/>
          </reference>
          <reference field="8" count="1" selected="0">
            <x v="539"/>
          </reference>
          <reference field="9" count="1">
            <x v="611"/>
          </reference>
        </references>
      </pivotArea>
    </format>
    <format dxfId="2382">
      <pivotArea dataOnly="0" labelOnly="1" fieldPosition="0">
        <references count="6">
          <reference field="1" count="1" selected="0">
            <x v="55"/>
          </reference>
          <reference field="5" count="1" selected="0">
            <x v="27"/>
          </reference>
          <reference field="6" count="1" selected="0">
            <x v="37"/>
          </reference>
          <reference field="7" count="1" selected="0">
            <x v="138"/>
          </reference>
          <reference field="8" count="1" selected="0">
            <x v="1098"/>
          </reference>
          <reference field="9" count="1">
            <x v="611"/>
          </reference>
        </references>
      </pivotArea>
    </format>
    <format dxfId="2381">
      <pivotArea dataOnly="0" labelOnly="1" fieldPosition="0">
        <references count="6">
          <reference field="1" count="1" selected="0">
            <x v="55"/>
          </reference>
          <reference field="5" count="1" selected="0">
            <x v="32"/>
          </reference>
          <reference field="6" count="1" selected="0">
            <x v="9"/>
          </reference>
          <reference field="7" count="1" selected="0">
            <x v="138"/>
          </reference>
          <reference field="8" count="1" selected="0">
            <x v="1793"/>
          </reference>
          <reference field="9" count="1">
            <x v="611"/>
          </reference>
        </references>
      </pivotArea>
    </format>
    <format dxfId="2380">
      <pivotArea dataOnly="0" labelOnly="1" fieldPosition="0">
        <references count="6">
          <reference field="1" count="1" selected="0">
            <x v="55"/>
          </reference>
          <reference field="5" count="1" selected="0">
            <x v="35"/>
          </reference>
          <reference field="6" count="1" selected="0">
            <x v="37"/>
          </reference>
          <reference field="7" count="1" selected="0">
            <x v="138"/>
          </reference>
          <reference field="8" count="1" selected="0">
            <x v="1319"/>
          </reference>
          <reference field="9" count="1">
            <x v="611"/>
          </reference>
        </references>
      </pivotArea>
    </format>
    <format dxfId="2379">
      <pivotArea dataOnly="0" labelOnly="1" fieldPosition="0">
        <references count="6">
          <reference field="1" count="1" selected="0">
            <x v="55"/>
          </reference>
          <reference field="5" count="1" selected="0">
            <x v="35"/>
          </reference>
          <reference field="6" count="1" selected="0">
            <x v="37"/>
          </reference>
          <reference field="7" count="1" selected="0">
            <x v="138"/>
          </reference>
          <reference field="8" count="1" selected="0">
            <x v="1354"/>
          </reference>
          <reference field="9" count="1">
            <x v="611"/>
          </reference>
        </references>
      </pivotArea>
    </format>
    <format dxfId="2378">
      <pivotArea dataOnly="0" labelOnly="1" fieldPosition="0">
        <references count="6">
          <reference field="1" count="1" selected="0">
            <x v="55"/>
          </reference>
          <reference field="5" count="1" selected="0">
            <x v="36"/>
          </reference>
          <reference field="6" count="1" selected="0">
            <x v="6"/>
          </reference>
          <reference field="7" count="1" selected="0">
            <x v="138"/>
          </reference>
          <reference field="8" count="1" selected="0">
            <x v="890"/>
          </reference>
          <reference field="9" count="1">
            <x v="611"/>
          </reference>
        </references>
      </pivotArea>
    </format>
    <format dxfId="2377">
      <pivotArea dataOnly="0" labelOnly="1" fieldPosition="0">
        <references count="6">
          <reference field="1" count="1" selected="0">
            <x v="55"/>
          </reference>
          <reference field="5" count="1" selected="0">
            <x v="38"/>
          </reference>
          <reference field="6" count="1" selected="0">
            <x v="37"/>
          </reference>
          <reference field="7" count="1" selected="0">
            <x v="138"/>
          </reference>
          <reference field="8" count="1" selected="0">
            <x v="33"/>
          </reference>
          <reference field="9" count="1">
            <x v="611"/>
          </reference>
        </references>
      </pivotArea>
    </format>
    <format dxfId="2376">
      <pivotArea dataOnly="0" labelOnly="1" fieldPosition="0">
        <references count="6">
          <reference field="1" count="1" selected="0">
            <x v="56"/>
          </reference>
          <reference field="5" count="1" selected="0">
            <x v="0"/>
          </reference>
          <reference field="6" count="1" selected="0">
            <x v="8"/>
          </reference>
          <reference field="7" count="1" selected="0">
            <x v="139"/>
          </reference>
          <reference field="8" count="1" selected="0">
            <x v="37"/>
          </reference>
          <reference field="9" count="1">
            <x v="611"/>
          </reference>
        </references>
      </pivotArea>
    </format>
    <format dxfId="2375">
      <pivotArea dataOnly="0" labelOnly="1" fieldPosition="0">
        <references count="6">
          <reference field="1" count="1" selected="0">
            <x v="56"/>
          </reference>
          <reference field="5" count="1" selected="0">
            <x v="0"/>
          </reference>
          <reference field="6" count="1" selected="0">
            <x v="8"/>
          </reference>
          <reference field="7" count="1" selected="0">
            <x v="139"/>
          </reference>
          <reference field="8" count="1" selected="0">
            <x v="95"/>
          </reference>
          <reference field="9" count="1">
            <x v="611"/>
          </reference>
        </references>
      </pivotArea>
    </format>
    <format dxfId="2374">
      <pivotArea dataOnly="0" labelOnly="1" fieldPosition="0">
        <references count="6">
          <reference field="1" count="1" selected="0">
            <x v="56"/>
          </reference>
          <reference field="5" count="1" selected="0">
            <x v="0"/>
          </reference>
          <reference field="6" count="1" selected="0">
            <x v="8"/>
          </reference>
          <reference field="7" count="1" selected="0">
            <x v="139"/>
          </reference>
          <reference field="8" count="1" selected="0">
            <x v="215"/>
          </reference>
          <reference field="9" count="1">
            <x v="611"/>
          </reference>
        </references>
      </pivotArea>
    </format>
    <format dxfId="2373">
      <pivotArea dataOnly="0" labelOnly="1" fieldPosition="0">
        <references count="6">
          <reference field="1" count="1" selected="0">
            <x v="56"/>
          </reference>
          <reference field="5" count="1" selected="0">
            <x v="0"/>
          </reference>
          <reference field="6" count="1" selected="0">
            <x v="8"/>
          </reference>
          <reference field="7" count="1" selected="0">
            <x v="139"/>
          </reference>
          <reference field="8" count="1" selected="0">
            <x v="760"/>
          </reference>
          <reference field="9" count="1">
            <x v="611"/>
          </reference>
        </references>
      </pivotArea>
    </format>
    <format dxfId="2372">
      <pivotArea dataOnly="0" labelOnly="1" fieldPosition="0">
        <references count="6">
          <reference field="1" count="1" selected="0">
            <x v="56"/>
          </reference>
          <reference field="5" count="1" selected="0">
            <x v="0"/>
          </reference>
          <reference field="6" count="1" selected="0">
            <x v="9"/>
          </reference>
          <reference field="7" count="1" selected="0">
            <x v="139"/>
          </reference>
          <reference field="8" count="1" selected="0">
            <x v="523"/>
          </reference>
          <reference field="9" count="1">
            <x v="611"/>
          </reference>
        </references>
      </pivotArea>
    </format>
    <format dxfId="2371">
      <pivotArea dataOnly="0" labelOnly="1" fieldPosition="0">
        <references count="6">
          <reference field="1" count="1" selected="0">
            <x v="56"/>
          </reference>
          <reference field="5" count="1" selected="0">
            <x v="0"/>
          </reference>
          <reference field="6" count="1" selected="0">
            <x v="9"/>
          </reference>
          <reference field="7" count="1" selected="0">
            <x v="139"/>
          </reference>
          <reference field="8" count="1" selected="0">
            <x v="544"/>
          </reference>
          <reference field="9" count="1">
            <x v="611"/>
          </reference>
        </references>
      </pivotArea>
    </format>
    <format dxfId="2370">
      <pivotArea dataOnly="0" labelOnly="1" fieldPosition="0">
        <references count="6">
          <reference field="1" count="1" selected="0">
            <x v="56"/>
          </reference>
          <reference field="5" count="1" selected="0">
            <x v="0"/>
          </reference>
          <reference field="6" count="1" selected="0">
            <x v="12"/>
          </reference>
          <reference field="7" count="1" selected="0">
            <x v="18"/>
          </reference>
          <reference field="8" count="1" selected="0">
            <x v="35"/>
          </reference>
          <reference field="9" count="1">
            <x v="611"/>
          </reference>
        </references>
      </pivotArea>
    </format>
    <format dxfId="2369">
      <pivotArea dataOnly="0" labelOnly="1" fieldPosition="0">
        <references count="6">
          <reference field="1" count="1" selected="0">
            <x v="56"/>
          </reference>
          <reference field="5" count="1" selected="0">
            <x v="0"/>
          </reference>
          <reference field="6" count="1" selected="0">
            <x v="12"/>
          </reference>
          <reference field="7" count="1" selected="0">
            <x v="56"/>
          </reference>
          <reference field="8" count="1" selected="0">
            <x v="26"/>
          </reference>
          <reference field="9" count="1">
            <x v="611"/>
          </reference>
        </references>
      </pivotArea>
    </format>
    <format dxfId="2368">
      <pivotArea dataOnly="0" labelOnly="1" fieldPosition="0">
        <references count="6">
          <reference field="1" count="1" selected="0">
            <x v="56"/>
          </reference>
          <reference field="5" count="1" selected="0">
            <x v="0"/>
          </reference>
          <reference field="6" count="1" selected="0">
            <x v="12"/>
          </reference>
          <reference field="7" count="1" selected="0">
            <x v="60"/>
          </reference>
          <reference field="8" count="1" selected="0">
            <x v="119"/>
          </reference>
          <reference field="9" count="1">
            <x v="611"/>
          </reference>
        </references>
      </pivotArea>
    </format>
    <format dxfId="2367">
      <pivotArea dataOnly="0" labelOnly="1" fieldPosition="0">
        <references count="6">
          <reference field="1" count="1" selected="0">
            <x v="56"/>
          </reference>
          <reference field="5" count="1" selected="0">
            <x v="3"/>
          </reference>
          <reference field="6" count="1" selected="0">
            <x v="37"/>
          </reference>
          <reference field="7" count="1" selected="0">
            <x v="139"/>
          </reference>
          <reference field="8" count="1" selected="0">
            <x v="199"/>
          </reference>
          <reference field="9" count="1">
            <x v="611"/>
          </reference>
        </references>
      </pivotArea>
    </format>
    <format dxfId="2366">
      <pivotArea dataOnly="0" labelOnly="1" fieldPosition="0">
        <references count="6">
          <reference field="1" count="1" selected="0">
            <x v="56"/>
          </reference>
          <reference field="5" count="1" selected="0">
            <x v="12"/>
          </reference>
          <reference field="6" count="1" selected="0">
            <x v="1"/>
          </reference>
          <reference field="7" count="1" selected="0">
            <x v="139"/>
          </reference>
          <reference field="8" count="1" selected="0">
            <x v="213"/>
          </reference>
          <reference field="9" count="1">
            <x v="611"/>
          </reference>
        </references>
      </pivotArea>
    </format>
    <format dxfId="2365">
      <pivotArea dataOnly="0" labelOnly="1" fieldPosition="0">
        <references count="6">
          <reference field="1" count="1" selected="0">
            <x v="56"/>
          </reference>
          <reference field="5" count="1" selected="0">
            <x v="14"/>
          </reference>
          <reference field="6" count="1" selected="0">
            <x v="37"/>
          </reference>
          <reference field="7" count="1" selected="0">
            <x v="139"/>
          </reference>
          <reference field="8" count="1" selected="0">
            <x v="1455"/>
          </reference>
          <reference field="9" count="1">
            <x v="611"/>
          </reference>
        </references>
      </pivotArea>
    </format>
    <format dxfId="2364">
      <pivotArea dataOnly="0" labelOnly="1" fieldPosition="0">
        <references count="6">
          <reference field="1" count="1" selected="0">
            <x v="56"/>
          </reference>
          <reference field="5" count="1" selected="0">
            <x v="15"/>
          </reference>
          <reference field="6" count="1" selected="0">
            <x v="37"/>
          </reference>
          <reference field="7" count="1" selected="0">
            <x v="139"/>
          </reference>
          <reference field="8" count="1" selected="0">
            <x v="1216"/>
          </reference>
          <reference field="9" count="1">
            <x v="611"/>
          </reference>
        </references>
      </pivotArea>
    </format>
    <format dxfId="2363">
      <pivotArea dataOnly="0" labelOnly="1" fieldPosition="0">
        <references count="6">
          <reference field="1" count="1" selected="0">
            <x v="56"/>
          </reference>
          <reference field="5" count="1" selected="0">
            <x v="23"/>
          </reference>
          <reference field="6" count="1" selected="0">
            <x v="37"/>
          </reference>
          <reference field="7" count="1" selected="0">
            <x v="139"/>
          </reference>
          <reference field="8" count="1" selected="0">
            <x v="234"/>
          </reference>
          <reference field="9" count="1">
            <x v="611"/>
          </reference>
        </references>
      </pivotArea>
    </format>
    <format dxfId="2362">
      <pivotArea dataOnly="0" labelOnly="1" fieldPosition="0">
        <references count="6">
          <reference field="1" count="1" selected="0">
            <x v="56"/>
          </reference>
          <reference field="5" count="1" selected="0">
            <x v="26"/>
          </reference>
          <reference field="6" count="1" selected="0">
            <x v="37"/>
          </reference>
          <reference field="7" count="1" selected="0">
            <x v="139"/>
          </reference>
          <reference field="8" count="1" selected="0">
            <x v="391"/>
          </reference>
          <reference field="9" count="1">
            <x v="611"/>
          </reference>
        </references>
      </pivotArea>
    </format>
    <format dxfId="2361">
      <pivotArea dataOnly="0" labelOnly="1" fieldPosition="0">
        <references count="6">
          <reference field="1" count="1" selected="0">
            <x v="56"/>
          </reference>
          <reference field="5" count="1" selected="0">
            <x v="35"/>
          </reference>
          <reference field="6" count="1" selected="0">
            <x v="1"/>
          </reference>
          <reference field="7" count="1" selected="0">
            <x v="139"/>
          </reference>
          <reference field="8" count="1" selected="0">
            <x v="352"/>
          </reference>
          <reference field="9" count="1">
            <x v="611"/>
          </reference>
        </references>
      </pivotArea>
    </format>
    <format dxfId="2360">
      <pivotArea dataOnly="0" labelOnly="1" fieldPosition="0">
        <references count="6">
          <reference field="1" count="1" selected="0">
            <x v="57"/>
          </reference>
          <reference field="5" count="1" selected="0">
            <x v="0"/>
          </reference>
          <reference field="6" count="1" selected="0">
            <x v="8"/>
          </reference>
          <reference field="7" count="1" selected="0">
            <x v="140"/>
          </reference>
          <reference field="8" count="1" selected="0">
            <x v="1114"/>
          </reference>
          <reference field="9" count="1">
            <x v="611"/>
          </reference>
        </references>
      </pivotArea>
    </format>
    <format dxfId="2359">
      <pivotArea dataOnly="0" labelOnly="1" fieldPosition="0">
        <references count="6">
          <reference field="1" count="1" selected="0">
            <x v="57"/>
          </reference>
          <reference field="5" count="1" selected="0">
            <x v="0"/>
          </reference>
          <reference field="6" count="1" selected="0">
            <x v="12"/>
          </reference>
          <reference field="7" count="1" selected="0">
            <x v="6"/>
          </reference>
          <reference field="8" count="1" selected="0">
            <x v="32"/>
          </reference>
          <reference field="9" count="1">
            <x v="611"/>
          </reference>
        </references>
      </pivotArea>
    </format>
    <format dxfId="2358">
      <pivotArea dataOnly="0" labelOnly="1" fieldPosition="0">
        <references count="6">
          <reference field="1" count="1" selected="0">
            <x v="57"/>
          </reference>
          <reference field="5" count="1" selected="0">
            <x v="6"/>
          </reference>
          <reference field="6" count="1" selected="0">
            <x v="37"/>
          </reference>
          <reference field="7" count="1" selected="0">
            <x v="140"/>
          </reference>
          <reference field="8" count="1" selected="0">
            <x v="991"/>
          </reference>
          <reference field="9" count="1">
            <x v="611"/>
          </reference>
        </references>
      </pivotArea>
    </format>
    <format dxfId="2357">
      <pivotArea dataOnly="0" labelOnly="1" fieldPosition="0">
        <references count="6">
          <reference field="1" count="1" selected="0">
            <x v="57"/>
          </reference>
          <reference field="5" count="1" selected="0">
            <x v="12"/>
          </reference>
          <reference field="6" count="1" selected="0">
            <x v="1"/>
          </reference>
          <reference field="7" count="1" selected="0">
            <x v="140"/>
          </reference>
          <reference field="8" count="1" selected="0">
            <x v="352"/>
          </reference>
          <reference field="9" count="1">
            <x v="611"/>
          </reference>
        </references>
      </pivotArea>
    </format>
    <format dxfId="2356">
      <pivotArea dataOnly="0" labelOnly="1" fieldPosition="0">
        <references count="6">
          <reference field="1" count="1" selected="0">
            <x v="57"/>
          </reference>
          <reference field="5" count="1" selected="0">
            <x v="15"/>
          </reference>
          <reference field="6" count="1" selected="0">
            <x v="37"/>
          </reference>
          <reference field="7" count="1" selected="0">
            <x v="140"/>
          </reference>
          <reference field="8" count="1" selected="0">
            <x v="1225"/>
          </reference>
          <reference field="9" count="1">
            <x v="611"/>
          </reference>
        </references>
      </pivotArea>
    </format>
    <format dxfId="2355">
      <pivotArea dataOnly="0" labelOnly="1" fieldPosition="0">
        <references count="6">
          <reference field="1" count="1" selected="0">
            <x v="57"/>
          </reference>
          <reference field="5" count="1" selected="0">
            <x v="26"/>
          </reference>
          <reference field="6" count="1" selected="0">
            <x v="1"/>
          </reference>
          <reference field="7" count="1" selected="0">
            <x v="140"/>
          </reference>
          <reference field="8" count="1" selected="0">
            <x v="352"/>
          </reference>
          <reference field="9" count="1">
            <x v="611"/>
          </reference>
        </references>
      </pivotArea>
    </format>
    <format dxfId="2354">
      <pivotArea dataOnly="0" labelOnly="1" fieldPosition="0">
        <references count="6">
          <reference field="1" count="1" selected="0">
            <x v="58"/>
          </reference>
          <reference field="5" count="1" selected="0">
            <x v="0"/>
          </reference>
          <reference field="6" count="1" selected="0">
            <x v="12"/>
          </reference>
          <reference field="7" count="1" selected="0">
            <x v="2"/>
          </reference>
          <reference field="8" count="1" selected="0">
            <x v="39"/>
          </reference>
          <reference field="9" count="1">
            <x v="611"/>
          </reference>
        </references>
      </pivotArea>
    </format>
    <format dxfId="2353">
      <pivotArea dataOnly="0" labelOnly="1" fieldPosition="0">
        <references count="6">
          <reference field="1" count="1" selected="0">
            <x v="58"/>
          </reference>
          <reference field="5" count="1" selected="0">
            <x v="0"/>
          </reference>
          <reference field="6" count="1" selected="0">
            <x v="12"/>
          </reference>
          <reference field="7" count="1" selected="0">
            <x v="18"/>
          </reference>
          <reference field="8" count="1" selected="0">
            <x v="18"/>
          </reference>
          <reference field="9" count="1">
            <x v="611"/>
          </reference>
        </references>
      </pivotArea>
    </format>
    <format dxfId="2352">
      <pivotArea dataOnly="0" labelOnly="1" fieldPosition="0">
        <references count="6">
          <reference field="1" count="1" selected="0">
            <x v="58"/>
          </reference>
          <reference field="5" count="1" selected="0">
            <x v="0"/>
          </reference>
          <reference field="6" count="1" selected="0">
            <x v="12"/>
          </reference>
          <reference field="7" count="1" selected="0">
            <x v="56"/>
          </reference>
          <reference field="8" count="1" selected="0">
            <x v="26"/>
          </reference>
          <reference field="9" count="1">
            <x v="611"/>
          </reference>
        </references>
      </pivotArea>
    </format>
    <format dxfId="2351">
      <pivotArea dataOnly="0" labelOnly="1" fieldPosition="0">
        <references count="6">
          <reference field="1" count="1" selected="0">
            <x v="58"/>
          </reference>
          <reference field="5" count="1" selected="0">
            <x v="0"/>
          </reference>
          <reference field="6" count="1" selected="0">
            <x v="12"/>
          </reference>
          <reference field="7" count="1" selected="0">
            <x v="58"/>
          </reference>
          <reference field="8" count="1" selected="0">
            <x v="6"/>
          </reference>
          <reference field="9" count="1">
            <x v="611"/>
          </reference>
        </references>
      </pivotArea>
    </format>
    <format dxfId="2350">
      <pivotArea dataOnly="0" labelOnly="1" fieldPosition="0">
        <references count="6">
          <reference field="1" count="1" selected="0">
            <x v="58"/>
          </reference>
          <reference field="5" count="1" selected="0">
            <x v="0"/>
          </reference>
          <reference field="6" count="1" selected="0">
            <x v="12"/>
          </reference>
          <reference field="7" count="1" selected="0">
            <x v="71"/>
          </reference>
          <reference field="8" count="1" selected="0">
            <x v="18"/>
          </reference>
          <reference field="9" count="1">
            <x v="611"/>
          </reference>
        </references>
      </pivotArea>
    </format>
    <format dxfId="2349">
      <pivotArea dataOnly="0" labelOnly="1" fieldPosition="0">
        <references count="6">
          <reference field="1" count="1" selected="0">
            <x v="58"/>
          </reference>
          <reference field="5" count="1" selected="0">
            <x v="12"/>
          </reference>
          <reference field="6" count="1" selected="0">
            <x v="1"/>
          </reference>
          <reference field="7" count="1" selected="0">
            <x v="141"/>
          </reference>
          <reference field="8" count="1" selected="0">
            <x v="80"/>
          </reference>
          <reference field="9" count="1">
            <x v="611"/>
          </reference>
        </references>
      </pivotArea>
    </format>
    <format dxfId="2348">
      <pivotArea dataOnly="0" labelOnly="1" fieldPosition="0">
        <references count="6">
          <reference field="1" count="1" selected="0">
            <x v="58"/>
          </reference>
          <reference field="5" count="1" selected="0">
            <x v="12"/>
          </reference>
          <reference field="6" count="1" selected="0">
            <x v="1"/>
          </reference>
          <reference field="7" count="1" selected="0">
            <x v="141"/>
          </reference>
          <reference field="8" count="1" selected="0">
            <x v="213"/>
          </reference>
          <reference field="9" count="1">
            <x v="611"/>
          </reference>
        </references>
      </pivotArea>
    </format>
    <format dxfId="2347">
      <pivotArea dataOnly="0" labelOnly="1" fieldPosition="0">
        <references count="6">
          <reference field="1" count="1" selected="0">
            <x v="58"/>
          </reference>
          <reference field="5" count="1" selected="0">
            <x v="12"/>
          </reference>
          <reference field="6" count="1" selected="0">
            <x v="1"/>
          </reference>
          <reference field="7" count="1" selected="0">
            <x v="141"/>
          </reference>
          <reference field="8" count="1" selected="0">
            <x v="352"/>
          </reference>
          <reference field="9" count="1">
            <x v="611"/>
          </reference>
        </references>
      </pivotArea>
    </format>
    <format dxfId="2346">
      <pivotArea dataOnly="0" labelOnly="1" fieldPosition="0">
        <references count="6">
          <reference field="1" count="1" selected="0">
            <x v="58"/>
          </reference>
          <reference field="5" count="1" selected="0">
            <x v="12"/>
          </reference>
          <reference field="6" count="1" selected="0">
            <x v="1"/>
          </reference>
          <reference field="7" count="1" selected="0">
            <x v="141"/>
          </reference>
          <reference field="8" count="1" selected="0">
            <x v="607"/>
          </reference>
          <reference field="9" count="1">
            <x v="611"/>
          </reference>
        </references>
      </pivotArea>
    </format>
    <format dxfId="2345">
      <pivotArea dataOnly="0" labelOnly="1" fieldPosition="0">
        <references count="6">
          <reference field="1" count="1" selected="0">
            <x v="58"/>
          </reference>
          <reference field="5" count="1" selected="0">
            <x v="12"/>
          </reference>
          <reference field="6" count="1" selected="0">
            <x v="1"/>
          </reference>
          <reference field="7" count="1" selected="0">
            <x v="141"/>
          </reference>
          <reference field="8" count="1" selected="0">
            <x v="771"/>
          </reference>
          <reference field="9" count="1">
            <x v="611"/>
          </reference>
        </references>
      </pivotArea>
    </format>
    <format dxfId="2344">
      <pivotArea dataOnly="0" labelOnly="1" fieldPosition="0">
        <references count="6">
          <reference field="1" count="1" selected="0">
            <x v="58"/>
          </reference>
          <reference field="5" count="1" selected="0">
            <x v="12"/>
          </reference>
          <reference field="6" count="1" selected="0">
            <x v="1"/>
          </reference>
          <reference field="7" count="1" selected="0">
            <x v="141"/>
          </reference>
          <reference field="8" count="1" selected="0">
            <x v="911"/>
          </reference>
          <reference field="9" count="1">
            <x v="611"/>
          </reference>
        </references>
      </pivotArea>
    </format>
    <format dxfId="2343">
      <pivotArea dataOnly="0" labelOnly="1" fieldPosition="0">
        <references count="6">
          <reference field="1" count="1" selected="0">
            <x v="58"/>
          </reference>
          <reference field="5" count="1" selected="0">
            <x v="21"/>
          </reference>
          <reference field="6" count="1" selected="0">
            <x v="37"/>
          </reference>
          <reference field="7" count="1" selected="0">
            <x v="141"/>
          </reference>
          <reference field="8" count="1" selected="0">
            <x v="702"/>
          </reference>
          <reference field="9" count="1">
            <x v="611"/>
          </reference>
        </references>
      </pivotArea>
    </format>
    <format dxfId="2342">
      <pivotArea dataOnly="0" labelOnly="1" fieldPosition="0">
        <references count="6">
          <reference field="1" count="1" selected="0">
            <x v="58"/>
          </reference>
          <reference field="5" count="1" selected="0">
            <x v="23"/>
          </reference>
          <reference field="6" count="1" selected="0">
            <x v="37"/>
          </reference>
          <reference field="7" count="1" selected="0">
            <x v="141"/>
          </reference>
          <reference field="8" count="1" selected="0">
            <x v="135"/>
          </reference>
          <reference field="9" count="1">
            <x v="611"/>
          </reference>
        </references>
      </pivotArea>
    </format>
    <format dxfId="2341">
      <pivotArea dataOnly="0" labelOnly="1" fieldPosition="0">
        <references count="6">
          <reference field="1" count="1" selected="0">
            <x v="58"/>
          </reference>
          <reference field="5" count="1" selected="0">
            <x v="35"/>
          </reference>
          <reference field="6" count="1" selected="0">
            <x v="1"/>
          </reference>
          <reference field="7" count="1" selected="0">
            <x v="141"/>
          </reference>
          <reference field="8" count="1" selected="0">
            <x v="80"/>
          </reference>
          <reference field="9" count="1">
            <x v="611"/>
          </reference>
        </references>
      </pivotArea>
    </format>
    <format dxfId="2340">
      <pivotArea dataOnly="0" labelOnly="1" fieldPosition="0">
        <references count="6">
          <reference field="1" count="1" selected="0">
            <x v="58"/>
          </reference>
          <reference field="5" count="1" selected="0">
            <x v="35"/>
          </reference>
          <reference field="6" count="1" selected="0">
            <x v="1"/>
          </reference>
          <reference field="7" count="1" selected="0">
            <x v="141"/>
          </reference>
          <reference field="8" count="1" selected="0">
            <x v="213"/>
          </reference>
          <reference field="9" count="1">
            <x v="611"/>
          </reference>
        </references>
      </pivotArea>
    </format>
    <format dxfId="2339">
      <pivotArea dataOnly="0" labelOnly="1" fieldPosition="0">
        <references count="6">
          <reference field="1" count="1" selected="0">
            <x v="59"/>
          </reference>
          <reference field="5" count="1" selected="0">
            <x v="0"/>
          </reference>
          <reference field="6" count="1" selected="0">
            <x v="1"/>
          </reference>
          <reference field="7" count="1" selected="0">
            <x v="142"/>
          </reference>
          <reference field="8" count="1" selected="0">
            <x v="80"/>
          </reference>
          <reference field="9" count="1">
            <x v="611"/>
          </reference>
        </references>
      </pivotArea>
    </format>
    <format dxfId="2338">
      <pivotArea dataOnly="0" labelOnly="1" fieldPosition="0">
        <references count="6">
          <reference field="1" count="1" selected="0">
            <x v="59"/>
          </reference>
          <reference field="5" count="1" selected="0">
            <x v="0"/>
          </reference>
          <reference field="6" count="1" selected="0">
            <x v="6"/>
          </reference>
          <reference field="7" count="1" selected="0">
            <x v="142"/>
          </reference>
          <reference field="8" count="1" selected="0">
            <x v="212"/>
          </reference>
          <reference field="9" count="1">
            <x v="611"/>
          </reference>
        </references>
      </pivotArea>
    </format>
    <format dxfId="2337">
      <pivotArea dataOnly="0" labelOnly="1" fieldPosition="0">
        <references count="6">
          <reference field="1" count="1" selected="0">
            <x v="59"/>
          </reference>
          <reference field="5" count="1" selected="0">
            <x v="0"/>
          </reference>
          <reference field="6" count="1" selected="0">
            <x v="8"/>
          </reference>
          <reference field="7" count="1" selected="0">
            <x v="142"/>
          </reference>
          <reference field="8" count="1" selected="0">
            <x v="159"/>
          </reference>
          <reference field="9" count="1">
            <x v="611"/>
          </reference>
        </references>
      </pivotArea>
    </format>
    <format dxfId="2336">
      <pivotArea dataOnly="0" labelOnly="1" fieldPosition="0">
        <references count="6">
          <reference field="1" count="1" selected="0">
            <x v="59"/>
          </reference>
          <reference field="5" count="1" selected="0">
            <x v="0"/>
          </reference>
          <reference field="6" count="1" selected="0">
            <x v="8"/>
          </reference>
          <reference field="7" count="1" selected="0">
            <x v="142"/>
          </reference>
          <reference field="8" count="1" selected="0">
            <x v="200"/>
          </reference>
          <reference field="9" count="1">
            <x v="611"/>
          </reference>
        </references>
      </pivotArea>
    </format>
    <format dxfId="2335">
      <pivotArea dataOnly="0" labelOnly="1" fieldPosition="0">
        <references count="6">
          <reference field="1" count="1" selected="0">
            <x v="59"/>
          </reference>
          <reference field="5" count="1" selected="0">
            <x v="0"/>
          </reference>
          <reference field="6" count="1" selected="0">
            <x v="8"/>
          </reference>
          <reference field="7" count="1" selected="0">
            <x v="142"/>
          </reference>
          <reference field="8" count="1" selected="0">
            <x v="549"/>
          </reference>
          <reference field="9" count="1">
            <x v="611"/>
          </reference>
        </references>
      </pivotArea>
    </format>
    <format dxfId="2334">
      <pivotArea dataOnly="0" labelOnly="1" fieldPosition="0">
        <references count="6">
          <reference field="1" count="1" selected="0">
            <x v="59"/>
          </reference>
          <reference field="5" count="1" selected="0">
            <x v="0"/>
          </reference>
          <reference field="6" count="1" selected="0">
            <x v="8"/>
          </reference>
          <reference field="7" count="1" selected="0">
            <x v="142"/>
          </reference>
          <reference field="8" count="1" selected="0">
            <x v="613"/>
          </reference>
          <reference field="9" count="1">
            <x v="611"/>
          </reference>
        </references>
      </pivotArea>
    </format>
    <format dxfId="2333">
      <pivotArea dataOnly="0" labelOnly="1" fieldPosition="0">
        <references count="6">
          <reference field="1" count="1" selected="0">
            <x v="59"/>
          </reference>
          <reference field="5" count="1" selected="0">
            <x v="0"/>
          </reference>
          <reference field="6" count="1" selected="0">
            <x v="8"/>
          </reference>
          <reference field="7" count="1" selected="0">
            <x v="142"/>
          </reference>
          <reference field="8" count="1" selected="0">
            <x v="1264"/>
          </reference>
          <reference field="9" count="1">
            <x v="611"/>
          </reference>
        </references>
      </pivotArea>
    </format>
    <format dxfId="2332">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17"/>
          </reference>
          <reference field="9" count="1">
            <x v="611"/>
          </reference>
        </references>
      </pivotArea>
    </format>
    <format dxfId="2331">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537"/>
          </reference>
          <reference field="9" count="1">
            <x v="611"/>
          </reference>
        </references>
      </pivotArea>
    </format>
    <format dxfId="2330">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582"/>
          </reference>
          <reference field="9" count="1">
            <x v="611"/>
          </reference>
        </references>
      </pivotArea>
    </format>
    <format dxfId="2329">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627"/>
          </reference>
          <reference field="9" count="1">
            <x v="611"/>
          </reference>
        </references>
      </pivotArea>
    </format>
    <format dxfId="2328">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702"/>
          </reference>
          <reference field="9" count="1">
            <x v="611"/>
          </reference>
        </references>
      </pivotArea>
    </format>
    <format dxfId="2327">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750"/>
          </reference>
          <reference field="9" count="1">
            <x v="611"/>
          </reference>
        </references>
      </pivotArea>
    </format>
    <format dxfId="2326">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905"/>
          </reference>
          <reference field="9" count="1">
            <x v="611"/>
          </reference>
        </references>
      </pivotArea>
    </format>
    <format dxfId="2325">
      <pivotArea dataOnly="0" labelOnly="1" fieldPosition="0">
        <references count="6">
          <reference field="1" count="1" selected="0">
            <x v="59"/>
          </reference>
          <reference field="5" count="1" selected="0">
            <x v="0"/>
          </reference>
          <reference field="6" count="1" selected="0">
            <x v="9"/>
          </reference>
          <reference field="7" count="1" selected="0">
            <x v="142"/>
          </reference>
          <reference field="8" count="1" selected="0">
            <x v="1134"/>
          </reference>
          <reference field="9" count="1">
            <x v="611"/>
          </reference>
        </references>
      </pivotArea>
    </format>
    <format dxfId="2324">
      <pivotArea dataOnly="0" labelOnly="1" fieldPosition="0">
        <references count="6">
          <reference field="1" count="1" selected="0">
            <x v="59"/>
          </reference>
          <reference field="5" count="1" selected="0">
            <x v="0"/>
          </reference>
          <reference field="6" count="1" selected="0">
            <x v="12"/>
          </reference>
          <reference field="7" count="1" selected="0">
            <x v="18"/>
          </reference>
          <reference field="8" count="1" selected="0">
            <x v="18"/>
          </reference>
          <reference field="9" count="1">
            <x v="611"/>
          </reference>
        </references>
      </pivotArea>
    </format>
    <format dxfId="2323">
      <pivotArea dataOnly="0" labelOnly="1" fieldPosition="0">
        <references count="6">
          <reference field="1" count="1" selected="0">
            <x v="59"/>
          </reference>
          <reference field="5" count="1" selected="0">
            <x v="0"/>
          </reference>
          <reference field="6" count="1" selected="0">
            <x v="12"/>
          </reference>
          <reference field="7" count="1" selected="0">
            <x v="21"/>
          </reference>
          <reference field="8" count="1" selected="0">
            <x v="11"/>
          </reference>
          <reference field="9" count="1">
            <x v="611"/>
          </reference>
        </references>
      </pivotArea>
    </format>
    <format dxfId="2322">
      <pivotArea dataOnly="0" labelOnly="1" fieldPosition="0">
        <references count="6">
          <reference field="1" count="1" selected="0">
            <x v="59"/>
          </reference>
          <reference field="5" count="1" selected="0">
            <x v="0"/>
          </reference>
          <reference field="6" count="1" selected="0">
            <x v="12"/>
          </reference>
          <reference field="7" count="1" selected="0">
            <x v="66"/>
          </reference>
          <reference field="8" count="1" selected="0">
            <x v="69"/>
          </reference>
          <reference field="9" count="1">
            <x v="611"/>
          </reference>
        </references>
      </pivotArea>
    </format>
    <format dxfId="2321">
      <pivotArea dataOnly="0" labelOnly="1" fieldPosition="0">
        <references count="6">
          <reference field="1" count="1" selected="0">
            <x v="59"/>
          </reference>
          <reference field="5" count="1" selected="0">
            <x v="0"/>
          </reference>
          <reference field="6" count="1" selected="0">
            <x v="38"/>
          </reference>
          <reference field="7" count="1" selected="0">
            <x v="142"/>
          </reference>
          <reference field="8" count="1" selected="0">
            <x v="964"/>
          </reference>
          <reference field="9" count="1">
            <x v="611"/>
          </reference>
        </references>
      </pivotArea>
    </format>
    <format dxfId="2320">
      <pivotArea dataOnly="0" labelOnly="1" fieldPosition="0">
        <references count="6">
          <reference field="1" count="1" selected="0">
            <x v="59"/>
          </reference>
          <reference field="5" count="1" selected="0">
            <x v="5"/>
          </reference>
          <reference field="6" count="1" selected="0">
            <x v="37"/>
          </reference>
          <reference field="7" count="1" selected="0">
            <x v="142"/>
          </reference>
          <reference field="8" count="1" selected="0">
            <x v="524"/>
          </reference>
          <reference field="9" count="1">
            <x v="611"/>
          </reference>
        </references>
      </pivotArea>
    </format>
    <format dxfId="2319">
      <pivotArea dataOnly="0" labelOnly="1" fieldPosition="0">
        <references count="6">
          <reference field="1" count="1" selected="0">
            <x v="59"/>
          </reference>
          <reference field="5" count="1" selected="0">
            <x v="8"/>
          </reference>
          <reference field="6" count="1" selected="0">
            <x v="1"/>
          </reference>
          <reference field="7" count="1" selected="0">
            <x v="142"/>
          </reference>
          <reference field="8" count="1" selected="0">
            <x v="1093"/>
          </reference>
          <reference field="9" count="1">
            <x v="611"/>
          </reference>
        </references>
      </pivotArea>
    </format>
    <format dxfId="2318">
      <pivotArea dataOnly="0" labelOnly="1" fieldPosition="0">
        <references count="6">
          <reference field="1" count="1" selected="0">
            <x v="59"/>
          </reference>
          <reference field="5" count="1" selected="0">
            <x v="8"/>
          </reference>
          <reference field="6" count="1" selected="0">
            <x v="8"/>
          </reference>
          <reference field="7" count="1" selected="0">
            <x v="142"/>
          </reference>
          <reference field="8" count="1" selected="0">
            <x v="1024"/>
          </reference>
          <reference field="9" count="1">
            <x v="611"/>
          </reference>
        </references>
      </pivotArea>
    </format>
    <format dxfId="2317">
      <pivotArea dataOnly="0" labelOnly="1" fieldPosition="0">
        <references count="6">
          <reference field="1" count="1" selected="0">
            <x v="59"/>
          </reference>
          <reference field="5" count="1" selected="0">
            <x v="12"/>
          </reference>
          <reference field="6" count="1" selected="0">
            <x v="1"/>
          </reference>
          <reference field="7" count="1" selected="0">
            <x v="142"/>
          </reference>
          <reference field="8" count="1" selected="0">
            <x v="80"/>
          </reference>
          <reference field="9" count="1">
            <x v="611"/>
          </reference>
        </references>
      </pivotArea>
    </format>
    <format dxfId="2316">
      <pivotArea dataOnly="0" labelOnly="1" fieldPosition="0">
        <references count="6">
          <reference field="1" count="1" selected="0">
            <x v="59"/>
          </reference>
          <reference field="5" count="1" selected="0">
            <x v="12"/>
          </reference>
          <reference field="6" count="1" selected="0">
            <x v="1"/>
          </reference>
          <reference field="7" count="1" selected="0">
            <x v="142"/>
          </reference>
          <reference field="8" count="1" selected="0">
            <x v="213"/>
          </reference>
          <reference field="9" count="1">
            <x v="611"/>
          </reference>
        </references>
      </pivotArea>
    </format>
    <format dxfId="2315">
      <pivotArea dataOnly="0" labelOnly="1" fieldPosition="0">
        <references count="6">
          <reference field="1" count="1" selected="0">
            <x v="59"/>
          </reference>
          <reference field="5" count="1" selected="0">
            <x v="12"/>
          </reference>
          <reference field="6" count="1" selected="0">
            <x v="1"/>
          </reference>
          <reference field="7" count="1" selected="0">
            <x v="142"/>
          </reference>
          <reference field="8" count="1" selected="0">
            <x v="500"/>
          </reference>
          <reference field="9" count="1">
            <x v="611"/>
          </reference>
        </references>
      </pivotArea>
    </format>
    <format dxfId="2314">
      <pivotArea dataOnly="0" labelOnly="1" fieldPosition="0">
        <references count="6">
          <reference field="1" count="1" selected="0">
            <x v="59"/>
          </reference>
          <reference field="5" count="1" selected="0">
            <x v="12"/>
          </reference>
          <reference field="6" count="1" selected="0">
            <x v="1"/>
          </reference>
          <reference field="7" count="1" selected="0">
            <x v="142"/>
          </reference>
          <reference field="8" count="1" selected="0">
            <x v="702"/>
          </reference>
          <reference field="9" count="1">
            <x v="611"/>
          </reference>
        </references>
      </pivotArea>
    </format>
    <format dxfId="2313">
      <pivotArea dataOnly="0" labelOnly="1" fieldPosition="0">
        <references count="6">
          <reference field="1" count="1" selected="0">
            <x v="59"/>
          </reference>
          <reference field="5" count="1" selected="0">
            <x v="12"/>
          </reference>
          <reference field="6" count="1" selected="0">
            <x v="1"/>
          </reference>
          <reference field="7" count="1" selected="0">
            <x v="142"/>
          </reference>
          <reference field="8" count="1" selected="0">
            <x v="1069"/>
          </reference>
          <reference field="9" count="1">
            <x v="611"/>
          </reference>
        </references>
      </pivotArea>
    </format>
    <format dxfId="2312">
      <pivotArea dataOnly="0" labelOnly="1" fieldPosition="0">
        <references count="6">
          <reference field="1" count="1" selected="0">
            <x v="59"/>
          </reference>
          <reference field="5" count="1" selected="0">
            <x v="15"/>
          </reference>
          <reference field="6" count="1" selected="0">
            <x v="1"/>
          </reference>
          <reference field="7" count="1" selected="0">
            <x v="142"/>
          </reference>
          <reference field="8" count="1" selected="0">
            <x v="1243"/>
          </reference>
          <reference field="9" count="1">
            <x v="611"/>
          </reference>
        </references>
      </pivotArea>
    </format>
    <format dxfId="2311">
      <pivotArea dataOnly="0" labelOnly="1" fieldPosition="0">
        <references count="6">
          <reference field="1" count="1" selected="0">
            <x v="59"/>
          </reference>
          <reference field="5" count="1" selected="0">
            <x v="35"/>
          </reference>
          <reference field="6" count="1" selected="0">
            <x v="1"/>
          </reference>
          <reference field="7" count="1" selected="0">
            <x v="142"/>
          </reference>
          <reference field="8" count="1" selected="0">
            <x v="80"/>
          </reference>
          <reference field="9" count="1">
            <x v="611"/>
          </reference>
        </references>
      </pivotArea>
    </format>
    <format dxfId="2310">
      <pivotArea dataOnly="0" labelOnly="1" fieldPosition="0">
        <references count="6">
          <reference field="1" count="1" selected="0">
            <x v="60"/>
          </reference>
          <reference field="5" count="1" selected="0">
            <x v="0"/>
          </reference>
          <reference field="6" count="1" selected="0">
            <x v="12"/>
          </reference>
          <reference field="7" count="1" selected="0">
            <x v="30"/>
          </reference>
          <reference field="8" count="1" selected="0">
            <x v="59"/>
          </reference>
          <reference field="9" count="1">
            <x v="611"/>
          </reference>
        </references>
      </pivotArea>
    </format>
    <format dxfId="2309">
      <pivotArea dataOnly="0" labelOnly="1" fieldPosition="0">
        <references count="6">
          <reference field="1" count="1" selected="0">
            <x v="60"/>
          </reference>
          <reference field="5" count="1" selected="0">
            <x v="0"/>
          </reference>
          <reference field="6" count="1" selected="0">
            <x v="38"/>
          </reference>
          <reference field="7" count="1" selected="0">
            <x v="143"/>
          </reference>
          <reference field="8" count="1" selected="0">
            <x v="1206"/>
          </reference>
          <reference field="9" count="1">
            <x v="611"/>
          </reference>
        </references>
      </pivotArea>
    </format>
    <format dxfId="2308">
      <pivotArea dataOnly="0" labelOnly="1" fieldPosition="0">
        <references count="6">
          <reference field="1" count="1" selected="0">
            <x v="60"/>
          </reference>
          <reference field="5" count="1" selected="0">
            <x v="0"/>
          </reference>
          <reference field="6" count="1" selected="0">
            <x v="38"/>
          </reference>
          <reference field="7" count="1" selected="0">
            <x v="143"/>
          </reference>
          <reference field="8" count="1" selected="0">
            <x v="1364"/>
          </reference>
          <reference field="9" count="1">
            <x v="611"/>
          </reference>
        </references>
      </pivotArea>
    </format>
    <format dxfId="2307">
      <pivotArea dataOnly="0" labelOnly="1" fieldPosition="0">
        <references count="6">
          <reference field="1" count="1" selected="0">
            <x v="60"/>
          </reference>
          <reference field="5" count="1" selected="0">
            <x v="5"/>
          </reference>
          <reference field="6" count="1" selected="0">
            <x v="38"/>
          </reference>
          <reference field="7" count="1" selected="0">
            <x v="143"/>
          </reference>
          <reference field="8" count="1" selected="0">
            <x v="1842"/>
          </reference>
          <reference field="9" count="1">
            <x v="611"/>
          </reference>
        </references>
      </pivotArea>
    </format>
    <format dxfId="2306">
      <pivotArea dataOnly="0" labelOnly="1" fieldPosition="0">
        <references count="6">
          <reference field="1" count="1" selected="0">
            <x v="60"/>
          </reference>
          <reference field="5" count="1" selected="0">
            <x v="6"/>
          </reference>
          <reference field="6" count="1" selected="0">
            <x v="37"/>
          </reference>
          <reference field="7" count="1" selected="0">
            <x v="143"/>
          </reference>
          <reference field="8" count="1" selected="0">
            <x v="898"/>
          </reference>
          <reference field="9" count="1">
            <x v="611"/>
          </reference>
        </references>
      </pivotArea>
    </format>
    <format dxfId="2305">
      <pivotArea dataOnly="0" labelOnly="1" fieldPosition="0">
        <references count="6">
          <reference field="1" count="1" selected="0">
            <x v="60"/>
          </reference>
          <reference field="5" count="1" selected="0">
            <x v="8"/>
          </reference>
          <reference field="6" count="1" selected="0">
            <x v="37"/>
          </reference>
          <reference field="7" count="1" selected="0">
            <x v="143"/>
          </reference>
          <reference field="8" count="1" selected="0">
            <x v="1155"/>
          </reference>
          <reference field="9" count="1">
            <x v="611"/>
          </reference>
        </references>
      </pivotArea>
    </format>
    <format dxfId="2304">
      <pivotArea dataOnly="0" labelOnly="1" fieldPosition="0">
        <references count="6">
          <reference field="1" count="1" selected="0">
            <x v="60"/>
          </reference>
          <reference field="5" count="1" selected="0">
            <x v="10"/>
          </reference>
          <reference field="6" count="1" selected="0">
            <x v="38"/>
          </reference>
          <reference field="7" count="1" selected="0">
            <x v="143"/>
          </reference>
          <reference field="8" count="1" selected="0">
            <x v="1172"/>
          </reference>
          <reference field="9" count="1">
            <x v="611"/>
          </reference>
        </references>
      </pivotArea>
    </format>
    <format dxfId="2303">
      <pivotArea dataOnly="0" labelOnly="1" fieldPosition="0">
        <references count="6">
          <reference field="1" count="1" selected="0">
            <x v="60"/>
          </reference>
          <reference field="5" count="1" selected="0">
            <x v="12"/>
          </reference>
          <reference field="6" count="1" selected="0">
            <x v="1"/>
          </reference>
          <reference field="7" count="1" selected="0">
            <x v="143"/>
          </reference>
          <reference field="8" count="1" selected="0">
            <x v="80"/>
          </reference>
          <reference field="9" count="1">
            <x v="611"/>
          </reference>
        </references>
      </pivotArea>
    </format>
    <format dxfId="2302">
      <pivotArea dataOnly="0" labelOnly="1" fieldPosition="0">
        <references count="6">
          <reference field="1" count="1" selected="0">
            <x v="60"/>
          </reference>
          <reference field="5" count="1" selected="0">
            <x v="12"/>
          </reference>
          <reference field="6" count="1" selected="0">
            <x v="1"/>
          </reference>
          <reference field="7" count="1" selected="0">
            <x v="143"/>
          </reference>
          <reference field="8" count="1" selected="0">
            <x v="500"/>
          </reference>
          <reference field="9" count="1">
            <x v="611"/>
          </reference>
        </references>
      </pivotArea>
    </format>
    <format dxfId="2301">
      <pivotArea dataOnly="0" labelOnly="1" fieldPosition="0">
        <references count="6">
          <reference field="1" count="1" selected="0">
            <x v="60"/>
          </reference>
          <reference field="5" count="1" selected="0">
            <x v="14"/>
          </reference>
          <reference field="6" count="1" selected="0">
            <x v="38"/>
          </reference>
          <reference field="7" count="1" selected="0">
            <x v="143"/>
          </reference>
          <reference field="8" count="1" selected="0">
            <x v="1327"/>
          </reference>
          <reference field="9" count="1">
            <x v="611"/>
          </reference>
        </references>
      </pivotArea>
    </format>
    <format dxfId="2300">
      <pivotArea dataOnly="0" labelOnly="1" fieldPosition="0">
        <references count="6">
          <reference field="1" count="1" selected="0">
            <x v="60"/>
          </reference>
          <reference field="5" count="1" selected="0">
            <x v="15"/>
          </reference>
          <reference field="6" count="1" selected="0">
            <x v="38"/>
          </reference>
          <reference field="7" count="1" selected="0">
            <x v="143"/>
          </reference>
          <reference field="8" count="1" selected="0">
            <x v="1484"/>
          </reference>
          <reference field="9" count="1">
            <x v="611"/>
          </reference>
        </references>
      </pivotArea>
    </format>
    <format dxfId="2299">
      <pivotArea dataOnly="0" labelOnly="1" fieldPosition="0">
        <references count="6">
          <reference field="1" count="1" selected="0">
            <x v="60"/>
          </reference>
          <reference field="5" count="1" selected="0">
            <x v="23"/>
          </reference>
          <reference field="6" count="1" selected="0">
            <x v="38"/>
          </reference>
          <reference field="7" count="1" selected="0">
            <x v="143"/>
          </reference>
          <reference field="8" count="1" selected="0">
            <x v="120"/>
          </reference>
          <reference field="9" count="1">
            <x v="611"/>
          </reference>
        </references>
      </pivotArea>
    </format>
    <format dxfId="2298">
      <pivotArea dataOnly="0" labelOnly="1" fieldPosition="0">
        <references count="6">
          <reference field="1" count="1" selected="0">
            <x v="60"/>
          </reference>
          <reference field="5" count="1" selected="0">
            <x v="26"/>
          </reference>
          <reference field="6" count="1" selected="0">
            <x v="1"/>
          </reference>
          <reference field="7" count="1" selected="0">
            <x v="143"/>
          </reference>
          <reference field="8" count="1" selected="0">
            <x v="39"/>
          </reference>
          <reference field="9" count="1">
            <x v="611"/>
          </reference>
        </references>
      </pivotArea>
    </format>
    <format dxfId="2297">
      <pivotArea dataOnly="0" labelOnly="1" fieldPosition="0">
        <references count="6">
          <reference field="1" count="1" selected="0">
            <x v="60"/>
          </reference>
          <reference field="5" count="1" selected="0">
            <x v="36"/>
          </reference>
          <reference field="6" count="1" selected="0">
            <x v="38"/>
          </reference>
          <reference field="7" count="1" selected="0">
            <x v="143"/>
          </reference>
          <reference field="8" count="1" selected="0">
            <x v="252"/>
          </reference>
          <reference field="9" count="1">
            <x v="611"/>
          </reference>
        </references>
      </pivotArea>
    </format>
    <format dxfId="2296">
      <pivotArea dataOnly="0" labelOnly="1" fieldPosition="0">
        <references count="6">
          <reference field="1" count="1" selected="0">
            <x v="61"/>
          </reference>
          <reference field="5" count="1" selected="0">
            <x v="0"/>
          </reference>
          <reference field="6" count="1" selected="0">
            <x v="12"/>
          </reference>
          <reference field="7" count="1" selected="0">
            <x v="21"/>
          </reference>
          <reference field="8" count="1" selected="0">
            <x v="69"/>
          </reference>
          <reference field="9" count="1">
            <x v="611"/>
          </reference>
        </references>
      </pivotArea>
    </format>
    <format dxfId="2295">
      <pivotArea dataOnly="0" labelOnly="1" fieldPosition="0">
        <references count="6">
          <reference field="1" count="1" selected="0">
            <x v="61"/>
          </reference>
          <reference field="5" count="1" selected="0">
            <x v="7"/>
          </reference>
          <reference field="6" count="1" selected="0">
            <x v="38"/>
          </reference>
          <reference field="7" count="1" selected="0">
            <x v="144"/>
          </reference>
          <reference field="8" count="1" selected="0">
            <x v="1377"/>
          </reference>
          <reference field="9" count="1">
            <x v="611"/>
          </reference>
        </references>
      </pivotArea>
    </format>
    <format dxfId="2294">
      <pivotArea dataOnly="0" labelOnly="1" fieldPosition="0">
        <references count="6">
          <reference field="1" count="1" selected="0">
            <x v="61"/>
          </reference>
          <reference field="5" count="1" selected="0">
            <x v="10"/>
          </reference>
          <reference field="6" count="1" selected="0">
            <x v="33"/>
          </reference>
          <reference field="7" count="1" selected="0">
            <x v="144"/>
          </reference>
          <reference field="8" count="1" selected="0">
            <x v="1835"/>
          </reference>
          <reference field="9" count="1">
            <x v="611"/>
          </reference>
        </references>
      </pivotArea>
    </format>
    <format dxfId="2293">
      <pivotArea dataOnly="0" labelOnly="1" fieldPosition="0">
        <references count="6">
          <reference field="1" count="1" selected="0">
            <x v="61"/>
          </reference>
          <reference field="5" count="1" selected="0">
            <x v="12"/>
          </reference>
          <reference field="6" count="1" selected="0">
            <x v="1"/>
          </reference>
          <reference field="7" count="1" selected="0">
            <x v="144"/>
          </reference>
          <reference field="8" count="1" selected="0">
            <x v="80"/>
          </reference>
          <reference field="9" count="1">
            <x v="611"/>
          </reference>
        </references>
      </pivotArea>
    </format>
    <format dxfId="2292">
      <pivotArea dataOnly="0" labelOnly="1" fieldPosition="0">
        <references count="6">
          <reference field="1" count="1" selected="0">
            <x v="61"/>
          </reference>
          <reference field="5" count="1" selected="0">
            <x v="12"/>
          </reference>
          <reference field="6" count="1" selected="0">
            <x v="1"/>
          </reference>
          <reference field="7" count="1" selected="0">
            <x v="144"/>
          </reference>
          <reference field="8" count="1" selected="0">
            <x v="213"/>
          </reference>
          <reference field="9" count="1">
            <x v="611"/>
          </reference>
        </references>
      </pivotArea>
    </format>
    <format dxfId="2291">
      <pivotArea dataOnly="0" labelOnly="1" fieldPosition="0">
        <references count="6">
          <reference field="1" count="1" selected="0">
            <x v="61"/>
          </reference>
          <reference field="5" count="1" selected="0">
            <x v="19"/>
          </reference>
          <reference field="6" count="1" selected="0">
            <x v="38"/>
          </reference>
          <reference field="7" count="1" selected="0">
            <x v="144"/>
          </reference>
          <reference field="8" count="1" selected="0">
            <x v="520"/>
          </reference>
          <reference field="9" count="1">
            <x v="611"/>
          </reference>
        </references>
      </pivotArea>
    </format>
    <format dxfId="2290">
      <pivotArea dataOnly="0" labelOnly="1" fieldPosition="0">
        <references count="6">
          <reference field="1" count="1" selected="0">
            <x v="61"/>
          </reference>
          <reference field="5" count="1" selected="0">
            <x v="23"/>
          </reference>
          <reference field="6" count="1" selected="0">
            <x v="1"/>
          </reference>
          <reference field="7" count="1" selected="0">
            <x v="144"/>
          </reference>
          <reference field="8" count="1" selected="0">
            <x v="606"/>
          </reference>
          <reference field="9" count="1">
            <x v="611"/>
          </reference>
        </references>
      </pivotArea>
    </format>
    <format dxfId="2289">
      <pivotArea dataOnly="0" labelOnly="1" fieldPosition="0">
        <references count="6">
          <reference field="1" count="1" selected="0">
            <x v="62"/>
          </reference>
          <reference field="5" count="1" selected="0">
            <x v="0"/>
          </reference>
          <reference field="6" count="1" selected="0">
            <x v="5"/>
          </reference>
          <reference field="7" count="1" selected="0">
            <x v="1"/>
          </reference>
          <reference field="8" count="1" selected="0">
            <x v="134"/>
          </reference>
          <reference field="9" count="1">
            <x v="611"/>
          </reference>
        </references>
      </pivotArea>
    </format>
    <format dxfId="2288">
      <pivotArea dataOnly="0" labelOnly="1" fieldPosition="0">
        <references count="6">
          <reference field="1" count="1" selected="0">
            <x v="62"/>
          </reference>
          <reference field="5" count="1" selected="0">
            <x v="0"/>
          </reference>
          <reference field="6" count="1" selected="0">
            <x v="8"/>
          </reference>
          <reference field="7" count="1" selected="0">
            <x v="145"/>
          </reference>
          <reference field="8" count="1" selected="0">
            <x v="187"/>
          </reference>
          <reference field="9" count="1">
            <x v="611"/>
          </reference>
        </references>
      </pivotArea>
    </format>
    <format dxfId="2287">
      <pivotArea dataOnly="0" labelOnly="1" fieldPosition="0">
        <references count="6">
          <reference field="1" count="1" selected="0">
            <x v="62"/>
          </reference>
          <reference field="5" count="1" selected="0">
            <x v="0"/>
          </reference>
          <reference field="6" count="1" selected="0">
            <x v="9"/>
          </reference>
          <reference field="7" count="1" selected="0">
            <x v="145"/>
          </reference>
          <reference field="8" count="1" selected="0">
            <x v="431"/>
          </reference>
          <reference field="9" count="1">
            <x v="611"/>
          </reference>
        </references>
      </pivotArea>
    </format>
    <format dxfId="2286">
      <pivotArea dataOnly="0" labelOnly="1" fieldPosition="0">
        <references count="6">
          <reference field="1" count="1" selected="0">
            <x v="62"/>
          </reference>
          <reference field="5" count="1" selected="0">
            <x v="0"/>
          </reference>
          <reference field="6" count="1" selected="0">
            <x v="9"/>
          </reference>
          <reference field="7" count="1" selected="0">
            <x v="145"/>
          </reference>
          <reference field="8" count="1" selected="0">
            <x v="657"/>
          </reference>
          <reference field="9" count="1">
            <x v="611"/>
          </reference>
        </references>
      </pivotArea>
    </format>
    <format dxfId="2285">
      <pivotArea dataOnly="0" labelOnly="1" fieldPosition="0">
        <references count="6">
          <reference field="1" count="1" selected="0">
            <x v="62"/>
          </reference>
          <reference field="5" count="1" selected="0">
            <x v="0"/>
          </reference>
          <reference field="6" count="1" selected="0">
            <x v="12"/>
          </reference>
          <reference field="7" count="1" selected="0">
            <x v="18"/>
          </reference>
          <reference field="8" count="1" selected="0">
            <x v="59"/>
          </reference>
          <reference field="9" count="1">
            <x v="611"/>
          </reference>
        </references>
      </pivotArea>
    </format>
    <format dxfId="2284">
      <pivotArea dataOnly="0" labelOnly="1" fieldPosition="0">
        <references count="6">
          <reference field="1" count="1" selected="0">
            <x v="62"/>
          </reference>
          <reference field="5" count="1" selected="0">
            <x v="0"/>
          </reference>
          <reference field="6" count="1" selected="0">
            <x v="12"/>
          </reference>
          <reference field="7" count="1" selected="0">
            <x v="26"/>
          </reference>
          <reference field="8" count="1" selected="0">
            <x v="53"/>
          </reference>
          <reference field="9" count="1">
            <x v="611"/>
          </reference>
        </references>
      </pivotArea>
    </format>
    <format dxfId="2283">
      <pivotArea dataOnly="0" labelOnly="1" fieldPosition="0">
        <references count="6">
          <reference field="1" count="1" selected="0">
            <x v="62"/>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2282">
      <pivotArea dataOnly="0" labelOnly="1" fieldPosition="0">
        <references count="6">
          <reference field="1" count="1" selected="0">
            <x v="62"/>
          </reference>
          <reference field="5" count="1" selected="0">
            <x v="2"/>
          </reference>
          <reference field="6" count="1" selected="0">
            <x v="10"/>
          </reference>
          <reference field="7" count="1" selected="0">
            <x v="145"/>
          </reference>
          <reference field="8" count="1" selected="0">
            <x v="1685"/>
          </reference>
          <reference field="9" count="1">
            <x v="611"/>
          </reference>
        </references>
      </pivotArea>
    </format>
    <format dxfId="2281">
      <pivotArea dataOnly="0" labelOnly="1" fieldPosition="0">
        <references count="6">
          <reference field="1" count="1" selected="0">
            <x v="62"/>
          </reference>
          <reference field="5" count="1" selected="0">
            <x v="3"/>
          </reference>
          <reference field="6" count="1" selected="0">
            <x v="10"/>
          </reference>
          <reference field="7" count="1" selected="0">
            <x v="145"/>
          </reference>
          <reference field="8" count="1" selected="0">
            <x v="1261"/>
          </reference>
          <reference field="9" count="1">
            <x v="611"/>
          </reference>
        </references>
      </pivotArea>
    </format>
    <format dxfId="2280">
      <pivotArea dataOnly="0" labelOnly="1" fieldPosition="0">
        <references count="6">
          <reference field="1" count="1" selected="0">
            <x v="62"/>
          </reference>
          <reference field="5" count="1" selected="0">
            <x v="9"/>
          </reference>
          <reference field="6" count="1" selected="0">
            <x v="10"/>
          </reference>
          <reference field="7" count="1" selected="0">
            <x v="145"/>
          </reference>
          <reference field="8" count="1" selected="0">
            <x v="505"/>
          </reference>
          <reference field="9" count="1">
            <x v="611"/>
          </reference>
        </references>
      </pivotArea>
    </format>
    <format dxfId="2279">
      <pivotArea dataOnly="0" labelOnly="1" fieldPosition="0">
        <references count="6">
          <reference field="1" count="1" selected="0">
            <x v="62"/>
          </reference>
          <reference field="5" count="1" selected="0">
            <x v="11"/>
          </reference>
          <reference field="6" count="1" selected="0">
            <x v="10"/>
          </reference>
          <reference field="7" count="1" selected="0">
            <x v="145"/>
          </reference>
          <reference field="8" count="1" selected="0">
            <x v="761"/>
          </reference>
          <reference field="9" count="1">
            <x v="611"/>
          </reference>
        </references>
      </pivotArea>
    </format>
    <format dxfId="2278">
      <pivotArea dataOnly="0" labelOnly="1" fieldPosition="0">
        <references count="6">
          <reference field="1" count="1" selected="0">
            <x v="62"/>
          </reference>
          <reference field="5" count="1" selected="0">
            <x v="12"/>
          </reference>
          <reference field="6" count="1" selected="0">
            <x v="1"/>
          </reference>
          <reference field="7" count="1" selected="0">
            <x v="145"/>
          </reference>
          <reference field="8" count="1" selected="0">
            <x v="213"/>
          </reference>
          <reference field="9" count="1">
            <x v="611"/>
          </reference>
        </references>
      </pivotArea>
    </format>
    <format dxfId="2277">
      <pivotArea dataOnly="0" labelOnly="1" fieldPosition="0">
        <references count="6">
          <reference field="1" count="1" selected="0">
            <x v="62"/>
          </reference>
          <reference field="5" count="1" selected="0">
            <x v="26"/>
          </reference>
          <reference field="6" count="1" selected="0">
            <x v="37"/>
          </reference>
          <reference field="7" count="1" selected="0">
            <x v="145"/>
          </reference>
          <reference field="8" count="1" selected="0">
            <x v="469"/>
          </reference>
          <reference field="9" count="1">
            <x v="611"/>
          </reference>
        </references>
      </pivotArea>
    </format>
    <format dxfId="2276">
      <pivotArea dataOnly="0" labelOnly="1" fieldPosition="0">
        <references count="6">
          <reference field="1" count="1" selected="0">
            <x v="62"/>
          </reference>
          <reference field="5" count="1" selected="0">
            <x v="29"/>
          </reference>
          <reference field="6" count="1" selected="0">
            <x v="10"/>
          </reference>
          <reference field="7" count="1" selected="0">
            <x v="145"/>
          </reference>
          <reference field="8" count="1" selected="0">
            <x v="1091"/>
          </reference>
          <reference field="9" count="1">
            <x v="611"/>
          </reference>
        </references>
      </pivotArea>
    </format>
    <format dxfId="2275">
      <pivotArea dataOnly="0" labelOnly="1" fieldPosition="0">
        <references count="6">
          <reference field="1" count="1" selected="0">
            <x v="62"/>
          </reference>
          <reference field="5" count="1" selected="0">
            <x v="36"/>
          </reference>
          <reference field="6" count="1" selected="0">
            <x v="10"/>
          </reference>
          <reference field="7" count="1" selected="0">
            <x v="145"/>
          </reference>
          <reference field="8" count="1" selected="0">
            <x v="1614"/>
          </reference>
          <reference field="9" count="1">
            <x v="611"/>
          </reference>
        </references>
      </pivotArea>
    </format>
    <format dxfId="2274">
      <pivotArea dataOnly="0" labelOnly="1" fieldPosition="0">
        <references count="6">
          <reference field="1" count="1" selected="0">
            <x v="62"/>
          </reference>
          <reference field="5" count="1" selected="0">
            <x v="37"/>
          </reference>
          <reference field="6" count="1" selected="0">
            <x v="10"/>
          </reference>
          <reference field="7" count="1" selected="0">
            <x v="145"/>
          </reference>
          <reference field="8" count="1" selected="0">
            <x v="1568"/>
          </reference>
          <reference field="9" count="1">
            <x v="611"/>
          </reference>
        </references>
      </pivotArea>
    </format>
    <format dxfId="2273">
      <pivotArea dataOnly="0" labelOnly="1" fieldPosition="0">
        <references count="6">
          <reference field="1" count="1" selected="0">
            <x v="62"/>
          </reference>
          <reference field="5" count="1" selected="0">
            <x v="38"/>
          </reference>
          <reference field="6" count="1" selected="0">
            <x v="10"/>
          </reference>
          <reference field="7" count="1" selected="0">
            <x v="145"/>
          </reference>
          <reference field="8" count="1" selected="0">
            <x v="1107"/>
          </reference>
          <reference field="9" count="1">
            <x v="611"/>
          </reference>
        </references>
      </pivotArea>
    </format>
    <format dxfId="2272">
      <pivotArea dataOnly="0" labelOnly="1" fieldPosition="0">
        <references count="6">
          <reference field="1" count="1" selected="0">
            <x v="63"/>
          </reference>
          <reference field="5" count="1" selected="0">
            <x v="0"/>
          </reference>
          <reference field="6" count="1" selected="0">
            <x v="1"/>
          </reference>
          <reference field="7" count="1" selected="0">
            <x v="146"/>
          </reference>
          <reference field="8" count="1" selected="0">
            <x v="80"/>
          </reference>
          <reference field="9" count="1">
            <x v="611"/>
          </reference>
        </references>
      </pivotArea>
    </format>
    <format dxfId="2271">
      <pivotArea dataOnly="0" labelOnly="1" fieldPosition="0">
        <references count="6">
          <reference field="1" count="1" selected="0">
            <x v="63"/>
          </reference>
          <reference field="5" count="1" selected="0">
            <x v="0"/>
          </reference>
          <reference field="6" count="1" selected="0">
            <x v="6"/>
          </reference>
          <reference field="7" count="1" selected="0">
            <x v="146"/>
          </reference>
          <reference field="8" count="1" selected="0">
            <x v="469"/>
          </reference>
          <reference field="9" count="1">
            <x v="611"/>
          </reference>
        </references>
      </pivotArea>
    </format>
    <format dxfId="2270">
      <pivotArea dataOnly="0" labelOnly="1" fieldPosition="0">
        <references count="6">
          <reference field="1" count="1" selected="0">
            <x v="63"/>
          </reference>
          <reference field="5" count="1" selected="0">
            <x v="0"/>
          </reference>
          <reference field="6" count="1" selected="0">
            <x v="12"/>
          </reference>
          <reference field="7" count="1" selected="0">
            <x v="8"/>
          </reference>
          <reference field="8" count="1" selected="0">
            <x v="37"/>
          </reference>
          <reference field="9" count="1">
            <x v="611"/>
          </reference>
        </references>
      </pivotArea>
    </format>
    <format dxfId="2269">
      <pivotArea dataOnly="0" labelOnly="1" fieldPosition="0">
        <references count="6">
          <reference field="1" count="1" selected="0">
            <x v="63"/>
          </reference>
          <reference field="5" count="1" selected="0">
            <x v="0"/>
          </reference>
          <reference field="6" count="1" selected="0">
            <x v="12"/>
          </reference>
          <reference field="7" count="1" selected="0">
            <x v="38"/>
          </reference>
          <reference field="8" count="1" selected="0">
            <x v="46"/>
          </reference>
          <reference field="9" count="1">
            <x v="611"/>
          </reference>
        </references>
      </pivotArea>
    </format>
    <format dxfId="2268">
      <pivotArea dataOnly="0" labelOnly="1" fieldPosition="0">
        <references count="6">
          <reference field="1" count="1" selected="0">
            <x v="63"/>
          </reference>
          <reference field="5" count="1" selected="0">
            <x v="0"/>
          </reference>
          <reference field="6" count="1" selected="0">
            <x v="38"/>
          </reference>
          <reference field="7" count="1" selected="0">
            <x v="146"/>
          </reference>
          <reference field="8" count="1" selected="0">
            <x v="524"/>
          </reference>
          <reference field="9" count="1">
            <x v="611"/>
          </reference>
        </references>
      </pivotArea>
    </format>
    <format dxfId="2267">
      <pivotArea dataOnly="0" labelOnly="1" fieldPosition="0">
        <references count="6">
          <reference field="1" count="1" selected="0">
            <x v="63"/>
          </reference>
          <reference field="5" count="1" selected="0">
            <x v="8"/>
          </reference>
          <reference field="6" count="1" selected="0">
            <x v="38"/>
          </reference>
          <reference field="7" count="1" selected="0">
            <x v="146"/>
          </reference>
          <reference field="8" count="1" selected="0">
            <x v="846"/>
          </reference>
          <reference field="9" count="1">
            <x v="611"/>
          </reference>
        </references>
      </pivotArea>
    </format>
    <format dxfId="2266">
      <pivotArea dataOnly="0" labelOnly="1" fieldPosition="0">
        <references count="6">
          <reference field="1" count="1" selected="0">
            <x v="63"/>
          </reference>
          <reference field="5" count="1" selected="0">
            <x v="9"/>
          </reference>
          <reference field="6" count="1" selected="0">
            <x v="38"/>
          </reference>
          <reference field="7" count="1" selected="0">
            <x v="146"/>
          </reference>
          <reference field="8" count="1" selected="0">
            <x v="198"/>
          </reference>
          <reference field="9" count="1">
            <x v="611"/>
          </reference>
        </references>
      </pivotArea>
    </format>
    <format dxfId="2265">
      <pivotArea dataOnly="0" labelOnly="1" fieldPosition="0">
        <references count="6">
          <reference field="1" count="1" selected="0">
            <x v="63"/>
          </reference>
          <reference field="5" count="1" selected="0">
            <x v="12"/>
          </reference>
          <reference field="6" count="1" selected="0">
            <x v="1"/>
          </reference>
          <reference field="7" count="1" selected="0">
            <x v="146"/>
          </reference>
          <reference field="8" count="1" selected="0">
            <x v="80"/>
          </reference>
          <reference field="9" count="1">
            <x v="611"/>
          </reference>
        </references>
      </pivotArea>
    </format>
    <format dxfId="2264">
      <pivotArea dataOnly="0" labelOnly="1" fieldPosition="0">
        <references count="6">
          <reference field="1" count="1" selected="0">
            <x v="63"/>
          </reference>
          <reference field="5" count="1" selected="0">
            <x v="12"/>
          </reference>
          <reference field="6" count="1" selected="0">
            <x v="1"/>
          </reference>
          <reference field="7" count="1" selected="0">
            <x v="146"/>
          </reference>
          <reference field="8" count="1" selected="0">
            <x v="352"/>
          </reference>
          <reference field="9" count="1">
            <x v="611"/>
          </reference>
        </references>
      </pivotArea>
    </format>
    <format dxfId="2263">
      <pivotArea dataOnly="0" labelOnly="1" fieldPosition="0">
        <references count="6">
          <reference field="1" count="1" selected="0">
            <x v="63"/>
          </reference>
          <reference field="5" count="1" selected="0">
            <x v="15"/>
          </reference>
          <reference field="6" count="1" selected="0">
            <x v="1"/>
          </reference>
          <reference field="7" count="1" selected="0">
            <x v="146"/>
          </reference>
          <reference field="8" count="1" selected="0">
            <x v="383"/>
          </reference>
          <reference field="9" count="1">
            <x v="611"/>
          </reference>
        </references>
      </pivotArea>
    </format>
    <format dxfId="2262">
      <pivotArea dataOnly="0" labelOnly="1" fieldPosition="0">
        <references count="6">
          <reference field="1" count="1" selected="0">
            <x v="63"/>
          </reference>
          <reference field="5" count="1" selected="0">
            <x v="30"/>
          </reference>
          <reference field="6" count="1" selected="0">
            <x v="6"/>
          </reference>
          <reference field="7" count="1" selected="0">
            <x v="146"/>
          </reference>
          <reference field="8" count="1" selected="0">
            <x v="1795"/>
          </reference>
          <reference field="9" count="1">
            <x v="611"/>
          </reference>
        </references>
      </pivotArea>
    </format>
    <format dxfId="2261">
      <pivotArea dataOnly="0" labelOnly="1" fieldPosition="0">
        <references count="6">
          <reference field="1" count="1" selected="0">
            <x v="64"/>
          </reference>
          <reference field="5" count="1" selected="0">
            <x v="0"/>
          </reference>
          <reference field="6" count="1" selected="0">
            <x v="1"/>
          </reference>
          <reference field="7" count="1" selected="0">
            <x v="148"/>
          </reference>
          <reference field="8" count="1" selected="0">
            <x v="80"/>
          </reference>
          <reference field="9" count="1">
            <x v="611"/>
          </reference>
        </references>
      </pivotArea>
    </format>
    <format dxfId="2260">
      <pivotArea dataOnly="0" labelOnly="1" fieldPosition="0">
        <references count="6">
          <reference field="1" count="1" selected="0">
            <x v="64"/>
          </reference>
          <reference field="5" count="1" selected="0">
            <x v="0"/>
          </reference>
          <reference field="6" count="1" selected="0">
            <x v="11"/>
          </reference>
          <reference field="7" count="1" selected="0">
            <x v="51"/>
          </reference>
          <reference field="8" count="1" selected="0">
            <x v="39"/>
          </reference>
          <reference field="9" count="1">
            <x v="611"/>
          </reference>
        </references>
      </pivotArea>
    </format>
    <format dxfId="2259">
      <pivotArea dataOnly="0" labelOnly="1" fieldPosition="0">
        <references count="6">
          <reference field="1" count="1" selected="0">
            <x v="64"/>
          </reference>
          <reference field="5" count="1" selected="0">
            <x v="0"/>
          </reference>
          <reference field="6" count="1" selected="0">
            <x v="12"/>
          </reference>
          <reference field="7" count="1" selected="0">
            <x v="10"/>
          </reference>
          <reference field="8" count="1" selected="0">
            <x v="9"/>
          </reference>
          <reference field="9" count="1">
            <x v="611"/>
          </reference>
        </references>
      </pivotArea>
    </format>
    <format dxfId="2258">
      <pivotArea dataOnly="0" labelOnly="1" fieldPosition="0">
        <references count="6">
          <reference field="1" count="1" selected="0">
            <x v="64"/>
          </reference>
          <reference field="5" count="1" selected="0">
            <x v="0"/>
          </reference>
          <reference field="6" count="1" selected="0">
            <x v="12"/>
          </reference>
          <reference field="7" count="1" selected="0">
            <x v="50"/>
          </reference>
          <reference field="8" count="1" selected="0">
            <x v="469"/>
          </reference>
          <reference field="9" count="1">
            <x v="611"/>
          </reference>
        </references>
      </pivotArea>
    </format>
    <format dxfId="2257">
      <pivotArea dataOnly="0" labelOnly="1" fieldPosition="0">
        <references count="6">
          <reference field="1" count="1" selected="0">
            <x v="64"/>
          </reference>
          <reference field="5" count="1" selected="0">
            <x v="0"/>
          </reference>
          <reference field="6" count="1" selected="0">
            <x v="25"/>
          </reference>
          <reference field="7" count="1" selected="0">
            <x v="147"/>
          </reference>
          <reference field="8" count="1" selected="0">
            <x v="454"/>
          </reference>
          <reference field="9" count="1">
            <x v="611"/>
          </reference>
        </references>
      </pivotArea>
    </format>
    <format dxfId="2256">
      <pivotArea dataOnly="0" labelOnly="1" fieldPosition="0">
        <references count="6">
          <reference field="1" count="1" selected="0">
            <x v="64"/>
          </reference>
          <reference field="5" count="1" selected="0">
            <x v="0"/>
          </reference>
          <reference field="6" count="1" selected="0">
            <x v="25"/>
          </reference>
          <reference field="7" count="1" selected="0">
            <x v="147"/>
          </reference>
          <reference field="8" count="1" selected="0">
            <x v="727"/>
          </reference>
          <reference field="9" count="1">
            <x v="611"/>
          </reference>
        </references>
      </pivotArea>
    </format>
    <format dxfId="2255">
      <pivotArea dataOnly="0" labelOnly="1" fieldPosition="0">
        <references count="6">
          <reference field="1" count="1" selected="0">
            <x v="64"/>
          </reference>
          <reference field="5" count="1" selected="0">
            <x v="0"/>
          </reference>
          <reference field="6" count="1" selected="0">
            <x v="25"/>
          </reference>
          <reference field="7" count="1" selected="0">
            <x v="147"/>
          </reference>
          <reference field="8" count="1" selected="0">
            <x v="1042"/>
          </reference>
          <reference field="9" count="1">
            <x v="611"/>
          </reference>
        </references>
      </pivotArea>
    </format>
    <format dxfId="2254">
      <pivotArea dataOnly="0" labelOnly="1" fieldPosition="0">
        <references count="6">
          <reference field="1" count="1" selected="0">
            <x v="64"/>
          </reference>
          <reference field="5" count="1" selected="0">
            <x v="0"/>
          </reference>
          <reference field="6" count="1" selected="0">
            <x v="25"/>
          </reference>
          <reference field="7" count="1" selected="0">
            <x v="147"/>
          </reference>
          <reference field="8" count="1" selected="0">
            <x v="1615"/>
          </reference>
          <reference field="9" count="1">
            <x v="611"/>
          </reference>
        </references>
      </pivotArea>
    </format>
    <format dxfId="2253">
      <pivotArea dataOnly="0" labelOnly="1" fieldPosition="0">
        <references count="6">
          <reference field="1" count="1" selected="0">
            <x v="64"/>
          </reference>
          <reference field="5" count="1" selected="0">
            <x v="0"/>
          </reference>
          <reference field="6" count="1" selected="0">
            <x v="38"/>
          </reference>
          <reference field="7" count="1" selected="0">
            <x v="148"/>
          </reference>
          <reference field="8" count="1" selected="0">
            <x v="592"/>
          </reference>
          <reference field="9" count="1">
            <x v="611"/>
          </reference>
        </references>
      </pivotArea>
    </format>
    <format dxfId="2252">
      <pivotArea dataOnly="0" labelOnly="1" fieldPosition="0">
        <references count="6">
          <reference field="1" count="1" selected="0">
            <x v="64"/>
          </reference>
          <reference field="5" count="1" selected="0">
            <x v="2"/>
          </reference>
          <reference field="6" count="1" selected="0">
            <x v="25"/>
          </reference>
          <reference field="7" count="1" selected="0">
            <x v="147"/>
          </reference>
          <reference field="8" count="1" selected="0">
            <x v="1822"/>
          </reference>
          <reference field="9" count="1">
            <x v="611"/>
          </reference>
        </references>
      </pivotArea>
    </format>
    <format dxfId="2251">
      <pivotArea dataOnly="0" labelOnly="1" fieldPosition="0">
        <references count="6">
          <reference field="1" count="1" selected="0">
            <x v="64"/>
          </reference>
          <reference field="5" count="1" selected="0">
            <x v="12"/>
          </reference>
          <reference field="6" count="1" selected="0">
            <x v="1"/>
          </reference>
          <reference field="7" count="1" selected="0">
            <x v="148"/>
          </reference>
          <reference field="8" count="1" selected="0">
            <x v="213"/>
          </reference>
          <reference field="9" count="1">
            <x v="611"/>
          </reference>
        </references>
      </pivotArea>
    </format>
    <format dxfId="2250">
      <pivotArea dataOnly="0" labelOnly="1" fieldPosition="0">
        <references count="6">
          <reference field="1" count="1" selected="0">
            <x v="64"/>
          </reference>
          <reference field="5" count="1" selected="0">
            <x v="12"/>
          </reference>
          <reference field="6" count="1" selected="0">
            <x v="1"/>
          </reference>
          <reference field="7" count="1" selected="0">
            <x v="148"/>
          </reference>
          <reference field="8" count="1" selected="0">
            <x v="352"/>
          </reference>
          <reference field="9" count="1">
            <x v="611"/>
          </reference>
        </references>
      </pivotArea>
    </format>
    <format dxfId="2249">
      <pivotArea dataOnly="0" labelOnly="1" fieldPosition="0">
        <references count="6">
          <reference field="1" count="1" selected="0">
            <x v="64"/>
          </reference>
          <reference field="5" count="1" selected="0">
            <x v="12"/>
          </reference>
          <reference field="6" count="1" selected="0">
            <x v="1"/>
          </reference>
          <reference field="7" count="1" selected="0">
            <x v="148"/>
          </reference>
          <reference field="8" count="1" selected="0">
            <x v="607"/>
          </reference>
          <reference field="9" count="1">
            <x v="611"/>
          </reference>
        </references>
      </pivotArea>
    </format>
    <format dxfId="2248">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476"/>
          </reference>
          <reference field="9" count="1">
            <x v="611"/>
          </reference>
        </references>
      </pivotArea>
    </format>
    <format dxfId="2247">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961"/>
          </reference>
          <reference field="9" count="1">
            <x v="611"/>
          </reference>
        </references>
      </pivotArea>
    </format>
    <format dxfId="2246">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987"/>
          </reference>
          <reference field="9" count="1">
            <x v="611"/>
          </reference>
        </references>
      </pivotArea>
    </format>
    <format dxfId="2245">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026"/>
          </reference>
          <reference field="9" count="1">
            <x v="611"/>
          </reference>
        </references>
      </pivotArea>
    </format>
    <format dxfId="2244">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117"/>
          </reference>
          <reference field="9" count="1">
            <x v="611"/>
          </reference>
        </references>
      </pivotArea>
    </format>
    <format dxfId="2243">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250"/>
          </reference>
          <reference field="9" count="1">
            <x v="611"/>
          </reference>
        </references>
      </pivotArea>
    </format>
    <format dxfId="2242">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287"/>
          </reference>
          <reference field="9" count="1">
            <x v="611"/>
          </reference>
        </references>
      </pivotArea>
    </format>
    <format dxfId="2241">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314"/>
          </reference>
          <reference field="9" count="1">
            <x v="611"/>
          </reference>
        </references>
      </pivotArea>
    </format>
    <format dxfId="2240">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411"/>
          </reference>
          <reference field="9" count="1">
            <x v="611"/>
          </reference>
        </references>
      </pivotArea>
    </format>
    <format dxfId="2239">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419"/>
          </reference>
          <reference field="9" count="1">
            <x v="611"/>
          </reference>
        </references>
      </pivotArea>
    </format>
    <format dxfId="2238">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422"/>
          </reference>
          <reference field="9" count="1">
            <x v="611"/>
          </reference>
        </references>
      </pivotArea>
    </format>
    <format dxfId="2237">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454"/>
          </reference>
          <reference field="9" count="1">
            <x v="611"/>
          </reference>
        </references>
      </pivotArea>
    </format>
    <format dxfId="2236">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486"/>
          </reference>
          <reference field="9" count="1">
            <x v="611"/>
          </reference>
        </references>
      </pivotArea>
    </format>
    <format dxfId="2235">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557"/>
          </reference>
          <reference field="9" count="1">
            <x v="611"/>
          </reference>
        </references>
      </pivotArea>
    </format>
    <format dxfId="2234">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580"/>
          </reference>
          <reference field="9" count="1">
            <x v="611"/>
          </reference>
        </references>
      </pivotArea>
    </format>
    <format dxfId="2233">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624"/>
          </reference>
          <reference field="9" count="1">
            <x v="611"/>
          </reference>
        </references>
      </pivotArea>
    </format>
    <format dxfId="2232">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628"/>
          </reference>
          <reference field="9" count="1">
            <x v="611"/>
          </reference>
        </references>
      </pivotArea>
    </format>
    <format dxfId="2231">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645"/>
          </reference>
          <reference field="9" count="1">
            <x v="611"/>
          </reference>
        </references>
      </pivotArea>
    </format>
    <format dxfId="2230">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657"/>
          </reference>
          <reference field="9" count="1">
            <x v="611"/>
          </reference>
        </references>
      </pivotArea>
    </format>
    <format dxfId="2229">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667"/>
          </reference>
          <reference field="9" count="1">
            <x v="611"/>
          </reference>
        </references>
      </pivotArea>
    </format>
    <format dxfId="2228">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668"/>
          </reference>
          <reference field="9" count="1">
            <x v="611"/>
          </reference>
        </references>
      </pivotArea>
    </format>
    <format dxfId="2227">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691"/>
          </reference>
          <reference field="9" count="1">
            <x v="611"/>
          </reference>
        </references>
      </pivotArea>
    </format>
    <format dxfId="2226">
      <pivotArea dataOnly="0" labelOnly="1" fieldPosition="0">
        <references count="6">
          <reference field="1" count="1" selected="0">
            <x v="64"/>
          </reference>
          <reference field="5" count="1" selected="0">
            <x v="12"/>
          </reference>
          <reference field="6" count="1" selected="0">
            <x v="25"/>
          </reference>
          <reference field="7" count="1" selected="0">
            <x v="147"/>
          </reference>
          <reference field="8" count="1" selected="0">
            <x v="1778"/>
          </reference>
          <reference field="9" count="1">
            <x v="611"/>
          </reference>
        </references>
      </pivotArea>
    </format>
    <format dxfId="2225">
      <pivotArea dataOnly="0" labelOnly="1" fieldPosition="0">
        <references count="6">
          <reference field="1" count="1" selected="0">
            <x v="64"/>
          </reference>
          <reference field="5" count="1" selected="0">
            <x v="15"/>
          </reference>
          <reference field="6" count="1" selected="0">
            <x v="25"/>
          </reference>
          <reference field="7" count="1" selected="0">
            <x v="147"/>
          </reference>
          <reference field="8" count="1" selected="0">
            <x v="67"/>
          </reference>
          <reference field="9" count="1">
            <x v="611"/>
          </reference>
        </references>
      </pivotArea>
    </format>
    <format dxfId="2224">
      <pivotArea dataOnly="0" labelOnly="1" fieldPosition="0">
        <references count="6">
          <reference field="1" count="1" selected="0">
            <x v="64"/>
          </reference>
          <reference field="5" count="1" selected="0">
            <x v="19"/>
          </reference>
          <reference field="6" count="1" selected="0">
            <x v="6"/>
          </reference>
          <reference field="7" count="1" selected="0">
            <x v="148"/>
          </reference>
          <reference field="8" count="1" selected="0">
            <x v="480"/>
          </reference>
          <reference field="9" count="1">
            <x v="611"/>
          </reference>
        </references>
      </pivotArea>
    </format>
    <format dxfId="2223">
      <pivotArea dataOnly="0" labelOnly="1" fieldPosition="0">
        <references count="6">
          <reference field="1" count="1" selected="0">
            <x v="64"/>
          </reference>
          <reference field="5" count="1" selected="0">
            <x v="23"/>
          </reference>
          <reference field="6" count="1" selected="0">
            <x v="25"/>
          </reference>
          <reference field="7" count="1" selected="0">
            <x v="147"/>
          </reference>
          <reference field="8" count="1" selected="0">
            <x v="1880"/>
          </reference>
          <reference field="9" count="1">
            <x v="611"/>
          </reference>
        </references>
      </pivotArea>
    </format>
    <format dxfId="2222">
      <pivotArea dataOnly="0" labelOnly="1" fieldPosition="0">
        <references count="6">
          <reference field="1" count="1" selected="0">
            <x v="64"/>
          </reference>
          <reference field="5" count="1" selected="0">
            <x v="24"/>
          </reference>
          <reference field="6" count="1" selected="0">
            <x v="25"/>
          </reference>
          <reference field="7" count="1" selected="0">
            <x v="147"/>
          </reference>
          <reference field="8" count="1" selected="0">
            <x v="1817"/>
          </reference>
          <reference field="9" count="1">
            <x v="611"/>
          </reference>
        </references>
      </pivotArea>
    </format>
    <format dxfId="2221">
      <pivotArea dataOnly="0" labelOnly="1" fieldPosition="0">
        <references count="6">
          <reference field="1" count="1" selected="0">
            <x v="64"/>
          </reference>
          <reference field="5" count="1" selected="0">
            <x v="27"/>
          </reference>
          <reference field="6" count="1" selected="0">
            <x v="25"/>
          </reference>
          <reference field="7" count="1" selected="0">
            <x v="147"/>
          </reference>
          <reference field="8" count="1" selected="0">
            <x v="570"/>
          </reference>
          <reference field="9" count="1">
            <x v="611"/>
          </reference>
        </references>
      </pivotArea>
    </format>
    <format dxfId="2220">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207"/>
          </reference>
          <reference field="9" count="1">
            <x v="611"/>
          </reference>
        </references>
      </pivotArea>
    </format>
    <format dxfId="2219">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244"/>
          </reference>
          <reference field="9" count="1">
            <x v="611"/>
          </reference>
        </references>
      </pivotArea>
    </format>
    <format dxfId="2218">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361"/>
          </reference>
          <reference field="9" count="1">
            <x v="611"/>
          </reference>
        </references>
      </pivotArea>
    </format>
    <format dxfId="2217">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406"/>
          </reference>
          <reference field="9" count="1">
            <x v="611"/>
          </reference>
        </references>
      </pivotArea>
    </format>
    <format dxfId="2216">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598"/>
          </reference>
          <reference field="9" count="1">
            <x v="611"/>
          </reference>
        </references>
      </pivotArea>
    </format>
    <format dxfId="2215">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916"/>
          </reference>
          <reference field="9" count="1">
            <x v="611"/>
          </reference>
        </references>
      </pivotArea>
    </format>
    <format dxfId="2214">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953"/>
          </reference>
          <reference field="9" count="1">
            <x v="611"/>
          </reference>
        </references>
      </pivotArea>
    </format>
    <format dxfId="2213">
      <pivotArea dataOnly="0" labelOnly="1" fieldPosition="0">
        <references count="6">
          <reference field="1" count="1" selected="0">
            <x v="64"/>
          </reference>
          <reference field="5" count="1" selected="0">
            <x v="35"/>
          </reference>
          <reference field="6" count="1" selected="0">
            <x v="25"/>
          </reference>
          <reference field="7" count="1" selected="0">
            <x v="147"/>
          </reference>
          <reference field="8" count="1" selected="0">
            <x v="990"/>
          </reference>
          <reference field="9" count="1">
            <x v="611"/>
          </reference>
        </references>
      </pivotArea>
    </format>
    <format dxfId="2212">
      <pivotArea dataOnly="0" labelOnly="1" fieldPosition="0">
        <references count="6">
          <reference field="1" count="1" selected="0">
            <x v="64"/>
          </reference>
          <reference field="5" count="1" selected="0">
            <x v="37"/>
          </reference>
          <reference field="6" count="1" selected="0">
            <x v="25"/>
          </reference>
          <reference field="7" count="1" selected="0">
            <x v="147"/>
          </reference>
          <reference field="8" count="1" selected="0">
            <x v="1823"/>
          </reference>
          <reference field="9" count="1">
            <x v="611"/>
          </reference>
        </references>
      </pivotArea>
    </format>
    <format dxfId="2211">
      <pivotArea dataOnly="0" labelOnly="1" fieldPosition="0">
        <references count="6">
          <reference field="1" count="1" selected="0">
            <x v="65"/>
          </reference>
          <reference field="5" count="1" selected="0">
            <x v="0"/>
          </reference>
          <reference field="6" count="1" selected="0">
            <x v="9"/>
          </reference>
          <reference field="7" count="1" selected="0">
            <x v="149"/>
          </reference>
          <reference field="8" count="1" selected="0">
            <x v="542"/>
          </reference>
          <reference field="9" count="1">
            <x v="611"/>
          </reference>
        </references>
      </pivotArea>
    </format>
    <format dxfId="2210">
      <pivotArea dataOnly="0" labelOnly="1" fieldPosition="0">
        <references count="6">
          <reference field="1" count="1" selected="0">
            <x v="65"/>
          </reference>
          <reference field="5" count="1" selected="0">
            <x v="0"/>
          </reference>
          <reference field="6" count="1" selected="0">
            <x v="9"/>
          </reference>
          <reference field="7" count="1" selected="0">
            <x v="149"/>
          </reference>
          <reference field="8" count="1" selected="0">
            <x v="603"/>
          </reference>
          <reference field="9" count="1">
            <x v="611"/>
          </reference>
        </references>
      </pivotArea>
    </format>
    <format dxfId="2209">
      <pivotArea dataOnly="0" labelOnly="1" fieldPosition="0">
        <references count="6">
          <reference field="1" count="1" selected="0">
            <x v="65"/>
          </reference>
          <reference field="5" count="1" selected="0">
            <x v="0"/>
          </reference>
          <reference field="6" count="1" selected="0">
            <x v="9"/>
          </reference>
          <reference field="7" count="1" selected="0">
            <x v="149"/>
          </reference>
          <reference field="8" count="1" selected="0">
            <x v="1230"/>
          </reference>
          <reference field="9" count="1">
            <x v="611"/>
          </reference>
        </references>
      </pivotArea>
    </format>
    <format dxfId="2208">
      <pivotArea dataOnly="0" labelOnly="1" fieldPosition="0">
        <references count="6">
          <reference field="1" count="1" selected="0">
            <x v="65"/>
          </reference>
          <reference field="5" count="1" selected="0">
            <x v="0"/>
          </reference>
          <reference field="6" count="1" selected="0">
            <x v="9"/>
          </reference>
          <reference field="7" count="1" selected="0">
            <x v="149"/>
          </reference>
          <reference field="8" count="1" selected="0">
            <x v="1388"/>
          </reference>
          <reference field="9" count="1">
            <x v="611"/>
          </reference>
        </references>
      </pivotArea>
    </format>
    <format dxfId="2207">
      <pivotArea dataOnly="0" labelOnly="1" fieldPosition="0">
        <references count="6">
          <reference field="1" count="1" selected="0">
            <x v="65"/>
          </reference>
          <reference field="5" count="1" selected="0">
            <x v="0"/>
          </reference>
          <reference field="6" count="1" selected="0">
            <x v="38"/>
          </reference>
          <reference field="7" count="1" selected="0">
            <x v="149"/>
          </reference>
          <reference field="8" count="1" selected="0">
            <x v="262"/>
          </reference>
          <reference field="9" count="1">
            <x v="611"/>
          </reference>
        </references>
      </pivotArea>
    </format>
    <format dxfId="2206">
      <pivotArea dataOnly="0" labelOnly="1" fieldPosition="0">
        <references count="6">
          <reference field="1" count="1" selected="0">
            <x v="65"/>
          </reference>
          <reference field="5" count="1" selected="0">
            <x v="0"/>
          </reference>
          <reference field="6" count="1" selected="0">
            <x v="38"/>
          </reference>
          <reference field="7" count="1" selected="0">
            <x v="149"/>
          </reference>
          <reference field="8" count="1" selected="0">
            <x v="469"/>
          </reference>
          <reference field="9" count="1">
            <x v="611"/>
          </reference>
        </references>
      </pivotArea>
    </format>
    <format dxfId="2205">
      <pivotArea dataOnly="0" labelOnly="1" fieldPosition="0">
        <references count="6">
          <reference field="1" count="1" selected="0">
            <x v="65"/>
          </reference>
          <reference field="5" count="1" selected="0">
            <x v="3"/>
          </reference>
          <reference field="6" count="1" selected="0">
            <x v="38"/>
          </reference>
          <reference field="7" count="1" selected="0">
            <x v="149"/>
          </reference>
          <reference field="8" count="1" selected="0">
            <x v="109"/>
          </reference>
          <reference field="9" count="1">
            <x v="611"/>
          </reference>
        </references>
      </pivotArea>
    </format>
    <format dxfId="2204">
      <pivotArea dataOnly="0" labelOnly="1" fieldPosition="0">
        <references count="6">
          <reference field="1" count="1" selected="0">
            <x v="65"/>
          </reference>
          <reference field="5" count="1" selected="0">
            <x v="5"/>
          </reference>
          <reference field="6" count="1" selected="0">
            <x v="38"/>
          </reference>
          <reference field="7" count="1" selected="0">
            <x v="149"/>
          </reference>
          <reference field="8" count="1" selected="0">
            <x v="1801"/>
          </reference>
          <reference field="9" count="1">
            <x v="611"/>
          </reference>
        </references>
      </pivotArea>
    </format>
    <format dxfId="2203">
      <pivotArea dataOnly="0" labelOnly="1" fieldPosition="0">
        <references count="6">
          <reference field="1" count="1" selected="0">
            <x v="65"/>
          </reference>
          <reference field="5" count="1" selected="0">
            <x v="6"/>
          </reference>
          <reference field="6" count="1" selected="0">
            <x v="38"/>
          </reference>
          <reference field="7" count="1" selected="0">
            <x v="149"/>
          </reference>
          <reference field="8" count="1" selected="0">
            <x v="678"/>
          </reference>
          <reference field="9" count="1">
            <x v="611"/>
          </reference>
        </references>
      </pivotArea>
    </format>
    <format dxfId="2202">
      <pivotArea dataOnly="0" labelOnly="1" fieldPosition="0">
        <references count="6">
          <reference field="1" count="1" selected="0">
            <x v="65"/>
          </reference>
          <reference field="5" count="1" selected="0">
            <x v="8"/>
          </reference>
          <reference field="6" count="1" selected="0">
            <x v="10"/>
          </reference>
          <reference field="7" count="1" selected="0">
            <x v="149"/>
          </reference>
          <reference field="8" count="1" selected="0">
            <x v="1315"/>
          </reference>
          <reference field="9" count="1">
            <x v="611"/>
          </reference>
        </references>
      </pivotArea>
    </format>
    <format dxfId="2201">
      <pivotArea dataOnly="0" labelOnly="1" fieldPosition="0">
        <references count="6">
          <reference field="1" count="1" selected="0">
            <x v="65"/>
          </reference>
          <reference field="5" count="1" selected="0">
            <x v="8"/>
          </reference>
          <reference field="6" count="1" selected="0">
            <x v="38"/>
          </reference>
          <reference field="7" count="1" selected="0">
            <x v="149"/>
          </reference>
          <reference field="8" count="1" selected="0">
            <x v="828"/>
          </reference>
          <reference field="9" count="1">
            <x v="611"/>
          </reference>
        </references>
      </pivotArea>
    </format>
    <format dxfId="2200">
      <pivotArea dataOnly="0" labelOnly="1" fieldPosition="0">
        <references count="6">
          <reference field="1" count="1" selected="0">
            <x v="65"/>
          </reference>
          <reference field="5" count="1" selected="0">
            <x v="10"/>
          </reference>
          <reference field="6" count="1" selected="0">
            <x v="38"/>
          </reference>
          <reference field="7" count="1" selected="0">
            <x v="149"/>
          </reference>
          <reference field="8" count="1" selected="0">
            <x v="1729"/>
          </reference>
          <reference field="9" count="1">
            <x v="611"/>
          </reference>
        </references>
      </pivotArea>
    </format>
    <format dxfId="2199">
      <pivotArea dataOnly="0" labelOnly="1" fieldPosition="0">
        <references count="6">
          <reference field="1" count="1" selected="0">
            <x v="65"/>
          </reference>
          <reference field="5" count="1" selected="0">
            <x v="12"/>
          </reference>
          <reference field="6" count="1" selected="0">
            <x v="1"/>
          </reference>
          <reference field="7" count="1" selected="0">
            <x v="149"/>
          </reference>
          <reference field="8" count="1" selected="0">
            <x v="80"/>
          </reference>
          <reference field="9" count="1">
            <x v="611"/>
          </reference>
        </references>
      </pivotArea>
    </format>
    <format dxfId="2198">
      <pivotArea dataOnly="0" labelOnly="1" fieldPosition="0">
        <references count="6">
          <reference field="1" count="1" selected="0">
            <x v="65"/>
          </reference>
          <reference field="5" count="1" selected="0">
            <x v="12"/>
          </reference>
          <reference field="6" count="1" selected="0">
            <x v="1"/>
          </reference>
          <reference field="7" count="1" selected="0">
            <x v="149"/>
          </reference>
          <reference field="8" count="1" selected="0">
            <x v="213"/>
          </reference>
          <reference field="9" count="1">
            <x v="611"/>
          </reference>
        </references>
      </pivotArea>
    </format>
    <format dxfId="2197">
      <pivotArea dataOnly="0" labelOnly="1" fieldPosition="0">
        <references count="6">
          <reference field="1" count="1" selected="0">
            <x v="65"/>
          </reference>
          <reference field="5" count="1" selected="0">
            <x v="15"/>
          </reference>
          <reference field="6" count="1" selected="0">
            <x v="8"/>
          </reference>
          <reference field="7" count="1" selected="0">
            <x v="149"/>
          </reference>
          <reference field="8" count="1" selected="0">
            <x v="622"/>
          </reference>
          <reference field="9" count="1">
            <x v="611"/>
          </reference>
        </references>
      </pivotArea>
    </format>
    <format dxfId="2196">
      <pivotArea dataOnly="0" labelOnly="1" fieldPosition="0">
        <references count="6">
          <reference field="1" count="1" selected="0">
            <x v="65"/>
          </reference>
          <reference field="5" count="1" selected="0">
            <x v="15"/>
          </reference>
          <reference field="6" count="1" selected="0">
            <x v="9"/>
          </reference>
          <reference field="7" count="1" selected="0">
            <x v="149"/>
          </reference>
          <reference field="8" count="1" selected="0">
            <x v="333"/>
          </reference>
          <reference field="9" count="1">
            <x v="611"/>
          </reference>
        </references>
      </pivotArea>
    </format>
    <format dxfId="2195">
      <pivotArea dataOnly="0" labelOnly="1" fieldPosition="0">
        <references count="6">
          <reference field="1" count="1" selected="0">
            <x v="65"/>
          </reference>
          <reference field="5" count="1" selected="0">
            <x v="15"/>
          </reference>
          <reference field="6" count="1" selected="0">
            <x v="10"/>
          </reference>
          <reference field="7" count="1" selected="0">
            <x v="149"/>
          </reference>
          <reference field="8" count="1" selected="0">
            <x v="1416"/>
          </reference>
          <reference field="9" count="1">
            <x v="611"/>
          </reference>
        </references>
      </pivotArea>
    </format>
    <format dxfId="2194">
      <pivotArea dataOnly="0" labelOnly="1" fieldPosition="0">
        <references count="6">
          <reference field="1" count="1" selected="0">
            <x v="65"/>
          </reference>
          <reference field="5" count="1" selected="0">
            <x v="15"/>
          </reference>
          <reference field="6" count="1" selected="0">
            <x v="38"/>
          </reference>
          <reference field="7" count="1" selected="0">
            <x v="149"/>
          </reference>
          <reference field="8" count="1" selected="0">
            <x v="1037"/>
          </reference>
          <reference field="9" count="1">
            <x v="611"/>
          </reference>
        </references>
      </pivotArea>
    </format>
    <format dxfId="2193">
      <pivotArea dataOnly="0" labelOnly="1" fieldPosition="0">
        <references count="6">
          <reference field="1" count="1" selected="0">
            <x v="65"/>
          </reference>
          <reference field="5" count="1" selected="0">
            <x v="23"/>
          </reference>
          <reference field="6" count="1" selected="0">
            <x v="7"/>
          </reference>
          <reference field="7" count="1" selected="0">
            <x v="149"/>
          </reference>
          <reference field="8" count="1" selected="0">
            <x v="1274"/>
          </reference>
          <reference field="9" count="1">
            <x v="611"/>
          </reference>
        </references>
      </pivotArea>
    </format>
    <format dxfId="2192">
      <pivotArea dataOnly="0" labelOnly="1" fieldPosition="0">
        <references count="6">
          <reference field="1" count="1" selected="0">
            <x v="66"/>
          </reference>
          <reference field="5" count="1" selected="0">
            <x v="0"/>
          </reference>
          <reference field="6" count="1" selected="0">
            <x v="1"/>
          </reference>
          <reference field="7" count="1" selected="0">
            <x v="150"/>
          </reference>
          <reference field="8" count="1" selected="0">
            <x v="80"/>
          </reference>
          <reference field="9" count="1">
            <x v="611"/>
          </reference>
        </references>
      </pivotArea>
    </format>
    <format dxfId="2191">
      <pivotArea dataOnly="0" labelOnly="1" fieldPosition="0">
        <references count="6">
          <reference field="1" count="1" selected="0">
            <x v="66"/>
          </reference>
          <reference field="5" count="1" selected="0">
            <x v="0"/>
          </reference>
          <reference field="6" count="1" selected="0">
            <x v="9"/>
          </reference>
          <reference field="7" count="1" selected="0">
            <x v="150"/>
          </reference>
          <reference field="8" count="1" selected="0">
            <x v="491"/>
          </reference>
          <reference field="9" count="1">
            <x v="611"/>
          </reference>
        </references>
      </pivotArea>
    </format>
    <format dxfId="2190">
      <pivotArea dataOnly="0" labelOnly="1" fieldPosition="0">
        <references count="6">
          <reference field="1" count="1" selected="0">
            <x v="66"/>
          </reference>
          <reference field="5" count="1" selected="0">
            <x v="0"/>
          </reference>
          <reference field="6" count="1" selected="0">
            <x v="9"/>
          </reference>
          <reference field="7" count="1" selected="0">
            <x v="150"/>
          </reference>
          <reference field="8" count="1" selected="0">
            <x v="813"/>
          </reference>
          <reference field="9" count="1">
            <x v="611"/>
          </reference>
        </references>
      </pivotArea>
    </format>
    <format dxfId="2189">
      <pivotArea dataOnly="0" labelOnly="1" fieldPosition="0">
        <references count="6">
          <reference field="1" count="1" selected="0">
            <x v="66"/>
          </reference>
          <reference field="5" count="1" selected="0">
            <x v="0"/>
          </reference>
          <reference field="6" count="1" selected="0">
            <x v="9"/>
          </reference>
          <reference field="7" count="1" selected="0">
            <x v="150"/>
          </reference>
          <reference field="8" count="1" selected="0">
            <x v="1007"/>
          </reference>
          <reference field="9" count="1">
            <x v="611"/>
          </reference>
        </references>
      </pivotArea>
    </format>
    <format dxfId="2188">
      <pivotArea dataOnly="0" labelOnly="1" fieldPosition="0">
        <references count="6">
          <reference field="1" count="1" selected="0">
            <x v="66"/>
          </reference>
          <reference field="5" count="1" selected="0">
            <x v="0"/>
          </reference>
          <reference field="6" count="1" selected="0">
            <x v="9"/>
          </reference>
          <reference field="7" count="1" selected="0">
            <x v="150"/>
          </reference>
          <reference field="8" count="1" selected="0">
            <x v="1076"/>
          </reference>
          <reference field="9" count="1">
            <x v="611"/>
          </reference>
        </references>
      </pivotArea>
    </format>
    <format dxfId="2187">
      <pivotArea dataOnly="0" labelOnly="1" fieldPosition="0">
        <references count="6">
          <reference field="1" count="1" selected="0">
            <x v="66"/>
          </reference>
          <reference field="5" count="1" selected="0">
            <x v="0"/>
          </reference>
          <reference field="6" count="1" selected="0">
            <x v="12"/>
          </reference>
          <reference field="7" count="1" selected="0">
            <x v="18"/>
          </reference>
          <reference field="8" count="1" selected="0">
            <x v="20"/>
          </reference>
          <reference field="9" count="1">
            <x v="611"/>
          </reference>
        </references>
      </pivotArea>
    </format>
    <format dxfId="2186">
      <pivotArea dataOnly="0" labelOnly="1" fieldPosition="0">
        <references count="6">
          <reference field="1" count="1" selected="0">
            <x v="66"/>
          </reference>
          <reference field="5" count="1" selected="0">
            <x v="0"/>
          </reference>
          <reference field="6" count="1" selected="0">
            <x v="12"/>
          </reference>
          <reference field="7" count="1" selected="0">
            <x v="23"/>
          </reference>
          <reference field="8" count="1" selected="0">
            <x v="9"/>
          </reference>
          <reference field="9" count="1">
            <x v="611"/>
          </reference>
        </references>
      </pivotArea>
    </format>
    <format dxfId="2185">
      <pivotArea dataOnly="0" labelOnly="1" fieldPosition="0">
        <references count="6">
          <reference field="1" count="1" selected="0">
            <x v="66"/>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2184">
      <pivotArea dataOnly="0" labelOnly="1" fieldPosition="0">
        <references count="6">
          <reference field="1" count="1" selected="0">
            <x v="66"/>
          </reference>
          <reference field="5" count="1" selected="0">
            <x v="0"/>
          </reference>
          <reference field="6" count="1" selected="0">
            <x v="12"/>
          </reference>
          <reference field="7" count="1" selected="0">
            <x v="36"/>
          </reference>
          <reference field="8" count="1" selected="0">
            <x v="236"/>
          </reference>
          <reference field="9" count="1">
            <x v="611"/>
          </reference>
        </references>
      </pivotArea>
    </format>
    <format dxfId="2183">
      <pivotArea dataOnly="0" labelOnly="1" fieldPosition="0">
        <references count="6">
          <reference field="1" count="1" selected="0">
            <x v="66"/>
          </reference>
          <reference field="5" count="1" selected="0">
            <x v="0"/>
          </reference>
          <reference field="6" count="1" selected="0">
            <x v="38"/>
          </reference>
          <reference field="7" count="1" selected="0">
            <x v="150"/>
          </reference>
          <reference field="8" count="1" selected="0">
            <x v="262"/>
          </reference>
          <reference field="9" count="1">
            <x v="611"/>
          </reference>
        </references>
      </pivotArea>
    </format>
    <format dxfId="2182">
      <pivotArea dataOnly="0" labelOnly="1" fieldPosition="0">
        <references count="6">
          <reference field="1" count="1" selected="0">
            <x v="66"/>
          </reference>
          <reference field="5" count="1" selected="0">
            <x v="0"/>
          </reference>
          <reference field="6" count="1" selected="0">
            <x v="38"/>
          </reference>
          <reference field="7" count="1" selected="0">
            <x v="150"/>
          </reference>
          <reference field="8" count="1" selected="0">
            <x v="1041"/>
          </reference>
          <reference field="9" count="1">
            <x v="611"/>
          </reference>
        </references>
      </pivotArea>
    </format>
    <format dxfId="2181">
      <pivotArea dataOnly="0" labelOnly="1" fieldPosition="0">
        <references count="6">
          <reference field="1" count="1" selected="0">
            <x v="66"/>
          </reference>
          <reference field="5" count="1" selected="0">
            <x v="0"/>
          </reference>
          <reference field="6" count="1" selected="0">
            <x v="38"/>
          </reference>
          <reference field="7" count="1" selected="0">
            <x v="150"/>
          </reference>
          <reference field="8" count="1" selected="0">
            <x v="1254"/>
          </reference>
          <reference field="9" count="1">
            <x v="611"/>
          </reference>
        </references>
      </pivotArea>
    </format>
    <format dxfId="2180">
      <pivotArea dataOnly="0" labelOnly="1" fieldPosition="0">
        <references count="6">
          <reference field="1" count="1" selected="0">
            <x v="66"/>
          </reference>
          <reference field="5" count="1" selected="0">
            <x v="0"/>
          </reference>
          <reference field="6" count="1" selected="0">
            <x v="38"/>
          </reference>
          <reference field="7" count="1" selected="0">
            <x v="150"/>
          </reference>
          <reference field="8" count="1" selected="0">
            <x v="1308"/>
          </reference>
          <reference field="9" count="1">
            <x v="611"/>
          </reference>
        </references>
      </pivotArea>
    </format>
    <format dxfId="2179">
      <pivotArea dataOnly="0" labelOnly="1" fieldPosition="0">
        <references count="6">
          <reference field="1" count="1" selected="0">
            <x v="66"/>
          </reference>
          <reference field="5" count="1" selected="0">
            <x v="2"/>
          </reference>
          <reference field="6" count="1" selected="0">
            <x v="1"/>
          </reference>
          <reference field="7" count="1" selected="0">
            <x v="150"/>
          </reference>
          <reference field="8" count="1" selected="0">
            <x v="199"/>
          </reference>
          <reference field="9" count="1">
            <x v="611"/>
          </reference>
        </references>
      </pivotArea>
    </format>
    <format dxfId="2178">
      <pivotArea dataOnly="0" labelOnly="1" fieldPosition="0">
        <references count="6">
          <reference field="1" count="1" selected="0">
            <x v="66"/>
          </reference>
          <reference field="5" count="1" selected="0">
            <x v="2"/>
          </reference>
          <reference field="6" count="1" selected="0">
            <x v="6"/>
          </reference>
          <reference field="7" count="1" selected="0">
            <x v="150"/>
          </reference>
          <reference field="8" count="1" selected="0">
            <x v="1193"/>
          </reference>
          <reference field="9" count="1">
            <x v="611"/>
          </reference>
        </references>
      </pivotArea>
    </format>
    <format dxfId="2177">
      <pivotArea dataOnly="0" labelOnly="1" fieldPosition="0">
        <references count="6">
          <reference field="1" count="1" selected="0">
            <x v="66"/>
          </reference>
          <reference field="5" count="1" selected="0">
            <x v="3"/>
          </reference>
          <reference field="6" count="1" selected="0">
            <x v="38"/>
          </reference>
          <reference field="7" count="1" selected="0">
            <x v="150"/>
          </reference>
          <reference field="8" count="1" selected="0">
            <x v="530"/>
          </reference>
          <reference field="9" count="1">
            <x v="611"/>
          </reference>
        </references>
      </pivotArea>
    </format>
    <format dxfId="2176">
      <pivotArea dataOnly="0" labelOnly="1" fieldPosition="0">
        <references count="6">
          <reference field="1" count="1" selected="0">
            <x v="66"/>
          </reference>
          <reference field="5" count="1" selected="0">
            <x v="4"/>
          </reference>
          <reference field="6" count="1" selected="0">
            <x v="1"/>
          </reference>
          <reference field="7" count="1" selected="0">
            <x v="150"/>
          </reference>
          <reference field="8" count="1" selected="0">
            <x v="112"/>
          </reference>
          <reference field="9" count="1">
            <x v="611"/>
          </reference>
        </references>
      </pivotArea>
    </format>
    <format dxfId="2175">
      <pivotArea dataOnly="0" labelOnly="1" fieldPosition="0">
        <references count="6">
          <reference field="1" count="1" selected="0">
            <x v="66"/>
          </reference>
          <reference field="5" count="1" selected="0">
            <x v="9"/>
          </reference>
          <reference field="6" count="1" selected="0">
            <x v="38"/>
          </reference>
          <reference field="7" count="1" selected="0">
            <x v="150"/>
          </reference>
          <reference field="8" count="1" selected="0">
            <x v="1565"/>
          </reference>
          <reference field="9" count="1">
            <x v="611"/>
          </reference>
        </references>
      </pivotArea>
    </format>
    <format dxfId="2174">
      <pivotArea dataOnly="0" labelOnly="1" fieldPosition="0">
        <references count="6">
          <reference field="1" count="1" selected="0">
            <x v="66"/>
          </reference>
          <reference field="5" count="1" selected="0">
            <x v="10"/>
          </reference>
          <reference field="6" count="1" selected="0">
            <x v="37"/>
          </reference>
          <reference field="7" count="1" selected="0">
            <x v="150"/>
          </reference>
          <reference field="8" count="1" selected="0">
            <x v="1248"/>
          </reference>
          <reference field="9" count="1">
            <x v="611"/>
          </reference>
        </references>
      </pivotArea>
    </format>
    <format dxfId="2173">
      <pivotArea dataOnly="0" labelOnly="1" fieldPosition="0">
        <references count="6">
          <reference field="1" count="1" selected="0">
            <x v="66"/>
          </reference>
          <reference field="5" count="1" selected="0">
            <x v="12"/>
          </reference>
          <reference field="6" count="1" selected="0">
            <x v="1"/>
          </reference>
          <reference field="7" count="1" selected="0">
            <x v="150"/>
          </reference>
          <reference field="8" count="1" selected="0">
            <x v="80"/>
          </reference>
          <reference field="9" count="1">
            <x v="611"/>
          </reference>
        </references>
      </pivotArea>
    </format>
    <format dxfId="2172">
      <pivotArea dataOnly="0" labelOnly="1" fieldPosition="0">
        <references count="6">
          <reference field="1" count="1" selected="0">
            <x v="66"/>
          </reference>
          <reference field="5" count="1" selected="0">
            <x v="12"/>
          </reference>
          <reference field="6" count="1" selected="0">
            <x v="1"/>
          </reference>
          <reference field="7" count="1" selected="0">
            <x v="150"/>
          </reference>
          <reference field="8" count="1" selected="0">
            <x v="213"/>
          </reference>
          <reference field="9" count="1">
            <x v="611"/>
          </reference>
        </references>
      </pivotArea>
    </format>
    <format dxfId="2171">
      <pivotArea dataOnly="0" labelOnly="1" fieldPosition="0">
        <references count="6">
          <reference field="1" count="1" selected="0">
            <x v="66"/>
          </reference>
          <reference field="5" count="1" selected="0">
            <x v="12"/>
          </reference>
          <reference field="6" count="1" selected="0">
            <x v="38"/>
          </reference>
          <reference field="7" count="1" selected="0">
            <x v="150"/>
          </reference>
          <reference field="8" count="1" selected="0">
            <x v="1414"/>
          </reference>
          <reference field="9" count="1">
            <x v="611"/>
          </reference>
        </references>
      </pivotArea>
    </format>
    <format dxfId="2170">
      <pivotArea dataOnly="0" labelOnly="1" fieldPosition="0">
        <references count="6">
          <reference field="1" count="1" selected="0">
            <x v="66"/>
          </reference>
          <reference field="5" count="1" selected="0">
            <x v="15"/>
          </reference>
          <reference field="6" count="1" selected="0">
            <x v="9"/>
          </reference>
          <reference field="7" count="1" selected="0">
            <x v="150"/>
          </reference>
          <reference field="8" count="1" selected="0">
            <x v="248"/>
          </reference>
          <reference field="9" count="1">
            <x v="611"/>
          </reference>
        </references>
      </pivotArea>
    </format>
    <format dxfId="2169">
      <pivotArea dataOnly="0" labelOnly="1" fieldPosition="0">
        <references count="6">
          <reference field="1" count="1" selected="0">
            <x v="66"/>
          </reference>
          <reference field="5" count="1" selected="0">
            <x v="15"/>
          </reference>
          <reference field="6" count="1" selected="0">
            <x v="37"/>
          </reference>
          <reference field="7" count="1" selected="0">
            <x v="150"/>
          </reference>
          <reference field="8" count="1" selected="0">
            <x v="897"/>
          </reference>
          <reference field="9" count="1">
            <x v="611"/>
          </reference>
        </references>
      </pivotArea>
    </format>
    <format dxfId="2168">
      <pivotArea dataOnly="0" labelOnly="1" fieldPosition="0">
        <references count="6">
          <reference field="1" count="1" selected="0">
            <x v="66"/>
          </reference>
          <reference field="5" count="1" selected="0">
            <x v="15"/>
          </reference>
          <reference field="6" count="1" selected="0">
            <x v="38"/>
          </reference>
          <reference field="7" count="1" selected="0">
            <x v="150"/>
          </reference>
          <reference field="8" count="1" selected="0">
            <x v="1806"/>
          </reference>
          <reference field="9" count="1">
            <x v="611"/>
          </reference>
        </references>
      </pivotArea>
    </format>
    <format dxfId="2167">
      <pivotArea dataOnly="0" labelOnly="1" fieldPosition="0">
        <references count="6">
          <reference field="1" count="1" selected="0">
            <x v="66"/>
          </reference>
          <reference field="5" count="1" selected="0">
            <x v="19"/>
          </reference>
          <reference field="6" count="1" selected="0">
            <x v="10"/>
          </reference>
          <reference field="7" count="1" selected="0">
            <x v="150"/>
          </reference>
          <reference field="8" count="1" selected="0">
            <x v="511"/>
          </reference>
          <reference field="9" count="1">
            <x v="611"/>
          </reference>
        </references>
      </pivotArea>
    </format>
    <format dxfId="2166">
      <pivotArea dataOnly="0" labelOnly="1" fieldPosition="0">
        <references count="6">
          <reference field="1" count="1" selected="0">
            <x v="66"/>
          </reference>
          <reference field="5" count="1" selected="0">
            <x v="23"/>
          </reference>
          <reference field="6" count="1" selected="0">
            <x v="9"/>
          </reference>
          <reference field="7" count="1" selected="0">
            <x v="150"/>
          </reference>
          <reference field="8" count="1" selected="0">
            <x v="1485"/>
          </reference>
          <reference field="9" count="1">
            <x v="611"/>
          </reference>
        </references>
      </pivotArea>
    </format>
    <format dxfId="2165">
      <pivotArea dataOnly="0" labelOnly="1" fieldPosition="0">
        <references count="6">
          <reference field="1" count="1" selected="0">
            <x v="66"/>
          </reference>
          <reference field="5" count="1" selected="0">
            <x v="26"/>
          </reference>
          <reference field="6" count="1" selected="0">
            <x v="1"/>
          </reference>
          <reference field="7" count="1" selected="0">
            <x v="150"/>
          </reference>
          <reference field="8" count="1" selected="0">
            <x v="68"/>
          </reference>
          <reference field="9" count="1">
            <x v="611"/>
          </reference>
        </references>
      </pivotArea>
    </format>
    <format dxfId="2164">
      <pivotArea dataOnly="0" labelOnly="1" fieldPosition="0">
        <references count="6">
          <reference field="1" count="1" selected="0">
            <x v="66"/>
          </reference>
          <reference field="5" count="1" selected="0">
            <x v="29"/>
          </reference>
          <reference field="6" count="1" selected="0">
            <x v="10"/>
          </reference>
          <reference field="7" count="1" selected="0">
            <x v="150"/>
          </reference>
          <reference field="8" count="1" selected="0">
            <x v="1533"/>
          </reference>
          <reference field="9" count="1">
            <x v="611"/>
          </reference>
        </references>
      </pivotArea>
    </format>
    <format dxfId="2163">
      <pivotArea dataOnly="0" labelOnly="1" fieldPosition="0">
        <references count="6">
          <reference field="1" count="1" selected="0">
            <x v="66"/>
          </reference>
          <reference field="5" count="1" selected="0">
            <x v="29"/>
          </reference>
          <reference field="6" count="1" selected="0">
            <x v="38"/>
          </reference>
          <reference field="7" count="1" selected="0">
            <x v="150"/>
          </reference>
          <reference field="8" count="1" selected="0">
            <x v="352"/>
          </reference>
          <reference field="9" count="1">
            <x v="611"/>
          </reference>
        </references>
      </pivotArea>
    </format>
    <format dxfId="2162">
      <pivotArea dataOnly="0" labelOnly="1" fieldPosition="0">
        <references count="6">
          <reference field="1" count="1" selected="0">
            <x v="66"/>
          </reference>
          <reference field="5" count="1" selected="0">
            <x v="35"/>
          </reference>
          <reference field="6" count="1" selected="0">
            <x v="38"/>
          </reference>
          <reference field="7" count="1" selected="0">
            <x v="150"/>
          </reference>
          <reference field="8" count="1" selected="0">
            <x v="1160"/>
          </reference>
          <reference field="9" count="1">
            <x v="611"/>
          </reference>
        </references>
      </pivotArea>
    </format>
    <format dxfId="2161">
      <pivotArea dataOnly="0" labelOnly="1" fieldPosition="0">
        <references count="6">
          <reference field="1" count="1" selected="0">
            <x v="66"/>
          </reference>
          <reference field="5" count="1" selected="0">
            <x v="35"/>
          </reference>
          <reference field="6" count="1" selected="0">
            <x v="38"/>
          </reference>
          <reference field="7" count="1" selected="0">
            <x v="150"/>
          </reference>
          <reference field="8" count="1" selected="0">
            <x v="1254"/>
          </reference>
          <reference field="9" count="1">
            <x v="611"/>
          </reference>
        </references>
      </pivotArea>
    </format>
    <format dxfId="2160">
      <pivotArea dataOnly="0" labelOnly="1" fieldPosition="0">
        <references count="6">
          <reference field="1" count="1" selected="0">
            <x v="66"/>
          </reference>
          <reference field="5" count="1" selected="0">
            <x v="35"/>
          </reference>
          <reference field="6" count="1" selected="0">
            <x v="38"/>
          </reference>
          <reference field="7" count="1" selected="0">
            <x v="150"/>
          </reference>
          <reference field="8" count="1" selected="0">
            <x v="1414"/>
          </reference>
          <reference field="9" count="1">
            <x v="611"/>
          </reference>
        </references>
      </pivotArea>
    </format>
    <format dxfId="2159">
      <pivotArea dataOnly="0" labelOnly="1" fieldPosition="0">
        <references count="6">
          <reference field="1" count="1" selected="0">
            <x v="66"/>
          </reference>
          <reference field="5" count="1" selected="0">
            <x v="36"/>
          </reference>
          <reference field="6" count="1" selected="0">
            <x v="38"/>
          </reference>
          <reference field="7" count="1" selected="0">
            <x v="150"/>
          </reference>
          <reference field="8" count="1" selected="0">
            <x v="232"/>
          </reference>
          <reference field="9" count="1">
            <x v="611"/>
          </reference>
        </references>
      </pivotArea>
    </format>
    <format dxfId="2158">
      <pivotArea dataOnly="0" labelOnly="1" fieldPosition="0">
        <references count="6">
          <reference field="1" count="1" selected="0">
            <x v="67"/>
          </reference>
          <reference field="5" count="1" selected="0">
            <x v="0"/>
          </reference>
          <reference field="6" count="1" selected="0">
            <x v="9"/>
          </reference>
          <reference field="7" count="1" selected="0">
            <x v="151"/>
          </reference>
          <reference field="8" count="1" selected="0">
            <x v="1400"/>
          </reference>
          <reference field="9" count="1">
            <x v="611"/>
          </reference>
        </references>
      </pivotArea>
    </format>
    <format dxfId="2157">
      <pivotArea dataOnly="0" labelOnly="1" fieldPosition="0">
        <references count="6">
          <reference field="1" count="1" selected="0">
            <x v="67"/>
          </reference>
          <reference field="5" count="1" selected="0">
            <x v="0"/>
          </reference>
          <reference field="6" count="1" selected="0">
            <x v="38"/>
          </reference>
          <reference field="7" count="1" selected="0">
            <x v="151"/>
          </reference>
          <reference field="8" count="1" selected="0">
            <x v="522"/>
          </reference>
          <reference field="9" count="1">
            <x v="611"/>
          </reference>
        </references>
      </pivotArea>
    </format>
    <format dxfId="2156">
      <pivotArea dataOnly="0" labelOnly="1" fieldPosition="0">
        <references count="6">
          <reference field="1" count="1" selected="0">
            <x v="67"/>
          </reference>
          <reference field="5" count="1" selected="0">
            <x v="2"/>
          </reference>
          <reference field="6" count="1" selected="0">
            <x v="6"/>
          </reference>
          <reference field="7" count="1" selected="0">
            <x v="151"/>
          </reference>
          <reference field="8" count="1" selected="0">
            <x v="443"/>
          </reference>
          <reference field="9" count="1">
            <x v="611"/>
          </reference>
        </references>
      </pivotArea>
    </format>
    <format dxfId="2155">
      <pivotArea dataOnly="0" labelOnly="1" fieldPosition="0">
        <references count="6">
          <reference field="1" count="1" selected="0">
            <x v="67"/>
          </reference>
          <reference field="5" count="1" selected="0">
            <x v="3"/>
          </reference>
          <reference field="6" count="1" selected="0">
            <x v="6"/>
          </reference>
          <reference field="7" count="1" selected="0">
            <x v="151"/>
          </reference>
          <reference field="8" count="1" selected="0">
            <x v="1074"/>
          </reference>
          <reference field="9" count="1">
            <x v="611"/>
          </reference>
        </references>
      </pivotArea>
    </format>
    <format dxfId="2154">
      <pivotArea dataOnly="0" labelOnly="1" fieldPosition="0">
        <references count="6">
          <reference field="1" count="1" selected="0">
            <x v="67"/>
          </reference>
          <reference field="5" count="1" selected="0">
            <x v="12"/>
          </reference>
          <reference field="6" count="1" selected="0">
            <x v="1"/>
          </reference>
          <reference field="7" count="1" selected="0">
            <x v="151"/>
          </reference>
          <reference field="8" count="1" selected="0">
            <x v="80"/>
          </reference>
          <reference field="9" count="1">
            <x v="611"/>
          </reference>
        </references>
      </pivotArea>
    </format>
    <format dxfId="2153">
      <pivotArea dataOnly="0" labelOnly="1" fieldPosition="0">
        <references count="6">
          <reference field="1" count="1" selected="0">
            <x v="67"/>
          </reference>
          <reference field="5" count="1" selected="0">
            <x v="12"/>
          </reference>
          <reference field="6" count="1" selected="0">
            <x v="1"/>
          </reference>
          <reference field="7" count="1" selected="0">
            <x v="151"/>
          </reference>
          <reference field="8" count="1" selected="0">
            <x v="213"/>
          </reference>
          <reference field="9" count="1">
            <x v="611"/>
          </reference>
        </references>
      </pivotArea>
    </format>
    <format dxfId="2152">
      <pivotArea dataOnly="0" labelOnly="1" fieldPosition="0">
        <references count="6">
          <reference field="1" count="1" selected="0">
            <x v="67"/>
          </reference>
          <reference field="5" count="1" selected="0">
            <x v="24"/>
          </reference>
          <reference field="6" count="1" selected="0">
            <x v="38"/>
          </reference>
          <reference field="7" count="1" selected="0">
            <x v="151"/>
          </reference>
          <reference field="8" count="1" selected="0">
            <x v="129"/>
          </reference>
          <reference field="9" count="1">
            <x v="611"/>
          </reference>
        </references>
      </pivotArea>
    </format>
    <format dxfId="2151">
      <pivotArea dataOnly="0" labelOnly="1" fieldPosition="0">
        <references count="6">
          <reference field="1" count="1" selected="0">
            <x v="67"/>
          </reference>
          <reference field="5" count="1" selected="0">
            <x v="35"/>
          </reference>
          <reference field="6" count="1" selected="0">
            <x v="1"/>
          </reference>
          <reference field="7" count="1" selected="0">
            <x v="151"/>
          </reference>
          <reference field="8" count="1" selected="0">
            <x v="80"/>
          </reference>
          <reference field="9" count="1">
            <x v="611"/>
          </reference>
        </references>
      </pivotArea>
    </format>
    <format dxfId="2150">
      <pivotArea dataOnly="0" labelOnly="1" fieldPosition="0">
        <references count="6">
          <reference field="1" count="1" selected="0">
            <x v="67"/>
          </reference>
          <reference field="5" count="1" selected="0">
            <x v="35"/>
          </reference>
          <reference field="6" count="1" selected="0">
            <x v="1"/>
          </reference>
          <reference field="7" count="1" selected="0">
            <x v="151"/>
          </reference>
          <reference field="8" count="1" selected="0">
            <x v="500"/>
          </reference>
          <reference field="9" count="1">
            <x v="611"/>
          </reference>
        </references>
      </pivotArea>
    </format>
    <format dxfId="2149">
      <pivotArea dataOnly="0" labelOnly="1" fieldPosition="0">
        <references count="6">
          <reference field="1" count="1" selected="0">
            <x v="68"/>
          </reference>
          <reference field="5" count="1" selected="0">
            <x v="0"/>
          </reference>
          <reference field="6" count="1" selected="0">
            <x v="1"/>
          </reference>
          <reference field="7" count="1" selected="0">
            <x v="152"/>
          </reference>
          <reference field="8" count="1" selected="0">
            <x v="80"/>
          </reference>
          <reference field="9" count="1">
            <x v="611"/>
          </reference>
        </references>
      </pivotArea>
    </format>
    <format dxfId="2148">
      <pivotArea dataOnly="0" labelOnly="1" fieldPosition="0">
        <references count="6">
          <reference field="1" count="1" selected="0">
            <x v="68"/>
          </reference>
          <reference field="5" count="1" selected="0">
            <x v="0"/>
          </reference>
          <reference field="6" count="1" selected="0">
            <x v="1"/>
          </reference>
          <reference field="7" count="1" selected="0">
            <x v="152"/>
          </reference>
          <reference field="8" count="1" selected="0">
            <x v="895"/>
          </reference>
          <reference field="9" count="1">
            <x v="611"/>
          </reference>
        </references>
      </pivotArea>
    </format>
    <format dxfId="2147">
      <pivotArea dataOnly="0" labelOnly="1" fieldPosition="0">
        <references count="6">
          <reference field="1" count="1" selected="0">
            <x v="68"/>
          </reference>
          <reference field="5" count="1" selected="0">
            <x v="0"/>
          </reference>
          <reference field="6" count="1" selected="0">
            <x v="9"/>
          </reference>
          <reference field="7" count="1" selected="0">
            <x v="152"/>
          </reference>
          <reference field="8" count="1" selected="0">
            <x v="124"/>
          </reference>
          <reference field="9" count="1">
            <x v="611"/>
          </reference>
        </references>
      </pivotArea>
    </format>
    <format dxfId="2146">
      <pivotArea dataOnly="0" labelOnly="1" fieldPosition="0">
        <references count="6">
          <reference field="1" count="1" selected="0">
            <x v="68"/>
          </reference>
          <reference field="5" count="1" selected="0">
            <x v="0"/>
          </reference>
          <reference field="6" count="1" selected="0">
            <x v="12"/>
          </reference>
          <reference field="7" count="1" selected="0">
            <x v="50"/>
          </reference>
          <reference field="8" count="1" selected="0">
            <x v="80"/>
          </reference>
          <reference field="9" count="1">
            <x v="611"/>
          </reference>
        </references>
      </pivotArea>
    </format>
    <format dxfId="2145">
      <pivotArea dataOnly="0" labelOnly="1" fieldPosition="0">
        <references count="6">
          <reference field="1" count="1" selected="0">
            <x v="68"/>
          </reference>
          <reference field="5" count="1" selected="0">
            <x v="0"/>
          </reference>
          <reference field="6" count="1" selected="0">
            <x v="38"/>
          </reference>
          <reference field="7" count="1" selected="0">
            <x v="152"/>
          </reference>
          <reference field="8" count="1" selected="0">
            <x v="633"/>
          </reference>
          <reference field="9" count="1">
            <x v="611"/>
          </reference>
        </references>
      </pivotArea>
    </format>
    <format dxfId="2144">
      <pivotArea dataOnly="0" labelOnly="1" fieldPosition="0">
        <references count="6">
          <reference field="1" count="1" selected="0">
            <x v="68"/>
          </reference>
          <reference field="5" count="1" selected="0">
            <x v="3"/>
          </reference>
          <reference field="6" count="1" selected="0">
            <x v="1"/>
          </reference>
          <reference field="7" count="1" selected="0">
            <x v="152"/>
          </reference>
          <reference field="8" count="1" selected="0">
            <x v="272"/>
          </reference>
          <reference field="9" count="1">
            <x v="611"/>
          </reference>
        </references>
      </pivotArea>
    </format>
    <format dxfId="2143">
      <pivotArea dataOnly="0" labelOnly="1" fieldPosition="0">
        <references count="6">
          <reference field="1" count="1" selected="0">
            <x v="68"/>
          </reference>
          <reference field="5" count="1" selected="0">
            <x v="6"/>
          </reference>
          <reference field="6" count="1" selected="0">
            <x v="38"/>
          </reference>
          <reference field="7" count="1" selected="0">
            <x v="152"/>
          </reference>
          <reference field="8" count="1" selected="0">
            <x v="524"/>
          </reference>
          <reference field="9" count="1">
            <x v="611"/>
          </reference>
        </references>
      </pivotArea>
    </format>
    <format dxfId="2142">
      <pivotArea dataOnly="0" labelOnly="1" fieldPosition="0">
        <references count="6">
          <reference field="1" count="1" selected="0">
            <x v="68"/>
          </reference>
          <reference field="5" count="1" selected="0">
            <x v="12"/>
          </reference>
          <reference field="6" count="1" selected="0">
            <x v="1"/>
          </reference>
          <reference field="7" count="1" selected="0">
            <x v="152"/>
          </reference>
          <reference field="8" count="1" selected="0">
            <x v="80"/>
          </reference>
          <reference field="9" count="1">
            <x v="611"/>
          </reference>
        </references>
      </pivotArea>
    </format>
    <format dxfId="2141">
      <pivotArea dataOnly="0" labelOnly="1" fieldPosition="0">
        <references count="6">
          <reference field="1" count="1" selected="0">
            <x v="68"/>
          </reference>
          <reference field="5" count="1" selected="0">
            <x v="15"/>
          </reference>
          <reference field="6" count="1" selected="0">
            <x v="38"/>
          </reference>
          <reference field="7" count="1" selected="0">
            <x v="152"/>
          </reference>
          <reference field="8" count="1" selected="0">
            <x v="1125"/>
          </reference>
          <reference field="9" count="1">
            <x v="611"/>
          </reference>
        </references>
      </pivotArea>
    </format>
    <format dxfId="2140">
      <pivotArea dataOnly="0" labelOnly="1" fieldPosition="0">
        <references count="6">
          <reference field="1" count="1" selected="0">
            <x v="68"/>
          </reference>
          <reference field="5" count="1" selected="0">
            <x v="26"/>
          </reference>
          <reference field="6" count="1" selected="0">
            <x v="1"/>
          </reference>
          <reference field="7" count="1" selected="0">
            <x v="152"/>
          </reference>
          <reference field="8" count="1" selected="0">
            <x v="539"/>
          </reference>
          <reference field="9" count="1">
            <x v="611"/>
          </reference>
        </references>
      </pivotArea>
    </format>
    <format dxfId="2139">
      <pivotArea dataOnly="0" labelOnly="1" fieldPosition="0">
        <references count="6">
          <reference field="1" count="1" selected="0">
            <x v="68"/>
          </reference>
          <reference field="5" count="1" selected="0">
            <x v="27"/>
          </reference>
          <reference field="6" count="1" selected="0">
            <x v="10"/>
          </reference>
          <reference field="7" count="1" selected="0">
            <x v="152"/>
          </reference>
          <reference field="8" count="1" selected="0">
            <x v="1172"/>
          </reference>
          <reference field="9" count="1">
            <x v="611"/>
          </reference>
        </references>
      </pivotArea>
    </format>
    <format dxfId="2138">
      <pivotArea dataOnly="0" labelOnly="1" fieldPosition="0">
        <references count="6">
          <reference field="1" count="1" selected="0">
            <x v="68"/>
          </reference>
          <reference field="5" count="1" selected="0">
            <x v="35"/>
          </reference>
          <reference field="6" count="1" selected="0">
            <x v="1"/>
          </reference>
          <reference field="7" count="1" selected="0">
            <x v="152"/>
          </reference>
          <reference field="8" count="1" selected="0">
            <x v="80"/>
          </reference>
          <reference field="9" count="1">
            <x v="611"/>
          </reference>
        </references>
      </pivotArea>
    </format>
    <format dxfId="2137">
      <pivotArea dataOnly="0" labelOnly="1" fieldPosition="0">
        <references count="6">
          <reference field="1" count="1" selected="0">
            <x v="68"/>
          </reference>
          <reference field="5" count="1" selected="0">
            <x v="35"/>
          </reference>
          <reference field="6" count="1" selected="0">
            <x v="38"/>
          </reference>
          <reference field="7" count="1" selected="0">
            <x v="152"/>
          </reference>
          <reference field="8" count="1" selected="0">
            <x v="92"/>
          </reference>
          <reference field="9" count="1">
            <x v="611"/>
          </reference>
        </references>
      </pivotArea>
    </format>
    <format dxfId="2136">
      <pivotArea dataOnly="0" labelOnly="1" fieldPosition="0">
        <references count="6">
          <reference field="1" count="1" selected="0">
            <x v="69"/>
          </reference>
          <reference field="5" count="1" selected="0">
            <x v="0"/>
          </reference>
          <reference field="6" count="1" selected="0">
            <x v="12"/>
          </reference>
          <reference field="7" count="1" selected="0">
            <x v="48"/>
          </reference>
          <reference field="8" count="1" selected="0">
            <x v="11"/>
          </reference>
          <reference field="9" count="1">
            <x v="611"/>
          </reference>
        </references>
      </pivotArea>
    </format>
    <format dxfId="2135">
      <pivotArea dataOnly="0" labelOnly="1" fieldPosition="0">
        <references count="6">
          <reference field="1" count="1" selected="0">
            <x v="69"/>
          </reference>
          <reference field="5" count="1" selected="0">
            <x v="0"/>
          </reference>
          <reference field="6" count="1" selected="0">
            <x v="12"/>
          </reference>
          <reference field="7" count="1" selected="0">
            <x v="58"/>
          </reference>
          <reference field="8" count="1" selected="0">
            <x v="6"/>
          </reference>
          <reference field="9" count="1">
            <x v="611"/>
          </reference>
        </references>
      </pivotArea>
    </format>
    <format dxfId="2134">
      <pivotArea dataOnly="0" labelOnly="1" fieldPosition="0">
        <references count="6">
          <reference field="1" count="1" selected="0">
            <x v="70"/>
          </reference>
          <reference field="5" count="1" selected="0">
            <x v="0"/>
          </reference>
          <reference field="6" count="1" selected="0">
            <x v="6"/>
          </reference>
          <reference field="7" count="1" selected="0">
            <x v="153"/>
          </reference>
          <reference field="8" count="1" selected="0">
            <x v="248"/>
          </reference>
          <reference field="9" count="1">
            <x v="611"/>
          </reference>
        </references>
      </pivotArea>
    </format>
    <format dxfId="2133">
      <pivotArea dataOnly="0" labelOnly="1" fieldPosition="0">
        <references count="6">
          <reference field="1" count="1" selected="0">
            <x v="70"/>
          </reference>
          <reference field="5" count="1" selected="0">
            <x v="0"/>
          </reference>
          <reference field="6" count="1" selected="0">
            <x v="8"/>
          </reference>
          <reference field="7" count="1" selected="0">
            <x v="153"/>
          </reference>
          <reference field="8" count="1" selected="0">
            <x v="1114"/>
          </reference>
          <reference field="9" count="1">
            <x v="611"/>
          </reference>
        </references>
      </pivotArea>
    </format>
    <format dxfId="2132">
      <pivotArea dataOnly="0" labelOnly="1" fieldPosition="0">
        <references count="6">
          <reference field="1" count="1" selected="0">
            <x v="70"/>
          </reference>
          <reference field="5" count="1" selected="0">
            <x v="0"/>
          </reference>
          <reference field="6" count="1" selected="0">
            <x v="12"/>
          </reference>
          <reference field="7" count="1" selected="0">
            <x v="2"/>
          </reference>
          <reference field="8" count="1" selected="0">
            <x v="109"/>
          </reference>
          <reference field="9" count="1">
            <x v="611"/>
          </reference>
        </references>
      </pivotArea>
    </format>
    <format dxfId="2131">
      <pivotArea dataOnly="0" labelOnly="1" fieldPosition="0">
        <references count="6">
          <reference field="1" count="1" selected="0">
            <x v="70"/>
          </reference>
          <reference field="5" count="1" selected="0">
            <x v="0"/>
          </reference>
          <reference field="6" count="1" selected="0">
            <x v="12"/>
          </reference>
          <reference field="7" count="1" selected="0">
            <x v="27"/>
          </reference>
          <reference field="8" count="1" selected="0">
            <x v="11"/>
          </reference>
          <reference field="9" count="1">
            <x v="611"/>
          </reference>
        </references>
      </pivotArea>
    </format>
    <format dxfId="2130">
      <pivotArea dataOnly="0" labelOnly="1" fieldPosition="0">
        <references count="6">
          <reference field="1" count="1" selected="0">
            <x v="70"/>
          </reference>
          <reference field="5" count="1" selected="0">
            <x v="0"/>
          </reference>
          <reference field="6" count="1" selected="0">
            <x v="12"/>
          </reference>
          <reference field="7" count="1" selected="0">
            <x v="37"/>
          </reference>
          <reference field="8" count="1" selected="0">
            <x v="90"/>
          </reference>
          <reference field="9" count="1">
            <x v="611"/>
          </reference>
        </references>
      </pivotArea>
    </format>
    <format dxfId="2129">
      <pivotArea dataOnly="0" labelOnly="1" fieldPosition="0">
        <references count="6">
          <reference field="1" count="1" selected="0">
            <x v="70"/>
          </reference>
          <reference field="5" count="1" selected="0">
            <x v="0"/>
          </reference>
          <reference field="6" count="1" selected="0">
            <x v="12"/>
          </reference>
          <reference field="7" count="1" selected="0">
            <x v="52"/>
          </reference>
          <reference field="8" count="1" selected="0">
            <x v="14"/>
          </reference>
          <reference field="9" count="1">
            <x v="611"/>
          </reference>
        </references>
      </pivotArea>
    </format>
    <format dxfId="2128">
      <pivotArea dataOnly="0" labelOnly="1" fieldPosition="0">
        <references count="6">
          <reference field="1" count="1" selected="0">
            <x v="70"/>
          </reference>
          <reference field="5" count="1" selected="0">
            <x v="2"/>
          </reference>
          <reference field="6" count="1" selected="0">
            <x v="6"/>
          </reference>
          <reference field="7" count="1" selected="0">
            <x v="153"/>
          </reference>
          <reference field="8" count="1" selected="0">
            <x v="790"/>
          </reference>
          <reference field="9" count="1">
            <x v="611"/>
          </reference>
        </references>
      </pivotArea>
    </format>
    <format dxfId="2127">
      <pivotArea dataOnly="0" labelOnly="1" fieldPosition="0">
        <references count="6">
          <reference field="1" count="1" selected="0">
            <x v="70"/>
          </reference>
          <reference field="5" count="1" selected="0">
            <x v="12"/>
          </reference>
          <reference field="6" count="1" selected="0">
            <x v="1"/>
          </reference>
          <reference field="7" count="1" selected="0">
            <x v="153"/>
          </reference>
          <reference field="8" count="1" selected="0">
            <x v="80"/>
          </reference>
          <reference field="9" count="1">
            <x v="611"/>
          </reference>
        </references>
      </pivotArea>
    </format>
    <format dxfId="2126">
      <pivotArea dataOnly="0" labelOnly="1" fieldPosition="0">
        <references count="6">
          <reference field="1" count="1" selected="0">
            <x v="70"/>
          </reference>
          <reference field="5" count="1" selected="0">
            <x v="12"/>
          </reference>
          <reference field="6" count="1" selected="0">
            <x v="1"/>
          </reference>
          <reference field="7" count="1" selected="0">
            <x v="153"/>
          </reference>
          <reference field="8" count="1" selected="0">
            <x v="352"/>
          </reference>
          <reference field="9" count="1">
            <x v="611"/>
          </reference>
        </references>
      </pivotArea>
    </format>
    <format dxfId="2125">
      <pivotArea dataOnly="0" labelOnly="1" fieldPosition="0">
        <references count="6">
          <reference field="1" count="1" selected="0">
            <x v="70"/>
          </reference>
          <reference field="5" count="1" selected="0">
            <x v="12"/>
          </reference>
          <reference field="6" count="1" selected="0">
            <x v="1"/>
          </reference>
          <reference field="7" count="1" selected="0">
            <x v="153"/>
          </reference>
          <reference field="8" count="1" selected="0">
            <x v="500"/>
          </reference>
          <reference field="9" count="1">
            <x v="611"/>
          </reference>
        </references>
      </pivotArea>
    </format>
    <format dxfId="2124">
      <pivotArea dataOnly="0" labelOnly="1" fieldPosition="0">
        <references count="6">
          <reference field="1" count="1" selected="0">
            <x v="70"/>
          </reference>
          <reference field="5" count="1" selected="0">
            <x v="14"/>
          </reference>
          <reference field="6" count="1" selected="0">
            <x v="38"/>
          </reference>
          <reference field="7" count="1" selected="0">
            <x v="153"/>
          </reference>
          <reference field="8" count="1" selected="0">
            <x v="569"/>
          </reference>
          <reference field="9" count="1">
            <x v="611"/>
          </reference>
        </references>
      </pivotArea>
    </format>
    <format dxfId="2123">
      <pivotArea dataOnly="0" labelOnly="1" fieldPosition="0">
        <references count="6">
          <reference field="1" count="1" selected="0">
            <x v="70"/>
          </reference>
          <reference field="5" count="1" selected="0">
            <x v="15"/>
          </reference>
          <reference field="6" count="1" selected="0">
            <x v="1"/>
          </reference>
          <reference field="7" count="1" selected="0">
            <x v="153"/>
          </reference>
          <reference field="8" count="1" selected="0">
            <x v="895"/>
          </reference>
          <reference field="9" count="1">
            <x v="611"/>
          </reference>
        </references>
      </pivotArea>
    </format>
    <format dxfId="2122">
      <pivotArea dataOnly="0" labelOnly="1" fieldPosition="0">
        <references count="6">
          <reference field="1" count="1" selected="0">
            <x v="70"/>
          </reference>
          <reference field="5" count="1" selected="0">
            <x v="15"/>
          </reference>
          <reference field="6" count="1" selected="0">
            <x v="6"/>
          </reference>
          <reference field="7" count="1" selected="0">
            <x v="153"/>
          </reference>
          <reference field="8" count="1" selected="0">
            <x v="410"/>
          </reference>
          <reference field="9" count="1">
            <x v="611"/>
          </reference>
        </references>
      </pivotArea>
    </format>
    <format dxfId="2121">
      <pivotArea dataOnly="0" labelOnly="1" fieldPosition="0">
        <references count="6">
          <reference field="1" count="1" selected="0">
            <x v="70"/>
          </reference>
          <reference field="5" count="1" selected="0">
            <x v="17"/>
          </reference>
          <reference field="6" count="1" selected="0">
            <x v="6"/>
          </reference>
          <reference field="7" count="1" selected="0">
            <x v="153"/>
          </reference>
          <reference field="8" count="1" selected="0">
            <x v="1477"/>
          </reference>
          <reference field="9" count="1">
            <x v="611"/>
          </reference>
        </references>
      </pivotArea>
    </format>
    <format dxfId="2120">
      <pivotArea dataOnly="0" labelOnly="1" fieldPosition="0">
        <references count="6">
          <reference field="1" count="1" selected="0">
            <x v="70"/>
          </reference>
          <reference field="5" count="1" selected="0">
            <x v="28"/>
          </reference>
          <reference field="6" count="1" selected="0">
            <x v="1"/>
          </reference>
          <reference field="7" count="1" selected="0">
            <x v="153"/>
          </reference>
          <reference field="8" count="1" selected="0">
            <x v="811"/>
          </reference>
          <reference field="9" count="1">
            <x v="611"/>
          </reference>
        </references>
      </pivotArea>
    </format>
    <format dxfId="2119">
      <pivotArea dataOnly="0" labelOnly="1" fieldPosition="0">
        <references count="6">
          <reference field="1" count="1" selected="0">
            <x v="70"/>
          </reference>
          <reference field="5" count="1" selected="0">
            <x v="35"/>
          </reference>
          <reference field="6" count="1" selected="0">
            <x v="1"/>
          </reference>
          <reference field="7" count="1" selected="0">
            <x v="153"/>
          </reference>
          <reference field="8" count="1" selected="0">
            <x v="80"/>
          </reference>
          <reference field="9" count="1">
            <x v="611"/>
          </reference>
        </references>
      </pivotArea>
    </format>
    <format dxfId="2118">
      <pivotArea dataOnly="0" labelOnly="1" fieldPosition="0">
        <references count="6">
          <reference field="1" count="1" selected="0">
            <x v="70"/>
          </reference>
          <reference field="5" count="1" selected="0">
            <x v="35"/>
          </reference>
          <reference field="6" count="1" selected="0">
            <x v="38"/>
          </reference>
          <reference field="7" count="1" selected="0">
            <x v="153"/>
          </reference>
          <reference field="8" count="1" selected="0">
            <x v="1041"/>
          </reference>
          <reference field="9" count="1">
            <x v="611"/>
          </reference>
        </references>
      </pivotArea>
    </format>
    <format dxfId="2117">
      <pivotArea dataOnly="0" labelOnly="1" fieldPosition="0">
        <references count="6">
          <reference field="1" count="1" selected="0">
            <x v="71"/>
          </reference>
          <reference field="5" count="1" selected="0">
            <x v="0"/>
          </reference>
          <reference field="6" count="1" selected="0">
            <x v="6"/>
          </reference>
          <reference field="7" count="1" selected="0">
            <x v="154"/>
          </reference>
          <reference field="8" count="1" selected="0">
            <x v="689"/>
          </reference>
          <reference field="9" count="1">
            <x v="611"/>
          </reference>
        </references>
      </pivotArea>
    </format>
    <format dxfId="2116">
      <pivotArea dataOnly="0" labelOnly="1" fieldPosition="0">
        <references count="6">
          <reference field="1" count="1" selected="0">
            <x v="71"/>
          </reference>
          <reference field="5" count="1" selected="0">
            <x v="0"/>
          </reference>
          <reference field="6" count="1" selected="0">
            <x v="38"/>
          </reference>
          <reference field="7" count="1" selected="0">
            <x v="154"/>
          </reference>
          <reference field="8" count="1" selected="0">
            <x v="628"/>
          </reference>
          <reference field="9" count="1">
            <x v="611"/>
          </reference>
        </references>
      </pivotArea>
    </format>
    <format dxfId="2115">
      <pivotArea dataOnly="0" labelOnly="1" fieldPosition="0">
        <references count="6">
          <reference field="1" count="1" selected="0">
            <x v="71"/>
          </reference>
          <reference field="5" count="1" selected="0">
            <x v="6"/>
          </reference>
          <reference field="6" count="1" selected="0">
            <x v="38"/>
          </reference>
          <reference field="7" count="1" selected="0">
            <x v="154"/>
          </reference>
          <reference field="8" count="1" selected="0">
            <x v="911"/>
          </reference>
          <reference field="9" count="1">
            <x v="611"/>
          </reference>
        </references>
      </pivotArea>
    </format>
    <format dxfId="2114">
      <pivotArea dataOnly="0" labelOnly="1" fieldPosition="0">
        <references count="6">
          <reference field="1" count="1" selected="0">
            <x v="71"/>
          </reference>
          <reference field="5" count="1" selected="0">
            <x v="7"/>
          </reference>
          <reference field="6" count="1" selected="0">
            <x v="38"/>
          </reference>
          <reference field="7" count="1" selected="0">
            <x v="154"/>
          </reference>
          <reference field="8" count="1" selected="0">
            <x v="564"/>
          </reference>
          <reference field="9" count="1">
            <x v="611"/>
          </reference>
        </references>
      </pivotArea>
    </format>
    <format dxfId="2113">
      <pivotArea dataOnly="0" labelOnly="1" fieldPosition="0">
        <references count="6">
          <reference field="1" count="1" selected="0">
            <x v="71"/>
          </reference>
          <reference field="5" count="1" selected="0">
            <x v="8"/>
          </reference>
          <reference field="6" count="1" selected="0">
            <x v="38"/>
          </reference>
          <reference field="7" count="1" selected="0">
            <x v="154"/>
          </reference>
          <reference field="8" count="1" selected="0">
            <x v="691"/>
          </reference>
          <reference field="9" count="1">
            <x v="611"/>
          </reference>
        </references>
      </pivotArea>
    </format>
    <format dxfId="2112">
      <pivotArea dataOnly="0" labelOnly="1" fieldPosition="0">
        <references count="6">
          <reference field="1" count="1" selected="0">
            <x v="71"/>
          </reference>
          <reference field="5" count="1" selected="0">
            <x v="12"/>
          </reference>
          <reference field="6" count="1" selected="0">
            <x v="1"/>
          </reference>
          <reference field="7" count="1" selected="0">
            <x v="154"/>
          </reference>
          <reference field="8" count="1" selected="0">
            <x v="213"/>
          </reference>
          <reference field="9" count="1">
            <x v="611"/>
          </reference>
        </references>
      </pivotArea>
    </format>
    <format dxfId="2111">
      <pivotArea dataOnly="0" labelOnly="1" fieldPosition="0">
        <references count="6">
          <reference field="1" count="1" selected="0">
            <x v="71"/>
          </reference>
          <reference field="5" count="1" selected="0">
            <x v="12"/>
          </reference>
          <reference field="6" count="1" selected="0">
            <x v="1"/>
          </reference>
          <reference field="7" count="1" selected="0">
            <x v="154"/>
          </reference>
          <reference field="8" count="1" selected="0">
            <x v="352"/>
          </reference>
          <reference field="9" count="1">
            <x v="611"/>
          </reference>
        </references>
      </pivotArea>
    </format>
    <format dxfId="2110">
      <pivotArea dataOnly="0" labelOnly="1" fieldPosition="0">
        <references count="6">
          <reference field="1" count="1" selected="0">
            <x v="71"/>
          </reference>
          <reference field="5" count="1" selected="0">
            <x v="12"/>
          </reference>
          <reference field="6" count="1" selected="0">
            <x v="1"/>
          </reference>
          <reference field="7" count="1" selected="0">
            <x v="154"/>
          </reference>
          <reference field="8" count="1" selected="0">
            <x v="702"/>
          </reference>
          <reference field="9" count="1">
            <x v="611"/>
          </reference>
        </references>
      </pivotArea>
    </format>
    <format dxfId="2109">
      <pivotArea dataOnly="0" labelOnly="1" fieldPosition="0">
        <references count="6">
          <reference field="1" count="1" selected="0">
            <x v="71"/>
          </reference>
          <reference field="5" count="1" selected="0">
            <x v="12"/>
          </reference>
          <reference field="6" count="1" selected="0">
            <x v="1"/>
          </reference>
          <reference field="7" count="1" selected="0">
            <x v="154"/>
          </reference>
          <reference field="8" count="1" selected="0">
            <x v="846"/>
          </reference>
          <reference field="9" count="1">
            <x v="611"/>
          </reference>
        </references>
      </pivotArea>
    </format>
    <format dxfId="2108">
      <pivotArea dataOnly="0" labelOnly="1" fieldPosition="0">
        <references count="6">
          <reference field="1" count="1" selected="0">
            <x v="71"/>
          </reference>
          <reference field="5" count="1" selected="0">
            <x v="15"/>
          </reference>
          <reference field="6" count="1" selected="0">
            <x v="38"/>
          </reference>
          <reference field="7" count="1" selected="0">
            <x v="154"/>
          </reference>
          <reference field="8" count="1" selected="0">
            <x v="1274"/>
          </reference>
          <reference field="9" count="1">
            <x v="611"/>
          </reference>
        </references>
      </pivotArea>
    </format>
    <format dxfId="2107">
      <pivotArea dataOnly="0" labelOnly="1" fieldPosition="0">
        <references count="6">
          <reference field="1" count="1" selected="0">
            <x v="71"/>
          </reference>
          <reference field="5" count="1" selected="0">
            <x v="19"/>
          </reference>
          <reference field="6" count="1" selected="0">
            <x v="6"/>
          </reference>
          <reference field="7" count="1" selected="0">
            <x v="154"/>
          </reference>
          <reference field="8" count="1" selected="0">
            <x v="539"/>
          </reference>
          <reference field="9" count="1">
            <x v="611"/>
          </reference>
        </references>
      </pivotArea>
    </format>
    <format dxfId="2106">
      <pivotArea dataOnly="0" labelOnly="1" fieldPosition="0">
        <references count="6">
          <reference field="1" count="1" selected="0">
            <x v="71"/>
          </reference>
          <reference field="5" count="1" selected="0">
            <x v="21"/>
          </reference>
          <reference field="6" count="1" selected="0">
            <x v="38"/>
          </reference>
          <reference field="7" count="1" selected="0">
            <x v="154"/>
          </reference>
          <reference field="8" count="1" selected="0">
            <x v="1274"/>
          </reference>
          <reference field="9" count="1">
            <x v="611"/>
          </reference>
        </references>
      </pivotArea>
    </format>
    <format dxfId="2105">
      <pivotArea dataOnly="0" labelOnly="1" fieldPosition="0">
        <references count="6">
          <reference field="1" count="1" selected="0">
            <x v="71"/>
          </reference>
          <reference field="5" count="1" selected="0">
            <x v="23"/>
          </reference>
          <reference field="6" count="1" selected="0">
            <x v="38"/>
          </reference>
          <reference field="7" count="1" selected="0">
            <x v="154"/>
          </reference>
          <reference field="8" count="1" selected="0">
            <x v="1857"/>
          </reference>
          <reference field="9" count="1">
            <x v="611"/>
          </reference>
        </references>
      </pivotArea>
    </format>
    <format dxfId="2104">
      <pivotArea dataOnly="0" labelOnly="1" fieldPosition="0">
        <references count="6">
          <reference field="1" count="1" selected="0">
            <x v="71"/>
          </reference>
          <reference field="5" count="1" selected="0">
            <x v="34"/>
          </reference>
          <reference field="6" count="1" selected="0">
            <x v="38"/>
          </reference>
          <reference field="7" count="1" selected="0">
            <x v="154"/>
          </reference>
          <reference field="8" count="1" selected="0">
            <x v="872"/>
          </reference>
          <reference field="9" count="1">
            <x v="611"/>
          </reference>
        </references>
      </pivotArea>
    </format>
    <format dxfId="2103">
      <pivotArea dataOnly="0" labelOnly="1" fieldPosition="0">
        <references count="6">
          <reference field="1" count="1" selected="0">
            <x v="71"/>
          </reference>
          <reference field="5" count="1" selected="0">
            <x v="35"/>
          </reference>
          <reference field="6" count="1" selected="0">
            <x v="1"/>
          </reference>
          <reference field="7" count="1" selected="0">
            <x v="154"/>
          </reference>
          <reference field="8" count="1" selected="0">
            <x v="80"/>
          </reference>
          <reference field="9" count="1">
            <x v="611"/>
          </reference>
        </references>
      </pivotArea>
    </format>
    <format dxfId="2102">
      <pivotArea dataOnly="0" labelOnly="1" fieldPosition="0">
        <references count="6">
          <reference field="1" count="1" selected="0">
            <x v="71"/>
          </reference>
          <reference field="5" count="1" selected="0">
            <x v="35"/>
          </reference>
          <reference field="6" count="1" selected="0">
            <x v="1"/>
          </reference>
          <reference field="7" count="1" selected="0">
            <x v="154"/>
          </reference>
          <reference field="8" count="1" selected="0">
            <x v="213"/>
          </reference>
          <reference field="9" count="1">
            <x v="611"/>
          </reference>
        </references>
      </pivotArea>
    </format>
    <format dxfId="2101">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148"/>
          </reference>
          <reference field="9" count="1">
            <x v="611"/>
          </reference>
        </references>
      </pivotArea>
    </format>
    <format dxfId="2100">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358"/>
          </reference>
          <reference field="9" count="1">
            <x v="611"/>
          </reference>
        </references>
      </pivotArea>
    </format>
    <format dxfId="2099">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390"/>
          </reference>
          <reference field="9" count="1">
            <x v="611"/>
          </reference>
        </references>
      </pivotArea>
    </format>
    <format dxfId="2098">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482"/>
          </reference>
          <reference field="9" count="1">
            <x v="611"/>
          </reference>
        </references>
      </pivotArea>
    </format>
    <format dxfId="2097">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549"/>
          </reference>
          <reference field="9" count="1">
            <x v="611"/>
          </reference>
        </references>
      </pivotArea>
    </format>
    <format dxfId="2096">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578"/>
          </reference>
          <reference field="9" count="1">
            <x v="611"/>
          </reference>
        </references>
      </pivotArea>
    </format>
    <format dxfId="2095">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610"/>
          </reference>
          <reference field="9" count="1">
            <x v="611"/>
          </reference>
        </references>
      </pivotArea>
    </format>
    <format dxfId="2094">
      <pivotArea dataOnly="0" labelOnly="1" fieldPosition="0">
        <references count="6">
          <reference field="1" count="1" selected="0">
            <x v="72"/>
          </reference>
          <reference field="5" count="1" selected="0">
            <x v="0"/>
          </reference>
          <reference field="6" count="1" selected="0">
            <x v="8"/>
          </reference>
          <reference field="7" count="1" selected="0">
            <x v="155"/>
          </reference>
          <reference field="8" count="1" selected="0">
            <x v="1272"/>
          </reference>
          <reference field="9" count="1">
            <x v="611"/>
          </reference>
        </references>
      </pivotArea>
    </format>
    <format dxfId="2093">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81"/>
          </reference>
          <reference field="9" count="1">
            <x v="611"/>
          </reference>
        </references>
      </pivotArea>
    </format>
    <format dxfId="2092">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163"/>
          </reference>
          <reference field="9" count="1">
            <x v="611"/>
          </reference>
        </references>
      </pivotArea>
    </format>
    <format dxfId="2091">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213"/>
          </reference>
          <reference field="9" count="1">
            <x v="611"/>
          </reference>
        </references>
      </pivotArea>
    </format>
    <format dxfId="2090">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424"/>
          </reference>
          <reference field="9" count="1">
            <x v="611"/>
          </reference>
        </references>
      </pivotArea>
    </format>
    <format dxfId="2089">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499"/>
          </reference>
          <reference field="9" count="1">
            <x v="611"/>
          </reference>
        </references>
      </pivotArea>
    </format>
    <format dxfId="2088">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830"/>
          </reference>
          <reference field="9" count="1">
            <x v="611"/>
          </reference>
        </references>
      </pivotArea>
    </format>
    <format dxfId="2087">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856"/>
          </reference>
          <reference field="9" count="1">
            <x v="611"/>
          </reference>
        </references>
      </pivotArea>
    </format>
    <format dxfId="2086">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908"/>
          </reference>
          <reference field="9" count="1">
            <x v="611"/>
          </reference>
        </references>
      </pivotArea>
    </format>
    <format dxfId="2085">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942"/>
          </reference>
          <reference field="9" count="1">
            <x v="611"/>
          </reference>
        </references>
      </pivotArea>
    </format>
    <format dxfId="2084">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1034"/>
          </reference>
          <reference field="9" count="1">
            <x v="611"/>
          </reference>
        </references>
      </pivotArea>
    </format>
    <format dxfId="2083">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1036"/>
          </reference>
          <reference field="9" count="1">
            <x v="611"/>
          </reference>
        </references>
      </pivotArea>
    </format>
    <format dxfId="2082">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1062"/>
          </reference>
          <reference field="9" count="1">
            <x v="611"/>
          </reference>
        </references>
      </pivotArea>
    </format>
    <format dxfId="2081">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1084"/>
          </reference>
          <reference field="9" count="1">
            <x v="611"/>
          </reference>
        </references>
      </pivotArea>
    </format>
    <format dxfId="2080">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1374"/>
          </reference>
          <reference field="9" count="1">
            <x v="611"/>
          </reference>
        </references>
      </pivotArea>
    </format>
    <format dxfId="2079">
      <pivotArea dataOnly="0" labelOnly="1" fieldPosition="0">
        <references count="6">
          <reference field="1" count="1" selected="0">
            <x v="72"/>
          </reference>
          <reference field="5" count="1" selected="0">
            <x v="0"/>
          </reference>
          <reference field="6" count="1" selected="0">
            <x v="9"/>
          </reference>
          <reference field="7" count="1" selected="0">
            <x v="155"/>
          </reference>
          <reference field="8" count="1" selected="0">
            <x v="1418"/>
          </reference>
          <reference field="9" count="1">
            <x v="611"/>
          </reference>
        </references>
      </pivotArea>
    </format>
    <format dxfId="2078">
      <pivotArea dataOnly="0" labelOnly="1" fieldPosition="0">
        <references count="6">
          <reference field="1" count="1" selected="0">
            <x v="72"/>
          </reference>
          <reference field="5" count="1" selected="0">
            <x v="0"/>
          </reference>
          <reference field="6" count="1" selected="0">
            <x v="12"/>
          </reference>
          <reference field="7" count="1" selected="0">
            <x v="19"/>
          </reference>
          <reference field="8" count="1" selected="0">
            <x v="188"/>
          </reference>
          <reference field="9" count="1">
            <x v="611"/>
          </reference>
        </references>
      </pivotArea>
    </format>
    <format dxfId="2077">
      <pivotArea dataOnly="0" labelOnly="1" fieldPosition="0">
        <references count="6">
          <reference field="1" count="1" selected="0">
            <x v="72"/>
          </reference>
          <reference field="5" count="1" selected="0">
            <x v="0"/>
          </reference>
          <reference field="6" count="1" selected="0">
            <x v="12"/>
          </reference>
          <reference field="7" count="1" selected="0">
            <x v="26"/>
          </reference>
          <reference field="8" count="1" selected="0">
            <x v="52"/>
          </reference>
          <reference field="9" count="1">
            <x v="611"/>
          </reference>
        </references>
      </pivotArea>
    </format>
    <format dxfId="2076">
      <pivotArea dataOnly="0" labelOnly="1" fieldPosition="0">
        <references count="6">
          <reference field="1" count="1" selected="0">
            <x v="72"/>
          </reference>
          <reference field="5" count="1" selected="0">
            <x v="0"/>
          </reference>
          <reference field="6" count="1" selected="0">
            <x v="12"/>
          </reference>
          <reference field="7" count="1" selected="0">
            <x v="50"/>
          </reference>
          <reference field="8" count="1" selected="0">
            <x v="90"/>
          </reference>
          <reference field="9" count="1">
            <x v="611"/>
          </reference>
        </references>
      </pivotArea>
    </format>
    <format dxfId="2075">
      <pivotArea dataOnly="0" labelOnly="1" fieldPosition="0">
        <references count="6">
          <reference field="1" count="1" selected="0">
            <x v="72"/>
          </reference>
          <reference field="5" count="1" selected="0">
            <x v="0"/>
          </reference>
          <reference field="6" count="1" selected="0">
            <x v="12"/>
          </reference>
          <reference field="7" count="1" selected="0">
            <x v="70"/>
          </reference>
          <reference field="8" count="1" selected="0">
            <x v="11"/>
          </reference>
          <reference field="9" count="1">
            <x v="611"/>
          </reference>
        </references>
      </pivotArea>
    </format>
    <format dxfId="2074">
      <pivotArea dataOnly="0" labelOnly="1" fieldPosition="0">
        <references count="6">
          <reference field="1" count="1" selected="0">
            <x v="72"/>
          </reference>
          <reference field="5" count="1" selected="0">
            <x v="5"/>
          </reference>
          <reference field="6" count="1" selected="0">
            <x v="38"/>
          </reference>
          <reference field="7" count="1" selected="0">
            <x v="155"/>
          </reference>
          <reference field="8" count="1" selected="0">
            <x v="213"/>
          </reference>
          <reference field="9" count="1">
            <x v="611"/>
          </reference>
        </references>
      </pivotArea>
    </format>
    <format dxfId="2073">
      <pivotArea dataOnly="0" labelOnly="1" fieldPosition="0">
        <references count="6">
          <reference field="1" count="1" selected="0">
            <x v="72"/>
          </reference>
          <reference field="5" count="1" selected="0">
            <x v="7"/>
          </reference>
          <reference field="6" count="1" selected="0">
            <x v="10"/>
          </reference>
          <reference field="7" count="1" selected="0">
            <x v="155"/>
          </reference>
          <reference field="8" count="1" selected="0">
            <x v="1640"/>
          </reference>
          <reference field="9" count="1">
            <x v="611"/>
          </reference>
        </references>
      </pivotArea>
    </format>
    <format dxfId="2072">
      <pivotArea dataOnly="0" labelOnly="1" fieldPosition="0">
        <references count="6">
          <reference field="1" count="1" selected="0">
            <x v="72"/>
          </reference>
          <reference field="5" count="1" selected="0">
            <x v="8"/>
          </reference>
          <reference field="6" count="1" selected="0">
            <x v="10"/>
          </reference>
          <reference field="7" count="1" selected="0">
            <x v="155"/>
          </reference>
          <reference field="8" count="1" selected="0">
            <x v="647"/>
          </reference>
          <reference field="9" count="1">
            <x v="611"/>
          </reference>
        </references>
      </pivotArea>
    </format>
    <format dxfId="2071">
      <pivotArea dataOnly="0" labelOnly="1" fieldPosition="0">
        <references count="6">
          <reference field="1" count="1" selected="0">
            <x v="72"/>
          </reference>
          <reference field="5" count="1" selected="0">
            <x v="8"/>
          </reference>
          <reference field="6" count="1" selected="0">
            <x v="38"/>
          </reference>
          <reference field="7" count="1" selected="0">
            <x v="155"/>
          </reference>
          <reference field="8" count="1" selected="0">
            <x v="1259"/>
          </reference>
          <reference field="9" count="1">
            <x v="611"/>
          </reference>
        </references>
      </pivotArea>
    </format>
    <format dxfId="2070">
      <pivotArea dataOnly="0" labelOnly="1" fieldPosition="0">
        <references count="6">
          <reference field="1" count="1" selected="0">
            <x v="72"/>
          </reference>
          <reference field="5" count="1" selected="0">
            <x v="9"/>
          </reference>
          <reference field="6" count="1" selected="0">
            <x v="8"/>
          </reference>
          <reference field="7" count="1" selected="0">
            <x v="155"/>
          </reference>
          <reference field="8" count="1" selected="0">
            <x v="290"/>
          </reference>
          <reference field="9" count="1">
            <x v="611"/>
          </reference>
        </references>
      </pivotArea>
    </format>
    <format dxfId="2069">
      <pivotArea dataOnly="0" labelOnly="1" fieldPosition="0">
        <references count="6">
          <reference field="1" count="1" selected="0">
            <x v="72"/>
          </reference>
          <reference field="5" count="1" selected="0">
            <x v="12"/>
          </reference>
          <reference field="6" count="1" selected="0">
            <x v="1"/>
          </reference>
          <reference field="7" count="1" selected="0">
            <x v="155"/>
          </reference>
          <reference field="8" count="1" selected="0">
            <x v="80"/>
          </reference>
          <reference field="9" count="1">
            <x v="611"/>
          </reference>
        </references>
      </pivotArea>
    </format>
    <format dxfId="2068">
      <pivotArea dataOnly="0" labelOnly="1" fieldPosition="0">
        <references count="6">
          <reference field="1" count="1" selected="0">
            <x v="72"/>
          </reference>
          <reference field="5" count="1" selected="0">
            <x v="12"/>
          </reference>
          <reference field="6" count="1" selected="0">
            <x v="1"/>
          </reference>
          <reference field="7" count="1" selected="0">
            <x v="155"/>
          </reference>
          <reference field="8" count="1" selected="0">
            <x v="352"/>
          </reference>
          <reference field="9" count="1">
            <x v="611"/>
          </reference>
        </references>
      </pivotArea>
    </format>
    <format dxfId="2067">
      <pivotArea dataOnly="0" labelOnly="1" fieldPosition="0">
        <references count="6">
          <reference field="1" count="1" selected="0">
            <x v="72"/>
          </reference>
          <reference field="5" count="1" selected="0">
            <x v="12"/>
          </reference>
          <reference field="6" count="1" selected="0">
            <x v="1"/>
          </reference>
          <reference field="7" count="1" selected="0">
            <x v="155"/>
          </reference>
          <reference field="8" count="1" selected="0">
            <x v="607"/>
          </reference>
          <reference field="9" count="1">
            <x v="611"/>
          </reference>
        </references>
      </pivotArea>
    </format>
    <format dxfId="2066">
      <pivotArea dataOnly="0" labelOnly="1" fieldPosition="0">
        <references count="6">
          <reference field="1" count="1" selected="0">
            <x v="72"/>
          </reference>
          <reference field="5" count="1" selected="0">
            <x v="12"/>
          </reference>
          <reference field="6" count="1" selected="0">
            <x v="1"/>
          </reference>
          <reference field="7" count="1" selected="0">
            <x v="155"/>
          </reference>
          <reference field="8" count="1" selected="0">
            <x v="702"/>
          </reference>
          <reference field="9" count="1">
            <x v="611"/>
          </reference>
        </references>
      </pivotArea>
    </format>
    <format dxfId="2065">
      <pivotArea dataOnly="0" labelOnly="1" fieldPosition="0">
        <references count="6">
          <reference field="1" count="1" selected="0">
            <x v="72"/>
          </reference>
          <reference field="5" count="1" selected="0">
            <x v="12"/>
          </reference>
          <reference field="6" count="1" selected="0">
            <x v="1"/>
          </reference>
          <reference field="7" count="1" selected="0">
            <x v="155"/>
          </reference>
          <reference field="8" count="1" selected="0">
            <x v="846"/>
          </reference>
          <reference field="9" count="1">
            <x v="611"/>
          </reference>
        </references>
      </pivotArea>
    </format>
    <format dxfId="2064">
      <pivotArea dataOnly="0" labelOnly="1" fieldPosition="0">
        <references count="6">
          <reference field="1" count="1" selected="0">
            <x v="72"/>
          </reference>
          <reference field="5" count="1" selected="0">
            <x v="15"/>
          </reference>
          <reference field="6" count="1" selected="0">
            <x v="8"/>
          </reference>
          <reference field="7" count="1" selected="0">
            <x v="155"/>
          </reference>
          <reference field="8" count="1" selected="0">
            <x v="340"/>
          </reference>
          <reference field="9" count="1">
            <x v="611"/>
          </reference>
        </references>
      </pivotArea>
    </format>
    <format dxfId="2063">
      <pivotArea dataOnly="0" labelOnly="1" fieldPosition="0">
        <references count="6">
          <reference field="1" count="1" selected="0">
            <x v="72"/>
          </reference>
          <reference field="5" count="1" selected="0">
            <x v="17"/>
          </reference>
          <reference field="6" count="1" selected="0">
            <x v="6"/>
          </reference>
          <reference field="7" count="1" selected="0">
            <x v="155"/>
          </reference>
          <reference field="8" count="1" selected="0">
            <x v="1863"/>
          </reference>
          <reference field="9" count="1">
            <x v="611"/>
          </reference>
        </references>
      </pivotArea>
    </format>
    <format dxfId="2062">
      <pivotArea dataOnly="0" labelOnly="1" fieldPosition="0">
        <references count="6">
          <reference field="1" count="1" selected="0">
            <x v="72"/>
          </reference>
          <reference field="5" count="1" selected="0">
            <x v="23"/>
          </reference>
          <reference field="6" count="1" selected="0">
            <x v="9"/>
          </reference>
          <reference field="7" count="1" selected="0">
            <x v="155"/>
          </reference>
          <reference field="8" count="1" selected="0">
            <x v="558"/>
          </reference>
          <reference field="9" count="1">
            <x v="611"/>
          </reference>
        </references>
      </pivotArea>
    </format>
    <format dxfId="2061">
      <pivotArea dataOnly="0" labelOnly="1" fieldPosition="0">
        <references count="6">
          <reference field="1" count="1" selected="0">
            <x v="72"/>
          </reference>
          <reference field="5" count="1" selected="0">
            <x v="25"/>
          </reference>
          <reference field="6" count="1" selected="0">
            <x v="9"/>
          </reference>
          <reference field="7" count="1" selected="0">
            <x v="155"/>
          </reference>
          <reference field="8" count="1" selected="0">
            <x v="932"/>
          </reference>
          <reference field="9" count="1">
            <x v="611"/>
          </reference>
        </references>
      </pivotArea>
    </format>
    <format dxfId="2060">
      <pivotArea dataOnly="0" labelOnly="1" fieldPosition="0">
        <references count="6">
          <reference field="1" count="1" selected="0">
            <x v="72"/>
          </reference>
          <reference field="5" count="1" selected="0">
            <x v="27"/>
          </reference>
          <reference field="6" count="1" selected="0">
            <x v="1"/>
          </reference>
          <reference field="7" count="1" selected="0">
            <x v="155"/>
          </reference>
          <reference field="8" count="1" selected="0">
            <x v="195"/>
          </reference>
          <reference field="9" count="1">
            <x v="611"/>
          </reference>
        </references>
      </pivotArea>
    </format>
    <format dxfId="2059">
      <pivotArea dataOnly="0" labelOnly="1" fieldPosition="0">
        <references count="6">
          <reference field="1" count="1" selected="0">
            <x v="72"/>
          </reference>
          <reference field="5" count="1" selected="0">
            <x v="27"/>
          </reference>
          <reference field="6" count="1" selected="0">
            <x v="38"/>
          </reference>
          <reference field="7" count="1" selected="0">
            <x v="155"/>
          </reference>
          <reference field="8" count="1" selected="0">
            <x v="413"/>
          </reference>
          <reference field="9" count="1">
            <x v="611"/>
          </reference>
        </references>
      </pivotArea>
    </format>
    <format dxfId="2058">
      <pivotArea dataOnly="0" labelOnly="1" fieldPosition="0">
        <references count="6">
          <reference field="1" count="1" selected="0">
            <x v="72"/>
          </reference>
          <reference field="5" count="1" selected="0">
            <x v="29"/>
          </reference>
          <reference field="6" count="1" selected="0">
            <x v="10"/>
          </reference>
          <reference field="7" count="1" selected="0">
            <x v="155"/>
          </reference>
          <reference field="8" count="1" selected="0">
            <x v="3"/>
          </reference>
          <reference field="9" count="1">
            <x v="611"/>
          </reference>
        </references>
      </pivotArea>
    </format>
    <format dxfId="2057">
      <pivotArea dataOnly="0" labelOnly="1" fieldPosition="0">
        <references count="6">
          <reference field="1" count="1" selected="0">
            <x v="72"/>
          </reference>
          <reference field="5" count="1" selected="0">
            <x v="35"/>
          </reference>
          <reference field="6" count="1" selected="0">
            <x v="1"/>
          </reference>
          <reference field="7" count="1" selected="0">
            <x v="155"/>
          </reference>
          <reference field="8" count="1" selected="0">
            <x v="80"/>
          </reference>
          <reference field="9" count="1">
            <x v="611"/>
          </reference>
        </references>
      </pivotArea>
    </format>
    <format dxfId="2056">
      <pivotArea dataOnly="0" labelOnly="1" fieldPosition="0">
        <references count="6">
          <reference field="1" count="1" selected="0">
            <x v="72"/>
          </reference>
          <reference field="5" count="1" selected="0">
            <x v="37"/>
          </reference>
          <reference field="6" count="1" selected="0">
            <x v="8"/>
          </reference>
          <reference field="7" count="1" selected="0">
            <x v="155"/>
          </reference>
          <reference field="8" count="1" selected="0">
            <x v="1492"/>
          </reference>
          <reference field="9" count="1">
            <x v="611"/>
          </reference>
        </references>
      </pivotArea>
    </format>
    <format dxfId="2055">
      <pivotArea dataOnly="0" labelOnly="1" fieldPosition="0">
        <references count="6">
          <reference field="1" count="1" selected="0">
            <x v="72"/>
          </reference>
          <reference field="5" count="1" selected="0">
            <x v="37"/>
          </reference>
          <reference field="6" count="1" selected="0">
            <x v="9"/>
          </reference>
          <reference field="7" count="1" selected="0">
            <x v="155"/>
          </reference>
          <reference field="8" count="1" selected="0">
            <x v="1404"/>
          </reference>
          <reference field="9" count="1">
            <x v="611"/>
          </reference>
        </references>
      </pivotArea>
    </format>
    <format dxfId="2054">
      <pivotArea dataOnly="0" labelOnly="1" fieldPosition="0">
        <references count="6">
          <reference field="1" count="1" selected="0">
            <x v="73"/>
          </reference>
          <reference field="5" count="1" selected="0">
            <x v="0"/>
          </reference>
          <reference field="6" count="1" selected="0">
            <x v="6"/>
          </reference>
          <reference field="7" count="1" selected="0">
            <x v="156"/>
          </reference>
          <reference field="8" count="1" selected="0">
            <x v="1173"/>
          </reference>
          <reference field="9" count="1">
            <x v="611"/>
          </reference>
        </references>
      </pivotArea>
    </format>
    <format dxfId="2053">
      <pivotArea dataOnly="0" labelOnly="1" fieldPosition="0">
        <references count="6">
          <reference field="1" count="1" selected="0">
            <x v="73"/>
          </reference>
          <reference field="5" count="1" selected="0">
            <x v="0"/>
          </reference>
          <reference field="6" count="1" selected="0">
            <x v="12"/>
          </reference>
          <reference field="7" count="1" selected="0">
            <x v="30"/>
          </reference>
          <reference field="8" count="1" selected="0">
            <x v="35"/>
          </reference>
          <reference field="9" count="1">
            <x v="611"/>
          </reference>
        </references>
      </pivotArea>
    </format>
    <format dxfId="2052">
      <pivotArea dataOnly="0" labelOnly="1" fieldPosition="0">
        <references count="6">
          <reference field="1" count="1" selected="0">
            <x v="73"/>
          </reference>
          <reference field="5" count="1" selected="0">
            <x v="12"/>
          </reference>
          <reference field="6" count="1" selected="0">
            <x v="1"/>
          </reference>
          <reference field="7" count="1" selected="0">
            <x v="156"/>
          </reference>
          <reference field="8" count="1" selected="0">
            <x v="80"/>
          </reference>
          <reference field="9" count="1">
            <x v="611"/>
          </reference>
        </references>
      </pivotArea>
    </format>
    <format dxfId="2051">
      <pivotArea dataOnly="0" labelOnly="1" fieldPosition="0">
        <references count="6">
          <reference field="1" count="1" selected="0">
            <x v="73"/>
          </reference>
          <reference field="5" count="1" selected="0">
            <x v="12"/>
          </reference>
          <reference field="6" count="1" selected="0">
            <x v="1"/>
          </reference>
          <reference field="7" count="1" selected="0">
            <x v="156"/>
          </reference>
          <reference field="8" count="1" selected="0">
            <x v="213"/>
          </reference>
          <reference field="9" count="1">
            <x v="611"/>
          </reference>
        </references>
      </pivotArea>
    </format>
    <format dxfId="2050">
      <pivotArea dataOnly="0" labelOnly="1" fieldPosition="0">
        <references count="6">
          <reference field="1" count="1" selected="0">
            <x v="73"/>
          </reference>
          <reference field="5" count="1" selected="0">
            <x v="21"/>
          </reference>
          <reference field="6" count="1" selected="0">
            <x v="38"/>
          </reference>
          <reference field="7" count="1" selected="0">
            <x v="156"/>
          </reference>
          <reference field="8" count="1" selected="0">
            <x v="1652"/>
          </reference>
          <reference field="9" count="1">
            <x v="611"/>
          </reference>
        </references>
      </pivotArea>
    </format>
    <format dxfId="2049">
      <pivotArea dataOnly="0" labelOnly="1" fieldPosition="0">
        <references count="6">
          <reference field="1" count="1" selected="0">
            <x v="73"/>
          </reference>
          <reference field="5" count="1" selected="0">
            <x v="23"/>
          </reference>
          <reference field="6" count="1" selected="0">
            <x v="38"/>
          </reference>
          <reference field="7" count="1" selected="0">
            <x v="156"/>
          </reference>
          <reference field="8" count="1" selected="0">
            <x v="352"/>
          </reference>
          <reference field="9" count="1">
            <x v="611"/>
          </reference>
        </references>
      </pivotArea>
    </format>
    <format dxfId="2048">
      <pivotArea dataOnly="0" labelOnly="1" fieldPosition="0">
        <references count="6">
          <reference field="1" count="1" selected="0">
            <x v="73"/>
          </reference>
          <reference field="5" count="1" selected="0">
            <x v="35"/>
          </reference>
          <reference field="6" count="1" selected="0">
            <x v="1"/>
          </reference>
          <reference field="7" count="1" selected="0">
            <x v="156"/>
          </reference>
          <reference field="8" count="1" selected="0">
            <x v="213"/>
          </reference>
          <reference field="9" count="1">
            <x v="611"/>
          </reference>
        </references>
      </pivotArea>
    </format>
    <format dxfId="2047">
      <pivotArea dataOnly="0" labelOnly="1" fieldPosition="0">
        <references count="6">
          <reference field="1" count="1" selected="0">
            <x v="73"/>
          </reference>
          <reference field="5" count="1" selected="0">
            <x v="35"/>
          </reference>
          <reference field="6" count="1" selected="0">
            <x v="38"/>
          </reference>
          <reference field="7" count="1" selected="0">
            <x v="156"/>
          </reference>
          <reference field="8" count="1" selected="0">
            <x v="1399"/>
          </reference>
          <reference field="9" count="1">
            <x v="611"/>
          </reference>
        </references>
      </pivotArea>
    </format>
    <format dxfId="2046">
      <pivotArea dataOnly="0" labelOnly="1" fieldPosition="0">
        <references count="6">
          <reference field="1" count="1" selected="0">
            <x v="74"/>
          </reference>
          <reference field="5" count="1" selected="0">
            <x v="0"/>
          </reference>
          <reference field="6" count="1" selected="0">
            <x v="8"/>
          </reference>
          <reference field="7" count="1" selected="0">
            <x v="157"/>
          </reference>
          <reference field="8" count="1" selected="0">
            <x v="389"/>
          </reference>
          <reference field="9" count="1">
            <x v="611"/>
          </reference>
        </references>
      </pivotArea>
    </format>
    <format dxfId="2045">
      <pivotArea dataOnly="0" labelOnly="1" fieldPosition="0">
        <references count="6">
          <reference field="1" count="1" selected="0">
            <x v="74"/>
          </reference>
          <reference field="5" count="1" selected="0">
            <x v="0"/>
          </reference>
          <reference field="6" count="1" selected="0">
            <x v="8"/>
          </reference>
          <reference field="7" count="1" selected="0">
            <x v="157"/>
          </reference>
          <reference field="8" count="1" selected="0">
            <x v="785"/>
          </reference>
          <reference field="9" count="1">
            <x v="611"/>
          </reference>
        </references>
      </pivotArea>
    </format>
    <format dxfId="2044">
      <pivotArea dataOnly="0" labelOnly="1" fieldPosition="0">
        <references count="6">
          <reference field="1" count="1" selected="0">
            <x v="74"/>
          </reference>
          <reference field="5" count="1" selected="0">
            <x v="0"/>
          </reference>
          <reference field="6" count="1" selected="0">
            <x v="8"/>
          </reference>
          <reference field="7" count="1" selected="0">
            <x v="157"/>
          </reference>
          <reference field="8" count="1" selected="0">
            <x v="1187"/>
          </reference>
          <reference field="9" count="1">
            <x v="611"/>
          </reference>
        </references>
      </pivotArea>
    </format>
    <format dxfId="2043">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261"/>
          </reference>
          <reference field="9" count="1">
            <x v="611"/>
          </reference>
        </references>
      </pivotArea>
    </format>
    <format dxfId="2042">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312"/>
          </reference>
          <reference field="9" count="1">
            <x v="611"/>
          </reference>
        </references>
      </pivotArea>
    </format>
    <format dxfId="2041">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394"/>
          </reference>
          <reference field="9" count="1">
            <x v="611"/>
          </reference>
        </references>
      </pivotArea>
    </format>
    <format dxfId="2040">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563"/>
          </reference>
          <reference field="9" count="1">
            <x v="611"/>
          </reference>
        </references>
      </pivotArea>
    </format>
    <format dxfId="2039">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736"/>
          </reference>
          <reference field="9" count="1">
            <x v="611"/>
          </reference>
        </references>
      </pivotArea>
    </format>
    <format dxfId="2038">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759"/>
          </reference>
          <reference field="9" count="1">
            <x v="611"/>
          </reference>
        </references>
      </pivotArea>
    </format>
    <format dxfId="2037">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874"/>
          </reference>
          <reference field="9" count="1">
            <x v="611"/>
          </reference>
        </references>
      </pivotArea>
    </format>
    <format dxfId="2036">
      <pivotArea dataOnly="0" labelOnly="1" fieldPosition="0">
        <references count="6">
          <reference field="1" count="1" selected="0">
            <x v="74"/>
          </reference>
          <reference field="5" count="1" selected="0">
            <x v="0"/>
          </reference>
          <reference field="6" count="1" selected="0">
            <x v="9"/>
          </reference>
          <reference field="7" count="1" selected="0">
            <x v="157"/>
          </reference>
          <reference field="8" count="1" selected="0">
            <x v="1282"/>
          </reference>
          <reference field="9" count="1">
            <x v="611"/>
          </reference>
        </references>
      </pivotArea>
    </format>
    <format dxfId="2035">
      <pivotArea dataOnly="0" labelOnly="1" fieldPosition="0">
        <references count="6">
          <reference field="1" count="1" selected="0">
            <x v="74"/>
          </reference>
          <reference field="5" count="1" selected="0">
            <x v="5"/>
          </reference>
          <reference field="6" count="1" selected="0">
            <x v="38"/>
          </reference>
          <reference field="7" count="1" selected="0">
            <x v="157"/>
          </reference>
          <reference field="8" count="1" selected="0">
            <x v="1358"/>
          </reference>
          <reference field="9" count="1">
            <x v="611"/>
          </reference>
        </references>
      </pivotArea>
    </format>
    <format dxfId="2034">
      <pivotArea dataOnly="0" labelOnly="1" fieldPosition="0">
        <references count="6">
          <reference field="1" count="1" selected="0">
            <x v="74"/>
          </reference>
          <reference field="5" count="1" selected="0">
            <x v="8"/>
          </reference>
          <reference field="6" count="1" selected="0">
            <x v="38"/>
          </reference>
          <reference field="7" count="1" selected="0">
            <x v="157"/>
          </reference>
          <reference field="8" count="1" selected="0">
            <x v="517"/>
          </reference>
          <reference field="9" count="1">
            <x v="611"/>
          </reference>
        </references>
      </pivotArea>
    </format>
    <format dxfId="2033">
      <pivotArea dataOnly="0" labelOnly="1" fieldPosition="0">
        <references count="6">
          <reference field="1" count="1" selected="0">
            <x v="74"/>
          </reference>
          <reference field="5" count="1" selected="0">
            <x v="12"/>
          </reference>
          <reference field="6" count="1" selected="0">
            <x v="1"/>
          </reference>
          <reference field="7" count="1" selected="0">
            <x v="157"/>
          </reference>
          <reference field="8" count="1" selected="0">
            <x v="213"/>
          </reference>
          <reference field="9" count="1">
            <x v="611"/>
          </reference>
        </references>
      </pivotArea>
    </format>
    <format dxfId="2032">
      <pivotArea dataOnly="0" labelOnly="1" fieldPosition="0">
        <references count="6">
          <reference field="1" count="1" selected="0">
            <x v="74"/>
          </reference>
          <reference field="5" count="1" selected="0">
            <x v="12"/>
          </reference>
          <reference field="6" count="1" selected="0">
            <x v="1"/>
          </reference>
          <reference field="7" count="1" selected="0">
            <x v="157"/>
          </reference>
          <reference field="8" count="1" selected="0">
            <x v="352"/>
          </reference>
          <reference field="9" count="1">
            <x v="611"/>
          </reference>
        </references>
      </pivotArea>
    </format>
    <format dxfId="2031">
      <pivotArea dataOnly="0" labelOnly="1" fieldPosition="0">
        <references count="6">
          <reference field="1" count="1" selected="0">
            <x v="74"/>
          </reference>
          <reference field="5" count="1" selected="0">
            <x v="12"/>
          </reference>
          <reference field="6" count="1" selected="0">
            <x v="38"/>
          </reference>
          <reference field="7" count="1" selected="0">
            <x v="157"/>
          </reference>
          <reference field="8" count="1" selected="0">
            <x v="1001"/>
          </reference>
          <reference field="9" count="1">
            <x v="611"/>
          </reference>
        </references>
      </pivotArea>
    </format>
    <format dxfId="2030">
      <pivotArea dataOnly="0" labelOnly="1" fieldPosition="0">
        <references count="6">
          <reference field="1" count="1" selected="0">
            <x v="74"/>
          </reference>
          <reference field="5" count="1" selected="0">
            <x v="12"/>
          </reference>
          <reference field="6" count="1" selected="0">
            <x v="38"/>
          </reference>
          <reference field="7" count="1" selected="0">
            <x v="157"/>
          </reference>
          <reference field="8" count="1" selected="0">
            <x v="1265"/>
          </reference>
          <reference field="9" count="1">
            <x v="611"/>
          </reference>
        </references>
      </pivotArea>
    </format>
    <format dxfId="2029">
      <pivotArea dataOnly="0" labelOnly="1" fieldPosition="0">
        <references count="6">
          <reference field="1" count="1" selected="0">
            <x v="74"/>
          </reference>
          <reference field="5" count="1" selected="0">
            <x v="15"/>
          </reference>
          <reference field="6" count="1" selected="0">
            <x v="8"/>
          </reference>
          <reference field="7" count="1" selected="0">
            <x v="157"/>
          </reference>
          <reference field="8" count="1" selected="0">
            <x v="869"/>
          </reference>
          <reference field="9" count="1">
            <x v="611"/>
          </reference>
        </references>
      </pivotArea>
    </format>
    <format dxfId="2028">
      <pivotArea dataOnly="0" labelOnly="1" fieldPosition="0">
        <references count="6">
          <reference field="1" count="1" selected="0">
            <x v="74"/>
          </reference>
          <reference field="5" count="1" selected="0">
            <x v="15"/>
          </reference>
          <reference field="6" count="1" selected="0">
            <x v="10"/>
          </reference>
          <reference field="7" count="1" selected="0">
            <x v="157"/>
          </reference>
          <reference field="8" count="1" selected="0">
            <x v="314"/>
          </reference>
          <reference field="9" count="1">
            <x v="611"/>
          </reference>
        </references>
      </pivotArea>
    </format>
    <format dxfId="2027">
      <pivotArea dataOnly="0" labelOnly="1" fieldPosition="0">
        <references count="6">
          <reference field="1" count="1" selected="0">
            <x v="74"/>
          </reference>
          <reference field="5" count="1" selected="0">
            <x v="17"/>
          </reference>
          <reference field="6" count="1" selected="0">
            <x v="8"/>
          </reference>
          <reference field="7" count="1" selected="0">
            <x v="157"/>
          </reference>
          <reference field="8" count="1" selected="0">
            <x v="1214"/>
          </reference>
          <reference field="9" count="1">
            <x v="611"/>
          </reference>
        </references>
      </pivotArea>
    </format>
    <format dxfId="2026">
      <pivotArea dataOnly="0" labelOnly="1" fieldPosition="0">
        <references count="6">
          <reference field="1" count="1" selected="0">
            <x v="74"/>
          </reference>
          <reference field="5" count="1" selected="0">
            <x v="23"/>
          </reference>
          <reference field="6" count="1" selected="0">
            <x v="6"/>
          </reference>
          <reference field="7" count="1" selected="0">
            <x v="157"/>
          </reference>
          <reference field="8" count="1" selected="0">
            <x v="1146"/>
          </reference>
          <reference field="9" count="1">
            <x v="611"/>
          </reference>
        </references>
      </pivotArea>
    </format>
    <format dxfId="2025">
      <pivotArea dataOnly="0" labelOnly="1" fieldPosition="0">
        <references count="6">
          <reference field="1" count="1" selected="0">
            <x v="74"/>
          </reference>
          <reference field="5" count="1" selected="0">
            <x v="23"/>
          </reference>
          <reference field="6" count="1" selected="0">
            <x v="38"/>
          </reference>
          <reference field="7" count="1" selected="0">
            <x v="157"/>
          </reference>
          <reference field="8" count="1" selected="0">
            <x v="369"/>
          </reference>
          <reference field="9" count="1">
            <x v="611"/>
          </reference>
        </references>
      </pivotArea>
    </format>
    <format dxfId="2024">
      <pivotArea dataOnly="0" labelOnly="1" fieldPosition="0">
        <references count="6">
          <reference field="1" count="1" selected="0">
            <x v="74"/>
          </reference>
          <reference field="5" count="1" selected="0">
            <x v="26"/>
          </reference>
          <reference field="6" count="1" selected="0">
            <x v="38"/>
          </reference>
          <reference field="7" count="1" selected="0">
            <x v="157"/>
          </reference>
          <reference field="8" count="1" selected="0">
            <x v="371"/>
          </reference>
          <reference field="9" count="1">
            <x v="611"/>
          </reference>
        </references>
      </pivotArea>
    </format>
    <format dxfId="2023">
      <pivotArea dataOnly="0" labelOnly="1" fieldPosition="0">
        <references count="6">
          <reference field="1" count="1" selected="0">
            <x v="74"/>
          </reference>
          <reference field="5" count="1" selected="0">
            <x v="27"/>
          </reference>
          <reference field="6" count="1" selected="0">
            <x v="6"/>
          </reference>
          <reference field="7" count="1" selected="0">
            <x v="157"/>
          </reference>
          <reference field="8" count="1" selected="0">
            <x v="1536"/>
          </reference>
          <reference field="9" count="1">
            <x v="611"/>
          </reference>
        </references>
      </pivotArea>
    </format>
    <format dxfId="2022">
      <pivotArea dataOnly="0" labelOnly="1" fieldPosition="0">
        <references count="6">
          <reference field="1" count="1" selected="0">
            <x v="74"/>
          </reference>
          <reference field="5" count="1" selected="0">
            <x v="35"/>
          </reference>
          <reference field="6" count="1" selected="0">
            <x v="1"/>
          </reference>
          <reference field="7" count="1" selected="0">
            <x v="157"/>
          </reference>
          <reference field="8" count="1" selected="0">
            <x v="80"/>
          </reference>
          <reference field="9" count="1">
            <x v="611"/>
          </reference>
        </references>
      </pivotArea>
    </format>
    <format dxfId="2021">
      <pivotArea dataOnly="0" labelOnly="1" fieldPosition="0">
        <references count="6">
          <reference field="1" count="1" selected="0">
            <x v="74"/>
          </reference>
          <reference field="5" count="1" selected="0">
            <x v="36"/>
          </reference>
          <reference field="6" count="1" selected="0">
            <x v="9"/>
          </reference>
          <reference field="7" count="1" selected="0">
            <x v="157"/>
          </reference>
          <reference field="8" count="1" selected="0">
            <x v="1351"/>
          </reference>
          <reference field="9" count="1">
            <x v="611"/>
          </reference>
        </references>
      </pivotArea>
    </format>
    <format dxfId="2020">
      <pivotArea dataOnly="0" labelOnly="1" fieldPosition="0">
        <references count="6">
          <reference field="1" count="1" selected="0">
            <x v="74"/>
          </reference>
          <reference field="5" count="1" selected="0">
            <x v="36"/>
          </reference>
          <reference field="6" count="1" selected="0">
            <x v="38"/>
          </reference>
          <reference field="7" count="1" selected="0">
            <x v="157"/>
          </reference>
          <reference field="8" count="1" selected="0">
            <x v="743"/>
          </reference>
          <reference field="9" count="1">
            <x v="611"/>
          </reference>
        </references>
      </pivotArea>
    </format>
    <format dxfId="2019">
      <pivotArea dataOnly="0" labelOnly="1" fieldPosition="0">
        <references count="6">
          <reference field="1" count="1" selected="0">
            <x v="75"/>
          </reference>
          <reference field="5" count="1" selected="0">
            <x v="0"/>
          </reference>
          <reference field="6" count="1" selected="0">
            <x v="1"/>
          </reference>
          <reference field="7" count="1" selected="0">
            <x v="158"/>
          </reference>
          <reference field="8" count="1" selected="0">
            <x v="213"/>
          </reference>
          <reference field="9" count="1">
            <x v="611"/>
          </reference>
        </references>
      </pivotArea>
    </format>
    <format dxfId="2018">
      <pivotArea dataOnly="0" labelOnly="1" fieldPosition="0">
        <references count="6">
          <reference field="1" count="1" selected="0">
            <x v="75"/>
          </reference>
          <reference field="5" count="1" selected="0">
            <x v="0"/>
          </reference>
          <reference field="6" count="1" selected="0">
            <x v="6"/>
          </reference>
          <reference field="7" count="1" selected="0">
            <x v="158"/>
          </reference>
          <reference field="8" count="1" selected="0">
            <x v="1286"/>
          </reference>
          <reference field="9" count="1">
            <x v="611"/>
          </reference>
        </references>
      </pivotArea>
    </format>
    <format dxfId="2017">
      <pivotArea dataOnly="0" labelOnly="1" fieldPosition="0">
        <references count="6">
          <reference field="1" count="1" selected="0">
            <x v="75"/>
          </reference>
          <reference field="5" count="1" selected="0">
            <x v="0"/>
          </reference>
          <reference field="6" count="1" selected="0">
            <x v="12"/>
          </reference>
          <reference field="7" count="1" selected="0">
            <x v="46"/>
          </reference>
          <reference field="8" count="1" selected="0">
            <x v="325"/>
          </reference>
          <reference field="9" count="1">
            <x v="611"/>
          </reference>
        </references>
      </pivotArea>
    </format>
    <format dxfId="2016">
      <pivotArea dataOnly="0" labelOnly="1" fieldPosition="0">
        <references count="6">
          <reference field="1" count="1" selected="0">
            <x v="75"/>
          </reference>
          <reference field="5" count="1" selected="0">
            <x v="2"/>
          </reference>
          <reference field="6" count="1" selected="0">
            <x v="6"/>
          </reference>
          <reference field="7" count="1" selected="0">
            <x v="158"/>
          </reference>
          <reference field="8" count="1" selected="0">
            <x v="631"/>
          </reference>
          <reference field="9" count="1">
            <x v="611"/>
          </reference>
        </references>
      </pivotArea>
    </format>
    <format dxfId="2015">
      <pivotArea dataOnly="0" labelOnly="1" fieldPosition="0">
        <references count="6">
          <reference field="1" count="1" selected="0">
            <x v="75"/>
          </reference>
          <reference field="5" count="1" selected="0">
            <x v="3"/>
          </reference>
          <reference field="6" count="1" selected="0">
            <x v="6"/>
          </reference>
          <reference field="7" count="1" selected="0">
            <x v="158"/>
          </reference>
          <reference field="8" count="1" selected="0">
            <x v="1227"/>
          </reference>
          <reference field="9" count="1">
            <x v="611"/>
          </reference>
        </references>
      </pivotArea>
    </format>
    <format dxfId="2014">
      <pivotArea dataOnly="0" labelOnly="1" fieldPosition="0">
        <references count="6">
          <reference field="1" count="1" selected="0">
            <x v="75"/>
          </reference>
          <reference field="5" count="1" selected="0">
            <x v="3"/>
          </reference>
          <reference field="6" count="1" selected="0">
            <x v="38"/>
          </reference>
          <reference field="7" count="1" selected="0">
            <x v="158"/>
          </reference>
          <reference field="8" count="1" selected="0">
            <x v="109"/>
          </reference>
          <reference field="9" count="1">
            <x v="611"/>
          </reference>
        </references>
      </pivotArea>
    </format>
    <format dxfId="2013">
      <pivotArea dataOnly="0" labelOnly="1" fieldPosition="0">
        <references count="6">
          <reference field="1" count="1" selected="0">
            <x v="75"/>
          </reference>
          <reference field="5" count="1" selected="0">
            <x v="7"/>
          </reference>
          <reference field="6" count="1" selected="0">
            <x v="37"/>
          </reference>
          <reference field="7" count="1" selected="0">
            <x v="158"/>
          </reference>
          <reference field="8" count="1" selected="0">
            <x v="1022"/>
          </reference>
          <reference field="9" count="1">
            <x v="611"/>
          </reference>
        </references>
      </pivotArea>
    </format>
    <format dxfId="2012">
      <pivotArea dataOnly="0" labelOnly="1" fieldPosition="0">
        <references count="6">
          <reference field="1" count="1" selected="0">
            <x v="75"/>
          </reference>
          <reference field="5" count="1" selected="0">
            <x v="12"/>
          </reference>
          <reference field="6" count="1" selected="0">
            <x v="1"/>
          </reference>
          <reference field="7" count="1" selected="0">
            <x v="158"/>
          </reference>
          <reference field="8" count="1" selected="0">
            <x v="80"/>
          </reference>
          <reference field="9" count="1">
            <x v="611"/>
          </reference>
        </references>
      </pivotArea>
    </format>
    <format dxfId="2011">
      <pivotArea dataOnly="0" labelOnly="1" fieldPosition="0">
        <references count="6">
          <reference field="1" count="1" selected="0">
            <x v="75"/>
          </reference>
          <reference field="5" count="1" selected="0">
            <x v="12"/>
          </reference>
          <reference field="6" count="1" selected="0">
            <x v="1"/>
          </reference>
          <reference field="7" count="1" selected="0">
            <x v="158"/>
          </reference>
          <reference field="8" count="1" selected="0">
            <x v="213"/>
          </reference>
          <reference field="9" count="1">
            <x v="611"/>
          </reference>
        </references>
      </pivotArea>
    </format>
    <format dxfId="2010">
      <pivotArea dataOnly="0" labelOnly="1" fieldPosition="0">
        <references count="6">
          <reference field="1" count="1" selected="0">
            <x v="75"/>
          </reference>
          <reference field="5" count="1" selected="0">
            <x v="12"/>
          </reference>
          <reference field="6" count="1" selected="0">
            <x v="1"/>
          </reference>
          <reference field="7" count="1" selected="0">
            <x v="158"/>
          </reference>
          <reference field="8" count="1" selected="0">
            <x v="352"/>
          </reference>
          <reference field="9" count="1">
            <x v="611"/>
          </reference>
        </references>
      </pivotArea>
    </format>
    <format dxfId="2009">
      <pivotArea dataOnly="0" labelOnly="1" fieldPosition="0">
        <references count="6">
          <reference field="1" count="1" selected="0">
            <x v="75"/>
          </reference>
          <reference field="5" count="1" selected="0">
            <x v="12"/>
          </reference>
          <reference field="6" count="1" selected="0">
            <x v="1"/>
          </reference>
          <reference field="7" count="1" selected="0">
            <x v="158"/>
          </reference>
          <reference field="8" count="1" selected="0">
            <x v="607"/>
          </reference>
          <reference field="9" count="1">
            <x v="611"/>
          </reference>
        </references>
      </pivotArea>
    </format>
    <format dxfId="2008">
      <pivotArea dataOnly="0" labelOnly="1" fieldPosition="0">
        <references count="6">
          <reference field="1" count="1" selected="0">
            <x v="75"/>
          </reference>
          <reference field="5" count="1" selected="0">
            <x v="15"/>
          </reference>
          <reference field="6" count="1" selected="0">
            <x v="38"/>
          </reference>
          <reference field="7" count="1" selected="0">
            <x v="158"/>
          </reference>
          <reference field="8" count="1" selected="0">
            <x v="270"/>
          </reference>
          <reference field="9" count="1">
            <x v="611"/>
          </reference>
        </references>
      </pivotArea>
    </format>
    <format dxfId="2007">
      <pivotArea dataOnly="0" labelOnly="1" fieldPosition="0">
        <references count="6">
          <reference field="1" count="1" selected="0">
            <x v="75"/>
          </reference>
          <reference field="5" count="1" selected="0">
            <x v="23"/>
          </reference>
          <reference field="6" count="1" selected="0">
            <x v="38"/>
          </reference>
          <reference field="7" count="1" selected="0">
            <x v="158"/>
          </reference>
          <reference field="8" count="1" selected="0">
            <x v="756"/>
          </reference>
          <reference field="9" count="1">
            <x v="611"/>
          </reference>
        </references>
      </pivotArea>
    </format>
    <format dxfId="2006">
      <pivotArea dataOnly="0" labelOnly="1" fieldPosition="0">
        <references count="6">
          <reference field="1" count="1" selected="0">
            <x v="75"/>
          </reference>
          <reference field="5" count="1" selected="0">
            <x v="35"/>
          </reference>
          <reference field="6" count="1" selected="0">
            <x v="1"/>
          </reference>
          <reference field="7" count="1" selected="0">
            <x v="158"/>
          </reference>
          <reference field="8" count="1" selected="0">
            <x v="80"/>
          </reference>
          <reference field="9" count="1">
            <x v="611"/>
          </reference>
        </references>
      </pivotArea>
    </format>
    <format dxfId="2005">
      <pivotArea dataOnly="0" labelOnly="1" fieldPosition="0">
        <references count="6">
          <reference field="1" count="1" selected="0">
            <x v="76"/>
          </reference>
          <reference field="5" count="1" selected="0">
            <x v="0"/>
          </reference>
          <reference field="6" count="1" selected="0">
            <x v="12"/>
          </reference>
          <reference field="7" count="1" selected="0">
            <x v="21"/>
          </reference>
          <reference field="8" count="1" selected="0">
            <x v="6"/>
          </reference>
          <reference field="9" count="1">
            <x v="611"/>
          </reference>
        </references>
      </pivotArea>
    </format>
    <format dxfId="2004">
      <pivotArea dataOnly="0" labelOnly="1" fieldPosition="0">
        <references count="6">
          <reference field="1" count="1" selected="0">
            <x v="76"/>
          </reference>
          <reference field="5" count="1" selected="0">
            <x v="0"/>
          </reference>
          <reference field="6" count="1" selected="0">
            <x v="12"/>
          </reference>
          <reference field="7" count="1" selected="0">
            <x v="23"/>
          </reference>
          <reference field="8" count="1" selected="0">
            <x v="11"/>
          </reference>
          <reference field="9" count="1">
            <x v="611"/>
          </reference>
        </references>
      </pivotArea>
    </format>
    <format dxfId="2003">
      <pivotArea dataOnly="0" labelOnly="1" fieldPosition="0">
        <references count="6">
          <reference field="1" count="1" selected="0">
            <x v="76"/>
          </reference>
          <reference field="5" count="1" selected="0">
            <x v="0"/>
          </reference>
          <reference field="6" count="1" selected="0">
            <x v="12"/>
          </reference>
          <reference field="7" count="1" selected="0">
            <x v="39"/>
          </reference>
          <reference field="8" count="1" selected="0">
            <x v="180"/>
          </reference>
          <reference field="9" count="1">
            <x v="611"/>
          </reference>
        </references>
      </pivotArea>
    </format>
    <format dxfId="2002">
      <pivotArea dataOnly="0" labelOnly="1" fieldPosition="0">
        <references count="6">
          <reference field="1" count="1" selected="0">
            <x v="76"/>
          </reference>
          <reference field="5" count="1" selected="0">
            <x v="0"/>
          </reference>
          <reference field="6" count="1" selected="0">
            <x v="12"/>
          </reference>
          <reference field="7" count="1" selected="0">
            <x v="52"/>
          </reference>
          <reference field="8" count="1" selected="0">
            <x v="37"/>
          </reference>
          <reference field="9" count="1">
            <x v="611"/>
          </reference>
        </references>
      </pivotArea>
    </format>
    <format dxfId="2001">
      <pivotArea dataOnly="0" labelOnly="1" fieldPosition="0">
        <references count="6">
          <reference field="1" count="1" selected="0">
            <x v="76"/>
          </reference>
          <reference field="5" count="1" selected="0">
            <x v="8"/>
          </reference>
          <reference field="6" count="1" selected="0">
            <x v="38"/>
          </reference>
          <reference field="7" count="1" selected="0">
            <x v="159"/>
          </reference>
          <reference field="8" count="1" selected="0">
            <x v="498"/>
          </reference>
          <reference field="9" count="1">
            <x v="611"/>
          </reference>
        </references>
      </pivotArea>
    </format>
    <format dxfId="2000">
      <pivotArea dataOnly="0" labelOnly="1" fieldPosition="0">
        <references count="6">
          <reference field="1" count="1" selected="0">
            <x v="76"/>
          </reference>
          <reference field="5" count="1" selected="0">
            <x v="12"/>
          </reference>
          <reference field="6" count="1" selected="0">
            <x v="1"/>
          </reference>
          <reference field="7" count="1" selected="0">
            <x v="159"/>
          </reference>
          <reference field="8" count="1" selected="0">
            <x v="80"/>
          </reference>
          <reference field="9" count="1">
            <x v="611"/>
          </reference>
        </references>
      </pivotArea>
    </format>
    <format dxfId="1999">
      <pivotArea dataOnly="0" labelOnly="1" fieldPosition="0">
        <references count="6">
          <reference field="1" count="1" selected="0">
            <x v="76"/>
          </reference>
          <reference field="5" count="1" selected="0">
            <x v="15"/>
          </reference>
          <reference field="6" count="1" selected="0">
            <x v="37"/>
          </reference>
          <reference field="7" count="1" selected="0">
            <x v="159"/>
          </reference>
          <reference field="8" count="1" selected="0">
            <x v="1780"/>
          </reference>
          <reference field="9" count="1">
            <x v="611"/>
          </reference>
        </references>
      </pivotArea>
    </format>
    <format dxfId="1998">
      <pivotArea dataOnly="0" labelOnly="1" fieldPosition="0">
        <references count="6">
          <reference field="1" count="1" selected="0">
            <x v="76"/>
          </reference>
          <reference field="5" count="1" selected="0">
            <x v="19"/>
          </reference>
          <reference field="6" count="1" selected="0">
            <x v="38"/>
          </reference>
          <reference field="7" count="1" selected="0">
            <x v="159"/>
          </reference>
          <reference field="8" count="1" selected="0">
            <x v="217"/>
          </reference>
          <reference field="9" count="1">
            <x v="611"/>
          </reference>
        </references>
      </pivotArea>
    </format>
    <format dxfId="1997">
      <pivotArea dataOnly="0" labelOnly="1" fieldPosition="0">
        <references count="6">
          <reference field="1" count="1" selected="0">
            <x v="77"/>
          </reference>
          <reference field="5" count="1" selected="0">
            <x v="0"/>
          </reference>
          <reference field="6" count="1" selected="0">
            <x v="12"/>
          </reference>
          <reference field="7" count="1" selected="0">
            <x v="16"/>
          </reference>
          <reference field="8" count="1" selected="0">
            <x v="32"/>
          </reference>
          <reference field="9" count="1">
            <x v="611"/>
          </reference>
        </references>
      </pivotArea>
    </format>
    <format dxfId="1996">
      <pivotArea dataOnly="0" labelOnly="1" fieldPosition="0">
        <references count="6">
          <reference field="1" count="1" selected="0">
            <x v="77"/>
          </reference>
          <reference field="5" count="1" selected="0">
            <x v="0"/>
          </reference>
          <reference field="6" count="1" selected="0">
            <x v="12"/>
          </reference>
          <reference field="7" count="1" selected="0">
            <x v="54"/>
          </reference>
          <reference field="8" count="1" selected="0">
            <x v="35"/>
          </reference>
          <reference field="9" count="1">
            <x v="611"/>
          </reference>
        </references>
      </pivotArea>
    </format>
    <format dxfId="1995">
      <pivotArea dataOnly="0" labelOnly="1" fieldPosition="0">
        <references count="6">
          <reference field="1" count="1" selected="0">
            <x v="77"/>
          </reference>
          <reference field="5" count="1" selected="0">
            <x v="0"/>
          </reference>
          <reference field="6" count="1" selected="0">
            <x v="12"/>
          </reference>
          <reference field="7" count="1" selected="0">
            <x v="56"/>
          </reference>
          <reference field="8" count="1" selected="0">
            <x v="18"/>
          </reference>
          <reference field="9" count="1">
            <x v="611"/>
          </reference>
        </references>
      </pivotArea>
    </format>
    <format dxfId="1994">
      <pivotArea dataOnly="0" labelOnly="1" fieldPosition="0">
        <references count="6">
          <reference field="1" count="1" selected="0">
            <x v="77"/>
          </reference>
          <reference field="5" count="1" selected="0">
            <x v="3"/>
          </reference>
          <reference field="6" count="1" selected="0">
            <x v="6"/>
          </reference>
          <reference field="7" count="1" selected="0">
            <x v="160"/>
          </reference>
          <reference field="8" count="1" selected="0">
            <x v="1124"/>
          </reference>
          <reference field="9" count="1">
            <x v="611"/>
          </reference>
        </references>
      </pivotArea>
    </format>
    <format dxfId="1993">
      <pivotArea dataOnly="0" labelOnly="1" fieldPosition="0">
        <references count="6">
          <reference field="1" count="1" selected="0">
            <x v="77"/>
          </reference>
          <reference field="5" count="1" selected="0">
            <x v="3"/>
          </reference>
          <reference field="6" count="1" selected="0">
            <x v="38"/>
          </reference>
          <reference field="7" count="1" selected="0">
            <x v="160"/>
          </reference>
          <reference field="8" count="1" selected="0">
            <x v="371"/>
          </reference>
          <reference field="9" count="1">
            <x v="611"/>
          </reference>
        </references>
      </pivotArea>
    </format>
    <format dxfId="1992">
      <pivotArea dataOnly="0" labelOnly="1" fieldPosition="0">
        <references count="6">
          <reference field="1" count="1" selected="0">
            <x v="77"/>
          </reference>
          <reference field="5" count="1" selected="0">
            <x v="5"/>
          </reference>
          <reference field="6" count="1" selected="0">
            <x v="38"/>
          </reference>
          <reference field="7" count="1" selected="0">
            <x v="160"/>
          </reference>
          <reference field="8" count="1" selected="0">
            <x v="619"/>
          </reference>
          <reference field="9" count="1">
            <x v="611"/>
          </reference>
        </references>
      </pivotArea>
    </format>
    <format dxfId="1991">
      <pivotArea dataOnly="0" labelOnly="1" fieldPosition="0">
        <references count="6">
          <reference field="1" count="1" selected="0">
            <x v="77"/>
          </reference>
          <reference field="5" count="1" selected="0">
            <x v="12"/>
          </reference>
          <reference field="6" count="1" selected="0">
            <x v="1"/>
          </reference>
          <reference field="7" count="1" selected="0">
            <x v="160"/>
          </reference>
          <reference field="8" count="1" selected="0">
            <x v="80"/>
          </reference>
          <reference field="9" count="1">
            <x v="611"/>
          </reference>
        </references>
      </pivotArea>
    </format>
    <format dxfId="1990">
      <pivotArea dataOnly="0" labelOnly="1" fieldPosition="0">
        <references count="6">
          <reference field="1" count="1" selected="0">
            <x v="77"/>
          </reference>
          <reference field="5" count="1" selected="0">
            <x v="12"/>
          </reference>
          <reference field="6" count="1" selected="0">
            <x v="1"/>
          </reference>
          <reference field="7" count="1" selected="0">
            <x v="160"/>
          </reference>
          <reference field="8" count="1" selected="0">
            <x v="213"/>
          </reference>
          <reference field="9" count="1">
            <x v="611"/>
          </reference>
        </references>
      </pivotArea>
    </format>
    <format dxfId="1989">
      <pivotArea dataOnly="0" labelOnly="1" fieldPosition="0">
        <references count="6">
          <reference field="1" count="1" selected="0">
            <x v="77"/>
          </reference>
          <reference field="5" count="1" selected="0">
            <x v="23"/>
          </reference>
          <reference field="6" count="1" selected="0">
            <x v="1"/>
          </reference>
          <reference field="7" count="1" selected="0">
            <x v="160"/>
          </reference>
          <reference field="8" count="1" selected="0">
            <x v="213"/>
          </reference>
          <reference field="9" count="1">
            <x v="611"/>
          </reference>
        </references>
      </pivotArea>
    </format>
    <format dxfId="1988">
      <pivotArea dataOnly="0" labelOnly="1" fieldPosition="0">
        <references count="6">
          <reference field="1" count="1" selected="0">
            <x v="77"/>
          </reference>
          <reference field="5" count="1" selected="0">
            <x v="35"/>
          </reference>
          <reference field="6" count="1" selected="0">
            <x v="1"/>
          </reference>
          <reference field="7" count="1" selected="0">
            <x v="160"/>
          </reference>
          <reference field="8" count="1" selected="0">
            <x v="80"/>
          </reference>
          <reference field="9" count="1">
            <x v="611"/>
          </reference>
        </references>
      </pivotArea>
    </format>
    <format dxfId="1987">
      <pivotArea dataOnly="0" labelOnly="1" fieldPosition="0">
        <references count="6">
          <reference field="1" count="1" selected="0">
            <x v="78"/>
          </reference>
          <reference field="5" count="1" selected="0">
            <x v="0"/>
          </reference>
          <reference field="6" count="1" selected="0">
            <x v="12"/>
          </reference>
          <reference field="7" count="1" selected="0">
            <x v="19"/>
          </reference>
          <reference field="8" count="1" selected="0">
            <x v="8"/>
          </reference>
          <reference field="9" count="1">
            <x v="611"/>
          </reference>
        </references>
      </pivotArea>
    </format>
    <format dxfId="1986">
      <pivotArea dataOnly="0" labelOnly="1" fieldPosition="0">
        <references count="6">
          <reference field="1" count="1" selected="0">
            <x v="78"/>
          </reference>
          <reference field="5" count="1" selected="0">
            <x v="0"/>
          </reference>
          <reference field="6" count="1" selected="0">
            <x v="12"/>
          </reference>
          <reference field="7" count="1" selected="0">
            <x v="23"/>
          </reference>
          <reference field="8" count="1" selected="0">
            <x v="11"/>
          </reference>
          <reference field="9" count="1">
            <x v="611"/>
          </reference>
        </references>
      </pivotArea>
    </format>
    <format dxfId="1985">
      <pivotArea dataOnly="0" labelOnly="1" fieldPosition="0">
        <references count="6">
          <reference field="1" count="1" selected="0">
            <x v="78"/>
          </reference>
          <reference field="5" count="1" selected="0">
            <x v="0"/>
          </reference>
          <reference field="6" count="1" selected="0">
            <x v="12"/>
          </reference>
          <reference field="7" count="1" selected="0">
            <x v="42"/>
          </reference>
          <reference field="8" count="1" selected="0">
            <x v="59"/>
          </reference>
          <reference field="9" count="1">
            <x v="611"/>
          </reference>
        </references>
      </pivotArea>
    </format>
    <format dxfId="1984">
      <pivotArea dataOnly="0" labelOnly="1" fieldPosition="0">
        <references count="6">
          <reference field="1" count="1" selected="0">
            <x v="78"/>
          </reference>
          <reference field="5" count="1" selected="0">
            <x v="0"/>
          </reference>
          <reference field="6" count="1" selected="0">
            <x v="12"/>
          </reference>
          <reference field="7" count="1" selected="0">
            <x v="47"/>
          </reference>
          <reference field="8" count="1" selected="0">
            <x v="654"/>
          </reference>
          <reference field="9" count="1">
            <x v="611"/>
          </reference>
        </references>
      </pivotArea>
    </format>
    <format dxfId="1983">
      <pivotArea dataOnly="0" labelOnly="1" fieldPosition="0">
        <references count="6">
          <reference field="1" count="1" selected="0">
            <x v="78"/>
          </reference>
          <reference field="5" count="1" selected="0">
            <x v="0"/>
          </reference>
          <reference field="6" count="1" selected="0">
            <x v="13"/>
          </reference>
          <reference field="7" count="1" selected="0">
            <x v="161"/>
          </reference>
          <reference field="8" count="1" selected="0">
            <x v="172"/>
          </reference>
          <reference field="9" count="1">
            <x v="611"/>
          </reference>
        </references>
      </pivotArea>
    </format>
    <format dxfId="1982">
      <pivotArea dataOnly="0" labelOnly="1" fieldPosition="0">
        <references count="6">
          <reference field="1" count="1" selected="0">
            <x v="78"/>
          </reference>
          <reference field="5" count="1" selected="0">
            <x v="0"/>
          </reference>
          <reference field="6" count="1" selected="0">
            <x v="13"/>
          </reference>
          <reference field="7" count="1" selected="0">
            <x v="161"/>
          </reference>
          <reference field="8" count="1" selected="0">
            <x v="534"/>
          </reference>
          <reference field="9" count="1">
            <x v="611"/>
          </reference>
        </references>
      </pivotArea>
    </format>
    <format dxfId="1981">
      <pivotArea dataOnly="0" labelOnly="1" fieldPosition="0">
        <references count="6">
          <reference field="1" count="1" selected="0">
            <x v="78"/>
          </reference>
          <reference field="5" count="1" selected="0">
            <x v="0"/>
          </reference>
          <reference field="6" count="1" selected="0">
            <x v="13"/>
          </reference>
          <reference field="7" count="1" selected="0">
            <x v="161"/>
          </reference>
          <reference field="8" count="1" selected="0">
            <x v="889"/>
          </reference>
          <reference field="9" count="1">
            <x v="611"/>
          </reference>
        </references>
      </pivotArea>
    </format>
    <format dxfId="1980">
      <pivotArea dataOnly="0" labelOnly="1" fieldPosition="0">
        <references count="6">
          <reference field="1" count="1" selected="0">
            <x v="78"/>
          </reference>
          <reference field="5" count="1" selected="0">
            <x v="0"/>
          </reference>
          <reference field="6" count="1" selected="0">
            <x v="13"/>
          </reference>
          <reference field="7" count="1" selected="0">
            <x v="161"/>
          </reference>
          <reference field="8" count="1" selected="0">
            <x v="899"/>
          </reference>
          <reference field="9" count="1">
            <x v="611"/>
          </reference>
        </references>
      </pivotArea>
    </format>
    <format dxfId="1979">
      <pivotArea dataOnly="0" labelOnly="1" fieldPosition="0">
        <references count="6">
          <reference field="1" count="1" selected="0">
            <x v="78"/>
          </reference>
          <reference field="5" count="1" selected="0">
            <x v="0"/>
          </reference>
          <reference field="6" count="1" selected="0">
            <x v="13"/>
          </reference>
          <reference field="7" count="1" selected="0">
            <x v="161"/>
          </reference>
          <reference field="8" count="1" selected="0">
            <x v="975"/>
          </reference>
          <reference field="9" count="1">
            <x v="611"/>
          </reference>
        </references>
      </pivotArea>
    </format>
    <format dxfId="1978">
      <pivotArea dataOnly="0" labelOnly="1" fieldPosition="0">
        <references count="6">
          <reference field="1" count="1" selected="0">
            <x v="78"/>
          </reference>
          <reference field="5" count="1" selected="0">
            <x v="0"/>
          </reference>
          <reference field="6" count="1" selected="0">
            <x v="13"/>
          </reference>
          <reference field="7" count="1" selected="0">
            <x v="161"/>
          </reference>
          <reference field="8" count="1" selected="0">
            <x v="997"/>
          </reference>
          <reference field="9" count="1">
            <x v="611"/>
          </reference>
        </references>
      </pivotArea>
    </format>
    <format dxfId="1977">
      <pivotArea dataOnly="0" labelOnly="1" fieldPosition="0">
        <references count="6">
          <reference field="1" count="1" selected="0">
            <x v="78"/>
          </reference>
          <reference field="5" count="1" selected="0">
            <x v="2"/>
          </reference>
          <reference field="6" count="1" selected="0">
            <x v="13"/>
          </reference>
          <reference field="7" count="1" selected="0">
            <x v="161"/>
          </reference>
          <reference field="8" count="1" selected="0">
            <x v="1868"/>
          </reference>
          <reference field="9" count="1">
            <x v="611"/>
          </reference>
        </references>
      </pivotArea>
    </format>
    <format dxfId="1976">
      <pivotArea dataOnly="0" labelOnly="1" fieldPosition="0">
        <references count="6">
          <reference field="1" count="1" selected="0">
            <x v="78"/>
          </reference>
          <reference field="5" count="1" selected="0">
            <x v="3"/>
          </reference>
          <reference field="6" count="1" selected="0">
            <x v="13"/>
          </reference>
          <reference field="7" count="1" selected="0">
            <x v="161"/>
          </reference>
          <reference field="8" count="1" selected="0">
            <x v="666"/>
          </reference>
          <reference field="9" count="1">
            <x v="611"/>
          </reference>
        </references>
      </pivotArea>
    </format>
    <format dxfId="1975">
      <pivotArea dataOnly="0" labelOnly="1" fieldPosition="0">
        <references count="6">
          <reference field="1" count="1" selected="0">
            <x v="78"/>
          </reference>
          <reference field="5" count="1" selected="0">
            <x v="12"/>
          </reference>
          <reference field="6" count="1" selected="0">
            <x v="1"/>
          </reference>
          <reference field="7" count="1" selected="0">
            <x v="162"/>
          </reference>
          <reference field="8" count="1" selected="0">
            <x v="213"/>
          </reference>
          <reference field="9" count="1">
            <x v="611"/>
          </reference>
        </references>
      </pivotArea>
    </format>
    <format dxfId="1974">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571"/>
          </reference>
          <reference field="9" count="1">
            <x v="611"/>
          </reference>
        </references>
      </pivotArea>
    </format>
    <format dxfId="1973">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575"/>
          </reference>
          <reference field="9" count="1">
            <x v="611"/>
          </reference>
        </references>
      </pivotArea>
    </format>
    <format dxfId="1972">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593"/>
          </reference>
          <reference field="9" count="1">
            <x v="611"/>
          </reference>
        </references>
      </pivotArea>
    </format>
    <format dxfId="1971">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671"/>
          </reference>
          <reference field="9" count="1">
            <x v="611"/>
          </reference>
        </references>
      </pivotArea>
    </format>
    <format dxfId="1970">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880"/>
          </reference>
          <reference field="9" count="1">
            <x v="611"/>
          </reference>
        </references>
      </pivotArea>
    </format>
    <format dxfId="1969">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904"/>
          </reference>
          <reference field="9" count="1">
            <x v="611"/>
          </reference>
        </references>
      </pivotArea>
    </format>
    <format dxfId="1968">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978"/>
          </reference>
          <reference field="9" count="1">
            <x v="611"/>
          </reference>
        </references>
      </pivotArea>
    </format>
    <format dxfId="1967">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012"/>
          </reference>
          <reference field="9" count="1">
            <x v="611"/>
          </reference>
        </references>
      </pivotArea>
    </format>
    <format dxfId="1966">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054"/>
          </reference>
          <reference field="9" count="1">
            <x v="611"/>
          </reference>
        </references>
      </pivotArea>
    </format>
    <format dxfId="1965">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224"/>
          </reference>
          <reference field="9" count="1">
            <x v="611"/>
          </reference>
        </references>
      </pivotArea>
    </format>
    <format dxfId="1964">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281"/>
          </reference>
          <reference field="9" count="1">
            <x v="611"/>
          </reference>
        </references>
      </pivotArea>
    </format>
    <format dxfId="1963">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310"/>
          </reference>
          <reference field="9" count="1">
            <x v="611"/>
          </reference>
        </references>
      </pivotArea>
    </format>
    <format dxfId="1962">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316"/>
          </reference>
          <reference field="9" count="1">
            <x v="611"/>
          </reference>
        </references>
      </pivotArea>
    </format>
    <format dxfId="1961">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381"/>
          </reference>
          <reference field="9" count="1">
            <x v="611"/>
          </reference>
        </references>
      </pivotArea>
    </format>
    <format dxfId="1960">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391"/>
          </reference>
          <reference field="9" count="1">
            <x v="611"/>
          </reference>
        </references>
      </pivotArea>
    </format>
    <format dxfId="1959">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405"/>
          </reference>
          <reference field="9" count="1">
            <x v="611"/>
          </reference>
        </references>
      </pivotArea>
    </format>
    <format dxfId="1958">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409"/>
          </reference>
          <reference field="9" count="1">
            <x v="611"/>
          </reference>
        </references>
      </pivotArea>
    </format>
    <format dxfId="1957">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430"/>
          </reference>
          <reference field="9" count="1">
            <x v="611"/>
          </reference>
        </references>
      </pivotArea>
    </format>
    <format dxfId="1956">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473"/>
          </reference>
          <reference field="9" count="1">
            <x v="611"/>
          </reference>
        </references>
      </pivotArea>
    </format>
    <format dxfId="1955">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496"/>
          </reference>
          <reference field="9" count="1">
            <x v="611"/>
          </reference>
        </references>
      </pivotArea>
    </format>
    <format dxfId="1954">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516"/>
          </reference>
          <reference field="9" count="1">
            <x v="611"/>
          </reference>
        </references>
      </pivotArea>
    </format>
    <format dxfId="1953">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538"/>
          </reference>
          <reference field="9" count="1">
            <x v="611"/>
          </reference>
        </references>
      </pivotArea>
    </format>
    <format dxfId="1952">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589"/>
          </reference>
          <reference field="9" count="1">
            <x v="611"/>
          </reference>
        </references>
      </pivotArea>
    </format>
    <format dxfId="1951">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594"/>
          </reference>
          <reference field="9" count="1">
            <x v="611"/>
          </reference>
        </references>
      </pivotArea>
    </format>
    <format dxfId="1950">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612"/>
          </reference>
          <reference field="9" count="1">
            <x v="611"/>
          </reference>
        </references>
      </pivotArea>
    </format>
    <format dxfId="1949">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621"/>
          </reference>
          <reference field="9" count="1">
            <x v="611"/>
          </reference>
        </references>
      </pivotArea>
    </format>
    <format dxfId="1948">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641"/>
          </reference>
          <reference field="9" count="1">
            <x v="611"/>
          </reference>
        </references>
      </pivotArea>
    </format>
    <format dxfId="1947">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687"/>
          </reference>
          <reference field="9" count="1">
            <x v="611"/>
          </reference>
        </references>
      </pivotArea>
    </format>
    <format dxfId="1946">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689"/>
          </reference>
          <reference field="9" count="1">
            <x v="611"/>
          </reference>
        </references>
      </pivotArea>
    </format>
    <format dxfId="1945">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736"/>
          </reference>
          <reference field="9" count="1">
            <x v="611"/>
          </reference>
        </references>
      </pivotArea>
    </format>
    <format dxfId="1944">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751"/>
          </reference>
          <reference field="9" count="1">
            <x v="611"/>
          </reference>
        </references>
      </pivotArea>
    </format>
    <format dxfId="1943">
      <pivotArea dataOnly="0" labelOnly="1" fieldPosition="0">
        <references count="6">
          <reference field="1" count="1" selected="0">
            <x v="78"/>
          </reference>
          <reference field="5" count="1" selected="0">
            <x v="12"/>
          </reference>
          <reference field="6" count="1" selected="0">
            <x v="13"/>
          </reference>
          <reference field="7" count="1" selected="0">
            <x v="161"/>
          </reference>
          <reference field="8" count="1" selected="0">
            <x v="1752"/>
          </reference>
          <reference field="9" count="1">
            <x v="611"/>
          </reference>
        </references>
      </pivotArea>
    </format>
    <format dxfId="1942">
      <pivotArea dataOnly="0" labelOnly="1" fieldPosition="0">
        <references count="6">
          <reference field="1" count="1" selected="0">
            <x v="78"/>
          </reference>
          <reference field="5" count="1" selected="0">
            <x v="14"/>
          </reference>
          <reference field="6" count="1" selected="0">
            <x v="13"/>
          </reference>
          <reference field="7" count="1" selected="0">
            <x v="161"/>
          </reference>
          <reference field="8" count="1" selected="0">
            <x v="1055"/>
          </reference>
          <reference field="9" count="1">
            <x v="611"/>
          </reference>
        </references>
      </pivotArea>
    </format>
    <format dxfId="1941">
      <pivotArea dataOnly="0" labelOnly="1" fieldPosition="0">
        <references count="6">
          <reference field="1" count="1" selected="0">
            <x v="78"/>
          </reference>
          <reference field="5" count="1" selected="0">
            <x v="15"/>
          </reference>
          <reference field="6" count="1" selected="0">
            <x v="13"/>
          </reference>
          <reference field="7" count="1" selected="0">
            <x v="161"/>
          </reference>
          <reference field="8" count="1" selected="0">
            <x v="1755"/>
          </reference>
          <reference field="9" count="1">
            <x v="611"/>
          </reference>
        </references>
      </pivotArea>
    </format>
    <format dxfId="1940">
      <pivotArea dataOnly="0" labelOnly="1" fieldPosition="0">
        <references count="6">
          <reference field="1" count="1" selected="0">
            <x v="78"/>
          </reference>
          <reference field="5" count="1" selected="0">
            <x v="17"/>
          </reference>
          <reference field="6" count="1" selected="0">
            <x v="13"/>
          </reference>
          <reference field="7" count="1" selected="0">
            <x v="161"/>
          </reference>
          <reference field="8" count="1" selected="0">
            <x v="1266"/>
          </reference>
          <reference field="9" count="1">
            <x v="611"/>
          </reference>
        </references>
      </pivotArea>
    </format>
    <format dxfId="1939">
      <pivotArea dataOnly="0" labelOnly="1" fieldPosition="0">
        <references count="6">
          <reference field="1" count="1" selected="0">
            <x v="78"/>
          </reference>
          <reference field="5" count="1" selected="0">
            <x v="21"/>
          </reference>
          <reference field="6" count="1" selected="0">
            <x v="13"/>
          </reference>
          <reference field="7" count="1" selected="0">
            <x v="161"/>
          </reference>
          <reference field="8" count="1" selected="0">
            <x v="1662"/>
          </reference>
          <reference field="9" count="1">
            <x v="611"/>
          </reference>
        </references>
      </pivotArea>
    </format>
    <format dxfId="1938">
      <pivotArea dataOnly="0" labelOnly="1" fieldPosition="0">
        <references count="6">
          <reference field="1" count="1" selected="0">
            <x v="78"/>
          </reference>
          <reference field="5" count="1" selected="0">
            <x v="23"/>
          </reference>
          <reference field="6" count="1" selected="0">
            <x v="1"/>
          </reference>
          <reference field="7" count="1" selected="0">
            <x v="162"/>
          </reference>
          <reference field="8" count="1" selected="0">
            <x v="669"/>
          </reference>
          <reference field="9" count="1">
            <x v="611"/>
          </reference>
        </references>
      </pivotArea>
    </format>
    <format dxfId="1937">
      <pivotArea dataOnly="0" labelOnly="1" fieldPosition="0">
        <references count="6">
          <reference field="1" count="1" selected="0">
            <x v="78"/>
          </reference>
          <reference field="5" count="1" selected="0">
            <x v="23"/>
          </reference>
          <reference field="6" count="1" selected="0">
            <x v="13"/>
          </reference>
          <reference field="7" count="1" selected="0">
            <x v="161"/>
          </reference>
          <reference field="8" count="1" selected="0">
            <x v="1245"/>
          </reference>
          <reference field="9" count="1">
            <x v="611"/>
          </reference>
        </references>
      </pivotArea>
    </format>
    <format dxfId="1936">
      <pivotArea dataOnly="0" labelOnly="1" fieldPosition="0">
        <references count="6">
          <reference field="1" count="1" selected="0">
            <x v="78"/>
          </reference>
          <reference field="5" count="1" selected="0">
            <x v="26"/>
          </reference>
          <reference field="6" count="1" selected="0">
            <x v="1"/>
          </reference>
          <reference field="7" count="1" selected="0">
            <x v="162"/>
          </reference>
          <reference field="8" count="1" selected="0">
            <x v="278"/>
          </reference>
          <reference field="9" count="1">
            <x v="611"/>
          </reference>
        </references>
      </pivotArea>
    </format>
    <format dxfId="1935">
      <pivotArea dataOnly="0" labelOnly="1" fieldPosition="0">
        <references count="6">
          <reference field="1" count="1" selected="0">
            <x v="78"/>
          </reference>
          <reference field="5" count="1" selected="0">
            <x v="35"/>
          </reference>
          <reference field="6" count="1" selected="0">
            <x v="1"/>
          </reference>
          <reference field="7" count="1" selected="0">
            <x v="162"/>
          </reference>
          <reference field="8" count="1" selected="0">
            <x v="80"/>
          </reference>
          <reference field="9" count="1">
            <x v="611"/>
          </reference>
        </references>
      </pivotArea>
    </format>
    <format dxfId="1934">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175"/>
          </reference>
          <reference field="9" count="1">
            <x v="611"/>
          </reference>
        </references>
      </pivotArea>
    </format>
    <format dxfId="1933">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307"/>
          </reference>
          <reference field="9" count="1">
            <x v="611"/>
          </reference>
        </references>
      </pivotArea>
    </format>
    <format dxfId="1932">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308"/>
          </reference>
          <reference field="9" count="1">
            <x v="611"/>
          </reference>
        </references>
      </pivotArea>
    </format>
    <format dxfId="1931">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400"/>
          </reference>
          <reference field="9" count="1">
            <x v="611"/>
          </reference>
        </references>
      </pivotArea>
    </format>
    <format dxfId="1930">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472"/>
          </reference>
          <reference field="9" count="1">
            <x v="611"/>
          </reference>
        </references>
      </pivotArea>
    </format>
    <format dxfId="1929">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484"/>
          </reference>
          <reference field="9" count="1">
            <x v="611"/>
          </reference>
        </references>
      </pivotArea>
    </format>
    <format dxfId="1928">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672"/>
          </reference>
          <reference field="9" count="1">
            <x v="611"/>
          </reference>
        </references>
      </pivotArea>
    </format>
    <format dxfId="1927">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850"/>
          </reference>
          <reference field="9" count="1">
            <x v="611"/>
          </reference>
        </references>
      </pivotArea>
    </format>
    <format dxfId="1926">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853"/>
          </reference>
          <reference field="9" count="1">
            <x v="611"/>
          </reference>
        </references>
      </pivotArea>
    </format>
    <format dxfId="1925">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893"/>
          </reference>
          <reference field="9" count="1">
            <x v="611"/>
          </reference>
        </references>
      </pivotArea>
    </format>
    <format dxfId="1924">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951"/>
          </reference>
          <reference field="9" count="1">
            <x v="611"/>
          </reference>
        </references>
      </pivotArea>
    </format>
    <format dxfId="1923">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1083"/>
          </reference>
          <reference field="9" count="1">
            <x v="611"/>
          </reference>
        </references>
      </pivotArea>
    </format>
    <format dxfId="1922">
      <pivotArea dataOnly="0" labelOnly="1" fieldPosition="0">
        <references count="6">
          <reference field="1" count="1" selected="0">
            <x v="78"/>
          </reference>
          <reference field="5" count="1" selected="0">
            <x v="35"/>
          </reference>
          <reference field="6" count="1" selected="0">
            <x v="13"/>
          </reference>
          <reference field="7" count="1" selected="0">
            <x v="161"/>
          </reference>
          <reference field="8" count="1" selected="0">
            <x v="1183"/>
          </reference>
          <reference field="9" count="1">
            <x v="611"/>
          </reference>
        </references>
      </pivotArea>
    </format>
    <format dxfId="1921">
      <pivotArea dataOnly="0" labelOnly="1" fieldPosition="0">
        <references count="6">
          <reference field="1" count="1" selected="0">
            <x v="78"/>
          </reference>
          <reference field="5" count="1" selected="0">
            <x v="36"/>
          </reference>
          <reference field="6" count="1" selected="0">
            <x v="6"/>
          </reference>
          <reference field="7" count="1" selected="0">
            <x v="162"/>
          </reference>
          <reference field="8" count="1" selected="0">
            <x v="886"/>
          </reference>
          <reference field="9" count="1">
            <x v="611"/>
          </reference>
        </references>
      </pivotArea>
    </format>
    <format dxfId="1920">
      <pivotArea dataOnly="0" labelOnly="1" fieldPosition="0">
        <references count="6">
          <reference field="1" count="1" selected="0">
            <x v="78"/>
          </reference>
          <reference field="5" count="1" selected="0">
            <x v="37"/>
          </reference>
          <reference field="6" count="1" selected="0">
            <x v="13"/>
          </reference>
          <reference field="7" count="1" selected="0">
            <x v="161"/>
          </reference>
          <reference field="8" count="1" selected="0">
            <x v="416"/>
          </reference>
          <reference field="9" count="1">
            <x v="611"/>
          </reference>
        </references>
      </pivotArea>
    </format>
    <format dxfId="1919">
      <pivotArea dataOnly="0" labelOnly="1" fieldPosition="0">
        <references count="6">
          <reference field="1" count="1" selected="0">
            <x v="79"/>
          </reference>
          <reference field="5" count="1" selected="0">
            <x v="0"/>
          </reference>
          <reference field="6" count="1" selected="0">
            <x v="8"/>
          </reference>
          <reference field="7" count="1" selected="0">
            <x v="163"/>
          </reference>
          <reference field="8" count="1" selected="0">
            <x v="181"/>
          </reference>
          <reference field="9" count="1">
            <x v="611"/>
          </reference>
        </references>
      </pivotArea>
    </format>
    <format dxfId="1918">
      <pivotArea dataOnly="0" labelOnly="1" fieldPosition="0">
        <references count="6">
          <reference field="1" count="1" selected="0">
            <x v="79"/>
          </reference>
          <reference field="5" count="1" selected="0">
            <x v="0"/>
          </reference>
          <reference field="6" count="1" selected="0">
            <x v="8"/>
          </reference>
          <reference field="7" count="1" selected="0">
            <x v="163"/>
          </reference>
          <reference field="8" count="1" selected="0">
            <x v="351"/>
          </reference>
          <reference field="9" count="1">
            <x v="611"/>
          </reference>
        </references>
      </pivotArea>
    </format>
    <format dxfId="1917">
      <pivotArea dataOnly="0" labelOnly="1" fieldPosition="0">
        <references count="6">
          <reference field="1" count="1" selected="0">
            <x v="79"/>
          </reference>
          <reference field="5" count="1" selected="0">
            <x v="0"/>
          </reference>
          <reference field="6" count="1" selected="0">
            <x v="9"/>
          </reference>
          <reference field="7" count="1" selected="0">
            <x v="163"/>
          </reference>
          <reference field="8" count="1" selected="0">
            <x v="167"/>
          </reference>
          <reference field="9" count="1">
            <x v="611"/>
          </reference>
        </references>
      </pivotArea>
    </format>
    <format dxfId="1916">
      <pivotArea dataOnly="0" labelOnly="1" fieldPosition="0">
        <references count="6">
          <reference field="1" count="1" selected="0">
            <x v="79"/>
          </reference>
          <reference field="5" count="1" selected="0">
            <x v="0"/>
          </reference>
          <reference field="6" count="1" selected="0">
            <x v="9"/>
          </reference>
          <reference field="7" count="1" selected="0">
            <x v="163"/>
          </reference>
          <reference field="8" count="1" selected="0">
            <x v="229"/>
          </reference>
          <reference field="9" count="1">
            <x v="611"/>
          </reference>
        </references>
      </pivotArea>
    </format>
    <format dxfId="1915">
      <pivotArea dataOnly="0" labelOnly="1" fieldPosition="0">
        <references count="6">
          <reference field="1" count="1" selected="0">
            <x v="79"/>
          </reference>
          <reference field="5" count="1" selected="0">
            <x v="0"/>
          </reference>
          <reference field="6" count="1" selected="0">
            <x v="9"/>
          </reference>
          <reference field="7" count="1" selected="0">
            <x v="163"/>
          </reference>
          <reference field="8" count="1" selected="0">
            <x v="467"/>
          </reference>
          <reference field="9" count="1">
            <x v="611"/>
          </reference>
        </references>
      </pivotArea>
    </format>
    <format dxfId="1914">
      <pivotArea dataOnly="0" labelOnly="1" fieldPosition="0">
        <references count="6">
          <reference field="1" count="1" selected="0">
            <x v="79"/>
          </reference>
          <reference field="5" count="1" selected="0">
            <x v="0"/>
          </reference>
          <reference field="6" count="1" selected="0">
            <x v="9"/>
          </reference>
          <reference field="7" count="1" selected="0">
            <x v="163"/>
          </reference>
          <reference field="8" count="1" selected="0">
            <x v="517"/>
          </reference>
          <reference field="9" count="1">
            <x v="611"/>
          </reference>
        </references>
      </pivotArea>
    </format>
    <format dxfId="1913">
      <pivotArea dataOnly="0" labelOnly="1" fieldPosition="0">
        <references count="6">
          <reference field="1" count="1" selected="0">
            <x v="79"/>
          </reference>
          <reference field="5" count="1" selected="0">
            <x v="0"/>
          </reference>
          <reference field="6" count="1" selected="0">
            <x v="9"/>
          </reference>
          <reference field="7" count="1" selected="0">
            <x v="163"/>
          </reference>
          <reference field="8" count="1" selected="0">
            <x v="878"/>
          </reference>
          <reference field="9" count="1">
            <x v="611"/>
          </reference>
        </references>
      </pivotArea>
    </format>
    <format dxfId="1912">
      <pivotArea dataOnly="0" labelOnly="1" fieldPosition="0">
        <references count="6">
          <reference field="1" count="1" selected="0">
            <x v="79"/>
          </reference>
          <reference field="5" count="1" selected="0">
            <x v="0"/>
          </reference>
          <reference field="6" count="1" selected="0">
            <x v="9"/>
          </reference>
          <reference field="7" count="1" selected="0">
            <x v="163"/>
          </reference>
          <reference field="8" count="1" selected="0">
            <x v="1109"/>
          </reference>
          <reference field="9" count="1">
            <x v="611"/>
          </reference>
        </references>
      </pivotArea>
    </format>
    <format dxfId="1911">
      <pivotArea dataOnly="0" labelOnly="1" fieldPosition="0">
        <references count="6">
          <reference field="1" count="1" selected="0">
            <x v="79"/>
          </reference>
          <reference field="5" count="1" selected="0">
            <x v="0"/>
          </reference>
          <reference field="6" count="1" selected="0">
            <x v="12"/>
          </reference>
          <reference field="7" count="1" selected="0">
            <x v="63"/>
          </reference>
          <reference field="8" count="1" selected="0">
            <x v="6"/>
          </reference>
          <reference field="9" count="1">
            <x v="611"/>
          </reference>
        </references>
      </pivotArea>
    </format>
    <format dxfId="1910">
      <pivotArea dataOnly="0" labelOnly="1" fieldPosition="0">
        <references count="6">
          <reference field="1" count="1" selected="0">
            <x v="79"/>
          </reference>
          <reference field="5" count="1" selected="0">
            <x v="0"/>
          </reference>
          <reference field="6" count="1" selected="0">
            <x v="12"/>
          </reference>
          <reference field="7" count="1" selected="0">
            <x v="66"/>
          </reference>
          <reference field="8" count="1" selected="0">
            <x v="8"/>
          </reference>
          <reference field="9" count="1">
            <x v="611"/>
          </reference>
        </references>
      </pivotArea>
    </format>
    <format dxfId="1909">
      <pivotArea dataOnly="0" labelOnly="1" fieldPosition="0">
        <references count="6">
          <reference field="1" count="1" selected="0">
            <x v="79"/>
          </reference>
          <reference field="5" count="1" selected="0">
            <x v="2"/>
          </reference>
          <reference field="6" count="1" selected="0">
            <x v="9"/>
          </reference>
          <reference field="7" count="1" selected="0">
            <x v="163"/>
          </reference>
          <reference field="8" count="1" selected="0">
            <x v="1582"/>
          </reference>
          <reference field="9" count="1">
            <x v="611"/>
          </reference>
        </references>
      </pivotArea>
    </format>
    <format dxfId="1908">
      <pivotArea dataOnly="0" labelOnly="1" fieldPosition="0">
        <references count="6">
          <reference field="1" count="1" selected="0">
            <x v="79"/>
          </reference>
          <reference field="5" count="1" selected="0">
            <x v="7"/>
          </reference>
          <reference field="6" count="1" selected="0">
            <x v="8"/>
          </reference>
          <reference field="7" count="1" selected="0">
            <x v="163"/>
          </reference>
          <reference field="8" count="1" selected="0">
            <x v="751"/>
          </reference>
          <reference field="9" count="1">
            <x v="611"/>
          </reference>
        </references>
      </pivotArea>
    </format>
    <format dxfId="1907">
      <pivotArea dataOnly="0" labelOnly="1" fieldPosition="0">
        <references count="6">
          <reference field="1" count="1" selected="0">
            <x v="79"/>
          </reference>
          <reference field="5" count="1" selected="0">
            <x v="12"/>
          </reference>
          <reference field="6" count="1" selected="0">
            <x v="1"/>
          </reference>
          <reference field="7" count="1" selected="0">
            <x v="163"/>
          </reference>
          <reference field="8" count="1" selected="0">
            <x v="80"/>
          </reference>
          <reference field="9" count="1">
            <x v="611"/>
          </reference>
        </references>
      </pivotArea>
    </format>
    <format dxfId="1906">
      <pivotArea dataOnly="0" labelOnly="1" fieldPosition="0">
        <references count="6">
          <reference field="1" count="1" selected="0">
            <x v="79"/>
          </reference>
          <reference field="5" count="1" selected="0">
            <x v="14"/>
          </reference>
          <reference field="6" count="1" selected="0">
            <x v="1"/>
          </reference>
          <reference field="7" count="1" selected="0">
            <x v="163"/>
          </reference>
          <reference field="8" count="1" selected="0">
            <x v="109"/>
          </reference>
          <reference field="9" count="1">
            <x v="611"/>
          </reference>
        </references>
      </pivotArea>
    </format>
    <format dxfId="1905">
      <pivotArea dataOnly="0" labelOnly="1" fieldPosition="0">
        <references count="6">
          <reference field="1" count="1" selected="0">
            <x v="79"/>
          </reference>
          <reference field="5" count="1" selected="0">
            <x v="14"/>
          </reference>
          <reference field="6" count="1" selected="0">
            <x v="38"/>
          </reference>
          <reference field="7" count="1" selected="0">
            <x v="163"/>
          </reference>
          <reference field="8" count="1" selected="0">
            <x v="304"/>
          </reference>
          <reference field="9" count="1">
            <x v="611"/>
          </reference>
        </references>
      </pivotArea>
    </format>
    <format dxfId="1904">
      <pivotArea dataOnly="0" labelOnly="1" fieldPosition="0">
        <references count="6">
          <reference field="1" count="1" selected="0">
            <x v="79"/>
          </reference>
          <reference field="5" count="1" selected="0">
            <x v="15"/>
          </reference>
          <reference field="6" count="1" selected="0">
            <x v="8"/>
          </reference>
          <reference field="7" count="1" selected="0">
            <x v="163"/>
          </reference>
          <reference field="8" count="1" selected="0">
            <x v="1228"/>
          </reference>
          <reference field="9" count="1">
            <x v="611"/>
          </reference>
        </references>
      </pivotArea>
    </format>
    <format dxfId="1903">
      <pivotArea dataOnly="0" labelOnly="1" fieldPosition="0">
        <references count="6">
          <reference field="1" count="1" selected="0">
            <x v="79"/>
          </reference>
          <reference field="5" count="1" selected="0">
            <x v="15"/>
          </reference>
          <reference field="6" count="1" selected="0">
            <x v="9"/>
          </reference>
          <reference field="7" count="1" selected="0">
            <x v="163"/>
          </reference>
          <reference field="8" count="1" selected="0">
            <x v="248"/>
          </reference>
          <reference field="9" count="1">
            <x v="611"/>
          </reference>
        </references>
      </pivotArea>
    </format>
    <format dxfId="1902">
      <pivotArea dataOnly="0" labelOnly="1" fieldPosition="0">
        <references count="6">
          <reference field="1" count="1" selected="0">
            <x v="79"/>
          </reference>
          <reference field="5" count="1" selected="0">
            <x v="23"/>
          </reference>
          <reference field="6" count="1" selected="0">
            <x v="7"/>
          </reference>
          <reference field="7" count="1" selected="0">
            <x v="163"/>
          </reference>
          <reference field="8" count="1" selected="0">
            <x v="841"/>
          </reference>
          <reference field="9" count="1">
            <x v="611"/>
          </reference>
        </references>
      </pivotArea>
    </format>
    <format dxfId="1901">
      <pivotArea dataOnly="0" labelOnly="1" fieldPosition="0">
        <references count="6">
          <reference field="1" count="1" selected="0">
            <x v="79"/>
          </reference>
          <reference field="5" count="1" selected="0">
            <x v="23"/>
          </reference>
          <reference field="6" count="1" selected="0">
            <x v="38"/>
          </reference>
          <reference field="7" count="1" selected="0">
            <x v="163"/>
          </reference>
          <reference field="8" count="1" selected="0">
            <x v="122"/>
          </reference>
          <reference field="9" count="1">
            <x v="611"/>
          </reference>
        </references>
      </pivotArea>
    </format>
    <format dxfId="1900">
      <pivotArea dataOnly="0" labelOnly="1" fieldPosition="0">
        <references count="6">
          <reference field="1" count="1" selected="0">
            <x v="79"/>
          </reference>
          <reference field="5" count="1" selected="0">
            <x v="28"/>
          </reference>
          <reference field="6" count="1" selected="0">
            <x v="1"/>
          </reference>
          <reference field="7" count="1" selected="0">
            <x v="163"/>
          </reference>
          <reference field="8" count="1" selected="0">
            <x v="516"/>
          </reference>
          <reference field="9" count="1">
            <x v="611"/>
          </reference>
        </references>
      </pivotArea>
    </format>
    <format dxfId="1899">
      <pivotArea dataOnly="0" labelOnly="1" fieldPosition="0">
        <references count="6">
          <reference field="1" count="1" selected="0">
            <x v="79"/>
          </reference>
          <reference field="5" count="1" selected="0">
            <x v="36"/>
          </reference>
          <reference field="6" count="1" selected="0">
            <x v="8"/>
          </reference>
          <reference field="7" count="1" selected="0">
            <x v="163"/>
          </reference>
          <reference field="8" count="1" selected="0">
            <x v="1056"/>
          </reference>
          <reference field="9" count="1">
            <x v="611"/>
          </reference>
        </references>
      </pivotArea>
    </format>
    <format dxfId="1898">
      <pivotArea dataOnly="0" labelOnly="1" fieldPosition="0">
        <references count="6">
          <reference field="1" count="1" selected="0">
            <x v="80"/>
          </reference>
          <reference field="5" count="1" selected="0">
            <x v="0"/>
          </reference>
          <reference field="6" count="1" selected="0">
            <x v="9"/>
          </reference>
          <reference field="7" count="1" selected="0">
            <x v="164"/>
          </reference>
          <reference field="8" count="1" selected="0">
            <x v="371"/>
          </reference>
          <reference field="9" count="1">
            <x v="611"/>
          </reference>
        </references>
      </pivotArea>
    </format>
    <format dxfId="1897">
      <pivotArea dataOnly="0" labelOnly="1" fieldPosition="0">
        <references count="6">
          <reference field="1" count="1" selected="0">
            <x v="80"/>
          </reference>
          <reference field="5" count="1" selected="0">
            <x v="0"/>
          </reference>
          <reference field="6" count="1" selected="0">
            <x v="9"/>
          </reference>
          <reference field="7" count="1" selected="0">
            <x v="164"/>
          </reference>
          <reference field="8" count="1" selected="0">
            <x v="533"/>
          </reference>
          <reference field="9" count="1">
            <x v="611"/>
          </reference>
        </references>
      </pivotArea>
    </format>
    <format dxfId="1896">
      <pivotArea dataOnly="0" labelOnly="1" fieldPosition="0">
        <references count="6">
          <reference field="1" count="1" selected="0">
            <x v="80"/>
          </reference>
          <reference field="5" count="1" selected="0">
            <x v="0"/>
          </reference>
          <reference field="6" count="1" selected="0">
            <x v="10"/>
          </reference>
          <reference field="7" count="1" selected="0">
            <x v="164"/>
          </reference>
          <reference field="8" count="1" selected="0">
            <x v="539"/>
          </reference>
          <reference field="9" count="1">
            <x v="611"/>
          </reference>
        </references>
      </pivotArea>
    </format>
    <format dxfId="1895">
      <pivotArea dataOnly="0" labelOnly="1" fieldPosition="0">
        <references count="6">
          <reference field="1" count="1" selected="0">
            <x v="80"/>
          </reference>
          <reference field="5" count="1" selected="0">
            <x v="0"/>
          </reference>
          <reference field="6" count="1" selected="0">
            <x v="12"/>
          </reference>
          <reference field="7" count="1" selected="0">
            <x v="17"/>
          </reference>
          <reference field="8" count="1" selected="0">
            <x v="188"/>
          </reference>
          <reference field="9" count="1">
            <x v="611"/>
          </reference>
        </references>
      </pivotArea>
    </format>
    <format dxfId="1894">
      <pivotArea dataOnly="0" labelOnly="1" fieldPosition="0">
        <references count="6">
          <reference field="1" count="1" selected="0">
            <x v="80"/>
          </reference>
          <reference field="5" count="1" selected="0">
            <x v="0"/>
          </reference>
          <reference field="6" count="1" selected="0">
            <x v="12"/>
          </reference>
          <reference field="7" count="1" selected="0">
            <x v="23"/>
          </reference>
          <reference field="8" count="1" selected="0">
            <x v="11"/>
          </reference>
          <reference field="9" count="1">
            <x v="611"/>
          </reference>
        </references>
      </pivotArea>
    </format>
    <format dxfId="1893">
      <pivotArea dataOnly="0" labelOnly="1" fieldPosition="0">
        <references count="6">
          <reference field="1" count="1" selected="0">
            <x v="80"/>
          </reference>
          <reference field="5" count="1" selected="0">
            <x v="0"/>
          </reference>
          <reference field="6" count="1" selected="0">
            <x v="12"/>
          </reference>
          <reference field="7" count="1" selected="0">
            <x v="40"/>
          </reference>
          <reference field="8" count="1" selected="0">
            <x v="188"/>
          </reference>
          <reference field="9" count="1">
            <x v="611"/>
          </reference>
        </references>
      </pivotArea>
    </format>
    <format dxfId="1892">
      <pivotArea dataOnly="0" labelOnly="1" fieldPosition="0">
        <references count="6">
          <reference field="1" count="1" selected="0">
            <x v="80"/>
          </reference>
          <reference field="5" count="1" selected="0">
            <x v="3"/>
          </reference>
          <reference field="6" count="1" selected="0">
            <x v="38"/>
          </reference>
          <reference field="7" count="1" selected="0">
            <x v="164"/>
          </reference>
          <reference field="8" count="1" selected="0">
            <x v="371"/>
          </reference>
          <reference field="9" count="1">
            <x v="611"/>
          </reference>
        </references>
      </pivotArea>
    </format>
    <format dxfId="1891">
      <pivotArea dataOnly="0" labelOnly="1" fieldPosition="0">
        <references count="6">
          <reference field="1" count="1" selected="0">
            <x v="80"/>
          </reference>
          <reference field="5" count="1" selected="0">
            <x v="7"/>
          </reference>
          <reference field="6" count="1" selected="0">
            <x v="8"/>
          </reference>
          <reference field="7" count="1" selected="0">
            <x v="164"/>
          </reference>
          <reference field="8" count="1" selected="0">
            <x v="83"/>
          </reference>
          <reference field="9" count="1">
            <x v="611"/>
          </reference>
        </references>
      </pivotArea>
    </format>
    <format dxfId="1890">
      <pivotArea dataOnly="0" labelOnly="1" fieldPosition="0">
        <references count="6">
          <reference field="1" count="1" selected="0">
            <x v="80"/>
          </reference>
          <reference field="5" count="1" selected="0">
            <x v="10"/>
          </reference>
          <reference field="6" count="1" selected="0">
            <x v="6"/>
          </reference>
          <reference field="7" count="1" selected="0">
            <x v="164"/>
          </reference>
          <reference field="8" count="1" selected="0">
            <x v="1647"/>
          </reference>
          <reference field="9" count="1">
            <x v="611"/>
          </reference>
        </references>
      </pivotArea>
    </format>
    <format dxfId="1889">
      <pivotArea dataOnly="0" labelOnly="1" fieldPosition="0">
        <references count="6">
          <reference field="1" count="1" selected="0">
            <x v="80"/>
          </reference>
          <reference field="5" count="1" selected="0">
            <x v="10"/>
          </reference>
          <reference field="6" count="1" selected="0">
            <x v="8"/>
          </reference>
          <reference field="7" count="1" selected="0">
            <x v="164"/>
          </reference>
          <reference field="8" count="1" selected="0">
            <x v="23"/>
          </reference>
          <reference field="9" count="1">
            <x v="611"/>
          </reference>
        </references>
      </pivotArea>
    </format>
    <format dxfId="1888">
      <pivotArea dataOnly="0" labelOnly="1" fieldPosition="0">
        <references count="6">
          <reference field="1" count="1" selected="0">
            <x v="80"/>
          </reference>
          <reference field="5" count="1" selected="0">
            <x v="12"/>
          </reference>
          <reference field="6" count="1" selected="0">
            <x v="1"/>
          </reference>
          <reference field="7" count="1" selected="0">
            <x v="164"/>
          </reference>
          <reference field="8" count="1" selected="0">
            <x v="80"/>
          </reference>
          <reference field="9" count="1">
            <x v="611"/>
          </reference>
        </references>
      </pivotArea>
    </format>
    <format dxfId="1887">
      <pivotArea dataOnly="0" labelOnly="1" fieldPosition="0">
        <references count="6">
          <reference field="1" count="1" selected="0">
            <x v="80"/>
          </reference>
          <reference field="5" count="1" selected="0">
            <x v="12"/>
          </reference>
          <reference field="6" count="1" selected="0">
            <x v="1"/>
          </reference>
          <reference field="7" count="1" selected="0">
            <x v="164"/>
          </reference>
          <reference field="8" count="1" selected="0">
            <x v="213"/>
          </reference>
          <reference field="9" count="1">
            <x v="611"/>
          </reference>
        </references>
      </pivotArea>
    </format>
    <format dxfId="1886">
      <pivotArea dataOnly="0" labelOnly="1" fieldPosition="0">
        <references count="6">
          <reference field="1" count="1" selected="0">
            <x v="80"/>
          </reference>
          <reference field="5" count="1" selected="0">
            <x v="12"/>
          </reference>
          <reference field="6" count="1" selected="0">
            <x v="38"/>
          </reference>
          <reference field="7" count="1" selected="0">
            <x v="164"/>
          </reference>
          <reference field="8" count="1" selected="0">
            <x v="1414"/>
          </reference>
          <reference field="9" count="1">
            <x v="611"/>
          </reference>
        </references>
      </pivotArea>
    </format>
    <format dxfId="1885">
      <pivotArea dataOnly="0" labelOnly="1" fieldPosition="0">
        <references count="6">
          <reference field="1" count="1" selected="0">
            <x v="80"/>
          </reference>
          <reference field="5" count="1" selected="0">
            <x v="15"/>
          </reference>
          <reference field="6" count="1" selected="0">
            <x v="8"/>
          </reference>
          <reference field="7" count="1" selected="0">
            <x v="164"/>
          </reference>
          <reference field="8" count="1" selected="0">
            <x v="684"/>
          </reference>
          <reference field="9" count="1">
            <x v="611"/>
          </reference>
        </references>
      </pivotArea>
    </format>
    <format dxfId="1884">
      <pivotArea dataOnly="0" labelOnly="1" fieldPosition="0">
        <references count="6">
          <reference field="1" count="1" selected="0">
            <x v="80"/>
          </reference>
          <reference field="5" count="1" selected="0">
            <x v="24"/>
          </reference>
          <reference field="6" count="1" selected="0">
            <x v="38"/>
          </reference>
          <reference field="7" count="1" selected="0">
            <x v="164"/>
          </reference>
          <reference field="8" count="1" selected="0">
            <x v="97"/>
          </reference>
          <reference field="9" count="1">
            <x v="611"/>
          </reference>
        </references>
      </pivotArea>
    </format>
    <format dxfId="1883">
      <pivotArea dataOnly="0" labelOnly="1" fieldPosition="0">
        <references count="6">
          <reference field="1" count="1" selected="0">
            <x v="80"/>
          </reference>
          <reference field="5" count="1" selected="0">
            <x v="35"/>
          </reference>
          <reference field="6" count="1" selected="0">
            <x v="1"/>
          </reference>
          <reference field="7" count="1" selected="0">
            <x v="164"/>
          </reference>
          <reference field="8" count="1" selected="0">
            <x v="80"/>
          </reference>
          <reference field="9" count="1">
            <x v="611"/>
          </reference>
        </references>
      </pivotArea>
    </format>
    <format dxfId="1882">
      <pivotArea dataOnly="0" labelOnly="1" fieldPosition="0">
        <references count="6">
          <reference field="1" count="1" selected="0">
            <x v="80"/>
          </reference>
          <reference field="5" count="1" selected="0">
            <x v="35"/>
          </reference>
          <reference field="6" count="1" selected="0">
            <x v="38"/>
          </reference>
          <reference field="7" count="1" selected="0">
            <x v="164"/>
          </reference>
          <reference field="8" count="1" selected="0">
            <x v="1343"/>
          </reference>
          <reference field="9" count="1">
            <x v="611"/>
          </reference>
        </references>
      </pivotArea>
    </format>
    <format dxfId="1881">
      <pivotArea dataOnly="0" labelOnly="1" fieldPosition="0">
        <references count="6">
          <reference field="1" count="1" selected="0">
            <x v="80"/>
          </reference>
          <reference field="5" count="1" selected="0">
            <x v="35"/>
          </reference>
          <reference field="6" count="1" selected="0">
            <x v="38"/>
          </reference>
          <reference field="7" count="1" selected="0">
            <x v="164"/>
          </reference>
          <reference field="8" count="1" selected="0">
            <x v="1528"/>
          </reference>
          <reference field="9" count="1">
            <x v="611"/>
          </reference>
        </references>
      </pivotArea>
    </format>
    <format dxfId="1880">
      <pivotArea dataOnly="0" labelOnly="1" fieldPosition="0">
        <references count="6">
          <reference field="1" count="1" selected="0">
            <x v="81"/>
          </reference>
          <reference field="5" count="1" selected="0">
            <x v="3"/>
          </reference>
          <reference field="6" count="1" selected="0">
            <x v="10"/>
          </reference>
          <reference field="7" count="1" selected="0">
            <x v="165"/>
          </reference>
          <reference field="8" count="1" selected="0">
            <x v="0"/>
          </reference>
          <reference field="9" count="1">
            <x v="559"/>
          </reference>
        </references>
      </pivotArea>
    </format>
    <format dxfId="1879">
      <pivotArea dataOnly="0" labelOnly="1" fieldPosition="0">
        <references count="6">
          <reference field="1" count="1" selected="0">
            <x v="82"/>
          </reference>
          <reference field="5" count="1" selected="0">
            <x v="0"/>
          </reference>
          <reference field="6" count="1" selected="0">
            <x v="12"/>
          </reference>
          <reference field="7" count="1" selected="0">
            <x v="52"/>
          </reference>
          <reference field="8" count="1" selected="0">
            <x v="9"/>
          </reference>
          <reference field="9" count="1">
            <x v="611"/>
          </reference>
        </references>
      </pivotArea>
    </format>
    <format dxfId="1878">
      <pivotArea dataOnly="0" labelOnly="1" fieldPosition="0">
        <references count="6">
          <reference field="1" count="1" selected="0">
            <x v="82"/>
          </reference>
          <reference field="5" count="1" selected="0">
            <x v="0"/>
          </reference>
          <reference field="6" count="1" selected="0">
            <x v="12"/>
          </reference>
          <reference field="7" count="1" selected="0">
            <x v="62"/>
          </reference>
          <reference field="8" count="1" selected="0">
            <x v="59"/>
          </reference>
          <reference field="9" count="1">
            <x v="611"/>
          </reference>
        </references>
      </pivotArea>
    </format>
    <format dxfId="1877">
      <pivotArea dataOnly="0" labelOnly="1" fieldPosition="0">
        <references count="6">
          <reference field="1" count="1" selected="0">
            <x v="82"/>
          </reference>
          <reference field="5" count="1" selected="0">
            <x v="0"/>
          </reference>
          <reference field="6" count="1" selected="0">
            <x v="38"/>
          </reference>
          <reference field="7" count="1" selected="0">
            <x v="166"/>
          </reference>
          <reference field="8" count="1" selected="0">
            <x v="39"/>
          </reference>
          <reference field="9" count="1">
            <x v="611"/>
          </reference>
        </references>
      </pivotArea>
    </format>
    <format dxfId="1876">
      <pivotArea dataOnly="0" labelOnly="1" fieldPosition="0">
        <references count="6">
          <reference field="1" count="1" selected="0">
            <x v="82"/>
          </reference>
          <reference field="5" count="1" selected="0">
            <x v="0"/>
          </reference>
          <reference field="6" count="1" selected="0">
            <x v="38"/>
          </reference>
          <reference field="7" count="1" selected="0">
            <x v="166"/>
          </reference>
          <reference field="8" count="1" selected="0">
            <x v="659"/>
          </reference>
          <reference field="9" count="1">
            <x v="611"/>
          </reference>
        </references>
      </pivotArea>
    </format>
    <format dxfId="1875">
      <pivotArea dataOnly="0" labelOnly="1" fieldPosition="0">
        <references count="6">
          <reference field="1" count="1" selected="0">
            <x v="82"/>
          </reference>
          <reference field="5" count="1" selected="0">
            <x v="12"/>
          </reference>
          <reference field="6" count="1" selected="0">
            <x v="1"/>
          </reference>
          <reference field="7" count="1" selected="0">
            <x v="166"/>
          </reference>
          <reference field="8" count="1" selected="0">
            <x v="80"/>
          </reference>
          <reference field="9" count="1">
            <x v="611"/>
          </reference>
        </references>
      </pivotArea>
    </format>
    <format dxfId="1874">
      <pivotArea dataOnly="0" labelOnly="1" fieldPosition="0">
        <references count="6">
          <reference field="1" count="1" selected="0">
            <x v="82"/>
          </reference>
          <reference field="5" count="1" selected="0">
            <x v="12"/>
          </reference>
          <reference field="6" count="1" selected="0">
            <x v="1"/>
          </reference>
          <reference field="7" count="1" selected="0">
            <x v="166"/>
          </reference>
          <reference field="8" count="1" selected="0">
            <x v="213"/>
          </reference>
          <reference field="9" count="1">
            <x v="611"/>
          </reference>
        </references>
      </pivotArea>
    </format>
    <format dxfId="1873">
      <pivotArea dataOnly="0" labelOnly="1" fieldPosition="0">
        <references count="6">
          <reference field="1" count="1" selected="0">
            <x v="82"/>
          </reference>
          <reference field="5" count="1" selected="0">
            <x v="12"/>
          </reference>
          <reference field="6" count="1" selected="0">
            <x v="1"/>
          </reference>
          <reference field="7" count="1" selected="0">
            <x v="166"/>
          </reference>
          <reference field="8" count="1" selected="0">
            <x v="352"/>
          </reference>
          <reference field="9" count="1">
            <x v="611"/>
          </reference>
        </references>
      </pivotArea>
    </format>
    <format dxfId="1872">
      <pivotArea dataOnly="0" labelOnly="1" fieldPosition="0">
        <references count="6">
          <reference field="1" count="1" selected="0">
            <x v="82"/>
          </reference>
          <reference field="5" count="1" selected="0">
            <x v="12"/>
          </reference>
          <reference field="6" count="1" selected="0">
            <x v="1"/>
          </reference>
          <reference field="7" count="1" selected="0">
            <x v="166"/>
          </reference>
          <reference field="8" count="1" selected="0">
            <x v="607"/>
          </reference>
          <reference field="9" count="1">
            <x v="611"/>
          </reference>
        </references>
      </pivotArea>
    </format>
    <format dxfId="1871">
      <pivotArea dataOnly="0" labelOnly="1" fieldPosition="0">
        <references count="6">
          <reference field="1" count="1" selected="0">
            <x v="82"/>
          </reference>
          <reference field="5" count="1" selected="0">
            <x v="14"/>
          </reference>
          <reference field="6" count="1" selected="0">
            <x v="1"/>
          </reference>
          <reference field="7" count="1" selected="0">
            <x v="166"/>
          </reference>
          <reference field="8" count="1" selected="0">
            <x v="145"/>
          </reference>
          <reference field="9" count="1">
            <x v="611"/>
          </reference>
        </references>
      </pivotArea>
    </format>
    <format dxfId="1870">
      <pivotArea dataOnly="0" labelOnly="1" fieldPosition="0">
        <references count="6">
          <reference field="1" count="1" selected="0">
            <x v="82"/>
          </reference>
          <reference field="5" count="1" selected="0">
            <x v="23"/>
          </reference>
          <reference field="6" count="1" selected="0">
            <x v="38"/>
          </reference>
          <reference field="7" count="1" selected="0">
            <x v="166"/>
          </reference>
          <reference field="8" count="1" selected="0">
            <x v="100"/>
          </reference>
          <reference field="9" count="1">
            <x v="611"/>
          </reference>
        </references>
      </pivotArea>
    </format>
    <format dxfId="1869">
      <pivotArea dataOnly="0" labelOnly="1" fieldPosition="0">
        <references count="6">
          <reference field="1" count="1" selected="0">
            <x v="82"/>
          </reference>
          <reference field="5" count="1" selected="0">
            <x v="34"/>
          </reference>
          <reference field="6" count="1" selected="0">
            <x v="38"/>
          </reference>
          <reference field="7" count="1" selected="0">
            <x v="166"/>
          </reference>
          <reference field="8" count="1" selected="0">
            <x v="509"/>
          </reference>
          <reference field="9" count="1">
            <x v="611"/>
          </reference>
        </references>
      </pivotArea>
    </format>
    <format dxfId="1868">
      <pivotArea dataOnly="0" labelOnly="1" fieldPosition="0">
        <references count="6">
          <reference field="1" count="1" selected="0">
            <x v="82"/>
          </reference>
          <reference field="5" count="1" selected="0">
            <x v="35"/>
          </reference>
          <reference field="6" count="1" selected="0">
            <x v="1"/>
          </reference>
          <reference field="7" count="1" selected="0">
            <x v="166"/>
          </reference>
          <reference field="8" count="1" selected="0">
            <x v="80"/>
          </reference>
          <reference field="9" count="1">
            <x v="611"/>
          </reference>
        </references>
      </pivotArea>
    </format>
    <format dxfId="1867">
      <pivotArea dataOnly="0" labelOnly="1" fieldPosition="0">
        <references count="6">
          <reference field="1" count="1" selected="0">
            <x v="82"/>
          </reference>
          <reference field="5" count="1" selected="0">
            <x v="36"/>
          </reference>
          <reference field="6" count="1" selected="0">
            <x v="6"/>
          </reference>
          <reference field="7" count="1" selected="0">
            <x v="166"/>
          </reference>
          <reference field="8" count="1" selected="0">
            <x v="283"/>
          </reference>
          <reference field="9" count="1">
            <x v="611"/>
          </reference>
        </references>
      </pivotArea>
    </format>
    <format dxfId="1866">
      <pivotArea dataOnly="0" labelOnly="1" fieldPosition="0">
        <references count="6">
          <reference field="1" count="1" selected="0">
            <x v="82"/>
          </reference>
          <reference field="5" count="1" selected="0">
            <x v="36"/>
          </reference>
          <reference field="6" count="1" selected="0">
            <x v="38"/>
          </reference>
          <reference field="7" count="1" selected="0">
            <x v="166"/>
          </reference>
          <reference field="8" count="1" selected="0">
            <x v="395"/>
          </reference>
          <reference field="9" count="1">
            <x v="611"/>
          </reference>
        </references>
      </pivotArea>
    </format>
    <format dxfId="1865">
      <pivotArea dataOnly="0" labelOnly="1" fieldPosition="0">
        <references count="6">
          <reference field="1" count="1" selected="0">
            <x v="82"/>
          </reference>
          <reference field="5" count="1" selected="0">
            <x v="37"/>
          </reference>
          <reference field="6" count="1" selected="0">
            <x v="6"/>
          </reference>
          <reference field="7" count="1" selected="0">
            <x v="166"/>
          </reference>
          <reference field="8" count="1" selected="0">
            <x v="802"/>
          </reference>
          <reference field="9" count="1">
            <x v="611"/>
          </reference>
        </references>
      </pivotArea>
    </format>
    <format dxfId="1864">
      <pivotArea dataOnly="0" labelOnly="1" fieldPosition="0">
        <references count="6">
          <reference field="1" count="1" selected="0">
            <x v="83"/>
          </reference>
          <reference field="5" count="1" selected="0">
            <x v="0"/>
          </reference>
          <reference field="6" count="1" selected="0">
            <x v="6"/>
          </reference>
          <reference field="7" count="1" selected="0">
            <x v="168"/>
          </reference>
          <reference field="8" count="1" selected="0">
            <x v="359"/>
          </reference>
          <reference field="9" count="1">
            <x v="611"/>
          </reference>
        </references>
      </pivotArea>
    </format>
    <format dxfId="1863">
      <pivotArea dataOnly="0" labelOnly="1" fieldPosition="0">
        <references count="6">
          <reference field="1" count="1" selected="0">
            <x v="83"/>
          </reference>
          <reference field="5" count="1" selected="0">
            <x v="0"/>
          </reference>
          <reference field="6" count="1" selected="0">
            <x v="6"/>
          </reference>
          <reference field="7" count="1" selected="0">
            <x v="168"/>
          </reference>
          <reference field="8" count="1" selected="0">
            <x v="749"/>
          </reference>
          <reference field="9" count="1">
            <x v="611"/>
          </reference>
        </references>
      </pivotArea>
    </format>
    <format dxfId="1862">
      <pivotArea dataOnly="0" labelOnly="1" fieldPosition="0">
        <references count="6">
          <reference field="1" count="1" selected="0">
            <x v="83"/>
          </reference>
          <reference field="5" count="1" selected="0">
            <x v="0"/>
          </reference>
          <reference field="6" count="1" selected="0">
            <x v="8"/>
          </reference>
          <reference field="7" count="1" selected="0">
            <x v="168"/>
          </reference>
          <reference field="8" count="1" selected="0">
            <x v="1028"/>
          </reference>
          <reference field="9" count="1">
            <x v="611"/>
          </reference>
        </references>
      </pivotArea>
    </format>
    <format dxfId="1861">
      <pivotArea dataOnly="0" labelOnly="1" fieldPosition="0">
        <references count="6">
          <reference field="1" count="1" selected="0">
            <x v="83"/>
          </reference>
          <reference field="5" count="1" selected="0">
            <x v="0"/>
          </reference>
          <reference field="6" count="1" selected="0">
            <x v="12"/>
          </reference>
          <reference field="7" count="1" selected="0">
            <x v="5"/>
          </reference>
          <reference field="8" count="1" selected="0">
            <x v="69"/>
          </reference>
          <reference field="9" count="1">
            <x v="611"/>
          </reference>
        </references>
      </pivotArea>
    </format>
    <format dxfId="1860">
      <pivotArea dataOnly="0" labelOnly="1" fieldPosition="0">
        <references count="6">
          <reference field="1" count="1" selected="0">
            <x v="83"/>
          </reference>
          <reference field="5" count="1" selected="0">
            <x v="0"/>
          </reference>
          <reference field="6" count="1" selected="0">
            <x v="12"/>
          </reference>
          <reference field="7" count="1" selected="0">
            <x v="52"/>
          </reference>
          <reference field="8" count="1" selected="0">
            <x v="9"/>
          </reference>
          <reference field="9" count="1">
            <x v="611"/>
          </reference>
        </references>
      </pivotArea>
    </format>
    <format dxfId="1859">
      <pivotArea dataOnly="0" labelOnly="1" fieldPosition="0">
        <references count="6">
          <reference field="1" count="1" selected="0">
            <x v="83"/>
          </reference>
          <reference field="5" count="1" selected="0">
            <x v="0"/>
          </reference>
          <reference field="6" count="1" selected="0">
            <x v="12"/>
          </reference>
          <reference field="7" count="1" selected="0">
            <x v="57"/>
          </reference>
          <reference field="8" count="1" selected="0">
            <x v="16"/>
          </reference>
          <reference field="9" count="1">
            <x v="611"/>
          </reference>
        </references>
      </pivotArea>
    </format>
    <format dxfId="1858">
      <pivotArea dataOnly="0" labelOnly="1" fieldPosition="0">
        <references count="6">
          <reference field="1" count="1" selected="0">
            <x v="83"/>
          </reference>
          <reference field="5" count="1" selected="0">
            <x v="0"/>
          </reference>
          <reference field="6" count="1" selected="0">
            <x v="38"/>
          </reference>
          <reference field="7" count="1" selected="0">
            <x v="168"/>
          </reference>
          <reference field="8" count="1" selected="0">
            <x v="138"/>
          </reference>
          <reference field="9" count="1">
            <x v="611"/>
          </reference>
        </references>
      </pivotArea>
    </format>
    <format dxfId="1857">
      <pivotArea dataOnly="0" labelOnly="1" fieldPosition="0">
        <references count="6">
          <reference field="1" count="1" selected="0">
            <x v="83"/>
          </reference>
          <reference field="5" count="1" selected="0">
            <x v="2"/>
          </reference>
          <reference field="6" count="1" selected="0">
            <x v="27"/>
          </reference>
          <reference field="7" count="1" selected="0">
            <x v="167"/>
          </reference>
          <reference field="8" count="1" selected="0">
            <x v="827"/>
          </reference>
          <reference field="9" count="1">
            <x v="611"/>
          </reference>
        </references>
      </pivotArea>
    </format>
    <format dxfId="1856">
      <pivotArea dataOnly="0" labelOnly="1" fieldPosition="0">
        <references count="6">
          <reference field="1" count="1" selected="0">
            <x v="83"/>
          </reference>
          <reference field="5" count="1" selected="0">
            <x v="3"/>
          </reference>
          <reference field="6" count="1" selected="0">
            <x v="1"/>
          </reference>
          <reference field="7" count="1" selected="0">
            <x v="168"/>
          </reference>
          <reference field="8" count="1" selected="0">
            <x v="109"/>
          </reference>
          <reference field="9" count="1">
            <x v="611"/>
          </reference>
        </references>
      </pivotArea>
    </format>
    <format dxfId="1855">
      <pivotArea dataOnly="0" labelOnly="1" fieldPosition="0">
        <references count="6">
          <reference field="1" count="1" selected="0">
            <x v="83"/>
          </reference>
          <reference field="5" count="1" selected="0">
            <x v="3"/>
          </reference>
          <reference field="6" count="1" selected="0">
            <x v="38"/>
          </reference>
          <reference field="7" count="1" selected="0">
            <x v="168"/>
          </reference>
          <reference field="8" count="1" selected="0">
            <x v="33"/>
          </reference>
          <reference field="9" count="1">
            <x v="611"/>
          </reference>
        </references>
      </pivotArea>
    </format>
    <format dxfId="1854">
      <pivotArea dataOnly="0" labelOnly="1" fieldPosition="0">
        <references count="6">
          <reference field="1" count="1" selected="0">
            <x v="83"/>
          </reference>
          <reference field="5" count="1" selected="0">
            <x v="6"/>
          </reference>
          <reference field="6" count="1" selected="0">
            <x v="38"/>
          </reference>
          <reference field="7" count="1" selected="0">
            <x v="168"/>
          </reference>
          <reference field="8" count="1" selected="0">
            <x v="1235"/>
          </reference>
          <reference field="9" count="1">
            <x v="611"/>
          </reference>
        </references>
      </pivotArea>
    </format>
    <format dxfId="1853">
      <pivotArea dataOnly="0" labelOnly="1" fieldPosition="0">
        <references count="6">
          <reference field="1" count="1" selected="0">
            <x v="83"/>
          </reference>
          <reference field="5" count="1" selected="0">
            <x v="12"/>
          </reference>
          <reference field="6" count="1" selected="0">
            <x v="1"/>
          </reference>
          <reference field="7" count="1" selected="0">
            <x v="168"/>
          </reference>
          <reference field="8" count="1" selected="0">
            <x v="80"/>
          </reference>
          <reference field="9" count="1">
            <x v="611"/>
          </reference>
        </references>
      </pivotArea>
    </format>
    <format dxfId="1852">
      <pivotArea dataOnly="0" labelOnly="1" fieldPosition="0">
        <references count="6">
          <reference field="1" count="1" selected="0">
            <x v="83"/>
          </reference>
          <reference field="5" count="1" selected="0">
            <x v="12"/>
          </reference>
          <reference field="6" count="1" selected="0">
            <x v="1"/>
          </reference>
          <reference field="7" count="1" selected="0">
            <x v="168"/>
          </reference>
          <reference field="8" count="1" selected="0">
            <x v="213"/>
          </reference>
          <reference field="9" count="1">
            <x v="611"/>
          </reference>
        </references>
      </pivotArea>
    </format>
    <format dxfId="1851">
      <pivotArea dataOnly="0" labelOnly="1" fieldPosition="0">
        <references count="6">
          <reference field="1" count="1" selected="0">
            <x v="83"/>
          </reference>
          <reference field="5" count="1" selected="0">
            <x v="12"/>
          </reference>
          <reference field="6" count="1" selected="0">
            <x v="1"/>
          </reference>
          <reference field="7" count="1" selected="0">
            <x v="168"/>
          </reference>
          <reference field="8" count="1" selected="0">
            <x v="352"/>
          </reference>
          <reference field="9" count="1">
            <x v="611"/>
          </reference>
        </references>
      </pivotArea>
    </format>
    <format dxfId="1850">
      <pivotArea dataOnly="0" labelOnly="1" fieldPosition="0">
        <references count="6">
          <reference field="1" count="1" selected="0">
            <x v="83"/>
          </reference>
          <reference field="5" count="1" selected="0">
            <x v="12"/>
          </reference>
          <reference field="6" count="1" selected="0">
            <x v="1"/>
          </reference>
          <reference field="7" count="1" selected="0">
            <x v="168"/>
          </reference>
          <reference field="8" count="1" selected="0">
            <x v="500"/>
          </reference>
          <reference field="9" count="1">
            <x v="611"/>
          </reference>
        </references>
      </pivotArea>
    </format>
    <format dxfId="1849">
      <pivotArea dataOnly="0" labelOnly="1" fieldPosition="0">
        <references count="6">
          <reference field="1" count="1" selected="0">
            <x v="83"/>
          </reference>
          <reference field="5" count="1" selected="0">
            <x v="12"/>
          </reference>
          <reference field="6" count="1" selected="0">
            <x v="1"/>
          </reference>
          <reference field="7" count="1" selected="0">
            <x v="168"/>
          </reference>
          <reference field="8" count="1" selected="0">
            <x v="607"/>
          </reference>
          <reference field="9" count="1">
            <x v="611"/>
          </reference>
        </references>
      </pivotArea>
    </format>
    <format dxfId="1848">
      <pivotArea dataOnly="0" labelOnly="1" fieldPosition="0">
        <references count="6">
          <reference field="1" count="1" selected="0">
            <x v="83"/>
          </reference>
          <reference field="5" count="1" selected="0">
            <x v="12"/>
          </reference>
          <reference field="6" count="1" selected="0">
            <x v="1"/>
          </reference>
          <reference field="7" count="1" selected="0">
            <x v="168"/>
          </reference>
          <reference field="8" count="1" selected="0">
            <x v="771"/>
          </reference>
          <reference field="9" count="1">
            <x v="611"/>
          </reference>
        </references>
      </pivotArea>
    </format>
    <format dxfId="1847">
      <pivotArea dataOnly="0" labelOnly="1" fieldPosition="0">
        <references count="6">
          <reference field="1" count="1" selected="0">
            <x v="83"/>
          </reference>
          <reference field="5" count="1" selected="0">
            <x v="12"/>
          </reference>
          <reference field="6" count="1" selected="0">
            <x v="27"/>
          </reference>
          <reference field="7" count="1" selected="0">
            <x v="167"/>
          </reference>
          <reference field="8" count="1" selected="0">
            <x v="289"/>
          </reference>
          <reference field="9" count="1">
            <x v="611"/>
          </reference>
        </references>
      </pivotArea>
    </format>
    <format dxfId="1846">
      <pivotArea dataOnly="0" labelOnly="1" fieldPosition="0">
        <references count="6">
          <reference field="1" count="1" selected="0">
            <x v="83"/>
          </reference>
          <reference field="5" count="1" selected="0">
            <x v="12"/>
          </reference>
          <reference field="6" count="1" selected="0">
            <x v="27"/>
          </reference>
          <reference field="7" count="1" selected="0">
            <x v="167"/>
          </reference>
          <reference field="8" count="1" selected="0">
            <x v="805"/>
          </reference>
          <reference field="9" count="1">
            <x v="611"/>
          </reference>
        </references>
      </pivotArea>
    </format>
    <format dxfId="1845">
      <pivotArea dataOnly="0" labelOnly="1" fieldPosition="0">
        <references count="6">
          <reference field="1" count="1" selected="0">
            <x v="83"/>
          </reference>
          <reference field="5" count="1" selected="0">
            <x v="15"/>
          </reference>
          <reference field="6" count="1" selected="0">
            <x v="1"/>
          </reference>
          <reference field="7" count="1" selected="0">
            <x v="168"/>
          </reference>
          <reference field="8" count="1" selected="0">
            <x v="1666"/>
          </reference>
          <reference field="9" count="1">
            <x v="611"/>
          </reference>
        </references>
      </pivotArea>
    </format>
    <format dxfId="1844">
      <pivotArea dataOnly="0" labelOnly="1" fieldPosition="0">
        <references count="6">
          <reference field="1" count="1" selected="0">
            <x v="83"/>
          </reference>
          <reference field="5" count="1" selected="0">
            <x v="30"/>
          </reference>
          <reference field="6" count="1" selected="0">
            <x v="6"/>
          </reference>
          <reference field="7" count="1" selected="0">
            <x v="168"/>
          </reference>
          <reference field="8" count="1" selected="0">
            <x v="1805"/>
          </reference>
          <reference field="9" count="1">
            <x v="611"/>
          </reference>
        </references>
      </pivotArea>
    </format>
    <format dxfId="1843">
      <pivotArea dataOnly="0" labelOnly="1" fieldPosition="0">
        <references count="6">
          <reference field="1" count="1" selected="0">
            <x v="83"/>
          </reference>
          <reference field="5" count="1" selected="0">
            <x v="35"/>
          </reference>
          <reference field="6" count="1" selected="0">
            <x v="1"/>
          </reference>
          <reference field="7" count="1" selected="0">
            <x v="168"/>
          </reference>
          <reference field="8" count="1" selected="0">
            <x v="80"/>
          </reference>
          <reference field="9" count="1">
            <x v="611"/>
          </reference>
        </references>
      </pivotArea>
    </format>
    <format dxfId="1842">
      <pivotArea dataOnly="0" labelOnly="1" fieldPosition="0">
        <references count="6">
          <reference field="1" count="1" selected="0">
            <x v="83"/>
          </reference>
          <reference field="5" count="1" selected="0">
            <x v="35"/>
          </reference>
          <reference field="6" count="1" selected="0">
            <x v="1"/>
          </reference>
          <reference field="7" count="1" selected="0">
            <x v="168"/>
          </reference>
          <reference field="8" count="1" selected="0">
            <x v="213"/>
          </reference>
          <reference field="9" count="1">
            <x v="611"/>
          </reference>
        </references>
      </pivotArea>
    </format>
    <format dxfId="1841">
      <pivotArea dataOnly="0" labelOnly="1" fieldPosition="0">
        <references count="6">
          <reference field="1" count="1" selected="0">
            <x v="84"/>
          </reference>
          <reference field="5" count="1" selected="0">
            <x v="0"/>
          </reference>
          <reference field="6" count="1" selected="0">
            <x v="6"/>
          </reference>
          <reference field="7" count="1" selected="0">
            <x v="169"/>
          </reference>
          <reference field="8" count="1" selected="0">
            <x v="354"/>
          </reference>
          <reference field="9" count="1">
            <x v="611"/>
          </reference>
        </references>
      </pivotArea>
    </format>
    <format dxfId="1840">
      <pivotArea dataOnly="0" labelOnly="1" fieldPosition="0">
        <references count="6">
          <reference field="1" count="1" selected="0">
            <x v="84"/>
          </reference>
          <reference field="5" count="1" selected="0">
            <x v="0"/>
          </reference>
          <reference field="6" count="1" selected="0">
            <x v="8"/>
          </reference>
          <reference field="7" count="1" selected="0">
            <x v="169"/>
          </reference>
          <reference field="8" count="1" selected="0">
            <x v="825"/>
          </reference>
          <reference field="9" count="1">
            <x v="611"/>
          </reference>
        </references>
      </pivotArea>
    </format>
    <format dxfId="1839">
      <pivotArea dataOnly="0" labelOnly="1" fieldPosition="0">
        <references count="6">
          <reference field="1" count="1" selected="0">
            <x v="84"/>
          </reference>
          <reference field="5" count="1" selected="0">
            <x v="0"/>
          </reference>
          <reference field="6" count="1" selected="0">
            <x v="9"/>
          </reference>
          <reference field="7" count="1" selected="0">
            <x v="169"/>
          </reference>
          <reference field="8" count="1" selected="0">
            <x v="461"/>
          </reference>
          <reference field="9" count="1">
            <x v="611"/>
          </reference>
        </references>
      </pivotArea>
    </format>
    <format dxfId="1838">
      <pivotArea dataOnly="0" labelOnly="1" fieldPosition="0">
        <references count="6">
          <reference field="1" count="1" selected="0">
            <x v="84"/>
          </reference>
          <reference field="5" count="1" selected="0">
            <x v="0"/>
          </reference>
          <reference field="6" count="1" selected="0">
            <x v="9"/>
          </reference>
          <reference field="7" count="1" selected="0">
            <x v="169"/>
          </reference>
          <reference field="8" count="1" selected="0">
            <x v="494"/>
          </reference>
          <reference field="9" count="1">
            <x v="611"/>
          </reference>
        </references>
      </pivotArea>
    </format>
    <format dxfId="1837">
      <pivotArea dataOnly="0" labelOnly="1" fieldPosition="0">
        <references count="6">
          <reference field="1" count="1" selected="0">
            <x v="84"/>
          </reference>
          <reference field="5" count="1" selected="0">
            <x v="0"/>
          </reference>
          <reference field="6" count="1" selected="0">
            <x v="12"/>
          </reference>
          <reference field="7" count="1" selected="0">
            <x v="21"/>
          </reference>
          <reference field="8" count="1" selected="0">
            <x v="227"/>
          </reference>
          <reference field="9" count="1">
            <x v="611"/>
          </reference>
        </references>
      </pivotArea>
    </format>
    <format dxfId="1836">
      <pivotArea dataOnly="0" labelOnly="1" fieldPosition="0">
        <references count="6">
          <reference field="1" count="1" selected="0">
            <x v="84"/>
          </reference>
          <reference field="5" count="1" selected="0">
            <x v="0"/>
          </reference>
          <reference field="6" count="1" selected="0">
            <x v="38"/>
          </reference>
          <reference field="7" count="1" selected="0">
            <x v="169"/>
          </reference>
          <reference field="8" count="1" selected="0">
            <x v="138"/>
          </reference>
          <reference field="9" count="1">
            <x v="611"/>
          </reference>
        </references>
      </pivotArea>
    </format>
    <format dxfId="1835">
      <pivotArea dataOnly="0" labelOnly="1" fieldPosition="0">
        <references count="6">
          <reference field="1" count="1" selected="0">
            <x v="84"/>
          </reference>
          <reference field="5" count="1" selected="0">
            <x v="12"/>
          </reference>
          <reference field="6" count="1" selected="0">
            <x v="1"/>
          </reference>
          <reference field="7" count="1" selected="0">
            <x v="169"/>
          </reference>
          <reference field="8" count="1" selected="0">
            <x v="80"/>
          </reference>
          <reference field="9" count="1">
            <x v="611"/>
          </reference>
        </references>
      </pivotArea>
    </format>
    <format dxfId="1834">
      <pivotArea dataOnly="0" labelOnly="1" fieldPosition="0">
        <references count="6">
          <reference field="1" count="1" selected="0">
            <x v="84"/>
          </reference>
          <reference field="5" count="1" selected="0">
            <x v="12"/>
          </reference>
          <reference field="6" count="1" selected="0">
            <x v="1"/>
          </reference>
          <reference field="7" count="1" selected="0">
            <x v="169"/>
          </reference>
          <reference field="8" count="1" selected="0">
            <x v="213"/>
          </reference>
          <reference field="9" count="1">
            <x v="611"/>
          </reference>
        </references>
      </pivotArea>
    </format>
    <format dxfId="1833">
      <pivotArea dataOnly="0" labelOnly="1" fieldPosition="0">
        <references count="6">
          <reference field="1" count="1" selected="0">
            <x v="84"/>
          </reference>
          <reference field="5" count="1" selected="0">
            <x v="12"/>
          </reference>
          <reference field="6" count="1" selected="0">
            <x v="1"/>
          </reference>
          <reference field="7" count="1" selected="0">
            <x v="169"/>
          </reference>
          <reference field="8" count="1" selected="0">
            <x v="352"/>
          </reference>
          <reference field="9" count="1">
            <x v="611"/>
          </reference>
        </references>
      </pivotArea>
    </format>
    <format dxfId="1832">
      <pivotArea dataOnly="0" labelOnly="1" fieldPosition="0">
        <references count="6">
          <reference field="1" count="1" selected="0">
            <x v="84"/>
          </reference>
          <reference field="5" count="1" selected="0">
            <x v="12"/>
          </reference>
          <reference field="6" count="1" selected="0">
            <x v="1"/>
          </reference>
          <reference field="7" count="1" selected="0">
            <x v="169"/>
          </reference>
          <reference field="8" count="1" selected="0">
            <x v="607"/>
          </reference>
          <reference field="9" count="1">
            <x v="611"/>
          </reference>
        </references>
      </pivotArea>
    </format>
    <format dxfId="1831">
      <pivotArea dataOnly="0" labelOnly="1" fieldPosition="0">
        <references count="6">
          <reference field="1" count="1" selected="0">
            <x v="84"/>
          </reference>
          <reference field="5" count="1" selected="0">
            <x v="12"/>
          </reference>
          <reference field="6" count="1" selected="0">
            <x v="1"/>
          </reference>
          <reference field="7" count="1" selected="0">
            <x v="169"/>
          </reference>
          <reference field="8" count="1" selected="0">
            <x v="702"/>
          </reference>
          <reference field="9" count="1">
            <x v="611"/>
          </reference>
        </references>
      </pivotArea>
    </format>
    <format dxfId="1830">
      <pivotArea dataOnly="0" labelOnly="1" fieldPosition="0">
        <references count="6">
          <reference field="1" count="1" selected="0">
            <x v="84"/>
          </reference>
          <reference field="5" count="1" selected="0">
            <x v="12"/>
          </reference>
          <reference field="6" count="1" selected="0">
            <x v="1"/>
          </reference>
          <reference field="7" count="1" selected="0">
            <x v="169"/>
          </reference>
          <reference field="8" count="1" selected="0">
            <x v="771"/>
          </reference>
          <reference field="9" count="1">
            <x v="611"/>
          </reference>
        </references>
      </pivotArea>
    </format>
    <format dxfId="1829">
      <pivotArea dataOnly="0" labelOnly="1" fieldPosition="0">
        <references count="6">
          <reference field="1" count="1" selected="0">
            <x v="84"/>
          </reference>
          <reference field="5" count="1" selected="0">
            <x v="14"/>
          </reference>
          <reference field="6" count="1" selected="0">
            <x v="6"/>
          </reference>
          <reference field="7" count="1" selected="0">
            <x v="169"/>
          </reference>
          <reference field="8" count="1" selected="0">
            <x v="1865"/>
          </reference>
          <reference field="9" count="1">
            <x v="611"/>
          </reference>
        </references>
      </pivotArea>
    </format>
    <format dxfId="1828">
      <pivotArea dataOnly="0" labelOnly="1" fieldPosition="0">
        <references count="6">
          <reference field="1" count="1" selected="0">
            <x v="84"/>
          </reference>
          <reference field="5" count="1" selected="0">
            <x v="26"/>
          </reference>
          <reference field="6" count="1" selected="0">
            <x v="38"/>
          </reference>
          <reference field="7" count="1" selected="0">
            <x v="169"/>
          </reference>
          <reference field="8" count="1" selected="0">
            <x v="1840"/>
          </reference>
          <reference field="9" count="1">
            <x v="611"/>
          </reference>
        </references>
      </pivotArea>
    </format>
    <format dxfId="1827">
      <pivotArea dataOnly="0" labelOnly="1" fieldPosition="0">
        <references count="6">
          <reference field="1" count="1" selected="0">
            <x v="84"/>
          </reference>
          <reference field="5" count="1" selected="0">
            <x v="35"/>
          </reference>
          <reference field="6" count="1" selected="0">
            <x v="1"/>
          </reference>
          <reference field="7" count="1" selected="0">
            <x v="169"/>
          </reference>
          <reference field="8" count="1" selected="0">
            <x v="80"/>
          </reference>
          <reference field="9" count="1">
            <x v="611"/>
          </reference>
        </references>
      </pivotArea>
    </format>
    <format dxfId="1826">
      <pivotArea dataOnly="0" labelOnly="1" fieldPosition="0">
        <references count="6">
          <reference field="1" count="1" selected="0">
            <x v="84"/>
          </reference>
          <reference field="5" count="1" selected="0">
            <x v="37"/>
          </reference>
          <reference field="6" count="1" selected="0">
            <x v="38"/>
          </reference>
          <reference field="7" count="1" selected="0">
            <x v="169"/>
          </reference>
          <reference field="8" count="1" selected="0">
            <x v="271"/>
          </reference>
          <reference field="9" count="1">
            <x v="611"/>
          </reference>
        </references>
      </pivotArea>
    </format>
    <format dxfId="1825">
      <pivotArea dataOnly="0" labelOnly="1" fieldPosition="0">
        <references count="6">
          <reference field="1" count="1" selected="0">
            <x v="85"/>
          </reference>
          <reference field="5" count="1" selected="0">
            <x v="0"/>
          </reference>
          <reference field="6" count="1" selected="0">
            <x v="8"/>
          </reference>
          <reference field="7" count="1" selected="0">
            <x v="170"/>
          </reference>
          <reference field="8" count="1" selected="0">
            <x v="108"/>
          </reference>
          <reference field="9" count="1">
            <x v="611"/>
          </reference>
        </references>
      </pivotArea>
    </format>
    <format dxfId="1824">
      <pivotArea dataOnly="0" labelOnly="1" fieldPosition="0">
        <references count="6">
          <reference field="1" count="1" selected="0">
            <x v="85"/>
          </reference>
          <reference field="5" count="1" selected="0">
            <x v="0"/>
          </reference>
          <reference field="6" count="1" selected="0">
            <x v="9"/>
          </reference>
          <reference field="7" count="1" selected="0">
            <x v="170"/>
          </reference>
          <reference field="8" count="1" selected="0">
            <x v="430"/>
          </reference>
          <reference field="9" count="1">
            <x v="611"/>
          </reference>
        </references>
      </pivotArea>
    </format>
    <format dxfId="1823">
      <pivotArea dataOnly="0" labelOnly="1" fieldPosition="0">
        <references count="6">
          <reference field="1" count="1" selected="0">
            <x v="85"/>
          </reference>
          <reference field="5" count="1" selected="0">
            <x v="0"/>
          </reference>
          <reference field="6" count="1" selected="0">
            <x v="9"/>
          </reference>
          <reference field="7" count="1" selected="0">
            <x v="170"/>
          </reference>
          <reference field="8" count="1" selected="0">
            <x v="640"/>
          </reference>
          <reference field="9" count="1">
            <x v="611"/>
          </reference>
        </references>
      </pivotArea>
    </format>
    <format dxfId="1822">
      <pivotArea dataOnly="0" labelOnly="1" fieldPosition="0">
        <references count="6">
          <reference field="1" count="1" selected="0">
            <x v="85"/>
          </reference>
          <reference field="5" count="1" selected="0">
            <x v="8"/>
          </reference>
          <reference field="6" count="1" selected="0">
            <x v="10"/>
          </reference>
          <reference field="7" count="1" selected="0">
            <x v="170"/>
          </reference>
          <reference field="8" count="1" selected="0">
            <x v="1304"/>
          </reference>
          <reference field="9" count="1">
            <x v="611"/>
          </reference>
        </references>
      </pivotArea>
    </format>
    <format dxfId="1821">
      <pivotArea dataOnly="0" labelOnly="1" fieldPosition="0">
        <references count="6">
          <reference field="1" count="1" selected="0">
            <x v="85"/>
          </reference>
          <reference field="5" count="1" selected="0">
            <x v="12"/>
          </reference>
          <reference field="6" count="1" selected="0">
            <x v="1"/>
          </reference>
          <reference field="7" count="1" selected="0">
            <x v="170"/>
          </reference>
          <reference field="8" count="1" selected="0">
            <x v="80"/>
          </reference>
          <reference field="9" count="1">
            <x v="611"/>
          </reference>
        </references>
      </pivotArea>
    </format>
    <format dxfId="1820">
      <pivotArea dataOnly="0" labelOnly="1" fieldPosition="0">
        <references count="6">
          <reference field="1" count="1" selected="0">
            <x v="85"/>
          </reference>
          <reference field="5" count="1" selected="0">
            <x v="12"/>
          </reference>
          <reference field="6" count="1" selected="0">
            <x v="1"/>
          </reference>
          <reference field="7" count="1" selected="0">
            <x v="170"/>
          </reference>
          <reference field="8" count="1" selected="0">
            <x v="213"/>
          </reference>
          <reference field="9" count="1">
            <x v="611"/>
          </reference>
        </references>
      </pivotArea>
    </format>
    <format dxfId="1819">
      <pivotArea dataOnly="0" labelOnly="1" fieldPosition="0">
        <references count="6">
          <reference field="1" count="1" selected="0">
            <x v="85"/>
          </reference>
          <reference field="5" count="1" selected="0">
            <x v="12"/>
          </reference>
          <reference field="6" count="1" selected="0">
            <x v="1"/>
          </reference>
          <reference field="7" count="1" selected="0">
            <x v="170"/>
          </reference>
          <reference field="8" count="1" selected="0">
            <x v="352"/>
          </reference>
          <reference field="9" count="1">
            <x v="611"/>
          </reference>
        </references>
      </pivotArea>
    </format>
    <format dxfId="1818">
      <pivotArea dataOnly="0" labelOnly="1" fieldPosition="0">
        <references count="6">
          <reference field="1" count="1" selected="0">
            <x v="85"/>
          </reference>
          <reference field="5" count="1" selected="0">
            <x v="12"/>
          </reference>
          <reference field="6" count="1" selected="0">
            <x v="1"/>
          </reference>
          <reference field="7" count="1" selected="0">
            <x v="170"/>
          </reference>
          <reference field="8" count="1" selected="0">
            <x v="500"/>
          </reference>
          <reference field="9" count="1">
            <x v="611"/>
          </reference>
        </references>
      </pivotArea>
    </format>
    <format dxfId="1817">
      <pivotArea dataOnly="0" labelOnly="1" fieldPosition="0">
        <references count="6">
          <reference field="1" count="1" selected="0">
            <x v="85"/>
          </reference>
          <reference field="5" count="1" selected="0">
            <x v="12"/>
          </reference>
          <reference field="6" count="1" selected="0">
            <x v="1"/>
          </reference>
          <reference field="7" count="1" selected="0">
            <x v="170"/>
          </reference>
          <reference field="8" count="1" selected="0">
            <x v="702"/>
          </reference>
          <reference field="9" count="1">
            <x v="611"/>
          </reference>
        </references>
      </pivotArea>
    </format>
    <format dxfId="1816">
      <pivotArea dataOnly="0" labelOnly="1" fieldPosition="0">
        <references count="6">
          <reference field="1" count="1" selected="0">
            <x v="85"/>
          </reference>
          <reference field="5" count="1" selected="0">
            <x v="19"/>
          </reference>
          <reference field="6" count="1" selected="0">
            <x v="6"/>
          </reference>
          <reference field="7" count="1" selected="0">
            <x v="170"/>
          </reference>
          <reference field="8" count="1" selected="0">
            <x v="883"/>
          </reference>
          <reference field="9" count="1">
            <x v="611"/>
          </reference>
        </references>
      </pivotArea>
    </format>
    <format dxfId="1815">
      <pivotArea dataOnly="0" labelOnly="1" fieldPosition="0">
        <references count="6">
          <reference field="1" count="1" selected="0">
            <x v="85"/>
          </reference>
          <reference field="5" count="1" selected="0">
            <x v="37"/>
          </reference>
          <reference field="6" count="1" selected="0">
            <x v="10"/>
          </reference>
          <reference field="7" count="1" selected="0">
            <x v="170"/>
          </reference>
          <reference field="8" count="1" selected="0">
            <x v="1491"/>
          </reference>
          <reference field="9" count="1">
            <x v="611"/>
          </reference>
        </references>
      </pivotArea>
    </format>
    <format dxfId="1814">
      <pivotArea dataOnly="0" labelOnly="1" fieldPosition="0">
        <references count="6">
          <reference field="1" count="1" selected="0">
            <x v="86"/>
          </reference>
          <reference field="5" count="1" selected="0">
            <x v="0"/>
          </reference>
          <reference field="6" count="1" selected="0">
            <x v="1"/>
          </reference>
          <reference field="7" count="1" selected="0">
            <x v="171"/>
          </reference>
          <reference field="8" count="1" selected="0">
            <x v="80"/>
          </reference>
          <reference field="9" count="1">
            <x v="611"/>
          </reference>
        </references>
      </pivotArea>
    </format>
    <format dxfId="1813">
      <pivotArea dataOnly="0" labelOnly="1" fieldPosition="0">
        <references count="6">
          <reference field="1" count="1" selected="0">
            <x v="86"/>
          </reference>
          <reference field="5" count="1" selected="0">
            <x v="0"/>
          </reference>
          <reference field="6" count="1" selected="0">
            <x v="1"/>
          </reference>
          <reference field="7" count="1" selected="0">
            <x v="171"/>
          </reference>
          <reference field="8" count="1" selected="0">
            <x v="778"/>
          </reference>
          <reference field="9" count="1">
            <x v="611"/>
          </reference>
        </references>
      </pivotArea>
    </format>
    <format dxfId="1812">
      <pivotArea dataOnly="0" labelOnly="1" fieldPosition="0">
        <references count="6">
          <reference field="1" count="1" selected="0">
            <x v="86"/>
          </reference>
          <reference field="5" count="1" selected="0">
            <x v="0"/>
          </reference>
          <reference field="6" count="1" selected="0">
            <x v="12"/>
          </reference>
          <reference field="7" count="1" selected="0">
            <x v="7"/>
          </reference>
          <reference field="8" count="1" selected="0">
            <x v="219"/>
          </reference>
          <reference field="9" count="1">
            <x v="611"/>
          </reference>
        </references>
      </pivotArea>
    </format>
    <format dxfId="1811">
      <pivotArea dataOnly="0" labelOnly="1" fieldPosition="0">
        <references count="6">
          <reference field="1" count="1" selected="0">
            <x v="86"/>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1810">
      <pivotArea dataOnly="0" labelOnly="1" fieldPosition="0">
        <references count="6">
          <reference field="1" count="1" selected="0">
            <x v="86"/>
          </reference>
          <reference field="5" count="1" selected="0">
            <x v="0"/>
          </reference>
          <reference field="6" count="1" selected="0">
            <x v="37"/>
          </reference>
          <reference field="7" count="1" selected="0">
            <x v="171"/>
          </reference>
          <reference field="8" count="1" selected="0">
            <x v="1312"/>
          </reference>
          <reference field="9" count="1">
            <x v="611"/>
          </reference>
        </references>
      </pivotArea>
    </format>
    <format dxfId="1809">
      <pivotArea dataOnly="0" labelOnly="1" fieldPosition="0">
        <references count="6">
          <reference field="1" count="1" selected="0">
            <x v="86"/>
          </reference>
          <reference field="5" count="1" selected="0">
            <x v="0"/>
          </reference>
          <reference field="6" count="1" selected="0">
            <x v="38"/>
          </reference>
          <reference field="7" count="1" selected="0">
            <x v="171"/>
          </reference>
          <reference field="8" count="1" selected="0">
            <x v="1326"/>
          </reference>
          <reference field="9" count="1">
            <x v="611"/>
          </reference>
        </references>
      </pivotArea>
    </format>
    <format dxfId="1808">
      <pivotArea dataOnly="0" labelOnly="1" fieldPosition="0">
        <references count="6">
          <reference field="1" count="1" selected="0">
            <x v="86"/>
          </reference>
          <reference field="5" count="1" selected="0">
            <x v="2"/>
          </reference>
          <reference field="6" count="1" selected="0">
            <x v="1"/>
          </reference>
          <reference field="7" count="1" selected="0">
            <x v="171"/>
          </reference>
          <reference field="8" count="1" selected="0">
            <x v="1205"/>
          </reference>
          <reference field="9" count="1">
            <x v="611"/>
          </reference>
        </references>
      </pivotArea>
    </format>
    <format dxfId="1807">
      <pivotArea dataOnly="0" labelOnly="1" fieldPosition="0">
        <references count="6">
          <reference field="1" count="1" selected="0">
            <x v="86"/>
          </reference>
          <reference field="5" count="1" selected="0">
            <x v="2"/>
          </reference>
          <reference field="6" count="1" selected="0">
            <x v="6"/>
          </reference>
          <reference field="7" count="1" selected="0">
            <x v="171"/>
          </reference>
          <reference field="8" count="1" selected="0">
            <x v="615"/>
          </reference>
          <reference field="9" count="1">
            <x v="611"/>
          </reference>
        </references>
      </pivotArea>
    </format>
    <format dxfId="1806">
      <pivotArea dataOnly="0" labelOnly="1" fieldPosition="0">
        <references count="6">
          <reference field="1" count="1" selected="0">
            <x v="86"/>
          </reference>
          <reference field="5" count="1" selected="0">
            <x v="3"/>
          </reference>
          <reference field="6" count="1" selected="0">
            <x v="38"/>
          </reference>
          <reference field="7" count="1" selected="0">
            <x v="171"/>
          </reference>
          <reference field="8" count="1" selected="0">
            <x v="322"/>
          </reference>
          <reference field="9" count="1">
            <x v="611"/>
          </reference>
        </references>
      </pivotArea>
    </format>
    <format dxfId="1805">
      <pivotArea dataOnly="0" labelOnly="1" fieldPosition="0">
        <references count="6">
          <reference field="1" count="1" selected="0">
            <x v="86"/>
          </reference>
          <reference field="5" count="1" selected="0">
            <x v="5"/>
          </reference>
          <reference field="6" count="1" selected="0">
            <x v="37"/>
          </reference>
          <reference field="7" count="1" selected="0">
            <x v="171"/>
          </reference>
          <reference field="8" count="1" selected="0">
            <x v="1777"/>
          </reference>
          <reference field="9" count="1">
            <x v="611"/>
          </reference>
        </references>
      </pivotArea>
    </format>
    <format dxfId="1804">
      <pivotArea dataOnly="0" labelOnly="1" fieldPosition="0">
        <references count="6">
          <reference field="1" count="1" selected="0">
            <x v="86"/>
          </reference>
          <reference field="5" count="1" selected="0">
            <x v="5"/>
          </reference>
          <reference field="6" count="1" selected="0">
            <x v="38"/>
          </reference>
          <reference field="7" count="1" selected="0">
            <x v="171"/>
          </reference>
          <reference field="8" count="1" selected="0">
            <x v="1837"/>
          </reference>
          <reference field="9" count="1">
            <x v="611"/>
          </reference>
        </references>
      </pivotArea>
    </format>
    <format dxfId="1803">
      <pivotArea dataOnly="0" labelOnly="1" fieldPosition="0">
        <references count="6">
          <reference field="1" count="1" selected="0">
            <x v="86"/>
          </reference>
          <reference field="5" count="1" selected="0">
            <x v="6"/>
          </reference>
          <reference field="6" count="1" selected="0">
            <x v="38"/>
          </reference>
          <reference field="7" count="1" selected="0">
            <x v="171"/>
          </reference>
          <reference field="8" count="1" selected="0">
            <x v="1164"/>
          </reference>
          <reference field="9" count="1">
            <x v="611"/>
          </reference>
        </references>
      </pivotArea>
    </format>
    <format dxfId="1802">
      <pivotArea dataOnly="0" labelOnly="1" fieldPosition="0">
        <references count="6">
          <reference field="1" count="1" selected="0">
            <x v="86"/>
          </reference>
          <reference field="5" count="1" selected="0">
            <x v="7"/>
          </reference>
          <reference field="6" count="1" selected="0">
            <x v="38"/>
          </reference>
          <reference field="7" count="1" selected="0">
            <x v="171"/>
          </reference>
          <reference field="8" count="1" selected="0">
            <x v="1061"/>
          </reference>
          <reference field="9" count="1">
            <x v="611"/>
          </reference>
        </references>
      </pivotArea>
    </format>
    <format dxfId="1801">
      <pivotArea dataOnly="0" labelOnly="1" fieldPosition="0">
        <references count="6">
          <reference field="1" count="1" selected="0">
            <x v="86"/>
          </reference>
          <reference field="5" count="1" selected="0">
            <x v="9"/>
          </reference>
          <reference field="6" count="1" selected="0">
            <x v="38"/>
          </reference>
          <reference field="7" count="1" selected="0">
            <x v="171"/>
          </reference>
          <reference field="8" count="1" selected="0">
            <x v="66"/>
          </reference>
          <reference field="9" count="1">
            <x v="611"/>
          </reference>
        </references>
      </pivotArea>
    </format>
    <format dxfId="1800">
      <pivotArea dataOnly="0" labelOnly="1" fieldPosition="0">
        <references count="6">
          <reference field="1" count="1" selected="0">
            <x v="86"/>
          </reference>
          <reference field="5" count="1" selected="0">
            <x v="10"/>
          </reference>
          <reference field="6" count="1" selected="0">
            <x v="38"/>
          </reference>
          <reference field="7" count="1" selected="0">
            <x v="171"/>
          </reference>
          <reference field="8" count="1" selected="0">
            <x v="612"/>
          </reference>
          <reference field="9" count="1">
            <x v="611"/>
          </reference>
        </references>
      </pivotArea>
    </format>
    <format dxfId="1799">
      <pivotArea dataOnly="0" labelOnly="1" fieldPosition="0">
        <references count="6">
          <reference field="1" count="1" selected="0">
            <x v="86"/>
          </reference>
          <reference field="5" count="1" selected="0">
            <x v="12"/>
          </reference>
          <reference field="6" count="1" selected="0">
            <x v="1"/>
          </reference>
          <reference field="7" count="1" selected="0">
            <x v="171"/>
          </reference>
          <reference field="8" count="1" selected="0">
            <x v="80"/>
          </reference>
          <reference field="9" count="1">
            <x v="611"/>
          </reference>
        </references>
      </pivotArea>
    </format>
    <format dxfId="1798">
      <pivotArea dataOnly="0" labelOnly="1" fieldPosition="0">
        <references count="6">
          <reference field="1" count="1" selected="0">
            <x v="86"/>
          </reference>
          <reference field="5" count="1" selected="0">
            <x v="12"/>
          </reference>
          <reference field="6" count="1" selected="0">
            <x v="1"/>
          </reference>
          <reference field="7" count="1" selected="0">
            <x v="171"/>
          </reference>
          <reference field="8" count="1" selected="0">
            <x v="213"/>
          </reference>
          <reference field="9" count="1">
            <x v="611"/>
          </reference>
        </references>
      </pivotArea>
    </format>
    <format dxfId="1797">
      <pivotArea dataOnly="0" labelOnly="1" fieldPosition="0">
        <references count="6">
          <reference field="1" count="1" selected="0">
            <x v="86"/>
          </reference>
          <reference field="5" count="1" selected="0">
            <x v="12"/>
          </reference>
          <reference field="6" count="1" selected="0">
            <x v="1"/>
          </reference>
          <reference field="7" count="1" selected="0">
            <x v="171"/>
          </reference>
          <reference field="8" count="1" selected="0">
            <x v="352"/>
          </reference>
          <reference field="9" count="1">
            <x v="611"/>
          </reference>
        </references>
      </pivotArea>
    </format>
    <format dxfId="1796">
      <pivotArea dataOnly="0" labelOnly="1" fieldPosition="0">
        <references count="6">
          <reference field="1" count="1" selected="0">
            <x v="86"/>
          </reference>
          <reference field="5" count="1" selected="0">
            <x v="14"/>
          </reference>
          <reference field="6" count="1" selected="0">
            <x v="37"/>
          </reference>
          <reference field="7" count="1" selected="0">
            <x v="171"/>
          </reference>
          <reference field="8" count="1" selected="0">
            <x v="1375"/>
          </reference>
          <reference field="9" count="1">
            <x v="611"/>
          </reference>
        </references>
      </pivotArea>
    </format>
    <format dxfId="1795">
      <pivotArea dataOnly="0" labelOnly="1" fieldPosition="0">
        <references count="6">
          <reference field="1" count="1" selected="0">
            <x v="86"/>
          </reference>
          <reference field="5" count="1" selected="0">
            <x v="14"/>
          </reference>
          <reference field="6" count="1" selected="0">
            <x v="38"/>
          </reference>
          <reference field="7" count="1" selected="0">
            <x v="171"/>
          </reference>
          <reference field="8" count="1" selected="0">
            <x v="1599"/>
          </reference>
          <reference field="9" count="1">
            <x v="611"/>
          </reference>
        </references>
      </pivotArea>
    </format>
    <format dxfId="1794">
      <pivotArea dataOnly="0" labelOnly="1" fieldPosition="0">
        <references count="6">
          <reference field="1" count="1" selected="0">
            <x v="86"/>
          </reference>
          <reference field="5" count="1" selected="0">
            <x v="15"/>
          </reference>
          <reference field="6" count="1" selected="0">
            <x v="38"/>
          </reference>
          <reference field="7" count="1" selected="0">
            <x v="171"/>
          </reference>
          <reference field="8" count="1" selected="0">
            <x v="1826"/>
          </reference>
          <reference field="9" count="1">
            <x v="611"/>
          </reference>
        </references>
      </pivotArea>
    </format>
    <format dxfId="1793">
      <pivotArea dataOnly="0" labelOnly="1" fieldPosition="0">
        <references count="6">
          <reference field="1" count="1" selected="0">
            <x v="86"/>
          </reference>
          <reference field="5" count="1" selected="0">
            <x v="19"/>
          </reference>
          <reference field="6" count="1" selected="0">
            <x v="37"/>
          </reference>
          <reference field="7" count="1" selected="0">
            <x v="171"/>
          </reference>
          <reference field="8" count="1" selected="0">
            <x v="1574"/>
          </reference>
          <reference field="9" count="1">
            <x v="611"/>
          </reference>
        </references>
      </pivotArea>
    </format>
    <format dxfId="1792">
      <pivotArea dataOnly="0" labelOnly="1" fieldPosition="0">
        <references count="6">
          <reference field="1" count="1" selected="0">
            <x v="86"/>
          </reference>
          <reference field="5" count="1" selected="0">
            <x v="19"/>
          </reference>
          <reference field="6" count="1" selected="0">
            <x v="38"/>
          </reference>
          <reference field="7" count="1" selected="0">
            <x v="171"/>
          </reference>
          <reference field="8" count="1" selected="0">
            <x v="1725"/>
          </reference>
          <reference field="9" count="1">
            <x v="611"/>
          </reference>
        </references>
      </pivotArea>
    </format>
    <format dxfId="1791">
      <pivotArea dataOnly="0" labelOnly="1" fieldPosition="0">
        <references count="6">
          <reference field="1" count="1" selected="0">
            <x v="86"/>
          </reference>
          <reference field="5" count="1" selected="0">
            <x v="21"/>
          </reference>
          <reference field="6" count="1" selected="0">
            <x v="10"/>
          </reference>
          <reference field="7" count="1" selected="0">
            <x v="171"/>
          </reference>
          <reference field="8" count="1" selected="0">
            <x v="0"/>
          </reference>
          <reference field="9" count="1">
            <x v="563"/>
          </reference>
        </references>
      </pivotArea>
    </format>
    <format dxfId="1790">
      <pivotArea dataOnly="0" labelOnly="1" fieldPosition="0">
        <references count="6">
          <reference field="1" count="1" selected="0">
            <x v="86"/>
          </reference>
          <reference field="5" count="1" selected="0">
            <x v="23"/>
          </reference>
          <reference field="6" count="1" selected="0">
            <x v="1"/>
          </reference>
          <reference field="7" count="1" selected="0">
            <x v="171"/>
          </reference>
          <reference field="8" count="1" selected="0">
            <x v="278"/>
          </reference>
          <reference field="9" count="1">
            <x v="611"/>
          </reference>
        </references>
      </pivotArea>
    </format>
    <format dxfId="1789">
      <pivotArea dataOnly="0" labelOnly="1" fieldPosition="0">
        <references count="6">
          <reference field="1" count="1" selected="0">
            <x v="86"/>
          </reference>
          <reference field="5" count="1" selected="0">
            <x v="33"/>
          </reference>
          <reference field="6" count="1" selected="0">
            <x v="38"/>
          </reference>
          <reference field="7" count="1" selected="0">
            <x v="171"/>
          </reference>
          <reference field="8" count="1" selected="0">
            <x v="659"/>
          </reference>
          <reference field="9" count="1">
            <x v="611"/>
          </reference>
        </references>
      </pivotArea>
    </format>
    <format dxfId="1788">
      <pivotArea dataOnly="0" labelOnly="1" fieldPosition="0">
        <references count="6">
          <reference field="1" count="1" selected="0">
            <x v="86"/>
          </reference>
          <reference field="5" count="1" selected="0">
            <x v="35"/>
          </reference>
          <reference field="6" count="1" selected="0">
            <x v="1"/>
          </reference>
          <reference field="7" count="1" selected="0">
            <x v="171"/>
          </reference>
          <reference field="8" count="1" selected="0">
            <x v="80"/>
          </reference>
          <reference field="9" count="1">
            <x v="611"/>
          </reference>
        </references>
      </pivotArea>
    </format>
    <format dxfId="1787">
      <pivotArea dataOnly="0" labelOnly="1" fieldPosition="0">
        <references count="6">
          <reference field="1" count="1" selected="0">
            <x v="87"/>
          </reference>
          <reference field="5" count="1" selected="0">
            <x v="0"/>
          </reference>
          <reference field="6" count="1" selected="0">
            <x v="9"/>
          </reference>
          <reference field="7" count="1" selected="0">
            <x v="172"/>
          </reference>
          <reference field="8" count="1" selected="0">
            <x v="620"/>
          </reference>
          <reference field="9" count="1">
            <x v="611"/>
          </reference>
        </references>
      </pivotArea>
    </format>
    <format dxfId="1786">
      <pivotArea dataOnly="0" labelOnly="1" fieldPosition="0">
        <references count="6">
          <reference field="1" count="1" selected="0">
            <x v="87"/>
          </reference>
          <reference field="5" count="1" selected="0">
            <x v="0"/>
          </reference>
          <reference field="6" count="1" selected="0">
            <x v="9"/>
          </reference>
          <reference field="7" count="1" selected="0">
            <x v="172"/>
          </reference>
          <reference field="8" count="1" selected="0">
            <x v="640"/>
          </reference>
          <reference field="9" count="1">
            <x v="611"/>
          </reference>
        </references>
      </pivotArea>
    </format>
    <format dxfId="1785">
      <pivotArea dataOnly="0" labelOnly="1" fieldPosition="0">
        <references count="6">
          <reference field="1" count="1" selected="0">
            <x v="87"/>
          </reference>
          <reference field="5" count="1" selected="0">
            <x v="0"/>
          </reference>
          <reference field="6" count="1" selected="0">
            <x v="9"/>
          </reference>
          <reference field="7" count="1" selected="0">
            <x v="172"/>
          </reference>
          <reference field="8" count="1" selected="0">
            <x v="745"/>
          </reference>
          <reference field="9" count="1">
            <x v="611"/>
          </reference>
        </references>
      </pivotArea>
    </format>
    <format dxfId="1784">
      <pivotArea dataOnly="0" labelOnly="1" fieldPosition="0">
        <references count="6">
          <reference field="1" count="1" selected="0">
            <x v="87"/>
          </reference>
          <reference field="5" count="1" selected="0">
            <x v="0"/>
          </reference>
          <reference field="6" count="1" selected="0">
            <x v="9"/>
          </reference>
          <reference field="7" count="1" selected="0">
            <x v="172"/>
          </reference>
          <reference field="8" count="1" selected="0">
            <x v="924"/>
          </reference>
          <reference field="9" count="1">
            <x v="611"/>
          </reference>
        </references>
      </pivotArea>
    </format>
    <format dxfId="1783">
      <pivotArea dataOnly="0" labelOnly="1" fieldPosition="0">
        <references count="6">
          <reference field="1" count="1" selected="0">
            <x v="87"/>
          </reference>
          <reference field="5" count="1" selected="0">
            <x v="0"/>
          </reference>
          <reference field="6" count="1" selected="0">
            <x v="9"/>
          </reference>
          <reference field="7" count="1" selected="0">
            <x v="172"/>
          </reference>
          <reference field="8" count="1" selected="0">
            <x v="973"/>
          </reference>
          <reference field="9" count="1">
            <x v="611"/>
          </reference>
        </references>
      </pivotArea>
    </format>
    <format dxfId="1782">
      <pivotArea dataOnly="0" labelOnly="1" fieldPosition="0">
        <references count="6">
          <reference field="1" count="1" selected="0">
            <x v="87"/>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1781">
      <pivotArea dataOnly="0" labelOnly="1" fieldPosition="0">
        <references count="6">
          <reference field="1" count="1" selected="0">
            <x v="87"/>
          </reference>
          <reference field="5" count="1" selected="0">
            <x v="0"/>
          </reference>
          <reference field="6" count="1" selected="0">
            <x v="12"/>
          </reference>
          <reference field="7" count="1" selected="0">
            <x v="44"/>
          </reference>
          <reference field="8" count="1" selected="0">
            <x v="11"/>
          </reference>
          <reference field="9" count="1">
            <x v="611"/>
          </reference>
        </references>
      </pivotArea>
    </format>
    <format dxfId="1780">
      <pivotArea dataOnly="0" labelOnly="1" fieldPosition="0">
        <references count="6">
          <reference field="1" count="1" selected="0">
            <x v="87"/>
          </reference>
          <reference field="5" count="1" selected="0">
            <x v="0"/>
          </reference>
          <reference field="6" count="1" selected="0">
            <x v="12"/>
          </reference>
          <reference field="7" count="1" selected="0">
            <x v="53"/>
          </reference>
          <reference field="8" count="1" selected="0">
            <x v="25"/>
          </reference>
          <reference field="9" count="1">
            <x v="611"/>
          </reference>
        </references>
      </pivotArea>
    </format>
    <format dxfId="1779">
      <pivotArea dataOnly="0" labelOnly="1" fieldPosition="0">
        <references count="6">
          <reference field="1" count="1" selected="0">
            <x v="87"/>
          </reference>
          <reference field="5" count="1" selected="0">
            <x v="0"/>
          </reference>
          <reference field="6" count="1" selected="0">
            <x v="12"/>
          </reference>
          <reference field="7" count="1" selected="0">
            <x v="61"/>
          </reference>
          <reference field="8" count="1" selected="0">
            <x v="6"/>
          </reference>
          <reference field="9" count="1">
            <x v="611"/>
          </reference>
        </references>
      </pivotArea>
    </format>
    <format dxfId="1778">
      <pivotArea dataOnly="0" labelOnly="1" fieldPosition="0">
        <references count="6">
          <reference field="1" count="1" selected="0">
            <x v="87"/>
          </reference>
          <reference field="5" count="1" selected="0">
            <x v="0"/>
          </reference>
          <reference field="6" count="1" selected="0">
            <x v="12"/>
          </reference>
          <reference field="7" count="1" selected="0">
            <x v="65"/>
          </reference>
          <reference field="8" count="1" selected="0">
            <x v="18"/>
          </reference>
          <reference field="9" count="1">
            <x v="611"/>
          </reference>
        </references>
      </pivotArea>
    </format>
    <format dxfId="1777">
      <pivotArea dataOnly="0" labelOnly="1" fieldPosition="0">
        <references count="6">
          <reference field="1" count="1" selected="0">
            <x v="87"/>
          </reference>
          <reference field="5" count="1" selected="0">
            <x v="0"/>
          </reference>
          <reference field="6" count="1" selected="0">
            <x v="12"/>
          </reference>
          <reference field="7" count="1" selected="0">
            <x v="66"/>
          </reference>
          <reference field="8" count="1" selected="0">
            <x v="25"/>
          </reference>
          <reference field="9" count="1">
            <x v="611"/>
          </reference>
        </references>
      </pivotArea>
    </format>
    <format dxfId="1776">
      <pivotArea dataOnly="0" labelOnly="1" fieldPosition="0">
        <references count="6">
          <reference field="1" count="1" selected="0">
            <x v="87"/>
          </reference>
          <reference field="5" count="1" selected="0">
            <x v="0"/>
          </reference>
          <reference field="6" count="1" selected="0">
            <x v="12"/>
          </reference>
          <reference field="7" count="1" selected="0">
            <x v="71"/>
          </reference>
          <reference field="8" count="1" selected="0">
            <x v="11"/>
          </reference>
          <reference field="9" count="1">
            <x v="611"/>
          </reference>
        </references>
      </pivotArea>
    </format>
    <format dxfId="1775">
      <pivotArea dataOnly="0" labelOnly="1" fieldPosition="0">
        <references count="6">
          <reference field="1" count="1" selected="0">
            <x v="87"/>
          </reference>
          <reference field="5" count="1" selected="0">
            <x v="11"/>
          </reference>
          <reference field="6" count="1" selected="0">
            <x v="8"/>
          </reference>
          <reference field="7" count="1" selected="0">
            <x v="172"/>
          </reference>
          <reference field="8" count="1" selected="0">
            <x v="927"/>
          </reference>
          <reference field="9" count="1">
            <x v="611"/>
          </reference>
        </references>
      </pivotArea>
    </format>
    <format dxfId="1774">
      <pivotArea dataOnly="0" labelOnly="1" fieldPosition="0">
        <references count="6">
          <reference field="1" count="1" selected="0">
            <x v="87"/>
          </reference>
          <reference field="5" count="1" selected="0">
            <x v="12"/>
          </reference>
          <reference field="6" count="1" selected="0">
            <x v="1"/>
          </reference>
          <reference field="7" count="1" selected="0">
            <x v="172"/>
          </reference>
          <reference field="8" count="1" selected="0">
            <x v="213"/>
          </reference>
          <reference field="9" count="1">
            <x v="611"/>
          </reference>
        </references>
      </pivotArea>
    </format>
    <format dxfId="1773">
      <pivotArea dataOnly="0" labelOnly="1" fieldPosition="0">
        <references count="6">
          <reference field="1" count="1" selected="0">
            <x v="87"/>
          </reference>
          <reference field="5" count="1" selected="0">
            <x v="12"/>
          </reference>
          <reference field="6" count="1" selected="0">
            <x v="1"/>
          </reference>
          <reference field="7" count="1" selected="0">
            <x v="172"/>
          </reference>
          <reference field="8" count="1" selected="0">
            <x v="500"/>
          </reference>
          <reference field="9" count="1">
            <x v="611"/>
          </reference>
        </references>
      </pivotArea>
    </format>
    <format dxfId="1772">
      <pivotArea dataOnly="0" labelOnly="1" fieldPosition="0">
        <references count="6">
          <reference field="1" count="1" selected="0">
            <x v="87"/>
          </reference>
          <reference field="5" count="1" selected="0">
            <x v="12"/>
          </reference>
          <reference field="6" count="1" selected="0">
            <x v="1"/>
          </reference>
          <reference field="7" count="1" selected="0">
            <x v="172"/>
          </reference>
          <reference field="8" count="1" selected="0">
            <x v="702"/>
          </reference>
          <reference field="9" count="1">
            <x v="611"/>
          </reference>
        </references>
      </pivotArea>
    </format>
    <format dxfId="1771">
      <pivotArea dataOnly="0" labelOnly="1" fieldPosition="0">
        <references count="6">
          <reference field="1" count="1" selected="0">
            <x v="87"/>
          </reference>
          <reference field="5" count="1" selected="0">
            <x v="15"/>
          </reference>
          <reference field="6" count="1" selected="0">
            <x v="6"/>
          </reference>
          <reference field="7" count="1" selected="0">
            <x v="172"/>
          </reference>
          <reference field="8" count="1" selected="0">
            <x v="212"/>
          </reference>
          <reference field="9" count="1">
            <x v="611"/>
          </reference>
        </references>
      </pivotArea>
    </format>
    <format dxfId="1770">
      <pivotArea dataOnly="0" labelOnly="1" fieldPosition="0">
        <references count="6">
          <reference field="1" count="1" selected="0">
            <x v="87"/>
          </reference>
          <reference field="5" count="1" selected="0">
            <x v="15"/>
          </reference>
          <reference field="6" count="1" selected="0">
            <x v="9"/>
          </reference>
          <reference field="7" count="1" selected="0">
            <x v="172"/>
          </reference>
          <reference field="8" count="1" selected="0">
            <x v="331"/>
          </reference>
          <reference field="9" count="1">
            <x v="611"/>
          </reference>
        </references>
      </pivotArea>
    </format>
    <format dxfId="1769">
      <pivotArea dataOnly="0" labelOnly="1" fieldPosition="0">
        <references count="6">
          <reference field="1" count="1" selected="0">
            <x v="87"/>
          </reference>
          <reference field="5" count="1" selected="0">
            <x v="23"/>
          </reference>
          <reference field="6" count="1" selected="0">
            <x v="38"/>
          </reference>
          <reference field="7" count="1" selected="0">
            <x v="172"/>
          </reference>
          <reference field="8" count="1" selected="0">
            <x v="76"/>
          </reference>
          <reference field="9" count="1">
            <x v="611"/>
          </reference>
        </references>
      </pivotArea>
    </format>
    <format dxfId="1768">
      <pivotArea dataOnly="0" labelOnly="1" fieldPosition="0">
        <references count="6">
          <reference field="1" count="1" selected="0">
            <x v="87"/>
          </reference>
          <reference field="5" count="1" selected="0">
            <x v="24"/>
          </reference>
          <reference field="6" count="1" selected="0">
            <x v="8"/>
          </reference>
          <reference field="7" count="1" selected="0">
            <x v="172"/>
          </reference>
          <reference field="8" count="1" selected="0">
            <x v="896"/>
          </reference>
          <reference field="9" count="1">
            <x v="611"/>
          </reference>
        </references>
      </pivotArea>
    </format>
    <format dxfId="1767">
      <pivotArea dataOnly="0" labelOnly="1" fieldPosition="0">
        <references count="6">
          <reference field="1" count="1" selected="0">
            <x v="87"/>
          </reference>
          <reference field="5" count="1" selected="0">
            <x v="25"/>
          </reference>
          <reference field="6" count="1" selected="0">
            <x v="9"/>
          </reference>
          <reference field="7" count="1" selected="0">
            <x v="172"/>
          </reference>
          <reference field="8" count="1" selected="0">
            <x v="901"/>
          </reference>
          <reference field="9" count="1">
            <x v="611"/>
          </reference>
        </references>
      </pivotArea>
    </format>
    <format dxfId="1766">
      <pivotArea dataOnly="0" labelOnly="1" fieldPosition="0">
        <references count="6">
          <reference field="1" count="1" selected="0">
            <x v="87"/>
          </reference>
          <reference field="5" count="1" selected="0">
            <x v="27"/>
          </reference>
          <reference field="6" count="1" selected="0">
            <x v="38"/>
          </reference>
          <reference field="7" count="1" selected="0">
            <x v="172"/>
          </reference>
          <reference field="8" count="1" selected="0">
            <x v="633"/>
          </reference>
          <reference field="9" count="1">
            <x v="611"/>
          </reference>
        </references>
      </pivotArea>
    </format>
    <format dxfId="1765">
      <pivotArea dataOnly="0" labelOnly="1" fieldPosition="0">
        <references count="6">
          <reference field="1" count="1" selected="0">
            <x v="88"/>
          </reference>
          <reference field="5" count="1" selected="0">
            <x v="0"/>
          </reference>
          <reference field="6" count="1" selected="0">
            <x v="12"/>
          </reference>
          <reference field="7" count="1" selected="0">
            <x v="21"/>
          </reference>
          <reference field="8" count="1" selected="0">
            <x v="69"/>
          </reference>
          <reference field="9" count="1">
            <x v="611"/>
          </reference>
        </references>
      </pivotArea>
    </format>
    <format dxfId="1764">
      <pivotArea dataOnly="0" labelOnly="1" fieldPosition="0">
        <references count="6">
          <reference field="1" count="1" selected="0">
            <x v="88"/>
          </reference>
          <reference field="5" count="1" selected="0">
            <x v="0"/>
          </reference>
          <reference field="6" count="1" selected="0">
            <x v="12"/>
          </reference>
          <reference field="7" count="1" selected="0">
            <x v="52"/>
          </reference>
          <reference field="8" count="1" selected="0">
            <x v="92"/>
          </reference>
          <reference field="9" count="1">
            <x v="611"/>
          </reference>
        </references>
      </pivotArea>
    </format>
    <format dxfId="1763">
      <pivotArea dataOnly="0" labelOnly="1" fieldPosition="0">
        <references count="6">
          <reference field="1" count="1" selected="0">
            <x v="88"/>
          </reference>
          <reference field="5" count="1" selected="0">
            <x v="0"/>
          </reference>
          <reference field="6" count="1" selected="0">
            <x v="38"/>
          </reference>
          <reference field="7" count="1" selected="0">
            <x v="173"/>
          </reference>
          <reference field="8" count="1" selected="0">
            <x v="138"/>
          </reference>
          <reference field="9" count="1">
            <x v="611"/>
          </reference>
        </references>
      </pivotArea>
    </format>
    <format dxfId="1762">
      <pivotArea dataOnly="0" labelOnly="1" fieldPosition="0">
        <references count="6">
          <reference field="1" count="1" selected="0">
            <x v="88"/>
          </reference>
          <reference field="5" count="1" selected="0">
            <x v="3"/>
          </reference>
          <reference field="6" count="1" selected="0">
            <x v="6"/>
          </reference>
          <reference field="7" count="1" selected="0">
            <x v="173"/>
          </reference>
          <reference field="8" count="1" selected="0">
            <x v="1047"/>
          </reference>
          <reference field="9" count="1">
            <x v="611"/>
          </reference>
        </references>
      </pivotArea>
    </format>
    <format dxfId="1761">
      <pivotArea dataOnly="0" labelOnly="1" fieldPosition="0">
        <references count="6">
          <reference field="1" count="1" selected="0">
            <x v="88"/>
          </reference>
          <reference field="5" count="1" selected="0">
            <x v="5"/>
          </reference>
          <reference field="6" count="1" selected="0">
            <x v="37"/>
          </reference>
          <reference field="7" count="1" selected="0">
            <x v="173"/>
          </reference>
          <reference field="8" count="1" selected="0">
            <x v="1408"/>
          </reference>
          <reference field="9" count="1">
            <x v="611"/>
          </reference>
        </references>
      </pivotArea>
    </format>
    <format dxfId="1760">
      <pivotArea dataOnly="0" labelOnly="1" fieldPosition="0">
        <references count="6">
          <reference field="1" count="1" selected="0">
            <x v="88"/>
          </reference>
          <reference field="5" count="1" selected="0">
            <x v="10"/>
          </reference>
          <reference field="6" count="1" selected="0">
            <x v="37"/>
          </reference>
          <reference field="7" count="1" selected="0">
            <x v="173"/>
          </reference>
          <reference field="8" count="1" selected="0">
            <x v="1242"/>
          </reference>
          <reference field="9" count="1">
            <x v="611"/>
          </reference>
        </references>
      </pivotArea>
    </format>
    <format dxfId="1759">
      <pivotArea dataOnly="0" labelOnly="1" fieldPosition="0">
        <references count="6">
          <reference field="1" count="1" selected="0">
            <x v="88"/>
          </reference>
          <reference field="5" count="1" selected="0">
            <x v="12"/>
          </reference>
          <reference field="6" count="1" selected="0">
            <x v="1"/>
          </reference>
          <reference field="7" count="1" selected="0">
            <x v="173"/>
          </reference>
          <reference field="8" count="1" selected="0">
            <x v="80"/>
          </reference>
          <reference field="9" count="1">
            <x v="611"/>
          </reference>
        </references>
      </pivotArea>
    </format>
    <format dxfId="1758">
      <pivotArea dataOnly="0" labelOnly="1" fieldPosition="0">
        <references count="6">
          <reference field="1" count="1" selected="0">
            <x v="88"/>
          </reference>
          <reference field="5" count="1" selected="0">
            <x v="12"/>
          </reference>
          <reference field="6" count="1" selected="0">
            <x v="1"/>
          </reference>
          <reference field="7" count="1" selected="0">
            <x v="173"/>
          </reference>
          <reference field="8" count="1" selected="0">
            <x v="213"/>
          </reference>
          <reference field="9" count="1">
            <x v="611"/>
          </reference>
        </references>
      </pivotArea>
    </format>
    <format dxfId="1757">
      <pivotArea dataOnly="0" labelOnly="1" fieldPosition="0">
        <references count="6">
          <reference field="1" count="1" selected="0">
            <x v="88"/>
          </reference>
          <reference field="5" count="1" selected="0">
            <x v="12"/>
          </reference>
          <reference field="6" count="1" selected="0">
            <x v="1"/>
          </reference>
          <reference field="7" count="1" selected="0">
            <x v="173"/>
          </reference>
          <reference field="8" count="1" selected="0">
            <x v="500"/>
          </reference>
          <reference field="9" count="1">
            <x v="611"/>
          </reference>
        </references>
      </pivotArea>
    </format>
    <format dxfId="1756">
      <pivotArea dataOnly="0" labelOnly="1" fieldPosition="0">
        <references count="6">
          <reference field="1" count="1" selected="0">
            <x v="88"/>
          </reference>
          <reference field="5" count="1" selected="0">
            <x v="12"/>
          </reference>
          <reference field="6" count="1" selected="0">
            <x v="1"/>
          </reference>
          <reference field="7" count="1" selected="0">
            <x v="173"/>
          </reference>
          <reference field="8" count="1" selected="0">
            <x v="771"/>
          </reference>
          <reference field="9" count="1">
            <x v="611"/>
          </reference>
        </references>
      </pivotArea>
    </format>
    <format dxfId="1755">
      <pivotArea dataOnly="0" labelOnly="1" fieldPosition="0">
        <references count="6">
          <reference field="1" count="1" selected="0">
            <x v="88"/>
          </reference>
          <reference field="5" count="1" selected="0">
            <x v="12"/>
          </reference>
          <reference field="6" count="1" selected="0">
            <x v="1"/>
          </reference>
          <reference field="7" count="1" selected="0">
            <x v="173"/>
          </reference>
          <reference field="8" count="1" selected="0">
            <x v="1114"/>
          </reference>
          <reference field="9" count="1">
            <x v="611"/>
          </reference>
        </references>
      </pivotArea>
    </format>
    <format dxfId="1754">
      <pivotArea dataOnly="0" labelOnly="1" fieldPosition="0">
        <references count="6">
          <reference field="1" count="1" selected="0">
            <x v="88"/>
          </reference>
          <reference field="5" count="1" selected="0">
            <x v="26"/>
          </reference>
          <reference field="6" count="1" selected="0">
            <x v="38"/>
          </reference>
          <reference field="7" count="1" selected="0">
            <x v="173"/>
          </reference>
          <reference field="8" count="1" selected="0">
            <x v="771"/>
          </reference>
          <reference field="9" count="1">
            <x v="611"/>
          </reference>
        </references>
      </pivotArea>
    </format>
    <format dxfId="1753">
      <pivotArea dataOnly="0" labelOnly="1" fieldPosition="0">
        <references count="6">
          <reference field="1" count="1" selected="0">
            <x v="88"/>
          </reference>
          <reference field="5" count="1" selected="0">
            <x v="35"/>
          </reference>
          <reference field="6" count="1" selected="0">
            <x v="1"/>
          </reference>
          <reference field="7" count="1" selected="0">
            <x v="173"/>
          </reference>
          <reference field="8" count="1" selected="0">
            <x v="213"/>
          </reference>
          <reference field="9" count="1">
            <x v="611"/>
          </reference>
        </references>
      </pivotArea>
    </format>
    <format dxfId="1752">
      <pivotArea dataOnly="0" labelOnly="1" fieldPosition="0">
        <references count="6">
          <reference field="1" count="1" selected="0">
            <x v="88"/>
          </reference>
          <reference field="5" count="1" selected="0">
            <x v="36"/>
          </reference>
          <reference field="6" count="1" selected="0">
            <x v="1"/>
          </reference>
          <reference field="7" count="1" selected="0">
            <x v="173"/>
          </reference>
          <reference field="8" count="1" selected="0">
            <x v="317"/>
          </reference>
          <reference field="9" count="1">
            <x v="611"/>
          </reference>
        </references>
      </pivotArea>
    </format>
    <format dxfId="1751">
      <pivotArea dataOnly="0" labelOnly="1" fieldPosition="0">
        <references count="6">
          <reference field="1" count="1" selected="0">
            <x v="89"/>
          </reference>
          <reference field="5" count="1" selected="0">
            <x v="0"/>
          </reference>
          <reference field="6" count="1" selected="0">
            <x v="9"/>
          </reference>
          <reference field="7" count="1" selected="0">
            <x v="175"/>
          </reference>
          <reference field="8" count="1" selected="0">
            <x v="458"/>
          </reference>
          <reference field="9" count="1">
            <x v="611"/>
          </reference>
        </references>
      </pivotArea>
    </format>
    <format dxfId="1750">
      <pivotArea dataOnly="0" labelOnly="1" fieldPosition="0">
        <references count="6">
          <reference field="1" count="1" selected="0">
            <x v="89"/>
          </reference>
          <reference field="5" count="1" selected="0">
            <x v="0"/>
          </reference>
          <reference field="6" count="1" selected="0">
            <x v="9"/>
          </reference>
          <reference field="7" count="1" selected="0">
            <x v="175"/>
          </reference>
          <reference field="8" count="1" selected="0">
            <x v="555"/>
          </reference>
          <reference field="9" count="1">
            <x v="611"/>
          </reference>
        </references>
      </pivotArea>
    </format>
    <format dxfId="1749">
      <pivotArea dataOnly="0" labelOnly="1" fieldPosition="0">
        <references count="6">
          <reference field="1" count="1" selected="0">
            <x v="89"/>
          </reference>
          <reference field="5" count="1" selected="0">
            <x v="0"/>
          </reference>
          <reference field="6" count="1" selected="0">
            <x v="12"/>
          </reference>
          <reference field="7" count="1" selected="0">
            <x v="6"/>
          </reference>
          <reference field="8" count="1" selected="0">
            <x v="32"/>
          </reference>
          <reference field="9" count="1">
            <x v="611"/>
          </reference>
        </references>
      </pivotArea>
    </format>
    <format dxfId="1748">
      <pivotArea dataOnly="0" labelOnly="1" fieldPosition="0">
        <references count="6">
          <reference field="1" count="1" selected="0">
            <x v="89"/>
          </reference>
          <reference field="5" count="1" selected="0">
            <x v="0"/>
          </reference>
          <reference field="6" count="1" selected="0">
            <x v="12"/>
          </reference>
          <reference field="7" count="1" selected="0">
            <x v="8"/>
          </reference>
          <reference field="8" count="1" selected="0">
            <x v="14"/>
          </reference>
          <reference field="9" count="1">
            <x v="611"/>
          </reference>
        </references>
      </pivotArea>
    </format>
    <format dxfId="1747">
      <pivotArea dataOnly="0" labelOnly="1" fieldPosition="0">
        <references count="6">
          <reference field="1" count="1" selected="0">
            <x v="89"/>
          </reference>
          <reference field="5" count="1" selected="0">
            <x v="0"/>
          </reference>
          <reference field="6" count="1" selected="0">
            <x v="12"/>
          </reference>
          <reference field="7" count="1" selected="0">
            <x v="17"/>
          </reference>
          <reference field="8" count="1" selected="0">
            <x v="219"/>
          </reference>
          <reference field="9" count="1">
            <x v="611"/>
          </reference>
        </references>
      </pivotArea>
    </format>
    <format dxfId="1746">
      <pivotArea dataOnly="0" labelOnly="1" fieldPosition="0">
        <references count="6">
          <reference field="1" count="1" selected="0">
            <x v="89"/>
          </reference>
          <reference field="5" count="1" selected="0">
            <x v="0"/>
          </reference>
          <reference field="6" count="1" selected="0">
            <x v="12"/>
          </reference>
          <reference field="7" count="1" selected="0">
            <x v="18"/>
          </reference>
          <reference field="8" count="1" selected="0">
            <x v="11"/>
          </reference>
          <reference field="9" count="1">
            <x v="611"/>
          </reference>
        </references>
      </pivotArea>
    </format>
    <format dxfId="1745">
      <pivotArea dataOnly="0" labelOnly="1" fieldPosition="0">
        <references count="6">
          <reference field="1" count="1" selected="0">
            <x v="89"/>
          </reference>
          <reference field="5" count="1" selected="0">
            <x v="0"/>
          </reference>
          <reference field="6" count="1" selected="0">
            <x v="12"/>
          </reference>
          <reference field="7" count="1" selected="0">
            <x v="34"/>
          </reference>
          <reference field="8" count="1" selected="0">
            <x v="719"/>
          </reference>
          <reference field="9" count="1">
            <x v="611"/>
          </reference>
        </references>
      </pivotArea>
    </format>
    <format dxfId="1744">
      <pivotArea dataOnly="0" labelOnly="1" fieldPosition="0">
        <references count="6">
          <reference field="1" count="1" selected="0">
            <x v="89"/>
          </reference>
          <reference field="5" count="1" selected="0">
            <x v="0"/>
          </reference>
          <reference field="6" count="1" selected="0">
            <x v="12"/>
          </reference>
          <reference field="7" count="1" selected="0">
            <x v="50"/>
          </reference>
          <reference field="8" count="1" selected="0">
            <x v="80"/>
          </reference>
          <reference field="9" count="1">
            <x v="611"/>
          </reference>
        </references>
      </pivotArea>
    </format>
    <format dxfId="1743">
      <pivotArea dataOnly="0" labelOnly="1" fieldPosition="0">
        <references count="6">
          <reference field="1" count="1" selected="0">
            <x v="89"/>
          </reference>
          <reference field="5" count="1" selected="0">
            <x v="0"/>
          </reference>
          <reference field="6" count="1" selected="0">
            <x v="12"/>
          </reference>
          <reference field="7" count="1" selected="0">
            <x v="52"/>
          </reference>
          <reference field="8" count="1" selected="0">
            <x v="14"/>
          </reference>
          <reference field="9" count="1">
            <x v="611"/>
          </reference>
        </references>
      </pivotArea>
    </format>
    <format dxfId="1742">
      <pivotArea dataOnly="0" labelOnly="1" fieldPosition="0">
        <references count="6">
          <reference field="1" count="1" selected="0">
            <x v="89"/>
          </reference>
          <reference field="5" count="1" selected="0">
            <x v="0"/>
          </reference>
          <reference field="6" count="1" selected="0">
            <x v="12"/>
          </reference>
          <reference field="7" count="1" selected="0">
            <x v="55"/>
          </reference>
          <reference field="8" count="1" selected="0">
            <x v="82"/>
          </reference>
          <reference field="9" count="1">
            <x v="611"/>
          </reference>
        </references>
      </pivotArea>
    </format>
    <format dxfId="1741">
      <pivotArea dataOnly="0" labelOnly="1" fieldPosition="0">
        <references count="6">
          <reference field="1" count="1" selected="0">
            <x v="89"/>
          </reference>
          <reference field="5" count="1" selected="0">
            <x v="0"/>
          </reference>
          <reference field="6" count="1" selected="0">
            <x v="20"/>
          </reference>
          <reference field="7" count="1" selected="0">
            <x v="174"/>
          </reference>
          <reference field="8" count="1" selected="0">
            <x v="471"/>
          </reference>
          <reference field="9" count="1">
            <x v="611"/>
          </reference>
        </references>
      </pivotArea>
    </format>
    <format dxfId="1740">
      <pivotArea dataOnly="0" labelOnly="1" fieldPosition="0">
        <references count="6">
          <reference field="1" count="1" selected="0">
            <x v="89"/>
          </reference>
          <reference field="5" count="1" selected="0">
            <x v="0"/>
          </reference>
          <reference field="6" count="1" selected="0">
            <x v="20"/>
          </reference>
          <reference field="7" count="1" selected="0">
            <x v="174"/>
          </reference>
          <reference field="8" count="1" selected="0">
            <x v="580"/>
          </reference>
          <reference field="9" count="1">
            <x v="611"/>
          </reference>
        </references>
      </pivotArea>
    </format>
    <format dxfId="1739">
      <pivotArea dataOnly="0" labelOnly="1" fieldPosition="0">
        <references count="6">
          <reference field="1" count="1" selected="0">
            <x v="89"/>
          </reference>
          <reference field="5" count="1" selected="0">
            <x v="0"/>
          </reference>
          <reference field="6" count="1" selected="0">
            <x v="20"/>
          </reference>
          <reference field="7" count="1" selected="0">
            <x v="174"/>
          </reference>
          <reference field="8" count="1" selected="0">
            <x v="699"/>
          </reference>
          <reference field="9" count="1">
            <x v="611"/>
          </reference>
        </references>
      </pivotArea>
    </format>
    <format dxfId="1738">
      <pivotArea dataOnly="0" labelOnly="1" fieldPosition="0">
        <references count="6">
          <reference field="1" count="1" selected="0">
            <x v="89"/>
          </reference>
          <reference field="5" count="1" selected="0">
            <x v="0"/>
          </reference>
          <reference field="6" count="1" selected="0">
            <x v="20"/>
          </reference>
          <reference field="7" count="1" selected="0">
            <x v="174"/>
          </reference>
          <reference field="8" count="1" selected="0">
            <x v="1029"/>
          </reference>
          <reference field="9" count="1">
            <x v="611"/>
          </reference>
        </references>
      </pivotArea>
    </format>
    <format dxfId="1737">
      <pivotArea dataOnly="0" labelOnly="1" fieldPosition="0">
        <references count="6">
          <reference field="1" count="1" selected="0">
            <x v="89"/>
          </reference>
          <reference field="5" count="1" selected="0">
            <x v="0"/>
          </reference>
          <reference field="6" count="1" selected="0">
            <x v="20"/>
          </reference>
          <reference field="7" count="1" selected="0">
            <x v="174"/>
          </reference>
          <reference field="8" count="1" selected="0">
            <x v="1236"/>
          </reference>
          <reference field="9" count="1">
            <x v="611"/>
          </reference>
        </references>
      </pivotArea>
    </format>
    <format dxfId="1736">
      <pivotArea dataOnly="0" labelOnly="1" fieldPosition="0">
        <references count="6">
          <reference field="1" count="1" selected="0">
            <x v="89"/>
          </reference>
          <reference field="5" count="1" selected="0">
            <x v="2"/>
          </reference>
          <reference field="6" count="1" selected="0">
            <x v="1"/>
          </reference>
          <reference field="7" count="1" selected="0">
            <x v="175"/>
          </reference>
          <reference field="8" count="1" selected="0">
            <x v="1205"/>
          </reference>
          <reference field="9" count="1">
            <x v="611"/>
          </reference>
        </references>
      </pivotArea>
    </format>
    <format dxfId="1735">
      <pivotArea dataOnly="0" labelOnly="1" fieldPosition="0">
        <references count="6">
          <reference field="1" count="1" selected="0">
            <x v="89"/>
          </reference>
          <reference field="5" count="1" selected="0">
            <x v="2"/>
          </reference>
          <reference field="6" count="1" selected="0">
            <x v="20"/>
          </reference>
          <reference field="7" count="1" selected="0">
            <x v="174"/>
          </reference>
          <reference field="8" count="1" selected="0">
            <x v="1850"/>
          </reference>
          <reference field="9" count="1">
            <x v="611"/>
          </reference>
        </references>
      </pivotArea>
    </format>
    <format dxfId="1734">
      <pivotArea dataOnly="0" labelOnly="1" fieldPosition="0">
        <references count="6">
          <reference field="1" count="1" selected="0">
            <x v="89"/>
          </reference>
          <reference field="5" count="1" selected="0">
            <x v="6"/>
          </reference>
          <reference field="6" count="1" selected="0">
            <x v="38"/>
          </reference>
          <reference field="7" count="1" selected="0">
            <x v="175"/>
          </reference>
          <reference field="8" count="1" selected="0">
            <x v="658"/>
          </reference>
          <reference field="9" count="1">
            <x v="611"/>
          </reference>
        </references>
      </pivotArea>
    </format>
    <format dxfId="1733">
      <pivotArea dataOnly="0" labelOnly="1" fieldPosition="0">
        <references count="6">
          <reference field="1" count="1" selected="0">
            <x v="89"/>
          </reference>
          <reference field="5" count="1" selected="0">
            <x v="7"/>
          </reference>
          <reference field="6" count="1" selected="0">
            <x v="9"/>
          </reference>
          <reference field="7" count="1" selected="0">
            <x v="175"/>
          </reference>
          <reference field="8" count="1" selected="0">
            <x v="228"/>
          </reference>
          <reference field="9" count="1">
            <x v="611"/>
          </reference>
        </references>
      </pivotArea>
    </format>
    <format dxfId="1732">
      <pivotArea dataOnly="0" labelOnly="1" fieldPosition="0">
        <references count="6">
          <reference field="1" count="1" selected="0">
            <x v="89"/>
          </reference>
          <reference field="5" count="1" selected="0">
            <x v="7"/>
          </reference>
          <reference field="6" count="1" selected="0">
            <x v="10"/>
          </reference>
          <reference field="7" count="1" selected="0">
            <x v="175"/>
          </reference>
          <reference field="8" count="1" selected="0">
            <x v="1581"/>
          </reference>
          <reference field="9" count="1">
            <x v="611"/>
          </reference>
        </references>
      </pivotArea>
    </format>
    <format dxfId="1731">
      <pivotArea dataOnly="0" labelOnly="1" fieldPosition="0">
        <references count="6">
          <reference field="1" count="1" selected="0">
            <x v="89"/>
          </reference>
          <reference field="5" count="1" selected="0">
            <x v="12"/>
          </reference>
          <reference field="6" count="1" selected="0">
            <x v="1"/>
          </reference>
          <reference field="7" count="1" selected="0">
            <x v="175"/>
          </reference>
          <reference field="8" count="1" selected="0">
            <x v="80"/>
          </reference>
          <reference field="9" count="1">
            <x v="611"/>
          </reference>
        </references>
      </pivotArea>
    </format>
    <format dxfId="1730">
      <pivotArea dataOnly="0" labelOnly="1" fieldPosition="0">
        <references count="6">
          <reference field="1" count="1" selected="0">
            <x v="89"/>
          </reference>
          <reference field="5" count="1" selected="0">
            <x v="12"/>
          </reference>
          <reference field="6" count="1" selected="0">
            <x v="1"/>
          </reference>
          <reference field="7" count="1" selected="0">
            <x v="175"/>
          </reference>
          <reference field="8" count="1" selected="0">
            <x v="213"/>
          </reference>
          <reference field="9" count="1">
            <x v="611"/>
          </reference>
        </references>
      </pivotArea>
    </format>
    <format dxfId="1729">
      <pivotArea dataOnly="0" labelOnly="1" fieldPosition="0">
        <references count="6">
          <reference field="1" count="1" selected="0">
            <x v="89"/>
          </reference>
          <reference field="5" count="1" selected="0">
            <x v="12"/>
          </reference>
          <reference field="6" count="1" selected="0">
            <x v="1"/>
          </reference>
          <reference field="7" count="1" selected="0">
            <x v="175"/>
          </reference>
          <reference field="8" count="1" selected="0">
            <x v="500"/>
          </reference>
          <reference field="9" count="1">
            <x v="611"/>
          </reference>
        </references>
      </pivotArea>
    </format>
    <format dxfId="1728">
      <pivotArea dataOnly="0" labelOnly="1" fieldPosition="0">
        <references count="6">
          <reference field="1" count="1" selected="0">
            <x v="89"/>
          </reference>
          <reference field="5" count="1" selected="0">
            <x v="12"/>
          </reference>
          <reference field="6" count="1" selected="0">
            <x v="1"/>
          </reference>
          <reference field="7" count="1" selected="0">
            <x v="175"/>
          </reference>
          <reference field="8" count="1" selected="0">
            <x v="702"/>
          </reference>
          <reference field="9" count="1">
            <x v="611"/>
          </reference>
        </references>
      </pivotArea>
    </format>
    <format dxfId="1727">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71"/>
          </reference>
          <reference field="9" count="1">
            <x v="611"/>
          </reference>
        </references>
      </pivotArea>
    </format>
    <format dxfId="1726">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66"/>
          </reference>
          <reference field="9" count="1">
            <x v="611"/>
          </reference>
        </references>
      </pivotArea>
    </format>
    <format dxfId="1725">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74"/>
          </reference>
          <reference field="9" count="1">
            <x v="611"/>
          </reference>
        </references>
      </pivotArea>
    </format>
    <format dxfId="1724">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282"/>
          </reference>
          <reference field="9" count="1">
            <x v="611"/>
          </reference>
        </references>
      </pivotArea>
    </format>
    <format dxfId="1723">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336"/>
          </reference>
          <reference field="9" count="1">
            <x v="611"/>
          </reference>
        </references>
      </pivotArea>
    </format>
    <format dxfId="1722">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675"/>
          </reference>
          <reference field="9" count="1">
            <x v="611"/>
          </reference>
        </references>
      </pivotArea>
    </format>
    <format dxfId="1721">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720"/>
          </reference>
          <reference field="9" count="1">
            <x v="611"/>
          </reference>
        </references>
      </pivotArea>
    </format>
    <format dxfId="1720">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780"/>
          </reference>
          <reference field="9" count="1">
            <x v="611"/>
          </reference>
        </references>
      </pivotArea>
    </format>
    <format dxfId="1719">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801"/>
          </reference>
          <reference field="9" count="1">
            <x v="611"/>
          </reference>
        </references>
      </pivotArea>
    </format>
    <format dxfId="1718">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839"/>
          </reference>
          <reference field="9" count="1">
            <x v="611"/>
          </reference>
        </references>
      </pivotArea>
    </format>
    <format dxfId="1717">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912"/>
          </reference>
          <reference field="9" count="1">
            <x v="611"/>
          </reference>
        </references>
      </pivotArea>
    </format>
    <format dxfId="1716">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967"/>
          </reference>
          <reference field="9" count="1">
            <x v="611"/>
          </reference>
        </references>
      </pivotArea>
    </format>
    <format dxfId="1715">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983"/>
          </reference>
          <reference field="9" count="1">
            <x v="611"/>
          </reference>
        </references>
      </pivotArea>
    </format>
    <format dxfId="1714">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994"/>
          </reference>
          <reference field="9" count="1">
            <x v="611"/>
          </reference>
        </references>
      </pivotArea>
    </format>
    <format dxfId="1713">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147"/>
          </reference>
          <reference field="9" count="1">
            <x v="611"/>
          </reference>
        </references>
      </pivotArea>
    </format>
    <format dxfId="1712">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239"/>
          </reference>
          <reference field="9" count="1">
            <x v="611"/>
          </reference>
        </references>
      </pivotArea>
    </format>
    <format dxfId="1711">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269"/>
          </reference>
          <reference field="9" count="1">
            <x v="611"/>
          </reference>
        </references>
      </pivotArea>
    </format>
    <format dxfId="1710">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320"/>
          </reference>
          <reference field="9" count="1">
            <x v="611"/>
          </reference>
        </references>
      </pivotArea>
    </format>
    <format dxfId="1709">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378"/>
          </reference>
          <reference field="9" count="1">
            <x v="611"/>
          </reference>
        </references>
      </pivotArea>
    </format>
    <format dxfId="1708">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413"/>
          </reference>
          <reference field="9" count="1">
            <x v="611"/>
          </reference>
        </references>
      </pivotArea>
    </format>
    <format dxfId="1707">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480"/>
          </reference>
          <reference field="9" count="1">
            <x v="611"/>
          </reference>
        </references>
      </pivotArea>
    </format>
    <format dxfId="1706">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515"/>
          </reference>
          <reference field="9" count="1">
            <x v="611"/>
          </reference>
        </references>
      </pivotArea>
    </format>
    <format dxfId="1705">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523"/>
          </reference>
          <reference field="9" count="1">
            <x v="611"/>
          </reference>
        </references>
      </pivotArea>
    </format>
    <format dxfId="1704">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560"/>
          </reference>
          <reference field="9" count="1">
            <x v="611"/>
          </reference>
        </references>
      </pivotArea>
    </format>
    <format dxfId="1703">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566"/>
          </reference>
          <reference field="9" count="1">
            <x v="611"/>
          </reference>
        </references>
      </pivotArea>
    </format>
    <format dxfId="1702">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571"/>
          </reference>
          <reference field="9" count="1">
            <x v="611"/>
          </reference>
        </references>
      </pivotArea>
    </format>
    <format dxfId="1701">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578"/>
          </reference>
          <reference field="9" count="1">
            <x v="611"/>
          </reference>
        </references>
      </pivotArea>
    </format>
    <format dxfId="1700">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604"/>
          </reference>
          <reference field="9" count="1">
            <x v="611"/>
          </reference>
        </references>
      </pivotArea>
    </format>
    <format dxfId="1699">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606"/>
          </reference>
          <reference field="9" count="1">
            <x v="611"/>
          </reference>
        </references>
      </pivotArea>
    </format>
    <format dxfId="1698">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644"/>
          </reference>
          <reference field="9" count="1">
            <x v="611"/>
          </reference>
        </references>
      </pivotArea>
    </format>
    <format dxfId="1697">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648"/>
          </reference>
          <reference field="9" count="1">
            <x v="611"/>
          </reference>
        </references>
      </pivotArea>
    </format>
    <format dxfId="1696">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678"/>
          </reference>
          <reference field="9" count="1">
            <x v="611"/>
          </reference>
        </references>
      </pivotArea>
    </format>
    <format dxfId="1695">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711"/>
          </reference>
          <reference field="9" count="1">
            <x v="611"/>
          </reference>
        </references>
      </pivotArea>
    </format>
    <format dxfId="1694">
      <pivotArea dataOnly="0" labelOnly="1" fieldPosition="0">
        <references count="6">
          <reference field="1" count="1" selected="0">
            <x v="89"/>
          </reference>
          <reference field="5" count="1" selected="0">
            <x v="12"/>
          </reference>
          <reference field="6" count="1" selected="0">
            <x v="20"/>
          </reference>
          <reference field="7" count="1" selected="0">
            <x v="174"/>
          </reference>
          <reference field="8" count="1" selected="0">
            <x v="1721"/>
          </reference>
          <reference field="9" count="1">
            <x v="611"/>
          </reference>
        </references>
      </pivotArea>
    </format>
    <format dxfId="1693">
      <pivotArea dataOnly="0" labelOnly="1" fieldPosition="0">
        <references count="6">
          <reference field="1" count="1" selected="0">
            <x v="89"/>
          </reference>
          <reference field="5" count="1" selected="0">
            <x v="14"/>
          </reference>
          <reference field="6" count="1" selected="0">
            <x v="38"/>
          </reference>
          <reference field="7" count="1" selected="0">
            <x v="175"/>
          </reference>
          <reference field="8" count="1" selected="0">
            <x v="397"/>
          </reference>
          <reference field="9" count="1">
            <x v="611"/>
          </reference>
        </references>
      </pivotArea>
    </format>
    <format dxfId="1692">
      <pivotArea dataOnly="0" labelOnly="1" fieldPosition="0">
        <references count="6">
          <reference field="1" count="1" selected="0">
            <x v="89"/>
          </reference>
          <reference field="5" count="1" selected="0">
            <x v="15"/>
          </reference>
          <reference field="6" count="1" selected="0">
            <x v="20"/>
          </reference>
          <reference field="7" count="1" selected="0">
            <x v="174"/>
          </reference>
          <reference field="8" count="1" selected="0">
            <x v="1877"/>
          </reference>
          <reference field="9" count="1">
            <x v="611"/>
          </reference>
        </references>
      </pivotArea>
    </format>
    <format dxfId="1691">
      <pivotArea dataOnly="0" labelOnly="1" fieldPosition="0">
        <references count="6">
          <reference field="1" count="1" selected="0">
            <x v="89"/>
          </reference>
          <reference field="5" count="1" selected="0">
            <x v="17"/>
          </reference>
          <reference field="6" count="1" selected="0">
            <x v="20"/>
          </reference>
          <reference field="7" count="1" selected="0">
            <x v="174"/>
          </reference>
          <reference field="8" count="1" selected="0">
            <x v="717"/>
          </reference>
          <reference field="9" count="1">
            <x v="611"/>
          </reference>
        </references>
      </pivotArea>
    </format>
    <format dxfId="1690">
      <pivotArea dataOnly="0" labelOnly="1" fieldPosition="0">
        <references count="6">
          <reference field="1" count="1" selected="0">
            <x v="89"/>
          </reference>
          <reference field="5" count="1" selected="0">
            <x v="21"/>
          </reference>
          <reference field="6" count="1" selected="0">
            <x v="20"/>
          </reference>
          <reference field="7" count="1" selected="0">
            <x v="174"/>
          </reference>
          <reference field="8" count="1" selected="0">
            <x v="1677"/>
          </reference>
          <reference field="9" count="1">
            <x v="611"/>
          </reference>
        </references>
      </pivotArea>
    </format>
    <format dxfId="1689">
      <pivotArea dataOnly="0" labelOnly="1" fieldPosition="0">
        <references count="6">
          <reference field="1" count="1" selected="0">
            <x v="89"/>
          </reference>
          <reference field="5" count="1" selected="0">
            <x v="23"/>
          </reference>
          <reference field="6" count="1" selected="0">
            <x v="20"/>
          </reference>
          <reference field="7" count="1" selected="0">
            <x v="174"/>
          </reference>
          <reference field="8" count="1" selected="0">
            <x v="1859"/>
          </reference>
          <reference field="9" count="1">
            <x v="611"/>
          </reference>
        </references>
      </pivotArea>
    </format>
    <format dxfId="1688">
      <pivotArea dataOnly="0" labelOnly="1" fieldPosition="0">
        <references count="6">
          <reference field="1" count="1" selected="0">
            <x v="89"/>
          </reference>
          <reference field="5" count="1" selected="0">
            <x v="24"/>
          </reference>
          <reference field="6" count="1" selected="0">
            <x v="20"/>
          </reference>
          <reference field="7" count="1" selected="0">
            <x v="174"/>
          </reference>
          <reference field="8" count="1" selected="0">
            <x v="1660"/>
          </reference>
          <reference field="9" count="1">
            <x v="611"/>
          </reference>
        </references>
      </pivotArea>
    </format>
    <format dxfId="1687">
      <pivotArea dataOnly="0" labelOnly="1" fieldPosition="0">
        <references count="6">
          <reference field="1" count="1" selected="0">
            <x v="89"/>
          </reference>
          <reference field="5" count="1" selected="0">
            <x v="26"/>
          </reference>
          <reference field="6" count="1" selected="0">
            <x v="20"/>
          </reference>
          <reference field="7" count="1" selected="0">
            <x v="174"/>
          </reference>
          <reference field="8" count="1" selected="0">
            <x v="160"/>
          </reference>
          <reference field="9" count="1">
            <x v="611"/>
          </reference>
        </references>
      </pivotArea>
    </format>
    <format dxfId="1686">
      <pivotArea dataOnly="0" labelOnly="1" fieldPosition="0">
        <references count="6">
          <reference field="1" count="1" selected="0">
            <x v="89"/>
          </reference>
          <reference field="5" count="1" selected="0">
            <x v="27"/>
          </reference>
          <reference field="6" count="1" selected="0">
            <x v="20"/>
          </reference>
          <reference field="7" count="1" selected="0">
            <x v="174"/>
          </reference>
          <reference field="8" count="1" selected="0">
            <x v="1342"/>
          </reference>
          <reference field="9" count="1">
            <x v="611"/>
          </reference>
        </references>
      </pivotArea>
    </format>
    <format dxfId="1685">
      <pivotArea dataOnly="0" labelOnly="1" fieldPosition="0">
        <references count="6">
          <reference field="1" count="1" selected="0">
            <x v="89"/>
          </reference>
          <reference field="5" count="1" selected="0">
            <x v="29"/>
          </reference>
          <reference field="6" count="1" selected="0">
            <x v="10"/>
          </reference>
          <reference field="7" count="1" selected="0">
            <x v="175"/>
          </reference>
          <reference field="8" count="1" selected="0">
            <x v="1575"/>
          </reference>
          <reference field="9" count="1">
            <x v="611"/>
          </reference>
        </references>
      </pivotArea>
    </format>
    <format dxfId="1684">
      <pivotArea dataOnly="0" labelOnly="1" fieldPosition="0">
        <references count="6">
          <reference field="1" count="1" selected="0">
            <x v="89"/>
          </reference>
          <reference field="5" count="1" selected="0">
            <x v="35"/>
          </reference>
          <reference field="6" count="1" selected="0">
            <x v="1"/>
          </reference>
          <reference field="7" count="1" selected="0">
            <x v="175"/>
          </reference>
          <reference field="8" count="1" selected="0">
            <x v="80"/>
          </reference>
          <reference field="9" count="1">
            <x v="611"/>
          </reference>
        </references>
      </pivotArea>
    </format>
    <format dxfId="1683">
      <pivotArea dataOnly="0" labelOnly="1" fieldPosition="0">
        <references count="6">
          <reference field="1" count="1" selected="0">
            <x v="89"/>
          </reference>
          <reference field="5" count="1" selected="0">
            <x v="35"/>
          </reference>
          <reference field="6" count="1" selected="0">
            <x v="1"/>
          </reference>
          <reference field="7" count="1" selected="0">
            <x v="175"/>
          </reference>
          <reference field="8" count="1" selected="0">
            <x v="500"/>
          </reference>
          <reference field="9" count="1">
            <x v="611"/>
          </reference>
        </references>
      </pivotArea>
    </format>
    <format dxfId="1682">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105"/>
          </reference>
          <reference field="9" count="1">
            <x v="611"/>
          </reference>
        </references>
      </pivotArea>
    </format>
    <format dxfId="1681">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226"/>
          </reference>
          <reference field="9" count="1">
            <x v="611"/>
          </reference>
        </references>
      </pivotArea>
    </format>
    <format dxfId="1680">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311"/>
          </reference>
          <reference field="9" count="1">
            <x v="611"/>
          </reference>
        </references>
      </pivotArea>
    </format>
    <format dxfId="1679">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373"/>
          </reference>
          <reference field="9" count="1">
            <x v="611"/>
          </reference>
        </references>
      </pivotArea>
    </format>
    <format dxfId="1678">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401"/>
          </reference>
          <reference field="9" count="1">
            <x v="611"/>
          </reference>
        </references>
      </pivotArea>
    </format>
    <format dxfId="1677">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455"/>
          </reference>
          <reference field="9" count="1">
            <x v="611"/>
          </reference>
        </references>
      </pivotArea>
    </format>
    <format dxfId="1676">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519"/>
          </reference>
          <reference field="9" count="1">
            <x v="611"/>
          </reference>
        </references>
      </pivotArea>
    </format>
    <format dxfId="1675">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686"/>
          </reference>
          <reference field="9" count="1">
            <x v="611"/>
          </reference>
        </references>
      </pivotArea>
    </format>
    <format dxfId="1674">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706"/>
          </reference>
          <reference field="9" count="1">
            <x v="611"/>
          </reference>
        </references>
      </pivotArea>
    </format>
    <format dxfId="1673">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823"/>
          </reference>
          <reference field="9" count="1">
            <x v="611"/>
          </reference>
        </references>
      </pivotArea>
    </format>
    <format dxfId="1672">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1132"/>
          </reference>
          <reference field="9" count="1">
            <x v="611"/>
          </reference>
        </references>
      </pivotArea>
    </format>
    <format dxfId="1671">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1211"/>
          </reference>
          <reference field="9" count="1">
            <x v="611"/>
          </reference>
        </references>
      </pivotArea>
    </format>
    <format dxfId="1670">
      <pivotArea dataOnly="0" labelOnly="1" fieldPosition="0">
        <references count="6">
          <reference field="1" count="1" selected="0">
            <x v="89"/>
          </reference>
          <reference field="5" count="1" selected="0">
            <x v="35"/>
          </reference>
          <reference field="6" count="1" selected="0">
            <x v="20"/>
          </reference>
          <reference field="7" count="1" selected="0">
            <x v="174"/>
          </reference>
          <reference field="8" count="1" selected="0">
            <x v="1366"/>
          </reference>
          <reference field="9" count="1">
            <x v="611"/>
          </reference>
        </references>
      </pivotArea>
    </format>
    <format dxfId="1669">
      <pivotArea dataOnly="0" labelOnly="1" fieldPosition="0">
        <references count="6">
          <reference field="1" count="1" selected="0">
            <x v="90"/>
          </reference>
          <reference field="5" count="1" selected="0">
            <x v="0"/>
          </reference>
          <reference field="6" count="1" selected="0">
            <x v="1"/>
          </reference>
          <reference field="7" count="1" selected="0">
            <x v="176"/>
          </reference>
          <reference field="8" count="1" selected="0">
            <x v="80"/>
          </reference>
          <reference field="9" count="1">
            <x v="611"/>
          </reference>
        </references>
      </pivotArea>
    </format>
    <format dxfId="1668">
      <pivotArea dataOnly="0" labelOnly="1" fieldPosition="0">
        <references count="6">
          <reference field="1" count="1" selected="0">
            <x v="90"/>
          </reference>
          <reference field="5" count="1" selected="0">
            <x v="0"/>
          </reference>
          <reference field="6" count="1" selected="0">
            <x v="12"/>
          </reference>
          <reference field="7" count="1" selected="0">
            <x v="2"/>
          </reference>
          <reference field="8" count="1" selected="0">
            <x v="39"/>
          </reference>
          <reference field="9" count="1">
            <x v="611"/>
          </reference>
        </references>
      </pivotArea>
    </format>
    <format dxfId="1667">
      <pivotArea dataOnly="0" labelOnly="1" fieldPosition="0">
        <references count="6">
          <reference field="1" count="1" selected="0">
            <x v="90"/>
          </reference>
          <reference field="5" count="1" selected="0">
            <x v="0"/>
          </reference>
          <reference field="6" count="1" selected="0">
            <x v="12"/>
          </reference>
          <reference field="7" count="1" selected="0">
            <x v="21"/>
          </reference>
          <reference field="8" count="1" selected="0">
            <x v="9"/>
          </reference>
          <reference field="9" count="1">
            <x v="611"/>
          </reference>
        </references>
      </pivotArea>
    </format>
    <format dxfId="1666">
      <pivotArea dataOnly="0" labelOnly="1" fieldPosition="0">
        <references count="6">
          <reference field="1" count="1" selected="0">
            <x v="90"/>
          </reference>
          <reference field="5" count="1" selected="0">
            <x v="0"/>
          </reference>
          <reference field="6" count="1" selected="0">
            <x v="12"/>
          </reference>
          <reference field="7" count="1" selected="0">
            <x v="40"/>
          </reference>
          <reference field="8" count="1" selected="0">
            <x v="219"/>
          </reference>
          <reference field="9" count="1">
            <x v="611"/>
          </reference>
        </references>
      </pivotArea>
    </format>
    <format dxfId="1665">
      <pivotArea dataOnly="0" labelOnly="1" fieldPosition="0">
        <references count="6">
          <reference field="1" count="1" selected="0">
            <x v="90"/>
          </reference>
          <reference field="5" count="1" selected="0">
            <x v="0"/>
          </reference>
          <reference field="6" count="1" selected="0">
            <x v="12"/>
          </reference>
          <reference field="7" count="1" selected="0">
            <x v="55"/>
          </reference>
          <reference field="8" count="1" selected="0">
            <x v="92"/>
          </reference>
          <reference field="9" count="1">
            <x v="611"/>
          </reference>
        </references>
      </pivotArea>
    </format>
    <format dxfId="1664">
      <pivotArea dataOnly="0" labelOnly="1" fieldPosition="0">
        <references count="6">
          <reference field="1" count="1" selected="0">
            <x v="90"/>
          </reference>
          <reference field="5" count="1" selected="0">
            <x v="0"/>
          </reference>
          <reference field="6" count="1" selected="0">
            <x v="12"/>
          </reference>
          <reference field="7" count="1" selected="0">
            <x v="66"/>
          </reference>
          <reference field="8" count="1" selected="0">
            <x v="92"/>
          </reference>
          <reference field="9" count="1">
            <x v="611"/>
          </reference>
        </references>
      </pivotArea>
    </format>
    <format dxfId="1663">
      <pivotArea dataOnly="0" labelOnly="1" fieldPosition="0">
        <references count="6">
          <reference field="1" count="1" selected="0">
            <x v="90"/>
          </reference>
          <reference field="5" count="1" selected="0">
            <x v="0"/>
          </reference>
          <reference field="6" count="1" selected="0">
            <x v="38"/>
          </reference>
          <reference field="7" count="1" selected="0">
            <x v="176"/>
          </reference>
          <reference field="8" count="1" selected="0">
            <x v="650"/>
          </reference>
          <reference field="9" count="1">
            <x v="611"/>
          </reference>
        </references>
      </pivotArea>
    </format>
    <format dxfId="1662">
      <pivotArea dataOnly="0" labelOnly="1" fieldPosition="0">
        <references count="6">
          <reference field="1" count="1" selected="0">
            <x v="90"/>
          </reference>
          <reference field="5" count="1" selected="0">
            <x v="2"/>
          </reference>
          <reference field="6" count="1" selected="0">
            <x v="10"/>
          </reference>
          <reference field="7" count="1" selected="0">
            <x v="176"/>
          </reference>
          <reference field="8" count="1" selected="0">
            <x v="1694"/>
          </reference>
          <reference field="9" count="1">
            <x v="611"/>
          </reference>
        </references>
      </pivotArea>
    </format>
    <format dxfId="1661">
      <pivotArea dataOnly="0" labelOnly="1" fieldPosition="0">
        <references count="6">
          <reference field="1" count="1" selected="0">
            <x v="90"/>
          </reference>
          <reference field="5" count="1" selected="0">
            <x v="3"/>
          </reference>
          <reference field="6" count="1" selected="0">
            <x v="10"/>
          </reference>
          <reference field="7" count="1" selected="0">
            <x v="176"/>
          </reference>
          <reference field="8" count="1" selected="0">
            <x v="1254"/>
          </reference>
          <reference field="9" count="1">
            <x v="611"/>
          </reference>
        </references>
      </pivotArea>
    </format>
    <format dxfId="1660">
      <pivotArea dataOnly="0" labelOnly="1" fieldPosition="0">
        <references count="6">
          <reference field="1" count="1" selected="0">
            <x v="90"/>
          </reference>
          <reference field="5" count="1" selected="0">
            <x v="11"/>
          </reference>
          <reference field="6" count="1" selected="0">
            <x v="10"/>
          </reference>
          <reference field="7" count="1" selected="0">
            <x v="176"/>
          </reference>
          <reference field="8" count="1" selected="0">
            <x v="741"/>
          </reference>
          <reference field="9" count="1">
            <x v="611"/>
          </reference>
        </references>
      </pivotArea>
    </format>
    <format dxfId="1659">
      <pivotArea dataOnly="0" labelOnly="1" fieldPosition="0">
        <references count="6">
          <reference field="1" count="1" selected="0">
            <x v="90"/>
          </reference>
          <reference field="5" count="1" selected="0">
            <x v="12"/>
          </reference>
          <reference field="6" count="1" selected="0">
            <x v="1"/>
          </reference>
          <reference field="7" count="1" selected="0">
            <x v="176"/>
          </reference>
          <reference field="8" count="1" selected="0">
            <x v="213"/>
          </reference>
          <reference field="9" count="1">
            <x v="611"/>
          </reference>
        </references>
      </pivotArea>
    </format>
    <format dxfId="1658">
      <pivotArea dataOnly="0" labelOnly="1" fieldPosition="0">
        <references count="6">
          <reference field="1" count="1" selected="0">
            <x v="90"/>
          </reference>
          <reference field="5" count="1" selected="0">
            <x v="12"/>
          </reference>
          <reference field="6" count="1" selected="0">
            <x v="1"/>
          </reference>
          <reference field="7" count="1" selected="0">
            <x v="176"/>
          </reference>
          <reference field="8" count="1" selected="0">
            <x v="352"/>
          </reference>
          <reference field="9" count="1">
            <x v="611"/>
          </reference>
        </references>
      </pivotArea>
    </format>
    <format dxfId="1657">
      <pivotArea dataOnly="0" labelOnly="1" fieldPosition="0">
        <references count="6">
          <reference field="1" count="1" selected="0">
            <x v="90"/>
          </reference>
          <reference field="5" count="1" selected="0">
            <x v="15"/>
          </reference>
          <reference field="6" count="1" selected="0">
            <x v="38"/>
          </reference>
          <reference field="7" count="1" selected="0">
            <x v="176"/>
          </reference>
          <reference field="8" count="1" selected="0">
            <x v="1028"/>
          </reference>
          <reference field="9" count="1">
            <x v="611"/>
          </reference>
        </references>
      </pivotArea>
    </format>
    <format dxfId="1656">
      <pivotArea dataOnly="0" labelOnly="1" fieldPosition="0">
        <references count="6">
          <reference field="1" count="1" selected="0">
            <x v="90"/>
          </reference>
          <reference field="5" count="1" selected="0">
            <x v="23"/>
          </reference>
          <reference field="6" count="1" selected="0">
            <x v="38"/>
          </reference>
          <reference field="7" count="1" selected="0">
            <x v="176"/>
          </reference>
          <reference field="8" count="1" selected="0">
            <x v="452"/>
          </reference>
          <reference field="9" count="1">
            <x v="611"/>
          </reference>
        </references>
      </pivotArea>
    </format>
    <format dxfId="1655">
      <pivotArea dataOnly="0" labelOnly="1" fieldPosition="0">
        <references count="6">
          <reference field="1" count="1" selected="0">
            <x v="90"/>
          </reference>
          <reference field="5" count="1" selected="0">
            <x v="35"/>
          </reference>
          <reference field="6" count="1" selected="0">
            <x v="1"/>
          </reference>
          <reference field="7" count="1" selected="0">
            <x v="176"/>
          </reference>
          <reference field="8" count="1" selected="0">
            <x v="80"/>
          </reference>
          <reference field="9" count="1">
            <x v="611"/>
          </reference>
        </references>
      </pivotArea>
    </format>
    <format dxfId="1654">
      <pivotArea dataOnly="0" labelOnly="1" fieldPosition="0">
        <references count="6">
          <reference field="1" count="1" selected="0">
            <x v="90"/>
          </reference>
          <reference field="5" count="1" selected="0">
            <x v="36"/>
          </reference>
          <reference field="6" count="1" selected="0">
            <x v="10"/>
          </reference>
          <reference field="7" count="1" selected="0">
            <x v="176"/>
          </reference>
          <reference field="8" count="1" selected="0">
            <x v="1539"/>
          </reference>
          <reference field="9" count="1">
            <x v="611"/>
          </reference>
        </references>
      </pivotArea>
    </format>
    <format dxfId="1653">
      <pivotArea dataOnly="0" labelOnly="1" fieldPosition="0">
        <references count="6">
          <reference field="1" count="1" selected="0">
            <x v="90"/>
          </reference>
          <reference field="5" count="1" selected="0">
            <x v="38"/>
          </reference>
          <reference field="6" count="1" selected="0">
            <x v="10"/>
          </reference>
          <reference field="7" count="1" selected="0">
            <x v="176"/>
          </reference>
          <reference field="8" count="1" selected="0">
            <x v="1175"/>
          </reference>
          <reference field="9" count="1">
            <x v="611"/>
          </reference>
        </references>
      </pivotArea>
    </format>
    <format dxfId="1652">
      <pivotArea dataOnly="0" labelOnly="1" fieldPosition="0">
        <references count="6">
          <reference field="1" count="1" selected="0">
            <x v="91"/>
          </reference>
          <reference field="5" count="1" selected="0">
            <x v="0"/>
          </reference>
          <reference field="6" count="1" selected="0">
            <x v="12"/>
          </reference>
          <reference field="7" count="1" selected="0">
            <x v="28"/>
          </reference>
          <reference field="8" count="1" selected="0">
            <x v="35"/>
          </reference>
          <reference field="9" count="1">
            <x v="611"/>
          </reference>
        </references>
      </pivotArea>
    </format>
    <format dxfId="1651">
      <pivotArea dataOnly="0" labelOnly="1" fieldPosition="0">
        <references count="6">
          <reference field="1" count="1" selected="0">
            <x v="91"/>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1650">
      <pivotArea dataOnly="0" labelOnly="1" fieldPosition="0">
        <references count="6">
          <reference field="1" count="1" selected="0">
            <x v="91"/>
          </reference>
          <reference field="5" count="1" selected="0">
            <x v="0"/>
          </reference>
          <reference field="6" count="1" selected="0">
            <x v="12"/>
          </reference>
          <reference field="7" count="1" selected="0">
            <x v="54"/>
          </reference>
          <reference field="8" count="1" selected="0">
            <x v="55"/>
          </reference>
          <reference field="9" count="1">
            <x v="611"/>
          </reference>
        </references>
      </pivotArea>
    </format>
    <format dxfId="1649">
      <pivotArea dataOnly="0" labelOnly="1" fieldPosition="0">
        <references count="6">
          <reference field="1" count="1" selected="0">
            <x v="92"/>
          </reference>
          <reference field="5" count="1" selected="0">
            <x v="0"/>
          </reference>
          <reference field="6" count="1" selected="0">
            <x v="8"/>
          </reference>
          <reference field="7" count="1" selected="0">
            <x v="178"/>
          </reference>
          <reference field="8" count="1" selected="0">
            <x v="514"/>
          </reference>
          <reference field="9" count="1">
            <x v="611"/>
          </reference>
        </references>
      </pivotArea>
    </format>
    <format dxfId="1648">
      <pivotArea dataOnly="0" labelOnly="1" fieldPosition="0">
        <references count="6">
          <reference field="1" count="1" selected="0">
            <x v="92"/>
          </reference>
          <reference field="5" count="1" selected="0">
            <x v="0"/>
          </reference>
          <reference field="6" count="1" selected="0">
            <x v="9"/>
          </reference>
          <reference field="7" count="1" selected="0">
            <x v="178"/>
          </reference>
          <reference field="8" count="1" selected="0">
            <x v="74"/>
          </reference>
          <reference field="9" count="1">
            <x v="611"/>
          </reference>
        </references>
      </pivotArea>
    </format>
    <format dxfId="1647">
      <pivotArea dataOnly="0" labelOnly="1" fieldPosition="0">
        <references count="6">
          <reference field="1" count="1" selected="0">
            <x v="92"/>
          </reference>
          <reference field="5" count="1" selected="0">
            <x v="0"/>
          </reference>
          <reference field="6" count="1" selected="0">
            <x v="9"/>
          </reference>
          <reference field="7" count="1" selected="0">
            <x v="178"/>
          </reference>
          <reference field="8" count="1" selected="0">
            <x v="346"/>
          </reference>
          <reference field="9" count="1">
            <x v="611"/>
          </reference>
        </references>
      </pivotArea>
    </format>
    <format dxfId="1646">
      <pivotArea dataOnly="0" labelOnly="1" fieldPosition="0">
        <references count="6">
          <reference field="1" count="1" selected="0">
            <x v="92"/>
          </reference>
          <reference field="5" count="1" selected="0">
            <x v="0"/>
          </reference>
          <reference field="6" count="1" selected="0">
            <x v="9"/>
          </reference>
          <reference field="7" count="1" selected="0">
            <x v="178"/>
          </reference>
          <reference field="8" count="1" selected="0">
            <x v="355"/>
          </reference>
          <reference field="9" count="1">
            <x v="611"/>
          </reference>
        </references>
      </pivotArea>
    </format>
    <format dxfId="1645">
      <pivotArea dataOnly="0" labelOnly="1" fieldPosition="0">
        <references count="6">
          <reference field="1" count="1" selected="0">
            <x v="92"/>
          </reference>
          <reference field="5" count="1" selected="0">
            <x v="0"/>
          </reference>
          <reference field="6" count="1" selected="0">
            <x v="9"/>
          </reference>
          <reference field="7" count="1" selected="0">
            <x v="178"/>
          </reference>
          <reference field="8" count="1" selected="0">
            <x v="809"/>
          </reference>
          <reference field="9" count="1">
            <x v="611"/>
          </reference>
        </references>
      </pivotArea>
    </format>
    <format dxfId="1644">
      <pivotArea dataOnly="0" labelOnly="1" fieldPosition="0">
        <references count="6">
          <reference field="1" count="1" selected="0">
            <x v="92"/>
          </reference>
          <reference field="5" count="1" selected="0">
            <x v="0"/>
          </reference>
          <reference field="6" count="1" selected="0">
            <x v="9"/>
          </reference>
          <reference field="7" count="1" selected="0">
            <x v="178"/>
          </reference>
          <reference field="8" count="1" selected="0">
            <x v="917"/>
          </reference>
          <reference field="9" count="1">
            <x v="611"/>
          </reference>
        </references>
      </pivotArea>
    </format>
    <format dxfId="1643">
      <pivotArea dataOnly="0" labelOnly="1" fieldPosition="0">
        <references count="6">
          <reference field="1" count="1" selected="0">
            <x v="92"/>
          </reference>
          <reference field="5" count="1" selected="0">
            <x v="0"/>
          </reference>
          <reference field="6" count="1" selected="0">
            <x v="9"/>
          </reference>
          <reference field="7" count="1" selected="0">
            <x v="178"/>
          </reference>
          <reference field="8" count="1" selected="0">
            <x v="940"/>
          </reference>
          <reference field="9" count="1">
            <x v="611"/>
          </reference>
        </references>
      </pivotArea>
    </format>
    <format dxfId="1642">
      <pivotArea dataOnly="0" labelOnly="1" fieldPosition="0">
        <references count="6">
          <reference field="1" count="1" selected="0">
            <x v="92"/>
          </reference>
          <reference field="5" count="1" selected="0">
            <x v="0"/>
          </reference>
          <reference field="6" count="1" selected="0">
            <x v="9"/>
          </reference>
          <reference field="7" count="1" selected="0">
            <x v="178"/>
          </reference>
          <reference field="8" count="1" selected="0">
            <x v="1128"/>
          </reference>
          <reference field="9" count="1">
            <x v="611"/>
          </reference>
        </references>
      </pivotArea>
    </format>
    <format dxfId="1641">
      <pivotArea dataOnly="0" labelOnly="1" fieldPosition="0">
        <references count="6">
          <reference field="1" count="1" selected="0">
            <x v="92"/>
          </reference>
          <reference field="5" count="1" selected="0">
            <x v="0"/>
          </reference>
          <reference field="6" count="1" selected="0">
            <x v="38"/>
          </reference>
          <reference field="7" count="1" selected="0">
            <x v="178"/>
          </reference>
          <reference field="8" count="1" selected="0">
            <x v="138"/>
          </reference>
          <reference field="9" count="1">
            <x v="611"/>
          </reference>
        </references>
      </pivotArea>
    </format>
    <format dxfId="1640">
      <pivotArea dataOnly="0" labelOnly="1" fieldPosition="0">
        <references count="6">
          <reference field="1" count="1" selected="0">
            <x v="92"/>
          </reference>
          <reference field="5" count="1" selected="0">
            <x v="0"/>
          </reference>
          <reference field="6" count="1" selected="0">
            <x v="38"/>
          </reference>
          <reference field="7" count="1" selected="0">
            <x v="178"/>
          </reference>
          <reference field="8" count="1" selected="0">
            <x v="500"/>
          </reference>
          <reference field="9" count="1">
            <x v="611"/>
          </reference>
        </references>
      </pivotArea>
    </format>
    <format dxfId="1639">
      <pivotArea dataOnly="0" labelOnly="1" fieldPosition="0">
        <references count="6">
          <reference field="1" count="1" selected="0">
            <x v="92"/>
          </reference>
          <reference field="5" count="1" selected="0">
            <x v="3"/>
          </reference>
          <reference field="6" count="1" selected="0">
            <x v="38"/>
          </reference>
          <reference field="7" count="1" selected="0">
            <x v="178"/>
          </reference>
          <reference field="8" count="1" selected="0">
            <x v="78"/>
          </reference>
          <reference field="9" count="1">
            <x v="611"/>
          </reference>
        </references>
      </pivotArea>
    </format>
    <format dxfId="1638">
      <pivotArea dataOnly="0" labelOnly="1" fieldPosition="0">
        <references count="6">
          <reference field="1" count="1" selected="0">
            <x v="92"/>
          </reference>
          <reference field="5" count="1" selected="0">
            <x v="8"/>
          </reference>
          <reference field="6" count="1" selected="0">
            <x v="10"/>
          </reference>
          <reference field="7" count="1" selected="0">
            <x v="178"/>
          </reference>
          <reference field="8" count="1" selected="0">
            <x v="729"/>
          </reference>
          <reference field="9" count="1">
            <x v="611"/>
          </reference>
        </references>
      </pivotArea>
    </format>
    <format dxfId="1637">
      <pivotArea dataOnly="0" labelOnly="1" fieldPosition="0">
        <references count="6">
          <reference field="1" count="1" selected="0">
            <x v="92"/>
          </reference>
          <reference field="5" count="1" selected="0">
            <x v="12"/>
          </reference>
          <reference field="6" count="1" selected="0">
            <x v="1"/>
          </reference>
          <reference field="7" count="1" selected="0">
            <x v="178"/>
          </reference>
          <reference field="8" count="1" selected="0">
            <x v="80"/>
          </reference>
          <reference field="9" count="1">
            <x v="611"/>
          </reference>
        </references>
      </pivotArea>
    </format>
    <format dxfId="1636">
      <pivotArea dataOnly="0" labelOnly="1" fieldPosition="0">
        <references count="6">
          <reference field="1" count="1" selected="0">
            <x v="92"/>
          </reference>
          <reference field="5" count="1" selected="0">
            <x v="12"/>
          </reference>
          <reference field="6" count="1" selected="0">
            <x v="1"/>
          </reference>
          <reference field="7" count="1" selected="0">
            <x v="178"/>
          </reference>
          <reference field="8" count="1" selected="0">
            <x v="352"/>
          </reference>
          <reference field="9" count="1">
            <x v="611"/>
          </reference>
        </references>
      </pivotArea>
    </format>
    <format dxfId="1635">
      <pivotArea dataOnly="0" labelOnly="1" fieldPosition="0">
        <references count="6">
          <reference field="1" count="1" selected="0">
            <x v="92"/>
          </reference>
          <reference field="5" count="1" selected="0">
            <x v="15"/>
          </reference>
          <reference field="6" count="1" selected="0">
            <x v="27"/>
          </reference>
          <reference field="7" count="1" selected="0">
            <x v="177"/>
          </reference>
          <reference field="8" count="1" selected="0">
            <x v="1737"/>
          </reference>
          <reference field="9" count="1">
            <x v="611"/>
          </reference>
        </references>
      </pivotArea>
    </format>
    <format dxfId="1634">
      <pivotArea dataOnly="0" labelOnly="1" fieldPosition="0">
        <references count="6">
          <reference field="1" count="1" selected="0">
            <x v="92"/>
          </reference>
          <reference field="5" count="1" selected="0">
            <x v="23"/>
          </reference>
          <reference field="6" count="1" selected="0">
            <x v="38"/>
          </reference>
          <reference field="7" count="1" selected="0">
            <x v="178"/>
          </reference>
          <reference field="8" count="1" selected="0">
            <x v="80"/>
          </reference>
          <reference field="9" count="1">
            <x v="611"/>
          </reference>
        </references>
      </pivotArea>
    </format>
    <format dxfId="1633">
      <pivotArea dataOnly="0" labelOnly="1" fieldPosition="0">
        <references count="6">
          <reference field="1" count="1" selected="0">
            <x v="92"/>
          </reference>
          <reference field="5" count="1" selected="0">
            <x v="35"/>
          </reference>
          <reference field="6" count="1" selected="0">
            <x v="1"/>
          </reference>
          <reference field="7" count="1" selected="0">
            <x v="178"/>
          </reference>
          <reference field="8" count="1" selected="0">
            <x v="80"/>
          </reference>
          <reference field="9" count="1">
            <x v="611"/>
          </reference>
        </references>
      </pivotArea>
    </format>
    <format dxfId="1632">
      <pivotArea dataOnly="0" labelOnly="1" fieldPosition="0">
        <references count="6">
          <reference field="1" count="1" selected="0">
            <x v="92"/>
          </reference>
          <reference field="5" count="1" selected="0">
            <x v="35"/>
          </reference>
          <reference field="6" count="1" selected="0">
            <x v="1"/>
          </reference>
          <reference field="7" count="1" selected="0">
            <x v="178"/>
          </reference>
          <reference field="8" count="1" selected="0">
            <x v="352"/>
          </reference>
          <reference field="9" count="1">
            <x v="611"/>
          </reference>
        </references>
      </pivotArea>
    </format>
    <format dxfId="1631">
      <pivotArea dataOnly="0" labelOnly="1" fieldPosition="0">
        <references count="6">
          <reference field="1" count="1" selected="0">
            <x v="92"/>
          </reference>
          <reference field="5" count="1" selected="0">
            <x v="36"/>
          </reference>
          <reference field="6" count="1" selected="0">
            <x v="8"/>
          </reference>
          <reference field="7" count="1" selected="0">
            <x v="178"/>
          </reference>
          <reference field="8" count="1" selected="0">
            <x v="977"/>
          </reference>
          <reference field="9" count="1">
            <x v="611"/>
          </reference>
        </references>
      </pivotArea>
    </format>
    <format dxfId="1630">
      <pivotArea dataOnly="0" labelOnly="1" fieldPosition="0">
        <references count="6">
          <reference field="1" count="1" selected="0">
            <x v="93"/>
          </reference>
          <reference field="5" count="1" selected="0">
            <x v="10"/>
          </reference>
          <reference field="6" count="1" selected="0">
            <x v="33"/>
          </reference>
          <reference field="7" count="1" selected="0">
            <x v="179"/>
          </reference>
          <reference field="8" count="1" selected="0">
            <x v="1793"/>
          </reference>
          <reference field="9" count="1">
            <x v="611"/>
          </reference>
        </references>
      </pivotArea>
    </format>
    <format dxfId="1629">
      <pivotArea dataOnly="0" labelOnly="1" fieldPosition="0">
        <references count="6">
          <reference field="1" count="1" selected="0">
            <x v="93"/>
          </reference>
          <reference field="5" count="1" selected="0">
            <x v="12"/>
          </reference>
          <reference field="6" count="1" selected="0">
            <x v="38"/>
          </reference>
          <reference field="7" count="1" selected="0">
            <x v="179"/>
          </reference>
          <reference field="8" count="1" selected="0">
            <x v="1137"/>
          </reference>
          <reference field="9" count="1">
            <x v="611"/>
          </reference>
        </references>
      </pivotArea>
    </format>
    <format dxfId="1628">
      <pivotArea dataOnly="0" labelOnly="1" fieldPosition="0">
        <references count="6">
          <reference field="1" count="1" selected="0">
            <x v="93"/>
          </reference>
          <reference field="5" count="1" selected="0">
            <x v="12"/>
          </reference>
          <reference field="6" count="1" selected="0">
            <x v="38"/>
          </reference>
          <reference field="7" count="1" selected="0">
            <x v="179"/>
          </reference>
          <reference field="8" count="1" selected="0">
            <x v="1343"/>
          </reference>
          <reference field="9" count="1">
            <x v="611"/>
          </reference>
        </references>
      </pivotArea>
    </format>
    <format dxfId="1627">
      <pivotArea dataOnly="0" labelOnly="1" fieldPosition="0">
        <references count="6">
          <reference field="1" count="1" selected="0">
            <x v="93"/>
          </reference>
          <reference field="5" count="1" selected="0">
            <x v="12"/>
          </reference>
          <reference field="6" count="1" selected="0">
            <x v="38"/>
          </reference>
          <reference field="7" count="1" selected="0">
            <x v="179"/>
          </reference>
          <reference field="8" count="1" selected="0">
            <x v="1730"/>
          </reference>
          <reference field="9" count="1">
            <x v="611"/>
          </reference>
        </references>
      </pivotArea>
    </format>
    <format dxfId="1626">
      <pivotArea dataOnly="0" labelOnly="1" fieldPosition="0">
        <references count="6">
          <reference field="1" count="1" selected="0">
            <x v="93"/>
          </reference>
          <reference field="5" count="1" selected="0">
            <x v="15"/>
          </reference>
          <reference field="6" count="1" selected="0">
            <x v="33"/>
          </reference>
          <reference field="7" count="1" selected="0">
            <x v="179"/>
          </reference>
          <reference field="8" count="1" selected="0">
            <x v="1873"/>
          </reference>
          <reference field="9" count="1">
            <x v="611"/>
          </reference>
        </references>
      </pivotArea>
    </format>
    <format dxfId="1625">
      <pivotArea dataOnly="0" labelOnly="1" fieldPosition="0">
        <references count="6">
          <reference field="1" count="1" selected="0">
            <x v="93"/>
          </reference>
          <reference field="5" count="1" selected="0">
            <x v="15"/>
          </reference>
          <reference field="6" count="1" selected="0">
            <x v="35"/>
          </reference>
          <reference field="7" count="1" selected="0">
            <x v="76"/>
          </reference>
          <reference field="8" count="1" selected="0">
            <x v="0"/>
          </reference>
          <reference field="9" count="1">
            <x v="41"/>
          </reference>
        </references>
      </pivotArea>
    </format>
    <format dxfId="1624">
      <pivotArea dataOnly="0" labelOnly="1" fieldPosition="0">
        <references count="6">
          <reference field="1" count="1" selected="0">
            <x v="93"/>
          </reference>
          <reference field="5" count="1" selected="0">
            <x v="36"/>
          </reference>
          <reference field="6" count="1" selected="0">
            <x v="9"/>
          </reference>
          <reference field="7" count="1" selected="0">
            <x v="179"/>
          </reference>
          <reference field="8" count="1" selected="0">
            <x v="1754"/>
          </reference>
          <reference field="9" count="1">
            <x v="611"/>
          </reference>
        </references>
      </pivotArea>
    </format>
    <format dxfId="1623">
      <pivotArea dataOnly="0" labelOnly="1" fieldPosition="0">
        <references count="6">
          <reference field="1" count="1" selected="0">
            <x v="94"/>
          </reference>
          <reference field="5" count="1" selected="0">
            <x v="0"/>
          </reference>
          <reference field="6" count="1" selected="0">
            <x v="1"/>
          </reference>
          <reference field="7" count="1" selected="0">
            <x v="180"/>
          </reference>
          <reference field="8" count="1" selected="0">
            <x v="80"/>
          </reference>
          <reference field="9" count="1">
            <x v="611"/>
          </reference>
        </references>
      </pivotArea>
    </format>
    <format dxfId="1622">
      <pivotArea dataOnly="0" labelOnly="1" fieldPosition="0">
        <references count="6">
          <reference field="1" count="1" selected="0">
            <x v="94"/>
          </reference>
          <reference field="5" count="1" selected="0">
            <x v="0"/>
          </reference>
          <reference field="6" count="1" selected="0">
            <x v="11"/>
          </reference>
          <reference field="7" count="1" selected="0">
            <x v="51"/>
          </reference>
          <reference field="8" count="1" selected="0">
            <x v="39"/>
          </reference>
          <reference field="9" count="1">
            <x v="611"/>
          </reference>
        </references>
      </pivotArea>
    </format>
    <format dxfId="1621">
      <pivotArea dataOnly="0" labelOnly="1" fieldPosition="0">
        <references count="6">
          <reference field="1" count="1" selected="0">
            <x v="94"/>
          </reference>
          <reference field="5" count="1" selected="0">
            <x v="0"/>
          </reference>
          <reference field="6" count="1" selected="0">
            <x v="12"/>
          </reference>
          <reference field="7" count="1" selected="0">
            <x v="23"/>
          </reference>
          <reference field="8" count="1" selected="0">
            <x v="109"/>
          </reference>
          <reference field="9" count="1">
            <x v="611"/>
          </reference>
        </references>
      </pivotArea>
    </format>
    <format dxfId="1620">
      <pivotArea dataOnly="0" labelOnly="1" fieldPosition="0">
        <references count="6">
          <reference field="1" count="1" selected="0">
            <x v="94"/>
          </reference>
          <reference field="5" count="1" selected="0">
            <x v="2"/>
          </reference>
          <reference field="6" count="1" selected="0">
            <x v="6"/>
          </reference>
          <reference field="7" count="1" selected="0">
            <x v="180"/>
          </reference>
          <reference field="8" count="1" selected="0">
            <x v="680"/>
          </reference>
          <reference field="9" count="1">
            <x v="611"/>
          </reference>
        </references>
      </pivotArea>
    </format>
    <format dxfId="1619">
      <pivotArea dataOnly="0" labelOnly="1" fieldPosition="0">
        <references count="6">
          <reference field="1" count="1" selected="0">
            <x v="94"/>
          </reference>
          <reference field="5" count="1" selected="0">
            <x v="3"/>
          </reference>
          <reference field="6" count="1" selected="0">
            <x v="38"/>
          </reference>
          <reference field="7" count="1" selected="0">
            <x v="180"/>
          </reference>
          <reference field="8" count="1" selected="0">
            <x v="78"/>
          </reference>
          <reference field="9" count="1">
            <x v="611"/>
          </reference>
        </references>
      </pivotArea>
    </format>
    <format dxfId="1618">
      <pivotArea dataOnly="0" labelOnly="1" fieldPosition="0">
        <references count="6">
          <reference field="1" count="1" selected="0">
            <x v="94"/>
          </reference>
          <reference field="5" count="1" selected="0">
            <x v="12"/>
          </reference>
          <reference field="6" count="1" selected="0">
            <x v="1"/>
          </reference>
          <reference field="7" count="1" selected="0">
            <x v="180"/>
          </reference>
          <reference field="8" count="1" selected="0">
            <x v="80"/>
          </reference>
          <reference field="9" count="1">
            <x v="611"/>
          </reference>
        </references>
      </pivotArea>
    </format>
    <format dxfId="1617">
      <pivotArea dataOnly="0" labelOnly="1" fieldPosition="0">
        <references count="6">
          <reference field="1" count="1" selected="0">
            <x v="94"/>
          </reference>
          <reference field="5" count="1" selected="0">
            <x v="12"/>
          </reference>
          <reference field="6" count="1" selected="0">
            <x v="1"/>
          </reference>
          <reference field="7" count="1" selected="0">
            <x v="180"/>
          </reference>
          <reference field="8" count="1" selected="0">
            <x v="213"/>
          </reference>
          <reference field="9" count="1">
            <x v="611"/>
          </reference>
        </references>
      </pivotArea>
    </format>
    <format dxfId="1616">
      <pivotArea dataOnly="0" labelOnly="1" fieldPosition="0">
        <references count="6">
          <reference field="1" count="1" selected="0">
            <x v="94"/>
          </reference>
          <reference field="5" count="1" selected="0">
            <x v="12"/>
          </reference>
          <reference field="6" count="1" selected="0">
            <x v="1"/>
          </reference>
          <reference field="7" count="1" selected="0">
            <x v="180"/>
          </reference>
          <reference field="8" count="1" selected="0">
            <x v="352"/>
          </reference>
          <reference field="9" count="1">
            <x v="611"/>
          </reference>
        </references>
      </pivotArea>
    </format>
    <format dxfId="1615">
      <pivotArea dataOnly="0" labelOnly="1" fieldPosition="0">
        <references count="6">
          <reference field="1" count="1" selected="0">
            <x v="94"/>
          </reference>
          <reference field="5" count="1" selected="0">
            <x v="12"/>
          </reference>
          <reference field="6" count="1" selected="0">
            <x v="1"/>
          </reference>
          <reference field="7" count="1" selected="0">
            <x v="180"/>
          </reference>
          <reference field="8" count="1" selected="0">
            <x v="1028"/>
          </reference>
          <reference field="9" count="1">
            <x v="611"/>
          </reference>
        </references>
      </pivotArea>
    </format>
    <format dxfId="1614">
      <pivotArea dataOnly="0" labelOnly="1" fieldPosition="0">
        <references count="6">
          <reference field="1" count="1" selected="0">
            <x v="94"/>
          </reference>
          <reference field="5" count="1" selected="0">
            <x v="15"/>
          </reference>
          <reference field="6" count="1" selected="0">
            <x v="33"/>
          </reference>
          <reference field="7" count="1" selected="0">
            <x v="180"/>
          </reference>
          <reference field="8" count="1" selected="0">
            <x v="1881"/>
          </reference>
          <reference field="9" count="1">
            <x v="611"/>
          </reference>
        </references>
      </pivotArea>
    </format>
    <format dxfId="1613">
      <pivotArea dataOnly="0" labelOnly="1" fieldPosition="0">
        <references count="6">
          <reference field="1" count="1" selected="0">
            <x v="94"/>
          </reference>
          <reference field="5" count="1" selected="0">
            <x v="15"/>
          </reference>
          <reference field="6" count="1" selected="0">
            <x v="38"/>
          </reference>
          <reference field="7" count="1" selected="0">
            <x v="180"/>
          </reference>
          <reference field="8" count="1" selected="0">
            <x v="474"/>
          </reference>
          <reference field="9" count="1">
            <x v="611"/>
          </reference>
        </references>
      </pivotArea>
    </format>
    <format dxfId="1612">
      <pivotArea dataOnly="0" labelOnly="1" fieldPosition="0">
        <references count="6">
          <reference field="1" count="1" selected="0">
            <x v="94"/>
          </reference>
          <reference field="5" count="1" selected="0">
            <x v="19"/>
          </reference>
          <reference field="6" count="1" selected="0">
            <x v="6"/>
          </reference>
          <reference field="7" count="1" selected="0">
            <x v="180"/>
          </reference>
          <reference field="8" count="1" selected="0">
            <x v="469"/>
          </reference>
          <reference field="9" count="1">
            <x v="611"/>
          </reference>
        </references>
      </pivotArea>
    </format>
    <format dxfId="1611">
      <pivotArea dataOnly="0" labelOnly="1" fieldPosition="0">
        <references count="6">
          <reference field="1" count="1" selected="0">
            <x v="94"/>
          </reference>
          <reference field="5" count="1" selected="0">
            <x v="23"/>
          </reference>
          <reference field="6" count="1" selected="0">
            <x v="38"/>
          </reference>
          <reference field="7" count="1" selected="0">
            <x v="180"/>
          </reference>
          <reference field="8" count="1" selected="0">
            <x v="109"/>
          </reference>
          <reference field="9" count="1">
            <x v="611"/>
          </reference>
        </references>
      </pivotArea>
    </format>
    <format dxfId="1610">
      <pivotArea dataOnly="0" labelOnly="1" fieldPosition="0">
        <references count="6">
          <reference field="1" count="1" selected="0">
            <x v="94"/>
          </reference>
          <reference field="5" count="1" selected="0">
            <x v="24"/>
          </reference>
          <reference field="6" count="1" selected="0">
            <x v="6"/>
          </reference>
          <reference field="7" count="1" selected="0">
            <x v="180"/>
          </reference>
          <reference field="8" count="1" selected="0">
            <x v="1048"/>
          </reference>
          <reference field="9" count="1">
            <x v="611"/>
          </reference>
        </references>
      </pivotArea>
    </format>
    <format dxfId="1609">
      <pivotArea dataOnly="0" labelOnly="1" fieldPosition="0">
        <references count="6">
          <reference field="1" count="1" selected="0">
            <x v="94"/>
          </reference>
          <reference field="5" count="1" selected="0">
            <x v="29"/>
          </reference>
          <reference field="6" count="1" selected="0">
            <x v="38"/>
          </reference>
          <reference field="7" count="1" selected="0">
            <x v="180"/>
          </reference>
          <reference field="8" count="1" selected="0">
            <x v="180"/>
          </reference>
          <reference field="9" count="1">
            <x v="611"/>
          </reference>
        </references>
      </pivotArea>
    </format>
    <format dxfId="1608">
      <pivotArea dataOnly="0" labelOnly="1" fieldPosition="0">
        <references count="6">
          <reference field="1" count="1" selected="0">
            <x v="94"/>
          </reference>
          <reference field="5" count="1" selected="0">
            <x v="33"/>
          </reference>
          <reference field="6" count="1" selected="0">
            <x v="38"/>
          </reference>
          <reference field="7" count="1" selected="0">
            <x v="180"/>
          </reference>
          <reference field="8" count="1" selected="0">
            <x v="325"/>
          </reference>
          <reference field="9" count="1">
            <x v="611"/>
          </reference>
        </references>
      </pivotArea>
    </format>
    <format dxfId="1607">
      <pivotArea dataOnly="0" labelOnly="1" fieldPosition="0">
        <references count="6">
          <reference field="1" count="1" selected="0">
            <x v="94"/>
          </reference>
          <reference field="5" count="1" selected="0">
            <x v="35"/>
          </reference>
          <reference field="6" count="1" selected="0">
            <x v="1"/>
          </reference>
          <reference field="7" count="1" selected="0">
            <x v="180"/>
          </reference>
          <reference field="8" count="1" selected="0">
            <x v="80"/>
          </reference>
          <reference field="9" count="1">
            <x v="611"/>
          </reference>
        </references>
      </pivotArea>
    </format>
    <format dxfId="1606">
      <pivotArea dataOnly="0" labelOnly="1" fieldPosition="0">
        <references count="6">
          <reference field="1" count="1" selected="0">
            <x v="94"/>
          </reference>
          <reference field="5" count="1" selected="0">
            <x v="35"/>
          </reference>
          <reference field="6" count="1" selected="0">
            <x v="1"/>
          </reference>
          <reference field="7" count="1" selected="0">
            <x v="180"/>
          </reference>
          <reference field="8" count="1" selected="0">
            <x v="213"/>
          </reference>
          <reference field="9" count="1">
            <x v="611"/>
          </reference>
        </references>
      </pivotArea>
    </format>
    <format dxfId="1605">
      <pivotArea dataOnly="0" labelOnly="1" fieldPosition="0">
        <references count="6">
          <reference field="1" count="1" selected="0">
            <x v="95"/>
          </reference>
          <reference field="5" count="1" selected="0">
            <x v="0"/>
          </reference>
          <reference field="6" count="1" selected="0">
            <x v="8"/>
          </reference>
          <reference field="7" count="1" selected="0">
            <x v="181"/>
          </reference>
          <reference field="8" count="1" selected="0">
            <x v="351"/>
          </reference>
          <reference field="9" count="1">
            <x v="611"/>
          </reference>
        </references>
      </pivotArea>
    </format>
    <format dxfId="1604">
      <pivotArea dataOnly="0" labelOnly="1" fieldPosition="0">
        <references count="6">
          <reference field="1" count="1" selected="0">
            <x v="95"/>
          </reference>
          <reference field="5" count="1" selected="0">
            <x v="0"/>
          </reference>
          <reference field="6" count="1" selected="0">
            <x v="8"/>
          </reference>
          <reference field="7" count="1" selected="0">
            <x v="181"/>
          </reference>
          <reference field="8" count="1" selected="0">
            <x v="1069"/>
          </reference>
          <reference field="9" count="1">
            <x v="611"/>
          </reference>
        </references>
      </pivotArea>
    </format>
    <format dxfId="1603">
      <pivotArea dataOnly="0" labelOnly="1" fieldPosition="0">
        <references count="6">
          <reference field="1" count="1" selected="0">
            <x v="95"/>
          </reference>
          <reference field="5" count="1" selected="0">
            <x v="0"/>
          </reference>
          <reference field="6" count="1" selected="0">
            <x v="8"/>
          </reference>
          <reference field="7" count="1" selected="0">
            <x v="181"/>
          </reference>
          <reference field="8" count="1" selected="0">
            <x v="1166"/>
          </reference>
          <reference field="9" count="1">
            <x v="611"/>
          </reference>
        </references>
      </pivotArea>
    </format>
    <format dxfId="1602">
      <pivotArea dataOnly="0" labelOnly="1" fieldPosition="0">
        <references count="6">
          <reference field="1" count="1" selected="0">
            <x v="95"/>
          </reference>
          <reference field="5" count="1" selected="0">
            <x v="0"/>
          </reference>
          <reference field="6" count="1" selected="0">
            <x v="8"/>
          </reference>
          <reference field="7" count="1" selected="0">
            <x v="181"/>
          </reference>
          <reference field="8" count="1" selected="0">
            <x v="1305"/>
          </reference>
          <reference field="9" count="1">
            <x v="611"/>
          </reference>
        </references>
      </pivotArea>
    </format>
    <format dxfId="1601">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312"/>
          </reference>
          <reference field="9" count="1">
            <x v="611"/>
          </reference>
        </references>
      </pivotArea>
    </format>
    <format dxfId="1600">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344"/>
          </reference>
          <reference field="9" count="1">
            <x v="611"/>
          </reference>
        </references>
      </pivotArea>
    </format>
    <format dxfId="1599">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435"/>
          </reference>
          <reference field="9" count="1">
            <x v="611"/>
          </reference>
        </references>
      </pivotArea>
    </format>
    <format dxfId="1598">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521"/>
          </reference>
          <reference field="9" count="1">
            <x v="611"/>
          </reference>
        </references>
      </pivotArea>
    </format>
    <format dxfId="1597">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844"/>
          </reference>
          <reference field="9" count="1">
            <x v="611"/>
          </reference>
        </references>
      </pivotArea>
    </format>
    <format dxfId="1596">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870"/>
          </reference>
          <reference field="9" count="1">
            <x v="611"/>
          </reference>
        </references>
      </pivotArea>
    </format>
    <format dxfId="1595">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953"/>
          </reference>
          <reference field="9" count="1">
            <x v="611"/>
          </reference>
        </references>
      </pivotArea>
    </format>
    <format dxfId="1594">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974"/>
          </reference>
          <reference field="9" count="1">
            <x v="611"/>
          </reference>
        </references>
      </pivotArea>
    </format>
    <format dxfId="1593">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1003"/>
          </reference>
          <reference field="9" count="1">
            <x v="611"/>
          </reference>
        </references>
      </pivotArea>
    </format>
    <format dxfId="1592">
      <pivotArea dataOnly="0" labelOnly="1" fieldPosition="0">
        <references count="6">
          <reference field="1" count="1" selected="0">
            <x v="95"/>
          </reference>
          <reference field="5" count="1" selected="0">
            <x v="0"/>
          </reference>
          <reference field="6" count="1" selected="0">
            <x v="9"/>
          </reference>
          <reference field="7" count="1" selected="0">
            <x v="181"/>
          </reference>
          <reference field="8" count="1" selected="0">
            <x v="1200"/>
          </reference>
          <reference field="9" count="1">
            <x v="611"/>
          </reference>
        </references>
      </pivotArea>
    </format>
    <format dxfId="1591">
      <pivotArea dataOnly="0" labelOnly="1" fieldPosition="0">
        <references count="6">
          <reference field="1" count="1" selected="0">
            <x v="95"/>
          </reference>
          <reference field="5" count="1" selected="0">
            <x v="0"/>
          </reference>
          <reference field="6" count="1" selected="0">
            <x v="12"/>
          </reference>
          <reference field="7" count="1" selected="0">
            <x v="2"/>
          </reference>
          <reference field="8" count="1" selected="0">
            <x v="9"/>
          </reference>
          <reference field="9" count="1">
            <x v="611"/>
          </reference>
        </references>
      </pivotArea>
    </format>
    <format dxfId="1590">
      <pivotArea dataOnly="0" labelOnly="1" fieldPosition="0">
        <references count="6">
          <reference field="1" count="1" selected="0">
            <x v="95"/>
          </reference>
          <reference field="5" count="1" selected="0">
            <x v="0"/>
          </reference>
          <reference field="6" count="1" selected="0">
            <x v="12"/>
          </reference>
          <reference field="7" count="1" selected="0">
            <x v="42"/>
          </reference>
          <reference field="8" count="1" selected="0">
            <x v="23"/>
          </reference>
          <reference field="9" count="1">
            <x v="611"/>
          </reference>
        </references>
      </pivotArea>
    </format>
    <format dxfId="1589">
      <pivotArea dataOnly="0" labelOnly="1" fieldPosition="0">
        <references count="6">
          <reference field="1" count="1" selected="0">
            <x v="95"/>
          </reference>
          <reference field="5" count="1" selected="0">
            <x v="0"/>
          </reference>
          <reference field="6" count="1" selected="0">
            <x v="37"/>
          </reference>
          <reference field="7" count="1" selected="0">
            <x v="181"/>
          </reference>
          <reference field="8" count="1" selected="0">
            <x v="1424"/>
          </reference>
          <reference field="9" count="1">
            <x v="611"/>
          </reference>
        </references>
      </pivotArea>
    </format>
    <format dxfId="1588">
      <pivotArea dataOnly="0" labelOnly="1" fieldPosition="0">
        <references count="6">
          <reference field="1" count="1" selected="0">
            <x v="95"/>
          </reference>
          <reference field="5" count="1" selected="0">
            <x v="0"/>
          </reference>
          <reference field="6" count="1" selected="0">
            <x v="38"/>
          </reference>
          <reference field="7" count="1" selected="0">
            <x v="181"/>
          </reference>
          <reference field="8" count="1" selected="0">
            <x v="89"/>
          </reference>
          <reference field="9" count="1">
            <x v="611"/>
          </reference>
        </references>
      </pivotArea>
    </format>
    <format dxfId="1587">
      <pivotArea dataOnly="0" labelOnly="1" fieldPosition="0">
        <references count="6">
          <reference field="1" count="1" selected="0">
            <x v="95"/>
          </reference>
          <reference field="5" count="1" selected="0">
            <x v="3"/>
          </reference>
          <reference field="6" count="1" selected="0">
            <x v="37"/>
          </reference>
          <reference field="7" count="1" selected="0">
            <x v="181"/>
          </reference>
          <reference field="8" count="1" selected="0">
            <x v="897"/>
          </reference>
          <reference field="9" count="1">
            <x v="611"/>
          </reference>
        </references>
      </pivotArea>
    </format>
    <format dxfId="1586">
      <pivotArea dataOnly="0" labelOnly="1" fieldPosition="0">
        <references count="6">
          <reference field="1" count="1" selected="0">
            <x v="95"/>
          </reference>
          <reference field="5" count="1" selected="0">
            <x v="5"/>
          </reference>
          <reference field="6" count="1" selected="0">
            <x v="1"/>
          </reference>
          <reference field="7" count="1" selected="0">
            <x v="181"/>
          </reference>
          <reference field="8" count="1" selected="0">
            <x v="835"/>
          </reference>
          <reference field="9" count="1">
            <x v="611"/>
          </reference>
        </references>
      </pivotArea>
    </format>
    <format dxfId="1585">
      <pivotArea dataOnly="0" labelOnly="1" fieldPosition="0">
        <references count="6">
          <reference field="1" count="1" selected="0">
            <x v="95"/>
          </reference>
          <reference field="5" count="1" selected="0">
            <x v="5"/>
          </reference>
          <reference field="6" count="1" selected="0">
            <x v="37"/>
          </reference>
          <reference field="7" count="1" selected="0">
            <x v="181"/>
          </reference>
          <reference field="8" count="1" selected="0">
            <x v="897"/>
          </reference>
          <reference field="9" count="1">
            <x v="611"/>
          </reference>
        </references>
      </pivotArea>
    </format>
    <format dxfId="1584">
      <pivotArea dataOnly="0" labelOnly="1" fieldPosition="0">
        <references count="6">
          <reference field="1" count="1" selected="0">
            <x v="95"/>
          </reference>
          <reference field="5" count="1" selected="0">
            <x v="5"/>
          </reference>
          <reference field="6" count="1" selected="0">
            <x v="38"/>
          </reference>
          <reference field="7" count="1" selected="0">
            <x v="181"/>
          </reference>
          <reference field="8" count="1" selected="0">
            <x v="1827"/>
          </reference>
          <reference field="9" count="1">
            <x v="611"/>
          </reference>
        </references>
      </pivotArea>
    </format>
    <format dxfId="1583">
      <pivotArea dataOnly="0" labelOnly="1" fieldPosition="0">
        <references count="6">
          <reference field="1" count="1" selected="0">
            <x v="95"/>
          </reference>
          <reference field="5" count="1" selected="0">
            <x v="6"/>
          </reference>
          <reference field="6" count="1" selected="0">
            <x v="38"/>
          </reference>
          <reference field="7" count="1" selected="0">
            <x v="181"/>
          </reference>
          <reference field="8" count="1" selected="0">
            <x v="1561"/>
          </reference>
          <reference field="9" count="1">
            <x v="611"/>
          </reference>
        </references>
      </pivotArea>
    </format>
    <format dxfId="1582">
      <pivotArea dataOnly="0" labelOnly="1" fieldPosition="0">
        <references count="6">
          <reference field="1" count="1" selected="0">
            <x v="95"/>
          </reference>
          <reference field="5" count="1" selected="0">
            <x v="8"/>
          </reference>
          <reference field="6" count="1" selected="0">
            <x v="38"/>
          </reference>
          <reference field="7" count="1" selected="0">
            <x v="181"/>
          </reference>
          <reference field="8" count="1" selected="0">
            <x v="584"/>
          </reference>
          <reference field="9" count="1">
            <x v="611"/>
          </reference>
        </references>
      </pivotArea>
    </format>
    <format dxfId="1581">
      <pivotArea dataOnly="0" labelOnly="1" fieldPosition="0">
        <references count="6">
          <reference field="1" count="1" selected="0">
            <x v="95"/>
          </reference>
          <reference field="5" count="1" selected="0">
            <x v="9"/>
          </reference>
          <reference field="6" count="1" selected="0">
            <x v="10"/>
          </reference>
          <reference field="7" count="1" selected="0">
            <x v="181"/>
          </reference>
          <reference field="8" count="1" selected="0">
            <x v="556"/>
          </reference>
          <reference field="9" count="1">
            <x v="611"/>
          </reference>
        </references>
      </pivotArea>
    </format>
    <format dxfId="1580">
      <pivotArea dataOnly="0" labelOnly="1" fieldPosition="0">
        <references count="6">
          <reference field="1" count="1" selected="0">
            <x v="95"/>
          </reference>
          <reference field="5" count="1" selected="0">
            <x v="12"/>
          </reference>
          <reference field="6" count="1" selected="0">
            <x v="1"/>
          </reference>
          <reference field="7" count="1" selected="0">
            <x v="181"/>
          </reference>
          <reference field="8" count="1" selected="0">
            <x v="80"/>
          </reference>
          <reference field="9" count="1">
            <x v="611"/>
          </reference>
        </references>
      </pivotArea>
    </format>
    <format dxfId="1579">
      <pivotArea dataOnly="0" labelOnly="1" fieldPosition="0">
        <references count="6">
          <reference field="1" count="1" selected="0">
            <x v="95"/>
          </reference>
          <reference field="5" count="1" selected="0">
            <x v="12"/>
          </reference>
          <reference field="6" count="1" selected="0">
            <x v="1"/>
          </reference>
          <reference field="7" count="1" selected="0">
            <x v="181"/>
          </reference>
          <reference field="8" count="1" selected="0">
            <x v="213"/>
          </reference>
          <reference field="9" count="1">
            <x v="611"/>
          </reference>
        </references>
      </pivotArea>
    </format>
    <format dxfId="1578">
      <pivotArea dataOnly="0" labelOnly="1" fieldPosition="0">
        <references count="6">
          <reference field="1" count="1" selected="0">
            <x v="95"/>
          </reference>
          <reference field="5" count="1" selected="0">
            <x v="12"/>
          </reference>
          <reference field="6" count="1" selected="0">
            <x v="1"/>
          </reference>
          <reference field="7" count="1" selected="0">
            <x v="181"/>
          </reference>
          <reference field="8" count="1" selected="0">
            <x v="500"/>
          </reference>
          <reference field="9" count="1">
            <x v="611"/>
          </reference>
        </references>
      </pivotArea>
    </format>
    <format dxfId="1577">
      <pivotArea dataOnly="0" labelOnly="1" fieldPosition="0">
        <references count="6">
          <reference field="1" count="1" selected="0">
            <x v="95"/>
          </reference>
          <reference field="5" count="1" selected="0">
            <x v="14"/>
          </reference>
          <reference field="6" count="1" selected="0">
            <x v="10"/>
          </reference>
          <reference field="7" count="1" selected="0">
            <x v="181"/>
          </reference>
          <reference field="8" count="1" selected="0">
            <x v="1856"/>
          </reference>
          <reference field="9" count="1">
            <x v="611"/>
          </reference>
        </references>
      </pivotArea>
    </format>
    <format dxfId="1576">
      <pivotArea dataOnly="0" labelOnly="1" fieldPosition="0">
        <references count="6">
          <reference field="1" count="1" selected="0">
            <x v="95"/>
          </reference>
          <reference field="5" count="1" selected="0">
            <x v="14"/>
          </reference>
          <reference field="6" count="1" selected="0">
            <x v="38"/>
          </reference>
          <reference field="7" count="1" selected="0">
            <x v="181"/>
          </reference>
          <reference field="8" count="1" selected="0">
            <x v="1631"/>
          </reference>
          <reference field="9" count="1">
            <x v="611"/>
          </reference>
        </references>
      </pivotArea>
    </format>
    <format dxfId="1575">
      <pivotArea dataOnly="0" labelOnly="1" fieldPosition="0">
        <references count="6">
          <reference field="1" count="1" selected="0">
            <x v="95"/>
          </reference>
          <reference field="5" count="1" selected="0">
            <x v="15"/>
          </reference>
          <reference field="6" count="1" selected="0">
            <x v="1"/>
          </reference>
          <reference field="7" count="1" selected="0">
            <x v="181"/>
          </reference>
          <reference field="8" count="1" selected="0">
            <x v="665"/>
          </reference>
          <reference field="9" count="1">
            <x v="611"/>
          </reference>
        </references>
      </pivotArea>
    </format>
    <format dxfId="1574">
      <pivotArea dataOnly="0" labelOnly="1" fieldPosition="0">
        <references count="6">
          <reference field="1" count="1" selected="0">
            <x v="95"/>
          </reference>
          <reference field="5" count="1" selected="0">
            <x v="15"/>
          </reference>
          <reference field="6" count="1" selected="0">
            <x v="8"/>
          </reference>
          <reference field="7" count="1" selected="0">
            <x v="181"/>
          </reference>
          <reference field="8" count="1" selected="0">
            <x v="965"/>
          </reference>
          <reference field="9" count="1">
            <x v="611"/>
          </reference>
        </references>
      </pivotArea>
    </format>
    <format dxfId="1573">
      <pivotArea dataOnly="0" labelOnly="1" fieldPosition="0">
        <references count="6">
          <reference field="1" count="1" selected="0">
            <x v="95"/>
          </reference>
          <reference field="5" count="1" selected="0">
            <x v="15"/>
          </reference>
          <reference field="6" count="1" selected="0">
            <x v="38"/>
          </reference>
          <reference field="7" count="1" selected="0">
            <x v="181"/>
          </reference>
          <reference field="8" count="1" selected="0">
            <x v="1415"/>
          </reference>
          <reference field="9" count="1">
            <x v="611"/>
          </reference>
        </references>
      </pivotArea>
    </format>
    <format dxfId="1572">
      <pivotArea dataOnly="0" labelOnly="1" fieldPosition="0">
        <references count="6">
          <reference field="1" count="1" selected="0">
            <x v="95"/>
          </reference>
          <reference field="5" count="1" selected="0">
            <x v="19"/>
          </reference>
          <reference field="6" count="1" selected="0">
            <x v="38"/>
          </reference>
          <reference field="7" count="1" selected="0">
            <x v="181"/>
          </reference>
          <reference field="8" count="1" selected="0">
            <x v="1608"/>
          </reference>
          <reference field="9" count="1">
            <x v="611"/>
          </reference>
        </references>
      </pivotArea>
    </format>
    <format dxfId="1571">
      <pivotArea dataOnly="0" labelOnly="1" fieldPosition="0">
        <references count="6">
          <reference field="1" count="1" selected="0">
            <x v="95"/>
          </reference>
          <reference field="5" count="1" selected="0">
            <x v="21"/>
          </reference>
          <reference field="6" count="1" selected="0">
            <x v="38"/>
          </reference>
          <reference field="7" count="1" selected="0">
            <x v="181"/>
          </reference>
          <reference field="8" count="1" selected="0">
            <x v="1274"/>
          </reference>
          <reference field="9" count="1">
            <x v="611"/>
          </reference>
        </references>
      </pivotArea>
    </format>
    <format dxfId="1570">
      <pivotArea dataOnly="0" labelOnly="1" fieldPosition="0">
        <references count="6">
          <reference field="1" count="1" selected="0">
            <x v="95"/>
          </reference>
          <reference field="5" count="1" selected="0">
            <x v="23"/>
          </reference>
          <reference field="6" count="1" selected="0">
            <x v="38"/>
          </reference>
          <reference field="7" count="1" selected="0">
            <x v="181"/>
          </reference>
          <reference field="8" count="1" selected="0">
            <x v="1857"/>
          </reference>
          <reference field="9" count="1">
            <x v="611"/>
          </reference>
        </references>
      </pivotArea>
    </format>
    <format dxfId="1569">
      <pivotArea dataOnly="0" labelOnly="1" fieldPosition="0">
        <references count="6">
          <reference field="1" count="1" selected="0">
            <x v="95"/>
          </reference>
          <reference field="5" count="1" selected="0">
            <x v="29"/>
          </reference>
          <reference field="6" count="1" selected="0">
            <x v="38"/>
          </reference>
          <reference field="7" count="1" selected="0">
            <x v="181"/>
          </reference>
          <reference field="8" count="1" selected="0">
            <x v="1321"/>
          </reference>
          <reference field="9" count="1">
            <x v="611"/>
          </reference>
        </references>
      </pivotArea>
    </format>
    <format dxfId="1568">
      <pivotArea dataOnly="0" labelOnly="1" fieldPosition="0">
        <references count="6">
          <reference field="1" count="1" selected="0">
            <x v="95"/>
          </reference>
          <reference field="5" count="1" selected="0">
            <x v="33"/>
          </reference>
          <reference field="6" count="1" selected="0">
            <x v="8"/>
          </reference>
          <reference field="7" count="1" selected="0">
            <x v="181"/>
          </reference>
          <reference field="8" count="1" selected="0">
            <x v="738"/>
          </reference>
          <reference field="9" count="1">
            <x v="611"/>
          </reference>
        </references>
      </pivotArea>
    </format>
    <format dxfId="1567">
      <pivotArea dataOnly="0" labelOnly="1" fieldPosition="0">
        <references count="6">
          <reference field="1" count="1" selected="0">
            <x v="95"/>
          </reference>
          <reference field="5" count="1" selected="0">
            <x v="35"/>
          </reference>
          <reference field="6" count="1" selected="0">
            <x v="1"/>
          </reference>
          <reference field="7" count="1" selected="0">
            <x v="181"/>
          </reference>
          <reference field="8" count="1" selected="0">
            <x v="80"/>
          </reference>
          <reference field="9" count="1">
            <x v="611"/>
          </reference>
        </references>
      </pivotArea>
    </format>
    <format dxfId="1566">
      <pivotArea dataOnly="0" labelOnly="1" fieldPosition="0">
        <references count="6">
          <reference field="1" count="1" selected="0">
            <x v="96"/>
          </reference>
          <reference field="5" count="1" selected="0">
            <x v="0"/>
          </reference>
          <reference field="6" count="1" selected="0">
            <x v="1"/>
          </reference>
          <reference field="7" count="1" selected="0">
            <x v="182"/>
          </reference>
          <reference field="8" count="1" selected="0">
            <x v="80"/>
          </reference>
          <reference field="9" count="1">
            <x v="611"/>
          </reference>
        </references>
      </pivotArea>
    </format>
    <format dxfId="1565">
      <pivotArea dataOnly="0" labelOnly="1" fieldPosition="0">
        <references count="6">
          <reference field="1" count="1" selected="0">
            <x v="96"/>
          </reference>
          <reference field="5" count="1" selected="0">
            <x v="0"/>
          </reference>
          <reference field="6" count="1" selected="0">
            <x v="12"/>
          </reference>
          <reference field="7" count="1" selected="0">
            <x v="62"/>
          </reference>
          <reference field="8" count="1" selected="0">
            <x v="13"/>
          </reference>
          <reference field="9" count="1">
            <x v="611"/>
          </reference>
        </references>
      </pivotArea>
    </format>
    <format dxfId="1564">
      <pivotArea dataOnly="0" labelOnly="1" fieldPosition="0">
        <references count="6">
          <reference field="1" count="1" selected="0">
            <x v="96"/>
          </reference>
          <reference field="5" count="1" selected="0">
            <x v="3"/>
          </reference>
          <reference field="6" count="1" selected="0">
            <x v="1"/>
          </reference>
          <reference field="7" count="1" selected="0">
            <x v="182"/>
          </reference>
          <reference field="8" count="1" selected="0">
            <x v="109"/>
          </reference>
          <reference field="9" count="1">
            <x v="611"/>
          </reference>
        </references>
      </pivotArea>
    </format>
    <format dxfId="1563">
      <pivotArea dataOnly="0" labelOnly="1" fieldPosition="0">
        <references count="6">
          <reference field="1" count="1" selected="0">
            <x v="96"/>
          </reference>
          <reference field="5" count="1" selected="0">
            <x v="3"/>
          </reference>
          <reference field="6" count="1" selected="0">
            <x v="6"/>
          </reference>
          <reference field="7" count="1" selected="0">
            <x v="182"/>
          </reference>
          <reference field="8" count="1" selected="0">
            <x v="387"/>
          </reference>
          <reference field="9" count="1">
            <x v="611"/>
          </reference>
        </references>
      </pivotArea>
    </format>
    <format dxfId="1562">
      <pivotArea dataOnly="0" labelOnly="1" fieldPosition="0">
        <references count="6">
          <reference field="1" count="1" selected="0">
            <x v="96"/>
          </reference>
          <reference field="5" count="1" selected="0">
            <x v="3"/>
          </reference>
          <reference field="6" count="1" selected="0">
            <x v="38"/>
          </reference>
          <reference field="7" count="1" selected="0">
            <x v="182"/>
          </reference>
          <reference field="8" count="1" selected="0">
            <x v="33"/>
          </reference>
          <reference field="9" count="1">
            <x v="611"/>
          </reference>
        </references>
      </pivotArea>
    </format>
    <format dxfId="1561">
      <pivotArea dataOnly="0" labelOnly="1" fieldPosition="0">
        <references count="6">
          <reference field="1" count="1" selected="0">
            <x v="96"/>
          </reference>
          <reference field="5" count="1" selected="0">
            <x v="12"/>
          </reference>
          <reference field="6" count="1" selected="0">
            <x v="1"/>
          </reference>
          <reference field="7" count="1" selected="0">
            <x v="182"/>
          </reference>
          <reference field="8" count="1" selected="0">
            <x v="80"/>
          </reference>
          <reference field="9" count="1">
            <x v="611"/>
          </reference>
        </references>
      </pivotArea>
    </format>
    <format dxfId="1560">
      <pivotArea dataOnly="0" labelOnly="1" fieldPosition="0">
        <references count="6">
          <reference field="1" count="1" selected="0">
            <x v="96"/>
          </reference>
          <reference field="5" count="1" selected="0">
            <x v="12"/>
          </reference>
          <reference field="6" count="1" selected="0">
            <x v="1"/>
          </reference>
          <reference field="7" count="1" selected="0">
            <x v="182"/>
          </reference>
          <reference field="8" count="1" selected="0">
            <x v="213"/>
          </reference>
          <reference field="9" count="1">
            <x v="611"/>
          </reference>
        </references>
      </pivotArea>
    </format>
    <format dxfId="1559">
      <pivotArea dataOnly="0" labelOnly="1" fieldPosition="0">
        <references count="6">
          <reference field="1" count="1" selected="0">
            <x v="96"/>
          </reference>
          <reference field="5" count="1" selected="0">
            <x v="12"/>
          </reference>
          <reference field="6" count="1" selected="0">
            <x v="1"/>
          </reference>
          <reference field="7" count="1" selected="0">
            <x v="182"/>
          </reference>
          <reference field="8" count="1" selected="0">
            <x v="500"/>
          </reference>
          <reference field="9" count="1">
            <x v="611"/>
          </reference>
        </references>
      </pivotArea>
    </format>
    <format dxfId="1558">
      <pivotArea dataOnly="0" labelOnly="1" fieldPosition="0">
        <references count="6">
          <reference field="1" count="1" selected="0">
            <x v="96"/>
          </reference>
          <reference field="5" count="1" selected="0">
            <x v="12"/>
          </reference>
          <reference field="6" count="1" selected="0">
            <x v="1"/>
          </reference>
          <reference field="7" count="1" selected="0">
            <x v="182"/>
          </reference>
          <reference field="8" count="1" selected="0">
            <x v="607"/>
          </reference>
          <reference field="9" count="1">
            <x v="611"/>
          </reference>
        </references>
      </pivotArea>
    </format>
    <format dxfId="1557">
      <pivotArea dataOnly="0" labelOnly="1" fieldPosition="0">
        <references count="6">
          <reference field="1" count="1" selected="0">
            <x v="96"/>
          </reference>
          <reference field="5" count="1" selected="0">
            <x v="12"/>
          </reference>
          <reference field="6" count="1" selected="0">
            <x v="1"/>
          </reference>
          <reference field="7" count="1" selected="0">
            <x v="182"/>
          </reference>
          <reference field="8" count="1" selected="0">
            <x v="702"/>
          </reference>
          <reference field="9" count="1">
            <x v="611"/>
          </reference>
        </references>
      </pivotArea>
    </format>
    <format dxfId="1556">
      <pivotArea dataOnly="0" labelOnly="1" fieldPosition="0">
        <references count="6">
          <reference field="1" count="1" selected="0">
            <x v="96"/>
          </reference>
          <reference field="5" count="1" selected="0">
            <x v="12"/>
          </reference>
          <reference field="6" count="1" selected="0">
            <x v="1"/>
          </reference>
          <reference field="7" count="1" selected="0">
            <x v="182"/>
          </reference>
          <reference field="8" count="1" selected="0">
            <x v="964"/>
          </reference>
          <reference field="9" count="1">
            <x v="611"/>
          </reference>
        </references>
      </pivotArea>
    </format>
    <format dxfId="1555">
      <pivotArea dataOnly="0" labelOnly="1" fieldPosition="0">
        <references count="6">
          <reference field="1" count="1" selected="0">
            <x v="96"/>
          </reference>
          <reference field="5" count="1" selected="0">
            <x v="12"/>
          </reference>
          <reference field="6" count="1" selected="0">
            <x v="1"/>
          </reference>
          <reference field="7" count="1" selected="0">
            <x v="182"/>
          </reference>
          <reference field="8" count="1" selected="0">
            <x v="1069"/>
          </reference>
          <reference field="9" count="1">
            <x v="611"/>
          </reference>
        </references>
      </pivotArea>
    </format>
    <format dxfId="1554">
      <pivotArea dataOnly="0" labelOnly="1" fieldPosition="0">
        <references count="6">
          <reference field="1" count="1" selected="0">
            <x v="96"/>
          </reference>
          <reference field="5" count="1" selected="0">
            <x v="23"/>
          </reference>
          <reference field="6" count="1" selected="0">
            <x v="38"/>
          </reference>
          <reference field="7" count="1" selected="0">
            <x v="182"/>
          </reference>
          <reference field="8" count="1" selected="0">
            <x v="182"/>
          </reference>
          <reference field="9" count="1">
            <x v="611"/>
          </reference>
        </references>
      </pivotArea>
    </format>
    <format dxfId="1553">
      <pivotArea dataOnly="0" labelOnly="1" fieldPosition="0">
        <references count="6">
          <reference field="1" count="1" selected="0">
            <x v="96"/>
          </reference>
          <reference field="5" count="1" selected="0">
            <x v="35"/>
          </reference>
          <reference field="6" count="1" selected="0">
            <x v="1"/>
          </reference>
          <reference field="7" count="1" selected="0">
            <x v="182"/>
          </reference>
          <reference field="8" count="1" selected="0">
            <x v="213"/>
          </reference>
          <reference field="9" count="1">
            <x v="611"/>
          </reference>
        </references>
      </pivotArea>
    </format>
    <format dxfId="1552">
      <pivotArea dataOnly="0" labelOnly="1" fieldPosition="0">
        <references count="6">
          <reference field="1" count="1" selected="0">
            <x v="97"/>
          </reference>
          <reference field="5" count="1" selected="0">
            <x v="0"/>
          </reference>
          <reference field="6" count="1" selected="0">
            <x v="1"/>
          </reference>
          <reference field="7" count="1" selected="0">
            <x v="183"/>
          </reference>
          <reference field="8" count="1" selected="0">
            <x v="213"/>
          </reference>
          <reference field="9" count="1">
            <x v="611"/>
          </reference>
        </references>
      </pivotArea>
    </format>
    <format dxfId="1551">
      <pivotArea dataOnly="0" labelOnly="1" fieldPosition="0">
        <references count="6">
          <reference field="1" count="1" selected="0">
            <x v="97"/>
          </reference>
          <reference field="5" count="1" selected="0">
            <x v="0"/>
          </reference>
          <reference field="6" count="1" selected="0">
            <x v="9"/>
          </reference>
          <reference field="7" count="1" selected="0">
            <x v="183"/>
          </reference>
          <reference field="8" count="1" selected="0">
            <x v="105"/>
          </reference>
          <reference field="9" count="1">
            <x v="611"/>
          </reference>
        </references>
      </pivotArea>
    </format>
    <format dxfId="1550">
      <pivotArea dataOnly="0" labelOnly="1" fieldPosition="0">
        <references count="6">
          <reference field="1" count="1" selected="0">
            <x v="97"/>
          </reference>
          <reference field="5" count="1" selected="0">
            <x v="0"/>
          </reference>
          <reference field="6" count="1" selected="0">
            <x v="9"/>
          </reference>
          <reference field="7" count="1" selected="0">
            <x v="183"/>
          </reference>
          <reference field="8" count="1" selected="0">
            <x v="364"/>
          </reference>
          <reference field="9" count="1">
            <x v="611"/>
          </reference>
        </references>
      </pivotArea>
    </format>
    <format dxfId="1549">
      <pivotArea dataOnly="0" labelOnly="1" fieldPosition="0">
        <references count="6">
          <reference field="1" count="1" selected="0">
            <x v="97"/>
          </reference>
          <reference field="5" count="1" selected="0">
            <x v="0"/>
          </reference>
          <reference field="6" count="1" selected="0">
            <x v="9"/>
          </reference>
          <reference field="7" count="1" selected="0">
            <x v="183"/>
          </reference>
          <reference field="8" count="1" selected="0">
            <x v="483"/>
          </reference>
          <reference field="9" count="1">
            <x v="611"/>
          </reference>
        </references>
      </pivotArea>
    </format>
    <format dxfId="1548">
      <pivotArea dataOnly="0" labelOnly="1" fieldPosition="0">
        <references count="6">
          <reference field="1" count="1" selected="0">
            <x v="97"/>
          </reference>
          <reference field="5" count="1" selected="0">
            <x v="0"/>
          </reference>
          <reference field="6" count="1" selected="0">
            <x v="9"/>
          </reference>
          <reference field="7" count="1" selected="0">
            <x v="183"/>
          </reference>
          <reference field="8" count="1" selected="0">
            <x v="707"/>
          </reference>
          <reference field="9" count="1">
            <x v="611"/>
          </reference>
        </references>
      </pivotArea>
    </format>
    <format dxfId="1547">
      <pivotArea dataOnly="0" labelOnly="1" fieldPosition="0">
        <references count="6">
          <reference field="1" count="1" selected="0">
            <x v="97"/>
          </reference>
          <reference field="5" count="1" selected="0">
            <x v="0"/>
          </reference>
          <reference field="6" count="1" selected="0">
            <x v="9"/>
          </reference>
          <reference field="7" count="1" selected="0">
            <x v="183"/>
          </reference>
          <reference field="8" count="1" selected="0">
            <x v="767"/>
          </reference>
          <reference field="9" count="1">
            <x v="611"/>
          </reference>
        </references>
      </pivotArea>
    </format>
    <format dxfId="1546">
      <pivotArea dataOnly="0" labelOnly="1" fieldPosition="0">
        <references count="6">
          <reference field="1" count="1" selected="0">
            <x v="97"/>
          </reference>
          <reference field="5" count="1" selected="0">
            <x v="0"/>
          </reference>
          <reference field="6" count="1" selected="0">
            <x v="9"/>
          </reference>
          <reference field="7" count="1" selected="0">
            <x v="183"/>
          </reference>
          <reference field="8" count="1" selected="0">
            <x v="876"/>
          </reference>
          <reference field="9" count="1">
            <x v="611"/>
          </reference>
        </references>
      </pivotArea>
    </format>
    <format dxfId="1545">
      <pivotArea dataOnly="0" labelOnly="1" fieldPosition="0">
        <references count="6">
          <reference field="1" count="1" selected="0">
            <x v="97"/>
          </reference>
          <reference field="5" count="1" selected="0">
            <x v="0"/>
          </reference>
          <reference field="6" count="1" selected="0">
            <x v="9"/>
          </reference>
          <reference field="7" count="1" selected="0">
            <x v="183"/>
          </reference>
          <reference field="8" count="1" selected="0">
            <x v="1041"/>
          </reference>
          <reference field="9" count="1">
            <x v="611"/>
          </reference>
        </references>
      </pivotArea>
    </format>
    <format dxfId="1544">
      <pivotArea dataOnly="0" labelOnly="1" fieldPosition="0">
        <references count="6">
          <reference field="1" count="1" selected="0">
            <x v="97"/>
          </reference>
          <reference field="5" count="1" selected="0">
            <x v="0"/>
          </reference>
          <reference field="6" count="1" selected="0">
            <x v="12"/>
          </reference>
          <reference field="7" count="1" selected="0">
            <x v="26"/>
          </reference>
          <reference field="8" count="1" selected="0">
            <x v="18"/>
          </reference>
          <reference field="9" count="1">
            <x v="611"/>
          </reference>
        </references>
      </pivotArea>
    </format>
    <format dxfId="1543">
      <pivotArea dataOnly="0" labelOnly="1" fieldPosition="0">
        <references count="6">
          <reference field="1" count="1" selected="0">
            <x v="97"/>
          </reference>
          <reference field="5" count="1" selected="0">
            <x v="0"/>
          </reference>
          <reference field="6" count="1" selected="0">
            <x v="12"/>
          </reference>
          <reference field="7" count="1" selected="0">
            <x v="47"/>
          </reference>
          <reference field="8" count="1" selected="0">
            <x v="314"/>
          </reference>
          <reference field="9" count="1">
            <x v="611"/>
          </reference>
        </references>
      </pivotArea>
    </format>
    <format dxfId="1542">
      <pivotArea dataOnly="0" labelOnly="1" fieldPosition="0">
        <references count="6">
          <reference field="1" count="1" selected="0">
            <x v="97"/>
          </reference>
          <reference field="5" count="1" selected="0">
            <x v="0"/>
          </reference>
          <reference field="6" count="1" selected="0">
            <x v="12"/>
          </reference>
          <reference field="7" count="1" selected="0">
            <x v="49"/>
          </reference>
          <reference field="8" count="1" selected="0">
            <x v="20"/>
          </reference>
          <reference field="9" count="1">
            <x v="611"/>
          </reference>
        </references>
      </pivotArea>
    </format>
    <format dxfId="1541">
      <pivotArea dataOnly="0" labelOnly="1" fieldPosition="0">
        <references count="6">
          <reference field="1" count="1" selected="0">
            <x v="97"/>
          </reference>
          <reference field="5" count="1" selected="0">
            <x v="3"/>
          </reference>
          <reference field="6" count="1" selected="0">
            <x v="38"/>
          </reference>
          <reference field="7" count="1" selected="0">
            <x v="183"/>
          </reference>
          <reference field="8" count="1" selected="0">
            <x v="36"/>
          </reference>
          <reference field="9" count="1">
            <x v="611"/>
          </reference>
        </references>
      </pivotArea>
    </format>
    <format dxfId="1540">
      <pivotArea dataOnly="0" labelOnly="1" fieldPosition="0">
        <references count="6">
          <reference field="1" count="1" selected="0">
            <x v="97"/>
          </reference>
          <reference field="5" count="1" selected="0">
            <x v="6"/>
          </reference>
          <reference field="6" count="1" selected="0">
            <x v="38"/>
          </reference>
          <reference field="7" count="1" selected="0">
            <x v="183"/>
          </reference>
          <reference field="8" count="1" selected="0">
            <x v="944"/>
          </reference>
          <reference field="9" count="1">
            <x v="611"/>
          </reference>
        </references>
      </pivotArea>
    </format>
    <format dxfId="1539">
      <pivotArea dataOnly="0" labelOnly="1" fieldPosition="0">
        <references count="6">
          <reference field="1" count="1" selected="0">
            <x v="97"/>
          </reference>
          <reference field="5" count="1" selected="0">
            <x v="8"/>
          </reference>
          <reference field="6" count="1" selected="0">
            <x v="38"/>
          </reference>
          <reference field="7" count="1" selected="0">
            <x v="183"/>
          </reference>
          <reference field="8" count="1" selected="0">
            <x v="1387"/>
          </reference>
          <reference field="9" count="1">
            <x v="611"/>
          </reference>
        </references>
      </pivotArea>
    </format>
    <format dxfId="1538">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80"/>
          </reference>
          <reference field="9" count="1">
            <x v="611"/>
          </reference>
        </references>
      </pivotArea>
    </format>
    <format dxfId="1537">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213"/>
          </reference>
          <reference field="9" count="1">
            <x v="611"/>
          </reference>
        </references>
      </pivotArea>
    </format>
    <format dxfId="1536">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352"/>
          </reference>
          <reference field="9" count="1">
            <x v="611"/>
          </reference>
        </references>
      </pivotArea>
    </format>
    <format dxfId="1535">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500"/>
          </reference>
          <reference field="9" count="1">
            <x v="611"/>
          </reference>
        </references>
      </pivotArea>
    </format>
    <format dxfId="1534">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607"/>
          </reference>
          <reference field="9" count="1">
            <x v="611"/>
          </reference>
        </references>
      </pivotArea>
    </format>
    <format dxfId="1533">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771"/>
          </reference>
          <reference field="9" count="1">
            <x v="611"/>
          </reference>
        </references>
      </pivotArea>
    </format>
    <format dxfId="1532">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846"/>
          </reference>
          <reference field="9" count="1">
            <x v="611"/>
          </reference>
        </references>
      </pivotArea>
    </format>
    <format dxfId="1531">
      <pivotArea dataOnly="0" labelOnly="1" fieldPosition="0">
        <references count="6">
          <reference field="1" count="1" selected="0">
            <x v="97"/>
          </reference>
          <reference field="5" count="1" selected="0">
            <x v="12"/>
          </reference>
          <reference field="6" count="1" selected="0">
            <x v="1"/>
          </reference>
          <reference field="7" count="1" selected="0">
            <x v="183"/>
          </reference>
          <reference field="8" count="1" selected="0">
            <x v="1028"/>
          </reference>
          <reference field="9" count="1">
            <x v="611"/>
          </reference>
        </references>
      </pivotArea>
    </format>
    <format dxfId="1530">
      <pivotArea dataOnly="0" labelOnly="1" fieldPosition="0">
        <references count="6">
          <reference field="1" count="1" selected="0">
            <x v="97"/>
          </reference>
          <reference field="5" count="1" selected="0">
            <x v="12"/>
          </reference>
          <reference field="6" count="1" selected="0">
            <x v="38"/>
          </reference>
          <reference field="7" count="1" selected="0">
            <x v="183"/>
          </reference>
          <reference field="8" count="1" selected="0">
            <x v="1562"/>
          </reference>
          <reference field="9" count="1">
            <x v="611"/>
          </reference>
        </references>
      </pivotArea>
    </format>
    <format dxfId="1529">
      <pivotArea dataOnly="0" labelOnly="1" fieldPosition="0">
        <references count="6">
          <reference field="1" count="1" selected="0">
            <x v="97"/>
          </reference>
          <reference field="5" count="1" selected="0">
            <x v="14"/>
          </reference>
          <reference field="6" count="1" selected="0">
            <x v="1"/>
          </reference>
          <reference field="7" count="1" selected="0">
            <x v="183"/>
          </reference>
          <reference field="8" count="1" selected="0">
            <x v="715"/>
          </reference>
          <reference field="9" count="1">
            <x v="611"/>
          </reference>
        </references>
      </pivotArea>
    </format>
    <format dxfId="1528">
      <pivotArea dataOnly="0" labelOnly="1" fieldPosition="0">
        <references count="6">
          <reference field="1" count="1" selected="0">
            <x v="97"/>
          </reference>
          <reference field="5" count="1" selected="0">
            <x v="15"/>
          </reference>
          <reference field="6" count="1" selected="0">
            <x v="8"/>
          </reference>
          <reference field="7" count="1" selected="0">
            <x v="183"/>
          </reference>
          <reference field="8" count="1" selected="0">
            <x v="295"/>
          </reference>
          <reference field="9" count="1">
            <x v="611"/>
          </reference>
        </references>
      </pivotArea>
    </format>
    <format dxfId="1527">
      <pivotArea dataOnly="0" labelOnly="1" fieldPosition="0">
        <references count="6">
          <reference field="1" count="1" selected="0">
            <x v="97"/>
          </reference>
          <reference field="5" count="1" selected="0">
            <x v="27"/>
          </reference>
          <reference field="6" count="1" selected="0">
            <x v="6"/>
          </reference>
          <reference field="7" count="1" selected="0">
            <x v="183"/>
          </reference>
          <reference field="8" count="1" selected="0">
            <x v="1481"/>
          </reference>
          <reference field="9" count="1">
            <x v="611"/>
          </reference>
        </references>
      </pivotArea>
    </format>
    <format dxfId="1526">
      <pivotArea dataOnly="0" labelOnly="1" fieldPosition="0">
        <references count="6">
          <reference field="1" count="1" selected="0">
            <x v="97"/>
          </reference>
          <reference field="5" count="1" selected="0">
            <x v="34"/>
          </reference>
          <reference field="6" count="1" selected="0">
            <x v="38"/>
          </reference>
          <reference field="7" count="1" selected="0">
            <x v="183"/>
          </reference>
          <reference field="8" count="1" selected="0">
            <x v="739"/>
          </reference>
          <reference field="9" count="1">
            <x v="611"/>
          </reference>
        </references>
      </pivotArea>
    </format>
    <format dxfId="1525">
      <pivotArea dataOnly="0" labelOnly="1" fieldPosition="0">
        <references count="6">
          <reference field="1" count="1" selected="0">
            <x v="98"/>
          </reference>
          <reference field="5" count="1" selected="0">
            <x v="0"/>
          </reference>
          <reference field="6" count="1" selected="0">
            <x v="8"/>
          </reference>
          <reference field="7" count="1" selected="0">
            <x v="185"/>
          </reference>
          <reference field="8" count="1" selected="0">
            <x v="549"/>
          </reference>
          <reference field="9" count="1">
            <x v="611"/>
          </reference>
        </references>
      </pivotArea>
    </format>
    <format dxfId="1524">
      <pivotArea dataOnly="0" labelOnly="1" fieldPosition="0">
        <references count="6">
          <reference field="1" count="1" selected="0">
            <x v="98"/>
          </reference>
          <reference field="5" count="1" selected="0">
            <x v="0"/>
          </reference>
          <reference field="6" count="1" selected="0">
            <x v="9"/>
          </reference>
          <reference field="7" count="1" selected="0">
            <x v="185"/>
          </reference>
          <reference field="8" count="1" selected="0">
            <x v="382"/>
          </reference>
          <reference field="9" count="1">
            <x v="611"/>
          </reference>
        </references>
      </pivotArea>
    </format>
    <format dxfId="1523">
      <pivotArea dataOnly="0" labelOnly="1" fieldPosition="0">
        <references count="6">
          <reference field="1" count="1" selected="0">
            <x v="98"/>
          </reference>
          <reference field="5" count="1" selected="0">
            <x v="0"/>
          </reference>
          <reference field="6" count="1" selected="0">
            <x v="9"/>
          </reference>
          <reference field="7" count="1" selected="0">
            <x v="185"/>
          </reference>
          <reference field="8" count="1" selected="0">
            <x v="560"/>
          </reference>
          <reference field="9" count="1">
            <x v="611"/>
          </reference>
        </references>
      </pivotArea>
    </format>
    <format dxfId="1522">
      <pivotArea dataOnly="0" labelOnly="1" fieldPosition="0">
        <references count="6">
          <reference field="1" count="1" selected="0">
            <x v="98"/>
          </reference>
          <reference field="5" count="1" selected="0">
            <x v="0"/>
          </reference>
          <reference field="6" count="1" selected="0">
            <x v="9"/>
          </reference>
          <reference field="7" count="1" selected="0">
            <x v="185"/>
          </reference>
          <reference field="8" count="1" selected="0">
            <x v="634"/>
          </reference>
          <reference field="9" count="1">
            <x v="611"/>
          </reference>
        </references>
      </pivotArea>
    </format>
    <format dxfId="1521">
      <pivotArea dataOnly="0" labelOnly="1" fieldPosition="0">
        <references count="6">
          <reference field="1" count="1" selected="0">
            <x v="98"/>
          </reference>
          <reference field="5" count="1" selected="0">
            <x v="0"/>
          </reference>
          <reference field="6" count="1" selected="0">
            <x v="9"/>
          </reference>
          <reference field="7" count="1" selected="0">
            <x v="185"/>
          </reference>
          <reference field="8" count="1" selected="0">
            <x v="757"/>
          </reference>
          <reference field="9" count="1">
            <x v="611"/>
          </reference>
        </references>
      </pivotArea>
    </format>
    <format dxfId="1520">
      <pivotArea dataOnly="0" labelOnly="1" fieldPosition="0">
        <references count="6">
          <reference field="1" count="1" selected="0">
            <x v="98"/>
          </reference>
          <reference field="5" count="1" selected="0">
            <x v="0"/>
          </reference>
          <reference field="6" count="1" selected="0">
            <x v="9"/>
          </reference>
          <reference field="7" count="1" selected="0">
            <x v="185"/>
          </reference>
          <reference field="8" count="1" selected="0">
            <x v="848"/>
          </reference>
          <reference field="9" count="1">
            <x v="611"/>
          </reference>
        </references>
      </pivotArea>
    </format>
    <format dxfId="1519">
      <pivotArea dataOnly="0" labelOnly="1" fieldPosition="0">
        <references count="6">
          <reference field="1" count="1" selected="0">
            <x v="98"/>
          </reference>
          <reference field="5" count="1" selected="0">
            <x v="0"/>
          </reference>
          <reference field="6" count="1" selected="0">
            <x v="9"/>
          </reference>
          <reference field="7" count="1" selected="0">
            <x v="185"/>
          </reference>
          <reference field="8" count="1" selected="0">
            <x v="1309"/>
          </reference>
          <reference field="9" count="1">
            <x v="611"/>
          </reference>
        </references>
      </pivotArea>
    </format>
    <format dxfId="1518">
      <pivotArea dataOnly="0" labelOnly="1" fieldPosition="0">
        <references count="6">
          <reference field="1" count="1" selected="0">
            <x v="98"/>
          </reference>
          <reference field="5" count="1" selected="0">
            <x v="0"/>
          </reference>
          <reference field="6" count="1" selected="0">
            <x v="11"/>
          </reference>
          <reference field="7" count="1" selected="0">
            <x v="51"/>
          </reference>
          <reference field="8" count="1" selected="0">
            <x v="109"/>
          </reference>
          <reference field="9" count="1">
            <x v="611"/>
          </reference>
        </references>
      </pivotArea>
    </format>
    <format dxfId="1517">
      <pivotArea dataOnly="0" labelOnly="1" fieldPosition="0">
        <references count="6">
          <reference field="1" count="1" selected="0">
            <x v="98"/>
          </reference>
          <reference field="5" count="1" selected="0">
            <x v="0"/>
          </reference>
          <reference field="6" count="1" selected="0">
            <x v="12"/>
          </reference>
          <reference field="7" count="1" selected="0">
            <x v="47"/>
          </reference>
          <reference field="8" count="1" selected="0">
            <x v="314"/>
          </reference>
          <reference field="9" count="1">
            <x v="611"/>
          </reference>
        </references>
      </pivotArea>
    </format>
    <format dxfId="1516">
      <pivotArea dataOnly="0" labelOnly="1" fieldPosition="0">
        <references count="6">
          <reference field="1" count="1" selected="0">
            <x v="98"/>
          </reference>
          <reference field="5" count="1" selected="0">
            <x v="2"/>
          </reference>
          <reference field="6" count="1" selected="0">
            <x v="8"/>
          </reference>
          <reference field="7" count="1" selected="0">
            <x v="185"/>
          </reference>
          <reference field="8" count="1" selected="0">
            <x v="1252"/>
          </reference>
          <reference field="9" count="1">
            <x v="611"/>
          </reference>
        </references>
      </pivotArea>
    </format>
    <format dxfId="1515">
      <pivotArea dataOnly="0" labelOnly="1" fieldPosition="0">
        <references count="6">
          <reference field="1" count="1" selected="0">
            <x v="98"/>
          </reference>
          <reference field="5" count="1" selected="0">
            <x v="8"/>
          </reference>
          <reference field="6" count="1" selected="0">
            <x v="38"/>
          </reference>
          <reference field="7" count="1" selected="0">
            <x v="185"/>
          </reference>
          <reference field="8" count="1" selected="0">
            <x v="1548"/>
          </reference>
          <reference field="9" count="1">
            <x v="611"/>
          </reference>
        </references>
      </pivotArea>
    </format>
    <format dxfId="1514">
      <pivotArea dataOnly="0" labelOnly="1" fieldPosition="0">
        <references count="6">
          <reference field="1" count="1" selected="0">
            <x v="98"/>
          </reference>
          <reference field="5" count="1" selected="0">
            <x v="11"/>
          </reference>
          <reference field="6" count="1" selected="0">
            <x v="8"/>
          </reference>
          <reference field="7" count="1" selected="0">
            <x v="185"/>
          </reference>
          <reference field="8" count="1" selected="0">
            <x v="42"/>
          </reference>
          <reference field="9" count="1">
            <x v="611"/>
          </reference>
        </references>
      </pivotArea>
    </format>
    <format dxfId="1513">
      <pivotArea dataOnly="0" labelOnly="1" fieldPosition="0">
        <references count="6">
          <reference field="1" count="1" selected="0">
            <x v="98"/>
          </reference>
          <reference field="5" count="1" selected="0">
            <x v="12"/>
          </reference>
          <reference field="6" count="1" selected="0">
            <x v="1"/>
          </reference>
          <reference field="7" count="1" selected="0">
            <x v="185"/>
          </reference>
          <reference field="8" count="1" selected="0">
            <x v="80"/>
          </reference>
          <reference field="9" count="1">
            <x v="611"/>
          </reference>
        </references>
      </pivotArea>
    </format>
    <format dxfId="1512">
      <pivotArea dataOnly="0" labelOnly="1" fieldPosition="0">
        <references count="6">
          <reference field="1" count="1" selected="0">
            <x v="98"/>
          </reference>
          <reference field="5" count="1" selected="0">
            <x v="12"/>
          </reference>
          <reference field="6" count="1" selected="0">
            <x v="1"/>
          </reference>
          <reference field="7" count="1" selected="0">
            <x v="185"/>
          </reference>
          <reference field="8" count="1" selected="0">
            <x v="213"/>
          </reference>
          <reference field="9" count="1">
            <x v="611"/>
          </reference>
        </references>
      </pivotArea>
    </format>
    <format dxfId="1511">
      <pivotArea dataOnly="0" labelOnly="1" fieldPosition="0">
        <references count="6">
          <reference field="1" count="1" selected="0">
            <x v="98"/>
          </reference>
          <reference field="5" count="1" selected="0">
            <x v="12"/>
          </reference>
          <reference field="6" count="1" selected="0">
            <x v="1"/>
          </reference>
          <reference field="7" count="1" selected="0">
            <x v="185"/>
          </reference>
          <reference field="8" count="1" selected="0">
            <x v="352"/>
          </reference>
          <reference field="9" count="1">
            <x v="611"/>
          </reference>
        </references>
      </pivotArea>
    </format>
    <format dxfId="1510">
      <pivotArea dataOnly="0" labelOnly="1" fieldPosition="0">
        <references count="6">
          <reference field="1" count="1" selected="0">
            <x v="98"/>
          </reference>
          <reference field="5" count="1" selected="0">
            <x v="12"/>
          </reference>
          <reference field="6" count="1" selected="0">
            <x v="1"/>
          </reference>
          <reference field="7" count="1" selected="0">
            <x v="185"/>
          </reference>
          <reference field="8" count="1" selected="0">
            <x v="771"/>
          </reference>
          <reference field="9" count="1">
            <x v="611"/>
          </reference>
        </references>
      </pivotArea>
    </format>
    <format dxfId="1509">
      <pivotArea dataOnly="0" labelOnly="1" fieldPosition="0">
        <references count="6">
          <reference field="1" count="1" selected="0">
            <x v="98"/>
          </reference>
          <reference field="5" count="1" selected="0">
            <x v="12"/>
          </reference>
          <reference field="6" count="1" selected="0">
            <x v="1"/>
          </reference>
          <reference field="7" count="1" selected="0">
            <x v="185"/>
          </reference>
          <reference field="8" count="1" selected="0">
            <x v="964"/>
          </reference>
          <reference field="9" count="1">
            <x v="611"/>
          </reference>
        </references>
      </pivotArea>
    </format>
    <format dxfId="1508">
      <pivotArea dataOnly="0" labelOnly="1" fieldPosition="0">
        <references count="6">
          <reference field="1" count="1" selected="0">
            <x v="98"/>
          </reference>
          <reference field="5" count="1" selected="0">
            <x v="12"/>
          </reference>
          <reference field="6" count="1" selected="0">
            <x v="31"/>
          </reference>
          <reference field="7" count="1" selected="0">
            <x v="184"/>
          </reference>
          <reference field="8" count="1" selected="0">
            <x v="1153"/>
          </reference>
          <reference field="9" count="1">
            <x v="611"/>
          </reference>
        </references>
      </pivotArea>
    </format>
    <format dxfId="1507">
      <pivotArea dataOnly="0" labelOnly="1" fieldPosition="0">
        <references count="6">
          <reference field="1" count="1" selected="0">
            <x v="98"/>
          </reference>
          <reference field="5" count="1" selected="0">
            <x v="12"/>
          </reference>
          <reference field="6" count="1" selected="0">
            <x v="38"/>
          </reference>
          <reference field="7" count="1" selected="0">
            <x v="185"/>
          </reference>
          <reference field="8" count="1" selected="0">
            <x v="1265"/>
          </reference>
          <reference field="9" count="1">
            <x v="611"/>
          </reference>
        </references>
      </pivotArea>
    </format>
    <format dxfId="1506">
      <pivotArea dataOnly="0" labelOnly="1" fieldPosition="0">
        <references count="6">
          <reference field="1" count="1" selected="0">
            <x v="98"/>
          </reference>
          <reference field="5" count="1" selected="0">
            <x v="14"/>
          </reference>
          <reference field="6" count="1" selected="0">
            <x v="38"/>
          </reference>
          <reference field="7" count="1" selected="0">
            <x v="185"/>
          </reference>
          <reference field="8" count="1" selected="0">
            <x v="397"/>
          </reference>
          <reference field="9" count="1">
            <x v="611"/>
          </reference>
        </references>
      </pivotArea>
    </format>
    <format dxfId="1505">
      <pivotArea dataOnly="0" labelOnly="1" fieldPosition="0">
        <references count="6">
          <reference field="1" count="1" selected="0">
            <x v="98"/>
          </reference>
          <reference field="5" count="1" selected="0">
            <x v="19"/>
          </reference>
          <reference field="6" count="1" selected="0">
            <x v="7"/>
          </reference>
          <reference field="7" count="1" selected="0">
            <x v="185"/>
          </reference>
          <reference field="8" count="1" selected="0">
            <x v="1005"/>
          </reference>
          <reference field="9" count="1">
            <x v="611"/>
          </reference>
        </references>
      </pivotArea>
    </format>
    <format dxfId="1504">
      <pivotArea dataOnly="0" labelOnly="1" fieldPosition="0">
        <references count="6">
          <reference field="1" count="1" selected="0">
            <x v="98"/>
          </reference>
          <reference field="5" count="1" selected="0">
            <x v="19"/>
          </reference>
          <reference field="6" count="1" selected="0">
            <x v="38"/>
          </reference>
          <reference field="7" count="1" selected="0">
            <x v="185"/>
          </reference>
          <reference field="8" count="1" selected="0">
            <x v="330"/>
          </reference>
          <reference field="9" count="1">
            <x v="611"/>
          </reference>
        </references>
      </pivotArea>
    </format>
    <format dxfId="1503">
      <pivotArea dataOnly="0" labelOnly="1" fieldPosition="0">
        <references count="6">
          <reference field="1" count="1" selected="0">
            <x v="98"/>
          </reference>
          <reference field="5" count="1" selected="0">
            <x v="24"/>
          </reference>
          <reference field="6" count="1" selected="0">
            <x v="1"/>
          </reference>
          <reference field="7" count="1" selected="0">
            <x v="185"/>
          </reference>
          <reference field="8" count="1" selected="0">
            <x v="297"/>
          </reference>
          <reference field="9" count="1">
            <x v="611"/>
          </reference>
        </references>
      </pivotArea>
    </format>
    <format dxfId="1502">
      <pivotArea dataOnly="0" labelOnly="1" fieldPosition="0">
        <references count="6">
          <reference field="1" count="1" selected="0">
            <x v="98"/>
          </reference>
          <reference field="5" count="1" selected="0">
            <x v="33"/>
          </reference>
          <reference field="6" count="1" selected="0">
            <x v="6"/>
          </reference>
          <reference field="7" count="1" selected="0">
            <x v="185"/>
          </reference>
          <reference field="8" count="1" selected="0">
            <x v="469"/>
          </reference>
          <reference field="9" count="1">
            <x v="611"/>
          </reference>
        </references>
      </pivotArea>
    </format>
    <format dxfId="1501">
      <pivotArea dataOnly="0" labelOnly="1" fieldPosition="0">
        <references count="6">
          <reference field="1" count="1" selected="0">
            <x v="98"/>
          </reference>
          <reference field="5" count="1" selected="0">
            <x v="35"/>
          </reference>
          <reference field="6" count="1" selected="0">
            <x v="1"/>
          </reference>
          <reference field="7" count="1" selected="0">
            <x v="185"/>
          </reference>
          <reference field="8" count="1" selected="0">
            <x v="80"/>
          </reference>
          <reference field="9" count="1">
            <x v="611"/>
          </reference>
        </references>
      </pivotArea>
    </format>
    <format dxfId="1500">
      <pivotArea dataOnly="0" labelOnly="1" fieldPosition="0">
        <references count="6">
          <reference field="1" count="1" selected="0">
            <x v="98"/>
          </reference>
          <reference field="5" count="1" selected="0">
            <x v="36"/>
          </reference>
          <reference field="6" count="1" selected="0">
            <x v="1"/>
          </reference>
          <reference field="7" count="1" selected="0">
            <x v="185"/>
          </reference>
          <reference field="8" count="1" selected="0">
            <x v="1302"/>
          </reference>
          <reference field="9" count="1">
            <x v="611"/>
          </reference>
        </references>
      </pivotArea>
    </format>
    <format dxfId="1499">
      <pivotArea dataOnly="0" labelOnly="1" fieldPosition="0">
        <references count="6">
          <reference field="1" count="1" selected="0">
            <x v="99"/>
          </reference>
          <reference field="5" count="1" selected="0">
            <x v="0"/>
          </reference>
          <reference field="6" count="1" selected="0">
            <x v="12"/>
          </reference>
          <reference field="7" count="1" selected="0">
            <x v="24"/>
          </reference>
          <reference field="8" count="1" selected="0">
            <x v="24"/>
          </reference>
          <reference field="9" count="1">
            <x v="611"/>
          </reference>
        </references>
      </pivotArea>
    </format>
    <format dxfId="1498">
      <pivotArea dataOnly="0" labelOnly="1" fieldPosition="0">
        <references count="6">
          <reference field="1" count="1" selected="0">
            <x v="99"/>
          </reference>
          <reference field="5" count="1" selected="0">
            <x v="0"/>
          </reference>
          <reference field="6" count="1" selected="0">
            <x v="12"/>
          </reference>
          <reference field="7" count="1" selected="0">
            <x v="31"/>
          </reference>
          <reference field="8" count="1" selected="0">
            <x v="218"/>
          </reference>
          <reference field="9" count="1">
            <x v="611"/>
          </reference>
        </references>
      </pivotArea>
    </format>
    <format dxfId="1497">
      <pivotArea dataOnly="0" labelOnly="1" fieldPosition="0">
        <references count="6">
          <reference field="1" count="1" selected="0">
            <x v="99"/>
          </reference>
          <reference field="5" count="1" selected="0">
            <x v="0"/>
          </reference>
          <reference field="6" count="1" selected="0">
            <x v="12"/>
          </reference>
          <reference field="7" count="1" selected="0">
            <x v="71"/>
          </reference>
          <reference field="8" count="1" selected="0">
            <x v="37"/>
          </reference>
          <reference field="9" count="1">
            <x v="611"/>
          </reference>
        </references>
      </pivotArea>
    </format>
    <format dxfId="1496">
      <pivotArea dataOnly="0" labelOnly="1" fieldPosition="0">
        <references count="6">
          <reference field="1" count="1" selected="0">
            <x v="99"/>
          </reference>
          <reference field="5" count="1" selected="0">
            <x v="0"/>
          </reference>
          <reference field="6" count="1" selected="0">
            <x v="38"/>
          </reference>
          <reference field="7" count="1" selected="0">
            <x v="186"/>
          </reference>
          <reference field="8" count="1" selected="0">
            <x v="138"/>
          </reference>
          <reference field="9" count="1">
            <x v="611"/>
          </reference>
        </references>
      </pivotArea>
    </format>
    <format dxfId="1495">
      <pivotArea dataOnly="0" labelOnly="1" fieldPosition="0">
        <references count="6">
          <reference field="1" count="1" selected="0">
            <x v="99"/>
          </reference>
          <reference field="5" count="1" selected="0">
            <x v="2"/>
          </reference>
          <reference field="6" count="1" selected="0">
            <x v="1"/>
          </reference>
          <reference field="7" count="1" selected="0">
            <x v="186"/>
          </reference>
          <reference field="8" count="1" selected="0">
            <x v="151"/>
          </reference>
          <reference field="9" count="1">
            <x v="611"/>
          </reference>
        </references>
      </pivotArea>
    </format>
    <format dxfId="1494">
      <pivotArea dataOnly="0" labelOnly="1" fieldPosition="0">
        <references count="6">
          <reference field="1" count="1" selected="0">
            <x v="99"/>
          </reference>
          <reference field="5" count="1" selected="0">
            <x v="2"/>
          </reference>
          <reference field="6" count="1" selected="0">
            <x v="8"/>
          </reference>
          <reference field="7" count="1" selected="0">
            <x v="186"/>
          </reference>
          <reference field="8" count="1" selected="0">
            <x v="0"/>
          </reference>
          <reference field="9" count="1">
            <x v="393"/>
          </reference>
        </references>
      </pivotArea>
    </format>
    <format dxfId="1493">
      <pivotArea dataOnly="0" labelOnly="1" fieldPosition="0">
        <references count="6">
          <reference field="1" count="1" selected="0">
            <x v="99"/>
          </reference>
          <reference field="5" count="1" selected="0">
            <x v="3"/>
          </reference>
          <reference field="6" count="1" selected="0">
            <x v="38"/>
          </reference>
          <reference field="7" count="1" selected="0">
            <x v="186"/>
          </reference>
          <reference field="8" count="1" selected="0">
            <x v="352"/>
          </reference>
          <reference field="9" count="1">
            <x v="611"/>
          </reference>
        </references>
      </pivotArea>
    </format>
    <format dxfId="1492">
      <pivotArea dataOnly="0" labelOnly="1" fieldPosition="0">
        <references count="6">
          <reference field="1" count="1" selected="0">
            <x v="99"/>
          </reference>
          <reference field="5" count="1" selected="0">
            <x v="6"/>
          </reference>
          <reference field="6" count="1" selected="0">
            <x v="38"/>
          </reference>
          <reference field="7" count="1" selected="0">
            <x v="186"/>
          </reference>
          <reference field="8" count="1" selected="0">
            <x v="579"/>
          </reference>
          <reference field="9" count="1">
            <x v="611"/>
          </reference>
        </references>
      </pivotArea>
    </format>
    <format dxfId="1491">
      <pivotArea dataOnly="0" labelOnly="1" fieldPosition="0">
        <references count="6">
          <reference field="1" count="1" selected="0">
            <x v="99"/>
          </reference>
          <reference field="5" count="1" selected="0">
            <x v="12"/>
          </reference>
          <reference field="6" count="1" selected="0">
            <x v="1"/>
          </reference>
          <reference field="7" count="1" selected="0">
            <x v="186"/>
          </reference>
          <reference field="8" count="1" selected="0">
            <x v="80"/>
          </reference>
          <reference field="9" count="1">
            <x v="611"/>
          </reference>
        </references>
      </pivotArea>
    </format>
    <format dxfId="1490">
      <pivotArea dataOnly="0" labelOnly="1" fieldPosition="0">
        <references count="6">
          <reference field="1" count="1" selected="0">
            <x v="99"/>
          </reference>
          <reference field="5" count="1" selected="0">
            <x v="12"/>
          </reference>
          <reference field="6" count="1" selected="0">
            <x v="1"/>
          </reference>
          <reference field="7" count="1" selected="0">
            <x v="186"/>
          </reference>
          <reference field="8" count="1" selected="0">
            <x v="213"/>
          </reference>
          <reference field="9" count="1">
            <x v="611"/>
          </reference>
        </references>
      </pivotArea>
    </format>
    <format dxfId="1489">
      <pivotArea dataOnly="0" labelOnly="1" fieldPosition="0">
        <references count="6">
          <reference field="1" count="1" selected="0">
            <x v="99"/>
          </reference>
          <reference field="5" count="1" selected="0">
            <x v="12"/>
          </reference>
          <reference field="6" count="1" selected="0">
            <x v="1"/>
          </reference>
          <reference field="7" count="1" selected="0">
            <x v="186"/>
          </reference>
          <reference field="8" count="1" selected="0">
            <x v="352"/>
          </reference>
          <reference field="9" count="1">
            <x v="611"/>
          </reference>
        </references>
      </pivotArea>
    </format>
    <format dxfId="1488">
      <pivotArea dataOnly="0" labelOnly="1" fieldPosition="0">
        <references count="6">
          <reference field="1" count="1" selected="0">
            <x v="99"/>
          </reference>
          <reference field="5" count="1" selected="0">
            <x v="24"/>
          </reference>
          <reference field="6" count="1" selected="0">
            <x v="6"/>
          </reference>
          <reference field="7" count="1" selected="0">
            <x v="186"/>
          </reference>
          <reference field="8" count="1" selected="0">
            <x v="1013"/>
          </reference>
          <reference field="9" count="1">
            <x v="611"/>
          </reference>
        </references>
      </pivotArea>
    </format>
    <format dxfId="1487">
      <pivotArea dataOnly="0" labelOnly="1" fieldPosition="0">
        <references count="6">
          <reference field="1" count="1" selected="0">
            <x v="100"/>
          </reference>
          <reference field="5" count="1" selected="0">
            <x v="0"/>
          </reference>
          <reference field="6" count="1" selected="0">
            <x v="1"/>
          </reference>
          <reference field="7" count="1" selected="0">
            <x v="187"/>
          </reference>
          <reference field="8" count="1" selected="0">
            <x v="352"/>
          </reference>
          <reference field="9" count="1">
            <x v="611"/>
          </reference>
        </references>
      </pivotArea>
    </format>
    <format dxfId="1486">
      <pivotArea dataOnly="0" labelOnly="1" fieldPosition="0">
        <references count="6">
          <reference field="1" count="1" selected="0">
            <x v="100"/>
          </reference>
          <reference field="5" count="1" selected="0">
            <x v="0"/>
          </reference>
          <reference field="6" count="1" selected="0">
            <x v="9"/>
          </reference>
          <reference field="7" count="1" selected="0">
            <x v="187"/>
          </reference>
          <reference field="8" count="1" selected="0">
            <x v="287"/>
          </reference>
          <reference field="9" count="1">
            <x v="611"/>
          </reference>
        </references>
      </pivotArea>
    </format>
    <format dxfId="1485">
      <pivotArea dataOnly="0" labelOnly="1" fieldPosition="0">
        <references count="6">
          <reference field="1" count="1" selected="0">
            <x v="100"/>
          </reference>
          <reference field="5" count="1" selected="0">
            <x v="0"/>
          </reference>
          <reference field="6" count="1" selected="0">
            <x v="9"/>
          </reference>
          <reference field="7" count="1" selected="0">
            <x v="187"/>
          </reference>
          <reference field="8" count="1" selected="0">
            <x v="514"/>
          </reference>
          <reference field="9" count="1">
            <x v="611"/>
          </reference>
        </references>
      </pivotArea>
    </format>
    <format dxfId="1484">
      <pivotArea dataOnly="0" labelOnly="1" fieldPosition="0">
        <references count="6">
          <reference field="1" count="1" selected="0">
            <x v="100"/>
          </reference>
          <reference field="5" count="1" selected="0">
            <x v="0"/>
          </reference>
          <reference field="6" count="1" selected="0">
            <x v="9"/>
          </reference>
          <reference field="7" count="1" selected="0">
            <x v="187"/>
          </reference>
          <reference field="8" count="1" selected="0">
            <x v="515"/>
          </reference>
          <reference field="9" count="1">
            <x v="611"/>
          </reference>
        </references>
      </pivotArea>
    </format>
    <format dxfId="1483">
      <pivotArea dataOnly="0" labelOnly="1" fieldPosition="0">
        <references count="6">
          <reference field="1" count="1" selected="0">
            <x v="100"/>
          </reference>
          <reference field="5" count="1" selected="0">
            <x v="0"/>
          </reference>
          <reference field="6" count="1" selected="0">
            <x v="9"/>
          </reference>
          <reference field="7" count="1" selected="0">
            <x v="187"/>
          </reference>
          <reference field="8" count="1" selected="0">
            <x v="600"/>
          </reference>
          <reference field="9" count="1">
            <x v="611"/>
          </reference>
        </references>
      </pivotArea>
    </format>
    <format dxfId="1482">
      <pivotArea dataOnly="0" labelOnly="1" fieldPosition="0">
        <references count="6">
          <reference field="1" count="1" selected="0">
            <x v="100"/>
          </reference>
          <reference field="5" count="1" selected="0">
            <x v="0"/>
          </reference>
          <reference field="6" count="1" selected="0">
            <x v="9"/>
          </reference>
          <reference field="7" count="1" selected="0">
            <x v="187"/>
          </reference>
          <reference field="8" count="1" selected="0">
            <x v="648"/>
          </reference>
          <reference field="9" count="1">
            <x v="611"/>
          </reference>
        </references>
      </pivotArea>
    </format>
    <format dxfId="1481">
      <pivotArea dataOnly="0" labelOnly="1" fieldPosition="0">
        <references count="6">
          <reference field="1" count="1" selected="0">
            <x v="100"/>
          </reference>
          <reference field="5" count="1" selected="0">
            <x v="0"/>
          </reference>
          <reference field="6" count="1" selected="0">
            <x v="12"/>
          </reference>
          <reference field="7" count="1" selected="0">
            <x v="20"/>
          </reference>
          <reference field="8" count="1" selected="0">
            <x v="46"/>
          </reference>
          <reference field="9" count="1">
            <x v="611"/>
          </reference>
        </references>
      </pivotArea>
    </format>
    <format dxfId="1480">
      <pivotArea dataOnly="0" labelOnly="1" fieldPosition="0">
        <references count="6">
          <reference field="1" count="1" selected="0">
            <x v="100"/>
          </reference>
          <reference field="5" count="1" selected="0">
            <x v="0"/>
          </reference>
          <reference field="6" count="1" selected="0">
            <x v="12"/>
          </reference>
          <reference field="7" count="1" selected="0">
            <x v="38"/>
          </reference>
          <reference field="8" count="1" selected="0">
            <x v="6"/>
          </reference>
          <reference field="9" count="1">
            <x v="611"/>
          </reference>
        </references>
      </pivotArea>
    </format>
    <format dxfId="1479">
      <pivotArea dataOnly="0" labelOnly="1" fieldPosition="0">
        <references count="6">
          <reference field="1" count="1" selected="0">
            <x v="100"/>
          </reference>
          <reference field="5" count="1" selected="0">
            <x v="0"/>
          </reference>
          <reference field="6" count="1" selected="0">
            <x v="38"/>
          </reference>
          <reference field="7" count="1" selected="0">
            <x v="187"/>
          </reference>
          <reference field="8" count="1" selected="0">
            <x v="45"/>
          </reference>
          <reference field="9" count="1">
            <x v="611"/>
          </reference>
        </references>
      </pivotArea>
    </format>
    <format dxfId="1478">
      <pivotArea dataOnly="0" labelOnly="1" fieldPosition="0">
        <references count="6">
          <reference field="1" count="1" selected="0">
            <x v="100"/>
          </reference>
          <reference field="5" count="1" selected="0">
            <x v="0"/>
          </reference>
          <reference field="6" count="1" selected="0">
            <x v="38"/>
          </reference>
          <reference field="7" count="1" selected="0">
            <x v="187"/>
          </reference>
          <reference field="8" count="1" selected="0">
            <x v="809"/>
          </reference>
          <reference field="9" count="1">
            <x v="611"/>
          </reference>
        </references>
      </pivotArea>
    </format>
    <format dxfId="1477">
      <pivotArea dataOnly="0" labelOnly="1" fieldPosition="0">
        <references count="6">
          <reference field="1" count="1" selected="0">
            <x v="100"/>
          </reference>
          <reference field="5" count="1" selected="0">
            <x v="2"/>
          </reference>
          <reference field="6" count="1" selected="0">
            <x v="33"/>
          </reference>
          <reference field="7" count="1" selected="0">
            <x v="187"/>
          </reference>
          <reference field="8" count="1" selected="0">
            <x v="1038"/>
          </reference>
          <reference field="9" count="1">
            <x v="611"/>
          </reference>
        </references>
      </pivotArea>
    </format>
    <format dxfId="1476">
      <pivotArea dataOnly="0" labelOnly="1" fieldPosition="0">
        <references count="6">
          <reference field="1" count="1" selected="0">
            <x v="100"/>
          </reference>
          <reference field="5" count="1" selected="0">
            <x v="12"/>
          </reference>
          <reference field="6" count="1" selected="0">
            <x v="1"/>
          </reference>
          <reference field="7" count="1" selected="0">
            <x v="187"/>
          </reference>
          <reference field="8" count="1" selected="0">
            <x v="80"/>
          </reference>
          <reference field="9" count="1">
            <x v="611"/>
          </reference>
        </references>
      </pivotArea>
    </format>
    <format dxfId="1475">
      <pivotArea dataOnly="0" labelOnly="1" fieldPosition="0">
        <references count="6">
          <reference field="1" count="1" selected="0">
            <x v="100"/>
          </reference>
          <reference field="5" count="1" selected="0">
            <x v="12"/>
          </reference>
          <reference field="6" count="1" selected="0">
            <x v="1"/>
          </reference>
          <reference field="7" count="1" selected="0">
            <x v="187"/>
          </reference>
          <reference field="8" count="1" selected="0">
            <x v="213"/>
          </reference>
          <reference field="9" count="1">
            <x v="611"/>
          </reference>
        </references>
      </pivotArea>
    </format>
    <format dxfId="1474">
      <pivotArea dataOnly="0" labelOnly="1" fieldPosition="0">
        <references count="6">
          <reference field="1" count="1" selected="0">
            <x v="100"/>
          </reference>
          <reference field="5" count="1" selected="0">
            <x v="12"/>
          </reference>
          <reference field="6" count="1" selected="0">
            <x v="1"/>
          </reference>
          <reference field="7" count="1" selected="0">
            <x v="187"/>
          </reference>
          <reference field="8" count="1" selected="0">
            <x v="771"/>
          </reference>
          <reference field="9" count="1">
            <x v="611"/>
          </reference>
        </references>
      </pivotArea>
    </format>
    <format dxfId="1473">
      <pivotArea dataOnly="0" labelOnly="1" fieldPosition="0">
        <references count="6">
          <reference field="1" count="1" selected="0">
            <x v="100"/>
          </reference>
          <reference field="5" count="1" selected="0">
            <x v="15"/>
          </reference>
          <reference field="6" count="1" selected="0">
            <x v="8"/>
          </reference>
          <reference field="7" count="1" selected="0">
            <x v="187"/>
          </reference>
          <reference field="8" count="1" selected="0">
            <x v="458"/>
          </reference>
          <reference field="9" count="1">
            <x v="611"/>
          </reference>
        </references>
      </pivotArea>
    </format>
    <format dxfId="1472">
      <pivotArea dataOnly="0" labelOnly="1" fieldPosition="0">
        <references count="6">
          <reference field="1" count="1" selected="0">
            <x v="100"/>
          </reference>
          <reference field="5" count="1" selected="0">
            <x v="21"/>
          </reference>
          <reference field="6" count="1" selected="0">
            <x v="38"/>
          </reference>
          <reference field="7" count="1" selected="0">
            <x v="187"/>
          </reference>
          <reference field="8" count="1" selected="0">
            <x v="80"/>
          </reference>
          <reference field="9" count="1">
            <x v="611"/>
          </reference>
        </references>
      </pivotArea>
    </format>
    <format dxfId="1471">
      <pivotArea dataOnly="0" labelOnly="1" fieldPosition="0">
        <references count="6">
          <reference field="1" count="1" selected="0">
            <x v="100"/>
          </reference>
          <reference field="5" count="1" selected="0">
            <x v="24"/>
          </reference>
          <reference field="6" count="1" selected="0">
            <x v="10"/>
          </reference>
          <reference field="7" count="1" selected="0">
            <x v="187"/>
          </reference>
          <reference field="8" count="1" selected="0">
            <x v="445"/>
          </reference>
          <reference field="9" count="1">
            <x v="611"/>
          </reference>
        </references>
      </pivotArea>
    </format>
    <format dxfId="1470">
      <pivotArea dataOnly="0" labelOnly="1" fieldPosition="0">
        <references count="6">
          <reference field="1" count="1" selected="0">
            <x v="100"/>
          </reference>
          <reference field="5" count="1" selected="0">
            <x v="35"/>
          </reference>
          <reference field="6" count="1" selected="0">
            <x v="1"/>
          </reference>
          <reference field="7" count="1" selected="0">
            <x v="187"/>
          </reference>
          <reference field="8" count="1" selected="0">
            <x v="80"/>
          </reference>
          <reference field="9" count="1">
            <x v="611"/>
          </reference>
        </references>
      </pivotArea>
    </format>
    <format dxfId="1469">
      <pivotArea dataOnly="0" labelOnly="1" fieldPosition="0">
        <references count="6">
          <reference field="1" count="1" selected="0">
            <x v="100"/>
          </reference>
          <reference field="5" count="1" selected="0">
            <x v="36"/>
          </reference>
          <reference field="6" count="1" selected="0">
            <x v="1"/>
          </reference>
          <reference field="7" count="1" selected="0">
            <x v="187"/>
          </reference>
          <reference field="8" count="1" selected="0">
            <x v="190"/>
          </reference>
          <reference field="9" count="1">
            <x v="611"/>
          </reference>
        </references>
      </pivotArea>
    </format>
    <format dxfId="1468">
      <pivotArea dataOnly="0" labelOnly="1" fieldPosition="0">
        <references count="6">
          <reference field="1" count="1" selected="0">
            <x v="101"/>
          </reference>
          <reference field="5" count="1" selected="0">
            <x v="0"/>
          </reference>
          <reference field="6" count="1" selected="0">
            <x v="1"/>
          </reference>
          <reference field="7" count="1" selected="0">
            <x v="189"/>
          </reference>
          <reference field="8" count="1" selected="0">
            <x v="500"/>
          </reference>
          <reference field="9" count="1">
            <x v="611"/>
          </reference>
        </references>
      </pivotArea>
    </format>
    <format dxfId="1467">
      <pivotArea dataOnly="0" labelOnly="1" fieldPosition="0">
        <references count="6">
          <reference field="1" count="1" selected="0">
            <x v="101"/>
          </reference>
          <reference field="5" count="1" selected="0">
            <x v="0"/>
          </reference>
          <reference field="6" count="1" selected="0">
            <x v="6"/>
          </reference>
          <reference field="7" count="1" selected="0">
            <x v="189"/>
          </reference>
          <reference field="8" count="1" selected="0">
            <x v="372"/>
          </reference>
          <reference field="9" count="1">
            <x v="611"/>
          </reference>
        </references>
      </pivotArea>
    </format>
    <format dxfId="1466">
      <pivotArea dataOnly="0" labelOnly="1" fieldPosition="0">
        <references count="6">
          <reference field="1" count="1" selected="0">
            <x v="101"/>
          </reference>
          <reference field="5" count="1" selected="0">
            <x v="0"/>
          </reference>
          <reference field="6" count="1" selected="0">
            <x v="6"/>
          </reference>
          <reference field="7" count="1" selected="0">
            <x v="189"/>
          </reference>
          <reference field="8" count="1" selected="0">
            <x v="469"/>
          </reference>
          <reference field="9" count="1">
            <x v="611"/>
          </reference>
        </references>
      </pivotArea>
    </format>
    <format dxfId="1465">
      <pivotArea dataOnly="0" labelOnly="1" fieldPosition="0">
        <references count="6">
          <reference field="1" count="1" selected="0">
            <x v="101"/>
          </reference>
          <reference field="5" count="1" selected="0">
            <x v="0"/>
          </reference>
          <reference field="6" count="1" selected="0">
            <x v="8"/>
          </reference>
          <reference field="7" count="1" selected="0">
            <x v="189"/>
          </reference>
          <reference field="8" count="1" selected="0">
            <x v="95"/>
          </reference>
          <reference field="9" count="1">
            <x v="611"/>
          </reference>
        </references>
      </pivotArea>
    </format>
    <format dxfId="1464">
      <pivotArea dataOnly="0" labelOnly="1" fieldPosition="0">
        <references count="6">
          <reference field="1" count="1" selected="0">
            <x v="101"/>
          </reference>
          <reference field="5" count="1" selected="0">
            <x v="0"/>
          </reference>
          <reference field="6" count="1" selected="0">
            <x v="9"/>
          </reference>
          <reference field="7" count="1" selected="0">
            <x v="189"/>
          </reference>
          <reference field="8" count="1" selected="0">
            <x v="179"/>
          </reference>
          <reference field="9" count="1">
            <x v="611"/>
          </reference>
        </references>
      </pivotArea>
    </format>
    <format dxfId="1463">
      <pivotArea dataOnly="0" labelOnly="1" fieldPosition="0">
        <references count="6">
          <reference field="1" count="1" selected="0">
            <x v="101"/>
          </reference>
          <reference field="5" count="1" selected="0">
            <x v="0"/>
          </reference>
          <reference field="6" count="1" selected="0">
            <x v="9"/>
          </reference>
          <reference field="7" count="1" selected="0">
            <x v="189"/>
          </reference>
          <reference field="8" count="1" selected="0">
            <x v="260"/>
          </reference>
          <reference field="9" count="1">
            <x v="611"/>
          </reference>
        </references>
      </pivotArea>
    </format>
    <format dxfId="1462">
      <pivotArea dataOnly="0" labelOnly="1" fieldPosition="0">
        <references count="6">
          <reference field="1" count="1" selected="0">
            <x v="101"/>
          </reference>
          <reference field="5" count="1" selected="0">
            <x v="0"/>
          </reference>
          <reference field="6" count="1" selected="0">
            <x v="9"/>
          </reference>
          <reference field="7" count="1" selected="0">
            <x v="189"/>
          </reference>
          <reference field="8" count="1" selected="0">
            <x v="300"/>
          </reference>
          <reference field="9" count="1">
            <x v="611"/>
          </reference>
        </references>
      </pivotArea>
    </format>
    <format dxfId="1461">
      <pivotArea dataOnly="0" labelOnly="1" fieldPosition="0">
        <references count="6">
          <reference field="1" count="1" selected="0">
            <x v="101"/>
          </reference>
          <reference field="5" count="1" selected="0">
            <x v="0"/>
          </reference>
          <reference field="6" count="1" selected="0">
            <x v="9"/>
          </reference>
          <reference field="7" count="1" selected="0">
            <x v="189"/>
          </reference>
          <reference field="8" count="1" selected="0">
            <x v="670"/>
          </reference>
          <reference field="9" count="1">
            <x v="611"/>
          </reference>
        </references>
      </pivotArea>
    </format>
    <format dxfId="1460">
      <pivotArea dataOnly="0" labelOnly="1" fieldPosition="0">
        <references count="6">
          <reference field="1" count="1" selected="0">
            <x v="101"/>
          </reference>
          <reference field="5" count="1" selected="0">
            <x v="0"/>
          </reference>
          <reference field="6" count="1" selected="0">
            <x v="9"/>
          </reference>
          <reference field="7" count="1" selected="0">
            <x v="189"/>
          </reference>
          <reference field="8" count="1" selected="0">
            <x v="907"/>
          </reference>
          <reference field="9" count="1">
            <x v="611"/>
          </reference>
        </references>
      </pivotArea>
    </format>
    <format dxfId="1459">
      <pivotArea dataOnly="0" labelOnly="1" fieldPosition="0">
        <references count="6">
          <reference field="1" count="1" selected="0">
            <x v="101"/>
          </reference>
          <reference field="5" count="1" selected="0">
            <x v="0"/>
          </reference>
          <reference field="6" count="1" selected="0">
            <x v="9"/>
          </reference>
          <reference field="7" count="1" selected="0">
            <x v="189"/>
          </reference>
          <reference field="8" count="1" selected="0">
            <x v="1060"/>
          </reference>
          <reference field="9" count="1">
            <x v="611"/>
          </reference>
        </references>
      </pivotArea>
    </format>
    <format dxfId="1458">
      <pivotArea dataOnly="0" labelOnly="1" fieldPosition="0">
        <references count="6">
          <reference field="1" count="1" selected="0">
            <x v="101"/>
          </reference>
          <reference field="5" count="1" selected="0">
            <x v="0"/>
          </reference>
          <reference field="6" count="1" selected="0">
            <x v="12"/>
          </reference>
          <reference field="7" count="1" selected="0">
            <x v="16"/>
          </reference>
          <reference field="8" count="1" selected="0">
            <x v="138"/>
          </reference>
          <reference field="9" count="1">
            <x v="611"/>
          </reference>
        </references>
      </pivotArea>
    </format>
    <format dxfId="1457">
      <pivotArea dataOnly="0" labelOnly="1" fieldPosition="0">
        <references count="6">
          <reference field="1" count="1" selected="0">
            <x v="101"/>
          </reference>
          <reference field="5" count="1" selected="0">
            <x v="0"/>
          </reference>
          <reference field="6" count="1" selected="0">
            <x v="12"/>
          </reference>
          <reference field="7" count="1" selected="0">
            <x v="17"/>
          </reference>
          <reference field="8" count="1" selected="0">
            <x v="96"/>
          </reference>
          <reference field="9" count="1">
            <x v="611"/>
          </reference>
        </references>
      </pivotArea>
    </format>
    <format dxfId="1456">
      <pivotArea dataOnly="0" labelOnly="1" fieldPosition="0">
        <references count="6">
          <reference field="1" count="1" selected="0">
            <x v="101"/>
          </reference>
          <reference field="5" count="1" selected="0">
            <x v="0"/>
          </reference>
          <reference field="6" count="1" selected="0">
            <x v="12"/>
          </reference>
          <reference field="7" count="1" selected="0">
            <x v="34"/>
          </reference>
          <reference field="8" count="1" selected="0">
            <x v="199"/>
          </reference>
          <reference field="9" count="1">
            <x v="611"/>
          </reference>
        </references>
      </pivotArea>
    </format>
    <format dxfId="1455">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580"/>
          </reference>
          <reference field="9" count="1">
            <x v="611"/>
          </reference>
        </references>
      </pivotArea>
    </format>
    <format dxfId="1454">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753"/>
          </reference>
          <reference field="9" count="1">
            <x v="611"/>
          </reference>
        </references>
      </pivotArea>
    </format>
    <format dxfId="1453">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877"/>
          </reference>
          <reference field="9" count="1">
            <x v="611"/>
          </reference>
        </references>
      </pivotArea>
    </format>
    <format dxfId="1452">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931"/>
          </reference>
          <reference field="9" count="1">
            <x v="611"/>
          </reference>
        </references>
      </pivotArea>
    </format>
    <format dxfId="1451">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998"/>
          </reference>
          <reference field="9" count="1">
            <x v="611"/>
          </reference>
        </references>
      </pivotArea>
    </format>
    <format dxfId="1450">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1008"/>
          </reference>
          <reference field="9" count="1">
            <x v="611"/>
          </reference>
        </references>
      </pivotArea>
    </format>
    <format dxfId="1449">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1021"/>
          </reference>
          <reference field="9" count="1">
            <x v="611"/>
          </reference>
        </references>
      </pivotArea>
    </format>
    <format dxfId="1448">
      <pivotArea dataOnly="0" labelOnly="1" fieldPosition="0">
        <references count="6">
          <reference field="1" count="1" selected="0">
            <x v="101"/>
          </reference>
          <reference field="5" count="1" selected="0">
            <x v="0"/>
          </reference>
          <reference field="6" count="1" selected="0">
            <x v="19"/>
          </reference>
          <reference field="7" count="1" selected="0">
            <x v="188"/>
          </reference>
          <reference field="8" count="1" selected="0">
            <x v="1588"/>
          </reference>
          <reference field="9" count="1">
            <x v="611"/>
          </reference>
        </references>
      </pivotArea>
    </format>
    <format dxfId="1447">
      <pivotArea dataOnly="0" labelOnly="1" fieldPosition="0">
        <references count="6">
          <reference field="1" count="1" selected="0">
            <x v="101"/>
          </reference>
          <reference field="5" count="1" selected="0">
            <x v="0"/>
          </reference>
          <reference field="6" count="1" selected="0">
            <x v="38"/>
          </reference>
          <reference field="7" count="1" selected="0">
            <x v="189"/>
          </reference>
          <reference field="8" count="1" selected="0">
            <x v="138"/>
          </reference>
          <reference field="9" count="1">
            <x v="611"/>
          </reference>
        </references>
      </pivotArea>
    </format>
    <format dxfId="1446">
      <pivotArea dataOnly="0" labelOnly="1" fieldPosition="0">
        <references count="6">
          <reference field="1" count="1" selected="0">
            <x v="101"/>
          </reference>
          <reference field="5" count="1" selected="0">
            <x v="2"/>
          </reference>
          <reference field="6" count="1" selected="0">
            <x v="19"/>
          </reference>
          <reference field="7" count="1" selected="0">
            <x v="188"/>
          </reference>
          <reference field="8" count="1" selected="0">
            <x v="1803"/>
          </reference>
          <reference field="9" count="1">
            <x v="611"/>
          </reference>
        </references>
      </pivotArea>
    </format>
    <format dxfId="1445">
      <pivotArea dataOnly="0" labelOnly="1" fieldPosition="0">
        <references count="6">
          <reference field="1" count="1" selected="0">
            <x v="101"/>
          </reference>
          <reference field="5" count="1" selected="0">
            <x v="3"/>
          </reference>
          <reference field="6" count="1" selected="0">
            <x v="19"/>
          </reference>
          <reference field="7" count="1" selected="0">
            <x v="188"/>
          </reference>
          <reference field="8" count="1" selected="0">
            <x v="251"/>
          </reference>
          <reference field="9" count="1">
            <x v="611"/>
          </reference>
        </references>
      </pivotArea>
    </format>
    <format dxfId="1444">
      <pivotArea dataOnly="0" labelOnly="1" fieldPosition="0">
        <references count="6">
          <reference field="1" count="1" selected="0">
            <x v="101"/>
          </reference>
          <reference field="5" count="1" selected="0">
            <x v="3"/>
          </reference>
          <reference field="6" count="1" selected="0">
            <x v="38"/>
          </reference>
          <reference field="7" count="1" selected="0">
            <x v="189"/>
          </reference>
          <reference field="8" count="1" selected="0">
            <x v="182"/>
          </reference>
          <reference field="9" count="1">
            <x v="611"/>
          </reference>
        </references>
      </pivotArea>
    </format>
    <format dxfId="1443">
      <pivotArea dataOnly="0" labelOnly="1" fieldPosition="0">
        <references count="6">
          <reference field="1" count="1" selected="0">
            <x v="101"/>
          </reference>
          <reference field="5" count="1" selected="0">
            <x v="10"/>
          </reference>
          <reference field="6" count="1" selected="0">
            <x v="19"/>
          </reference>
          <reference field="7" count="1" selected="0">
            <x v="188"/>
          </reference>
          <reference field="8" count="1" selected="0">
            <x v="1535"/>
          </reference>
          <reference field="9" count="1">
            <x v="611"/>
          </reference>
        </references>
      </pivotArea>
    </format>
    <format dxfId="1442">
      <pivotArea dataOnly="0" labelOnly="1" fieldPosition="0">
        <references count="6">
          <reference field="1" count="1" selected="0">
            <x v="101"/>
          </reference>
          <reference field="5" count="1" selected="0">
            <x v="11"/>
          </reference>
          <reference field="6" count="1" selected="0">
            <x v="8"/>
          </reference>
          <reference field="7" count="1" selected="0">
            <x v="189"/>
          </reference>
          <reference field="8" count="1" selected="0">
            <x v="1045"/>
          </reference>
          <reference field="9" count="1">
            <x v="611"/>
          </reference>
        </references>
      </pivotArea>
    </format>
    <format dxfId="1441">
      <pivotArea dataOnly="0" labelOnly="1" fieldPosition="0">
        <references count="6">
          <reference field="1" count="1" selected="0">
            <x v="101"/>
          </reference>
          <reference field="5" count="1" selected="0">
            <x v="12"/>
          </reference>
          <reference field="6" count="1" selected="0">
            <x v="1"/>
          </reference>
          <reference field="7" count="1" selected="0">
            <x v="189"/>
          </reference>
          <reference field="8" count="1" selected="0">
            <x v="213"/>
          </reference>
          <reference field="9" count="1">
            <x v="611"/>
          </reference>
        </references>
      </pivotArea>
    </format>
    <format dxfId="1440">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99"/>
          </reference>
          <reference field="9" count="1">
            <x v="611"/>
          </reference>
        </references>
      </pivotArea>
    </format>
    <format dxfId="1439">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10"/>
          </reference>
          <reference field="9" count="1">
            <x v="611"/>
          </reference>
        </references>
      </pivotArea>
    </format>
    <format dxfId="1438">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370"/>
          </reference>
          <reference field="9" count="1">
            <x v="611"/>
          </reference>
        </references>
      </pivotArea>
    </format>
    <format dxfId="1437">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032"/>
          </reference>
          <reference field="9" count="1">
            <x v="611"/>
          </reference>
        </references>
      </pivotArea>
    </format>
    <format dxfId="1436">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191"/>
          </reference>
          <reference field="9" count="1">
            <x v="611"/>
          </reference>
        </references>
      </pivotArea>
    </format>
    <format dxfId="1435">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221"/>
          </reference>
          <reference field="9" count="1">
            <x v="611"/>
          </reference>
        </references>
      </pivotArea>
    </format>
    <format dxfId="1434">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349"/>
          </reference>
          <reference field="9" count="1">
            <x v="611"/>
          </reference>
        </references>
      </pivotArea>
    </format>
    <format dxfId="1433">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392"/>
          </reference>
          <reference field="9" count="1">
            <x v="611"/>
          </reference>
        </references>
      </pivotArea>
    </format>
    <format dxfId="1432">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438"/>
          </reference>
          <reference field="9" count="1">
            <x v="611"/>
          </reference>
        </references>
      </pivotArea>
    </format>
    <format dxfId="1431">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452"/>
          </reference>
          <reference field="9" count="1">
            <x v="611"/>
          </reference>
        </references>
      </pivotArea>
    </format>
    <format dxfId="1430">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498"/>
          </reference>
          <reference field="9" count="1">
            <x v="611"/>
          </reference>
        </references>
      </pivotArea>
    </format>
    <format dxfId="1429">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544"/>
          </reference>
          <reference field="9" count="1">
            <x v="611"/>
          </reference>
        </references>
      </pivotArea>
    </format>
    <format dxfId="1428">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549"/>
          </reference>
          <reference field="9" count="1">
            <x v="611"/>
          </reference>
        </references>
      </pivotArea>
    </format>
    <format dxfId="1427">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550"/>
          </reference>
          <reference field="9" count="1">
            <x v="611"/>
          </reference>
        </references>
      </pivotArea>
    </format>
    <format dxfId="1426">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552"/>
          </reference>
          <reference field="9" count="1">
            <x v="611"/>
          </reference>
        </references>
      </pivotArea>
    </format>
    <format dxfId="1425">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556"/>
          </reference>
          <reference field="9" count="1">
            <x v="611"/>
          </reference>
        </references>
      </pivotArea>
    </format>
    <format dxfId="1424">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610"/>
          </reference>
          <reference field="9" count="1">
            <x v="611"/>
          </reference>
        </references>
      </pivotArea>
    </format>
    <format dxfId="1423">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617"/>
          </reference>
          <reference field="9" count="1">
            <x v="611"/>
          </reference>
        </references>
      </pivotArea>
    </format>
    <format dxfId="1422">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695"/>
          </reference>
          <reference field="9" count="1">
            <x v="611"/>
          </reference>
        </references>
      </pivotArea>
    </format>
    <format dxfId="1421">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703"/>
          </reference>
          <reference field="9" count="1">
            <x v="611"/>
          </reference>
        </references>
      </pivotArea>
    </format>
    <format dxfId="1420">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704"/>
          </reference>
          <reference field="9" count="1">
            <x v="611"/>
          </reference>
        </references>
      </pivotArea>
    </format>
    <format dxfId="1419">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727"/>
          </reference>
          <reference field="9" count="1">
            <x v="611"/>
          </reference>
        </references>
      </pivotArea>
    </format>
    <format dxfId="1418">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731"/>
          </reference>
          <reference field="9" count="1">
            <x v="611"/>
          </reference>
        </references>
      </pivotArea>
    </format>
    <format dxfId="1417">
      <pivotArea dataOnly="0" labelOnly="1" fieldPosition="0">
        <references count="6">
          <reference field="1" count="1" selected="0">
            <x v="101"/>
          </reference>
          <reference field="5" count="1" selected="0">
            <x v="12"/>
          </reference>
          <reference field="6" count="1" selected="0">
            <x v="19"/>
          </reference>
          <reference field="7" count="1" selected="0">
            <x v="188"/>
          </reference>
          <reference field="8" count="1" selected="0">
            <x v="1812"/>
          </reference>
          <reference field="9" count="1">
            <x v="611"/>
          </reference>
        </references>
      </pivotArea>
    </format>
    <format dxfId="1416">
      <pivotArea dataOnly="0" labelOnly="1" fieldPosition="0">
        <references count="6">
          <reference field="1" count="1" selected="0">
            <x v="101"/>
          </reference>
          <reference field="5" count="1" selected="0">
            <x v="15"/>
          </reference>
          <reference field="6" count="1" selected="0">
            <x v="19"/>
          </reference>
          <reference field="7" count="1" selected="0">
            <x v="188"/>
          </reference>
          <reference field="8" count="1" selected="0">
            <x v="1862"/>
          </reference>
          <reference field="9" count="1">
            <x v="611"/>
          </reference>
        </references>
      </pivotArea>
    </format>
    <format dxfId="1415">
      <pivotArea dataOnly="0" labelOnly="1" fieldPosition="0">
        <references count="6">
          <reference field="1" count="1" selected="0">
            <x v="101"/>
          </reference>
          <reference field="5" count="1" selected="0">
            <x v="17"/>
          </reference>
          <reference field="6" count="1" selected="0">
            <x v="19"/>
          </reference>
          <reference field="7" count="1" selected="0">
            <x v="188"/>
          </reference>
          <reference field="8" count="1" selected="0">
            <x v="323"/>
          </reference>
          <reference field="9" count="1">
            <x v="611"/>
          </reference>
        </references>
      </pivotArea>
    </format>
    <format dxfId="1414">
      <pivotArea dataOnly="0" labelOnly="1" fieldPosition="0">
        <references count="6">
          <reference field="1" count="1" selected="0">
            <x v="101"/>
          </reference>
          <reference field="5" count="1" selected="0">
            <x v="21"/>
          </reference>
          <reference field="6" count="1" selected="0">
            <x v="6"/>
          </reference>
          <reference field="7" count="1" selected="0">
            <x v="189"/>
          </reference>
          <reference field="8" count="1" selected="0">
            <x v="864"/>
          </reference>
          <reference field="9" count="1">
            <x v="611"/>
          </reference>
        </references>
      </pivotArea>
    </format>
    <format dxfId="1413">
      <pivotArea dataOnly="0" labelOnly="1" fieldPosition="0">
        <references count="6">
          <reference field="1" count="1" selected="0">
            <x v="101"/>
          </reference>
          <reference field="5" count="1" selected="0">
            <x v="21"/>
          </reference>
          <reference field="6" count="1" selected="0">
            <x v="19"/>
          </reference>
          <reference field="7" count="1" selected="0">
            <x v="188"/>
          </reference>
          <reference field="8" count="1" selected="0">
            <x v="1833"/>
          </reference>
          <reference field="9" count="1">
            <x v="611"/>
          </reference>
        </references>
      </pivotArea>
    </format>
    <format dxfId="1412">
      <pivotArea dataOnly="0" labelOnly="1" fieldPosition="0">
        <references count="6">
          <reference field="1" count="1" selected="0">
            <x v="101"/>
          </reference>
          <reference field="5" count="1" selected="0">
            <x v="23"/>
          </reference>
          <reference field="6" count="1" selected="0">
            <x v="6"/>
          </reference>
          <reference field="7" count="1" selected="0">
            <x v="189"/>
          </reference>
          <reference field="8" count="1" selected="0">
            <x v="979"/>
          </reference>
          <reference field="9" count="1">
            <x v="611"/>
          </reference>
        </references>
      </pivotArea>
    </format>
    <format dxfId="1411">
      <pivotArea dataOnly="0" labelOnly="1" fieldPosition="0">
        <references count="6">
          <reference field="1" count="1" selected="0">
            <x v="101"/>
          </reference>
          <reference field="5" count="1" selected="0">
            <x v="23"/>
          </reference>
          <reference field="6" count="1" selected="0">
            <x v="19"/>
          </reference>
          <reference field="7" count="1" selected="0">
            <x v="188"/>
          </reference>
          <reference field="8" count="1" selected="0">
            <x v="1860"/>
          </reference>
          <reference field="9" count="1">
            <x v="611"/>
          </reference>
        </references>
      </pivotArea>
    </format>
    <format dxfId="1410">
      <pivotArea dataOnly="0" labelOnly="1" fieldPosition="0">
        <references count="6">
          <reference field="1" count="1" selected="0">
            <x v="101"/>
          </reference>
          <reference field="5" count="1" selected="0">
            <x v="23"/>
          </reference>
          <reference field="6" count="1" selected="0">
            <x v="38"/>
          </reference>
          <reference field="7" count="1" selected="0">
            <x v="189"/>
          </reference>
          <reference field="8" count="1" selected="0">
            <x v="347"/>
          </reference>
          <reference field="9" count="1">
            <x v="611"/>
          </reference>
        </references>
      </pivotArea>
    </format>
    <format dxfId="1409">
      <pivotArea dataOnly="0" labelOnly="1" fieldPosition="0">
        <references count="6">
          <reference field="1" count="1" selected="0">
            <x v="101"/>
          </reference>
          <reference field="5" count="1" selected="0">
            <x v="24"/>
          </reference>
          <reference field="6" count="1" selected="0">
            <x v="19"/>
          </reference>
          <reference field="7" count="1" selected="0">
            <x v="188"/>
          </reference>
          <reference field="8" count="1" selected="0">
            <x v="1680"/>
          </reference>
          <reference field="9" count="1">
            <x v="611"/>
          </reference>
        </references>
      </pivotArea>
    </format>
    <format dxfId="1408">
      <pivotArea dataOnly="0" labelOnly="1" fieldPosition="0">
        <references count="6">
          <reference field="1" count="1" selected="0">
            <x v="101"/>
          </reference>
          <reference field="5" count="1" selected="0">
            <x v="26"/>
          </reference>
          <reference field="6" count="1" selected="0">
            <x v="19"/>
          </reference>
          <reference field="7" count="1" selected="0">
            <x v="188"/>
          </reference>
          <reference field="8" count="1" selected="0">
            <x v="588"/>
          </reference>
          <reference field="9" count="1">
            <x v="611"/>
          </reference>
        </references>
      </pivotArea>
    </format>
    <format dxfId="1407">
      <pivotArea dataOnly="0" labelOnly="1" fieldPosition="0">
        <references count="6">
          <reference field="1" count="1" selected="0">
            <x v="101"/>
          </reference>
          <reference field="5" count="1" selected="0">
            <x v="35"/>
          </reference>
          <reference field="6" count="1" selected="0">
            <x v="1"/>
          </reference>
          <reference field="7" count="1" selected="0">
            <x v="189"/>
          </reference>
          <reference field="8" count="1" selected="0">
            <x v="80"/>
          </reference>
          <reference field="9" count="1">
            <x v="611"/>
          </reference>
        </references>
      </pivotArea>
    </format>
    <format dxfId="1406">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00"/>
          </reference>
          <reference field="9" count="1">
            <x v="611"/>
          </reference>
        </references>
      </pivotArea>
    </format>
    <format dxfId="1405">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50"/>
          </reference>
          <reference field="9" count="1">
            <x v="611"/>
          </reference>
        </references>
      </pivotArea>
    </format>
    <format dxfId="1404">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85"/>
          </reference>
          <reference field="9" count="1">
            <x v="611"/>
          </reference>
        </references>
      </pivotArea>
    </format>
    <format dxfId="1403">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381"/>
          </reference>
          <reference field="9" count="1">
            <x v="611"/>
          </reference>
        </references>
      </pivotArea>
    </format>
    <format dxfId="1402">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411"/>
          </reference>
          <reference field="9" count="1">
            <x v="611"/>
          </reference>
        </references>
      </pivotArea>
    </format>
    <format dxfId="1401">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421"/>
          </reference>
          <reference field="9" count="1">
            <x v="611"/>
          </reference>
        </references>
      </pivotArea>
    </format>
    <format dxfId="1400">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501"/>
          </reference>
          <reference field="9" count="1">
            <x v="611"/>
          </reference>
        </references>
      </pivotArea>
    </format>
    <format dxfId="1399">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506"/>
          </reference>
          <reference field="9" count="1">
            <x v="611"/>
          </reference>
        </references>
      </pivotArea>
    </format>
    <format dxfId="1398">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577"/>
          </reference>
          <reference field="9" count="1">
            <x v="611"/>
          </reference>
        </references>
      </pivotArea>
    </format>
    <format dxfId="1397">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608"/>
          </reference>
          <reference field="9" count="1">
            <x v="611"/>
          </reference>
        </references>
      </pivotArea>
    </format>
    <format dxfId="1396">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644"/>
          </reference>
          <reference field="9" count="1">
            <x v="611"/>
          </reference>
        </references>
      </pivotArea>
    </format>
    <format dxfId="1395">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810"/>
          </reference>
          <reference field="9" count="1">
            <x v="611"/>
          </reference>
        </references>
      </pivotArea>
    </format>
    <format dxfId="1394">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127"/>
          </reference>
          <reference field="9" count="1">
            <x v="611"/>
          </reference>
        </references>
      </pivotArea>
    </format>
    <format dxfId="1393">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130"/>
          </reference>
          <reference field="9" count="1">
            <x v="611"/>
          </reference>
        </references>
      </pivotArea>
    </format>
    <format dxfId="1392">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255"/>
          </reference>
          <reference field="9" count="1">
            <x v="611"/>
          </reference>
        </references>
      </pivotArea>
    </format>
    <format dxfId="1391">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517"/>
          </reference>
          <reference field="9" count="1">
            <x v="611"/>
          </reference>
        </references>
      </pivotArea>
    </format>
    <format dxfId="1390">
      <pivotArea dataOnly="0" labelOnly="1" fieldPosition="0">
        <references count="6">
          <reference field="1" count="1" selected="0">
            <x v="101"/>
          </reference>
          <reference field="5" count="1" selected="0">
            <x v="35"/>
          </reference>
          <reference field="6" count="1" selected="0">
            <x v="19"/>
          </reference>
          <reference field="7" count="1" selected="0">
            <x v="188"/>
          </reference>
          <reference field="8" count="1" selected="0">
            <x v="1526"/>
          </reference>
          <reference field="9" count="1">
            <x v="611"/>
          </reference>
        </references>
      </pivotArea>
    </format>
    <format dxfId="1389">
      <pivotArea dataOnly="0" labelOnly="1" fieldPosition="0">
        <references count="6">
          <reference field="1" count="1" selected="0">
            <x v="101"/>
          </reference>
          <reference field="5" count="1" selected="0">
            <x v="36"/>
          </reference>
          <reference field="6" count="1" selected="0">
            <x v="8"/>
          </reference>
          <reference field="7" count="1" selected="0">
            <x v="189"/>
          </reference>
          <reference field="8" count="1" selected="0">
            <x v="1747"/>
          </reference>
          <reference field="9" count="1">
            <x v="611"/>
          </reference>
        </references>
      </pivotArea>
    </format>
    <format dxfId="1388">
      <pivotArea dataOnly="0" labelOnly="1" fieldPosition="0">
        <references count="6">
          <reference field="1" count="1" selected="0">
            <x v="101"/>
          </reference>
          <reference field="5" count="1" selected="0">
            <x v="36"/>
          </reference>
          <reference field="6" count="1" selected="0">
            <x v="9"/>
          </reference>
          <reference field="7" count="1" selected="0">
            <x v="189"/>
          </reference>
          <reference field="8" count="1" selected="0">
            <x v="41"/>
          </reference>
          <reference field="9" count="1">
            <x v="611"/>
          </reference>
        </references>
      </pivotArea>
    </format>
    <format dxfId="1387">
      <pivotArea dataOnly="0" labelOnly="1" fieldPosition="0">
        <references count="6">
          <reference field="1" count="1" selected="0">
            <x v="101"/>
          </reference>
          <reference field="5" count="1" selected="0">
            <x v="37"/>
          </reference>
          <reference field="6" count="1" selected="0">
            <x v="38"/>
          </reference>
          <reference field="7" count="1" selected="0">
            <x v="189"/>
          </reference>
          <reference field="8" count="1" selected="0">
            <x v="114"/>
          </reference>
          <reference field="9" count="1">
            <x v="611"/>
          </reference>
        </references>
      </pivotArea>
    </format>
    <format dxfId="1386">
      <pivotArea dataOnly="0" labelOnly="1" fieldPosition="0">
        <references count="6">
          <reference field="1" count="1" selected="0">
            <x v="102"/>
          </reference>
          <reference field="5" count="1" selected="0">
            <x v="0"/>
          </reference>
          <reference field="6" count="1" selected="0">
            <x v="12"/>
          </reference>
          <reference field="7" count="1" selected="0">
            <x v="26"/>
          </reference>
          <reference field="8" count="1" selected="0">
            <x v="52"/>
          </reference>
          <reference field="9" count="1">
            <x v="611"/>
          </reference>
        </references>
      </pivotArea>
    </format>
    <format dxfId="1385">
      <pivotArea dataOnly="0" labelOnly="1" fieldPosition="0">
        <references count="6">
          <reference field="1" count="1" selected="0">
            <x v="103"/>
          </reference>
          <reference field="5" count="1" selected="0">
            <x v="0"/>
          </reference>
          <reference field="6" count="1" selected="0">
            <x v="1"/>
          </reference>
          <reference field="7" count="1" selected="0">
            <x v="190"/>
          </reference>
          <reference field="8" count="1" selected="0">
            <x v="80"/>
          </reference>
          <reference field="9" count="1">
            <x v="611"/>
          </reference>
        </references>
      </pivotArea>
    </format>
    <format dxfId="1384">
      <pivotArea dataOnly="0" labelOnly="1" fieldPosition="0">
        <references count="6">
          <reference field="1" count="1" selected="0">
            <x v="103"/>
          </reference>
          <reference field="5" count="1" selected="0">
            <x v="0"/>
          </reference>
          <reference field="6" count="1" selected="0">
            <x v="9"/>
          </reference>
          <reference field="7" count="1" selected="0">
            <x v="190"/>
          </reference>
          <reference field="8" count="1" selected="0">
            <x v="368"/>
          </reference>
          <reference field="9" count="1">
            <x v="611"/>
          </reference>
        </references>
      </pivotArea>
    </format>
    <format dxfId="1383">
      <pivotArea dataOnly="0" labelOnly="1" fieldPosition="0">
        <references count="6">
          <reference field="1" count="1" selected="0">
            <x v="103"/>
          </reference>
          <reference field="5" count="1" selected="0">
            <x v="0"/>
          </reference>
          <reference field="6" count="1" selected="0">
            <x v="9"/>
          </reference>
          <reference field="7" count="1" selected="0">
            <x v="190"/>
          </reference>
          <reference field="8" count="1" selected="0">
            <x v="539"/>
          </reference>
          <reference field="9" count="1">
            <x v="611"/>
          </reference>
        </references>
      </pivotArea>
    </format>
    <format dxfId="1382">
      <pivotArea dataOnly="0" labelOnly="1" fieldPosition="0">
        <references count="6">
          <reference field="1" count="1" selected="0">
            <x v="103"/>
          </reference>
          <reference field="5" count="1" selected="0">
            <x v="0"/>
          </reference>
          <reference field="6" count="1" selected="0">
            <x v="12"/>
          </reference>
          <reference field="7" count="1" selected="0">
            <x v="2"/>
          </reference>
          <reference field="8" count="1" selected="0">
            <x v="18"/>
          </reference>
          <reference field="9" count="1">
            <x v="611"/>
          </reference>
        </references>
      </pivotArea>
    </format>
    <format dxfId="1381">
      <pivotArea dataOnly="0" labelOnly="1" fieldPosition="0">
        <references count="6">
          <reference field="1" count="1" selected="0">
            <x v="103"/>
          </reference>
          <reference field="5" count="1" selected="0">
            <x v="0"/>
          </reference>
          <reference field="6" count="1" selected="0">
            <x v="12"/>
          </reference>
          <reference field="7" count="1" selected="0">
            <x v="17"/>
          </reference>
          <reference field="8" count="1" selected="0">
            <x v="29"/>
          </reference>
          <reference field="9" count="1">
            <x v="611"/>
          </reference>
        </references>
      </pivotArea>
    </format>
    <format dxfId="1380">
      <pivotArea dataOnly="0" labelOnly="1" fieldPosition="0">
        <references count="6">
          <reference field="1" count="1" selected="0">
            <x v="103"/>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1379">
      <pivotArea dataOnly="0" labelOnly="1" fieldPosition="0">
        <references count="6">
          <reference field="1" count="1" selected="0">
            <x v="103"/>
          </reference>
          <reference field="5" count="1" selected="0">
            <x v="3"/>
          </reference>
          <reference field="6" count="1" selected="0">
            <x v="38"/>
          </reference>
          <reference field="7" count="1" selected="0">
            <x v="190"/>
          </reference>
          <reference field="8" count="1" selected="0">
            <x v="129"/>
          </reference>
          <reference field="9" count="1">
            <x v="611"/>
          </reference>
        </references>
      </pivotArea>
    </format>
    <format dxfId="1378">
      <pivotArea dataOnly="0" labelOnly="1" fieldPosition="0">
        <references count="6">
          <reference field="1" count="1" selected="0">
            <x v="103"/>
          </reference>
          <reference field="5" count="1" selected="0">
            <x v="12"/>
          </reference>
          <reference field="6" count="1" selected="0">
            <x v="1"/>
          </reference>
          <reference field="7" count="1" selected="0">
            <x v="190"/>
          </reference>
          <reference field="8" count="1" selected="0">
            <x v="80"/>
          </reference>
          <reference field="9" count="1">
            <x v="611"/>
          </reference>
        </references>
      </pivotArea>
    </format>
    <format dxfId="1377">
      <pivotArea dataOnly="0" labelOnly="1" fieldPosition="0">
        <references count="6">
          <reference field="1" count="1" selected="0">
            <x v="103"/>
          </reference>
          <reference field="5" count="1" selected="0">
            <x v="12"/>
          </reference>
          <reference field="6" count="1" selected="0">
            <x v="1"/>
          </reference>
          <reference field="7" count="1" selected="0">
            <x v="190"/>
          </reference>
          <reference field="8" count="1" selected="0">
            <x v="213"/>
          </reference>
          <reference field="9" count="1">
            <x v="611"/>
          </reference>
        </references>
      </pivotArea>
    </format>
    <format dxfId="1376">
      <pivotArea dataOnly="0" labelOnly="1" fieldPosition="0">
        <references count="6">
          <reference field="1" count="1" selected="0">
            <x v="103"/>
          </reference>
          <reference field="5" count="1" selected="0">
            <x v="12"/>
          </reference>
          <reference field="6" count="1" selected="0">
            <x v="1"/>
          </reference>
          <reference field="7" count="1" selected="0">
            <x v="190"/>
          </reference>
          <reference field="8" count="1" selected="0">
            <x v="607"/>
          </reference>
          <reference field="9" count="1">
            <x v="611"/>
          </reference>
        </references>
      </pivotArea>
    </format>
    <format dxfId="1375">
      <pivotArea dataOnly="0" labelOnly="1" fieldPosition="0">
        <references count="6">
          <reference field="1" count="1" selected="0">
            <x v="103"/>
          </reference>
          <reference field="5" count="1" selected="0">
            <x v="12"/>
          </reference>
          <reference field="6" count="1" selected="0">
            <x v="1"/>
          </reference>
          <reference field="7" count="1" selected="0">
            <x v="190"/>
          </reference>
          <reference field="8" count="1" selected="0">
            <x v="702"/>
          </reference>
          <reference field="9" count="1">
            <x v="611"/>
          </reference>
        </references>
      </pivotArea>
    </format>
    <format dxfId="1374">
      <pivotArea dataOnly="0" labelOnly="1" fieldPosition="0">
        <references count="6">
          <reference field="1" count="1" selected="0">
            <x v="103"/>
          </reference>
          <reference field="5" count="1" selected="0">
            <x v="15"/>
          </reference>
          <reference field="6" count="1" selected="0">
            <x v="7"/>
          </reference>
          <reference field="7" count="1" selected="0">
            <x v="190"/>
          </reference>
          <reference field="8" count="1" selected="0">
            <x v="719"/>
          </reference>
          <reference field="9" count="1">
            <x v="611"/>
          </reference>
        </references>
      </pivotArea>
    </format>
    <format dxfId="1373">
      <pivotArea dataOnly="0" labelOnly="1" fieldPosition="0">
        <references count="6">
          <reference field="1" count="1" selected="0">
            <x v="103"/>
          </reference>
          <reference field="5" count="1" selected="0">
            <x v="15"/>
          </reference>
          <reference field="6" count="1" selected="0">
            <x v="8"/>
          </reference>
          <reference field="7" count="1" selected="0">
            <x v="190"/>
          </reference>
          <reference field="8" count="1" selected="0">
            <x v="851"/>
          </reference>
          <reference field="9" count="1">
            <x v="611"/>
          </reference>
        </references>
      </pivotArea>
    </format>
    <format dxfId="1372">
      <pivotArea dataOnly="0" labelOnly="1" fieldPosition="0">
        <references count="6">
          <reference field="1" count="1" selected="0">
            <x v="103"/>
          </reference>
          <reference field="5" count="1" selected="0">
            <x v="35"/>
          </reference>
          <reference field="6" count="1" selected="0">
            <x v="1"/>
          </reference>
          <reference field="7" count="1" selected="0">
            <x v="190"/>
          </reference>
          <reference field="8" count="1" selected="0">
            <x v="80"/>
          </reference>
          <reference field="9" count="1">
            <x v="611"/>
          </reference>
        </references>
      </pivotArea>
    </format>
    <format dxfId="1371">
      <pivotArea dataOnly="0" labelOnly="1" fieldPosition="0">
        <references count="6">
          <reference field="1" count="1" selected="0">
            <x v="103"/>
          </reference>
          <reference field="5" count="1" selected="0">
            <x v="35"/>
          </reference>
          <reference field="6" count="1" selected="0">
            <x v="1"/>
          </reference>
          <reference field="7" count="1" selected="0">
            <x v="190"/>
          </reference>
          <reference field="8" count="1" selected="0">
            <x v="352"/>
          </reference>
          <reference field="9" count="1">
            <x v="611"/>
          </reference>
        </references>
      </pivotArea>
    </format>
    <format dxfId="1370">
      <pivotArea dataOnly="0" labelOnly="1" fieldPosition="0">
        <references count="6">
          <reference field="1" count="1" selected="0">
            <x v="104"/>
          </reference>
          <reference field="5" count="1" selected="0">
            <x v="0"/>
          </reference>
          <reference field="6" count="1" selected="0">
            <x v="1"/>
          </reference>
          <reference field="7" count="1" selected="0">
            <x v="191"/>
          </reference>
          <reference field="8" count="1" selected="0">
            <x v="80"/>
          </reference>
          <reference field="9" count="1">
            <x v="611"/>
          </reference>
        </references>
      </pivotArea>
    </format>
    <format dxfId="1369">
      <pivotArea dataOnly="0" labelOnly="1" fieldPosition="0">
        <references count="6">
          <reference field="1" count="1" selected="0">
            <x v="104"/>
          </reference>
          <reference field="5" count="1" selected="0">
            <x v="0"/>
          </reference>
          <reference field="6" count="1" selected="0">
            <x v="9"/>
          </reference>
          <reference field="7" count="1" selected="0">
            <x v="191"/>
          </reference>
          <reference field="8" count="1" selected="0">
            <x v="0"/>
          </reference>
          <reference field="9" count="1">
            <x v="603"/>
          </reference>
        </references>
      </pivotArea>
    </format>
    <format dxfId="1368">
      <pivotArea dataOnly="0" labelOnly="1" fieldPosition="0">
        <references count="6">
          <reference field="1" count="1" selected="0">
            <x v="104"/>
          </reference>
          <reference field="5" count="1" selected="0">
            <x v="0"/>
          </reference>
          <reference field="6" count="1" selected="0">
            <x v="12"/>
          </reference>
          <reference field="7" count="1" selected="0">
            <x v="30"/>
          </reference>
          <reference field="8" count="1" selected="0">
            <x v="18"/>
          </reference>
          <reference field="9" count="1">
            <x v="611"/>
          </reference>
        </references>
      </pivotArea>
    </format>
    <format dxfId="1367">
      <pivotArea dataOnly="0" labelOnly="1" fieldPosition="0">
        <references count="6">
          <reference field="1" count="1" selected="0">
            <x v="104"/>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1366">
      <pivotArea dataOnly="0" labelOnly="1" fieldPosition="0">
        <references count="6">
          <reference field="1" count="1" selected="0">
            <x v="104"/>
          </reference>
          <reference field="5" count="1" selected="0">
            <x v="0"/>
          </reference>
          <reference field="6" count="1" selected="0">
            <x v="38"/>
          </reference>
          <reference field="7" count="1" selected="0">
            <x v="191"/>
          </reference>
          <reference field="8" count="1" selected="0">
            <x v="138"/>
          </reference>
          <reference field="9" count="1">
            <x v="611"/>
          </reference>
        </references>
      </pivotArea>
    </format>
    <format dxfId="1365">
      <pivotArea dataOnly="0" labelOnly="1" fieldPosition="0">
        <references count="6">
          <reference field="1" count="1" selected="0">
            <x v="104"/>
          </reference>
          <reference field="5" count="1" selected="0">
            <x v="3"/>
          </reference>
          <reference field="6" count="1" selected="0">
            <x v="38"/>
          </reference>
          <reference field="7" count="1" selected="0">
            <x v="191"/>
          </reference>
          <reference field="8" count="1" selected="0">
            <x v="245"/>
          </reference>
          <reference field="9" count="1">
            <x v="611"/>
          </reference>
        </references>
      </pivotArea>
    </format>
    <format dxfId="1364">
      <pivotArea dataOnly="0" labelOnly="1" fieldPosition="0">
        <references count="6">
          <reference field="1" count="1" selected="0">
            <x v="104"/>
          </reference>
          <reference field="5" count="1" selected="0">
            <x v="26"/>
          </reference>
          <reference field="6" count="1" selected="0">
            <x v="38"/>
          </reference>
          <reference field="7" count="1" selected="0">
            <x v="191"/>
          </reference>
          <reference field="8" count="1" selected="0">
            <x v="371"/>
          </reference>
          <reference field="9" count="1">
            <x v="611"/>
          </reference>
        </references>
      </pivotArea>
    </format>
    <format dxfId="1363">
      <pivotArea dataOnly="0" labelOnly="1" fieldPosition="0">
        <references count="6">
          <reference field="1" count="1" selected="0">
            <x v="105"/>
          </reference>
          <reference field="5" count="1" selected="0">
            <x v="0"/>
          </reference>
          <reference field="6" count="1" selected="0">
            <x v="1"/>
          </reference>
          <reference field="7" count="1" selected="0">
            <x v="192"/>
          </reference>
          <reference field="8" count="1" selected="0">
            <x v="1206"/>
          </reference>
          <reference field="9" count="1">
            <x v="611"/>
          </reference>
        </references>
      </pivotArea>
    </format>
    <format dxfId="1362">
      <pivotArea dataOnly="0" labelOnly="1" fieldPosition="0">
        <references count="6">
          <reference field="1" count="1" selected="0">
            <x v="105"/>
          </reference>
          <reference field="5" count="1" selected="0">
            <x v="0"/>
          </reference>
          <reference field="6" count="1" selected="0">
            <x v="7"/>
          </reference>
          <reference field="7" count="1" selected="0">
            <x v="192"/>
          </reference>
          <reference field="8" count="1" selected="0">
            <x v="719"/>
          </reference>
          <reference field="9" count="1">
            <x v="611"/>
          </reference>
        </references>
      </pivotArea>
    </format>
    <format dxfId="1361">
      <pivotArea dataOnly="0" labelOnly="1" fieldPosition="0">
        <references count="6">
          <reference field="1" count="1" selected="0">
            <x v="105"/>
          </reference>
          <reference field="5" count="1" selected="0">
            <x v="0"/>
          </reference>
          <reference field="6" count="1" selected="0">
            <x v="8"/>
          </reference>
          <reference field="7" count="1" selected="0">
            <x v="192"/>
          </reference>
          <reference field="8" count="1" selected="0">
            <x v="854"/>
          </reference>
          <reference field="9" count="1">
            <x v="611"/>
          </reference>
        </references>
      </pivotArea>
    </format>
    <format dxfId="1360">
      <pivotArea dataOnly="0" labelOnly="1" fieldPosition="0">
        <references count="6">
          <reference field="1" count="1" selected="0">
            <x v="105"/>
          </reference>
          <reference field="5" count="1" selected="0">
            <x v="0"/>
          </reference>
          <reference field="6" count="1" selected="0">
            <x v="9"/>
          </reference>
          <reference field="7" count="1" selected="0">
            <x v="192"/>
          </reference>
          <reference field="8" count="1" selected="0">
            <x v="85"/>
          </reference>
          <reference field="9" count="1">
            <x v="611"/>
          </reference>
        </references>
      </pivotArea>
    </format>
    <format dxfId="1359">
      <pivotArea dataOnly="0" labelOnly="1" fieldPosition="0">
        <references count="6">
          <reference field="1" count="1" selected="0">
            <x v="105"/>
          </reference>
          <reference field="5" count="1" selected="0">
            <x v="0"/>
          </reference>
          <reference field="6" count="1" selected="0">
            <x v="9"/>
          </reference>
          <reference field="7" count="1" selected="0">
            <x v="192"/>
          </reference>
          <reference field="8" count="1" selected="0">
            <x v="265"/>
          </reference>
          <reference field="9" count="1">
            <x v="611"/>
          </reference>
        </references>
      </pivotArea>
    </format>
    <format dxfId="1358">
      <pivotArea dataOnly="0" labelOnly="1" fieldPosition="0">
        <references count="6">
          <reference field="1" count="1" selected="0">
            <x v="105"/>
          </reference>
          <reference field="5" count="1" selected="0">
            <x v="0"/>
          </reference>
          <reference field="6" count="1" selected="0">
            <x v="9"/>
          </reference>
          <reference field="7" count="1" selected="0">
            <x v="192"/>
          </reference>
          <reference field="8" count="1" selected="0">
            <x v="326"/>
          </reference>
          <reference field="9" count="1">
            <x v="611"/>
          </reference>
        </references>
      </pivotArea>
    </format>
    <format dxfId="1357">
      <pivotArea dataOnly="0" labelOnly="1" fieldPosition="0">
        <references count="6">
          <reference field="1" count="1" selected="0">
            <x v="105"/>
          </reference>
          <reference field="5" count="1" selected="0">
            <x v="0"/>
          </reference>
          <reference field="6" count="1" selected="0">
            <x v="9"/>
          </reference>
          <reference field="7" count="1" selected="0">
            <x v="192"/>
          </reference>
          <reference field="8" count="1" selected="0">
            <x v="486"/>
          </reference>
          <reference field="9" count="1">
            <x v="611"/>
          </reference>
        </references>
      </pivotArea>
    </format>
    <format dxfId="1356">
      <pivotArea dataOnly="0" labelOnly="1" fieldPosition="0">
        <references count="6">
          <reference field="1" count="1" selected="0">
            <x v="105"/>
          </reference>
          <reference field="5" count="1" selected="0">
            <x v="0"/>
          </reference>
          <reference field="6" count="1" selected="0">
            <x v="9"/>
          </reference>
          <reference field="7" count="1" selected="0">
            <x v="192"/>
          </reference>
          <reference field="8" count="1" selected="0">
            <x v="1049"/>
          </reference>
          <reference field="9" count="1">
            <x v="611"/>
          </reference>
        </references>
      </pivotArea>
    </format>
    <format dxfId="1355">
      <pivotArea dataOnly="0" labelOnly="1" fieldPosition="0">
        <references count="6">
          <reference field="1" count="1" selected="0">
            <x v="105"/>
          </reference>
          <reference field="5" count="1" selected="0">
            <x v="0"/>
          </reference>
          <reference field="6" count="1" selected="0">
            <x v="9"/>
          </reference>
          <reference field="7" count="1" selected="0">
            <x v="192"/>
          </reference>
          <reference field="8" count="1" selected="0">
            <x v="1178"/>
          </reference>
          <reference field="9" count="1">
            <x v="611"/>
          </reference>
        </references>
      </pivotArea>
    </format>
    <format dxfId="1354">
      <pivotArea dataOnly="0" labelOnly="1" fieldPosition="0">
        <references count="6">
          <reference field="1" count="1" selected="0">
            <x v="105"/>
          </reference>
          <reference field="5" count="1" selected="0">
            <x v="0"/>
          </reference>
          <reference field="6" count="1" selected="0">
            <x v="9"/>
          </reference>
          <reference field="7" count="1" selected="0">
            <x v="192"/>
          </reference>
          <reference field="8" count="1" selected="0">
            <x v="1251"/>
          </reference>
          <reference field="9" count="1">
            <x v="611"/>
          </reference>
        </references>
      </pivotArea>
    </format>
    <format dxfId="1353">
      <pivotArea dataOnly="0" labelOnly="1" fieldPosition="0">
        <references count="6">
          <reference field="1" count="1" selected="0">
            <x v="105"/>
          </reference>
          <reference field="5" count="1" selected="0">
            <x v="0"/>
          </reference>
          <reference field="6" count="1" selected="0">
            <x v="12"/>
          </reference>
          <reference field="7" count="1" selected="0">
            <x v="7"/>
          </reference>
          <reference field="8" count="1" selected="0">
            <x v="18"/>
          </reference>
          <reference field="9" count="1">
            <x v="611"/>
          </reference>
        </references>
      </pivotArea>
    </format>
    <format dxfId="1352">
      <pivotArea dataOnly="0" labelOnly="1" fieldPosition="0">
        <references count="6">
          <reference field="1" count="1" selected="0">
            <x v="105"/>
          </reference>
          <reference field="5" count="1" selected="0">
            <x v="0"/>
          </reference>
          <reference field="6" count="1" selected="0">
            <x v="12"/>
          </reference>
          <reference field="7" count="1" selected="0">
            <x v="62"/>
          </reference>
          <reference field="8" count="1" selected="0">
            <x v="85"/>
          </reference>
          <reference field="9" count="1">
            <x v="611"/>
          </reference>
        </references>
      </pivotArea>
    </format>
    <format dxfId="1351">
      <pivotArea dataOnly="0" labelOnly="1" fieldPosition="0">
        <references count="6">
          <reference field="1" count="1" selected="0">
            <x v="105"/>
          </reference>
          <reference field="5" count="1" selected="0">
            <x v="3"/>
          </reference>
          <reference field="6" count="1" selected="0">
            <x v="1"/>
          </reference>
          <reference field="7" count="1" selected="0">
            <x v="192"/>
          </reference>
          <reference field="8" count="1" selected="0">
            <x v="109"/>
          </reference>
          <reference field="9" count="1">
            <x v="611"/>
          </reference>
        </references>
      </pivotArea>
    </format>
    <format dxfId="1350">
      <pivotArea dataOnly="0" labelOnly="1" fieldPosition="0">
        <references count="6">
          <reference field="1" count="1" selected="0">
            <x v="105"/>
          </reference>
          <reference field="5" count="1" selected="0">
            <x v="7"/>
          </reference>
          <reference field="6" count="1" selected="0">
            <x v="38"/>
          </reference>
          <reference field="7" count="1" selected="0">
            <x v="192"/>
          </reference>
          <reference field="8" count="1" selected="0">
            <x v="1195"/>
          </reference>
          <reference field="9" count="1">
            <x v="611"/>
          </reference>
        </references>
      </pivotArea>
    </format>
    <format dxfId="1349">
      <pivotArea dataOnly="0" labelOnly="1" fieldPosition="0">
        <references count="6">
          <reference field="1" count="1" selected="0">
            <x v="105"/>
          </reference>
          <reference field="5" count="1" selected="0">
            <x v="12"/>
          </reference>
          <reference field="6" count="1" selected="0">
            <x v="1"/>
          </reference>
          <reference field="7" count="1" selected="0">
            <x v="192"/>
          </reference>
          <reference field="8" count="1" selected="0">
            <x v="80"/>
          </reference>
          <reference field="9" count="1">
            <x v="611"/>
          </reference>
        </references>
      </pivotArea>
    </format>
    <format dxfId="1348">
      <pivotArea dataOnly="0" labelOnly="1" fieldPosition="0">
        <references count="6">
          <reference field="1" count="1" selected="0">
            <x v="105"/>
          </reference>
          <reference field="5" count="1" selected="0">
            <x v="12"/>
          </reference>
          <reference field="6" count="1" selected="0">
            <x v="1"/>
          </reference>
          <reference field="7" count="1" selected="0">
            <x v="192"/>
          </reference>
          <reference field="8" count="1" selected="0">
            <x v="213"/>
          </reference>
          <reference field="9" count="1">
            <x v="611"/>
          </reference>
        </references>
      </pivotArea>
    </format>
    <format dxfId="1347">
      <pivotArea dataOnly="0" labelOnly="1" fieldPosition="0">
        <references count="6">
          <reference field="1" count="1" selected="0">
            <x v="105"/>
          </reference>
          <reference field="5" count="1" selected="0">
            <x v="12"/>
          </reference>
          <reference field="6" count="1" selected="0">
            <x v="1"/>
          </reference>
          <reference field="7" count="1" selected="0">
            <x v="192"/>
          </reference>
          <reference field="8" count="1" selected="0">
            <x v="607"/>
          </reference>
          <reference field="9" count="1">
            <x v="611"/>
          </reference>
        </references>
      </pivotArea>
    </format>
    <format dxfId="1346">
      <pivotArea dataOnly="0" labelOnly="1" fieldPosition="0">
        <references count="6">
          <reference field="1" count="1" selected="0">
            <x v="105"/>
          </reference>
          <reference field="5" count="1" selected="0">
            <x v="12"/>
          </reference>
          <reference field="6" count="1" selected="0">
            <x v="1"/>
          </reference>
          <reference field="7" count="1" selected="0">
            <x v="192"/>
          </reference>
          <reference field="8" count="1" selected="0">
            <x v="846"/>
          </reference>
          <reference field="9" count="1">
            <x v="611"/>
          </reference>
        </references>
      </pivotArea>
    </format>
    <format dxfId="1345">
      <pivotArea dataOnly="0" labelOnly="1" fieldPosition="0">
        <references count="6">
          <reference field="1" count="1" selected="0">
            <x v="105"/>
          </reference>
          <reference field="5" count="1" selected="0">
            <x v="12"/>
          </reference>
          <reference field="6" count="1" selected="0">
            <x v="38"/>
          </reference>
          <reference field="7" count="1" selected="0">
            <x v="192"/>
          </reference>
          <reference field="8" count="1" selected="0">
            <x v="1279"/>
          </reference>
          <reference field="9" count="1">
            <x v="611"/>
          </reference>
        </references>
      </pivotArea>
    </format>
    <format dxfId="1344">
      <pivotArea dataOnly="0" labelOnly="1" fieldPosition="0">
        <references count="6">
          <reference field="1" count="1" selected="0">
            <x v="105"/>
          </reference>
          <reference field="5" count="1" selected="0">
            <x v="14"/>
          </reference>
          <reference field="6" count="1" selected="0">
            <x v="1"/>
          </reference>
          <reference field="7" count="1" selected="0">
            <x v="192"/>
          </reference>
          <reference field="8" count="1" selected="0">
            <x v="1241"/>
          </reference>
          <reference field="9" count="1">
            <x v="611"/>
          </reference>
        </references>
      </pivotArea>
    </format>
    <format dxfId="1343">
      <pivotArea dataOnly="0" labelOnly="1" fieldPosition="0">
        <references count="6">
          <reference field="1" count="1" selected="0">
            <x v="105"/>
          </reference>
          <reference field="5" count="1" selected="0">
            <x v="15"/>
          </reference>
          <reference field="6" count="1" selected="0">
            <x v="9"/>
          </reference>
          <reference field="7" count="1" selected="0">
            <x v="192"/>
          </reference>
          <reference field="8" count="1" selected="0">
            <x v="327"/>
          </reference>
          <reference field="9" count="1">
            <x v="611"/>
          </reference>
        </references>
      </pivotArea>
    </format>
    <format dxfId="1342">
      <pivotArea dataOnly="0" labelOnly="1" fieldPosition="0">
        <references count="6">
          <reference field="1" count="1" selected="0">
            <x v="105"/>
          </reference>
          <reference field="5" count="1" selected="0">
            <x v="30"/>
          </reference>
          <reference field="6" count="1" selected="0">
            <x v="38"/>
          </reference>
          <reference field="7" count="1" selected="0">
            <x v="192"/>
          </reference>
          <reference field="8" count="1" selected="0">
            <x v="1448"/>
          </reference>
          <reference field="9" count="1">
            <x v="611"/>
          </reference>
        </references>
      </pivotArea>
    </format>
    <format dxfId="1341">
      <pivotArea dataOnly="0" labelOnly="1" fieldPosition="0">
        <references count="6">
          <reference field="1" count="1" selected="0">
            <x v="105"/>
          </reference>
          <reference field="5" count="1" selected="0">
            <x v="36"/>
          </reference>
          <reference field="6" count="1" selected="0">
            <x v="7"/>
          </reference>
          <reference field="7" count="1" selected="0">
            <x v="192"/>
          </reference>
          <reference field="8" count="1" selected="0">
            <x v="1476"/>
          </reference>
          <reference field="9" count="1">
            <x v="611"/>
          </reference>
        </references>
      </pivotArea>
    </format>
    <format dxfId="1340">
      <pivotArea dataOnly="0" labelOnly="1" fieldPosition="0">
        <references count="6">
          <reference field="1" count="1" selected="0">
            <x v="105"/>
          </reference>
          <reference field="5" count="1" selected="0">
            <x v="36"/>
          </reference>
          <reference field="6" count="1" selected="0">
            <x v="38"/>
          </reference>
          <reference field="7" count="1" selected="0">
            <x v="192"/>
          </reference>
          <reference field="8" count="1" selected="0">
            <x v="125"/>
          </reference>
          <reference field="9" count="1">
            <x v="611"/>
          </reference>
        </references>
      </pivotArea>
    </format>
    <format dxfId="1339">
      <pivotArea dataOnly="0" labelOnly="1" fieldPosition="0">
        <references count="6">
          <reference field="1" count="1" selected="0">
            <x v="106"/>
          </reference>
          <reference field="5" count="1" selected="0">
            <x v="0"/>
          </reference>
          <reference field="6" count="1" selected="0">
            <x v="8"/>
          </reference>
          <reference field="7" count="1" selected="0">
            <x v="193"/>
          </reference>
          <reference field="8" count="1" selected="0">
            <x v="1141"/>
          </reference>
          <reference field="9" count="1">
            <x v="611"/>
          </reference>
        </references>
      </pivotArea>
    </format>
    <format dxfId="1338">
      <pivotArea dataOnly="0" labelOnly="1" fieldPosition="0">
        <references count="6">
          <reference field="1" count="1" selected="0">
            <x v="106"/>
          </reference>
          <reference field="5" count="1" selected="0">
            <x v="0"/>
          </reference>
          <reference field="6" count="1" selected="0">
            <x v="12"/>
          </reference>
          <reference field="7" count="1" selected="0">
            <x v="21"/>
          </reference>
          <reference field="8" count="1" selected="0">
            <x v="18"/>
          </reference>
          <reference field="9" count="1">
            <x v="611"/>
          </reference>
        </references>
      </pivotArea>
    </format>
    <format dxfId="1337">
      <pivotArea dataOnly="0" labelOnly="1" fieldPosition="0">
        <references count="6">
          <reference field="1" count="1" selected="0">
            <x v="106"/>
          </reference>
          <reference field="5" count="1" selected="0">
            <x v="0"/>
          </reference>
          <reference field="6" count="1" selected="0">
            <x v="12"/>
          </reference>
          <reference field="7" count="1" selected="0">
            <x v="46"/>
          </reference>
          <reference field="8" count="1" selected="0">
            <x v="325"/>
          </reference>
          <reference field="9" count="1">
            <x v="611"/>
          </reference>
        </references>
      </pivotArea>
    </format>
    <format dxfId="1336">
      <pivotArea dataOnly="0" labelOnly="1" fieldPosition="0">
        <references count="6">
          <reference field="1" count="1" selected="0">
            <x v="106"/>
          </reference>
          <reference field="5" count="1" selected="0">
            <x v="0"/>
          </reference>
          <reference field="6" count="1" selected="0">
            <x v="12"/>
          </reference>
          <reference field="7" count="1" selected="0">
            <x v="60"/>
          </reference>
          <reference field="8" count="1" selected="0">
            <x v="39"/>
          </reference>
          <reference field="9" count="1">
            <x v="611"/>
          </reference>
        </references>
      </pivotArea>
    </format>
    <format dxfId="1335">
      <pivotArea dataOnly="0" labelOnly="1" fieldPosition="0">
        <references count="6">
          <reference field="1" count="1" selected="0">
            <x v="106"/>
          </reference>
          <reference field="5" count="1" selected="0">
            <x v="0"/>
          </reference>
          <reference field="6" count="1" selected="0">
            <x v="38"/>
          </reference>
          <reference field="7" count="1" selected="0">
            <x v="193"/>
          </reference>
          <reference field="8" count="1" selected="0">
            <x v="1137"/>
          </reference>
          <reference field="9" count="1">
            <x v="611"/>
          </reference>
        </references>
      </pivotArea>
    </format>
    <format dxfId="1334">
      <pivotArea dataOnly="0" labelOnly="1" fieldPosition="0">
        <references count="6">
          <reference field="1" count="1" selected="0">
            <x v="106"/>
          </reference>
          <reference field="5" count="1" selected="0">
            <x v="2"/>
          </reference>
          <reference field="6" count="1" selected="0">
            <x v="10"/>
          </reference>
          <reference field="7" count="1" selected="0">
            <x v="193"/>
          </reference>
          <reference field="8" count="1" selected="0">
            <x v="0"/>
          </reference>
          <reference field="9" count="1">
            <x v="190"/>
          </reference>
        </references>
      </pivotArea>
    </format>
    <format dxfId="1333">
      <pivotArea dataOnly="0" labelOnly="1" fieldPosition="0">
        <references count="6">
          <reference field="1" count="1" selected="0">
            <x v="106"/>
          </reference>
          <reference field="5" count="1" selected="0">
            <x v="3"/>
          </reference>
          <reference field="6" count="1" selected="0">
            <x v="10"/>
          </reference>
          <reference field="7" count="1" selected="0">
            <x v="193"/>
          </reference>
          <reference field="8" count="1" selected="0">
            <x v="0"/>
          </reference>
          <reference field="9" count="1">
            <x v="360"/>
          </reference>
        </references>
      </pivotArea>
    </format>
    <format dxfId="1332">
      <pivotArea dataOnly="0" labelOnly="1" fieldPosition="0">
        <references count="6">
          <reference field="1" count="1" selected="0">
            <x v="106"/>
          </reference>
          <reference field="5" count="1" selected="0">
            <x v="6"/>
          </reference>
          <reference field="6" count="1" selected="0">
            <x v="38"/>
          </reference>
          <reference field="7" count="1" selected="0">
            <x v="193"/>
          </reference>
          <reference field="8" count="1" selected="0">
            <x v="719"/>
          </reference>
          <reference field="9" count="1">
            <x v="611"/>
          </reference>
        </references>
      </pivotArea>
    </format>
    <format dxfId="1331">
      <pivotArea dataOnly="0" labelOnly="1" fieldPosition="0">
        <references count="6">
          <reference field="1" count="1" selected="0">
            <x v="106"/>
          </reference>
          <reference field="5" count="1" selected="0">
            <x v="9"/>
          </reference>
          <reference field="6" count="1" selected="0">
            <x v="10"/>
          </reference>
          <reference field="7" count="1" selected="0">
            <x v="193"/>
          </reference>
          <reference field="8" count="1" selected="0">
            <x v="0"/>
          </reference>
          <reference field="9" count="1">
            <x v="566"/>
          </reference>
        </references>
      </pivotArea>
    </format>
    <format dxfId="1330">
      <pivotArea dataOnly="0" labelOnly="1" fieldPosition="0">
        <references count="6">
          <reference field="1" count="1" selected="0">
            <x v="106"/>
          </reference>
          <reference field="5" count="1" selected="0">
            <x v="11"/>
          </reference>
          <reference field="6" count="1" selected="0">
            <x v="10"/>
          </reference>
          <reference field="7" count="1" selected="0">
            <x v="193"/>
          </reference>
          <reference field="8" count="1" selected="0">
            <x v="0"/>
          </reference>
          <reference field="9" count="1">
            <x v="608"/>
          </reference>
        </references>
      </pivotArea>
    </format>
    <format dxfId="1329">
      <pivotArea dataOnly="0" labelOnly="1" fieldPosition="0">
        <references count="6">
          <reference field="1" count="1" selected="0">
            <x v="106"/>
          </reference>
          <reference field="5" count="1" selected="0">
            <x v="12"/>
          </reference>
          <reference field="6" count="1" selected="0">
            <x v="1"/>
          </reference>
          <reference field="7" count="1" selected="0">
            <x v="193"/>
          </reference>
          <reference field="8" count="1" selected="0">
            <x v="80"/>
          </reference>
          <reference field="9" count="1">
            <x v="611"/>
          </reference>
        </references>
      </pivotArea>
    </format>
    <format dxfId="1328">
      <pivotArea dataOnly="0" labelOnly="1" fieldPosition="0">
        <references count="6">
          <reference field="1" count="1" selected="0">
            <x v="106"/>
          </reference>
          <reference field="5" count="1" selected="0">
            <x v="12"/>
          </reference>
          <reference field="6" count="1" selected="0">
            <x v="1"/>
          </reference>
          <reference field="7" count="1" selected="0">
            <x v="193"/>
          </reference>
          <reference field="8" count="1" selected="0">
            <x v="213"/>
          </reference>
          <reference field="9" count="1">
            <x v="611"/>
          </reference>
        </references>
      </pivotArea>
    </format>
    <format dxfId="1327">
      <pivotArea dataOnly="0" labelOnly="1" fieldPosition="0">
        <references count="6">
          <reference field="1" count="1" selected="0">
            <x v="106"/>
          </reference>
          <reference field="5" count="1" selected="0">
            <x v="12"/>
          </reference>
          <reference field="6" count="1" selected="0">
            <x v="1"/>
          </reference>
          <reference field="7" count="1" selected="0">
            <x v="193"/>
          </reference>
          <reference field="8" count="1" selected="0">
            <x v="352"/>
          </reference>
          <reference field="9" count="1">
            <x v="611"/>
          </reference>
        </references>
      </pivotArea>
    </format>
    <format dxfId="1326">
      <pivotArea dataOnly="0" labelOnly="1" fieldPosition="0">
        <references count="6">
          <reference field="1" count="1" selected="0">
            <x v="106"/>
          </reference>
          <reference field="5" count="1" selected="0">
            <x v="12"/>
          </reference>
          <reference field="6" count="1" selected="0">
            <x v="1"/>
          </reference>
          <reference field="7" count="1" selected="0">
            <x v="193"/>
          </reference>
          <reference field="8" count="1" selected="0">
            <x v="607"/>
          </reference>
          <reference field="9" count="1">
            <x v="611"/>
          </reference>
        </references>
      </pivotArea>
    </format>
    <format dxfId="1325">
      <pivotArea dataOnly="0" labelOnly="1" fieldPosition="0">
        <references count="6">
          <reference field="1" count="1" selected="0">
            <x v="106"/>
          </reference>
          <reference field="5" count="1" selected="0">
            <x v="12"/>
          </reference>
          <reference field="6" count="1" selected="0">
            <x v="1"/>
          </reference>
          <reference field="7" count="1" selected="0">
            <x v="193"/>
          </reference>
          <reference field="8" count="1" selected="0">
            <x v="702"/>
          </reference>
          <reference field="9" count="1">
            <x v="611"/>
          </reference>
        </references>
      </pivotArea>
    </format>
    <format dxfId="1324">
      <pivotArea dataOnly="0" labelOnly="1" fieldPosition="0">
        <references count="6">
          <reference field="1" count="1" selected="0">
            <x v="106"/>
          </reference>
          <reference field="5" count="1" selected="0">
            <x v="12"/>
          </reference>
          <reference field="6" count="1" selected="0">
            <x v="38"/>
          </reference>
          <reference field="7" count="1" selected="0">
            <x v="193"/>
          </reference>
          <reference field="8" count="1" selected="0">
            <x v="1730"/>
          </reference>
          <reference field="9" count="1">
            <x v="611"/>
          </reference>
        </references>
      </pivotArea>
    </format>
    <format dxfId="1323">
      <pivotArea dataOnly="0" labelOnly="1" fieldPosition="0">
        <references count="6">
          <reference field="1" count="1" selected="0">
            <x v="106"/>
          </reference>
          <reference field="5" count="1" selected="0">
            <x v="14"/>
          </reference>
          <reference field="6" count="1" selected="0">
            <x v="1"/>
          </reference>
          <reference field="7" count="1" selected="0">
            <x v="193"/>
          </reference>
          <reference field="8" count="1" selected="0">
            <x v="1301"/>
          </reference>
          <reference field="9" count="1">
            <x v="611"/>
          </reference>
        </references>
      </pivotArea>
    </format>
    <format dxfId="1322">
      <pivotArea dataOnly="0" labelOnly="1" fieldPosition="0">
        <references count="6">
          <reference field="1" count="1" selected="0">
            <x v="106"/>
          </reference>
          <reference field="5" count="1" selected="0">
            <x v="19"/>
          </reference>
          <reference field="6" count="1" selected="0">
            <x v="6"/>
          </reference>
          <reference field="7" count="1" selected="0">
            <x v="193"/>
          </reference>
          <reference field="8" count="1" selected="0">
            <x v="607"/>
          </reference>
          <reference field="9" count="1">
            <x v="611"/>
          </reference>
        </references>
      </pivotArea>
    </format>
    <format dxfId="1321">
      <pivotArea dataOnly="0" labelOnly="1" fieldPosition="0">
        <references count="6">
          <reference field="1" count="1" selected="0">
            <x v="106"/>
          </reference>
          <reference field="5" count="1" selected="0">
            <x v="23"/>
          </reference>
          <reference field="6" count="1" selected="0">
            <x v="38"/>
          </reference>
          <reference field="7" count="1" selected="0">
            <x v="193"/>
          </reference>
          <reference field="8" count="1" selected="0">
            <x v="296"/>
          </reference>
          <reference field="9" count="1">
            <x v="611"/>
          </reference>
        </references>
      </pivotArea>
    </format>
    <format dxfId="1320">
      <pivotArea dataOnly="0" labelOnly="1" fieldPosition="0">
        <references count="6">
          <reference field="1" count="1" selected="0">
            <x v="106"/>
          </reference>
          <reference field="5" count="1" selected="0">
            <x v="35"/>
          </reference>
          <reference field="6" count="1" selected="0">
            <x v="1"/>
          </reference>
          <reference field="7" count="1" selected="0">
            <x v="193"/>
          </reference>
          <reference field="8" count="1" selected="0">
            <x v="80"/>
          </reference>
          <reference field="9" count="1">
            <x v="611"/>
          </reference>
        </references>
      </pivotArea>
    </format>
    <format dxfId="1319">
      <pivotArea dataOnly="0" labelOnly="1" fieldPosition="0">
        <references count="6">
          <reference field="1" count="1" selected="0">
            <x v="106"/>
          </reference>
          <reference field="5" count="1" selected="0">
            <x v="35"/>
          </reference>
          <reference field="6" count="1" selected="0">
            <x v="38"/>
          </reference>
          <reference field="7" count="1" selected="0">
            <x v="193"/>
          </reference>
          <reference field="8" count="1" selected="0">
            <x v="1343"/>
          </reference>
          <reference field="9" count="1">
            <x v="611"/>
          </reference>
        </references>
      </pivotArea>
    </format>
    <format dxfId="1318">
      <pivotArea dataOnly="0" labelOnly="1" fieldPosition="0">
        <references count="6">
          <reference field="1" count="1" selected="0">
            <x v="106"/>
          </reference>
          <reference field="5" count="1" selected="0">
            <x v="36"/>
          </reference>
          <reference field="6" count="1" selected="0">
            <x v="10"/>
          </reference>
          <reference field="7" count="1" selected="0">
            <x v="193"/>
          </reference>
          <reference field="8" count="1" selected="0">
            <x v="0"/>
          </reference>
          <reference field="9" count="1">
            <x v="268"/>
          </reference>
        </references>
      </pivotArea>
    </format>
    <format dxfId="1317">
      <pivotArea dataOnly="0" labelOnly="1" fieldPosition="0">
        <references count="6">
          <reference field="1" count="1" selected="0">
            <x v="106"/>
          </reference>
          <reference field="5" count="1" selected="0">
            <x v="38"/>
          </reference>
          <reference field="6" count="1" selected="0">
            <x v="10"/>
          </reference>
          <reference field="7" count="1" selected="0">
            <x v="193"/>
          </reference>
          <reference field="8" count="1" selected="0">
            <x v="0"/>
          </reference>
          <reference field="9" count="1">
            <x v="431"/>
          </reference>
        </references>
      </pivotArea>
    </format>
    <format dxfId="1316">
      <pivotArea dataOnly="0" labelOnly="1" fieldPosition="0">
        <references count="6">
          <reference field="1" count="1" selected="0">
            <x v="107"/>
          </reference>
          <reference field="5" count="1" selected="0">
            <x v="0"/>
          </reference>
          <reference field="6" count="1" selected="0">
            <x v="12"/>
          </reference>
          <reference field="7" count="1" selected="0">
            <x v="6"/>
          </reference>
          <reference field="8" count="1" selected="0">
            <x v="90"/>
          </reference>
          <reference field="9" count="1">
            <x v="611"/>
          </reference>
        </references>
      </pivotArea>
    </format>
    <format dxfId="1315">
      <pivotArea dataOnly="0" labelOnly="1" fieldPosition="0">
        <references count="6">
          <reference field="1" count="1" selected="0">
            <x v="107"/>
          </reference>
          <reference field="5" count="1" selected="0">
            <x v="0"/>
          </reference>
          <reference field="6" count="1" selected="0">
            <x v="12"/>
          </reference>
          <reference field="7" count="1" selected="0">
            <x v="46"/>
          </reference>
          <reference field="8" count="1" selected="0">
            <x v="325"/>
          </reference>
          <reference field="9" count="1">
            <x v="611"/>
          </reference>
        </references>
      </pivotArea>
    </format>
    <format dxfId="1314">
      <pivotArea dataOnly="0" labelOnly="1" fieldPosition="0">
        <references count="6">
          <reference field="1" count="1" selected="0">
            <x v="107"/>
          </reference>
          <reference field="5" count="1" selected="0">
            <x v="2"/>
          </reference>
          <reference field="6" count="1" selected="0">
            <x v="10"/>
          </reference>
          <reference field="7" count="1" selected="0">
            <x v="195"/>
          </reference>
          <reference field="8" count="1" selected="0">
            <x v="1820"/>
          </reference>
          <reference field="9" count="1">
            <x v="611"/>
          </reference>
        </references>
      </pivotArea>
    </format>
    <format dxfId="1313">
      <pivotArea dataOnly="0" labelOnly="1" fieldPosition="0">
        <references count="6">
          <reference field="1" count="1" selected="0">
            <x v="107"/>
          </reference>
          <reference field="5" count="1" selected="0">
            <x v="2"/>
          </reference>
          <reference field="6" count="1" selected="0">
            <x v="31"/>
          </reference>
          <reference field="7" count="1" selected="0">
            <x v="194"/>
          </reference>
          <reference field="8" count="1" selected="0">
            <x v="10"/>
          </reference>
          <reference field="9" count="1">
            <x v="611"/>
          </reference>
        </references>
      </pivotArea>
    </format>
    <format dxfId="1312">
      <pivotArea dataOnly="0" labelOnly="1" fieldPosition="0">
        <references count="6">
          <reference field="1" count="1" selected="0">
            <x v="107"/>
          </reference>
          <reference field="5" count="1" selected="0">
            <x v="3"/>
          </reference>
          <reference field="6" count="1" selected="0">
            <x v="10"/>
          </reference>
          <reference field="7" count="1" selected="0">
            <x v="195"/>
          </reference>
          <reference field="8" count="1" selected="0">
            <x v="1564"/>
          </reference>
          <reference field="9" count="1">
            <x v="611"/>
          </reference>
        </references>
      </pivotArea>
    </format>
    <format dxfId="1311">
      <pivotArea dataOnly="0" labelOnly="1" fieldPosition="0">
        <references count="6">
          <reference field="1" count="1" selected="0">
            <x v="107"/>
          </reference>
          <reference field="5" count="1" selected="0">
            <x v="3"/>
          </reference>
          <reference field="6" count="1" selected="0">
            <x v="38"/>
          </reference>
          <reference field="7" count="1" selected="0">
            <x v="195"/>
          </reference>
          <reference field="8" count="1" selected="0">
            <x v="281"/>
          </reference>
          <reference field="9" count="1">
            <x v="611"/>
          </reference>
        </references>
      </pivotArea>
    </format>
    <format dxfId="1310">
      <pivotArea dataOnly="0" labelOnly="1" fieldPosition="0">
        <references count="6">
          <reference field="1" count="1" selected="0">
            <x v="107"/>
          </reference>
          <reference field="5" count="1" selected="0">
            <x v="9"/>
          </reference>
          <reference field="6" count="1" selected="0">
            <x v="1"/>
          </reference>
          <reference field="7" count="1" selected="0">
            <x v="195"/>
          </reference>
          <reference field="8" count="1" selected="0">
            <x v="929"/>
          </reference>
          <reference field="9" count="1">
            <x v="611"/>
          </reference>
        </references>
      </pivotArea>
    </format>
    <format dxfId="1309">
      <pivotArea dataOnly="0" labelOnly="1" fieldPosition="0">
        <references count="6">
          <reference field="1" count="1" selected="0">
            <x v="107"/>
          </reference>
          <reference field="5" count="1" selected="0">
            <x v="9"/>
          </reference>
          <reference field="6" count="1" selected="0">
            <x v="10"/>
          </reference>
          <reference field="7" count="1" selected="0">
            <x v="195"/>
          </reference>
          <reference field="8" count="1" selected="0">
            <x v="676"/>
          </reference>
          <reference field="9" count="1">
            <x v="611"/>
          </reference>
        </references>
      </pivotArea>
    </format>
    <format dxfId="1308">
      <pivotArea dataOnly="0" labelOnly="1" fieldPosition="0">
        <references count="6">
          <reference field="1" count="1" selected="0">
            <x v="107"/>
          </reference>
          <reference field="5" count="1" selected="0">
            <x v="11"/>
          </reference>
          <reference field="6" count="1" selected="0">
            <x v="10"/>
          </reference>
          <reference field="7" count="1" selected="0">
            <x v="195"/>
          </reference>
          <reference field="8" count="1" selected="0">
            <x v="5"/>
          </reference>
          <reference field="9" count="1">
            <x v="611"/>
          </reference>
        </references>
      </pivotArea>
    </format>
    <format dxfId="1307">
      <pivotArea dataOnly="0" labelOnly="1" fieldPosition="0">
        <references count="6">
          <reference field="1" count="1" selected="0">
            <x v="107"/>
          </reference>
          <reference field="5" count="1" selected="0">
            <x v="15"/>
          </reference>
          <reference field="6" count="1" selected="0">
            <x v="38"/>
          </reference>
          <reference field="7" count="1" selected="0">
            <x v="195"/>
          </reference>
          <reference field="8" count="1" selected="0">
            <x v="352"/>
          </reference>
          <reference field="9" count="1">
            <x v="611"/>
          </reference>
        </references>
      </pivotArea>
    </format>
    <format dxfId="1306">
      <pivotArea dataOnly="0" labelOnly="1" fieldPosition="0">
        <references count="6">
          <reference field="1" count="1" selected="0">
            <x v="107"/>
          </reference>
          <reference field="5" count="1" selected="0">
            <x v="17"/>
          </reference>
          <reference field="6" count="1" selected="0">
            <x v="38"/>
          </reference>
          <reference field="7" count="1" selected="0">
            <x v="195"/>
          </reference>
          <reference field="8" count="1" selected="0">
            <x v="695"/>
          </reference>
          <reference field="9" count="1">
            <x v="611"/>
          </reference>
        </references>
      </pivotArea>
    </format>
    <format dxfId="1305">
      <pivotArea dataOnly="0" labelOnly="1" fieldPosition="0">
        <references count="6">
          <reference field="1" count="1" selected="0">
            <x v="107"/>
          </reference>
          <reference field="5" count="1" selected="0">
            <x v="19"/>
          </reference>
          <reference field="6" count="1" selected="0">
            <x v="37"/>
          </reference>
          <reference field="7" count="1" selected="0">
            <x v="195"/>
          </reference>
          <reference field="8" count="1" selected="0">
            <x v="405"/>
          </reference>
          <reference field="9" count="1">
            <x v="611"/>
          </reference>
        </references>
      </pivotArea>
    </format>
    <format dxfId="1304">
      <pivotArea dataOnly="0" labelOnly="1" fieldPosition="0">
        <references count="6">
          <reference field="1" count="1" selected="0">
            <x v="107"/>
          </reference>
          <reference field="5" count="1" selected="0">
            <x v="21"/>
          </reference>
          <reference field="6" count="1" selected="0">
            <x v="38"/>
          </reference>
          <reference field="7" count="1" selected="0">
            <x v="195"/>
          </reference>
          <reference field="8" count="1" selected="0">
            <x v="1110"/>
          </reference>
          <reference field="9" count="1">
            <x v="611"/>
          </reference>
        </references>
      </pivotArea>
    </format>
    <format dxfId="1303">
      <pivotArea dataOnly="0" labelOnly="1" fieldPosition="0">
        <references count="6">
          <reference field="1" count="1" selected="0">
            <x v="107"/>
          </reference>
          <reference field="5" count="1" selected="0">
            <x v="24"/>
          </reference>
          <reference field="6" count="1" selected="0">
            <x v="38"/>
          </reference>
          <reference field="7" count="1" selected="0">
            <x v="195"/>
          </reference>
          <reference field="8" count="1" selected="0">
            <x v="352"/>
          </reference>
          <reference field="9" count="1">
            <x v="611"/>
          </reference>
        </references>
      </pivotArea>
    </format>
    <format dxfId="1302">
      <pivotArea dataOnly="0" labelOnly="1" fieldPosition="0">
        <references count="6">
          <reference field="1" count="1" selected="0">
            <x v="107"/>
          </reference>
          <reference field="5" count="1" selected="0">
            <x v="26"/>
          </reference>
          <reference field="6" count="1" selected="0">
            <x v="38"/>
          </reference>
          <reference field="7" count="1" selected="0">
            <x v="195"/>
          </reference>
          <reference field="8" count="1" selected="0">
            <x v="838"/>
          </reference>
          <reference field="9" count="1">
            <x v="611"/>
          </reference>
        </references>
      </pivotArea>
    </format>
    <format dxfId="1301">
      <pivotArea dataOnly="0" labelOnly="1" fieldPosition="0">
        <references count="6">
          <reference field="1" count="1" selected="0">
            <x v="107"/>
          </reference>
          <reference field="5" count="1" selected="0">
            <x v="36"/>
          </reference>
          <reference field="6" count="1" selected="0">
            <x v="10"/>
          </reference>
          <reference field="7" count="1" selected="0">
            <x v="195"/>
          </reference>
          <reference field="8" count="1" selected="0">
            <x v="1735"/>
          </reference>
          <reference field="9" count="1">
            <x v="611"/>
          </reference>
        </references>
      </pivotArea>
    </format>
    <format dxfId="1300">
      <pivotArea dataOnly="0" labelOnly="1" fieldPosition="0">
        <references count="6">
          <reference field="1" count="1" selected="0">
            <x v="107"/>
          </reference>
          <reference field="5" count="1" selected="0">
            <x v="38"/>
          </reference>
          <reference field="6" count="1" selected="0">
            <x v="10"/>
          </reference>
          <reference field="7" count="1" selected="0">
            <x v="195"/>
          </reference>
          <reference field="8" count="1" selected="0">
            <x v="1350"/>
          </reference>
          <reference field="9" count="1">
            <x v="611"/>
          </reference>
        </references>
      </pivotArea>
    </format>
    <format dxfId="1299">
      <pivotArea dataOnly="0" labelOnly="1" fieldPosition="0">
        <references count="6">
          <reference field="1" count="1" selected="0">
            <x v="108"/>
          </reference>
          <reference field="5" count="1" selected="0">
            <x v="0"/>
          </reference>
          <reference field="6" count="1" selected="0">
            <x v="38"/>
          </reference>
          <reference field="7" count="1" selected="0">
            <x v="196"/>
          </reference>
          <reference field="8" count="1" selected="0">
            <x v="138"/>
          </reference>
          <reference field="9" count="1">
            <x v="611"/>
          </reference>
        </references>
      </pivotArea>
    </format>
    <format dxfId="1298">
      <pivotArea dataOnly="0" labelOnly="1" fieldPosition="0">
        <references count="6">
          <reference field="1" count="1" selected="0">
            <x v="108"/>
          </reference>
          <reference field="5" count="1" selected="0">
            <x v="0"/>
          </reference>
          <reference field="6" count="1" selected="0">
            <x v="38"/>
          </reference>
          <reference field="7" count="1" selected="0">
            <x v="196"/>
          </reference>
          <reference field="8" count="1" selected="0">
            <x v="607"/>
          </reference>
          <reference field="9" count="1">
            <x v="611"/>
          </reference>
        </references>
      </pivotArea>
    </format>
    <format dxfId="1297">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80"/>
          </reference>
          <reference field="9" count="1">
            <x v="611"/>
          </reference>
        </references>
      </pivotArea>
    </format>
    <format dxfId="1296">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213"/>
          </reference>
          <reference field="9" count="1">
            <x v="611"/>
          </reference>
        </references>
      </pivotArea>
    </format>
    <format dxfId="1295">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352"/>
          </reference>
          <reference field="9" count="1">
            <x v="611"/>
          </reference>
        </references>
      </pivotArea>
    </format>
    <format dxfId="1294">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500"/>
          </reference>
          <reference field="9" count="1">
            <x v="611"/>
          </reference>
        </references>
      </pivotArea>
    </format>
    <format dxfId="1293">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607"/>
          </reference>
          <reference field="9" count="1">
            <x v="611"/>
          </reference>
        </references>
      </pivotArea>
    </format>
    <format dxfId="1292">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771"/>
          </reference>
          <reference field="9" count="1">
            <x v="611"/>
          </reference>
        </references>
      </pivotArea>
    </format>
    <format dxfId="1291">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846"/>
          </reference>
          <reference field="9" count="1">
            <x v="611"/>
          </reference>
        </references>
      </pivotArea>
    </format>
    <format dxfId="1290">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964"/>
          </reference>
          <reference field="9" count="1">
            <x v="611"/>
          </reference>
        </references>
      </pivotArea>
    </format>
    <format dxfId="1289">
      <pivotArea dataOnly="0" labelOnly="1" fieldPosition="0">
        <references count="6">
          <reference field="1" count="1" selected="0">
            <x v="108"/>
          </reference>
          <reference field="5" count="1" selected="0">
            <x v="12"/>
          </reference>
          <reference field="6" count="1" selected="0">
            <x v="1"/>
          </reference>
          <reference field="7" count="1" selected="0">
            <x v="196"/>
          </reference>
          <reference field="8" count="1" selected="0">
            <x v="1069"/>
          </reference>
          <reference field="9" count="1">
            <x v="611"/>
          </reference>
        </references>
      </pivotArea>
    </format>
    <format dxfId="1288">
      <pivotArea dataOnly="0" labelOnly="1" fieldPosition="0">
        <references count="6">
          <reference field="1" count="1" selected="0">
            <x v="108"/>
          </reference>
          <reference field="5" count="1" selected="0">
            <x v="15"/>
          </reference>
          <reference field="6" count="1" selected="0">
            <x v="6"/>
          </reference>
          <reference field="7" count="1" selected="0">
            <x v="196"/>
          </reference>
          <reference field="8" count="1" selected="0">
            <x v="862"/>
          </reference>
          <reference field="9" count="1">
            <x v="611"/>
          </reference>
        </references>
      </pivotArea>
    </format>
    <format dxfId="1287">
      <pivotArea dataOnly="0" labelOnly="1" fieldPosition="0">
        <references count="6">
          <reference field="1" count="1" selected="0">
            <x v="108"/>
          </reference>
          <reference field="5" count="1" selected="0">
            <x v="21"/>
          </reference>
          <reference field="6" count="1" selected="0">
            <x v="38"/>
          </reference>
          <reference field="7" count="1" selected="0">
            <x v="196"/>
          </reference>
          <reference field="8" count="1" selected="0">
            <x v="375"/>
          </reference>
          <reference field="9" count="1">
            <x v="611"/>
          </reference>
        </references>
      </pivotArea>
    </format>
    <format dxfId="1286">
      <pivotArea dataOnly="0" labelOnly="1" fieldPosition="0">
        <references count="6">
          <reference field="1" count="1" selected="0">
            <x v="108"/>
          </reference>
          <reference field="5" count="1" selected="0">
            <x v="28"/>
          </reference>
          <reference field="6" count="1" selected="0">
            <x v="1"/>
          </reference>
          <reference field="7" count="1" selected="0">
            <x v="196"/>
          </reference>
          <reference field="8" count="1" selected="0">
            <x v="147"/>
          </reference>
          <reference field="9" count="1">
            <x v="611"/>
          </reference>
        </references>
      </pivotArea>
    </format>
    <format dxfId="1285">
      <pivotArea dataOnly="0" labelOnly="1" fieldPosition="0">
        <references count="6">
          <reference field="1" count="1" selected="0">
            <x v="108"/>
          </reference>
          <reference field="5" count="1" selected="0">
            <x v="29"/>
          </reference>
          <reference field="6" count="1" selected="0">
            <x v="6"/>
          </reference>
          <reference field="7" count="1" selected="0">
            <x v="196"/>
          </reference>
          <reference field="8" count="1" selected="0">
            <x v="1670"/>
          </reference>
          <reference field="9" count="1">
            <x v="611"/>
          </reference>
        </references>
      </pivotArea>
    </format>
    <format dxfId="1284">
      <pivotArea dataOnly="0" labelOnly="1" fieldPosition="0">
        <references count="6">
          <reference field="1" count="1" selected="0">
            <x v="109"/>
          </reference>
          <reference field="5" count="1" selected="0">
            <x v="0"/>
          </reference>
          <reference field="6" count="1" selected="0">
            <x v="38"/>
          </reference>
          <reference field="7" count="1" selected="0">
            <x v="197"/>
          </reference>
          <reference field="8" count="1" selected="0">
            <x v="262"/>
          </reference>
          <reference field="9" count="1">
            <x v="611"/>
          </reference>
        </references>
      </pivotArea>
    </format>
    <format dxfId="1283">
      <pivotArea dataOnly="0" labelOnly="1" fieldPosition="0">
        <references count="6">
          <reference field="1" count="1" selected="0">
            <x v="109"/>
          </reference>
          <reference field="5" count="1" selected="0">
            <x v="12"/>
          </reference>
          <reference field="6" count="1" selected="0">
            <x v="1"/>
          </reference>
          <reference field="7" count="1" selected="0">
            <x v="197"/>
          </reference>
          <reference field="8" count="1" selected="0">
            <x v="771"/>
          </reference>
          <reference field="9" count="1">
            <x v="611"/>
          </reference>
        </references>
      </pivotArea>
    </format>
    <format dxfId="1282">
      <pivotArea dataOnly="0" labelOnly="1" fieldPosition="0">
        <references count="6">
          <reference field="1" count="1" selected="0">
            <x v="109"/>
          </reference>
          <reference field="5" count="1" selected="0">
            <x v="26"/>
          </reference>
          <reference field="6" count="1" selected="0">
            <x v="10"/>
          </reference>
          <reference field="7" count="1" selected="0">
            <x v="197"/>
          </reference>
          <reference field="8" count="1" selected="0">
            <x v="0"/>
          </reference>
          <reference field="9" count="1">
            <x v="597"/>
          </reference>
        </references>
      </pivotArea>
    </format>
    <format dxfId="1281">
      <pivotArea dataOnly="0" labelOnly="1" fieldPosition="0">
        <references count="6">
          <reference field="1" count="1" selected="0">
            <x v="110"/>
          </reference>
          <reference field="5" count="1" selected="0">
            <x v="0"/>
          </reference>
          <reference field="6" count="1" selected="0">
            <x v="1"/>
          </reference>
          <reference field="7" count="1" selected="0">
            <x v="198"/>
          </reference>
          <reference field="8" count="1" selected="0">
            <x v="80"/>
          </reference>
          <reference field="9" count="1">
            <x v="611"/>
          </reference>
        </references>
      </pivotArea>
    </format>
    <format dxfId="1280">
      <pivotArea dataOnly="0" labelOnly="1" fieldPosition="0">
        <references count="6">
          <reference field="1" count="1" selected="0">
            <x v="110"/>
          </reference>
          <reference field="5" count="1" selected="0">
            <x v="0"/>
          </reference>
          <reference field="6" count="1" selected="0">
            <x v="8"/>
          </reference>
          <reference field="7" count="1" selected="0">
            <x v="198"/>
          </reference>
          <reference field="8" count="1" selected="0">
            <x v="624"/>
          </reference>
          <reference field="9" count="1">
            <x v="611"/>
          </reference>
        </references>
      </pivotArea>
    </format>
    <format dxfId="1279">
      <pivotArea dataOnly="0" labelOnly="1" fieldPosition="0">
        <references count="6">
          <reference field="1" count="1" selected="0">
            <x v="110"/>
          </reference>
          <reference field="5" count="1" selected="0">
            <x v="0"/>
          </reference>
          <reference field="6" count="1" selected="0">
            <x v="9"/>
          </reference>
          <reference field="7" count="1" selected="0">
            <x v="198"/>
          </reference>
          <reference field="8" count="1" selected="0">
            <x v="128"/>
          </reference>
          <reference field="9" count="1">
            <x v="611"/>
          </reference>
        </references>
      </pivotArea>
    </format>
    <format dxfId="1278">
      <pivotArea dataOnly="0" labelOnly="1" fieldPosition="0">
        <references count="6">
          <reference field="1" count="1" selected="0">
            <x v="110"/>
          </reference>
          <reference field="5" count="1" selected="0">
            <x v="0"/>
          </reference>
          <reference field="6" count="1" selected="0">
            <x v="9"/>
          </reference>
          <reference field="7" count="1" selected="0">
            <x v="198"/>
          </reference>
          <reference field="8" count="1" selected="0">
            <x v="490"/>
          </reference>
          <reference field="9" count="1">
            <x v="611"/>
          </reference>
        </references>
      </pivotArea>
    </format>
    <format dxfId="1277">
      <pivotArea dataOnly="0" labelOnly="1" fieldPosition="0">
        <references count="6">
          <reference field="1" count="1" selected="0">
            <x v="110"/>
          </reference>
          <reference field="5" count="1" selected="0">
            <x v="0"/>
          </reference>
          <reference field="6" count="1" selected="0">
            <x v="9"/>
          </reference>
          <reference field="7" count="1" selected="0">
            <x v="198"/>
          </reference>
          <reference field="8" count="1" selected="0">
            <x v="565"/>
          </reference>
          <reference field="9" count="1">
            <x v="611"/>
          </reference>
        </references>
      </pivotArea>
    </format>
    <format dxfId="1276">
      <pivotArea dataOnly="0" labelOnly="1" fieldPosition="0">
        <references count="6">
          <reference field="1" count="1" selected="0">
            <x v="110"/>
          </reference>
          <reference field="5" count="1" selected="0">
            <x v="0"/>
          </reference>
          <reference field="6" count="1" selected="0">
            <x v="9"/>
          </reference>
          <reference field="7" count="1" selected="0">
            <x v="198"/>
          </reference>
          <reference field="8" count="1" selected="0">
            <x v="632"/>
          </reference>
          <reference field="9" count="1">
            <x v="611"/>
          </reference>
        </references>
      </pivotArea>
    </format>
    <format dxfId="1275">
      <pivotArea dataOnly="0" labelOnly="1" fieldPosition="0">
        <references count="6">
          <reference field="1" count="1" selected="0">
            <x v="110"/>
          </reference>
          <reference field="5" count="1" selected="0">
            <x v="0"/>
          </reference>
          <reference field="6" count="1" selected="0">
            <x v="9"/>
          </reference>
          <reference field="7" count="1" selected="0">
            <x v="198"/>
          </reference>
          <reference field="8" count="1" selected="0">
            <x v="777"/>
          </reference>
          <reference field="9" count="1">
            <x v="611"/>
          </reference>
        </references>
      </pivotArea>
    </format>
    <format dxfId="1274">
      <pivotArea dataOnly="0" labelOnly="1" fieldPosition="0">
        <references count="6">
          <reference field="1" count="1" selected="0">
            <x v="110"/>
          </reference>
          <reference field="5" count="1" selected="0">
            <x v="0"/>
          </reference>
          <reference field="6" count="1" selected="0">
            <x v="9"/>
          </reference>
          <reference field="7" count="1" selected="0">
            <x v="198"/>
          </reference>
          <reference field="8" count="1" selected="0">
            <x v="986"/>
          </reference>
          <reference field="9" count="1">
            <x v="611"/>
          </reference>
        </references>
      </pivotArea>
    </format>
    <format dxfId="1273">
      <pivotArea dataOnly="0" labelOnly="1" fieldPosition="0">
        <references count="6">
          <reference field="1" count="1" selected="0">
            <x v="110"/>
          </reference>
          <reference field="5" count="1" selected="0">
            <x v="0"/>
          </reference>
          <reference field="6" count="1" selected="0">
            <x v="9"/>
          </reference>
          <reference field="7" count="1" selected="0">
            <x v="198"/>
          </reference>
          <reference field="8" count="1" selected="0">
            <x v="1014"/>
          </reference>
          <reference field="9" count="1">
            <x v="611"/>
          </reference>
        </references>
      </pivotArea>
    </format>
    <format dxfId="1272">
      <pivotArea dataOnly="0" labelOnly="1" fieldPosition="0">
        <references count="6">
          <reference field="1" count="1" selected="0">
            <x v="110"/>
          </reference>
          <reference field="5" count="1" selected="0">
            <x v="0"/>
          </reference>
          <reference field="6" count="1" selected="0">
            <x v="10"/>
          </reference>
          <reference field="7" count="1" selected="0">
            <x v="198"/>
          </reference>
          <reference field="8" count="1" selected="0">
            <x v="433"/>
          </reference>
          <reference field="9" count="1">
            <x v="611"/>
          </reference>
        </references>
      </pivotArea>
    </format>
    <format dxfId="1271">
      <pivotArea dataOnly="0" labelOnly="1" fieldPosition="0">
        <references count="6">
          <reference field="1" count="1" selected="0">
            <x v="110"/>
          </reference>
          <reference field="5" count="1" selected="0">
            <x v="0"/>
          </reference>
          <reference field="6" count="1" selected="0">
            <x v="12"/>
          </reference>
          <reference field="7" count="1" selected="0">
            <x v="2"/>
          </reference>
          <reference field="8" count="1" selected="0">
            <x v="7"/>
          </reference>
          <reference field="9" count="1">
            <x v="611"/>
          </reference>
        </references>
      </pivotArea>
    </format>
    <format dxfId="1270">
      <pivotArea dataOnly="0" labelOnly="1" fieldPosition="0">
        <references count="6">
          <reference field="1" count="1" selected="0">
            <x v="110"/>
          </reference>
          <reference field="5" count="1" selected="0">
            <x v="0"/>
          </reference>
          <reference field="6" count="1" selected="0">
            <x v="12"/>
          </reference>
          <reference field="7" count="1" selected="0">
            <x v="38"/>
          </reference>
          <reference field="8" count="1" selected="0">
            <x v="114"/>
          </reference>
          <reference field="9" count="1">
            <x v="611"/>
          </reference>
        </references>
      </pivotArea>
    </format>
    <format dxfId="1269">
      <pivotArea dataOnly="0" labelOnly="1" fieldPosition="0">
        <references count="6">
          <reference field="1" count="1" selected="0">
            <x v="110"/>
          </reference>
          <reference field="5" count="1" selected="0">
            <x v="0"/>
          </reference>
          <reference field="6" count="1" selected="0">
            <x v="12"/>
          </reference>
          <reference field="7" count="1" selected="0">
            <x v="47"/>
          </reference>
          <reference field="8" count="1" selected="0">
            <x v="314"/>
          </reference>
          <reference field="9" count="1">
            <x v="611"/>
          </reference>
        </references>
      </pivotArea>
    </format>
    <format dxfId="1268">
      <pivotArea dataOnly="0" labelOnly="1" fieldPosition="0">
        <references count="6">
          <reference field="1" count="1" selected="0">
            <x v="110"/>
          </reference>
          <reference field="5" count="1" selected="0">
            <x v="0"/>
          </reference>
          <reference field="6" count="1" selected="0">
            <x v="38"/>
          </reference>
          <reference field="7" count="1" selected="0">
            <x v="198"/>
          </reference>
          <reference field="8" count="1" selected="0">
            <x v="481"/>
          </reference>
          <reference field="9" count="1">
            <x v="611"/>
          </reference>
        </references>
      </pivotArea>
    </format>
    <format dxfId="1267">
      <pivotArea dataOnly="0" labelOnly="1" fieldPosition="0">
        <references count="6">
          <reference field="1" count="1" selected="0">
            <x v="110"/>
          </reference>
          <reference field="5" count="1" selected="0">
            <x v="3"/>
          </reference>
          <reference field="6" count="1" selected="0">
            <x v="38"/>
          </reference>
          <reference field="7" count="1" selected="0">
            <x v="198"/>
          </reference>
          <reference field="8" count="1" selected="0">
            <x v="475"/>
          </reference>
          <reference field="9" count="1">
            <x v="611"/>
          </reference>
        </references>
      </pivotArea>
    </format>
    <format dxfId="1266">
      <pivotArea dataOnly="0" labelOnly="1" fieldPosition="0">
        <references count="6">
          <reference field="1" count="1" selected="0">
            <x v="110"/>
          </reference>
          <reference field="5" count="1" selected="0">
            <x v="5"/>
          </reference>
          <reference field="6" count="1" selected="0">
            <x v="8"/>
          </reference>
          <reference field="7" count="1" selected="0">
            <x v="198"/>
          </reference>
          <reference field="8" count="1" selected="0">
            <x v="305"/>
          </reference>
          <reference field="9" count="1">
            <x v="611"/>
          </reference>
        </references>
      </pivotArea>
    </format>
    <format dxfId="1265">
      <pivotArea dataOnly="0" labelOnly="1" fieldPosition="0">
        <references count="6">
          <reference field="1" count="1" selected="0">
            <x v="110"/>
          </reference>
          <reference field="5" count="1" selected="0">
            <x v="5"/>
          </reference>
          <reference field="6" count="1" selected="0">
            <x v="10"/>
          </reference>
          <reference field="7" count="1" selected="0">
            <x v="198"/>
          </reference>
          <reference field="8" count="1" selected="0">
            <x v="1370"/>
          </reference>
          <reference field="9" count="1">
            <x v="611"/>
          </reference>
        </references>
      </pivotArea>
    </format>
    <format dxfId="1264">
      <pivotArea dataOnly="0" labelOnly="1" fieldPosition="0">
        <references count="6">
          <reference field="1" count="1" selected="0">
            <x v="110"/>
          </reference>
          <reference field="5" count="1" selected="0">
            <x v="7"/>
          </reference>
          <reference field="6" count="1" selected="0">
            <x v="9"/>
          </reference>
          <reference field="7" count="1" selected="0">
            <x v="198"/>
          </reference>
          <reference field="8" count="1" selected="0">
            <x v="334"/>
          </reference>
          <reference field="9" count="1">
            <x v="611"/>
          </reference>
        </references>
      </pivotArea>
    </format>
    <format dxfId="1263">
      <pivotArea dataOnly="0" labelOnly="1" fieldPosition="0">
        <references count="6">
          <reference field="1" count="1" selected="0">
            <x v="110"/>
          </reference>
          <reference field="5" count="1" selected="0">
            <x v="8"/>
          </reference>
          <reference field="6" count="1" selected="0">
            <x v="10"/>
          </reference>
          <reference field="7" count="1" selected="0">
            <x v="198"/>
          </reference>
          <reference field="8" count="1" selected="0">
            <x v="539"/>
          </reference>
          <reference field="9" count="1">
            <x v="611"/>
          </reference>
        </references>
      </pivotArea>
    </format>
    <format dxfId="1262">
      <pivotArea dataOnly="0" labelOnly="1" fieldPosition="0">
        <references count="6">
          <reference field="1" count="1" selected="0">
            <x v="110"/>
          </reference>
          <reference field="5" count="1" selected="0">
            <x v="12"/>
          </reference>
          <reference field="6" count="1" selected="0">
            <x v="1"/>
          </reference>
          <reference field="7" count="1" selected="0">
            <x v="198"/>
          </reference>
          <reference field="8" count="1" selected="0">
            <x v="80"/>
          </reference>
          <reference field="9" count="1">
            <x v="611"/>
          </reference>
        </references>
      </pivotArea>
    </format>
    <format dxfId="1261">
      <pivotArea dataOnly="0" labelOnly="1" fieldPosition="0">
        <references count="6">
          <reference field="1" count="1" selected="0">
            <x v="110"/>
          </reference>
          <reference field="5" count="1" selected="0">
            <x v="12"/>
          </reference>
          <reference field="6" count="1" selected="0">
            <x v="1"/>
          </reference>
          <reference field="7" count="1" selected="0">
            <x v="198"/>
          </reference>
          <reference field="8" count="1" selected="0">
            <x v="213"/>
          </reference>
          <reference field="9" count="1">
            <x v="611"/>
          </reference>
        </references>
      </pivotArea>
    </format>
    <format dxfId="1260">
      <pivotArea dataOnly="0" labelOnly="1" fieldPosition="0">
        <references count="6">
          <reference field="1" count="1" selected="0">
            <x v="110"/>
          </reference>
          <reference field="5" count="1" selected="0">
            <x v="12"/>
          </reference>
          <reference field="6" count="1" selected="0">
            <x v="1"/>
          </reference>
          <reference field="7" count="1" selected="0">
            <x v="198"/>
          </reference>
          <reference field="8" count="1" selected="0">
            <x v="352"/>
          </reference>
          <reference field="9" count="1">
            <x v="611"/>
          </reference>
        </references>
      </pivotArea>
    </format>
    <format dxfId="1259">
      <pivotArea dataOnly="0" labelOnly="1" fieldPosition="0">
        <references count="6">
          <reference field="1" count="1" selected="0">
            <x v="110"/>
          </reference>
          <reference field="5" count="1" selected="0">
            <x v="12"/>
          </reference>
          <reference field="6" count="1" selected="0">
            <x v="1"/>
          </reference>
          <reference field="7" count="1" selected="0">
            <x v="198"/>
          </reference>
          <reference field="8" count="1" selected="0">
            <x v="771"/>
          </reference>
          <reference field="9" count="1">
            <x v="611"/>
          </reference>
        </references>
      </pivotArea>
    </format>
    <format dxfId="1258">
      <pivotArea dataOnly="0" labelOnly="1" fieldPosition="0">
        <references count="6">
          <reference field="1" count="1" selected="0">
            <x v="110"/>
          </reference>
          <reference field="5" count="1" selected="0">
            <x v="12"/>
          </reference>
          <reference field="6" count="1" selected="0">
            <x v="1"/>
          </reference>
          <reference field="7" count="1" selected="0">
            <x v="198"/>
          </reference>
          <reference field="8" count="1" selected="0">
            <x v="911"/>
          </reference>
          <reference field="9" count="1">
            <x v="611"/>
          </reference>
        </references>
      </pivotArea>
    </format>
    <format dxfId="1257">
      <pivotArea dataOnly="0" labelOnly="1" fieldPosition="0">
        <references count="6">
          <reference field="1" count="1" selected="0">
            <x v="110"/>
          </reference>
          <reference field="5" count="1" selected="0">
            <x v="15"/>
          </reference>
          <reference field="6" count="1" selected="0">
            <x v="6"/>
          </reference>
          <reference field="7" count="1" selected="0">
            <x v="198"/>
          </reference>
          <reference field="8" count="1" selected="0">
            <x v="512"/>
          </reference>
          <reference field="9" count="1">
            <x v="611"/>
          </reference>
        </references>
      </pivotArea>
    </format>
    <format dxfId="1256">
      <pivotArea dataOnly="0" labelOnly="1" fieldPosition="0">
        <references count="6">
          <reference field="1" count="1" selected="0">
            <x v="110"/>
          </reference>
          <reference field="5" count="1" selected="0">
            <x v="15"/>
          </reference>
          <reference field="6" count="1" selected="0">
            <x v="8"/>
          </reference>
          <reference field="7" count="1" selected="0">
            <x v="198"/>
          </reference>
          <reference field="8" count="1" selected="0">
            <x v="0"/>
          </reference>
          <reference field="9" count="1">
            <x v="531"/>
          </reference>
        </references>
      </pivotArea>
    </format>
    <format dxfId="1255">
      <pivotArea dataOnly="0" labelOnly="1" fieldPosition="0">
        <references count="6">
          <reference field="1" count="1" selected="0">
            <x v="110"/>
          </reference>
          <reference field="5" count="1" selected="0">
            <x v="15"/>
          </reference>
          <reference field="6" count="1" selected="0">
            <x v="9"/>
          </reference>
          <reference field="7" count="1" selected="0">
            <x v="198"/>
          </reference>
          <reference field="8" count="1" selected="0">
            <x v="503"/>
          </reference>
          <reference field="9" count="1">
            <x v="611"/>
          </reference>
        </references>
      </pivotArea>
    </format>
    <format dxfId="1254">
      <pivotArea dataOnly="0" labelOnly="1" fieldPosition="0">
        <references count="6">
          <reference field="1" count="1" selected="0">
            <x v="110"/>
          </reference>
          <reference field="5" count="1" selected="0">
            <x v="23"/>
          </reference>
          <reference field="6" count="1" selected="0">
            <x v="38"/>
          </reference>
          <reference field="7" count="1" selected="0">
            <x v="198"/>
          </reference>
          <reference field="8" count="1" selected="0">
            <x v="765"/>
          </reference>
          <reference field="9" count="1">
            <x v="611"/>
          </reference>
        </references>
      </pivotArea>
    </format>
    <format dxfId="1253">
      <pivotArea dataOnly="0" labelOnly="1" fieldPosition="0">
        <references count="6">
          <reference field="1" count="1" selected="0">
            <x v="110"/>
          </reference>
          <reference field="5" count="1" selected="0">
            <x v="35"/>
          </reference>
          <reference field="6" count="1" selected="0">
            <x v="1"/>
          </reference>
          <reference field="7" count="1" selected="0">
            <x v="198"/>
          </reference>
          <reference field="8" count="1" selected="0">
            <x v="80"/>
          </reference>
          <reference field="9" count="1">
            <x v="611"/>
          </reference>
        </references>
      </pivotArea>
    </format>
    <format dxfId="1252">
      <pivotArea dataOnly="0" labelOnly="1" fieldPosition="0">
        <references count="6">
          <reference field="1" count="1" selected="0">
            <x v="110"/>
          </reference>
          <reference field="5" count="1" selected="0">
            <x v="37"/>
          </reference>
          <reference field="6" count="1" selected="0">
            <x v="8"/>
          </reference>
          <reference field="7" count="1" selected="0">
            <x v="198"/>
          </reference>
          <reference field="8" count="1" selected="0">
            <x v="852"/>
          </reference>
          <reference field="9" count="1">
            <x v="611"/>
          </reference>
        </references>
      </pivotArea>
    </format>
    <format dxfId="1251">
      <pivotArea dataOnly="0" labelOnly="1" fieldPosition="0">
        <references count="6">
          <reference field="1" count="1" selected="0">
            <x v="111"/>
          </reference>
          <reference field="5" count="1" selected="0">
            <x v="0"/>
          </reference>
          <reference field="6" count="1" selected="0">
            <x v="12"/>
          </reference>
          <reference field="7" count="1" selected="0">
            <x v="17"/>
          </reference>
          <reference field="8" count="1" selected="0">
            <x v="219"/>
          </reference>
          <reference field="9" count="1">
            <x v="611"/>
          </reference>
        </references>
      </pivotArea>
    </format>
    <format dxfId="1250">
      <pivotArea dataOnly="0" labelOnly="1" fieldPosition="0">
        <references count="6">
          <reference field="1" count="1" selected="0">
            <x v="111"/>
          </reference>
          <reference field="5" count="1" selected="0">
            <x v="0"/>
          </reference>
          <reference field="6" count="1" selected="0">
            <x v="12"/>
          </reference>
          <reference field="7" count="1" selected="0">
            <x v="24"/>
          </reference>
          <reference field="8" count="1" selected="0">
            <x v="306"/>
          </reference>
          <reference field="9" count="1">
            <x v="611"/>
          </reference>
        </references>
      </pivotArea>
    </format>
    <format dxfId="1249">
      <pivotArea dataOnly="0" labelOnly="1" fieldPosition="0">
        <references count="6">
          <reference field="1" count="1" selected="0">
            <x v="111"/>
          </reference>
          <reference field="5" count="1" selected="0">
            <x v="0"/>
          </reference>
          <reference field="6" count="1" selected="0">
            <x v="12"/>
          </reference>
          <reference field="7" count="1" selected="0">
            <x v="31"/>
          </reference>
          <reference field="8" count="1" selected="0">
            <x v="219"/>
          </reference>
          <reference field="9" count="1">
            <x v="611"/>
          </reference>
        </references>
      </pivotArea>
    </format>
    <format dxfId="1248">
      <pivotArea dataOnly="0" labelOnly="1" fieldPosition="0">
        <references count="6">
          <reference field="1" count="1" selected="0">
            <x v="111"/>
          </reference>
          <reference field="5" count="1" selected="0">
            <x v="0"/>
          </reference>
          <reference field="6" count="1" selected="0">
            <x v="12"/>
          </reference>
          <reference field="7" count="1" selected="0">
            <x v="36"/>
          </reference>
          <reference field="8" count="1" selected="0">
            <x v="535"/>
          </reference>
          <reference field="9" count="1">
            <x v="611"/>
          </reference>
        </references>
      </pivotArea>
    </format>
    <format dxfId="1247">
      <pivotArea dataOnly="0" labelOnly="1" fieldPosition="0">
        <references count="6">
          <reference field="1" count="1" selected="0">
            <x v="111"/>
          </reference>
          <reference field="5" count="1" selected="0">
            <x v="0"/>
          </reference>
          <reference field="6" count="1" selected="0">
            <x v="12"/>
          </reference>
          <reference field="7" count="1" selected="0">
            <x v="53"/>
          </reference>
          <reference field="8" count="1" selected="0">
            <x v="223"/>
          </reference>
          <reference field="9" count="1">
            <x v="611"/>
          </reference>
        </references>
      </pivotArea>
    </format>
    <format dxfId="1246">
      <pivotArea dataOnly="0" labelOnly="1" fieldPosition="0">
        <references count="6">
          <reference field="1" count="1" selected="0">
            <x v="111"/>
          </reference>
          <reference field="5" count="1" selected="0">
            <x v="0"/>
          </reference>
          <reference field="6" count="1" selected="0">
            <x v="12"/>
          </reference>
          <reference field="7" count="1" selected="0">
            <x v="55"/>
          </reference>
          <reference field="8" count="1" selected="0">
            <x v="92"/>
          </reference>
          <reference field="9" count="1">
            <x v="611"/>
          </reference>
        </references>
      </pivotArea>
    </format>
    <format dxfId="1245">
      <pivotArea dataOnly="0" labelOnly="1" fieldPosition="0">
        <references count="6">
          <reference field="1" count="1" selected="0">
            <x v="111"/>
          </reference>
          <reference field="5" count="1" selected="0">
            <x v="0"/>
          </reference>
          <reference field="6" count="1" selected="0">
            <x v="38"/>
          </reference>
          <reference field="7" count="1" selected="0">
            <x v="199"/>
          </reference>
          <reference field="8" count="1" selected="0">
            <x v="469"/>
          </reference>
          <reference field="9" count="1">
            <x v="611"/>
          </reference>
        </references>
      </pivotArea>
    </format>
    <format dxfId="1244">
      <pivotArea dataOnly="0" labelOnly="1" fieldPosition="0">
        <references count="6">
          <reference field="1" count="1" selected="0">
            <x v="111"/>
          </reference>
          <reference field="5" count="1" selected="0">
            <x v="0"/>
          </reference>
          <reference field="6" count="1" selected="0">
            <x v="38"/>
          </reference>
          <reference field="7" count="1" selected="0">
            <x v="199"/>
          </reference>
          <reference field="8" count="1" selected="0">
            <x v="592"/>
          </reference>
          <reference field="9" count="1">
            <x v="611"/>
          </reference>
        </references>
      </pivotArea>
    </format>
    <format dxfId="1243">
      <pivotArea dataOnly="0" labelOnly="1" fieldPosition="0">
        <references count="6">
          <reference field="1" count="1" selected="0">
            <x v="111"/>
          </reference>
          <reference field="5" count="1" selected="0">
            <x v="3"/>
          </reference>
          <reference field="6" count="1" selected="0">
            <x v="1"/>
          </reference>
          <reference field="7" count="1" selected="0">
            <x v="199"/>
          </reference>
          <reference field="8" count="1" selected="0">
            <x v="806"/>
          </reference>
          <reference field="9" count="1">
            <x v="611"/>
          </reference>
        </references>
      </pivotArea>
    </format>
    <format dxfId="1242">
      <pivotArea dataOnly="0" labelOnly="1" fieldPosition="0">
        <references count="6">
          <reference field="1" count="1" selected="0">
            <x v="111"/>
          </reference>
          <reference field="5" count="1" selected="0">
            <x v="3"/>
          </reference>
          <reference field="6" count="1" selected="0">
            <x v="6"/>
          </reference>
          <reference field="7" count="1" selected="0">
            <x v="199"/>
          </reference>
          <reference field="8" count="1" selected="0">
            <x v="517"/>
          </reference>
          <reference field="9" count="1">
            <x v="611"/>
          </reference>
        </references>
      </pivotArea>
    </format>
    <format dxfId="1241">
      <pivotArea dataOnly="0" labelOnly="1" fieldPosition="0">
        <references count="6">
          <reference field="1" count="1" selected="0">
            <x v="111"/>
          </reference>
          <reference field="5" count="1" selected="0">
            <x v="3"/>
          </reference>
          <reference field="6" count="1" selected="0">
            <x v="38"/>
          </reference>
          <reference field="7" count="1" selected="0">
            <x v="199"/>
          </reference>
          <reference field="8" count="1" selected="0">
            <x v="109"/>
          </reference>
          <reference field="9" count="1">
            <x v="611"/>
          </reference>
        </references>
      </pivotArea>
    </format>
    <format dxfId="1240">
      <pivotArea dataOnly="0" labelOnly="1" fieldPosition="0">
        <references count="6">
          <reference field="1" count="1" selected="0">
            <x v="111"/>
          </reference>
          <reference field="5" count="1" selected="0">
            <x v="12"/>
          </reference>
          <reference field="6" count="1" selected="0">
            <x v="1"/>
          </reference>
          <reference field="7" count="1" selected="0">
            <x v="199"/>
          </reference>
          <reference field="8" count="1" selected="0">
            <x v="80"/>
          </reference>
          <reference field="9" count="1">
            <x v="611"/>
          </reference>
        </references>
      </pivotArea>
    </format>
    <format dxfId="1239">
      <pivotArea dataOnly="0" labelOnly="1" fieldPosition="0">
        <references count="6">
          <reference field="1" count="1" selected="0">
            <x v="111"/>
          </reference>
          <reference field="5" count="1" selected="0">
            <x v="12"/>
          </reference>
          <reference field="6" count="1" selected="0">
            <x v="1"/>
          </reference>
          <reference field="7" count="1" selected="0">
            <x v="199"/>
          </reference>
          <reference field="8" count="1" selected="0">
            <x v="213"/>
          </reference>
          <reference field="9" count="1">
            <x v="611"/>
          </reference>
        </references>
      </pivotArea>
    </format>
    <format dxfId="1238">
      <pivotArea dataOnly="0" labelOnly="1" fieldPosition="0">
        <references count="6">
          <reference field="1" count="1" selected="0">
            <x v="111"/>
          </reference>
          <reference field="5" count="1" selected="0">
            <x v="20"/>
          </reference>
          <reference field="6" count="1" selected="0">
            <x v="6"/>
          </reference>
          <reference field="7" count="1" selected="0">
            <x v="199"/>
          </reference>
          <reference field="8" count="1" selected="0">
            <x v="1705"/>
          </reference>
          <reference field="9" count="1">
            <x v="611"/>
          </reference>
        </references>
      </pivotArea>
    </format>
    <format dxfId="1237">
      <pivotArea dataOnly="0" labelOnly="1" fieldPosition="0">
        <references count="6">
          <reference field="1" count="1" selected="0">
            <x v="111"/>
          </reference>
          <reference field="5" count="1" selected="0">
            <x v="21"/>
          </reference>
          <reference field="6" count="1" selected="0">
            <x v="33"/>
          </reference>
          <reference field="7" count="1" selected="0">
            <x v="199"/>
          </reference>
          <reference field="8" count="1" selected="0">
            <x v="719"/>
          </reference>
          <reference field="9" count="1">
            <x v="611"/>
          </reference>
        </references>
      </pivotArea>
    </format>
    <format dxfId="1236">
      <pivotArea dataOnly="0" labelOnly="1" fieldPosition="0">
        <references count="6">
          <reference field="1" count="1" selected="0">
            <x v="111"/>
          </reference>
          <reference field="5" count="1" selected="0">
            <x v="23"/>
          </reference>
          <reference field="6" count="1" selected="0">
            <x v="38"/>
          </reference>
          <reference field="7" count="1" selected="0">
            <x v="199"/>
          </reference>
          <reference field="8" count="1" selected="0">
            <x v="79"/>
          </reference>
          <reference field="9" count="1">
            <x v="611"/>
          </reference>
        </references>
      </pivotArea>
    </format>
    <format dxfId="1235">
      <pivotArea dataOnly="0" labelOnly="1" fieldPosition="0">
        <references count="6">
          <reference field="1" count="1" selected="0">
            <x v="111"/>
          </reference>
          <reference field="5" count="1" selected="0">
            <x v="35"/>
          </reference>
          <reference field="6" count="1" selected="0">
            <x v="1"/>
          </reference>
          <reference field="7" count="1" selected="0">
            <x v="199"/>
          </reference>
          <reference field="8" count="1" selected="0">
            <x v="80"/>
          </reference>
          <reference field="9" count="1">
            <x v="611"/>
          </reference>
        </references>
      </pivotArea>
    </format>
    <format dxfId="1234">
      <pivotArea dataOnly="0" labelOnly="1" fieldPosition="0">
        <references count="6">
          <reference field="1" count="1" selected="0">
            <x v="111"/>
          </reference>
          <reference field="5" count="1" selected="0">
            <x v="35"/>
          </reference>
          <reference field="6" count="1" selected="0">
            <x v="1"/>
          </reference>
          <reference field="7" count="1" selected="0">
            <x v="199"/>
          </reference>
          <reference field="8" count="1" selected="0">
            <x v="352"/>
          </reference>
          <reference field="9" count="1">
            <x v="611"/>
          </reference>
        </references>
      </pivotArea>
    </format>
    <format dxfId="1233">
      <pivotArea dataOnly="0" labelOnly="1" fieldPosition="0">
        <references count="6">
          <reference field="1" count="1" selected="0">
            <x v="112"/>
          </reference>
          <reference field="5" count="1" selected="0">
            <x v="0"/>
          </reference>
          <reference field="6" count="1" selected="0">
            <x v="8"/>
          </reference>
          <reference field="7" count="1" selected="0">
            <x v="200"/>
          </reference>
          <reference field="8" count="1" selected="0">
            <x v="0"/>
          </reference>
          <reference field="9" count="1">
            <x v="599"/>
          </reference>
        </references>
      </pivotArea>
    </format>
    <format dxfId="1232">
      <pivotArea dataOnly="0" labelOnly="1" fieldPosition="0">
        <references count="6">
          <reference field="1" count="1" selected="0">
            <x v="112"/>
          </reference>
          <reference field="5" count="1" selected="0">
            <x v="0"/>
          </reference>
          <reference field="6" count="1" selected="0">
            <x v="12"/>
          </reference>
          <reference field="7" count="1" selected="0">
            <x v="40"/>
          </reference>
          <reference field="8" count="1" selected="0">
            <x v="219"/>
          </reference>
          <reference field="9" count="1">
            <x v="611"/>
          </reference>
        </references>
      </pivotArea>
    </format>
    <format dxfId="1231">
      <pivotArea dataOnly="0" labelOnly="1" fieldPosition="0">
        <references count="6">
          <reference field="1" count="1" selected="0">
            <x v="112"/>
          </reference>
          <reference field="5" count="1" selected="0">
            <x v="8"/>
          </reference>
          <reference field="6" count="1" selected="0">
            <x v="38"/>
          </reference>
          <reference field="7" count="1" selected="0">
            <x v="200"/>
          </reference>
          <reference field="8" count="1" selected="0">
            <x v="769"/>
          </reference>
          <reference field="9" count="1">
            <x v="611"/>
          </reference>
        </references>
      </pivotArea>
    </format>
    <format dxfId="1230">
      <pivotArea dataOnly="0" labelOnly="1" fieldPosition="0">
        <references count="6">
          <reference field="1" count="1" selected="0">
            <x v="112"/>
          </reference>
          <reference field="5" count="1" selected="0">
            <x v="12"/>
          </reference>
          <reference field="6" count="1" selected="0">
            <x v="1"/>
          </reference>
          <reference field="7" count="1" selected="0">
            <x v="200"/>
          </reference>
          <reference field="8" count="1" selected="0">
            <x v="80"/>
          </reference>
          <reference field="9" count="1">
            <x v="611"/>
          </reference>
        </references>
      </pivotArea>
    </format>
    <format dxfId="1229">
      <pivotArea dataOnly="0" labelOnly="1" fieldPosition="0">
        <references count="6">
          <reference field="1" count="1" selected="0">
            <x v="112"/>
          </reference>
          <reference field="5" count="1" selected="0">
            <x v="12"/>
          </reference>
          <reference field="6" count="1" selected="0">
            <x v="1"/>
          </reference>
          <reference field="7" count="1" selected="0">
            <x v="200"/>
          </reference>
          <reference field="8" count="1" selected="0">
            <x v="213"/>
          </reference>
          <reference field="9" count="1">
            <x v="611"/>
          </reference>
        </references>
      </pivotArea>
    </format>
    <format dxfId="1228">
      <pivotArea dataOnly="0" labelOnly="1" fieldPosition="0">
        <references count="6">
          <reference field="1" count="1" selected="0">
            <x v="112"/>
          </reference>
          <reference field="5" count="1" selected="0">
            <x v="12"/>
          </reference>
          <reference field="6" count="1" selected="0">
            <x v="1"/>
          </reference>
          <reference field="7" count="1" selected="0">
            <x v="200"/>
          </reference>
          <reference field="8" count="1" selected="0">
            <x v="607"/>
          </reference>
          <reference field="9" count="1">
            <x v="611"/>
          </reference>
        </references>
      </pivotArea>
    </format>
    <format dxfId="1227">
      <pivotArea dataOnly="0" labelOnly="1" fieldPosition="0">
        <references count="6">
          <reference field="1" count="1" selected="0">
            <x v="112"/>
          </reference>
          <reference field="5" count="1" selected="0">
            <x v="27"/>
          </reference>
          <reference field="6" count="1" selected="0">
            <x v="10"/>
          </reference>
          <reference field="7" count="1" selected="0">
            <x v="200"/>
          </reference>
          <reference field="8" count="1" selected="0">
            <x v="180"/>
          </reference>
          <reference field="9" count="1">
            <x v="611"/>
          </reference>
        </references>
      </pivotArea>
    </format>
    <format dxfId="1226">
      <pivotArea dataOnly="0" labelOnly="1" fieldPosition="0">
        <references count="6">
          <reference field="1" count="1" selected="0">
            <x v="112"/>
          </reference>
          <reference field="5" count="1" selected="0">
            <x v="29"/>
          </reference>
          <reference field="6" count="1" selected="0">
            <x v="10"/>
          </reference>
          <reference field="7" count="1" selected="0">
            <x v="200"/>
          </reference>
          <reference field="8" count="1" selected="0">
            <x v="0"/>
          </reference>
          <reference field="9" count="1">
            <x v="586"/>
          </reference>
        </references>
      </pivotArea>
    </format>
    <format dxfId="1225">
      <pivotArea dataOnly="0" labelOnly="1" fieldPosition="0">
        <references count="6">
          <reference field="1" count="1" selected="0">
            <x v="112"/>
          </reference>
          <reference field="5" count="1" selected="0">
            <x v="35"/>
          </reference>
          <reference field="6" count="1" selected="0">
            <x v="1"/>
          </reference>
          <reference field="7" count="1" selected="0">
            <x v="200"/>
          </reference>
          <reference field="8" count="1" selected="0">
            <x v="771"/>
          </reference>
          <reference field="9" count="1">
            <x v="611"/>
          </reference>
        </references>
      </pivotArea>
    </format>
    <format dxfId="1224">
      <pivotArea dataOnly="0" labelOnly="1" fieldPosition="0">
        <references count="6">
          <reference field="1" count="1" selected="0">
            <x v="113"/>
          </reference>
          <reference field="5" count="1" selected="0">
            <x v="0"/>
          </reference>
          <reference field="6" count="1" selected="0">
            <x v="8"/>
          </reference>
          <reference field="7" count="1" selected="0">
            <x v="201"/>
          </reference>
          <reference field="8" count="1" selected="0">
            <x v="349"/>
          </reference>
          <reference field="9" count="1">
            <x v="611"/>
          </reference>
        </references>
      </pivotArea>
    </format>
    <format dxfId="1223">
      <pivotArea dataOnly="0" labelOnly="1" fieldPosition="0">
        <references count="6">
          <reference field="1" count="1" selected="0">
            <x v="113"/>
          </reference>
          <reference field="5" count="1" selected="0">
            <x v="0"/>
          </reference>
          <reference field="6" count="1" selected="0">
            <x v="8"/>
          </reference>
          <reference field="7" count="1" selected="0">
            <x v="201"/>
          </reference>
          <reference field="8" count="1" selected="0">
            <x v="351"/>
          </reference>
          <reference field="9" count="1">
            <x v="611"/>
          </reference>
        </references>
      </pivotArea>
    </format>
    <format dxfId="1222">
      <pivotArea dataOnly="0" labelOnly="1" fieldPosition="0">
        <references count="6">
          <reference field="1" count="1" selected="0">
            <x v="113"/>
          </reference>
          <reference field="5" count="1" selected="0">
            <x v="0"/>
          </reference>
          <reference field="6" count="1" selected="0">
            <x v="8"/>
          </reference>
          <reference field="7" count="1" selected="0">
            <x v="201"/>
          </reference>
          <reference field="8" count="1" selected="0">
            <x v="385"/>
          </reference>
          <reference field="9" count="1">
            <x v="611"/>
          </reference>
        </references>
      </pivotArea>
    </format>
    <format dxfId="1221">
      <pivotArea dataOnly="0" labelOnly="1" fieldPosition="0">
        <references count="6">
          <reference field="1" count="1" selected="0">
            <x v="113"/>
          </reference>
          <reference field="5" count="1" selected="0">
            <x v="0"/>
          </reference>
          <reference field="6" count="1" selected="0">
            <x v="8"/>
          </reference>
          <reference field="7" count="1" selected="0">
            <x v="201"/>
          </reference>
          <reference field="8" count="1" selected="0">
            <x v="923"/>
          </reference>
          <reference field="9" count="1">
            <x v="611"/>
          </reference>
        </references>
      </pivotArea>
    </format>
    <format dxfId="1220">
      <pivotArea dataOnly="0" labelOnly="1" fieldPosition="0">
        <references count="6">
          <reference field="1" count="1" selected="0">
            <x v="113"/>
          </reference>
          <reference field="5" count="1" selected="0">
            <x v="0"/>
          </reference>
          <reference field="6" count="1" selected="0">
            <x v="8"/>
          </reference>
          <reference field="7" count="1" selected="0">
            <x v="201"/>
          </reference>
          <reference field="8" count="1" selected="0">
            <x v="1267"/>
          </reference>
          <reference field="9" count="1">
            <x v="611"/>
          </reference>
        </references>
      </pivotArea>
    </format>
    <format dxfId="1219">
      <pivotArea dataOnly="0" labelOnly="1" fieldPosition="0">
        <references count="6">
          <reference field="1" count="1" selected="0">
            <x v="113"/>
          </reference>
          <reference field="5" count="1" selected="0">
            <x v="0"/>
          </reference>
          <reference field="6" count="1" selected="0">
            <x v="9"/>
          </reference>
          <reference field="7" count="1" selected="0">
            <x v="201"/>
          </reference>
          <reference field="8" count="1" selected="0">
            <x v="388"/>
          </reference>
          <reference field="9" count="1">
            <x v="611"/>
          </reference>
        </references>
      </pivotArea>
    </format>
    <format dxfId="1218">
      <pivotArea dataOnly="0" labelOnly="1" fieldPosition="0">
        <references count="6">
          <reference field="1" count="1" selected="0">
            <x v="113"/>
          </reference>
          <reference field="5" count="1" selected="0">
            <x v="0"/>
          </reference>
          <reference field="6" count="1" selected="0">
            <x v="9"/>
          </reference>
          <reference field="7" count="1" selected="0">
            <x v="201"/>
          </reference>
          <reference field="8" count="1" selected="0">
            <x v="652"/>
          </reference>
          <reference field="9" count="1">
            <x v="611"/>
          </reference>
        </references>
      </pivotArea>
    </format>
    <format dxfId="1217">
      <pivotArea dataOnly="0" labelOnly="1" fieldPosition="0">
        <references count="6">
          <reference field="1" count="1" selected="0">
            <x v="113"/>
          </reference>
          <reference field="5" count="1" selected="0">
            <x v="0"/>
          </reference>
          <reference field="6" count="1" selected="0">
            <x v="9"/>
          </reference>
          <reference field="7" count="1" selected="0">
            <x v="201"/>
          </reference>
          <reference field="8" count="1" selected="0">
            <x v="1078"/>
          </reference>
          <reference field="9" count="1">
            <x v="611"/>
          </reference>
        </references>
      </pivotArea>
    </format>
    <format dxfId="1216">
      <pivotArea dataOnly="0" labelOnly="1" fieldPosition="0">
        <references count="6">
          <reference field="1" count="1" selected="0">
            <x v="113"/>
          </reference>
          <reference field="5" count="1" selected="0">
            <x v="0"/>
          </reference>
          <reference field="6" count="1" selected="0">
            <x v="9"/>
          </reference>
          <reference field="7" count="1" selected="0">
            <x v="201"/>
          </reference>
          <reference field="8" count="1" selected="0">
            <x v="1090"/>
          </reference>
          <reference field="9" count="1">
            <x v="611"/>
          </reference>
        </references>
      </pivotArea>
    </format>
    <format dxfId="1215">
      <pivotArea dataOnly="0" labelOnly="1" fieldPosition="0">
        <references count="6">
          <reference field="1" count="1" selected="0">
            <x v="113"/>
          </reference>
          <reference field="5" count="1" selected="0">
            <x v="5"/>
          </reference>
          <reference field="6" count="1" selected="0">
            <x v="38"/>
          </reference>
          <reference field="7" count="1" selected="0">
            <x v="201"/>
          </reference>
          <reference field="8" count="1" selected="0">
            <x v="1654"/>
          </reference>
          <reference field="9" count="1">
            <x v="611"/>
          </reference>
        </references>
      </pivotArea>
    </format>
    <format dxfId="1214">
      <pivotArea dataOnly="0" labelOnly="1" fieldPosition="0">
        <references count="6">
          <reference field="1" count="1" selected="0">
            <x v="113"/>
          </reference>
          <reference field="5" count="1" selected="0">
            <x v="6"/>
          </reference>
          <reference field="6" count="1" selected="0">
            <x v="37"/>
          </reference>
          <reference field="7" count="1" selected="0">
            <x v="201"/>
          </reference>
          <reference field="8" count="1" selected="0">
            <x v="654"/>
          </reference>
          <reference field="9" count="1">
            <x v="611"/>
          </reference>
        </references>
      </pivotArea>
    </format>
    <format dxfId="1213">
      <pivotArea dataOnly="0" labelOnly="1" fieldPosition="0">
        <references count="6">
          <reference field="1" count="1" selected="0">
            <x v="113"/>
          </reference>
          <reference field="5" count="1" selected="0">
            <x v="9"/>
          </reference>
          <reference field="6" count="1" selected="0">
            <x v="8"/>
          </reference>
          <reference field="7" count="1" selected="0">
            <x v="201"/>
          </reference>
          <reference field="8" count="1" selected="0">
            <x v="490"/>
          </reference>
          <reference field="9" count="1">
            <x v="611"/>
          </reference>
        </references>
      </pivotArea>
    </format>
    <format dxfId="1212">
      <pivotArea dataOnly="0" labelOnly="1" fieldPosition="0">
        <references count="6">
          <reference field="1" count="1" selected="0">
            <x v="113"/>
          </reference>
          <reference field="5" count="1" selected="0">
            <x v="12"/>
          </reference>
          <reference field="6" count="1" selected="0">
            <x v="1"/>
          </reference>
          <reference field="7" count="1" selected="0">
            <x v="201"/>
          </reference>
          <reference field="8" count="1" selected="0">
            <x v="80"/>
          </reference>
          <reference field="9" count="1">
            <x v="611"/>
          </reference>
        </references>
      </pivotArea>
    </format>
    <format dxfId="1211">
      <pivotArea dataOnly="0" labelOnly="1" fieldPosition="0">
        <references count="6">
          <reference field="1" count="1" selected="0">
            <x v="113"/>
          </reference>
          <reference field="5" count="1" selected="0">
            <x v="14"/>
          </reference>
          <reference field="6" count="1" selected="0">
            <x v="38"/>
          </reference>
          <reference field="7" count="1" selected="0">
            <x v="201"/>
          </reference>
          <reference field="8" count="1" selected="0">
            <x v="109"/>
          </reference>
          <reference field="9" count="1">
            <x v="611"/>
          </reference>
        </references>
      </pivotArea>
    </format>
    <format dxfId="1210">
      <pivotArea dataOnly="0" labelOnly="1" fieldPosition="0">
        <references count="6">
          <reference field="1" count="1" selected="0">
            <x v="113"/>
          </reference>
          <reference field="5" count="1" selected="0">
            <x v="15"/>
          </reference>
          <reference field="6" count="1" selected="0">
            <x v="8"/>
          </reference>
          <reference field="7" count="1" selected="0">
            <x v="201"/>
          </reference>
          <reference field="8" count="1" selected="0">
            <x v="238"/>
          </reference>
          <reference field="9" count="1">
            <x v="611"/>
          </reference>
        </references>
      </pivotArea>
    </format>
    <format dxfId="1209">
      <pivotArea dataOnly="0" labelOnly="1" fieldPosition="0">
        <references count="6">
          <reference field="1" count="1" selected="0">
            <x v="113"/>
          </reference>
          <reference field="5" count="1" selected="0">
            <x v="15"/>
          </reference>
          <reference field="6" count="1" selected="0">
            <x v="38"/>
          </reference>
          <reference field="7" count="1" selected="0">
            <x v="201"/>
          </reference>
          <reference field="8" count="1" selected="0">
            <x v="1317"/>
          </reference>
          <reference field="9" count="1">
            <x v="611"/>
          </reference>
        </references>
      </pivotArea>
    </format>
    <format dxfId="1208">
      <pivotArea dataOnly="0" labelOnly="1" fieldPosition="0">
        <references count="6">
          <reference field="1" count="1" selected="0">
            <x v="113"/>
          </reference>
          <reference field="5" count="1" selected="0">
            <x v="21"/>
          </reference>
          <reference field="6" count="1" selected="0">
            <x v="38"/>
          </reference>
          <reference field="7" count="1" selected="0">
            <x v="201"/>
          </reference>
          <reference field="8" count="1" selected="0">
            <x v="728"/>
          </reference>
          <reference field="9" count="1">
            <x v="611"/>
          </reference>
        </references>
      </pivotArea>
    </format>
    <format dxfId="1207">
      <pivotArea dataOnly="0" labelOnly="1" fieldPosition="0">
        <references count="6">
          <reference field="1" count="1" selected="0">
            <x v="113"/>
          </reference>
          <reference field="5" count="1" selected="0">
            <x v="23"/>
          </reference>
          <reference field="6" count="1" selected="0">
            <x v="7"/>
          </reference>
          <reference field="7" count="1" selected="0">
            <x v="201"/>
          </reference>
          <reference field="8" count="1" selected="0">
            <x v="371"/>
          </reference>
          <reference field="9" count="1">
            <x v="611"/>
          </reference>
        </references>
      </pivotArea>
    </format>
    <format dxfId="1206">
      <pivotArea dataOnly="0" labelOnly="1" fieldPosition="0">
        <references count="6">
          <reference field="1" count="1" selected="0">
            <x v="113"/>
          </reference>
          <reference field="5" count="1" selected="0">
            <x v="24"/>
          </reference>
          <reference field="6" count="1" selected="0">
            <x v="38"/>
          </reference>
          <reference field="7" count="1" selected="0">
            <x v="201"/>
          </reference>
          <reference field="8" count="1" selected="0">
            <x v="1759"/>
          </reference>
          <reference field="9" count="1">
            <x v="611"/>
          </reference>
        </references>
      </pivotArea>
    </format>
    <format dxfId="1205">
      <pivotArea dataOnly="0" labelOnly="1" fieldPosition="0">
        <references count="6">
          <reference field="1" count="1" selected="0">
            <x v="113"/>
          </reference>
          <reference field="5" count="1" selected="0">
            <x v="26"/>
          </reference>
          <reference field="6" count="1" selected="0">
            <x v="38"/>
          </reference>
          <reference field="7" count="1" selected="0">
            <x v="201"/>
          </reference>
          <reference field="8" count="1" selected="0">
            <x v="109"/>
          </reference>
          <reference field="9" count="1">
            <x v="611"/>
          </reference>
        </references>
      </pivotArea>
    </format>
    <format dxfId="1204">
      <pivotArea dataOnly="0" labelOnly="1" fieldPosition="0">
        <references count="6">
          <reference field="1" count="1" selected="0">
            <x v="113"/>
          </reference>
          <reference field="5" count="1" selected="0">
            <x v="27"/>
          </reference>
          <reference field="6" count="1" selected="0">
            <x v="38"/>
          </reference>
          <reference field="7" count="1" selected="0">
            <x v="201"/>
          </reference>
          <reference field="8" count="1" selected="0">
            <x v="39"/>
          </reference>
          <reference field="9" count="1">
            <x v="611"/>
          </reference>
        </references>
      </pivotArea>
    </format>
    <format dxfId="1203">
      <pivotArea dataOnly="0" labelOnly="1" fieldPosition="0">
        <references count="6">
          <reference field="1" count="1" selected="0">
            <x v="113"/>
          </reference>
          <reference field="5" count="1" selected="0">
            <x v="29"/>
          </reference>
          <reference field="6" count="1" selected="0">
            <x v="38"/>
          </reference>
          <reference field="7" count="1" selected="0">
            <x v="201"/>
          </reference>
          <reference field="8" count="1" selected="0">
            <x v="1583"/>
          </reference>
          <reference field="9" count="1">
            <x v="611"/>
          </reference>
        </references>
      </pivotArea>
    </format>
    <format dxfId="1202">
      <pivotArea dataOnly="0" labelOnly="1" fieldPosition="0">
        <references count="6">
          <reference field="1" count="1" selected="0">
            <x v="113"/>
          </reference>
          <reference field="5" count="1" selected="0">
            <x v="35"/>
          </reference>
          <reference field="6" count="1" selected="0">
            <x v="1"/>
          </reference>
          <reference field="7" count="1" selected="0">
            <x v="201"/>
          </reference>
          <reference field="8" count="1" selected="0">
            <x v="80"/>
          </reference>
          <reference field="9" count="1">
            <x v="611"/>
          </reference>
        </references>
      </pivotArea>
    </format>
    <format dxfId="1201">
      <pivotArea dataOnly="0" labelOnly="1" fieldPosition="0">
        <references count="6">
          <reference field="1" count="1" selected="0">
            <x v="114"/>
          </reference>
          <reference field="5" count="1" selected="0">
            <x v="0"/>
          </reference>
          <reference field="6" count="1" selected="0">
            <x v="12"/>
          </reference>
          <reference field="7" count="1" selected="0">
            <x v="62"/>
          </reference>
          <reference field="8" count="1" selected="0">
            <x v="77"/>
          </reference>
          <reference field="9" count="1">
            <x v="611"/>
          </reference>
        </references>
      </pivotArea>
    </format>
    <format dxfId="1200">
      <pivotArea dataOnly="0" labelOnly="1" fieldPosition="0">
        <references count="6">
          <reference field="1" count="1" selected="0">
            <x v="114"/>
          </reference>
          <reference field="5" count="1" selected="0">
            <x v="0"/>
          </reference>
          <reference field="6" count="1" selected="0">
            <x v="26"/>
          </reference>
          <reference field="7" count="1" selected="0">
            <x v="202"/>
          </reference>
          <reference field="8" count="1" selected="0">
            <x v="601"/>
          </reference>
          <reference field="9" count="1">
            <x v="611"/>
          </reference>
        </references>
      </pivotArea>
    </format>
    <format dxfId="1199">
      <pivotArea dataOnly="0" labelOnly="1" fieldPosition="0">
        <references count="6">
          <reference field="1" count="1" selected="0">
            <x v="114"/>
          </reference>
          <reference field="5" count="1" selected="0">
            <x v="0"/>
          </reference>
          <reference field="6" count="1" selected="0">
            <x v="26"/>
          </reference>
          <reference field="7" count="1" selected="0">
            <x v="202"/>
          </reference>
          <reference field="8" count="1" selected="0">
            <x v="725"/>
          </reference>
          <reference field="9" count="1">
            <x v="611"/>
          </reference>
        </references>
      </pivotArea>
    </format>
    <format dxfId="1198">
      <pivotArea dataOnly="0" labelOnly="1" fieldPosition="0">
        <references count="6">
          <reference field="1" count="1" selected="0">
            <x v="114"/>
          </reference>
          <reference field="5" count="1" selected="0">
            <x v="0"/>
          </reference>
          <reference field="6" count="1" selected="0">
            <x v="26"/>
          </reference>
          <reference field="7" count="1" selected="0">
            <x v="202"/>
          </reference>
          <reference field="8" count="1" selected="0">
            <x v="796"/>
          </reference>
          <reference field="9" count="1">
            <x v="611"/>
          </reference>
        </references>
      </pivotArea>
    </format>
    <format dxfId="1197">
      <pivotArea dataOnly="0" labelOnly="1" fieldPosition="0">
        <references count="6">
          <reference field="1" count="1" selected="0">
            <x v="114"/>
          </reference>
          <reference field="5" count="1" selected="0">
            <x v="0"/>
          </reference>
          <reference field="6" count="1" selected="0">
            <x v="26"/>
          </reference>
          <reference field="7" count="1" selected="0">
            <x v="202"/>
          </reference>
          <reference field="8" count="1" selected="0">
            <x v="1046"/>
          </reference>
          <reference field="9" count="1">
            <x v="611"/>
          </reference>
        </references>
      </pivotArea>
    </format>
    <format dxfId="1196">
      <pivotArea dataOnly="0" labelOnly="1" fieldPosition="0">
        <references count="6">
          <reference field="1" count="1" selected="0">
            <x v="114"/>
          </reference>
          <reference field="5" count="1" selected="0">
            <x v="0"/>
          </reference>
          <reference field="6" count="1" selected="0">
            <x v="26"/>
          </reference>
          <reference field="7" count="1" selected="0">
            <x v="202"/>
          </reference>
          <reference field="8" count="1" selected="0">
            <x v="1102"/>
          </reference>
          <reference field="9" count="1">
            <x v="611"/>
          </reference>
        </references>
      </pivotArea>
    </format>
    <format dxfId="1195">
      <pivotArea dataOnly="0" labelOnly="1" fieldPosition="0">
        <references count="6">
          <reference field="1" count="1" selected="0">
            <x v="114"/>
          </reference>
          <reference field="5" count="1" selected="0">
            <x v="0"/>
          </reference>
          <reference field="6" count="1" selected="0">
            <x v="26"/>
          </reference>
          <reference field="7" count="1" selected="0">
            <x v="202"/>
          </reference>
          <reference field="8" count="1" selected="0">
            <x v="1531"/>
          </reference>
          <reference field="9" count="1">
            <x v="611"/>
          </reference>
        </references>
      </pivotArea>
    </format>
    <format dxfId="1194">
      <pivotArea dataOnly="0" labelOnly="1" fieldPosition="0">
        <references count="6">
          <reference field="1" count="1" selected="0">
            <x v="114"/>
          </reference>
          <reference field="5" count="1" selected="0">
            <x v="0"/>
          </reference>
          <reference field="6" count="1" selected="0">
            <x v="38"/>
          </reference>
          <reference field="7" count="1" selected="0">
            <x v="203"/>
          </reference>
          <reference field="8" count="1" selected="0">
            <x v="138"/>
          </reference>
          <reference field="9" count="1">
            <x v="611"/>
          </reference>
        </references>
      </pivotArea>
    </format>
    <format dxfId="1193">
      <pivotArea dataOnly="0" labelOnly="1" fieldPosition="0">
        <references count="6">
          <reference field="1" count="1" selected="0">
            <x v="114"/>
          </reference>
          <reference field="5" count="1" selected="0">
            <x v="2"/>
          </reference>
          <reference field="6" count="1" selected="0">
            <x v="26"/>
          </reference>
          <reference field="7" count="1" selected="0">
            <x v="202"/>
          </reference>
          <reference field="8" count="1" selected="0">
            <x v="1724"/>
          </reference>
          <reference field="9" count="1">
            <x v="611"/>
          </reference>
        </references>
      </pivotArea>
    </format>
    <format dxfId="1192">
      <pivotArea dataOnly="0" labelOnly="1" fieldPosition="0">
        <references count="6">
          <reference field="1" count="1" selected="0">
            <x v="114"/>
          </reference>
          <reference field="5" count="1" selected="0">
            <x v="3"/>
          </reference>
          <reference field="6" count="1" selected="0">
            <x v="26"/>
          </reference>
          <reference field="7" count="1" selected="0">
            <x v="202"/>
          </reference>
          <reference field="8" count="1" selected="0">
            <x v="178"/>
          </reference>
          <reference field="9" count="1">
            <x v="611"/>
          </reference>
        </references>
      </pivotArea>
    </format>
    <format dxfId="1191">
      <pivotArea dataOnly="0" labelOnly="1" fieldPosition="0">
        <references count="6">
          <reference field="1" count="1" selected="0">
            <x v="114"/>
          </reference>
          <reference field="5" count="1" selected="0">
            <x v="3"/>
          </reference>
          <reference field="6" count="1" selected="0">
            <x v="38"/>
          </reference>
          <reference field="7" count="1" selected="0">
            <x v="203"/>
          </reference>
          <reference field="8" count="1" selected="0">
            <x v="202"/>
          </reference>
          <reference field="9" count="1">
            <x v="611"/>
          </reference>
        </references>
      </pivotArea>
    </format>
    <format dxfId="1190">
      <pivotArea dataOnly="0" labelOnly="1" fieldPosition="0">
        <references count="6">
          <reference field="1" count="1" selected="0">
            <x v="114"/>
          </reference>
          <reference field="5" count="1" selected="0">
            <x v="10"/>
          </reference>
          <reference field="6" count="1" selected="0">
            <x v="1"/>
          </reference>
          <reference field="7" count="1" selected="0">
            <x v="203"/>
          </reference>
          <reference field="8" count="1" selected="0">
            <x v="1487"/>
          </reference>
          <reference field="9" count="1">
            <x v="611"/>
          </reference>
        </references>
      </pivotArea>
    </format>
    <format dxfId="1189">
      <pivotArea dataOnly="0" labelOnly="1" fieldPosition="0">
        <references count="6">
          <reference field="1" count="1" selected="0">
            <x v="114"/>
          </reference>
          <reference field="5" count="1" selected="0">
            <x v="12"/>
          </reference>
          <reference field="6" count="1" selected="0">
            <x v="1"/>
          </reference>
          <reference field="7" count="1" selected="0">
            <x v="203"/>
          </reference>
          <reference field="8" count="1" selected="0">
            <x v="80"/>
          </reference>
          <reference field="9" count="1">
            <x v="611"/>
          </reference>
        </references>
      </pivotArea>
    </format>
    <format dxfId="1188">
      <pivotArea dataOnly="0" labelOnly="1" fieldPosition="0">
        <references count="6">
          <reference field="1" count="1" selected="0">
            <x v="114"/>
          </reference>
          <reference field="5" count="1" selected="0">
            <x v="12"/>
          </reference>
          <reference field="6" count="1" selected="0">
            <x v="1"/>
          </reference>
          <reference field="7" count="1" selected="0">
            <x v="203"/>
          </reference>
          <reference field="8" count="1" selected="0">
            <x v="352"/>
          </reference>
          <reference field="9" count="1">
            <x v="611"/>
          </reference>
        </references>
      </pivotArea>
    </format>
    <format dxfId="1187">
      <pivotArea dataOnly="0" labelOnly="1" fieldPosition="0">
        <references count="6">
          <reference field="1" count="1" selected="0">
            <x v="114"/>
          </reference>
          <reference field="5" count="1" selected="0">
            <x v="12"/>
          </reference>
          <reference field="6" count="1" selected="0">
            <x v="1"/>
          </reference>
          <reference field="7" count="1" selected="0">
            <x v="203"/>
          </reference>
          <reference field="8" count="1" selected="0">
            <x v="607"/>
          </reference>
          <reference field="9" count="1">
            <x v="611"/>
          </reference>
        </references>
      </pivotArea>
    </format>
    <format dxfId="1186">
      <pivotArea dataOnly="0" labelOnly="1" fieldPosition="0">
        <references count="6">
          <reference field="1" count="1" selected="0">
            <x v="114"/>
          </reference>
          <reference field="5" count="1" selected="0">
            <x v="12"/>
          </reference>
          <reference field="6" count="1" selected="0">
            <x v="8"/>
          </reference>
          <reference field="7" count="1" selected="0">
            <x v="203"/>
          </reference>
          <reference field="8" count="1" selected="0">
            <x v="0"/>
          </reference>
          <reference field="9" count="1">
            <x v="580"/>
          </reference>
        </references>
      </pivotArea>
    </format>
    <format dxfId="1185">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269"/>
          </reference>
          <reference field="9" count="1">
            <x v="611"/>
          </reference>
        </references>
      </pivotArea>
    </format>
    <format dxfId="1184">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378"/>
          </reference>
          <reference field="9" count="1">
            <x v="611"/>
          </reference>
        </references>
      </pivotArea>
    </format>
    <format dxfId="1183">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442"/>
          </reference>
          <reference field="9" count="1">
            <x v="611"/>
          </reference>
        </references>
      </pivotArea>
    </format>
    <format dxfId="1182">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492"/>
          </reference>
          <reference field="9" count="1">
            <x v="611"/>
          </reference>
        </references>
      </pivotArea>
    </format>
    <format dxfId="1181">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799"/>
          </reference>
          <reference field="9" count="1">
            <x v="611"/>
          </reference>
        </references>
      </pivotArea>
    </format>
    <format dxfId="1180">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815"/>
          </reference>
          <reference field="9" count="1">
            <x v="611"/>
          </reference>
        </references>
      </pivotArea>
    </format>
    <format dxfId="1179">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179"/>
          </reference>
          <reference field="9" count="1">
            <x v="611"/>
          </reference>
        </references>
      </pivotArea>
    </format>
    <format dxfId="1178">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300"/>
          </reference>
          <reference field="9" count="1">
            <x v="611"/>
          </reference>
        </references>
      </pivotArea>
    </format>
    <format dxfId="1177">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384"/>
          </reference>
          <reference field="9" count="1">
            <x v="611"/>
          </reference>
        </references>
      </pivotArea>
    </format>
    <format dxfId="1176">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389"/>
          </reference>
          <reference field="9" count="1">
            <x v="611"/>
          </reference>
        </references>
      </pivotArea>
    </format>
    <format dxfId="1175">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406"/>
          </reference>
          <reference field="9" count="1">
            <x v="611"/>
          </reference>
        </references>
      </pivotArea>
    </format>
    <format dxfId="1174">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435"/>
          </reference>
          <reference field="9" count="1">
            <x v="611"/>
          </reference>
        </references>
      </pivotArea>
    </format>
    <format dxfId="1173">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436"/>
          </reference>
          <reference field="9" count="1">
            <x v="611"/>
          </reference>
        </references>
      </pivotArea>
    </format>
    <format dxfId="1172">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474"/>
          </reference>
          <reference field="9" count="1">
            <x v="611"/>
          </reference>
        </references>
      </pivotArea>
    </format>
    <format dxfId="1171">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502"/>
          </reference>
          <reference field="9" count="1">
            <x v="611"/>
          </reference>
        </references>
      </pivotArea>
    </format>
    <format dxfId="1170">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551"/>
          </reference>
          <reference field="9" count="1">
            <x v="611"/>
          </reference>
        </references>
      </pivotArea>
    </format>
    <format dxfId="1169">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629"/>
          </reference>
          <reference field="9" count="1">
            <x v="611"/>
          </reference>
        </references>
      </pivotArea>
    </format>
    <format dxfId="1168">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642"/>
          </reference>
          <reference field="9" count="1">
            <x v="611"/>
          </reference>
        </references>
      </pivotArea>
    </format>
    <format dxfId="1167">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664"/>
          </reference>
          <reference field="9" count="1">
            <x v="611"/>
          </reference>
        </references>
      </pivotArea>
    </format>
    <format dxfId="1166">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686"/>
          </reference>
          <reference field="9" count="1">
            <x v="611"/>
          </reference>
        </references>
      </pivotArea>
    </format>
    <format dxfId="1165">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718"/>
          </reference>
          <reference field="9" count="1">
            <x v="611"/>
          </reference>
        </references>
      </pivotArea>
    </format>
    <format dxfId="1164">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739"/>
          </reference>
          <reference field="9" count="1">
            <x v="611"/>
          </reference>
        </references>
      </pivotArea>
    </format>
    <format dxfId="1163">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761"/>
          </reference>
          <reference field="9" count="1">
            <x v="611"/>
          </reference>
        </references>
      </pivotArea>
    </format>
    <format dxfId="1162">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782"/>
          </reference>
          <reference field="9" count="1">
            <x v="611"/>
          </reference>
        </references>
      </pivotArea>
    </format>
    <format dxfId="1161">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787"/>
          </reference>
          <reference field="9" count="1">
            <x v="611"/>
          </reference>
        </references>
      </pivotArea>
    </format>
    <format dxfId="1160">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797"/>
          </reference>
          <reference field="9" count="1">
            <x v="611"/>
          </reference>
        </references>
      </pivotArea>
    </format>
    <format dxfId="1159">
      <pivotArea dataOnly="0" labelOnly="1" fieldPosition="0">
        <references count="6">
          <reference field="1" count="1" selected="0">
            <x v="114"/>
          </reference>
          <reference field="5" count="1" selected="0">
            <x v="12"/>
          </reference>
          <reference field="6" count="1" selected="0">
            <x v="26"/>
          </reference>
          <reference field="7" count="1" selected="0">
            <x v="202"/>
          </reference>
          <reference field="8" count="1" selected="0">
            <x v="1828"/>
          </reference>
          <reference field="9" count="1">
            <x v="611"/>
          </reference>
        </references>
      </pivotArea>
    </format>
    <format dxfId="1158">
      <pivotArea dataOnly="0" labelOnly="1" fieldPosition="0">
        <references count="6">
          <reference field="1" count="1" selected="0">
            <x v="114"/>
          </reference>
          <reference field="5" count="1" selected="0">
            <x v="12"/>
          </reference>
          <reference field="6" count="1" selected="0">
            <x v="38"/>
          </reference>
          <reference field="7" count="1" selected="0">
            <x v="203"/>
          </reference>
          <reference field="8" count="1" selected="0">
            <x v="352"/>
          </reference>
          <reference field="9" count="1">
            <x v="611"/>
          </reference>
        </references>
      </pivotArea>
    </format>
    <format dxfId="1157">
      <pivotArea dataOnly="0" labelOnly="1" fieldPosition="0">
        <references count="6">
          <reference field="1" count="1" selected="0">
            <x v="114"/>
          </reference>
          <reference field="5" count="1" selected="0">
            <x v="23"/>
          </reference>
          <reference field="6" count="1" selected="0">
            <x v="26"/>
          </reference>
          <reference field="7" count="1" selected="0">
            <x v="202"/>
          </reference>
          <reference field="8" count="1" selected="0">
            <x v="1878"/>
          </reference>
          <reference field="9" count="1">
            <x v="611"/>
          </reference>
        </references>
      </pivotArea>
    </format>
    <format dxfId="1156">
      <pivotArea dataOnly="0" labelOnly="1" fieldPosition="0">
        <references count="6">
          <reference field="1" count="1" selected="0">
            <x v="114"/>
          </reference>
          <reference field="5" count="1" selected="0">
            <x v="24"/>
          </reference>
          <reference field="6" count="1" selected="0">
            <x v="26"/>
          </reference>
          <reference field="7" count="1" selected="0">
            <x v="202"/>
          </reference>
          <reference field="8" count="1" selected="0">
            <x v="1520"/>
          </reference>
          <reference field="9" count="1">
            <x v="611"/>
          </reference>
        </references>
      </pivotArea>
    </format>
    <format dxfId="1155">
      <pivotArea dataOnly="0" labelOnly="1" fieldPosition="0">
        <references count="6">
          <reference field="1" count="1" selected="0">
            <x v="114"/>
          </reference>
          <reference field="5" count="1" selected="0">
            <x v="26"/>
          </reference>
          <reference field="6" count="1" selected="0">
            <x v="38"/>
          </reference>
          <reference field="7" count="1" selected="0">
            <x v="203"/>
          </reference>
          <reference field="8" count="1" selected="0">
            <x v="109"/>
          </reference>
          <reference field="9" count="1">
            <x v="611"/>
          </reference>
        </references>
      </pivotArea>
    </format>
    <format dxfId="1154">
      <pivotArea dataOnly="0" labelOnly="1" fieldPosition="0">
        <references count="6">
          <reference field="1" count="1" selected="0">
            <x v="114"/>
          </reference>
          <reference field="5" count="1" selected="0">
            <x v="29"/>
          </reference>
          <reference field="6" count="1" selected="0">
            <x v="37"/>
          </reference>
          <reference field="7" count="1" selected="0">
            <x v="203"/>
          </reference>
          <reference field="8" count="1" selected="0">
            <x v="721"/>
          </reference>
          <reference field="9" count="1">
            <x v="611"/>
          </reference>
        </references>
      </pivotArea>
    </format>
    <format dxfId="1153">
      <pivotArea dataOnly="0" labelOnly="1" fieldPosition="0">
        <references count="6">
          <reference field="1" count="1" selected="0">
            <x v="114"/>
          </reference>
          <reference field="5" count="1" selected="0">
            <x v="30"/>
          </reference>
          <reference field="6" count="1" selected="0">
            <x v="6"/>
          </reference>
          <reference field="7" count="1" selected="0">
            <x v="203"/>
          </reference>
          <reference field="8" count="1" selected="0">
            <x v="1844"/>
          </reference>
          <reference field="9" count="1">
            <x v="611"/>
          </reference>
        </references>
      </pivotArea>
    </format>
    <format dxfId="1152">
      <pivotArea dataOnly="0" labelOnly="1" fieldPosition="0">
        <references count="6">
          <reference field="1" count="1" selected="0">
            <x v="114"/>
          </reference>
          <reference field="5" count="1" selected="0">
            <x v="35"/>
          </reference>
          <reference field="6" count="1" selected="0">
            <x v="1"/>
          </reference>
          <reference field="7" count="1" selected="0">
            <x v="203"/>
          </reference>
          <reference field="8" count="1" selected="0">
            <x v="80"/>
          </reference>
          <reference field="9" count="1">
            <x v="611"/>
          </reference>
        </references>
      </pivotArea>
    </format>
    <format dxfId="1151">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115"/>
          </reference>
          <reference field="9" count="1">
            <x v="611"/>
          </reference>
        </references>
      </pivotArea>
    </format>
    <format dxfId="1150">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130"/>
          </reference>
          <reference field="9" count="1">
            <x v="611"/>
          </reference>
        </references>
      </pivotArea>
    </format>
    <format dxfId="1149">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266"/>
          </reference>
          <reference field="9" count="1">
            <x v="611"/>
          </reference>
        </references>
      </pivotArea>
    </format>
    <format dxfId="1148">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487"/>
          </reference>
          <reference field="9" count="1">
            <x v="611"/>
          </reference>
        </references>
      </pivotArea>
    </format>
    <format dxfId="1147">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504"/>
          </reference>
          <reference field="9" count="1">
            <x v="611"/>
          </reference>
        </references>
      </pivotArea>
    </format>
    <format dxfId="1146">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574"/>
          </reference>
          <reference field="9" count="1">
            <x v="611"/>
          </reference>
        </references>
      </pivotArea>
    </format>
    <format dxfId="1145">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581"/>
          </reference>
          <reference field="9" count="1">
            <x v="611"/>
          </reference>
        </references>
      </pivotArea>
    </format>
    <format dxfId="1144">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734"/>
          </reference>
          <reference field="9" count="1">
            <x v="611"/>
          </reference>
        </references>
      </pivotArea>
    </format>
    <format dxfId="1143">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928"/>
          </reference>
          <reference field="9" count="1">
            <x v="611"/>
          </reference>
        </references>
      </pivotArea>
    </format>
    <format dxfId="1142">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946"/>
          </reference>
          <reference field="9" count="1">
            <x v="611"/>
          </reference>
        </references>
      </pivotArea>
    </format>
    <format dxfId="1141">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1000"/>
          </reference>
          <reference field="9" count="1">
            <x v="611"/>
          </reference>
        </references>
      </pivotArea>
    </format>
    <format dxfId="1140">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1190"/>
          </reference>
          <reference field="9" count="1">
            <x v="611"/>
          </reference>
        </references>
      </pivotArea>
    </format>
    <format dxfId="1139">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1275"/>
          </reference>
          <reference field="9" count="1">
            <x v="611"/>
          </reference>
        </references>
      </pivotArea>
    </format>
    <format dxfId="1138">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1372"/>
          </reference>
          <reference field="9" count="1">
            <x v="611"/>
          </reference>
        </references>
      </pivotArea>
    </format>
    <format dxfId="1137">
      <pivotArea dataOnly="0" labelOnly="1" fieldPosition="0">
        <references count="6">
          <reference field="1" count="1" selected="0">
            <x v="114"/>
          </reference>
          <reference field="5" count="1" selected="0">
            <x v="35"/>
          </reference>
          <reference field="6" count="1" selected="0">
            <x v="26"/>
          </reference>
          <reference field="7" count="1" selected="0">
            <x v="202"/>
          </reference>
          <reference field="8" count="1" selected="0">
            <x v="1467"/>
          </reference>
          <reference field="9" count="1">
            <x v="611"/>
          </reference>
        </references>
      </pivotArea>
    </format>
    <format dxfId="1136">
      <pivotArea dataOnly="0" labelOnly="1" fieldPosition="0">
        <references count="6">
          <reference field="1" count="1" selected="0">
            <x v="114"/>
          </reference>
          <reference field="5" count="1" selected="0">
            <x v="37"/>
          </reference>
          <reference field="6" count="1" selected="0">
            <x v="26"/>
          </reference>
          <reference field="7" count="1" selected="0">
            <x v="202"/>
          </reference>
          <reference field="8" count="1" selected="0">
            <x v="1658"/>
          </reference>
          <reference field="9" count="1">
            <x v="611"/>
          </reference>
        </references>
      </pivotArea>
    </format>
    <format dxfId="1135">
      <pivotArea dataOnly="0" labelOnly="1" fieldPosition="0">
        <references count="6">
          <reference field="1" count="1" selected="0">
            <x v="115"/>
          </reference>
          <reference field="5" count="1" selected="0">
            <x v="0"/>
          </reference>
          <reference field="6" count="1" selected="0">
            <x v="6"/>
          </reference>
          <reference field="7" count="1" selected="0">
            <x v="204"/>
          </reference>
          <reference field="8" count="1" selected="0">
            <x v="1356"/>
          </reference>
          <reference field="9" count="1">
            <x v="611"/>
          </reference>
        </references>
      </pivotArea>
    </format>
    <format dxfId="1134">
      <pivotArea dataOnly="0" labelOnly="1" fieldPosition="0">
        <references count="6">
          <reference field="1" count="1" selected="0">
            <x v="115"/>
          </reference>
          <reference field="5" count="1" selected="0">
            <x v="0"/>
          </reference>
          <reference field="6" count="1" selected="0">
            <x v="7"/>
          </reference>
          <reference field="7" count="1" selected="0">
            <x v="204"/>
          </reference>
          <reference field="8" count="1" selected="0">
            <x v="247"/>
          </reference>
          <reference field="9" count="1">
            <x v="611"/>
          </reference>
        </references>
      </pivotArea>
    </format>
    <format dxfId="1133">
      <pivotArea dataOnly="0" labelOnly="1" fieldPosition="0">
        <references count="6">
          <reference field="1" count="1" selected="0">
            <x v="115"/>
          </reference>
          <reference field="5" count="1" selected="0">
            <x v="0"/>
          </reference>
          <reference field="6" count="1" selected="0">
            <x v="7"/>
          </reference>
          <reference field="7" count="1" selected="0">
            <x v="204"/>
          </reference>
          <reference field="8" count="1" selected="0">
            <x v="469"/>
          </reference>
          <reference field="9" count="1">
            <x v="611"/>
          </reference>
        </references>
      </pivotArea>
    </format>
    <format dxfId="1132">
      <pivotArea dataOnly="0" labelOnly="1" fieldPosition="0">
        <references count="6">
          <reference field="1" count="1" selected="0">
            <x v="115"/>
          </reference>
          <reference field="5" count="1" selected="0">
            <x v="0"/>
          </reference>
          <reference field="6" count="1" selected="0">
            <x v="8"/>
          </reference>
          <reference field="7" count="1" selected="0">
            <x v="204"/>
          </reference>
          <reference field="8" count="1" selected="0">
            <x v="113"/>
          </reference>
          <reference field="9" count="1">
            <x v="611"/>
          </reference>
        </references>
      </pivotArea>
    </format>
    <format dxfId="1131">
      <pivotArea dataOnly="0" labelOnly="1" fieldPosition="0">
        <references count="6">
          <reference field="1" count="1" selected="0">
            <x v="115"/>
          </reference>
          <reference field="5" count="1" selected="0">
            <x v="0"/>
          </reference>
          <reference field="6" count="1" selected="0">
            <x v="8"/>
          </reference>
          <reference field="7" count="1" selected="0">
            <x v="204"/>
          </reference>
          <reference field="8" count="1" selected="0">
            <x v="550"/>
          </reference>
          <reference field="9" count="1">
            <x v="611"/>
          </reference>
        </references>
      </pivotArea>
    </format>
    <format dxfId="1130">
      <pivotArea dataOnly="0" labelOnly="1" fieldPosition="0">
        <references count="6">
          <reference field="1" count="1" selected="0">
            <x v="115"/>
          </reference>
          <reference field="5" count="1" selected="0">
            <x v="0"/>
          </reference>
          <reference field="6" count="1" selected="0">
            <x v="8"/>
          </reference>
          <reference field="7" count="1" selected="0">
            <x v="204"/>
          </reference>
          <reference field="8" count="1" selected="0">
            <x v="614"/>
          </reference>
          <reference field="9" count="1">
            <x v="611"/>
          </reference>
        </references>
      </pivotArea>
    </format>
    <format dxfId="1129">
      <pivotArea dataOnly="0" labelOnly="1" fieldPosition="0">
        <references count="6">
          <reference field="1" count="1" selected="0">
            <x v="115"/>
          </reference>
          <reference field="5" count="1" selected="0">
            <x v="0"/>
          </reference>
          <reference field="6" count="1" selected="0">
            <x v="8"/>
          </reference>
          <reference field="7" count="1" selected="0">
            <x v="204"/>
          </reference>
          <reference field="8" count="1" selected="0">
            <x v="768"/>
          </reference>
          <reference field="9" count="1">
            <x v="611"/>
          </reference>
        </references>
      </pivotArea>
    </format>
    <format dxfId="1128">
      <pivotArea dataOnly="0" labelOnly="1" fieldPosition="0">
        <references count="6">
          <reference field="1" count="1" selected="0">
            <x v="115"/>
          </reference>
          <reference field="5" count="1" selected="0">
            <x v="0"/>
          </reference>
          <reference field="6" count="1" selected="0">
            <x v="9"/>
          </reference>
          <reference field="7" count="1" selected="0">
            <x v="204"/>
          </reference>
          <reference field="8" count="1" selected="0">
            <x v="118"/>
          </reference>
          <reference field="9" count="1">
            <x v="611"/>
          </reference>
        </references>
      </pivotArea>
    </format>
    <format dxfId="1127">
      <pivotArea dataOnly="0" labelOnly="1" fieldPosition="0">
        <references count="6">
          <reference field="1" count="1" selected="0">
            <x v="115"/>
          </reference>
          <reference field="5" count="1" selected="0">
            <x v="0"/>
          </reference>
          <reference field="6" count="1" selected="0">
            <x v="9"/>
          </reference>
          <reference field="7" count="1" selected="0">
            <x v="204"/>
          </reference>
          <reference field="8" count="1" selected="0">
            <x v="439"/>
          </reference>
          <reference field="9" count="1">
            <x v="611"/>
          </reference>
        </references>
      </pivotArea>
    </format>
    <format dxfId="1126">
      <pivotArea dataOnly="0" labelOnly="1" fieldPosition="0">
        <references count="6">
          <reference field="1" count="1" selected="0">
            <x v="115"/>
          </reference>
          <reference field="5" count="1" selected="0">
            <x v="0"/>
          </reference>
          <reference field="6" count="1" selected="0">
            <x v="9"/>
          </reference>
          <reference field="7" count="1" selected="0">
            <x v="204"/>
          </reference>
          <reference field="8" count="1" selected="0">
            <x v="704"/>
          </reference>
          <reference field="9" count="1">
            <x v="611"/>
          </reference>
        </references>
      </pivotArea>
    </format>
    <format dxfId="1125">
      <pivotArea dataOnly="0" labelOnly="1" fieldPosition="0">
        <references count="6">
          <reference field="1" count="1" selected="0">
            <x v="115"/>
          </reference>
          <reference field="5" count="1" selected="0">
            <x v="0"/>
          </reference>
          <reference field="6" count="1" selected="0">
            <x v="9"/>
          </reference>
          <reference field="7" count="1" selected="0">
            <x v="204"/>
          </reference>
          <reference field="8" count="1" selected="0">
            <x v="1058"/>
          </reference>
          <reference field="9" count="1">
            <x v="611"/>
          </reference>
        </references>
      </pivotArea>
    </format>
    <format dxfId="1124">
      <pivotArea dataOnly="0" labelOnly="1" fieldPosition="0">
        <references count="6">
          <reference field="1" count="1" selected="0">
            <x v="115"/>
          </reference>
          <reference field="5" count="1" selected="0">
            <x v="0"/>
          </reference>
          <reference field="6" count="1" selected="0">
            <x v="9"/>
          </reference>
          <reference field="7" count="1" selected="0">
            <x v="204"/>
          </reference>
          <reference field="8" count="1" selected="0">
            <x v="1159"/>
          </reference>
          <reference field="9" count="1">
            <x v="611"/>
          </reference>
        </references>
      </pivotArea>
    </format>
    <format dxfId="1123">
      <pivotArea dataOnly="0" labelOnly="1" fieldPosition="0">
        <references count="6">
          <reference field="1" count="1" selected="0">
            <x v="115"/>
          </reference>
          <reference field="5" count="1" selected="0">
            <x v="0"/>
          </reference>
          <reference field="6" count="1" selected="0">
            <x v="9"/>
          </reference>
          <reference field="7" count="1" selected="0">
            <x v="204"/>
          </reference>
          <reference field="8" count="1" selected="0">
            <x v="1303"/>
          </reference>
          <reference field="9" count="1">
            <x v="611"/>
          </reference>
        </references>
      </pivotArea>
    </format>
    <format dxfId="1122">
      <pivotArea dataOnly="0" labelOnly="1" fieldPosition="0">
        <references count="6">
          <reference field="1" count="1" selected="0">
            <x v="115"/>
          </reference>
          <reference field="5" count="1" selected="0">
            <x v="0"/>
          </reference>
          <reference field="6" count="1" selected="0">
            <x v="12"/>
          </reference>
          <reference field="7" count="1" selected="0">
            <x v="30"/>
          </reference>
          <reference field="8" count="1" selected="0">
            <x v="14"/>
          </reference>
          <reference field="9" count="1">
            <x v="611"/>
          </reference>
        </references>
      </pivotArea>
    </format>
    <format dxfId="1121">
      <pivotArea dataOnly="0" labelOnly="1" fieldPosition="0">
        <references count="6">
          <reference field="1" count="1" selected="0">
            <x v="115"/>
          </reference>
          <reference field="5" count="1" selected="0">
            <x v="0"/>
          </reference>
          <reference field="6" count="1" selected="0">
            <x v="12"/>
          </reference>
          <reference field="7" count="1" selected="0">
            <x v="58"/>
          </reference>
          <reference field="8" count="1" selected="0">
            <x v="11"/>
          </reference>
          <reference field="9" count="1">
            <x v="611"/>
          </reference>
        </references>
      </pivotArea>
    </format>
    <format dxfId="1120">
      <pivotArea dataOnly="0" labelOnly="1" fieldPosition="0">
        <references count="6">
          <reference field="1" count="1" selected="0">
            <x v="115"/>
          </reference>
          <reference field="5" count="1" selected="0">
            <x v="0"/>
          </reference>
          <reference field="6" count="1" selected="0">
            <x v="12"/>
          </reference>
          <reference field="7" count="1" selected="0">
            <x v="60"/>
          </reference>
          <reference field="8" count="1" selected="0">
            <x v="138"/>
          </reference>
          <reference field="9" count="1">
            <x v="611"/>
          </reference>
        </references>
      </pivotArea>
    </format>
    <format dxfId="1119">
      <pivotArea dataOnly="0" labelOnly="1" fieldPosition="0">
        <references count="6">
          <reference field="1" count="1" selected="0">
            <x v="115"/>
          </reference>
          <reference field="5" count="1" selected="0">
            <x v="0"/>
          </reference>
          <reference field="6" count="1" selected="0">
            <x v="38"/>
          </reference>
          <reference field="7" count="1" selected="0">
            <x v="204"/>
          </reference>
          <reference field="8" count="1" selected="0">
            <x v="481"/>
          </reference>
          <reference field="9" count="1">
            <x v="611"/>
          </reference>
        </references>
      </pivotArea>
    </format>
    <format dxfId="1118">
      <pivotArea dataOnly="0" labelOnly="1" fieldPosition="0">
        <references count="6">
          <reference field="1" count="1" selected="0">
            <x v="115"/>
          </reference>
          <reference field="5" count="1" selected="0">
            <x v="7"/>
          </reference>
          <reference field="6" count="1" selected="0">
            <x v="10"/>
          </reference>
          <reference field="7" count="1" selected="0">
            <x v="204"/>
          </reference>
          <reference field="8" count="1" selected="0">
            <x v="875"/>
          </reference>
          <reference field="9" count="1">
            <x v="611"/>
          </reference>
        </references>
      </pivotArea>
    </format>
    <format dxfId="1117">
      <pivotArea dataOnly="0" labelOnly="1" fieldPosition="0">
        <references count="6">
          <reference field="1" count="1" selected="0">
            <x v="115"/>
          </reference>
          <reference field="5" count="1" selected="0">
            <x v="11"/>
          </reference>
          <reference field="6" count="1" selected="0">
            <x v="9"/>
          </reference>
          <reference field="7" count="1" selected="0">
            <x v="204"/>
          </reference>
          <reference field="8" count="1" selected="0">
            <x v="1101"/>
          </reference>
          <reference field="9" count="1">
            <x v="611"/>
          </reference>
        </references>
      </pivotArea>
    </format>
    <format dxfId="1116">
      <pivotArea dataOnly="0" labelOnly="1" fieldPosition="0">
        <references count="6">
          <reference field="1" count="1" selected="0">
            <x v="115"/>
          </reference>
          <reference field="5" count="1" selected="0">
            <x v="12"/>
          </reference>
          <reference field="6" count="1" selected="0">
            <x v="1"/>
          </reference>
          <reference field="7" count="1" selected="0">
            <x v="204"/>
          </reference>
          <reference field="8" count="1" selected="0">
            <x v="213"/>
          </reference>
          <reference field="9" count="1">
            <x v="611"/>
          </reference>
        </references>
      </pivotArea>
    </format>
    <format dxfId="1115">
      <pivotArea dataOnly="0" labelOnly="1" fieldPosition="0">
        <references count="6">
          <reference field="1" count="1" selected="0">
            <x v="115"/>
          </reference>
          <reference field="5" count="1" selected="0">
            <x v="15"/>
          </reference>
          <reference field="6" count="1" selected="0">
            <x v="8"/>
          </reference>
          <reference field="7" count="1" selected="0">
            <x v="204"/>
          </reference>
          <reference field="8" count="1" selected="0">
            <x v="352"/>
          </reference>
          <reference field="9" count="1">
            <x v="611"/>
          </reference>
        </references>
      </pivotArea>
    </format>
    <format dxfId="1114">
      <pivotArea dataOnly="0" labelOnly="1" fieldPosition="0">
        <references count="6">
          <reference field="1" count="1" selected="0">
            <x v="115"/>
          </reference>
          <reference field="5" count="1" selected="0">
            <x v="15"/>
          </reference>
          <reference field="6" count="1" selected="0">
            <x v="38"/>
          </reference>
          <reference field="7" count="1" selected="0">
            <x v="204"/>
          </reference>
          <reference field="8" count="1" selected="0">
            <x v="797"/>
          </reference>
          <reference field="9" count="1">
            <x v="611"/>
          </reference>
        </references>
      </pivotArea>
    </format>
    <format dxfId="1113">
      <pivotArea dataOnly="0" labelOnly="1" fieldPosition="0">
        <references count="6">
          <reference field="1" count="1" selected="0">
            <x v="115"/>
          </reference>
          <reference field="5" count="1" selected="0">
            <x v="26"/>
          </reference>
          <reference field="6" count="1" selected="0">
            <x v="38"/>
          </reference>
          <reference field="7" count="1" selected="0">
            <x v="204"/>
          </reference>
          <reference field="8" count="1" selected="0">
            <x v="352"/>
          </reference>
          <reference field="9" count="1">
            <x v="611"/>
          </reference>
        </references>
      </pivotArea>
    </format>
    <format dxfId="1112">
      <pivotArea dataOnly="0" labelOnly="1" fieldPosition="0">
        <references count="6">
          <reference field="1" count="1" selected="0">
            <x v="116"/>
          </reference>
          <reference field="5" count="1" selected="0">
            <x v="0"/>
          </reference>
          <reference field="6" count="1" selected="0">
            <x v="1"/>
          </reference>
          <reference field="7" count="1" selected="0">
            <x v="205"/>
          </reference>
          <reference field="8" count="1" selected="0">
            <x v="80"/>
          </reference>
          <reference field="9" count="1">
            <x v="611"/>
          </reference>
        </references>
      </pivotArea>
    </format>
    <format dxfId="1111">
      <pivotArea dataOnly="0" labelOnly="1" fieldPosition="0">
        <references count="6">
          <reference field="1" count="1" selected="0">
            <x v="116"/>
          </reference>
          <reference field="5" count="1" selected="0">
            <x v="0"/>
          </reference>
          <reference field="6" count="1" selected="0">
            <x v="8"/>
          </reference>
          <reference field="7" count="1" selected="0">
            <x v="205"/>
          </reference>
          <reference field="8" count="1" selected="0">
            <x v="206"/>
          </reference>
          <reference field="9" count="1">
            <x v="611"/>
          </reference>
        </references>
      </pivotArea>
    </format>
    <format dxfId="1110">
      <pivotArea dataOnly="0" labelOnly="1" fieldPosition="0">
        <references count="6">
          <reference field="1" count="1" selected="0">
            <x v="116"/>
          </reference>
          <reference field="5" count="1" selected="0">
            <x v="0"/>
          </reference>
          <reference field="6" count="1" selected="0">
            <x v="10"/>
          </reference>
          <reference field="7" count="1" selected="0">
            <x v="205"/>
          </reference>
          <reference field="8" count="1" selected="0">
            <x v="524"/>
          </reference>
          <reference field="9" count="1">
            <x v="611"/>
          </reference>
        </references>
      </pivotArea>
    </format>
    <format dxfId="1109">
      <pivotArea dataOnly="0" labelOnly="1" fieldPosition="0">
        <references count="6">
          <reference field="1" count="1" selected="0">
            <x v="116"/>
          </reference>
          <reference field="5" count="1" selected="0">
            <x v="0"/>
          </reference>
          <reference field="6" count="1" selected="0">
            <x v="12"/>
          </reference>
          <reference field="7" count="1" selected="0">
            <x v="24"/>
          </reference>
          <reference field="8" count="1" selected="0">
            <x v="32"/>
          </reference>
          <reference field="9" count="1">
            <x v="611"/>
          </reference>
        </references>
      </pivotArea>
    </format>
    <format dxfId="1108">
      <pivotArea dataOnly="0" labelOnly="1" fieldPosition="0">
        <references count="6">
          <reference field="1" count="1" selected="0">
            <x v="116"/>
          </reference>
          <reference field="5" count="1" selected="0">
            <x v="0"/>
          </reference>
          <reference field="6" count="1" selected="0">
            <x v="12"/>
          </reference>
          <reference field="7" count="1" selected="0">
            <x v="50"/>
          </reference>
          <reference field="8" count="1" selected="0">
            <x v="352"/>
          </reference>
          <reference field="9" count="1">
            <x v="611"/>
          </reference>
        </references>
      </pivotArea>
    </format>
    <format dxfId="1107">
      <pivotArea dataOnly="0" labelOnly="1" fieldPosition="0">
        <references count="6">
          <reference field="1" count="1" selected="0">
            <x v="116"/>
          </reference>
          <reference field="5" count="1" selected="0">
            <x v="5"/>
          </reference>
          <reference field="6" count="1" selected="0">
            <x v="38"/>
          </reference>
          <reference field="7" count="1" selected="0">
            <x v="205"/>
          </reference>
          <reference field="8" count="1" selected="0">
            <x v="1171"/>
          </reference>
          <reference field="9" count="1">
            <x v="611"/>
          </reference>
        </references>
      </pivotArea>
    </format>
    <format dxfId="1106">
      <pivotArea dataOnly="0" labelOnly="1" fieldPosition="0">
        <references count="6">
          <reference field="1" count="1" selected="0">
            <x v="116"/>
          </reference>
          <reference field="5" count="1" selected="0">
            <x v="8"/>
          </reference>
          <reference field="6" count="1" selected="0">
            <x v="38"/>
          </reference>
          <reference field="7" count="1" selected="0">
            <x v="205"/>
          </reference>
          <reference field="8" count="1" selected="0">
            <x v="1407"/>
          </reference>
          <reference field="9" count="1">
            <x v="611"/>
          </reference>
        </references>
      </pivotArea>
    </format>
    <format dxfId="1105">
      <pivotArea dataOnly="0" labelOnly="1" fieldPosition="0">
        <references count="6">
          <reference field="1" count="1" selected="0">
            <x v="116"/>
          </reference>
          <reference field="5" count="1" selected="0">
            <x v="12"/>
          </reference>
          <reference field="6" count="1" selected="0">
            <x v="1"/>
          </reference>
          <reference field="7" count="1" selected="0">
            <x v="205"/>
          </reference>
          <reference field="8" count="1" selected="0">
            <x v="80"/>
          </reference>
          <reference field="9" count="1">
            <x v="611"/>
          </reference>
        </references>
      </pivotArea>
    </format>
    <format dxfId="1104">
      <pivotArea dataOnly="0" labelOnly="1" fieldPosition="0">
        <references count="6">
          <reference field="1" count="1" selected="0">
            <x v="116"/>
          </reference>
          <reference field="5" count="1" selected="0">
            <x v="12"/>
          </reference>
          <reference field="6" count="1" selected="0">
            <x v="1"/>
          </reference>
          <reference field="7" count="1" selected="0">
            <x v="205"/>
          </reference>
          <reference field="8" count="1" selected="0">
            <x v="213"/>
          </reference>
          <reference field="9" count="1">
            <x v="611"/>
          </reference>
        </references>
      </pivotArea>
    </format>
    <format dxfId="1103">
      <pivotArea dataOnly="0" labelOnly="1" fieldPosition="0">
        <references count="6">
          <reference field="1" count="1" selected="0">
            <x v="116"/>
          </reference>
          <reference field="5" count="1" selected="0">
            <x v="14"/>
          </reference>
          <reference field="6" count="1" selected="0">
            <x v="1"/>
          </reference>
          <reference field="7" count="1" selected="0">
            <x v="205"/>
          </reference>
          <reference field="8" count="1" selected="0">
            <x v="764"/>
          </reference>
          <reference field="9" count="1">
            <x v="611"/>
          </reference>
        </references>
      </pivotArea>
    </format>
    <format dxfId="1102">
      <pivotArea dataOnly="0" labelOnly="1" fieldPosition="0">
        <references count="6">
          <reference field="1" count="1" selected="0">
            <x v="116"/>
          </reference>
          <reference field="5" count="1" selected="0">
            <x v="14"/>
          </reference>
          <reference field="6" count="1" selected="0">
            <x v="38"/>
          </reference>
          <reference field="7" count="1" selected="0">
            <x v="205"/>
          </reference>
          <reference field="8" count="1" selected="0">
            <x v="193"/>
          </reference>
          <reference field="9" count="1">
            <x v="611"/>
          </reference>
        </references>
      </pivotArea>
    </format>
    <format dxfId="1101">
      <pivotArea dataOnly="0" labelOnly="1" fieldPosition="0">
        <references count="6">
          <reference field="1" count="1" selected="0">
            <x v="116"/>
          </reference>
          <reference field="5" count="1" selected="0">
            <x v="15"/>
          </reference>
          <reference field="6" count="1" selected="0">
            <x v="38"/>
          </reference>
          <reference field="7" count="1" selected="0">
            <x v="205"/>
          </reference>
          <reference field="8" count="1" selected="0">
            <x v="1206"/>
          </reference>
          <reference field="9" count="1">
            <x v="611"/>
          </reference>
        </references>
      </pivotArea>
    </format>
    <format dxfId="1100">
      <pivotArea dataOnly="0" labelOnly="1" fieldPosition="0">
        <references count="6">
          <reference field="1" count="1" selected="0">
            <x v="116"/>
          </reference>
          <reference field="5" count="1" selected="0">
            <x v="19"/>
          </reference>
          <reference field="6" count="1" selected="0">
            <x v="1"/>
          </reference>
          <reference field="7" count="1" selected="0">
            <x v="205"/>
          </reference>
          <reference field="8" count="1" selected="0">
            <x v="1162"/>
          </reference>
          <reference field="9" count="1">
            <x v="611"/>
          </reference>
        </references>
      </pivotArea>
    </format>
    <format dxfId="1099">
      <pivotArea dataOnly="0" labelOnly="1" fieldPosition="0">
        <references count="6">
          <reference field="1" count="1" selected="0">
            <x v="116"/>
          </reference>
          <reference field="5" count="1" selected="0">
            <x v="23"/>
          </reference>
          <reference field="6" count="1" selected="0">
            <x v="7"/>
          </reference>
          <reference field="7" count="1" selected="0">
            <x v="205"/>
          </reference>
          <reference field="8" count="1" selected="0">
            <x v="1333"/>
          </reference>
          <reference field="9" count="1">
            <x v="611"/>
          </reference>
        </references>
      </pivotArea>
    </format>
    <format dxfId="1098">
      <pivotArea dataOnly="0" labelOnly="1" fieldPosition="0">
        <references count="6">
          <reference field="1" count="1" selected="0">
            <x v="117"/>
          </reference>
          <reference field="5" count="1" selected="0">
            <x v="0"/>
          </reference>
          <reference field="6" count="1" selected="0">
            <x v="1"/>
          </reference>
          <reference field="7" count="1" selected="0">
            <x v="206"/>
          </reference>
          <reference field="8" count="1" selected="0">
            <x v="80"/>
          </reference>
          <reference field="9" count="1">
            <x v="611"/>
          </reference>
        </references>
      </pivotArea>
    </format>
    <format dxfId="1097">
      <pivotArea dataOnly="0" labelOnly="1" fieldPosition="0">
        <references count="6">
          <reference field="1" count="1" selected="0">
            <x v="117"/>
          </reference>
          <reference field="5" count="1" selected="0">
            <x v="0"/>
          </reference>
          <reference field="6" count="1" selected="0">
            <x v="10"/>
          </reference>
          <reference field="7" count="1" selected="0">
            <x v="206"/>
          </reference>
          <reference field="8" count="1" selected="0">
            <x v="0"/>
          </reference>
          <reference field="9" count="2">
            <x v="485"/>
            <x v="536"/>
          </reference>
        </references>
      </pivotArea>
    </format>
    <format dxfId="1096">
      <pivotArea dataOnly="0" labelOnly="1" fieldPosition="0">
        <references count="6">
          <reference field="1" count="1" selected="0">
            <x v="117"/>
          </reference>
          <reference field="5" count="1" selected="0">
            <x v="0"/>
          </reference>
          <reference field="6" count="1" selected="0">
            <x v="12"/>
          </reference>
          <reference field="7" count="1" selected="0">
            <x v="24"/>
          </reference>
          <reference field="8" count="1" selected="0">
            <x v="32"/>
          </reference>
          <reference field="9" count="1">
            <x v="611"/>
          </reference>
        </references>
      </pivotArea>
    </format>
    <format dxfId="1095">
      <pivotArea dataOnly="0" labelOnly="1" fieldPosition="0">
        <references count="6">
          <reference field="1" count="1" selected="0">
            <x v="117"/>
          </reference>
          <reference field="5" count="1" selected="0">
            <x v="0"/>
          </reference>
          <reference field="6" count="1" selected="0">
            <x v="12"/>
          </reference>
          <reference field="7" count="1" selected="0">
            <x v="32"/>
          </reference>
          <reference field="8" count="1" selected="0">
            <x v="90"/>
          </reference>
          <reference field="9" count="1">
            <x v="611"/>
          </reference>
        </references>
      </pivotArea>
    </format>
    <format dxfId="1094">
      <pivotArea dataOnly="0" labelOnly="1" fieldPosition="0">
        <references count="6">
          <reference field="1" count="1" selected="0">
            <x v="117"/>
          </reference>
          <reference field="5" count="1" selected="0">
            <x v="0"/>
          </reference>
          <reference field="6" count="1" selected="0">
            <x v="38"/>
          </reference>
          <reference field="7" count="1" selected="0">
            <x v="206"/>
          </reference>
          <reference field="8" count="1" selected="0">
            <x v="262"/>
          </reference>
          <reference field="9" count="1">
            <x v="611"/>
          </reference>
        </references>
      </pivotArea>
    </format>
    <format dxfId="1093">
      <pivotArea dataOnly="0" labelOnly="1" fieldPosition="0">
        <references count="6">
          <reference field="1" count="1" selected="0">
            <x v="117"/>
          </reference>
          <reference field="5" count="1" selected="0">
            <x v="3"/>
          </reference>
          <reference field="6" count="1" selected="0">
            <x v="38"/>
          </reference>
          <reference field="7" count="1" selected="0">
            <x v="206"/>
          </reference>
          <reference field="8" count="1" selected="0">
            <x v="39"/>
          </reference>
          <reference field="9" count="1">
            <x v="611"/>
          </reference>
        </references>
      </pivotArea>
    </format>
    <format dxfId="1092">
      <pivotArea dataOnly="0" labelOnly="1" fieldPosition="0">
        <references count="6">
          <reference field="1" count="1" selected="0">
            <x v="117"/>
          </reference>
          <reference field="5" count="1" selected="0">
            <x v="7"/>
          </reference>
          <reference field="6" count="1" selected="0">
            <x v="38"/>
          </reference>
          <reference field="7" count="1" selected="0">
            <x v="206"/>
          </reference>
          <reference field="8" count="1" selected="0">
            <x v="633"/>
          </reference>
          <reference field="9" count="1">
            <x v="611"/>
          </reference>
        </references>
      </pivotArea>
    </format>
    <format dxfId="1091">
      <pivotArea dataOnly="0" labelOnly="1" fieldPosition="0">
        <references count="6">
          <reference field="1" count="1" selected="0">
            <x v="117"/>
          </reference>
          <reference field="5" count="1" selected="0">
            <x v="10"/>
          </reference>
          <reference field="6" count="1" selected="0">
            <x v="6"/>
          </reference>
          <reference field="7" count="1" selected="0">
            <x v="206"/>
          </reference>
          <reference field="8" count="1" selected="0">
            <x v="1870"/>
          </reference>
          <reference field="9" count="1">
            <x v="611"/>
          </reference>
        </references>
      </pivotArea>
    </format>
    <format dxfId="1090">
      <pivotArea dataOnly="0" labelOnly="1" fieldPosition="0">
        <references count="6">
          <reference field="1" count="1" selected="0">
            <x v="117"/>
          </reference>
          <reference field="5" count="1" selected="0">
            <x v="12"/>
          </reference>
          <reference field="6" count="1" selected="0">
            <x v="1"/>
          </reference>
          <reference field="7" count="1" selected="0">
            <x v="206"/>
          </reference>
          <reference field="8" count="1" selected="0">
            <x v="80"/>
          </reference>
          <reference field="9" count="1">
            <x v="611"/>
          </reference>
        </references>
      </pivotArea>
    </format>
    <format dxfId="1089">
      <pivotArea dataOnly="0" labelOnly="1" fieldPosition="0">
        <references count="6">
          <reference field="1" count="1" selected="0">
            <x v="117"/>
          </reference>
          <reference field="5" count="1" selected="0">
            <x v="12"/>
          </reference>
          <reference field="6" count="1" selected="0">
            <x v="1"/>
          </reference>
          <reference field="7" count="1" selected="0">
            <x v="206"/>
          </reference>
          <reference field="8" count="1" selected="0">
            <x v="213"/>
          </reference>
          <reference field="9" count="1">
            <x v="611"/>
          </reference>
        </references>
      </pivotArea>
    </format>
    <format dxfId="1088">
      <pivotArea dataOnly="0" labelOnly="1" fieldPosition="0">
        <references count="6">
          <reference field="1" count="1" selected="0">
            <x v="117"/>
          </reference>
          <reference field="5" count="1" selected="0">
            <x v="15"/>
          </reference>
          <reference field="6" count="1" selected="0">
            <x v="36"/>
          </reference>
          <reference field="7" count="1" selected="0">
            <x v="76"/>
          </reference>
          <reference field="8" count="1" selected="0">
            <x v="0"/>
          </reference>
          <reference field="9" count="1">
            <x v="20"/>
          </reference>
        </references>
      </pivotArea>
    </format>
    <format dxfId="1087">
      <pivotArea dataOnly="0" labelOnly="1" fieldPosition="0">
        <references count="6">
          <reference field="1" count="1" selected="0">
            <x v="117"/>
          </reference>
          <reference field="5" count="1" selected="0">
            <x v="24"/>
          </reference>
          <reference field="6" count="1" selected="0">
            <x v="1"/>
          </reference>
          <reference field="7" count="1" selected="0">
            <x v="206"/>
          </reference>
          <reference field="8" count="1" selected="0">
            <x v="91"/>
          </reference>
          <reference field="9" count="1">
            <x v="611"/>
          </reference>
        </references>
      </pivotArea>
    </format>
    <format dxfId="1086">
      <pivotArea dataOnly="0" labelOnly="1" fieldPosition="0">
        <references count="6">
          <reference field="1" count="1" selected="0">
            <x v="117"/>
          </reference>
          <reference field="5" count="1" selected="0">
            <x v="27"/>
          </reference>
          <reference field="6" count="1" selected="0">
            <x v="10"/>
          </reference>
          <reference field="7" count="1" selected="0">
            <x v="206"/>
          </reference>
          <reference field="8" count="1" selected="0">
            <x v="433"/>
          </reference>
          <reference field="9" count="1">
            <x v="611"/>
          </reference>
        </references>
      </pivotArea>
    </format>
    <format dxfId="1085">
      <pivotArea dataOnly="0" labelOnly="1" fieldPosition="0">
        <references count="6">
          <reference field="1" count="1" selected="0">
            <x v="117"/>
          </reference>
          <reference field="5" count="1" selected="0">
            <x v="35"/>
          </reference>
          <reference field="6" count="1" selected="0">
            <x v="1"/>
          </reference>
          <reference field="7" count="1" selected="0">
            <x v="206"/>
          </reference>
          <reference field="8" count="1" selected="0">
            <x v="80"/>
          </reference>
          <reference field="9" count="1">
            <x v="611"/>
          </reference>
        </references>
      </pivotArea>
    </format>
    <format dxfId="1084">
      <pivotArea dataOnly="0" labelOnly="1" fieldPosition="0">
        <references count="6">
          <reference field="1" count="1" selected="0">
            <x v="118"/>
          </reference>
          <reference field="5" count="1" selected="0">
            <x v="0"/>
          </reference>
          <reference field="6" count="1" selected="0">
            <x v="1"/>
          </reference>
          <reference field="7" count="1" selected="0">
            <x v="207"/>
          </reference>
          <reference field="8" count="1" selected="0">
            <x v="80"/>
          </reference>
          <reference field="9" count="1">
            <x v="611"/>
          </reference>
        </references>
      </pivotArea>
    </format>
    <format dxfId="1083">
      <pivotArea dataOnly="0" labelOnly="1" fieldPosition="0">
        <references count="6">
          <reference field="1" count="1" selected="0">
            <x v="118"/>
          </reference>
          <reference field="5" count="1" selected="0">
            <x v="0"/>
          </reference>
          <reference field="6" count="1" selected="0">
            <x v="12"/>
          </reference>
          <reference field="7" count="1" selected="0">
            <x v="32"/>
          </reference>
          <reference field="8" count="1" selected="0">
            <x v="90"/>
          </reference>
          <reference field="9" count="1">
            <x v="611"/>
          </reference>
        </references>
      </pivotArea>
    </format>
    <format dxfId="1082">
      <pivotArea dataOnly="0" labelOnly="1" fieldPosition="0">
        <references count="6">
          <reference field="1" count="1" selected="0">
            <x v="118"/>
          </reference>
          <reference field="5" count="1" selected="0">
            <x v="0"/>
          </reference>
          <reference field="6" count="1" selected="0">
            <x v="38"/>
          </reference>
          <reference field="7" count="1" selected="0">
            <x v="207"/>
          </reference>
          <reference field="8" count="1" selected="0">
            <x v="262"/>
          </reference>
          <reference field="9" count="1">
            <x v="611"/>
          </reference>
        </references>
      </pivotArea>
    </format>
    <format dxfId="1081">
      <pivotArea dataOnly="0" labelOnly="1" fieldPosition="0">
        <references count="6">
          <reference field="1" count="1" selected="0">
            <x v="118"/>
          </reference>
          <reference field="5" count="1" selected="0">
            <x v="12"/>
          </reference>
          <reference field="6" count="1" selected="0">
            <x v="1"/>
          </reference>
          <reference field="7" count="1" selected="0">
            <x v="207"/>
          </reference>
          <reference field="8" count="1" selected="0">
            <x v="80"/>
          </reference>
          <reference field="9" count="1">
            <x v="611"/>
          </reference>
        </references>
      </pivotArea>
    </format>
    <format dxfId="1080">
      <pivotArea dataOnly="0" labelOnly="1" fieldPosition="0">
        <references count="6">
          <reference field="1" count="1" selected="0">
            <x v="118"/>
          </reference>
          <reference field="5" count="1" selected="0">
            <x v="12"/>
          </reference>
          <reference field="6" count="1" selected="0">
            <x v="1"/>
          </reference>
          <reference field="7" count="1" selected="0">
            <x v="207"/>
          </reference>
          <reference field="8" count="1" selected="0">
            <x v="213"/>
          </reference>
          <reference field="9" count="1">
            <x v="611"/>
          </reference>
        </references>
      </pivotArea>
    </format>
    <format dxfId="1079">
      <pivotArea dataOnly="0" labelOnly="1" fieldPosition="0">
        <references count="6">
          <reference field="1" count="1" selected="0">
            <x v="118"/>
          </reference>
          <reference field="5" count="1" selected="0">
            <x v="12"/>
          </reference>
          <reference field="6" count="1" selected="0">
            <x v="1"/>
          </reference>
          <reference field="7" count="1" selected="0">
            <x v="207"/>
          </reference>
          <reference field="8" count="1" selected="0">
            <x v="352"/>
          </reference>
          <reference field="9" count="1">
            <x v="611"/>
          </reference>
        </references>
      </pivotArea>
    </format>
    <format dxfId="1078">
      <pivotArea dataOnly="0" labelOnly="1" fieldPosition="0">
        <references count="6">
          <reference field="1" count="1" selected="0">
            <x v="118"/>
          </reference>
          <reference field="5" count="1" selected="0">
            <x v="12"/>
          </reference>
          <reference field="6" count="1" selected="0">
            <x v="1"/>
          </reference>
          <reference field="7" count="1" selected="0">
            <x v="207"/>
          </reference>
          <reference field="8" count="1" selected="0">
            <x v="500"/>
          </reference>
          <reference field="9" count="1">
            <x v="611"/>
          </reference>
        </references>
      </pivotArea>
    </format>
    <format dxfId="1077">
      <pivotArea dataOnly="0" labelOnly="1" fieldPosition="0">
        <references count="6">
          <reference field="1" count="1" selected="0">
            <x v="118"/>
          </reference>
          <reference field="5" count="1" selected="0">
            <x v="26"/>
          </reference>
          <reference field="6" count="1" selected="0">
            <x v="37"/>
          </reference>
          <reference field="7" count="1" selected="0">
            <x v="207"/>
          </reference>
          <reference field="8" count="1" selected="0">
            <x v="278"/>
          </reference>
          <reference field="9" count="1">
            <x v="611"/>
          </reference>
        </references>
      </pivotArea>
    </format>
    <format dxfId="1076">
      <pivotArea dataOnly="0" labelOnly="1" fieldPosition="0">
        <references count="6">
          <reference field="1" count="1" selected="0">
            <x v="118"/>
          </reference>
          <reference field="5" count="1" selected="0">
            <x v="37"/>
          </reference>
          <reference field="6" count="1" selected="0">
            <x v="38"/>
          </reference>
          <reference field="7" count="1" selected="0">
            <x v="207"/>
          </reference>
          <reference field="8" count="1" selected="0">
            <x v="1064"/>
          </reference>
          <reference field="9" count="1">
            <x v="611"/>
          </reference>
        </references>
      </pivotArea>
    </format>
    <format dxfId="1075">
      <pivotArea dataOnly="0" labelOnly="1" fieldPosition="0">
        <references count="6">
          <reference field="1" count="1" selected="0">
            <x v="119"/>
          </reference>
          <reference field="5" count="1" selected="0">
            <x v="0"/>
          </reference>
          <reference field="6" count="1" selected="0">
            <x v="12"/>
          </reference>
          <reference field="7" count="1" selected="0">
            <x v="52"/>
          </reference>
          <reference field="8" count="1" selected="0">
            <x v="57"/>
          </reference>
          <reference field="9" count="1">
            <x v="611"/>
          </reference>
        </references>
      </pivotArea>
    </format>
    <format dxfId="1074">
      <pivotArea dataOnly="0" labelOnly="1" fieldPosition="0">
        <references count="6">
          <reference field="1" count="1" selected="0">
            <x v="119"/>
          </reference>
          <reference field="5" count="1" selected="0">
            <x v="0"/>
          </reference>
          <reference field="6" count="1" selected="0">
            <x v="12"/>
          </reference>
          <reference field="7" count="1" selected="0">
            <x v="65"/>
          </reference>
          <reference field="8" count="1" selected="0">
            <x v="9"/>
          </reference>
          <reference field="9" count="1">
            <x v="611"/>
          </reference>
        </references>
      </pivotArea>
    </format>
    <format dxfId="1073">
      <pivotArea dataOnly="0" labelOnly="1" fieldPosition="0">
        <references count="6">
          <reference field="1" count="1" selected="0">
            <x v="119"/>
          </reference>
          <reference field="5" count="1" selected="0">
            <x v="0"/>
          </reference>
          <reference field="6" count="1" selected="0">
            <x v="12"/>
          </reference>
          <reference field="7" count="1" selected="0">
            <x v="72"/>
          </reference>
          <reference field="8" count="1" selected="0">
            <x v="13"/>
          </reference>
          <reference field="9" count="1">
            <x v="611"/>
          </reference>
        </references>
      </pivotArea>
    </format>
    <format dxfId="1072">
      <pivotArea dataOnly="0" labelOnly="1" fieldPosition="0">
        <references count="6">
          <reference field="1" count="1" selected="0">
            <x v="120"/>
          </reference>
          <reference field="5" count="1" selected="0">
            <x v="0"/>
          </reference>
          <reference field="6" count="1" selected="0">
            <x v="1"/>
          </reference>
          <reference field="7" count="1" selected="0">
            <x v="208"/>
          </reference>
          <reference field="8" count="1" selected="0">
            <x v="80"/>
          </reference>
          <reference field="9" count="1">
            <x v="611"/>
          </reference>
        </references>
      </pivotArea>
    </format>
    <format dxfId="1071">
      <pivotArea dataOnly="0" labelOnly="1" fieldPosition="0">
        <references count="6">
          <reference field="1" count="1" selected="0">
            <x v="120"/>
          </reference>
          <reference field="5" count="1" selected="0">
            <x v="0"/>
          </reference>
          <reference field="6" count="1" selected="0">
            <x v="6"/>
          </reference>
          <reference field="7" count="1" selected="0">
            <x v="208"/>
          </reference>
          <reference field="8" count="1" selected="0">
            <x v="469"/>
          </reference>
          <reference field="9" count="1">
            <x v="611"/>
          </reference>
        </references>
      </pivotArea>
    </format>
    <format dxfId="1070">
      <pivotArea dataOnly="0" labelOnly="1" fieldPosition="0">
        <references count="6">
          <reference field="1" count="1" selected="0">
            <x v="120"/>
          </reference>
          <reference field="5" count="1" selected="0">
            <x v="0"/>
          </reference>
          <reference field="6" count="1" selected="0">
            <x v="38"/>
          </reference>
          <reference field="7" count="1" selected="0">
            <x v="208"/>
          </reference>
          <reference field="8" count="1" selected="0">
            <x v="1256"/>
          </reference>
          <reference field="9" count="1">
            <x v="611"/>
          </reference>
        </references>
      </pivotArea>
    </format>
    <format dxfId="1069">
      <pivotArea dataOnly="0" labelOnly="1" fieldPosition="0">
        <references count="6">
          <reference field="1" count="1" selected="0">
            <x v="120"/>
          </reference>
          <reference field="5" count="1" selected="0">
            <x v="2"/>
          </reference>
          <reference field="6" count="1" selected="0">
            <x v="1"/>
          </reference>
          <reference field="7" count="1" selected="0">
            <x v="208"/>
          </reference>
          <reference field="8" count="1" selected="0">
            <x v="970"/>
          </reference>
          <reference field="9" count="1">
            <x v="611"/>
          </reference>
        </references>
      </pivotArea>
    </format>
    <format dxfId="1068">
      <pivotArea dataOnly="0" labelOnly="1" fieldPosition="0">
        <references count="6">
          <reference field="1" count="1" selected="0">
            <x v="120"/>
          </reference>
          <reference field="5" count="1" selected="0">
            <x v="2"/>
          </reference>
          <reference field="6" count="1" selected="0">
            <x v="10"/>
          </reference>
          <reference field="7" count="1" selected="0">
            <x v="208"/>
          </reference>
          <reference field="8" count="1" selected="0">
            <x v="1819"/>
          </reference>
          <reference field="9" count="1">
            <x v="611"/>
          </reference>
        </references>
      </pivotArea>
    </format>
    <format dxfId="1067">
      <pivotArea dataOnly="0" labelOnly="1" fieldPosition="0">
        <references count="6">
          <reference field="1" count="1" selected="0">
            <x v="120"/>
          </reference>
          <reference field="5" count="1" selected="0">
            <x v="3"/>
          </reference>
          <reference field="6" count="1" selected="0">
            <x v="38"/>
          </reference>
          <reference field="7" count="1" selected="0">
            <x v="208"/>
          </reference>
          <reference field="8" count="1" selected="0">
            <x v="109"/>
          </reference>
          <reference field="9" count="1">
            <x v="611"/>
          </reference>
        </references>
      </pivotArea>
    </format>
    <format dxfId="1066">
      <pivotArea dataOnly="0" labelOnly="1" fieldPosition="0">
        <references count="6">
          <reference field="1" count="1" selected="0">
            <x v="120"/>
          </reference>
          <reference field="5" count="1" selected="0">
            <x v="5"/>
          </reference>
          <reference field="6" count="1" selected="0">
            <x v="38"/>
          </reference>
          <reference field="7" count="1" selected="0">
            <x v="208"/>
          </reference>
          <reference field="8" count="1" selected="0">
            <x v="278"/>
          </reference>
          <reference field="9" count="1">
            <x v="611"/>
          </reference>
        </references>
      </pivotArea>
    </format>
    <format dxfId="1065">
      <pivotArea dataOnly="0" labelOnly="1" fieldPosition="0">
        <references count="6">
          <reference field="1" count="1" selected="0">
            <x v="120"/>
          </reference>
          <reference field="5" count="1" selected="0">
            <x v="7"/>
          </reference>
          <reference field="6" count="1" selected="0">
            <x v="38"/>
          </reference>
          <reference field="7" count="1" selected="0">
            <x v="208"/>
          </reference>
          <reference field="8" count="1" selected="0">
            <x v="539"/>
          </reference>
          <reference field="9" count="1">
            <x v="611"/>
          </reference>
        </references>
      </pivotArea>
    </format>
    <format dxfId="1064">
      <pivotArea dataOnly="0" labelOnly="1" fieldPosition="0">
        <references count="6">
          <reference field="1" count="1" selected="0">
            <x v="120"/>
          </reference>
          <reference field="5" count="1" selected="0">
            <x v="8"/>
          </reference>
          <reference field="6" count="1" selected="0">
            <x v="38"/>
          </reference>
          <reference field="7" count="1" selected="0">
            <x v="208"/>
          </reference>
          <reference field="8" count="1" selected="0">
            <x v="1310"/>
          </reference>
          <reference field="9" count="1">
            <x v="611"/>
          </reference>
        </references>
      </pivotArea>
    </format>
    <format dxfId="1063">
      <pivotArea dataOnly="0" labelOnly="1" fieldPosition="0">
        <references count="6">
          <reference field="1" count="1" selected="0">
            <x v="120"/>
          </reference>
          <reference field="5" count="1" selected="0">
            <x v="12"/>
          </reference>
          <reference field="6" count="1" selected="0">
            <x v="1"/>
          </reference>
          <reference field="7" count="1" selected="0">
            <x v="208"/>
          </reference>
          <reference field="8" count="1" selected="0">
            <x v="213"/>
          </reference>
          <reference field="9" count="1">
            <x v="611"/>
          </reference>
        </references>
      </pivotArea>
    </format>
    <format dxfId="1062">
      <pivotArea dataOnly="0" labelOnly="1" fieldPosition="0">
        <references count="6">
          <reference field="1" count="1" selected="0">
            <x v="120"/>
          </reference>
          <reference field="5" count="1" selected="0">
            <x v="12"/>
          </reference>
          <reference field="6" count="1" selected="0">
            <x v="1"/>
          </reference>
          <reference field="7" count="1" selected="0">
            <x v="208"/>
          </reference>
          <reference field="8" count="1" selected="0">
            <x v="500"/>
          </reference>
          <reference field="9" count="1">
            <x v="611"/>
          </reference>
        </references>
      </pivotArea>
    </format>
    <format dxfId="1061">
      <pivotArea dataOnly="0" labelOnly="1" fieldPosition="0">
        <references count="6">
          <reference field="1" count="1" selected="0">
            <x v="120"/>
          </reference>
          <reference field="5" count="1" selected="0">
            <x v="12"/>
          </reference>
          <reference field="6" count="1" selected="0">
            <x v="1"/>
          </reference>
          <reference field="7" count="1" selected="0">
            <x v="208"/>
          </reference>
          <reference field="8" count="1" selected="0">
            <x v="771"/>
          </reference>
          <reference field="9" count="1">
            <x v="611"/>
          </reference>
        </references>
      </pivotArea>
    </format>
    <format dxfId="1060">
      <pivotArea dataOnly="0" labelOnly="1" fieldPosition="0">
        <references count="6">
          <reference field="1" count="1" selected="0">
            <x v="120"/>
          </reference>
          <reference field="5" count="1" selected="0">
            <x v="12"/>
          </reference>
          <reference field="6" count="1" selected="0">
            <x v="1"/>
          </reference>
          <reference field="7" count="1" selected="0">
            <x v="208"/>
          </reference>
          <reference field="8" count="1" selected="0">
            <x v="911"/>
          </reference>
          <reference field="9" count="1">
            <x v="611"/>
          </reference>
        </references>
      </pivotArea>
    </format>
    <format dxfId="1059">
      <pivotArea dataOnly="0" labelOnly="1" fieldPosition="0">
        <references count="6">
          <reference field="1" count="1" selected="0">
            <x v="120"/>
          </reference>
          <reference field="5" count="1" selected="0">
            <x v="12"/>
          </reference>
          <reference field="6" count="1" selected="0">
            <x v="1"/>
          </reference>
          <reference field="7" count="1" selected="0">
            <x v="208"/>
          </reference>
          <reference field="8" count="1" selected="0">
            <x v="1028"/>
          </reference>
          <reference field="9" count="1">
            <x v="611"/>
          </reference>
        </references>
      </pivotArea>
    </format>
    <format dxfId="1058">
      <pivotArea dataOnly="0" labelOnly="1" fieldPosition="0">
        <references count="6">
          <reference field="1" count="1" selected="0">
            <x v="120"/>
          </reference>
          <reference field="5" count="1" selected="0">
            <x v="12"/>
          </reference>
          <reference field="6" count="1" selected="0">
            <x v="38"/>
          </reference>
          <reference field="7" count="1" selected="0">
            <x v="208"/>
          </reference>
          <reference field="8" count="1" selected="0">
            <x v="1414"/>
          </reference>
          <reference field="9" count="1">
            <x v="611"/>
          </reference>
        </references>
      </pivotArea>
    </format>
    <format dxfId="1057">
      <pivotArea dataOnly="0" labelOnly="1" fieldPosition="0">
        <references count="6">
          <reference field="1" count="1" selected="0">
            <x v="120"/>
          </reference>
          <reference field="5" count="1" selected="0">
            <x v="12"/>
          </reference>
          <reference field="6" count="1" selected="0">
            <x v="38"/>
          </reference>
          <reference field="7" count="1" selected="0">
            <x v="208"/>
          </reference>
          <reference field="8" count="1" selected="0">
            <x v="1528"/>
          </reference>
          <reference field="9" count="1">
            <x v="611"/>
          </reference>
        </references>
      </pivotArea>
    </format>
    <format dxfId="1056">
      <pivotArea dataOnly="0" labelOnly="1" fieldPosition="0">
        <references count="6">
          <reference field="1" count="1" selected="0">
            <x v="120"/>
          </reference>
          <reference field="5" count="1" selected="0">
            <x v="23"/>
          </reference>
          <reference field="6" count="1" selected="0">
            <x v="6"/>
          </reference>
          <reference field="7" count="1" selected="0">
            <x v="208"/>
          </reference>
          <reference field="8" count="1" selected="0">
            <x v="277"/>
          </reference>
          <reference field="9" count="1">
            <x v="611"/>
          </reference>
        </references>
      </pivotArea>
    </format>
    <format dxfId="1055">
      <pivotArea dataOnly="0" labelOnly="1" fieldPosition="0">
        <references count="6">
          <reference field="1" count="1" selected="0">
            <x v="120"/>
          </reference>
          <reference field="5" count="1" selected="0">
            <x v="27"/>
          </reference>
          <reference field="6" count="1" selected="0">
            <x v="38"/>
          </reference>
          <reference field="7" count="1" selected="0">
            <x v="208"/>
          </reference>
          <reference field="8" count="1" selected="0">
            <x v="109"/>
          </reference>
          <reference field="9" count="1">
            <x v="611"/>
          </reference>
        </references>
      </pivotArea>
    </format>
    <format dxfId="1054">
      <pivotArea dataOnly="0" labelOnly="1" fieldPosition="0">
        <references count="6">
          <reference field="1" count="1" selected="0">
            <x v="120"/>
          </reference>
          <reference field="5" count="1" selected="0">
            <x v="35"/>
          </reference>
          <reference field="6" count="1" selected="0">
            <x v="1"/>
          </reference>
          <reference field="7" count="1" selected="0">
            <x v="208"/>
          </reference>
          <reference field="8" count="1" selected="0">
            <x v="80"/>
          </reference>
          <reference field="9" count="1">
            <x v="611"/>
          </reference>
        </references>
      </pivotArea>
    </format>
    <format dxfId="1053">
      <pivotArea dataOnly="0" labelOnly="1" fieldPosition="0">
        <references count="6">
          <reference field="1" count="1" selected="0">
            <x v="120"/>
          </reference>
          <reference field="5" count="1" selected="0">
            <x v="35"/>
          </reference>
          <reference field="6" count="1" selected="0">
            <x v="1"/>
          </reference>
          <reference field="7" count="1" selected="0">
            <x v="208"/>
          </reference>
          <reference field="8" count="1" selected="0">
            <x v="213"/>
          </reference>
          <reference field="9" count="1">
            <x v="611"/>
          </reference>
        </references>
      </pivotArea>
    </format>
    <format dxfId="1052">
      <pivotArea dataOnly="0" labelOnly="1" fieldPosition="0">
        <references count="6">
          <reference field="1" count="1" selected="0">
            <x v="120"/>
          </reference>
          <reference field="5" count="1" selected="0">
            <x v="35"/>
          </reference>
          <reference field="6" count="1" selected="0">
            <x v="38"/>
          </reference>
          <reference field="7" count="1" selected="0">
            <x v="208"/>
          </reference>
          <reference field="8" count="1" selected="0">
            <x v="1465"/>
          </reference>
          <reference field="9" count="1">
            <x v="611"/>
          </reference>
        </references>
      </pivotArea>
    </format>
    <format dxfId="1051">
      <pivotArea dataOnly="0" labelOnly="1" fieldPosition="0">
        <references count="6">
          <reference field="1" count="1" selected="0">
            <x v="121"/>
          </reference>
          <reference field="5" count="1" selected="0">
            <x v="0"/>
          </reference>
          <reference field="6" count="1" selected="0">
            <x v="8"/>
          </reference>
          <reference field="7" count="1" selected="0">
            <x v="209"/>
          </reference>
          <reference field="8" count="1" selected="0">
            <x v="98"/>
          </reference>
          <reference field="9" count="1">
            <x v="611"/>
          </reference>
        </references>
      </pivotArea>
    </format>
    <format dxfId="1050">
      <pivotArea dataOnly="0" labelOnly="1" fieldPosition="0">
        <references count="6">
          <reference field="1" count="1" selected="0">
            <x v="121"/>
          </reference>
          <reference field="5" count="1" selected="0">
            <x v="0"/>
          </reference>
          <reference field="6" count="1" selected="0">
            <x v="8"/>
          </reference>
          <reference field="7" count="1" selected="0">
            <x v="209"/>
          </reference>
          <reference field="8" count="1" selected="0">
            <x v="162"/>
          </reference>
          <reference field="9" count="1">
            <x v="611"/>
          </reference>
        </references>
      </pivotArea>
    </format>
    <format dxfId="1049">
      <pivotArea dataOnly="0" labelOnly="1" fieldPosition="0">
        <references count="6">
          <reference field="1" count="1" selected="0">
            <x v="121"/>
          </reference>
          <reference field="5" count="1" selected="0">
            <x v="0"/>
          </reference>
          <reference field="6" count="1" selected="0">
            <x v="8"/>
          </reference>
          <reference field="7" count="1" selected="0">
            <x v="209"/>
          </reference>
          <reference field="8" count="1" selected="0">
            <x v="351"/>
          </reference>
          <reference field="9" count="1">
            <x v="611"/>
          </reference>
        </references>
      </pivotArea>
    </format>
    <format dxfId="1048">
      <pivotArea dataOnly="0" labelOnly="1" fieldPosition="0">
        <references count="6">
          <reference field="1" count="1" selected="0">
            <x v="121"/>
          </reference>
          <reference field="5" count="1" selected="0">
            <x v="0"/>
          </reference>
          <reference field="6" count="1" selected="0">
            <x v="8"/>
          </reference>
          <reference field="7" count="1" selected="0">
            <x v="209"/>
          </reference>
          <reference field="8" count="1" selected="0">
            <x v="353"/>
          </reference>
          <reference field="9" count="1">
            <x v="611"/>
          </reference>
        </references>
      </pivotArea>
    </format>
    <format dxfId="1047">
      <pivotArea dataOnly="0" labelOnly="1" fieldPosition="0">
        <references count="6">
          <reference field="1" count="1" selected="0">
            <x v="121"/>
          </reference>
          <reference field="5" count="1" selected="0">
            <x v="0"/>
          </reference>
          <reference field="6" count="1" selected="0">
            <x v="8"/>
          </reference>
          <reference field="7" count="1" selected="0">
            <x v="209"/>
          </reference>
          <reference field="8" count="1" selected="0">
            <x v="1114"/>
          </reference>
          <reference field="9" count="1">
            <x v="611"/>
          </reference>
        </references>
      </pivotArea>
    </format>
    <format dxfId="1046">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284"/>
          </reference>
          <reference field="9" count="1">
            <x v="611"/>
          </reference>
        </references>
      </pivotArea>
    </format>
    <format dxfId="1045">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380"/>
          </reference>
          <reference field="9" count="1">
            <x v="611"/>
          </reference>
        </references>
      </pivotArea>
    </format>
    <format dxfId="1044">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420"/>
          </reference>
          <reference field="9" count="1">
            <x v="611"/>
          </reference>
        </references>
      </pivotArea>
    </format>
    <format dxfId="1043">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443"/>
          </reference>
          <reference field="9" count="1">
            <x v="611"/>
          </reference>
        </references>
      </pivotArea>
    </format>
    <format dxfId="1042">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489"/>
          </reference>
          <reference field="9" count="1">
            <x v="611"/>
          </reference>
        </references>
      </pivotArea>
    </format>
    <format dxfId="1041">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592"/>
          </reference>
          <reference field="9" count="1">
            <x v="611"/>
          </reference>
        </references>
      </pivotArea>
    </format>
    <format dxfId="1040">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837"/>
          </reference>
          <reference field="9" count="1">
            <x v="611"/>
          </reference>
        </references>
      </pivotArea>
    </format>
    <format dxfId="1039">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879"/>
          </reference>
          <reference field="9" count="1">
            <x v="611"/>
          </reference>
        </references>
      </pivotArea>
    </format>
    <format dxfId="1038">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921"/>
          </reference>
          <reference field="9" count="1">
            <x v="611"/>
          </reference>
        </references>
      </pivotArea>
    </format>
    <format dxfId="1037">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957"/>
          </reference>
          <reference field="9" count="1">
            <x v="611"/>
          </reference>
        </references>
      </pivotArea>
    </format>
    <format dxfId="1036">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966"/>
          </reference>
          <reference field="9" count="1">
            <x v="611"/>
          </reference>
        </references>
      </pivotArea>
    </format>
    <format dxfId="1035">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1053"/>
          </reference>
          <reference field="9" count="1">
            <x v="611"/>
          </reference>
        </references>
      </pivotArea>
    </format>
    <format dxfId="1034">
      <pivotArea dataOnly="0" labelOnly="1" fieldPosition="0">
        <references count="6">
          <reference field="1" count="1" selected="0">
            <x v="121"/>
          </reference>
          <reference field="5" count="1" selected="0">
            <x v="0"/>
          </reference>
          <reference field="6" count="1" selected="0">
            <x v="9"/>
          </reference>
          <reference field="7" count="1" selected="0">
            <x v="209"/>
          </reference>
          <reference field="8" count="1" selected="0">
            <x v="1322"/>
          </reference>
          <reference field="9" count="1">
            <x v="611"/>
          </reference>
        </references>
      </pivotArea>
    </format>
    <format dxfId="1033">
      <pivotArea dataOnly="0" labelOnly="1" fieldPosition="0">
        <references count="6">
          <reference field="1" count="1" selected="0">
            <x v="121"/>
          </reference>
          <reference field="5" count="1" selected="0">
            <x v="0"/>
          </reference>
          <reference field="6" count="1" selected="0">
            <x v="12"/>
          </reference>
          <reference field="7" count="1" selected="0">
            <x v="43"/>
          </reference>
          <reference field="8" count="1" selected="0">
            <x v="9"/>
          </reference>
          <reference field="9" count="1">
            <x v="611"/>
          </reference>
        </references>
      </pivotArea>
    </format>
    <format dxfId="1032">
      <pivotArea dataOnly="0" labelOnly="1" fieldPosition="0">
        <references count="6">
          <reference field="1" count="1" selected="0">
            <x v="121"/>
          </reference>
          <reference field="5" count="1" selected="0">
            <x v="2"/>
          </reference>
          <reference field="6" count="1" selected="0">
            <x v="8"/>
          </reference>
          <reference field="7" count="1" selected="0">
            <x v="209"/>
          </reference>
          <reference field="8" count="1" selected="0">
            <x v="583"/>
          </reference>
          <reference field="9" count="1">
            <x v="611"/>
          </reference>
        </references>
      </pivotArea>
    </format>
    <format dxfId="1031">
      <pivotArea dataOnly="0" labelOnly="1" fieldPosition="0">
        <references count="6">
          <reference field="1" count="1" selected="0">
            <x v="121"/>
          </reference>
          <reference field="5" count="1" selected="0">
            <x v="5"/>
          </reference>
          <reference field="6" count="1" selected="0">
            <x v="38"/>
          </reference>
          <reference field="7" count="1" selected="0">
            <x v="209"/>
          </reference>
          <reference field="8" count="1" selected="0">
            <x v="784"/>
          </reference>
          <reference field="9" count="1">
            <x v="611"/>
          </reference>
        </references>
      </pivotArea>
    </format>
    <format dxfId="1030">
      <pivotArea dataOnly="0" labelOnly="1" fieldPosition="0">
        <references count="6">
          <reference field="1" count="1" selected="0">
            <x v="121"/>
          </reference>
          <reference field="5" count="1" selected="0">
            <x v="11"/>
          </reference>
          <reference field="6" count="1" selected="0">
            <x v="8"/>
          </reference>
          <reference field="7" count="1" selected="0">
            <x v="209"/>
          </reference>
          <reference field="8" count="1" selected="0">
            <x v="857"/>
          </reference>
          <reference field="9" count="1">
            <x v="611"/>
          </reference>
        </references>
      </pivotArea>
    </format>
    <format dxfId="1029">
      <pivotArea dataOnly="0" labelOnly="1" fieldPosition="0">
        <references count="6">
          <reference field="1" count="1" selected="0">
            <x v="121"/>
          </reference>
          <reference field="5" count="1" selected="0">
            <x v="12"/>
          </reference>
          <reference field="6" count="1" selected="0">
            <x v="1"/>
          </reference>
          <reference field="7" count="1" selected="0">
            <x v="209"/>
          </reference>
          <reference field="8" count="1" selected="0">
            <x v="80"/>
          </reference>
          <reference field="9" count="1">
            <x v="611"/>
          </reference>
        </references>
      </pivotArea>
    </format>
    <format dxfId="1028">
      <pivotArea dataOnly="0" labelOnly="1" fieldPosition="0">
        <references count="6">
          <reference field="1" count="1" selected="0">
            <x v="121"/>
          </reference>
          <reference field="5" count="1" selected="0">
            <x v="12"/>
          </reference>
          <reference field="6" count="1" selected="0">
            <x v="1"/>
          </reference>
          <reference field="7" count="1" selected="0">
            <x v="209"/>
          </reference>
          <reference field="8" count="1" selected="0">
            <x v="352"/>
          </reference>
          <reference field="9" count="1">
            <x v="611"/>
          </reference>
        </references>
      </pivotArea>
    </format>
    <format dxfId="1027">
      <pivotArea dataOnly="0" labelOnly="1" fieldPosition="0">
        <references count="6">
          <reference field="1" count="1" selected="0">
            <x v="121"/>
          </reference>
          <reference field="5" count="1" selected="0">
            <x v="12"/>
          </reference>
          <reference field="6" count="1" selected="0">
            <x v="1"/>
          </reference>
          <reference field="7" count="1" selected="0">
            <x v="209"/>
          </reference>
          <reference field="8" count="1" selected="0">
            <x v="702"/>
          </reference>
          <reference field="9" count="1">
            <x v="611"/>
          </reference>
        </references>
      </pivotArea>
    </format>
    <format dxfId="1026">
      <pivotArea dataOnly="0" labelOnly="1" fieldPosition="0">
        <references count="6">
          <reference field="1" count="1" selected="0">
            <x v="121"/>
          </reference>
          <reference field="5" count="1" selected="0">
            <x v="15"/>
          </reference>
          <reference field="6" count="1" selected="0">
            <x v="8"/>
          </reference>
          <reference field="7" count="1" selected="0">
            <x v="209"/>
          </reference>
          <reference field="8" count="1" selected="0">
            <x v="1059"/>
          </reference>
          <reference field="9" count="1">
            <x v="611"/>
          </reference>
        </references>
      </pivotArea>
    </format>
    <format dxfId="1025">
      <pivotArea dataOnly="0" labelOnly="1" fieldPosition="0">
        <references count="6">
          <reference field="1" count="1" selected="0">
            <x v="121"/>
          </reference>
          <reference field="5" count="1" selected="0">
            <x v="15"/>
          </reference>
          <reference field="6" count="1" selected="0">
            <x v="9"/>
          </reference>
          <reference field="7" count="1" selected="0">
            <x v="209"/>
          </reference>
          <reference field="8" count="1" selected="0">
            <x v="248"/>
          </reference>
          <reference field="9" count="1">
            <x v="611"/>
          </reference>
        </references>
      </pivotArea>
    </format>
    <format dxfId="1024">
      <pivotArea dataOnly="0" labelOnly="1" fieldPosition="0">
        <references count="6">
          <reference field="1" count="1" selected="0">
            <x v="121"/>
          </reference>
          <reference field="5" count="1" selected="0">
            <x v="15"/>
          </reference>
          <reference field="6" count="1" selected="0">
            <x v="38"/>
          </reference>
          <reference field="7" count="1" selected="0">
            <x v="209"/>
          </reference>
          <reference field="8" count="1" selected="0">
            <x v="1036"/>
          </reference>
          <reference field="9" count="1">
            <x v="611"/>
          </reference>
        </references>
      </pivotArea>
    </format>
    <format dxfId="1023">
      <pivotArea dataOnly="0" labelOnly="1" fieldPosition="0">
        <references count="6">
          <reference field="1" count="1" selected="0">
            <x v="121"/>
          </reference>
          <reference field="5" count="1" selected="0">
            <x v="17"/>
          </reference>
          <reference field="6" count="1" selected="0">
            <x v="6"/>
          </reference>
          <reference field="7" count="1" selected="0">
            <x v="209"/>
          </reference>
          <reference field="8" count="1" selected="0">
            <x v="1788"/>
          </reference>
          <reference field="9" count="1">
            <x v="611"/>
          </reference>
        </references>
      </pivotArea>
    </format>
    <format dxfId="1022">
      <pivotArea dataOnly="0" labelOnly="1" fieldPosition="0">
        <references count="6">
          <reference field="1" count="1" selected="0">
            <x v="121"/>
          </reference>
          <reference field="5" count="1" selected="0">
            <x v="17"/>
          </reference>
          <reference field="6" count="1" selected="0">
            <x v="9"/>
          </reference>
          <reference field="7" count="1" selected="0">
            <x v="209"/>
          </reference>
          <reference field="8" count="1" selected="0">
            <x v="464"/>
          </reference>
          <reference field="9" count="1">
            <x v="611"/>
          </reference>
        </references>
      </pivotArea>
    </format>
    <format dxfId="1021">
      <pivotArea dataOnly="0" labelOnly="1" fieldPosition="0">
        <references count="6">
          <reference field="1" count="1" selected="0">
            <x v="121"/>
          </reference>
          <reference field="5" count="1" selected="0">
            <x v="19"/>
          </reference>
          <reference field="6" count="1" selected="0">
            <x v="10"/>
          </reference>
          <reference field="7" count="1" selected="0">
            <x v="209"/>
          </reference>
          <reference field="8" count="1" selected="0">
            <x v="0"/>
          </reference>
          <reference field="9" count="1">
            <x v="551"/>
          </reference>
        </references>
      </pivotArea>
    </format>
    <format dxfId="1020">
      <pivotArea dataOnly="0" labelOnly="1" fieldPosition="0">
        <references count="6">
          <reference field="1" count="1" selected="0">
            <x v="121"/>
          </reference>
          <reference field="5" count="1" selected="0">
            <x v="23"/>
          </reference>
          <reference field="6" count="1" selected="0">
            <x v="7"/>
          </reference>
          <reference field="7" count="1" selected="0">
            <x v="209"/>
          </reference>
          <reference field="8" count="1" selected="0">
            <x v="1093"/>
          </reference>
          <reference field="9" count="1">
            <x v="611"/>
          </reference>
        </references>
      </pivotArea>
    </format>
    <format dxfId="1019">
      <pivotArea dataOnly="0" labelOnly="1" fieldPosition="0">
        <references count="6">
          <reference field="1" count="1" selected="0">
            <x v="121"/>
          </reference>
          <reference field="5" count="1" selected="0">
            <x v="23"/>
          </reference>
          <reference field="6" count="1" selected="0">
            <x v="9"/>
          </reference>
          <reference field="7" count="1" selected="0">
            <x v="209"/>
          </reference>
          <reference field="8" count="1" selected="0">
            <x v="1347"/>
          </reference>
          <reference field="9" count="1">
            <x v="611"/>
          </reference>
        </references>
      </pivotArea>
    </format>
    <format dxfId="1018">
      <pivotArea dataOnly="0" labelOnly="1" fieldPosition="0">
        <references count="6">
          <reference field="1" count="1" selected="0">
            <x v="121"/>
          </reference>
          <reference field="5" count="1" selected="0">
            <x v="25"/>
          </reference>
          <reference field="6" count="1" selected="0">
            <x v="9"/>
          </reference>
          <reference field="7" count="1" selected="0">
            <x v="209"/>
          </reference>
          <reference field="8" count="1" selected="0">
            <x v="1073"/>
          </reference>
          <reference field="9" count="1">
            <x v="611"/>
          </reference>
        </references>
      </pivotArea>
    </format>
    <format dxfId="1017">
      <pivotArea dataOnly="0" labelOnly="1" fieldPosition="0">
        <references count="6">
          <reference field="1" count="1" selected="0">
            <x v="121"/>
          </reference>
          <reference field="5" count="1" selected="0">
            <x v="35"/>
          </reference>
          <reference field="6" count="1" selected="0">
            <x v="1"/>
          </reference>
          <reference field="7" count="1" selected="0">
            <x v="209"/>
          </reference>
          <reference field="8" count="1" selected="0">
            <x v="80"/>
          </reference>
          <reference field="9" count="1">
            <x v="611"/>
          </reference>
        </references>
      </pivotArea>
    </format>
    <format dxfId="1016">
      <pivotArea dataOnly="0" labelOnly="1" fieldPosition="0">
        <references count="6">
          <reference field="1" count="1" selected="0">
            <x v="121"/>
          </reference>
          <reference field="5" count="1" selected="0">
            <x v="36"/>
          </reference>
          <reference field="6" count="1" selected="0">
            <x v="9"/>
          </reference>
          <reference field="7" count="1" selected="0">
            <x v="209"/>
          </reference>
          <reference field="8" count="1" selected="0">
            <x v="804"/>
          </reference>
          <reference field="9" count="1">
            <x v="611"/>
          </reference>
        </references>
      </pivotArea>
    </format>
    <format dxfId="1015">
      <pivotArea dataOnly="0" labelOnly="1" fieldPosition="0">
        <references count="6">
          <reference field="1" count="1" selected="0">
            <x v="122"/>
          </reference>
          <reference field="5" count="1" selected="0">
            <x v="0"/>
          </reference>
          <reference field="6" count="1" selected="0">
            <x v="10"/>
          </reference>
          <reference field="7" count="1" selected="0">
            <x v="210"/>
          </reference>
          <reference field="8" count="1" selected="0">
            <x v="0"/>
          </reference>
          <reference field="9" count="1">
            <x v="556"/>
          </reference>
        </references>
      </pivotArea>
    </format>
    <format dxfId="1014">
      <pivotArea dataOnly="0" labelOnly="1" fieldPosition="0">
        <references count="6">
          <reference field="1" count="1" selected="0">
            <x v="122"/>
          </reference>
          <reference field="5" count="1" selected="0">
            <x v="0"/>
          </reference>
          <reference field="6" count="1" selected="0">
            <x v="12"/>
          </reference>
          <reference field="7" count="1" selected="0">
            <x v="30"/>
          </reference>
          <reference field="8" count="1" selected="0">
            <x v="11"/>
          </reference>
          <reference field="9" count="1">
            <x v="611"/>
          </reference>
        </references>
      </pivotArea>
    </format>
    <format dxfId="1013">
      <pivotArea dataOnly="0" labelOnly="1" fieldPosition="0">
        <references count="6">
          <reference field="1" count="1" selected="0">
            <x v="122"/>
          </reference>
          <reference field="5" count="1" selected="0">
            <x v="0"/>
          </reference>
          <reference field="6" count="1" selected="0">
            <x v="12"/>
          </reference>
          <reference field="7" count="1" selected="0">
            <x v="42"/>
          </reference>
          <reference field="8" count="1" selected="0">
            <x v="69"/>
          </reference>
          <reference field="9" count="1">
            <x v="611"/>
          </reference>
        </references>
      </pivotArea>
    </format>
    <format dxfId="1012">
      <pivotArea dataOnly="0" labelOnly="1" fieldPosition="0">
        <references count="6">
          <reference field="1" count="1" selected="0">
            <x v="122"/>
          </reference>
          <reference field="5" count="1" selected="0">
            <x v="7"/>
          </reference>
          <reference field="6" count="1" selected="0">
            <x v="6"/>
          </reference>
          <reference field="7" count="1" selected="0">
            <x v="210"/>
          </reference>
          <reference field="8" count="1" selected="0">
            <x v="719"/>
          </reference>
          <reference field="9" count="1">
            <x v="611"/>
          </reference>
        </references>
      </pivotArea>
    </format>
    <format dxfId="1011">
      <pivotArea dataOnly="0" labelOnly="1" fieldPosition="0">
        <references count="6">
          <reference field="1" count="1" selected="0">
            <x v="122"/>
          </reference>
          <reference field="5" count="1" selected="0">
            <x v="8"/>
          </reference>
          <reference field="6" count="1" selected="0">
            <x v="38"/>
          </reference>
          <reference field="7" count="1" selected="0">
            <x v="210"/>
          </reference>
          <reference field="8" count="1" selected="0">
            <x v="1144"/>
          </reference>
          <reference field="9" count="1">
            <x v="611"/>
          </reference>
        </references>
      </pivotArea>
    </format>
    <format dxfId="1010">
      <pivotArea dataOnly="0" labelOnly="1" fieldPosition="0">
        <references count="6">
          <reference field="1" count="1" selected="0">
            <x v="122"/>
          </reference>
          <reference field="5" count="1" selected="0">
            <x v="12"/>
          </reference>
          <reference field="6" count="1" selected="0">
            <x v="1"/>
          </reference>
          <reference field="7" count="1" selected="0">
            <x v="210"/>
          </reference>
          <reference field="8" count="1" selected="0">
            <x v="80"/>
          </reference>
          <reference field="9" count="1">
            <x v="611"/>
          </reference>
        </references>
      </pivotArea>
    </format>
    <format dxfId="1009">
      <pivotArea dataOnly="0" labelOnly="1" fieldPosition="0">
        <references count="6">
          <reference field="1" count="1" selected="0">
            <x v="122"/>
          </reference>
          <reference field="5" count="1" selected="0">
            <x v="12"/>
          </reference>
          <reference field="6" count="1" selected="0">
            <x v="1"/>
          </reference>
          <reference field="7" count="1" selected="0">
            <x v="210"/>
          </reference>
          <reference field="8" count="1" selected="0">
            <x v="213"/>
          </reference>
          <reference field="9" count="1">
            <x v="611"/>
          </reference>
        </references>
      </pivotArea>
    </format>
    <format dxfId="1008">
      <pivotArea dataOnly="0" labelOnly="1" fieldPosition="0">
        <references count="6">
          <reference field="1" count="1" selected="0">
            <x v="122"/>
          </reference>
          <reference field="5" count="1" selected="0">
            <x v="12"/>
          </reference>
          <reference field="6" count="1" selected="0">
            <x v="1"/>
          </reference>
          <reference field="7" count="1" selected="0">
            <x v="210"/>
          </reference>
          <reference field="8" count="1" selected="0">
            <x v="702"/>
          </reference>
          <reference field="9" count="1">
            <x v="611"/>
          </reference>
        </references>
      </pivotArea>
    </format>
    <format dxfId="1007">
      <pivotArea dataOnly="0" labelOnly="1" fieldPosition="0">
        <references count="6">
          <reference field="1" count="1" selected="0">
            <x v="122"/>
          </reference>
          <reference field="5" count="1" selected="0">
            <x v="12"/>
          </reference>
          <reference field="6" count="1" selected="0">
            <x v="1"/>
          </reference>
          <reference field="7" count="1" selected="0">
            <x v="210"/>
          </reference>
          <reference field="8" count="1" selected="0">
            <x v="911"/>
          </reference>
          <reference field="9" count="1">
            <x v="611"/>
          </reference>
        </references>
      </pivotArea>
    </format>
    <format dxfId="1006">
      <pivotArea dataOnly="0" labelOnly="1" fieldPosition="0">
        <references count="6">
          <reference field="1" count="1" selected="0">
            <x v="122"/>
          </reference>
          <reference field="5" count="1" selected="0">
            <x v="12"/>
          </reference>
          <reference field="6" count="1" selected="0">
            <x v="1"/>
          </reference>
          <reference field="7" count="1" selected="0">
            <x v="210"/>
          </reference>
          <reference field="8" count="1" selected="0">
            <x v="1114"/>
          </reference>
          <reference field="9" count="1">
            <x v="611"/>
          </reference>
        </references>
      </pivotArea>
    </format>
    <format dxfId="1005">
      <pivotArea dataOnly="0" labelOnly="1" fieldPosition="0">
        <references count="6">
          <reference field="1" count="1" selected="0">
            <x v="122"/>
          </reference>
          <reference field="5" count="1" selected="0">
            <x v="17"/>
          </reference>
          <reference field="6" count="1" selected="0">
            <x v="6"/>
          </reference>
          <reference field="7" count="1" selected="0">
            <x v="210"/>
          </reference>
          <reference field="8" count="1" selected="0">
            <x v="1627"/>
          </reference>
          <reference field="9" count="1">
            <x v="611"/>
          </reference>
        </references>
      </pivotArea>
    </format>
    <format dxfId="1004">
      <pivotArea dataOnly="0" labelOnly="1" fieldPosition="0">
        <references count="6">
          <reference field="1" count="1" selected="0">
            <x v="122"/>
          </reference>
          <reference field="5" count="1" selected="0">
            <x v="18"/>
          </reference>
          <reference field="6" count="1" selected="0">
            <x v="38"/>
          </reference>
          <reference field="7" count="1" selected="0">
            <x v="210"/>
          </reference>
          <reference field="8" count="1" selected="0">
            <x v="1337"/>
          </reference>
          <reference field="9" count="1">
            <x v="611"/>
          </reference>
        </references>
      </pivotArea>
    </format>
    <format dxfId="1003">
      <pivotArea dataOnly="0" labelOnly="1" fieldPosition="0">
        <references count="6">
          <reference field="1" count="1" selected="0">
            <x v="122"/>
          </reference>
          <reference field="5" count="1" selected="0">
            <x v="19"/>
          </reference>
          <reference field="6" count="1" selected="0">
            <x v="6"/>
          </reference>
          <reference field="7" count="1" selected="0">
            <x v="210"/>
          </reference>
          <reference field="8" count="1" selected="0">
            <x v="1288"/>
          </reference>
          <reference field="9" count="1">
            <x v="611"/>
          </reference>
        </references>
      </pivotArea>
    </format>
    <format dxfId="1002">
      <pivotArea dataOnly="0" labelOnly="1" fieldPosition="0">
        <references count="6">
          <reference field="1" count="1" selected="0">
            <x v="122"/>
          </reference>
          <reference field="5" count="1" selected="0">
            <x v="23"/>
          </reference>
          <reference field="6" count="1" selected="0">
            <x v="38"/>
          </reference>
          <reference field="7" count="1" selected="0">
            <x v="210"/>
          </reference>
          <reference field="8" count="1" selected="0">
            <x v="38"/>
          </reference>
          <reference field="9" count="1">
            <x v="611"/>
          </reference>
        </references>
      </pivotArea>
    </format>
    <format dxfId="1001">
      <pivotArea dataOnly="0" labelOnly="1" fieldPosition="0">
        <references count="6">
          <reference field="1" count="1" selected="0">
            <x v="122"/>
          </reference>
          <reference field="5" count="1" selected="0">
            <x v="32"/>
          </reference>
          <reference field="6" count="1" selected="0">
            <x v="6"/>
          </reference>
          <reference field="7" count="1" selected="0">
            <x v="210"/>
          </reference>
          <reference field="8" count="1" selected="0">
            <x v="1875"/>
          </reference>
          <reference field="9" count="1">
            <x v="611"/>
          </reference>
        </references>
      </pivotArea>
    </format>
    <format dxfId="1000">
      <pivotArea dataOnly="0" labelOnly="1" fieldPosition="0">
        <references count="6">
          <reference field="1" count="1" selected="0">
            <x v="123"/>
          </reference>
          <reference field="5" count="1" selected="0">
            <x v="5"/>
          </reference>
          <reference field="6" count="1" selected="0">
            <x v="37"/>
          </reference>
          <reference field="7" count="1" selected="0">
            <x v="211"/>
          </reference>
          <reference field="8" count="1" selected="0">
            <x v="1824"/>
          </reference>
          <reference field="9" count="1">
            <x v="611"/>
          </reference>
        </references>
      </pivotArea>
    </format>
    <format dxfId="999">
      <pivotArea dataOnly="0" labelOnly="1" fieldPosition="0">
        <references count="6">
          <reference field="1" count="1" selected="0">
            <x v="123"/>
          </reference>
          <reference field="5" count="1" selected="0">
            <x v="6"/>
          </reference>
          <reference field="6" count="1" selected="0">
            <x v="38"/>
          </reference>
          <reference field="7" count="1" selected="0">
            <x v="211"/>
          </reference>
          <reference field="8" count="1" selected="0">
            <x v="982"/>
          </reference>
          <reference field="9" count="1">
            <x v="611"/>
          </reference>
        </references>
      </pivotArea>
    </format>
    <format dxfId="998">
      <pivotArea dataOnly="0" labelOnly="1" fieldPosition="0">
        <references count="6">
          <reference field="1" count="1" selected="0">
            <x v="123"/>
          </reference>
          <reference field="5" count="1" selected="0">
            <x v="12"/>
          </reference>
          <reference field="6" count="1" selected="0">
            <x v="1"/>
          </reference>
          <reference field="7" count="1" selected="0">
            <x v="211"/>
          </reference>
          <reference field="8" count="1" selected="0">
            <x v="80"/>
          </reference>
          <reference field="9" count="1">
            <x v="611"/>
          </reference>
        </references>
      </pivotArea>
    </format>
    <format dxfId="997">
      <pivotArea dataOnly="0" labelOnly="1" fieldPosition="0">
        <references count="6">
          <reference field="1" count="1" selected="0">
            <x v="123"/>
          </reference>
          <reference field="5" count="1" selected="0">
            <x v="12"/>
          </reference>
          <reference field="6" count="1" selected="0">
            <x v="1"/>
          </reference>
          <reference field="7" count="1" selected="0">
            <x v="211"/>
          </reference>
          <reference field="8" count="1" selected="0">
            <x v="352"/>
          </reference>
          <reference field="9" count="1">
            <x v="611"/>
          </reference>
        </references>
      </pivotArea>
    </format>
    <format dxfId="996">
      <pivotArea dataOnly="0" labelOnly="1" fieldPosition="0">
        <references count="6">
          <reference field="1" count="1" selected="0">
            <x v="123"/>
          </reference>
          <reference field="5" count="1" selected="0">
            <x v="14"/>
          </reference>
          <reference field="6" count="1" selected="0">
            <x v="1"/>
          </reference>
          <reference field="7" count="1" selected="0">
            <x v="211"/>
          </reference>
          <reference field="8" count="1" selected="0">
            <x v="605"/>
          </reference>
          <reference field="9" count="1">
            <x v="611"/>
          </reference>
        </references>
      </pivotArea>
    </format>
    <format dxfId="995">
      <pivotArea dataOnly="0" labelOnly="1" fieldPosition="0">
        <references count="6">
          <reference field="1" count="1" selected="0">
            <x v="123"/>
          </reference>
          <reference field="5" count="1" selected="0">
            <x v="14"/>
          </reference>
          <reference field="6" count="1" selected="0">
            <x v="9"/>
          </reference>
          <reference field="7" count="1" selected="0">
            <x v="211"/>
          </reference>
          <reference field="8" count="1" selected="0">
            <x v="0"/>
          </reference>
          <reference field="9" count="1">
            <x v="78"/>
          </reference>
        </references>
      </pivotArea>
    </format>
    <format dxfId="994">
      <pivotArea dataOnly="0" labelOnly="1" fieldPosition="0">
        <references count="6">
          <reference field="1" count="1" selected="0">
            <x v="123"/>
          </reference>
          <reference field="5" count="1" selected="0">
            <x v="15"/>
          </reference>
          <reference field="6" count="1" selected="0">
            <x v="10"/>
          </reference>
          <reference field="7" count="1" selected="0">
            <x v="211"/>
          </reference>
          <reference field="8" count="1" selected="0">
            <x v="31"/>
          </reference>
          <reference field="9" count="1">
            <x v="611"/>
          </reference>
        </references>
      </pivotArea>
    </format>
    <format dxfId="993">
      <pivotArea dataOnly="0" labelOnly="1" fieldPosition="0">
        <references count="6">
          <reference field="1" count="1" selected="0">
            <x v="123"/>
          </reference>
          <reference field="5" count="1" selected="0">
            <x v="27"/>
          </reference>
          <reference field="6" count="1" selected="0">
            <x v="6"/>
          </reference>
          <reference field="7" count="1" selected="0">
            <x v="211"/>
          </reference>
          <reference field="8" count="1" selected="0">
            <x v="1532"/>
          </reference>
          <reference field="9" count="1">
            <x v="611"/>
          </reference>
        </references>
      </pivotArea>
    </format>
    <format dxfId="992">
      <pivotArea dataOnly="0" labelOnly="1" fieldPosition="0">
        <references count="6">
          <reference field="1" count="1" selected="0">
            <x v="123"/>
          </reference>
          <reference field="5" count="1" selected="0">
            <x v="29"/>
          </reference>
          <reference field="6" count="1" selected="0">
            <x v="10"/>
          </reference>
          <reference field="7" count="1" selected="0">
            <x v="211"/>
          </reference>
          <reference field="8" count="1" selected="0">
            <x v="1839"/>
          </reference>
          <reference field="9" count="1">
            <x v="611"/>
          </reference>
        </references>
      </pivotArea>
    </format>
    <format dxfId="991">
      <pivotArea dataOnly="0" labelOnly="1" fieldPosition="0">
        <references count="6">
          <reference field="1" count="1" selected="0">
            <x v="123"/>
          </reference>
          <reference field="5" count="1" selected="0">
            <x v="35"/>
          </reference>
          <reference field="6" count="1" selected="0">
            <x v="1"/>
          </reference>
          <reference field="7" count="1" selected="0">
            <x v="211"/>
          </reference>
          <reference field="8" count="1" selected="0">
            <x v="80"/>
          </reference>
          <reference field="9" count="1">
            <x v="611"/>
          </reference>
        </references>
      </pivotArea>
    </format>
    <format dxfId="990">
      <pivotArea dataOnly="0" labelOnly="1" fieldPosition="0">
        <references count="6">
          <reference field="1" count="1" selected="0">
            <x v="123"/>
          </reference>
          <reference field="5" count="1" selected="0">
            <x v="37"/>
          </reference>
          <reference field="6" count="1" selected="0">
            <x v="10"/>
          </reference>
          <reference field="7" count="1" selected="0">
            <x v="211"/>
          </reference>
          <reference field="8" count="1" selected="0">
            <x v="1321"/>
          </reference>
          <reference field="9" count="1">
            <x v="611"/>
          </reference>
        </references>
      </pivotArea>
    </format>
    <format dxfId="989">
      <pivotArea dataOnly="0" labelOnly="1" fieldPosition="0">
        <references count="6">
          <reference field="1" count="1" selected="0">
            <x v="124"/>
          </reference>
          <reference field="5" count="1" selected="0">
            <x v="0"/>
          </reference>
          <reference field="6" count="1" selected="0">
            <x v="12"/>
          </reference>
          <reference field="7" count="1" selected="0">
            <x v="38"/>
          </reference>
          <reference field="8" count="1" selected="0">
            <x v="11"/>
          </reference>
          <reference field="9" count="1">
            <x v="611"/>
          </reference>
        </references>
      </pivotArea>
    </format>
    <format dxfId="988">
      <pivotArea dataOnly="0" labelOnly="1" fieldPosition="0">
        <references count="6">
          <reference field="1" count="1" selected="0">
            <x v="124"/>
          </reference>
          <reference field="5" count="1" selected="0">
            <x v="0"/>
          </reference>
          <reference field="6" count="1" selected="0">
            <x v="12"/>
          </reference>
          <reference field="7" count="1" selected="0">
            <x v="64"/>
          </reference>
          <reference field="8" count="1" selected="0">
            <x v="53"/>
          </reference>
          <reference field="9" count="1">
            <x v="611"/>
          </reference>
        </references>
      </pivotArea>
    </format>
    <format dxfId="987">
      <pivotArea dataOnly="0" labelOnly="1" fieldPosition="0">
        <references count="6">
          <reference field="1" count="1" selected="0">
            <x v="124"/>
          </reference>
          <reference field="5" count="1" selected="0">
            <x v="0"/>
          </reference>
          <reference field="6" count="1" selected="0">
            <x v="38"/>
          </reference>
          <reference field="7" count="1" selected="0">
            <x v="212"/>
          </reference>
          <reference field="8" count="1" selected="0">
            <x v="138"/>
          </reference>
          <reference field="9" count="1">
            <x v="611"/>
          </reference>
        </references>
      </pivotArea>
    </format>
    <format dxfId="986">
      <pivotArea dataOnly="0" labelOnly="1" fieldPosition="0">
        <references count="6">
          <reference field="1" count="1" selected="0">
            <x v="124"/>
          </reference>
          <reference field="5" count="1" selected="0">
            <x v="2"/>
          </reference>
          <reference field="6" count="1" selected="0">
            <x v="6"/>
          </reference>
          <reference field="7" count="1" selected="0">
            <x v="212"/>
          </reference>
          <reference field="8" count="1" selected="0">
            <x v="1339"/>
          </reference>
          <reference field="9" count="1">
            <x v="611"/>
          </reference>
        </references>
      </pivotArea>
    </format>
    <format dxfId="985">
      <pivotArea dataOnly="0" labelOnly="1" fieldPosition="0">
        <references count="6">
          <reference field="1" count="1" selected="0">
            <x v="124"/>
          </reference>
          <reference field="5" count="1" selected="0">
            <x v="6"/>
          </reference>
          <reference field="6" count="1" selected="0">
            <x v="38"/>
          </reference>
          <reference field="7" count="1" selected="0">
            <x v="212"/>
          </reference>
          <reference field="8" count="1" selected="0">
            <x v="561"/>
          </reference>
          <reference field="9" count="1">
            <x v="611"/>
          </reference>
        </references>
      </pivotArea>
    </format>
    <format dxfId="984">
      <pivotArea dataOnly="0" labelOnly="1" fieldPosition="0">
        <references count="6">
          <reference field="1" count="1" selected="0">
            <x v="124"/>
          </reference>
          <reference field="5" count="1" selected="0">
            <x v="12"/>
          </reference>
          <reference field="6" count="1" selected="0">
            <x v="1"/>
          </reference>
          <reference field="7" count="1" selected="0">
            <x v="212"/>
          </reference>
          <reference field="8" count="1" selected="0">
            <x v="80"/>
          </reference>
          <reference field="9" count="1">
            <x v="611"/>
          </reference>
        </references>
      </pivotArea>
    </format>
    <format dxfId="983">
      <pivotArea dataOnly="0" labelOnly="1" fieldPosition="0">
        <references count="6">
          <reference field="1" count="1" selected="0">
            <x v="124"/>
          </reference>
          <reference field="5" count="1" selected="0">
            <x v="12"/>
          </reference>
          <reference field="6" count="1" selected="0">
            <x v="1"/>
          </reference>
          <reference field="7" count="1" selected="0">
            <x v="212"/>
          </reference>
          <reference field="8" count="1" selected="0">
            <x v="213"/>
          </reference>
          <reference field="9" count="1">
            <x v="611"/>
          </reference>
        </references>
      </pivotArea>
    </format>
    <format dxfId="982">
      <pivotArea dataOnly="0" labelOnly="1" fieldPosition="0">
        <references count="6">
          <reference field="1" count="1" selected="0">
            <x v="124"/>
          </reference>
          <reference field="5" count="1" selected="0">
            <x v="12"/>
          </reference>
          <reference field="6" count="1" selected="0">
            <x v="1"/>
          </reference>
          <reference field="7" count="1" selected="0">
            <x v="212"/>
          </reference>
          <reference field="8" count="1" selected="0">
            <x v="500"/>
          </reference>
          <reference field="9" count="1">
            <x v="611"/>
          </reference>
        </references>
      </pivotArea>
    </format>
    <format dxfId="981">
      <pivotArea dataOnly="0" labelOnly="1" fieldPosition="0">
        <references count="6">
          <reference field="1" count="1" selected="0">
            <x v="124"/>
          </reference>
          <reference field="5" count="1" selected="0">
            <x v="12"/>
          </reference>
          <reference field="6" count="1" selected="0">
            <x v="3"/>
          </reference>
          <reference field="7" count="1" selected="0">
            <x v="0"/>
          </reference>
          <reference field="8" count="1" selected="0">
            <x v="80"/>
          </reference>
          <reference field="9" count="1">
            <x v="611"/>
          </reference>
        </references>
      </pivotArea>
    </format>
    <format dxfId="980">
      <pivotArea dataOnly="0" labelOnly="1" fieldPosition="0">
        <references count="6">
          <reference field="1" count="1" selected="0">
            <x v="124"/>
          </reference>
          <reference field="5" count="1" selected="0">
            <x v="12"/>
          </reference>
          <reference field="6" count="1" selected="0">
            <x v="4"/>
          </reference>
          <reference field="7" count="1" selected="0">
            <x v="0"/>
          </reference>
          <reference field="8" count="1" selected="0">
            <x v="352"/>
          </reference>
          <reference field="9" count="1">
            <x v="611"/>
          </reference>
        </references>
      </pivotArea>
    </format>
    <format dxfId="979">
      <pivotArea dataOnly="0" labelOnly="1" fieldPosition="0">
        <references count="6">
          <reference field="1" count="1" selected="0">
            <x v="124"/>
          </reference>
          <reference field="5" count="1" selected="0">
            <x v="12"/>
          </reference>
          <reference field="6" count="1" selected="0">
            <x v="4"/>
          </reference>
          <reference field="7" count="1" selected="0">
            <x v="0"/>
          </reference>
          <reference field="8" count="1" selected="0">
            <x v="500"/>
          </reference>
          <reference field="9" count="1">
            <x v="611"/>
          </reference>
        </references>
      </pivotArea>
    </format>
    <format dxfId="978">
      <pivotArea dataOnly="0" labelOnly="1" fieldPosition="0">
        <references count="6">
          <reference field="1" count="1" selected="0">
            <x v="124"/>
          </reference>
          <reference field="5" count="1" selected="0">
            <x v="12"/>
          </reference>
          <reference field="6" count="1" selected="0">
            <x v="4"/>
          </reference>
          <reference field="7" count="1" selected="0">
            <x v="0"/>
          </reference>
          <reference field="8" count="1" selected="0">
            <x v="964"/>
          </reference>
          <reference field="9" count="1">
            <x v="611"/>
          </reference>
        </references>
      </pivotArea>
    </format>
    <format dxfId="977">
      <pivotArea dataOnly="0" labelOnly="1" fieldPosition="0">
        <references count="6">
          <reference field="1" count="1" selected="0">
            <x v="124"/>
          </reference>
          <reference field="5" count="1" selected="0">
            <x v="21"/>
          </reference>
          <reference field="6" count="1" selected="0">
            <x v="38"/>
          </reference>
          <reference field="7" count="1" selected="0">
            <x v="212"/>
          </reference>
          <reference field="8" count="1" selected="0">
            <x v="1274"/>
          </reference>
          <reference field="9" count="1">
            <x v="611"/>
          </reference>
        </references>
      </pivotArea>
    </format>
    <format dxfId="976">
      <pivotArea dataOnly="0" labelOnly="1" fieldPosition="0">
        <references count="6">
          <reference field="1" count="1" selected="0">
            <x v="124"/>
          </reference>
          <reference field="5" count="1" selected="0">
            <x v="23"/>
          </reference>
          <reference field="6" count="1" selected="0">
            <x v="38"/>
          </reference>
          <reference field="7" count="1" selected="0">
            <x v="212"/>
          </reference>
          <reference field="8" count="1" selected="0">
            <x v="1854"/>
          </reference>
          <reference field="9" count="1">
            <x v="611"/>
          </reference>
        </references>
      </pivotArea>
    </format>
    <format dxfId="975">
      <pivotArea dataOnly="0" labelOnly="1" fieldPosition="0">
        <references count="6">
          <reference field="1" count="1" selected="0">
            <x v="124"/>
          </reference>
          <reference field="5" count="1" selected="0">
            <x v="35"/>
          </reference>
          <reference field="6" count="1" selected="0">
            <x v="1"/>
          </reference>
          <reference field="7" count="1" selected="0">
            <x v="212"/>
          </reference>
          <reference field="8" count="1" selected="0">
            <x v="80"/>
          </reference>
          <reference field="9" count="1">
            <x v="611"/>
          </reference>
        </references>
      </pivotArea>
    </format>
    <format dxfId="974">
      <pivotArea dataOnly="0" labelOnly="1" fieldPosition="0">
        <references count="6">
          <reference field="1" count="1" selected="0">
            <x v="124"/>
          </reference>
          <reference field="5" count="1" selected="0">
            <x v="36"/>
          </reference>
          <reference field="6" count="1" selected="0">
            <x v="38"/>
          </reference>
          <reference field="7" count="1" selected="0">
            <x v="212"/>
          </reference>
          <reference field="8" count="1" selected="0">
            <x v="153"/>
          </reference>
          <reference field="9" count="1">
            <x v="611"/>
          </reference>
        </references>
      </pivotArea>
    </format>
    <format dxfId="973">
      <pivotArea dataOnly="0" labelOnly="1" fieldPosition="0">
        <references count="6">
          <reference field="1" count="1" selected="0">
            <x v="125"/>
          </reference>
          <reference field="5" count="1" selected="0">
            <x v="0"/>
          </reference>
          <reference field="6" count="1" selected="0">
            <x v="12"/>
          </reference>
          <reference field="7" count="1" selected="0">
            <x v="26"/>
          </reference>
          <reference field="8" count="1" selected="0">
            <x v="25"/>
          </reference>
          <reference field="9" count="1">
            <x v="611"/>
          </reference>
        </references>
      </pivotArea>
    </format>
    <format dxfId="972">
      <pivotArea dataOnly="0" labelOnly="1" fieldPosition="0">
        <references count="6">
          <reference field="1" count="1" selected="0">
            <x v="125"/>
          </reference>
          <reference field="5" count="1" selected="0">
            <x v="0"/>
          </reference>
          <reference field="6" count="1" selected="0">
            <x v="12"/>
          </reference>
          <reference field="7" count="1" selected="0">
            <x v="57"/>
          </reference>
          <reference field="8" count="1" selected="0">
            <x v="6"/>
          </reference>
          <reference field="9" count="1">
            <x v="611"/>
          </reference>
        </references>
      </pivotArea>
    </format>
    <format dxfId="971">
      <pivotArea dataOnly="0" labelOnly="1" fieldPosition="0">
        <references count="6">
          <reference field="1" count="1" selected="0">
            <x v="125"/>
          </reference>
          <reference field="5" count="1" selected="0">
            <x v="5"/>
          </reference>
          <reference field="6" count="1" selected="0">
            <x v="10"/>
          </reference>
          <reference field="7" count="1" selected="0">
            <x v="213"/>
          </reference>
          <reference field="8" count="1" selected="0">
            <x v="1332"/>
          </reference>
          <reference field="9" count="1">
            <x v="611"/>
          </reference>
        </references>
      </pivotArea>
    </format>
    <format dxfId="970">
      <pivotArea dataOnly="0" labelOnly="1" fieldPosition="0">
        <references count="6">
          <reference field="1" count="1" selected="0">
            <x v="125"/>
          </reference>
          <reference field="5" count="1" selected="0">
            <x v="12"/>
          </reference>
          <reference field="6" count="1" selected="0">
            <x v="1"/>
          </reference>
          <reference field="7" count="1" selected="0">
            <x v="213"/>
          </reference>
          <reference field="8" count="1" selected="0">
            <x v="80"/>
          </reference>
          <reference field="9" count="1">
            <x v="611"/>
          </reference>
        </references>
      </pivotArea>
    </format>
    <format dxfId="969">
      <pivotArea dataOnly="0" labelOnly="1" fieldPosition="0">
        <references count="6">
          <reference field="1" count="1" selected="0">
            <x v="125"/>
          </reference>
          <reference field="5" count="1" selected="0">
            <x v="12"/>
          </reference>
          <reference field="6" count="1" selected="0">
            <x v="1"/>
          </reference>
          <reference field="7" count="1" selected="0">
            <x v="213"/>
          </reference>
          <reference field="8" count="1" selected="0">
            <x v="213"/>
          </reference>
          <reference field="9" count="1">
            <x v="611"/>
          </reference>
        </references>
      </pivotArea>
    </format>
    <format dxfId="968">
      <pivotArea dataOnly="0" labelOnly="1" fieldPosition="0">
        <references count="6">
          <reference field="1" count="1" selected="0">
            <x v="125"/>
          </reference>
          <reference field="5" count="1" selected="0">
            <x v="12"/>
          </reference>
          <reference field="6" count="1" selected="0">
            <x v="1"/>
          </reference>
          <reference field="7" count="1" selected="0">
            <x v="213"/>
          </reference>
          <reference field="8" count="1" selected="0">
            <x v="500"/>
          </reference>
          <reference field="9" count="1">
            <x v="611"/>
          </reference>
        </references>
      </pivotArea>
    </format>
    <format dxfId="967">
      <pivotArea dataOnly="0" labelOnly="1" fieldPosition="0">
        <references count="6">
          <reference field="1" count="1" selected="0">
            <x v="125"/>
          </reference>
          <reference field="5" count="1" selected="0">
            <x v="12"/>
          </reference>
          <reference field="6" count="1" selected="0">
            <x v="1"/>
          </reference>
          <reference field="7" count="1" selected="0">
            <x v="213"/>
          </reference>
          <reference field="8" count="1" selected="0">
            <x v="702"/>
          </reference>
          <reference field="9" count="1">
            <x v="611"/>
          </reference>
        </references>
      </pivotArea>
    </format>
    <format dxfId="966">
      <pivotArea dataOnly="0" labelOnly="1" fieldPosition="0">
        <references count="6">
          <reference field="1" count="1" selected="0">
            <x v="125"/>
          </reference>
          <reference field="5" count="1" selected="0">
            <x v="14"/>
          </reference>
          <reference field="6" count="1" selected="0">
            <x v="38"/>
          </reference>
          <reference field="7" count="1" selected="0">
            <x v="213"/>
          </reference>
          <reference field="8" count="1" selected="0">
            <x v="1429"/>
          </reference>
          <reference field="9" count="1">
            <x v="611"/>
          </reference>
        </references>
      </pivotArea>
    </format>
    <format dxfId="965">
      <pivotArea dataOnly="0" labelOnly="1" fieldPosition="0">
        <references count="6">
          <reference field="1" count="1" selected="0">
            <x v="125"/>
          </reference>
          <reference field="5" count="1" selected="0">
            <x v="21"/>
          </reference>
          <reference field="6" count="1" selected="0">
            <x v="38"/>
          </reference>
          <reference field="7" count="1" selected="0">
            <x v="213"/>
          </reference>
          <reference field="8" count="1" selected="0">
            <x v="755"/>
          </reference>
          <reference field="9" count="1">
            <x v="611"/>
          </reference>
        </references>
      </pivotArea>
    </format>
    <format dxfId="964">
      <pivotArea dataOnly="0" labelOnly="1" fieldPosition="0">
        <references count="6">
          <reference field="1" count="1" selected="0">
            <x v="125"/>
          </reference>
          <reference field="5" count="1" selected="0">
            <x v="23"/>
          </reference>
          <reference field="6" count="1" selected="0">
            <x v="38"/>
          </reference>
          <reference field="7" count="1" selected="0">
            <x v="213"/>
          </reference>
          <reference field="8" count="1" selected="0">
            <x v="87"/>
          </reference>
          <reference field="9" count="1">
            <x v="611"/>
          </reference>
        </references>
      </pivotArea>
    </format>
    <format dxfId="963">
      <pivotArea dataOnly="0" labelOnly="1" fieldPosition="0">
        <references count="6">
          <reference field="1" count="1" selected="0">
            <x v="125"/>
          </reference>
          <reference field="5" count="1" selected="0">
            <x v="24"/>
          </reference>
          <reference field="6" count="1" selected="0">
            <x v="38"/>
          </reference>
          <reference field="7" count="1" selected="0">
            <x v="213"/>
          </reference>
          <reference field="8" count="1" selected="0">
            <x v="94"/>
          </reference>
          <reference field="9" count="1">
            <x v="611"/>
          </reference>
        </references>
      </pivotArea>
    </format>
    <format dxfId="962">
      <pivotArea dataOnly="0" labelOnly="1" fieldPosition="0">
        <references count="6">
          <reference field="1" count="1" selected="0">
            <x v="125"/>
          </reference>
          <reference field="5" count="1" selected="0">
            <x v="26"/>
          </reference>
          <reference field="6" count="1" selected="0">
            <x v="38"/>
          </reference>
          <reference field="7" count="1" selected="0">
            <x v="213"/>
          </reference>
          <reference field="8" count="1" selected="0">
            <x v="352"/>
          </reference>
          <reference field="9" count="1">
            <x v="611"/>
          </reference>
        </references>
      </pivotArea>
    </format>
    <format dxfId="961">
      <pivotArea dataOnly="0" labelOnly="1" fieldPosition="0">
        <references count="6">
          <reference field="1" count="1" selected="0">
            <x v="125"/>
          </reference>
          <reference field="5" count="1" selected="0">
            <x v="29"/>
          </reference>
          <reference field="6" count="1" selected="0">
            <x v="10"/>
          </reference>
          <reference field="7" count="1" selected="0">
            <x v="213"/>
          </reference>
          <reference field="8" count="1" selected="0">
            <x v="1601"/>
          </reference>
          <reference field="9" count="1">
            <x v="611"/>
          </reference>
        </references>
      </pivotArea>
    </format>
    <format dxfId="960">
      <pivotArea dataOnly="0" labelOnly="1" fieldPosition="0">
        <references count="6">
          <reference field="1" count="1" selected="0">
            <x v="125"/>
          </reference>
          <reference field="5" count="1" selected="0">
            <x v="35"/>
          </reference>
          <reference field="6" count="1" selected="0">
            <x v="1"/>
          </reference>
          <reference field="7" count="1" selected="0">
            <x v="213"/>
          </reference>
          <reference field="8" count="1" selected="0">
            <x v="80"/>
          </reference>
          <reference field="9" count="1">
            <x v="611"/>
          </reference>
        </references>
      </pivotArea>
    </format>
    <format dxfId="959">
      <pivotArea dataOnly="0" labelOnly="1" fieldPosition="0">
        <references count="6">
          <reference field="1" count="1" selected="0">
            <x v="126"/>
          </reference>
          <reference field="5" count="1" selected="0">
            <x v="0"/>
          </reference>
          <reference field="6" count="1" selected="0">
            <x v="12"/>
          </reference>
          <reference field="7" count="1" selected="0">
            <x v="38"/>
          </reference>
          <reference field="8" count="1" selected="0">
            <x v="18"/>
          </reference>
          <reference field="9" count="1">
            <x v="611"/>
          </reference>
        </references>
      </pivotArea>
    </format>
    <format dxfId="958">
      <pivotArea dataOnly="0" labelOnly="1" fieldPosition="0">
        <references count="6">
          <reference field="1" count="1" selected="0">
            <x v="126"/>
          </reference>
          <reference field="5" count="1" selected="0">
            <x v="12"/>
          </reference>
          <reference field="6" count="1" selected="0">
            <x v="1"/>
          </reference>
          <reference field="7" count="1" selected="0">
            <x v="214"/>
          </reference>
          <reference field="8" count="1" selected="0">
            <x v="80"/>
          </reference>
          <reference field="9" count="1">
            <x v="611"/>
          </reference>
        </references>
      </pivotArea>
    </format>
    <format dxfId="957">
      <pivotArea dataOnly="0" labelOnly="1" fieldPosition="0">
        <references count="6">
          <reference field="1" count="1" selected="0">
            <x v="126"/>
          </reference>
          <reference field="5" count="1" selected="0">
            <x v="12"/>
          </reference>
          <reference field="6" count="1" selected="0">
            <x v="1"/>
          </reference>
          <reference field="7" count="1" selected="0">
            <x v="214"/>
          </reference>
          <reference field="8" count="1" selected="0">
            <x v="213"/>
          </reference>
          <reference field="9" count="1">
            <x v="611"/>
          </reference>
        </references>
      </pivotArea>
    </format>
    <format dxfId="956">
      <pivotArea dataOnly="0" labelOnly="1" fieldPosition="0">
        <references count="6">
          <reference field="1" count="1" selected="0">
            <x v="126"/>
          </reference>
          <reference field="5" count="1" selected="0">
            <x v="12"/>
          </reference>
          <reference field="6" count="1" selected="0">
            <x v="1"/>
          </reference>
          <reference field="7" count="1" selected="0">
            <x v="214"/>
          </reference>
          <reference field="8" count="1" selected="0">
            <x v="607"/>
          </reference>
          <reference field="9" count="1">
            <x v="611"/>
          </reference>
        </references>
      </pivotArea>
    </format>
    <format dxfId="955">
      <pivotArea dataOnly="0" labelOnly="1" fieldPosition="0">
        <references count="6">
          <reference field="1" count="1" selected="0">
            <x v="126"/>
          </reference>
          <reference field="5" count="1" selected="0">
            <x v="12"/>
          </reference>
          <reference field="6" count="1" selected="0">
            <x v="8"/>
          </reference>
          <reference field="7" count="1" selected="0">
            <x v="214"/>
          </reference>
          <reference field="8" count="1" selected="0">
            <x v="80"/>
          </reference>
          <reference field="9" count="1">
            <x v="611"/>
          </reference>
        </references>
      </pivotArea>
    </format>
    <format dxfId="954">
      <pivotArea dataOnly="0" labelOnly="1" fieldPosition="0">
        <references count="6">
          <reference field="1" count="1" selected="0">
            <x v="126"/>
          </reference>
          <reference field="5" count="1" selected="0">
            <x v="12"/>
          </reference>
          <reference field="6" count="1" selected="0">
            <x v="8"/>
          </reference>
          <reference field="7" count="1" selected="0">
            <x v="214"/>
          </reference>
          <reference field="8" count="1" selected="0">
            <x v="352"/>
          </reference>
          <reference field="9" count="1">
            <x v="611"/>
          </reference>
        </references>
      </pivotArea>
    </format>
    <format dxfId="953">
      <pivotArea dataOnly="0" labelOnly="1" fieldPosition="0">
        <references count="6">
          <reference field="1" count="1" selected="0">
            <x v="126"/>
          </reference>
          <reference field="5" count="1" selected="0">
            <x v="12"/>
          </reference>
          <reference field="6" count="1" selected="0">
            <x v="8"/>
          </reference>
          <reference field="7" count="1" selected="0">
            <x v="214"/>
          </reference>
          <reference field="8" count="1" selected="0">
            <x v="500"/>
          </reference>
          <reference field="9" count="1">
            <x v="611"/>
          </reference>
        </references>
      </pivotArea>
    </format>
    <format dxfId="952">
      <pivotArea dataOnly="0" labelOnly="1" fieldPosition="0">
        <references count="6">
          <reference field="1" count="1" selected="0">
            <x v="126"/>
          </reference>
          <reference field="5" count="1" selected="0">
            <x v="12"/>
          </reference>
          <reference field="6" count="1" selected="0">
            <x v="8"/>
          </reference>
          <reference field="7" count="1" selected="0">
            <x v="214"/>
          </reference>
          <reference field="8" count="1" selected="0">
            <x v="964"/>
          </reference>
          <reference field="9" count="1">
            <x v="611"/>
          </reference>
        </references>
      </pivotArea>
    </format>
    <format dxfId="951">
      <pivotArea dataOnly="0" labelOnly="1" fieldPosition="0">
        <references count="6">
          <reference field="1" count="1" selected="0">
            <x v="126"/>
          </reference>
          <reference field="5" count="1" selected="0">
            <x v="15"/>
          </reference>
          <reference field="6" count="1" selected="0">
            <x v="38"/>
          </reference>
          <reference field="7" count="1" selected="0">
            <x v="214"/>
          </reference>
          <reference field="8" count="1" selected="0">
            <x v="809"/>
          </reference>
          <reference field="9" count="1">
            <x v="611"/>
          </reference>
        </references>
      </pivotArea>
    </format>
    <format dxfId="950">
      <pivotArea dataOnly="0" labelOnly="1" fieldPosition="0">
        <references count="6">
          <reference field="1" count="1" selected="0">
            <x v="126"/>
          </reference>
          <reference field="5" count="1" selected="0">
            <x v="26"/>
          </reference>
          <reference field="6" count="1" selected="0">
            <x v="38"/>
          </reference>
          <reference field="7" count="1" selected="0">
            <x v="214"/>
          </reference>
          <reference field="8" count="1" selected="0">
            <x v="278"/>
          </reference>
          <reference field="9" count="1">
            <x v="611"/>
          </reference>
        </references>
      </pivotArea>
    </format>
    <format dxfId="949">
      <pivotArea dataOnly="0" labelOnly="1" fieldPosition="0">
        <references count="6">
          <reference field="1" count="1" selected="0">
            <x v="126"/>
          </reference>
          <reference field="5" count="1" selected="0">
            <x v="29"/>
          </reference>
          <reference field="6" count="1" selected="0">
            <x v="38"/>
          </reference>
          <reference field="7" count="1" selected="0">
            <x v="214"/>
          </reference>
          <reference field="8" count="1" selected="0">
            <x v="1170"/>
          </reference>
          <reference field="9" count="1">
            <x v="611"/>
          </reference>
        </references>
      </pivotArea>
    </format>
    <format dxfId="948">
      <pivotArea dataOnly="0" labelOnly="1" fieldPosition="0">
        <references count="6">
          <reference field="1" count="1" selected="0">
            <x v="126"/>
          </reference>
          <reference field="5" count="1" selected="0">
            <x v="35"/>
          </reference>
          <reference field="6" count="1" selected="0">
            <x v="1"/>
          </reference>
          <reference field="7" count="1" selected="0">
            <x v="214"/>
          </reference>
          <reference field="8" count="1" selected="0">
            <x v="80"/>
          </reference>
          <reference field="9" count="1">
            <x v="611"/>
          </reference>
        </references>
      </pivotArea>
    </format>
    <format dxfId="947">
      <pivotArea dataOnly="0" labelOnly="1" fieldPosition="0">
        <references count="6">
          <reference field="1" count="1" selected="0">
            <x v="126"/>
          </reference>
          <reference field="5" count="1" selected="0">
            <x v="35"/>
          </reference>
          <reference field="6" count="1" selected="0">
            <x v="8"/>
          </reference>
          <reference field="7" count="1" selected="0">
            <x v="214"/>
          </reference>
          <reference field="8" count="1" selected="0">
            <x v="80"/>
          </reference>
          <reference field="9" count="1">
            <x v="611"/>
          </reference>
        </references>
      </pivotArea>
    </format>
    <format dxfId="946">
      <pivotArea dataOnly="0" labelOnly="1" fieldPosition="0">
        <references count="6">
          <reference field="1" count="1" selected="0">
            <x v="127"/>
          </reference>
          <reference field="5" count="1" selected="0">
            <x v="0"/>
          </reference>
          <reference field="6" count="1" selected="0">
            <x v="1"/>
          </reference>
          <reference field="7" count="1" selected="0">
            <x v="216"/>
          </reference>
          <reference field="8" count="1" selected="0">
            <x v="80"/>
          </reference>
          <reference field="9" count="1">
            <x v="611"/>
          </reference>
        </references>
      </pivotArea>
    </format>
    <format dxfId="945">
      <pivotArea dataOnly="0" labelOnly="1" fieldPosition="0">
        <references count="6">
          <reference field="1" count="1" selected="0">
            <x v="127"/>
          </reference>
          <reference field="5" count="1" selected="0">
            <x v="0"/>
          </reference>
          <reference field="6" count="1" selected="0">
            <x v="8"/>
          </reference>
          <reference field="7" count="1" selected="0">
            <x v="216"/>
          </reference>
          <reference field="8" count="1" selected="0">
            <x v="473"/>
          </reference>
          <reference field="9" count="1">
            <x v="611"/>
          </reference>
        </references>
      </pivotArea>
    </format>
    <format dxfId="944">
      <pivotArea dataOnly="0" labelOnly="1" fieldPosition="0">
        <references count="6">
          <reference field="1" count="1" selected="0">
            <x v="127"/>
          </reference>
          <reference field="5" count="1" selected="0">
            <x v="0"/>
          </reference>
          <reference field="6" count="1" selected="0">
            <x v="8"/>
          </reference>
          <reference field="7" count="1" selected="0">
            <x v="216"/>
          </reference>
          <reference field="8" count="1" selected="0">
            <x v="881"/>
          </reference>
          <reference field="9" count="1">
            <x v="611"/>
          </reference>
        </references>
      </pivotArea>
    </format>
    <format dxfId="943">
      <pivotArea dataOnly="0" labelOnly="1" fieldPosition="0">
        <references count="6">
          <reference field="1" count="1" selected="0">
            <x v="127"/>
          </reference>
          <reference field="5" count="1" selected="0">
            <x v="0"/>
          </reference>
          <reference field="6" count="1" selected="0">
            <x v="8"/>
          </reference>
          <reference field="7" count="1" selected="0">
            <x v="216"/>
          </reference>
          <reference field="8" count="1" selected="0">
            <x v="992"/>
          </reference>
          <reference field="9" count="1">
            <x v="611"/>
          </reference>
        </references>
      </pivotArea>
    </format>
    <format dxfId="942">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1"/>
          </reference>
          <reference field="9" count="1">
            <x v="611"/>
          </reference>
        </references>
      </pivotArea>
    </format>
    <format dxfId="941">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233"/>
          </reference>
          <reference field="9" count="1">
            <x v="611"/>
          </reference>
        </references>
      </pivotArea>
    </format>
    <format dxfId="940">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263"/>
          </reference>
          <reference field="9" count="1">
            <x v="611"/>
          </reference>
        </references>
      </pivotArea>
    </format>
    <format dxfId="939">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462"/>
          </reference>
          <reference field="9" count="1">
            <x v="611"/>
          </reference>
        </references>
      </pivotArea>
    </format>
    <format dxfId="938">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538"/>
          </reference>
          <reference field="9" count="1">
            <x v="611"/>
          </reference>
        </references>
      </pivotArea>
    </format>
    <format dxfId="937">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635"/>
          </reference>
          <reference field="9" count="1">
            <x v="611"/>
          </reference>
        </references>
      </pivotArea>
    </format>
    <format dxfId="936">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732"/>
          </reference>
          <reference field="9" count="1">
            <x v="611"/>
          </reference>
        </references>
      </pivotArea>
    </format>
    <format dxfId="935">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1087"/>
          </reference>
          <reference field="9" count="1">
            <x v="611"/>
          </reference>
        </references>
      </pivotArea>
    </format>
    <format dxfId="934">
      <pivotArea dataOnly="0" labelOnly="1" fieldPosition="0">
        <references count="6">
          <reference field="1" count="1" selected="0">
            <x v="127"/>
          </reference>
          <reference field="5" count="1" selected="0">
            <x v="0"/>
          </reference>
          <reference field="6" count="1" selected="0">
            <x v="9"/>
          </reference>
          <reference field="7" count="1" selected="0">
            <x v="216"/>
          </reference>
          <reference field="8" count="1" selected="0">
            <x v="1425"/>
          </reference>
          <reference field="9" count="1">
            <x v="611"/>
          </reference>
        </references>
      </pivotArea>
    </format>
    <format dxfId="933">
      <pivotArea dataOnly="0" labelOnly="1" fieldPosition="0">
        <references count="6">
          <reference field="1" count="1" selected="0">
            <x v="127"/>
          </reference>
          <reference field="5" count="1" selected="0">
            <x v="0"/>
          </reference>
          <reference field="6" count="1" selected="0">
            <x v="12"/>
          </reference>
          <reference field="7" count="1" selected="0">
            <x v="21"/>
          </reference>
          <reference field="8" count="1" selected="0">
            <x v="11"/>
          </reference>
          <reference field="9" count="1">
            <x v="611"/>
          </reference>
        </references>
      </pivotArea>
    </format>
    <format dxfId="932">
      <pivotArea dataOnly="0" labelOnly="1" fieldPosition="0">
        <references count="6">
          <reference field="1" count="1" selected="0">
            <x v="127"/>
          </reference>
          <reference field="5" count="1" selected="0">
            <x v="0"/>
          </reference>
          <reference field="6" count="1" selected="0">
            <x v="12"/>
          </reference>
          <reference field="7" count="1" selected="0">
            <x v="22"/>
          </reference>
          <reference field="8" count="1" selected="0">
            <x v="18"/>
          </reference>
          <reference field="9" count="1">
            <x v="611"/>
          </reference>
        </references>
      </pivotArea>
    </format>
    <format dxfId="931">
      <pivotArea dataOnly="0" labelOnly="1" fieldPosition="0">
        <references count="6">
          <reference field="1" count="1" selected="0">
            <x v="127"/>
          </reference>
          <reference field="5" count="1" selected="0">
            <x v="0"/>
          </reference>
          <reference field="6" count="1" selected="0">
            <x v="17"/>
          </reference>
          <reference field="7" count="1" selected="0">
            <x v="215"/>
          </reference>
          <reference field="8" count="1" selected="0">
            <x v="379"/>
          </reference>
          <reference field="9" count="1">
            <x v="611"/>
          </reference>
        </references>
      </pivotArea>
    </format>
    <format dxfId="930">
      <pivotArea dataOnly="0" labelOnly="1" fieldPosition="0">
        <references count="6">
          <reference field="1" count="1" selected="0">
            <x v="127"/>
          </reference>
          <reference field="5" count="1" selected="0">
            <x v="0"/>
          </reference>
          <reference field="6" count="1" selected="0">
            <x v="17"/>
          </reference>
          <reference field="7" count="1" selected="0">
            <x v="215"/>
          </reference>
          <reference field="8" count="1" selected="0">
            <x v="414"/>
          </reference>
          <reference field="9" count="1">
            <x v="611"/>
          </reference>
        </references>
      </pivotArea>
    </format>
    <format dxfId="929">
      <pivotArea dataOnly="0" labelOnly="1" fieldPosition="0">
        <references count="6">
          <reference field="1" count="1" selected="0">
            <x v="127"/>
          </reference>
          <reference field="5" count="1" selected="0">
            <x v="0"/>
          </reference>
          <reference field="6" count="1" selected="0">
            <x v="17"/>
          </reference>
          <reference field="7" count="1" selected="0">
            <x v="215"/>
          </reference>
          <reference field="8" count="1" selected="0">
            <x v="425"/>
          </reference>
          <reference field="9" count="1">
            <x v="611"/>
          </reference>
        </references>
      </pivotArea>
    </format>
    <format dxfId="928">
      <pivotArea dataOnly="0" labelOnly="1" fieldPosition="0">
        <references count="6">
          <reference field="1" count="1" selected="0">
            <x v="127"/>
          </reference>
          <reference field="5" count="1" selected="0">
            <x v="0"/>
          </reference>
          <reference field="6" count="1" selected="0">
            <x v="17"/>
          </reference>
          <reference field="7" count="1" selected="0">
            <x v="215"/>
          </reference>
          <reference field="8" count="1" selected="0">
            <x v="639"/>
          </reference>
          <reference field="9" count="1">
            <x v="611"/>
          </reference>
        </references>
      </pivotArea>
    </format>
    <format dxfId="927">
      <pivotArea dataOnly="0" labelOnly="1" fieldPosition="0">
        <references count="6">
          <reference field="1" count="1" selected="0">
            <x v="127"/>
          </reference>
          <reference field="5" count="1" selected="0">
            <x v="0"/>
          </reference>
          <reference field="6" count="1" selected="0">
            <x v="17"/>
          </reference>
          <reference field="7" count="1" selected="0">
            <x v="215"/>
          </reference>
          <reference field="8" count="1" selected="0">
            <x v="847"/>
          </reference>
          <reference field="9" count="1">
            <x v="611"/>
          </reference>
        </references>
      </pivotArea>
    </format>
    <format dxfId="926">
      <pivotArea dataOnly="0" labelOnly="1" fieldPosition="0">
        <references count="6">
          <reference field="1" count="1" selected="0">
            <x v="127"/>
          </reference>
          <reference field="5" count="1" selected="0">
            <x v="0"/>
          </reference>
          <reference field="6" count="1" selected="0">
            <x v="17"/>
          </reference>
          <reference field="7" count="1" selected="0">
            <x v="215"/>
          </reference>
          <reference field="8" count="1" selected="0">
            <x v="1065"/>
          </reference>
          <reference field="9" count="1">
            <x v="611"/>
          </reference>
        </references>
      </pivotArea>
    </format>
    <format dxfId="925">
      <pivotArea dataOnly="0" labelOnly="1" fieldPosition="0">
        <references count="6">
          <reference field="1" count="1" selected="0">
            <x v="127"/>
          </reference>
          <reference field="5" count="1" selected="0">
            <x v="0"/>
          </reference>
          <reference field="6" count="1" selected="0">
            <x v="17"/>
          </reference>
          <reference field="7" count="1" selected="0">
            <x v="215"/>
          </reference>
          <reference field="8" count="1" selected="0">
            <x v="1720"/>
          </reference>
          <reference field="9" count="1">
            <x v="611"/>
          </reference>
        </references>
      </pivotArea>
    </format>
    <format dxfId="924">
      <pivotArea dataOnly="0" labelOnly="1" fieldPosition="0">
        <references count="6">
          <reference field="1" count="1" selected="0">
            <x v="127"/>
          </reference>
          <reference field="5" count="1" selected="0">
            <x v="2"/>
          </reference>
          <reference field="6" count="1" selected="0">
            <x v="17"/>
          </reference>
          <reference field="7" count="1" selected="0">
            <x v="215"/>
          </reference>
          <reference field="8" count="1" selected="0">
            <x v="1869"/>
          </reference>
          <reference field="9" count="1">
            <x v="611"/>
          </reference>
        </references>
      </pivotArea>
    </format>
    <format dxfId="923">
      <pivotArea dataOnly="0" labelOnly="1" fieldPosition="0">
        <references count="6">
          <reference field="1" count="1" selected="0">
            <x v="127"/>
          </reference>
          <reference field="5" count="1" selected="0">
            <x v="5"/>
          </reference>
          <reference field="6" count="1" selected="0">
            <x v="8"/>
          </reference>
          <reference field="7" count="1" selected="0">
            <x v="216"/>
          </reference>
          <reference field="8" count="1" selected="0">
            <x v="1108"/>
          </reference>
          <reference field="9" count="1">
            <x v="611"/>
          </reference>
        </references>
      </pivotArea>
    </format>
    <format dxfId="922">
      <pivotArea dataOnly="0" labelOnly="1" fieldPosition="0">
        <references count="6">
          <reference field="1" count="1" selected="0">
            <x v="127"/>
          </reference>
          <reference field="5" count="1" selected="0">
            <x v="7"/>
          </reference>
          <reference field="6" count="1" selected="0">
            <x v="10"/>
          </reference>
          <reference field="7" count="1" selected="0">
            <x v="216"/>
          </reference>
          <reference field="8" count="1" selected="0">
            <x v="1468"/>
          </reference>
          <reference field="9" count="1">
            <x v="611"/>
          </reference>
        </references>
      </pivotArea>
    </format>
    <format dxfId="921">
      <pivotArea dataOnly="0" labelOnly="1" fieldPosition="0">
        <references count="6">
          <reference field="1" count="1" selected="0">
            <x v="127"/>
          </reference>
          <reference field="5" count="1" selected="0">
            <x v="7"/>
          </reference>
          <reference field="6" count="1" selected="0">
            <x v="38"/>
          </reference>
          <reference field="7" count="1" selected="0">
            <x v="216"/>
          </reference>
          <reference field="8" count="1" selected="0">
            <x v="144"/>
          </reference>
          <reference field="9" count="1">
            <x v="611"/>
          </reference>
        </references>
      </pivotArea>
    </format>
    <format dxfId="920">
      <pivotArea dataOnly="0" labelOnly="1" fieldPosition="0">
        <references count="6">
          <reference field="1" count="1" selected="0">
            <x v="127"/>
          </reference>
          <reference field="5" count="1" selected="0">
            <x v="8"/>
          </reference>
          <reference field="6" count="1" selected="0">
            <x v="10"/>
          </reference>
          <reference field="7" count="1" selected="0">
            <x v="216"/>
          </reference>
          <reference field="8" count="1" selected="0">
            <x v="1488"/>
          </reference>
          <reference field="9" count="1">
            <x v="611"/>
          </reference>
        </references>
      </pivotArea>
    </format>
    <format dxfId="919">
      <pivotArea dataOnly="0" labelOnly="1" fieldPosition="0">
        <references count="6">
          <reference field="1" count="1" selected="0">
            <x v="127"/>
          </reference>
          <reference field="5" count="1" selected="0">
            <x v="10"/>
          </reference>
          <reference field="6" count="1" selected="0">
            <x v="10"/>
          </reference>
          <reference field="7" count="1" selected="0">
            <x v="216"/>
          </reference>
          <reference field="8" count="1" selected="0">
            <x v="1864"/>
          </reference>
          <reference field="9" count="1">
            <x v="611"/>
          </reference>
        </references>
      </pivotArea>
    </format>
    <format dxfId="918">
      <pivotArea dataOnly="0" labelOnly="1" fieldPosition="0">
        <references count="6">
          <reference field="1" count="1" selected="0">
            <x v="127"/>
          </reference>
          <reference field="5" count="1" selected="0">
            <x v="12"/>
          </reference>
          <reference field="6" count="1" selected="0">
            <x v="1"/>
          </reference>
          <reference field="7" count="1" selected="0">
            <x v="216"/>
          </reference>
          <reference field="8" count="1" selected="0">
            <x v="80"/>
          </reference>
          <reference field="9" count="1">
            <x v="611"/>
          </reference>
        </references>
      </pivotArea>
    </format>
    <format dxfId="917">
      <pivotArea dataOnly="0" labelOnly="1" fieldPosition="0">
        <references count="6">
          <reference field="1" count="1" selected="0">
            <x v="127"/>
          </reference>
          <reference field="5" count="1" selected="0">
            <x v="12"/>
          </reference>
          <reference field="6" count="1" selected="0">
            <x v="1"/>
          </reference>
          <reference field="7" count="1" selected="0">
            <x v="216"/>
          </reference>
          <reference field="8" count="1" selected="0">
            <x v="213"/>
          </reference>
          <reference field="9" count="1">
            <x v="611"/>
          </reference>
        </references>
      </pivotArea>
    </format>
    <format dxfId="916">
      <pivotArea dataOnly="0" labelOnly="1" fieldPosition="0">
        <references count="6">
          <reference field="1" count="1" selected="0">
            <x v="127"/>
          </reference>
          <reference field="5" count="1" selected="0">
            <x v="12"/>
          </reference>
          <reference field="6" count="1" selected="0">
            <x v="2"/>
          </reference>
          <reference field="7" count="1" selected="0">
            <x v="75"/>
          </reference>
          <reference field="8" count="1" selected="0">
            <x v="0"/>
          </reference>
          <reference field="9" count="4">
            <x v="439"/>
            <x v="534"/>
            <x v="563"/>
            <x v="599"/>
          </reference>
        </references>
      </pivotArea>
    </format>
    <format dxfId="915">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96"/>
          </reference>
          <reference field="9" count="1">
            <x v="611"/>
          </reference>
        </references>
      </pivotArea>
    </format>
    <format dxfId="914">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03"/>
          </reference>
          <reference field="9" count="1">
            <x v="611"/>
          </reference>
        </references>
      </pivotArea>
    </format>
    <format dxfId="913">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42"/>
          </reference>
          <reference field="9" count="1">
            <x v="611"/>
          </reference>
        </references>
      </pivotArea>
    </format>
    <format dxfId="912">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497"/>
          </reference>
          <reference field="9" count="1">
            <x v="611"/>
          </reference>
        </references>
      </pivotArea>
    </format>
    <format dxfId="911">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938"/>
          </reference>
          <reference field="9" count="1">
            <x v="611"/>
          </reference>
        </references>
      </pivotArea>
    </format>
    <format dxfId="910">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123"/>
          </reference>
          <reference field="9" count="1">
            <x v="611"/>
          </reference>
        </references>
      </pivotArea>
    </format>
    <format dxfId="909">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245"/>
          </reference>
          <reference field="9" count="1">
            <x v="611"/>
          </reference>
        </references>
      </pivotArea>
    </format>
    <format dxfId="908">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376"/>
          </reference>
          <reference field="9" count="1">
            <x v="611"/>
          </reference>
        </references>
      </pivotArea>
    </format>
    <format dxfId="907">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382"/>
          </reference>
          <reference field="9" count="1">
            <x v="611"/>
          </reference>
        </references>
      </pivotArea>
    </format>
    <format dxfId="906">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395"/>
          </reference>
          <reference field="9" count="1">
            <x v="611"/>
          </reference>
        </references>
      </pivotArea>
    </format>
    <format dxfId="905">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482"/>
          </reference>
          <reference field="9" count="1">
            <x v="611"/>
          </reference>
        </references>
      </pivotArea>
    </format>
    <format dxfId="904">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504"/>
          </reference>
          <reference field="9" count="1">
            <x v="611"/>
          </reference>
        </references>
      </pivotArea>
    </format>
    <format dxfId="903">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505"/>
          </reference>
          <reference field="9" count="1">
            <x v="611"/>
          </reference>
        </references>
      </pivotArea>
    </format>
    <format dxfId="902">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522"/>
          </reference>
          <reference field="9" count="1">
            <x v="611"/>
          </reference>
        </references>
      </pivotArea>
    </format>
    <format dxfId="901">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527"/>
          </reference>
          <reference field="9" count="1">
            <x v="611"/>
          </reference>
        </references>
      </pivotArea>
    </format>
    <format dxfId="900">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572"/>
          </reference>
          <reference field="9" count="1">
            <x v="611"/>
          </reference>
        </references>
      </pivotArea>
    </format>
    <format dxfId="899">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584"/>
          </reference>
          <reference field="9" count="1">
            <x v="611"/>
          </reference>
        </references>
      </pivotArea>
    </format>
    <format dxfId="898">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653"/>
          </reference>
          <reference field="9" count="1">
            <x v="611"/>
          </reference>
        </references>
      </pivotArea>
    </format>
    <format dxfId="897">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661"/>
          </reference>
          <reference field="9" count="1">
            <x v="611"/>
          </reference>
        </references>
      </pivotArea>
    </format>
    <format dxfId="896">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732"/>
          </reference>
          <reference field="9" count="1">
            <x v="611"/>
          </reference>
        </references>
      </pivotArea>
    </format>
    <format dxfId="895">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738"/>
          </reference>
          <reference field="9" count="1">
            <x v="611"/>
          </reference>
        </references>
      </pivotArea>
    </format>
    <format dxfId="894">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772"/>
          </reference>
          <reference field="9" count="1">
            <x v="611"/>
          </reference>
        </references>
      </pivotArea>
    </format>
    <format dxfId="893">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791"/>
          </reference>
          <reference field="9" count="1">
            <x v="611"/>
          </reference>
        </references>
      </pivotArea>
    </format>
    <format dxfId="892">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804"/>
          </reference>
          <reference field="9" count="1">
            <x v="611"/>
          </reference>
        </references>
      </pivotArea>
    </format>
    <format dxfId="891">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815"/>
          </reference>
          <reference field="9" count="1">
            <x v="611"/>
          </reference>
        </references>
      </pivotArea>
    </format>
    <format dxfId="890">
      <pivotArea dataOnly="0" labelOnly="1" fieldPosition="0">
        <references count="6">
          <reference field="1" count="1" selected="0">
            <x v="127"/>
          </reference>
          <reference field="5" count="1" selected="0">
            <x v="12"/>
          </reference>
          <reference field="6" count="1" selected="0">
            <x v="17"/>
          </reference>
          <reference field="7" count="1" selected="0">
            <x v="215"/>
          </reference>
          <reference field="8" count="1" selected="0">
            <x v="1849"/>
          </reference>
          <reference field="9" count="1">
            <x v="611"/>
          </reference>
        </references>
      </pivotArea>
    </format>
    <format dxfId="889">
      <pivotArea dataOnly="0" labelOnly="1" fieldPosition="0">
        <references count="6">
          <reference field="1" count="1" selected="0">
            <x v="127"/>
          </reference>
          <reference field="5" count="1" selected="0">
            <x v="14"/>
          </reference>
          <reference field="6" count="1" selected="0">
            <x v="17"/>
          </reference>
          <reference field="7" count="1" selected="0">
            <x v="215"/>
          </reference>
          <reference field="8" count="1" selected="0">
            <x v="1218"/>
          </reference>
          <reference field="9" count="1">
            <x v="611"/>
          </reference>
        </references>
      </pivotArea>
    </format>
    <format dxfId="888">
      <pivotArea dataOnly="0" labelOnly="1" fieldPosition="0">
        <references count="6">
          <reference field="1" count="1" selected="0">
            <x v="127"/>
          </reference>
          <reference field="5" count="1" selected="0">
            <x v="15"/>
          </reference>
          <reference field="6" count="1" selected="0">
            <x v="38"/>
          </reference>
          <reference field="7" count="1" selected="0">
            <x v="216"/>
          </reference>
          <reference field="8" count="1" selected="0">
            <x v="1460"/>
          </reference>
          <reference field="9" count="1">
            <x v="611"/>
          </reference>
        </references>
      </pivotArea>
    </format>
    <format dxfId="887">
      <pivotArea dataOnly="0" labelOnly="1" fieldPosition="0">
        <references count="6">
          <reference field="1" count="1" selected="0">
            <x v="127"/>
          </reference>
          <reference field="5" count="1" selected="0">
            <x v="17"/>
          </reference>
          <reference field="6" count="1" selected="0">
            <x v="17"/>
          </reference>
          <reference field="7" count="1" selected="0">
            <x v="215"/>
          </reference>
          <reference field="8" count="1" selected="0">
            <x v="360"/>
          </reference>
          <reference field="9" count="1">
            <x v="611"/>
          </reference>
        </references>
      </pivotArea>
    </format>
    <format dxfId="886">
      <pivotArea dataOnly="0" labelOnly="1" fieldPosition="0">
        <references count="6">
          <reference field="1" count="1" selected="0">
            <x v="127"/>
          </reference>
          <reference field="5" count="1" selected="0">
            <x v="19"/>
          </reference>
          <reference field="6" count="1" selected="0">
            <x v="9"/>
          </reference>
          <reference field="7" count="1" selected="0">
            <x v="216"/>
          </reference>
          <reference field="8" count="1" selected="0">
            <x v="607"/>
          </reference>
          <reference field="9" count="1">
            <x v="611"/>
          </reference>
        </references>
      </pivotArea>
    </format>
    <format dxfId="885">
      <pivotArea dataOnly="0" labelOnly="1" fieldPosition="0">
        <references count="6">
          <reference field="1" count="1" selected="0">
            <x v="127"/>
          </reference>
          <reference field="5" count="1" selected="0">
            <x v="21"/>
          </reference>
          <reference field="6" count="1" selected="0">
            <x v="17"/>
          </reference>
          <reference field="7" count="1" selected="0">
            <x v="215"/>
          </reference>
          <reference field="8" count="1" selected="0">
            <x v="1521"/>
          </reference>
          <reference field="9" count="1">
            <x v="611"/>
          </reference>
        </references>
      </pivotArea>
    </format>
    <format dxfId="884">
      <pivotArea dataOnly="0" labelOnly="1" fieldPosition="0">
        <references count="6">
          <reference field="1" count="1" selected="0">
            <x v="127"/>
          </reference>
          <reference field="5" count="1" selected="0">
            <x v="23"/>
          </reference>
          <reference field="6" count="1" selected="0">
            <x v="17"/>
          </reference>
          <reference field="7" count="1" selected="0">
            <x v="215"/>
          </reference>
          <reference field="8" count="1" selected="0">
            <x v="1676"/>
          </reference>
          <reference field="9" count="1">
            <x v="611"/>
          </reference>
        </references>
      </pivotArea>
    </format>
    <format dxfId="883">
      <pivotArea dataOnly="0" labelOnly="1" fieldPosition="0">
        <references count="6">
          <reference field="1" count="1" selected="0">
            <x v="127"/>
          </reference>
          <reference field="5" count="1" selected="0">
            <x v="24"/>
          </reference>
          <reference field="6" count="1" selected="0">
            <x v="17"/>
          </reference>
          <reference field="7" count="1" selected="0">
            <x v="215"/>
          </reference>
          <reference field="8" count="1" selected="0">
            <x v="1509"/>
          </reference>
          <reference field="9" count="1">
            <x v="611"/>
          </reference>
        </references>
      </pivotArea>
    </format>
    <format dxfId="882">
      <pivotArea dataOnly="0" labelOnly="1" fieldPosition="0">
        <references count="6">
          <reference field="1" count="1" selected="0">
            <x v="127"/>
          </reference>
          <reference field="5" count="1" selected="0">
            <x v="27"/>
          </reference>
          <reference field="6" count="1" selected="0">
            <x v="17"/>
          </reference>
          <reference field="7" count="1" selected="0">
            <x v="215"/>
          </reference>
          <reference field="8" count="1" selected="0">
            <x v="449"/>
          </reference>
          <reference field="9" count="1">
            <x v="611"/>
          </reference>
        </references>
      </pivotArea>
    </format>
    <format dxfId="881">
      <pivotArea dataOnly="0" labelOnly="1" fieldPosition="0">
        <references count="6">
          <reference field="1" count="1" selected="0">
            <x v="127"/>
          </reference>
          <reference field="5" count="1" selected="0">
            <x v="33"/>
          </reference>
          <reference field="6" count="1" selected="0">
            <x v="38"/>
          </reference>
          <reference field="7" count="1" selected="0">
            <x v="216"/>
          </reference>
          <reference field="8" count="1" selected="0">
            <x v="403"/>
          </reference>
          <reference field="9" count="1">
            <x v="611"/>
          </reference>
        </references>
      </pivotArea>
    </format>
    <format dxfId="880">
      <pivotArea dataOnly="0" labelOnly="1" fieldPosition="0">
        <references count="6">
          <reference field="1" count="1" selected="0">
            <x v="127"/>
          </reference>
          <reference field="5" count="1" selected="0">
            <x v="35"/>
          </reference>
          <reference field="6" count="1" selected="0">
            <x v="1"/>
          </reference>
          <reference field="7" count="1" selected="0">
            <x v="216"/>
          </reference>
          <reference field="8" count="1" selected="0">
            <x v="80"/>
          </reference>
          <reference field="9" count="1">
            <x v="611"/>
          </reference>
        </references>
      </pivotArea>
    </format>
    <format dxfId="879">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157"/>
          </reference>
          <reference field="9" count="1">
            <x v="611"/>
          </reference>
        </references>
      </pivotArea>
    </format>
    <format dxfId="878">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328"/>
          </reference>
          <reference field="9" count="1">
            <x v="611"/>
          </reference>
        </references>
      </pivotArea>
    </format>
    <format dxfId="877">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438"/>
          </reference>
          <reference field="9" count="1">
            <x v="611"/>
          </reference>
        </references>
      </pivotArea>
    </format>
    <format dxfId="876">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495"/>
          </reference>
          <reference field="9" count="1">
            <x v="611"/>
          </reference>
        </references>
      </pivotArea>
    </format>
    <format dxfId="875">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708"/>
          </reference>
          <reference field="9" count="1">
            <x v="611"/>
          </reference>
        </references>
      </pivotArea>
    </format>
    <format dxfId="874">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709"/>
          </reference>
          <reference field="9" count="1">
            <x v="611"/>
          </reference>
        </references>
      </pivotArea>
    </format>
    <format dxfId="873">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770"/>
          </reference>
          <reference field="9" count="1">
            <x v="611"/>
          </reference>
        </references>
      </pivotArea>
    </format>
    <format dxfId="872">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918"/>
          </reference>
          <reference field="9" count="1">
            <x v="611"/>
          </reference>
        </references>
      </pivotArea>
    </format>
    <format dxfId="871">
      <pivotArea dataOnly="0" labelOnly="1" fieldPosition="0">
        <references count="6">
          <reference field="1" count="1" selected="0">
            <x v="127"/>
          </reference>
          <reference field="5" count="1" selected="0">
            <x v="35"/>
          </reference>
          <reference field="6" count="1" selected="0">
            <x v="17"/>
          </reference>
          <reference field="7" count="1" selected="0">
            <x v="215"/>
          </reference>
          <reference field="8" count="1" selected="0">
            <x v="1231"/>
          </reference>
          <reference field="9" count="1">
            <x v="611"/>
          </reference>
        </references>
      </pivotArea>
    </format>
    <format dxfId="870">
      <pivotArea dataOnly="0" labelOnly="1" fieldPosition="0">
        <references count="6">
          <reference field="1" count="1" selected="0">
            <x v="128"/>
          </reference>
          <reference field="5" count="1" selected="0">
            <x v="0"/>
          </reference>
          <reference field="6" count="1" selected="0">
            <x v="38"/>
          </reference>
          <reference field="7" count="1" selected="0">
            <x v="217"/>
          </reference>
          <reference field="8" count="1" selected="0">
            <x v="391"/>
          </reference>
          <reference field="9" count="1">
            <x v="611"/>
          </reference>
        </references>
      </pivotArea>
    </format>
    <format dxfId="869">
      <pivotArea dataOnly="0" labelOnly="1" fieldPosition="0">
        <references count="6">
          <reference field="1" count="1" selected="0">
            <x v="128"/>
          </reference>
          <reference field="5" count="1" selected="0">
            <x v="8"/>
          </reference>
          <reference field="6" count="1" selected="0">
            <x v="38"/>
          </reference>
          <reference field="7" count="1" selected="0">
            <x v="217"/>
          </reference>
          <reference field="8" count="1" selected="0">
            <x v="803"/>
          </reference>
          <reference field="9" count="1">
            <x v="611"/>
          </reference>
        </references>
      </pivotArea>
    </format>
    <format dxfId="868">
      <pivotArea dataOnly="0" labelOnly="1" fieldPosition="0">
        <references count="6">
          <reference field="1" count="1" selected="0">
            <x v="128"/>
          </reference>
          <reference field="5" count="1" selected="0">
            <x v="10"/>
          </reference>
          <reference field="6" count="1" selected="0">
            <x v="38"/>
          </reference>
          <reference field="7" count="1" selected="0">
            <x v="217"/>
          </reference>
          <reference field="8" count="1" selected="0">
            <x v="1563"/>
          </reference>
          <reference field="9" count="1">
            <x v="611"/>
          </reference>
        </references>
      </pivotArea>
    </format>
    <format dxfId="867">
      <pivotArea dataOnly="0" labelOnly="1" fieldPosition="0">
        <references count="6">
          <reference field="1" count="1" selected="0">
            <x v="128"/>
          </reference>
          <reference field="5" count="1" selected="0">
            <x v="12"/>
          </reference>
          <reference field="6" count="1" selected="0">
            <x v="1"/>
          </reference>
          <reference field="7" count="1" selected="0">
            <x v="217"/>
          </reference>
          <reference field="8" count="1" selected="0">
            <x v="213"/>
          </reference>
          <reference field="9" count="1">
            <x v="611"/>
          </reference>
        </references>
      </pivotArea>
    </format>
    <format dxfId="866">
      <pivotArea dataOnly="0" labelOnly="1" fieldPosition="0">
        <references count="6">
          <reference field="1" count="1" selected="0">
            <x v="128"/>
          </reference>
          <reference field="5" count="1" selected="0">
            <x v="35"/>
          </reference>
          <reference field="6" count="1" selected="0">
            <x v="1"/>
          </reference>
          <reference field="7" count="1" selected="0">
            <x v="217"/>
          </reference>
          <reference field="8" count="1" selected="0">
            <x v="80"/>
          </reference>
          <reference field="9" count="1">
            <x v="611"/>
          </reference>
        </references>
      </pivotArea>
    </format>
    <format dxfId="865">
      <pivotArea dataOnly="0" labelOnly="1" fieldPosition="0">
        <references count="6">
          <reference field="1" count="1" selected="0">
            <x v="129"/>
          </reference>
          <reference field="5" count="1" selected="0">
            <x v="0"/>
          </reference>
          <reference field="6" count="1" selected="0">
            <x v="12"/>
          </reference>
          <reference field="7" count="1" selected="0">
            <x v="15"/>
          </reference>
          <reference field="8" count="1" selected="0">
            <x v="18"/>
          </reference>
          <reference field="9" count="1">
            <x v="611"/>
          </reference>
        </references>
      </pivotArea>
    </format>
    <format dxfId="864">
      <pivotArea dataOnly="0" labelOnly="1" fieldPosition="0">
        <references count="6">
          <reference field="1" count="1" selected="0">
            <x v="129"/>
          </reference>
          <reference field="5" count="1" selected="0">
            <x v="0"/>
          </reference>
          <reference field="6" count="1" selected="0">
            <x v="12"/>
          </reference>
          <reference field="7" count="1" selected="0">
            <x v="39"/>
          </reference>
          <reference field="8" count="1" selected="0">
            <x v="180"/>
          </reference>
          <reference field="9" count="1">
            <x v="611"/>
          </reference>
        </references>
      </pivotArea>
    </format>
    <format dxfId="863">
      <pivotArea dataOnly="0" labelOnly="1" fieldPosition="0">
        <references count="6">
          <reference field="1" count="1" selected="0">
            <x v="129"/>
          </reference>
          <reference field="5" count="1" selected="0">
            <x v="8"/>
          </reference>
          <reference field="6" count="1" selected="0">
            <x v="38"/>
          </reference>
          <reference field="7" count="1" selected="0">
            <x v="218"/>
          </reference>
          <reference field="8" count="1" selected="0">
            <x v="168"/>
          </reference>
          <reference field="9" count="1">
            <x v="611"/>
          </reference>
        </references>
      </pivotArea>
    </format>
    <format dxfId="862">
      <pivotArea dataOnly="0" labelOnly="1" fieldPosition="0">
        <references count="6">
          <reference field="1" count="1" selected="0">
            <x v="129"/>
          </reference>
          <reference field="5" count="1" selected="0">
            <x v="12"/>
          </reference>
          <reference field="6" count="1" selected="0">
            <x v="1"/>
          </reference>
          <reference field="7" count="1" selected="0">
            <x v="218"/>
          </reference>
          <reference field="8" count="1" selected="0">
            <x v="80"/>
          </reference>
          <reference field="9" count="1">
            <x v="611"/>
          </reference>
        </references>
      </pivotArea>
    </format>
    <format dxfId="861">
      <pivotArea dataOnly="0" labelOnly="1" fieldPosition="0">
        <references count="6">
          <reference field="1" count="1" selected="0">
            <x v="129"/>
          </reference>
          <reference field="5" count="1" selected="0">
            <x v="12"/>
          </reference>
          <reference field="6" count="1" selected="0">
            <x v="1"/>
          </reference>
          <reference field="7" count="1" selected="0">
            <x v="218"/>
          </reference>
          <reference field="8" count="1" selected="0">
            <x v="213"/>
          </reference>
          <reference field="9" count="1">
            <x v="611"/>
          </reference>
        </references>
      </pivotArea>
    </format>
    <format dxfId="860">
      <pivotArea dataOnly="0" labelOnly="1" fieldPosition="0">
        <references count="6">
          <reference field="1" count="1" selected="0">
            <x v="129"/>
          </reference>
          <reference field="5" count="1" selected="0">
            <x v="14"/>
          </reference>
          <reference field="6" count="1" selected="0">
            <x v="1"/>
          </reference>
          <reference field="7" count="1" selected="0">
            <x v="218"/>
          </reference>
          <reference field="8" count="1" selected="0">
            <x v="1260"/>
          </reference>
          <reference field="9" count="1">
            <x v="611"/>
          </reference>
        </references>
      </pivotArea>
    </format>
    <format dxfId="859">
      <pivotArea dataOnly="0" labelOnly="1" fieldPosition="0">
        <references count="6">
          <reference field="1" count="1" selected="0">
            <x v="129"/>
          </reference>
          <reference field="5" count="1" selected="0">
            <x v="15"/>
          </reference>
          <reference field="6" count="1" selected="0">
            <x v="6"/>
          </reference>
          <reference field="7" count="1" selected="0">
            <x v="218"/>
          </reference>
          <reference field="8" count="1" selected="0">
            <x v="592"/>
          </reference>
          <reference field="9" count="1">
            <x v="611"/>
          </reference>
        </references>
      </pivotArea>
    </format>
    <format dxfId="858">
      <pivotArea dataOnly="0" labelOnly="1" fieldPosition="0">
        <references count="6">
          <reference field="1" count="1" selected="0">
            <x v="129"/>
          </reference>
          <reference field="5" count="1" selected="0">
            <x v="19"/>
          </reference>
          <reference field="6" count="1" selected="0">
            <x v="6"/>
          </reference>
          <reference field="7" count="1" selected="0">
            <x v="218"/>
          </reference>
          <reference field="8" count="1" selected="0">
            <x v="1099"/>
          </reference>
          <reference field="9" count="1">
            <x v="611"/>
          </reference>
        </references>
      </pivotArea>
    </format>
    <format dxfId="857">
      <pivotArea dataOnly="0" labelOnly="1" fieldPosition="0">
        <references count="6">
          <reference field="1" count="1" selected="0">
            <x v="129"/>
          </reference>
          <reference field="5" count="1" selected="0">
            <x v="27"/>
          </reference>
          <reference field="6" count="1" selected="0">
            <x v="38"/>
          </reference>
          <reference field="7" count="1" selected="0">
            <x v="218"/>
          </reference>
          <reference field="8" count="1" selected="0">
            <x v="633"/>
          </reference>
          <reference field="9" count="1">
            <x v="611"/>
          </reference>
        </references>
      </pivotArea>
    </format>
    <format dxfId="856">
      <pivotArea dataOnly="0" labelOnly="1" fieldPosition="0">
        <references count="6">
          <reference field="1" count="1" selected="0">
            <x v="129"/>
          </reference>
          <reference field="5" count="1" selected="0">
            <x v="34"/>
          </reference>
          <reference field="6" count="1" selected="0">
            <x v="38"/>
          </reference>
          <reference field="7" count="1" selected="0">
            <x v="218"/>
          </reference>
          <reference field="8" count="1" selected="0">
            <x v="228"/>
          </reference>
          <reference field="9" count="1">
            <x v="611"/>
          </reference>
        </references>
      </pivotArea>
    </format>
    <format dxfId="855">
      <pivotArea dataOnly="0" labelOnly="1" fieldPosition="0">
        <references count="6">
          <reference field="1" count="1" selected="0">
            <x v="129"/>
          </reference>
          <reference field="5" count="1" selected="0">
            <x v="36"/>
          </reference>
          <reference field="6" count="1" selected="0">
            <x v="6"/>
          </reference>
          <reference field="7" count="1" selected="0">
            <x v="218"/>
          </reference>
          <reference field="8" count="1" selected="0">
            <x v="387"/>
          </reference>
          <reference field="9" count="1">
            <x v="611"/>
          </reference>
        </references>
      </pivotArea>
    </format>
    <format dxfId="854">
      <pivotArea dataOnly="0" labelOnly="1" fieldPosition="0">
        <references count="6">
          <reference field="1" count="1" selected="0">
            <x v="130"/>
          </reference>
          <reference field="5" count="1" selected="0">
            <x v="0"/>
          </reference>
          <reference field="6" count="1" selected="0">
            <x v="12"/>
          </reference>
          <reference field="7" count="1" selected="0">
            <x v="23"/>
          </reference>
          <reference field="8" count="1" selected="0">
            <x v="114"/>
          </reference>
          <reference field="9" count="1">
            <x v="611"/>
          </reference>
        </references>
      </pivotArea>
    </format>
    <format dxfId="853">
      <pivotArea dataOnly="0" labelOnly="1" fieldPosition="0">
        <references count="6">
          <reference field="1" count="1" selected="0">
            <x v="130"/>
          </reference>
          <reference field="5" count="1" selected="0">
            <x v="0"/>
          </reference>
          <reference field="6" count="1" selected="0">
            <x v="12"/>
          </reference>
          <reference field="7" count="1" selected="0">
            <x v="26"/>
          </reference>
          <reference field="8" count="1" selected="0">
            <x v="20"/>
          </reference>
          <reference field="9" count="1">
            <x v="611"/>
          </reference>
        </references>
      </pivotArea>
    </format>
    <format dxfId="852">
      <pivotArea dataOnly="0" labelOnly="1" fieldPosition="0">
        <references count="6">
          <reference field="1" count="1" selected="0">
            <x v="130"/>
          </reference>
          <reference field="5" count="1" selected="0">
            <x v="0"/>
          </reference>
          <reference field="6" count="1" selected="0">
            <x v="12"/>
          </reference>
          <reference field="7" count="1" selected="0">
            <x v="35"/>
          </reference>
          <reference field="8" count="1" selected="0">
            <x v="15"/>
          </reference>
          <reference field="9" count="1">
            <x v="611"/>
          </reference>
        </references>
      </pivotArea>
    </format>
    <format dxfId="851">
      <pivotArea dataOnly="0" labelOnly="1" fieldPosition="0">
        <references count="6">
          <reference field="1" count="1" selected="0">
            <x v="130"/>
          </reference>
          <reference field="5" count="1" selected="0">
            <x v="0"/>
          </reference>
          <reference field="6" count="1" selected="0">
            <x v="12"/>
          </reference>
          <reference field="7" count="1" selected="0">
            <x v="64"/>
          </reference>
          <reference field="8" count="1" selected="0">
            <x v="49"/>
          </reference>
          <reference field="9" count="1">
            <x v="611"/>
          </reference>
        </references>
      </pivotArea>
    </format>
    <format dxfId="850">
      <pivotArea dataOnly="0" labelOnly="1" fieldPosition="0">
        <references count="6">
          <reference field="1" count="1" selected="0">
            <x v="130"/>
          </reference>
          <reference field="5" count="1" selected="0">
            <x v="0"/>
          </reference>
          <reference field="6" count="1" selected="0">
            <x v="38"/>
          </reference>
          <reference field="7" count="1" selected="0">
            <x v="219"/>
          </reference>
          <reference field="8" count="1" selected="0">
            <x v="138"/>
          </reference>
          <reference field="9" count="1">
            <x v="611"/>
          </reference>
        </references>
      </pivotArea>
    </format>
    <format dxfId="849">
      <pivotArea dataOnly="0" labelOnly="1" fieldPosition="0">
        <references count="6">
          <reference field="1" count="1" selected="0">
            <x v="130"/>
          </reference>
          <reference field="5" count="1" selected="0">
            <x v="5"/>
          </reference>
          <reference field="6" count="1" selected="0">
            <x v="10"/>
          </reference>
          <reference field="7" count="1" selected="0">
            <x v="219"/>
          </reference>
          <reference field="8" count="1" selected="0">
            <x v="1537"/>
          </reference>
          <reference field="9" count="1">
            <x v="611"/>
          </reference>
        </references>
      </pivotArea>
    </format>
    <format dxfId="848">
      <pivotArea dataOnly="0" labelOnly="1" fieldPosition="0">
        <references count="6">
          <reference field="1" count="1" selected="0">
            <x v="130"/>
          </reference>
          <reference field="5" count="1" selected="0">
            <x v="12"/>
          </reference>
          <reference field="6" count="1" selected="0">
            <x v="1"/>
          </reference>
          <reference field="7" count="1" selected="0">
            <x v="219"/>
          </reference>
          <reference field="8" count="1" selected="0">
            <x v="80"/>
          </reference>
          <reference field="9" count="1">
            <x v="611"/>
          </reference>
        </references>
      </pivotArea>
    </format>
    <format dxfId="847">
      <pivotArea dataOnly="0" labelOnly="1" fieldPosition="0">
        <references count="6">
          <reference field="1" count="1" selected="0">
            <x v="130"/>
          </reference>
          <reference field="5" count="1" selected="0">
            <x v="12"/>
          </reference>
          <reference field="6" count="1" selected="0">
            <x v="1"/>
          </reference>
          <reference field="7" count="1" selected="0">
            <x v="219"/>
          </reference>
          <reference field="8" count="1" selected="0">
            <x v="213"/>
          </reference>
          <reference field="9" count="1">
            <x v="611"/>
          </reference>
        </references>
      </pivotArea>
    </format>
    <format dxfId="846">
      <pivotArea dataOnly="0" labelOnly="1" fieldPosition="0">
        <references count="6">
          <reference field="1" count="1" selected="0">
            <x v="130"/>
          </reference>
          <reference field="5" count="1" selected="0">
            <x v="15"/>
          </reference>
          <reference field="6" count="1" selected="0">
            <x v="38"/>
          </reference>
          <reference field="7" count="1" selected="0">
            <x v="219"/>
          </reference>
          <reference field="8" count="1" selected="0">
            <x v="579"/>
          </reference>
          <reference field="9" count="1">
            <x v="611"/>
          </reference>
        </references>
      </pivotArea>
    </format>
    <format dxfId="845">
      <pivotArea dataOnly="0" labelOnly="1" fieldPosition="0">
        <references count="6">
          <reference field="1" count="1" selected="0">
            <x v="130"/>
          </reference>
          <reference field="5" count="1" selected="0">
            <x v="23"/>
          </reference>
          <reference field="6" count="1" selected="0">
            <x v="38"/>
          </reference>
          <reference field="7" count="1" selected="0">
            <x v="219"/>
          </reference>
          <reference field="8" count="1" selected="0">
            <x v="906"/>
          </reference>
          <reference field="9" count="1">
            <x v="611"/>
          </reference>
        </references>
      </pivotArea>
    </format>
    <format dxfId="844">
      <pivotArea dataOnly="0" labelOnly="1" fieldPosition="0">
        <references count="6">
          <reference field="1" count="1" selected="0">
            <x v="130"/>
          </reference>
          <reference field="5" count="1" selected="0">
            <x v="26"/>
          </reference>
          <reference field="6" count="1" selected="0">
            <x v="38"/>
          </reference>
          <reference field="7" count="1" selected="0">
            <x v="219"/>
          </reference>
          <reference field="8" count="1" selected="0">
            <x v="318"/>
          </reference>
          <reference field="9" count="1">
            <x v="611"/>
          </reference>
        </references>
      </pivotArea>
    </format>
    <format dxfId="843">
      <pivotArea dataOnly="0" labelOnly="1" fieldPosition="0">
        <references count="6">
          <reference field="1" count="1" selected="0">
            <x v="130"/>
          </reference>
          <reference field="5" count="1" selected="0">
            <x v="29"/>
          </reference>
          <reference field="6" count="1" selected="0">
            <x v="10"/>
          </reference>
          <reference field="7" count="1" selected="0">
            <x v="219"/>
          </reference>
          <reference field="8" count="1" selected="0">
            <x v="914"/>
          </reference>
          <reference field="9" count="1">
            <x v="611"/>
          </reference>
        </references>
      </pivotArea>
    </format>
    <format dxfId="842">
      <pivotArea dataOnly="0" labelOnly="1" fieldPosition="0">
        <references count="6">
          <reference field="1" count="1" selected="0">
            <x v="130"/>
          </reference>
          <reference field="5" count="1" selected="0">
            <x v="33"/>
          </reference>
          <reference field="6" count="1" selected="0">
            <x v="38"/>
          </reference>
          <reference field="7" count="1" selected="0">
            <x v="219"/>
          </reference>
          <reference field="8" count="1" selected="0">
            <x v="88"/>
          </reference>
          <reference field="9" count="1">
            <x v="611"/>
          </reference>
        </references>
      </pivotArea>
    </format>
    <format dxfId="841">
      <pivotArea dataOnly="0" labelOnly="1" fieldPosition="0">
        <references count="6">
          <reference field="1" count="1" selected="0">
            <x v="130"/>
          </reference>
          <reference field="5" count="1" selected="0">
            <x v="35"/>
          </reference>
          <reference field="6" count="1" selected="0">
            <x v="1"/>
          </reference>
          <reference field="7" count="1" selected="0">
            <x v="219"/>
          </reference>
          <reference field="8" count="1" selected="0">
            <x v="352"/>
          </reference>
          <reference field="9" count="1">
            <x v="611"/>
          </reference>
        </references>
      </pivotArea>
    </format>
    <format dxfId="840">
      <pivotArea dataOnly="0" labelOnly="1" fieldPosition="0">
        <references count="6">
          <reference field="1" count="1" selected="0">
            <x v="131"/>
          </reference>
          <reference field="5" count="1" selected="0">
            <x v="0"/>
          </reference>
          <reference field="6" count="1" selected="0">
            <x v="12"/>
          </reference>
          <reference field="7" count="1" selected="0">
            <x v="23"/>
          </reference>
          <reference field="8" count="1" selected="0">
            <x v="11"/>
          </reference>
          <reference field="9" count="1">
            <x v="611"/>
          </reference>
        </references>
      </pivotArea>
    </format>
    <format dxfId="839">
      <pivotArea dataOnly="0" labelOnly="1" fieldPosition="0">
        <references count="6">
          <reference field="1" count="1" selected="0">
            <x v="131"/>
          </reference>
          <reference field="5" count="1" selected="0">
            <x v="0"/>
          </reference>
          <reference field="6" count="1" selected="0">
            <x v="12"/>
          </reference>
          <reference field="7" count="1" selected="0">
            <x v="30"/>
          </reference>
          <reference field="8" count="1" selected="0">
            <x v="81"/>
          </reference>
          <reference field="9" count="1">
            <x v="611"/>
          </reference>
        </references>
      </pivotArea>
    </format>
    <format dxfId="838">
      <pivotArea dataOnly="0" labelOnly="1" fieldPosition="0">
        <references count="6">
          <reference field="1" count="1" selected="0">
            <x v="131"/>
          </reference>
          <reference field="5" count="1" selected="0">
            <x v="0"/>
          </reference>
          <reference field="6" count="1" selected="0">
            <x v="38"/>
          </reference>
          <reference field="7" count="1" selected="0">
            <x v="220"/>
          </reference>
          <reference field="8" count="1" selected="0">
            <x v="138"/>
          </reference>
          <reference field="9" count="1">
            <x v="611"/>
          </reference>
        </references>
      </pivotArea>
    </format>
    <format dxfId="837">
      <pivotArea dataOnly="0" labelOnly="1" fieldPosition="0">
        <references count="6">
          <reference field="1" count="1" selected="0">
            <x v="131"/>
          </reference>
          <reference field="5" count="1" selected="0">
            <x v="0"/>
          </reference>
          <reference field="6" count="1" selected="0">
            <x v="38"/>
          </reference>
          <reference field="7" count="1" selected="0">
            <x v="220"/>
          </reference>
          <reference field="8" count="1" selected="0">
            <x v="433"/>
          </reference>
          <reference field="9" count="1">
            <x v="611"/>
          </reference>
        </references>
      </pivotArea>
    </format>
    <format dxfId="836">
      <pivotArea dataOnly="0" labelOnly="1" fieldPosition="0">
        <references count="6">
          <reference field="1" count="1" selected="0">
            <x v="131"/>
          </reference>
          <reference field="5" count="1" selected="0">
            <x v="0"/>
          </reference>
          <reference field="6" count="1" selected="0">
            <x v="38"/>
          </reference>
          <reference field="7" count="1" selected="0">
            <x v="220"/>
          </reference>
          <reference field="8" count="1" selected="0">
            <x v="1212"/>
          </reference>
          <reference field="9" count="1">
            <x v="611"/>
          </reference>
        </references>
      </pivotArea>
    </format>
    <format dxfId="835">
      <pivotArea dataOnly="0" labelOnly="1" fieldPosition="0">
        <references count="6">
          <reference field="1" count="1" selected="0">
            <x v="131"/>
          </reference>
          <reference field="5" count="1" selected="0">
            <x v="5"/>
          </reference>
          <reference field="6" count="1" selected="0">
            <x v="38"/>
          </reference>
          <reference field="7" count="1" selected="0">
            <x v="220"/>
          </reference>
          <reference field="8" count="1" selected="0">
            <x v="1077"/>
          </reference>
          <reference field="9" count="1">
            <x v="611"/>
          </reference>
        </references>
      </pivotArea>
    </format>
    <format dxfId="834">
      <pivotArea dataOnly="0" labelOnly="1" fieldPosition="0">
        <references count="6">
          <reference field="1" count="1" selected="0">
            <x v="131"/>
          </reference>
          <reference field="5" count="1" selected="0">
            <x v="6"/>
          </reference>
          <reference field="6" count="1" selected="0">
            <x v="1"/>
          </reference>
          <reference field="7" count="1" selected="0">
            <x v="220"/>
          </reference>
          <reference field="8" count="1" selected="0">
            <x v="322"/>
          </reference>
          <reference field="9" count="1">
            <x v="611"/>
          </reference>
        </references>
      </pivotArea>
    </format>
    <format dxfId="833">
      <pivotArea dataOnly="0" labelOnly="1" fieldPosition="0">
        <references count="6">
          <reference field="1" count="1" selected="0">
            <x v="131"/>
          </reference>
          <reference field="5" count="1" selected="0">
            <x v="12"/>
          </reference>
          <reference field="6" count="1" selected="0">
            <x v="1"/>
          </reference>
          <reference field="7" count="1" selected="0">
            <x v="220"/>
          </reference>
          <reference field="8" count="1" selected="0">
            <x v="80"/>
          </reference>
          <reference field="9" count="1">
            <x v="611"/>
          </reference>
        </references>
      </pivotArea>
    </format>
    <format dxfId="832">
      <pivotArea dataOnly="0" labelOnly="1" fieldPosition="0">
        <references count="6">
          <reference field="1" count="1" selected="0">
            <x v="131"/>
          </reference>
          <reference field="5" count="1" selected="0">
            <x v="12"/>
          </reference>
          <reference field="6" count="1" selected="0">
            <x v="1"/>
          </reference>
          <reference field="7" count="1" selected="0">
            <x v="220"/>
          </reference>
          <reference field="8" count="1" selected="0">
            <x v="213"/>
          </reference>
          <reference field="9" count="1">
            <x v="611"/>
          </reference>
        </references>
      </pivotArea>
    </format>
    <format dxfId="831">
      <pivotArea dataOnly="0" labelOnly="1" fieldPosition="0">
        <references count="6">
          <reference field="1" count="1" selected="0">
            <x v="131"/>
          </reference>
          <reference field="5" count="1" selected="0">
            <x v="12"/>
          </reference>
          <reference field="6" count="1" selected="0">
            <x v="1"/>
          </reference>
          <reference field="7" count="1" selected="0">
            <x v="220"/>
          </reference>
          <reference field="8" count="1" selected="0">
            <x v="352"/>
          </reference>
          <reference field="9" count="1">
            <x v="611"/>
          </reference>
        </references>
      </pivotArea>
    </format>
    <format dxfId="830">
      <pivotArea dataOnly="0" labelOnly="1" fieldPosition="0">
        <references count="6">
          <reference field="1" count="1" selected="0">
            <x v="131"/>
          </reference>
          <reference field="5" count="1" selected="0">
            <x v="12"/>
          </reference>
          <reference field="6" count="1" selected="0">
            <x v="1"/>
          </reference>
          <reference field="7" count="1" selected="0">
            <x v="220"/>
          </reference>
          <reference field="8" count="1" selected="0">
            <x v="702"/>
          </reference>
          <reference field="9" count="1">
            <x v="611"/>
          </reference>
        </references>
      </pivotArea>
    </format>
    <format dxfId="829">
      <pivotArea dataOnly="0" labelOnly="1" fieldPosition="0">
        <references count="6">
          <reference field="1" count="1" selected="0">
            <x v="131"/>
          </reference>
          <reference field="5" count="1" selected="0">
            <x v="23"/>
          </reference>
          <reference field="6" count="1" selected="0">
            <x v="38"/>
          </reference>
          <reference field="7" count="1" selected="0">
            <x v="220"/>
          </reference>
          <reference field="8" count="1" selected="0">
            <x v="371"/>
          </reference>
          <reference field="9" count="1">
            <x v="611"/>
          </reference>
        </references>
      </pivotArea>
    </format>
    <format dxfId="828">
      <pivotArea dataOnly="0" labelOnly="1" fieldPosition="0">
        <references count="6">
          <reference field="1" count="1" selected="0">
            <x v="131"/>
          </reference>
          <reference field="5" count="1" selected="0">
            <x v="35"/>
          </reference>
          <reference field="6" count="1" selected="0">
            <x v="1"/>
          </reference>
          <reference field="7" count="1" selected="0">
            <x v="220"/>
          </reference>
          <reference field="8" count="1" selected="0">
            <x v="80"/>
          </reference>
          <reference field="9" count="1">
            <x v="611"/>
          </reference>
        </references>
      </pivotArea>
    </format>
    <format dxfId="827">
      <pivotArea dataOnly="0" labelOnly="1" fieldPosition="0">
        <references count="6">
          <reference field="1" count="1" selected="0">
            <x v="131"/>
          </reference>
          <reference field="5" count="1" selected="0">
            <x v="35"/>
          </reference>
          <reference field="6" count="1" selected="0">
            <x v="1"/>
          </reference>
          <reference field="7" count="1" selected="0">
            <x v="220"/>
          </reference>
          <reference field="8" count="1" selected="0">
            <x v="500"/>
          </reference>
          <reference field="9" count="1">
            <x v="611"/>
          </reference>
        </references>
      </pivotArea>
    </format>
    <format dxfId="826">
      <pivotArea dataOnly="0" labelOnly="1" fieldPosition="0">
        <references count="6">
          <reference field="1" count="1" selected="0">
            <x v="131"/>
          </reference>
          <reference field="5" count="1" selected="0">
            <x v="36"/>
          </reference>
          <reference field="6" count="1" selected="0">
            <x v="38"/>
          </reference>
          <reference field="7" count="1" selected="0">
            <x v="220"/>
          </reference>
          <reference field="8" count="1" selected="0">
            <x v="214"/>
          </reference>
          <reference field="9" count="1">
            <x v="611"/>
          </reference>
        </references>
      </pivotArea>
    </format>
    <format dxfId="825">
      <pivotArea dataOnly="0" labelOnly="1" fieldPosition="0">
        <references count="6">
          <reference field="1" count="1" selected="0">
            <x v="132"/>
          </reference>
          <reference field="5" count="1" selected="0">
            <x v="0"/>
          </reference>
          <reference field="6" count="1" selected="0">
            <x v="38"/>
          </reference>
          <reference field="7" count="1" selected="0">
            <x v="221"/>
          </reference>
          <reference field="8" count="1" selected="0">
            <x v="138"/>
          </reference>
          <reference field="9" count="1">
            <x v="611"/>
          </reference>
        </references>
      </pivotArea>
    </format>
    <format dxfId="824">
      <pivotArea dataOnly="0" labelOnly="1" fieldPosition="0">
        <references count="6">
          <reference field="1" count="1" selected="0">
            <x v="132"/>
          </reference>
          <reference field="5" count="1" selected="0">
            <x v="0"/>
          </reference>
          <reference field="6" count="1" selected="0">
            <x v="38"/>
          </reference>
          <reference field="7" count="1" selected="0">
            <x v="221"/>
          </reference>
          <reference field="8" count="1" selected="0">
            <x v="1508"/>
          </reference>
          <reference field="9" count="1">
            <x v="611"/>
          </reference>
        </references>
      </pivotArea>
    </format>
    <format dxfId="823">
      <pivotArea dataOnly="0" labelOnly="1" fieldPosition="0">
        <references count="6">
          <reference field="1" count="1" selected="0">
            <x v="132"/>
          </reference>
          <reference field="5" count="1" selected="0">
            <x v="0"/>
          </reference>
          <reference field="6" count="1" selected="0">
            <x v="38"/>
          </reference>
          <reference field="7" count="1" selected="0">
            <x v="221"/>
          </reference>
          <reference field="8" count="1" selected="0">
            <x v="1546"/>
          </reference>
          <reference field="9" count="1">
            <x v="611"/>
          </reference>
        </references>
      </pivotArea>
    </format>
    <format dxfId="822">
      <pivotArea dataOnly="0" labelOnly="1" fieldPosition="0">
        <references count="6">
          <reference field="1" count="1" selected="0">
            <x v="132"/>
          </reference>
          <reference field="5" count="1" selected="0">
            <x v="3"/>
          </reference>
          <reference field="6" count="1" selected="0">
            <x v="38"/>
          </reference>
          <reference field="7" count="1" selected="0">
            <x v="221"/>
          </reference>
          <reference field="8" count="1" selected="0">
            <x v="926"/>
          </reference>
          <reference field="9" count="1">
            <x v="611"/>
          </reference>
        </references>
      </pivotArea>
    </format>
    <format dxfId="821">
      <pivotArea dataOnly="0" labelOnly="1" fieldPosition="0">
        <references count="6">
          <reference field="1" count="1" selected="0">
            <x v="132"/>
          </reference>
          <reference field="5" count="1" selected="0">
            <x v="6"/>
          </reference>
          <reference field="6" count="1" selected="0">
            <x v="38"/>
          </reference>
          <reference field="7" count="1" selected="0">
            <x v="221"/>
          </reference>
          <reference field="8" count="1" selected="0">
            <x v="1385"/>
          </reference>
          <reference field="9" count="1">
            <x v="611"/>
          </reference>
        </references>
      </pivotArea>
    </format>
    <format dxfId="820">
      <pivotArea dataOnly="0" labelOnly="1" fieldPosition="0">
        <references count="6">
          <reference field="1" count="1" selected="0">
            <x v="132"/>
          </reference>
          <reference field="5" count="1" selected="0">
            <x v="12"/>
          </reference>
          <reference field="6" count="1" selected="0">
            <x v="1"/>
          </reference>
          <reference field="7" count="1" selected="0">
            <x v="221"/>
          </reference>
          <reference field="8" count="1" selected="0">
            <x v="80"/>
          </reference>
          <reference field="9" count="1">
            <x v="611"/>
          </reference>
        </references>
      </pivotArea>
    </format>
    <format dxfId="819">
      <pivotArea dataOnly="0" labelOnly="1" fieldPosition="0">
        <references count="6">
          <reference field="1" count="1" selected="0">
            <x v="132"/>
          </reference>
          <reference field="5" count="1" selected="0">
            <x v="12"/>
          </reference>
          <reference field="6" count="1" selected="0">
            <x v="1"/>
          </reference>
          <reference field="7" count="1" selected="0">
            <x v="221"/>
          </reference>
          <reference field="8" count="1" selected="0">
            <x v="607"/>
          </reference>
          <reference field="9" count="1">
            <x v="611"/>
          </reference>
        </references>
      </pivotArea>
    </format>
    <format dxfId="818">
      <pivotArea dataOnly="0" labelOnly="1" fieldPosition="0">
        <references count="6">
          <reference field="1" count="1" selected="0">
            <x v="132"/>
          </reference>
          <reference field="5" count="1" selected="0">
            <x v="12"/>
          </reference>
          <reference field="6" count="1" selected="0">
            <x v="1"/>
          </reference>
          <reference field="7" count="1" selected="0">
            <x v="221"/>
          </reference>
          <reference field="8" count="1" selected="0">
            <x v="702"/>
          </reference>
          <reference field="9" count="1">
            <x v="611"/>
          </reference>
        </references>
      </pivotArea>
    </format>
    <format dxfId="817">
      <pivotArea dataOnly="0" labelOnly="1" fieldPosition="0">
        <references count="6">
          <reference field="1" count="1" selected="0">
            <x v="132"/>
          </reference>
          <reference field="5" count="1" selected="0">
            <x v="12"/>
          </reference>
          <reference field="6" count="1" selected="0">
            <x v="38"/>
          </reference>
          <reference field="7" count="1" selected="0">
            <x v="221"/>
          </reference>
          <reference field="8" count="1" selected="0">
            <x v="1394"/>
          </reference>
          <reference field="9" count="1">
            <x v="611"/>
          </reference>
        </references>
      </pivotArea>
    </format>
    <format dxfId="816">
      <pivotArea dataOnly="0" labelOnly="1" fieldPosition="0">
        <references count="6">
          <reference field="1" count="1" selected="0">
            <x v="132"/>
          </reference>
          <reference field="5" count="1" selected="0">
            <x v="12"/>
          </reference>
          <reference field="6" count="1" selected="0">
            <x v="38"/>
          </reference>
          <reference field="7" count="1" selected="0">
            <x v="221"/>
          </reference>
          <reference field="8" count="1" selected="0">
            <x v="1607"/>
          </reference>
          <reference field="9" count="1">
            <x v="611"/>
          </reference>
        </references>
      </pivotArea>
    </format>
    <format dxfId="815">
      <pivotArea dataOnly="0" labelOnly="1" fieldPosition="0">
        <references count="6">
          <reference field="1" count="1" selected="0">
            <x v="132"/>
          </reference>
          <reference field="5" count="1" selected="0">
            <x v="17"/>
          </reference>
          <reference field="6" count="1" selected="0">
            <x v="6"/>
          </reference>
          <reference field="7" count="1" selected="0">
            <x v="221"/>
          </reference>
          <reference field="8" count="1" selected="0">
            <x v="268"/>
          </reference>
          <reference field="9" count="1">
            <x v="611"/>
          </reference>
        </references>
      </pivotArea>
    </format>
    <format dxfId="814">
      <pivotArea dataOnly="0" labelOnly="1" fieldPosition="0">
        <references count="6">
          <reference field="1" count="1" selected="0">
            <x v="132"/>
          </reference>
          <reference field="5" count="1" selected="0">
            <x v="33"/>
          </reference>
          <reference field="6" count="1" selected="0">
            <x v="38"/>
          </reference>
          <reference field="7" count="1" selected="0">
            <x v="221"/>
          </reference>
          <reference field="8" count="1" selected="0">
            <x v="679"/>
          </reference>
          <reference field="9" count="1">
            <x v="611"/>
          </reference>
        </references>
      </pivotArea>
    </format>
    <format dxfId="813">
      <pivotArea dataOnly="0" labelOnly="1" fieldPosition="0">
        <references count="6">
          <reference field="1" count="1" selected="0">
            <x v="132"/>
          </reference>
          <reference field="5" count="1" selected="0">
            <x v="35"/>
          </reference>
          <reference field="6" count="1" selected="0">
            <x v="1"/>
          </reference>
          <reference field="7" count="1" selected="0">
            <x v="221"/>
          </reference>
          <reference field="8" count="1" selected="0">
            <x v="80"/>
          </reference>
          <reference field="9" count="1">
            <x v="611"/>
          </reference>
        </references>
      </pivotArea>
    </format>
    <format dxfId="812">
      <pivotArea dataOnly="0" labelOnly="1" fieldPosition="0">
        <references count="6">
          <reference field="1" count="1" selected="0">
            <x v="133"/>
          </reference>
          <reference field="5" count="1" selected="0">
            <x v="0"/>
          </reference>
          <reference field="6" count="1" selected="0">
            <x v="8"/>
          </reference>
          <reference field="7" count="1" selected="0">
            <x v="222"/>
          </reference>
          <reference field="8" count="1" selected="0">
            <x v="127"/>
          </reference>
          <reference field="9" count="1">
            <x v="611"/>
          </reference>
        </references>
      </pivotArea>
    </format>
    <format dxfId="811">
      <pivotArea dataOnly="0" labelOnly="1" fieldPosition="0">
        <references count="6">
          <reference field="1" count="1" selected="0">
            <x v="133"/>
          </reference>
          <reference field="5" count="1" selected="0">
            <x v="0"/>
          </reference>
          <reference field="6" count="1" selected="0">
            <x v="8"/>
          </reference>
          <reference field="7" count="1" selected="0">
            <x v="222"/>
          </reference>
          <reference field="8" count="1" selected="0">
            <x v="316"/>
          </reference>
          <reference field="9" count="1">
            <x v="611"/>
          </reference>
        </references>
      </pivotArea>
    </format>
    <format dxfId="810">
      <pivotArea dataOnly="0" labelOnly="1" fieldPosition="0">
        <references count="6">
          <reference field="1" count="1" selected="0">
            <x v="133"/>
          </reference>
          <reference field="5" count="1" selected="0">
            <x v="0"/>
          </reference>
          <reference field="6" count="1" selected="0">
            <x v="8"/>
          </reference>
          <reference field="7" count="1" selected="0">
            <x v="222"/>
          </reference>
          <reference field="8" count="1" selected="0">
            <x v="700"/>
          </reference>
          <reference field="9" count="1">
            <x v="611"/>
          </reference>
        </references>
      </pivotArea>
    </format>
    <format dxfId="809">
      <pivotArea dataOnly="0" labelOnly="1" fieldPosition="0">
        <references count="6">
          <reference field="1" count="1" selected="0">
            <x v="133"/>
          </reference>
          <reference field="5" count="1" selected="0">
            <x v="0"/>
          </reference>
          <reference field="6" count="1" selected="0">
            <x v="8"/>
          </reference>
          <reference field="7" count="1" selected="0">
            <x v="222"/>
          </reference>
          <reference field="8" count="1" selected="0">
            <x v="1097"/>
          </reference>
          <reference field="9" count="1">
            <x v="611"/>
          </reference>
        </references>
      </pivotArea>
    </format>
    <format dxfId="808">
      <pivotArea dataOnly="0" labelOnly="1" fieldPosition="0">
        <references count="6">
          <reference field="1" count="1" selected="0">
            <x v="133"/>
          </reference>
          <reference field="5" count="1" selected="0">
            <x v="0"/>
          </reference>
          <reference field="6" count="1" selected="0">
            <x v="8"/>
          </reference>
          <reference field="7" count="1" selected="0">
            <x v="222"/>
          </reference>
          <reference field="8" count="1" selected="0">
            <x v="1240"/>
          </reference>
          <reference field="9" count="1">
            <x v="611"/>
          </reference>
        </references>
      </pivotArea>
    </format>
    <format dxfId="807">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62"/>
          </reference>
          <reference field="9" count="1">
            <x v="611"/>
          </reference>
        </references>
      </pivotArea>
    </format>
    <format dxfId="806">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292"/>
          </reference>
          <reference field="9" count="1">
            <x v="611"/>
          </reference>
        </references>
      </pivotArea>
    </format>
    <format dxfId="805">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520"/>
          </reference>
          <reference field="9" count="1">
            <x v="611"/>
          </reference>
        </references>
      </pivotArea>
    </format>
    <format dxfId="804">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540"/>
          </reference>
          <reference field="9" count="1">
            <x v="611"/>
          </reference>
        </references>
      </pivotArea>
    </format>
    <format dxfId="803">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629"/>
          </reference>
          <reference field="9" count="1">
            <x v="611"/>
          </reference>
        </references>
      </pivotArea>
    </format>
    <format dxfId="802">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687"/>
          </reference>
          <reference field="9" count="1">
            <x v="611"/>
          </reference>
        </references>
      </pivotArea>
    </format>
    <format dxfId="801">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925"/>
          </reference>
          <reference field="9" count="1">
            <x v="611"/>
          </reference>
        </references>
      </pivotArea>
    </format>
    <format dxfId="800">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958"/>
          </reference>
          <reference field="9" count="1">
            <x v="611"/>
          </reference>
        </references>
      </pivotArea>
    </format>
    <format dxfId="799">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962"/>
          </reference>
          <reference field="9" count="1">
            <x v="611"/>
          </reference>
        </references>
      </pivotArea>
    </format>
    <format dxfId="798">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985"/>
          </reference>
          <reference field="9" count="1">
            <x v="611"/>
          </reference>
        </references>
      </pivotArea>
    </format>
    <format dxfId="797">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1141"/>
          </reference>
          <reference field="9" count="1">
            <x v="611"/>
          </reference>
        </references>
      </pivotArea>
    </format>
    <format dxfId="796">
      <pivotArea dataOnly="0" labelOnly="1" fieldPosition="0">
        <references count="6">
          <reference field="1" count="1" selected="0">
            <x v="133"/>
          </reference>
          <reference field="5" count="1" selected="0">
            <x v="0"/>
          </reference>
          <reference field="6" count="1" selected="0">
            <x v="9"/>
          </reference>
          <reference field="7" count="1" selected="0">
            <x v="222"/>
          </reference>
          <reference field="8" count="1" selected="0">
            <x v="1246"/>
          </reference>
          <reference field="9" count="1">
            <x v="611"/>
          </reference>
        </references>
      </pivotArea>
    </format>
    <format dxfId="795">
      <pivotArea dataOnly="0" labelOnly="1" fieldPosition="0">
        <references count="6">
          <reference field="1" count="1" selected="0">
            <x v="133"/>
          </reference>
          <reference field="5" count="1" selected="0">
            <x v="0"/>
          </reference>
          <reference field="6" count="1" selected="0">
            <x v="12"/>
          </reference>
          <reference field="7" count="1" selected="0">
            <x v="50"/>
          </reference>
          <reference field="8" count="1" selected="0">
            <x v="248"/>
          </reference>
          <reference field="9" count="1">
            <x v="611"/>
          </reference>
        </references>
      </pivotArea>
    </format>
    <format dxfId="794">
      <pivotArea dataOnly="0" labelOnly="1" fieldPosition="0">
        <references count="6">
          <reference field="1" count="1" selected="0">
            <x v="133"/>
          </reference>
          <reference field="5" count="1" selected="0">
            <x v="0"/>
          </reference>
          <reference field="6" count="1" selected="0">
            <x v="12"/>
          </reference>
          <reference field="7" count="1" selected="0">
            <x v="56"/>
          </reference>
          <reference field="8" count="1" selected="0">
            <x v="29"/>
          </reference>
          <reference field="9" count="1">
            <x v="611"/>
          </reference>
        </references>
      </pivotArea>
    </format>
    <format dxfId="793">
      <pivotArea dataOnly="0" labelOnly="1" fieldPosition="0">
        <references count="6">
          <reference field="1" count="1" selected="0">
            <x v="133"/>
          </reference>
          <reference field="5" count="1" selected="0">
            <x v="5"/>
          </reference>
          <reference field="6" count="1" selected="0">
            <x v="8"/>
          </reference>
          <reference field="7" count="1" selected="0">
            <x v="222"/>
          </reference>
          <reference field="8" count="1" selected="0">
            <x v="1283"/>
          </reference>
          <reference field="9" count="1">
            <x v="611"/>
          </reference>
        </references>
      </pivotArea>
    </format>
    <format dxfId="792">
      <pivotArea dataOnly="0" labelOnly="1" fieldPosition="0">
        <references count="6">
          <reference field="1" count="1" selected="0">
            <x v="133"/>
          </reference>
          <reference field="5" count="1" selected="0">
            <x v="8"/>
          </reference>
          <reference field="6" count="1" selected="0">
            <x v="10"/>
          </reference>
          <reference field="7" count="1" selected="0">
            <x v="222"/>
          </reference>
          <reference field="8" count="1" selected="0">
            <x v="772"/>
          </reference>
          <reference field="9" count="1">
            <x v="611"/>
          </reference>
        </references>
      </pivotArea>
    </format>
    <format dxfId="791">
      <pivotArea dataOnly="0" labelOnly="1" fieldPosition="0">
        <references count="6">
          <reference field="1" count="1" selected="0">
            <x v="133"/>
          </reference>
          <reference field="5" count="1" selected="0">
            <x v="11"/>
          </reference>
          <reference field="6" count="1" selected="0">
            <x v="9"/>
          </reference>
          <reference field="7" count="1" selected="0">
            <x v="222"/>
          </reference>
          <reference field="8" count="1" selected="0">
            <x v="410"/>
          </reference>
          <reference field="9" count="1">
            <x v="611"/>
          </reference>
        </references>
      </pivotArea>
    </format>
    <format dxfId="790">
      <pivotArea dataOnly="0" labelOnly="1" fieldPosition="0">
        <references count="6">
          <reference field="1" count="1" selected="0">
            <x v="133"/>
          </reference>
          <reference field="5" count="1" selected="0">
            <x v="12"/>
          </reference>
          <reference field="6" count="1" selected="0">
            <x v="1"/>
          </reference>
          <reference field="7" count="1" selected="0">
            <x v="222"/>
          </reference>
          <reference field="8" count="1" selected="0">
            <x v="352"/>
          </reference>
          <reference field="9" count="1">
            <x v="611"/>
          </reference>
        </references>
      </pivotArea>
    </format>
    <format dxfId="789">
      <pivotArea dataOnly="0" labelOnly="1" fieldPosition="0">
        <references count="6">
          <reference field="1" count="1" selected="0">
            <x v="133"/>
          </reference>
          <reference field="5" count="1" selected="0">
            <x v="12"/>
          </reference>
          <reference field="6" count="1" selected="0">
            <x v="1"/>
          </reference>
          <reference field="7" count="1" selected="0">
            <x v="222"/>
          </reference>
          <reference field="8" count="1" selected="0">
            <x v="846"/>
          </reference>
          <reference field="9" count="1">
            <x v="611"/>
          </reference>
        </references>
      </pivotArea>
    </format>
    <format dxfId="788">
      <pivotArea dataOnly="0" labelOnly="1" fieldPosition="0">
        <references count="6">
          <reference field="1" count="1" selected="0">
            <x v="133"/>
          </reference>
          <reference field="5" count="1" selected="0">
            <x v="15"/>
          </reference>
          <reference field="6" count="1" selected="0">
            <x v="8"/>
          </reference>
          <reference field="7" count="1" selected="0">
            <x v="222"/>
          </reference>
          <reference field="8" count="1" selected="0">
            <x v="789"/>
          </reference>
          <reference field="9" count="1">
            <x v="611"/>
          </reference>
        </references>
      </pivotArea>
    </format>
    <format dxfId="787">
      <pivotArea dataOnly="0" labelOnly="1" fieldPosition="0">
        <references count="6">
          <reference field="1" count="1" selected="0">
            <x v="133"/>
          </reference>
          <reference field="5" count="1" selected="0">
            <x v="29"/>
          </reference>
          <reference field="6" count="1" selected="0">
            <x v="10"/>
          </reference>
          <reference field="7" count="1" selected="0">
            <x v="222"/>
          </reference>
          <reference field="8" count="1" selected="0">
            <x v="1456"/>
          </reference>
          <reference field="9" count="1">
            <x v="611"/>
          </reference>
        </references>
      </pivotArea>
    </format>
    <format dxfId="786">
      <pivotArea dataOnly="0" labelOnly="1" fieldPosition="0">
        <references count="6">
          <reference field="1" count="1" selected="0">
            <x v="133"/>
          </reference>
          <reference field="5" count="1" selected="0">
            <x v="37"/>
          </reference>
          <reference field="6" count="1" selected="0">
            <x v="8"/>
          </reference>
          <reference field="7" count="1" selected="0">
            <x v="222"/>
          </reference>
          <reference field="8" count="1" selected="0">
            <x v="1328"/>
          </reference>
          <reference field="9" count="1">
            <x v="611"/>
          </reference>
        </references>
      </pivotArea>
    </format>
    <format dxfId="785">
      <pivotArea dataOnly="0" labelOnly="1" fieldPosition="0">
        <references count="6">
          <reference field="1" count="1" selected="0">
            <x v="133"/>
          </reference>
          <reference field="5" count="1" selected="0">
            <x v="37"/>
          </reference>
          <reference field="6" count="1" selected="0">
            <x v="9"/>
          </reference>
          <reference field="7" count="1" selected="0">
            <x v="222"/>
          </reference>
          <reference field="8" count="1" selected="0">
            <x v="1291"/>
          </reference>
          <reference field="9" count="1">
            <x v="611"/>
          </reference>
        </references>
      </pivotArea>
    </format>
    <format dxfId="784">
      <pivotArea dataOnly="0" labelOnly="1" fieldPosition="0">
        <references count="6">
          <reference field="1" count="1" selected="0">
            <x v="134"/>
          </reference>
          <reference field="5" count="1" selected="0">
            <x v="0"/>
          </reference>
          <reference field="6" count="1" selected="0">
            <x v="1"/>
          </reference>
          <reference field="7" count="1" selected="0">
            <x v="223"/>
          </reference>
          <reference field="8" count="1" selected="0">
            <x v="80"/>
          </reference>
          <reference field="9" count="1">
            <x v="611"/>
          </reference>
        </references>
      </pivotArea>
    </format>
    <format dxfId="783">
      <pivotArea dataOnly="0" labelOnly="1" fieldPosition="0">
        <references count="6">
          <reference field="1" count="1" selected="0">
            <x v="134"/>
          </reference>
          <reference field="5" count="1" selected="0">
            <x v="0"/>
          </reference>
          <reference field="6" count="1" selected="0">
            <x v="6"/>
          </reference>
          <reference field="7" count="1" selected="0">
            <x v="223"/>
          </reference>
          <reference field="8" count="1" selected="0">
            <x v="371"/>
          </reference>
          <reference field="9" count="1">
            <x v="611"/>
          </reference>
        </references>
      </pivotArea>
    </format>
    <format dxfId="782">
      <pivotArea dataOnly="0" labelOnly="1" fieldPosition="0">
        <references count="6">
          <reference field="1" count="1" selected="0">
            <x v="134"/>
          </reference>
          <reference field="5" count="1" selected="0">
            <x v="0"/>
          </reference>
          <reference field="6" count="1" selected="0">
            <x v="12"/>
          </reference>
          <reference field="7" count="1" selected="0">
            <x v="10"/>
          </reference>
          <reference field="8" count="1" selected="0">
            <x v="138"/>
          </reference>
          <reference field="9" count="1">
            <x v="611"/>
          </reference>
        </references>
      </pivotArea>
    </format>
    <format dxfId="781">
      <pivotArea dataOnly="0" labelOnly="1" fieldPosition="0">
        <references count="6">
          <reference field="1" count="1" selected="0">
            <x v="134"/>
          </reference>
          <reference field="5" count="1" selected="0">
            <x v="0"/>
          </reference>
          <reference field="6" count="1" selected="0">
            <x v="12"/>
          </reference>
          <reference field="7" count="1" selected="0">
            <x v="16"/>
          </reference>
          <reference field="8" count="1" selected="0">
            <x v="332"/>
          </reference>
          <reference field="9" count="1">
            <x v="611"/>
          </reference>
        </references>
      </pivotArea>
    </format>
    <format dxfId="780">
      <pivotArea dataOnly="0" labelOnly="1" fieldPosition="0">
        <references count="6">
          <reference field="1" count="1" selected="0">
            <x v="134"/>
          </reference>
          <reference field="5" count="1" selected="0">
            <x v="0"/>
          </reference>
          <reference field="6" count="1" selected="0">
            <x v="12"/>
          </reference>
          <reference field="7" count="1" selected="0">
            <x v="17"/>
          </reference>
          <reference field="8" count="1" selected="0">
            <x v="96"/>
          </reference>
          <reference field="9" count="1">
            <x v="611"/>
          </reference>
        </references>
      </pivotArea>
    </format>
    <format dxfId="779">
      <pivotArea dataOnly="0" labelOnly="1" fieldPosition="0">
        <references count="6">
          <reference field="1" count="1" selected="0">
            <x v="134"/>
          </reference>
          <reference field="5" count="1" selected="0">
            <x v="0"/>
          </reference>
          <reference field="6" count="1" selected="0">
            <x v="12"/>
          </reference>
          <reference field="7" count="1" selected="0">
            <x v="26"/>
          </reference>
          <reference field="8" count="1" selected="0">
            <x v="20"/>
          </reference>
          <reference field="9" count="1">
            <x v="611"/>
          </reference>
        </references>
      </pivotArea>
    </format>
    <format dxfId="778">
      <pivotArea dataOnly="0" labelOnly="1" fieldPosition="0">
        <references count="6">
          <reference field="1" count="1" selected="0">
            <x v="134"/>
          </reference>
          <reference field="5" count="1" selected="0">
            <x v="0"/>
          </reference>
          <reference field="6" count="1" selected="0">
            <x v="38"/>
          </reference>
          <reference field="7" count="1" selected="0">
            <x v="223"/>
          </reference>
          <reference field="8" count="1" selected="0">
            <x v="138"/>
          </reference>
          <reference field="9" count="1">
            <x v="611"/>
          </reference>
        </references>
      </pivotArea>
    </format>
    <format dxfId="777">
      <pivotArea dataOnly="0" labelOnly="1" fieldPosition="0">
        <references count="6">
          <reference field="1" count="1" selected="0">
            <x v="134"/>
          </reference>
          <reference field="5" count="1" selected="0">
            <x v="6"/>
          </reference>
          <reference field="6" count="1" selected="0">
            <x v="38"/>
          </reference>
          <reference field="7" count="1" selected="0">
            <x v="223"/>
          </reference>
          <reference field="8" count="1" selected="0">
            <x v="592"/>
          </reference>
          <reference field="9" count="1">
            <x v="611"/>
          </reference>
        </references>
      </pivotArea>
    </format>
    <format dxfId="776">
      <pivotArea dataOnly="0" labelOnly="1" fieldPosition="0">
        <references count="6">
          <reference field="1" count="1" selected="0">
            <x v="134"/>
          </reference>
          <reference field="5" count="1" selected="0">
            <x v="12"/>
          </reference>
          <reference field="6" count="1" selected="0">
            <x v="1"/>
          </reference>
          <reference field="7" count="1" selected="0">
            <x v="223"/>
          </reference>
          <reference field="8" count="1" selected="0">
            <x v="80"/>
          </reference>
          <reference field="9" count="1">
            <x v="611"/>
          </reference>
        </references>
      </pivotArea>
    </format>
    <format dxfId="775">
      <pivotArea dataOnly="0" labelOnly="1" fieldPosition="0">
        <references count="6">
          <reference field="1" count="1" selected="0">
            <x v="134"/>
          </reference>
          <reference field="5" count="1" selected="0">
            <x v="12"/>
          </reference>
          <reference field="6" count="1" selected="0">
            <x v="1"/>
          </reference>
          <reference field="7" count="1" selected="0">
            <x v="223"/>
          </reference>
          <reference field="8" count="1" selected="0">
            <x v="213"/>
          </reference>
          <reference field="9" count="1">
            <x v="611"/>
          </reference>
        </references>
      </pivotArea>
    </format>
    <format dxfId="774">
      <pivotArea dataOnly="0" labelOnly="1" fieldPosition="0">
        <references count="6">
          <reference field="1" count="1" selected="0">
            <x v="134"/>
          </reference>
          <reference field="5" count="1" selected="0">
            <x v="12"/>
          </reference>
          <reference field="6" count="1" selected="0">
            <x v="1"/>
          </reference>
          <reference field="7" count="1" selected="0">
            <x v="223"/>
          </reference>
          <reference field="8" count="1" selected="0">
            <x v="352"/>
          </reference>
          <reference field="9" count="1">
            <x v="611"/>
          </reference>
        </references>
      </pivotArea>
    </format>
    <format dxfId="773">
      <pivotArea dataOnly="0" labelOnly="1" fieldPosition="0">
        <references count="6">
          <reference field="1" count="1" selected="0">
            <x v="134"/>
          </reference>
          <reference field="5" count="1" selected="0">
            <x v="12"/>
          </reference>
          <reference field="6" count="1" selected="0">
            <x v="1"/>
          </reference>
          <reference field="7" count="1" selected="0">
            <x v="223"/>
          </reference>
          <reference field="8" count="1" selected="0">
            <x v="500"/>
          </reference>
          <reference field="9" count="1">
            <x v="611"/>
          </reference>
        </references>
      </pivotArea>
    </format>
    <format dxfId="772">
      <pivotArea dataOnly="0" labelOnly="1" fieldPosition="0">
        <references count="6">
          <reference field="1" count="1" selected="0">
            <x v="134"/>
          </reference>
          <reference field="5" count="1" selected="0">
            <x v="12"/>
          </reference>
          <reference field="6" count="1" selected="0">
            <x v="1"/>
          </reference>
          <reference field="7" count="1" selected="0">
            <x v="223"/>
          </reference>
          <reference field="8" count="1" selected="0">
            <x v="607"/>
          </reference>
          <reference field="9" count="1">
            <x v="611"/>
          </reference>
        </references>
      </pivotArea>
    </format>
    <format dxfId="771">
      <pivotArea dataOnly="0" labelOnly="1" fieldPosition="0">
        <references count="6">
          <reference field="1" count="1" selected="0">
            <x v="134"/>
          </reference>
          <reference field="5" count="1" selected="0">
            <x v="14"/>
          </reference>
          <reference field="6" count="1" selected="0">
            <x v="6"/>
          </reference>
          <reference field="7" count="1" selected="0">
            <x v="223"/>
          </reference>
          <reference field="8" count="1" selected="0">
            <x v="1139"/>
          </reference>
          <reference field="9" count="1">
            <x v="611"/>
          </reference>
        </references>
      </pivotArea>
    </format>
    <format dxfId="770">
      <pivotArea dataOnly="0" labelOnly="1" fieldPosition="0">
        <references count="6">
          <reference field="1" count="1" selected="0">
            <x v="134"/>
          </reference>
          <reference field="5" count="1" selected="0">
            <x v="20"/>
          </reference>
          <reference field="6" count="1" selected="0">
            <x v="10"/>
          </reference>
          <reference field="7" count="1" selected="0">
            <x v="223"/>
          </reference>
          <reference field="8" count="1" selected="0">
            <x v="1866"/>
          </reference>
          <reference field="9" count="1">
            <x v="611"/>
          </reference>
        </references>
      </pivotArea>
    </format>
    <format dxfId="769">
      <pivotArea dataOnly="0" labelOnly="1" fieldPosition="0">
        <references count="6">
          <reference field="1" count="1" selected="0">
            <x v="134"/>
          </reference>
          <reference field="5" count="1" selected="0">
            <x v="23"/>
          </reference>
          <reference field="6" count="1" selected="0">
            <x v="38"/>
          </reference>
          <reference field="7" count="1" selected="0">
            <x v="223"/>
          </reference>
          <reference field="8" count="1" selected="0">
            <x v="19"/>
          </reference>
          <reference field="9" count="1">
            <x v="611"/>
          </reference>
        </references>
      </pivotArea>
    </format>
    <format dxfId="768">
      <pivotArea dataOnly="0" labelOnly="1" fieldPosition="0">
        <references count="6">
          <reference field="1" count="1" selected="0">
            <x v="134"/>
          </reference>
          <reference field="5" count="1" selected="0">
            <x v="29"/>
          </reference>
          <reference field="6" count="1" selected="0">
            <x v="10"/>
          </reference>
          <reference field="7" count="1" selected="0">
            <x v="223"/>
          </reference>
          <reference field="8" count="1" selected="0">
            <x v="1598"/>
          </reference>
          <reference field="9" count="1">
            <x v="611"/>
          </reference>
        </references>
      </pivotArea>
    </format>
    <format dxfId="767">
      <pivotArea dataOnly="0" labelOnly="1" fieldPosition="0">
        <references count="6">
          <reference field="1" count="1" selected="0">
            <x v="134"/>
          </reference>
          <reference field="5" count="1" selected="0">
            <x v="36"/>
          </reference>
          <reference field="6" count="1" selected="0">
            <x v="6"/>
          </reference>
          <reference field="7" count="1" selected="0">
            <x v="223"/>
          </reference>
          <reference field="8" count="1" selected="0">
            <x v="576"/>
          </reference>
          <reference field="9" count="1">
            <x v="611"/>
          </reference>
        </references>
      </pivotArea>
    </format>
    <format dxfId="766">
      <pivotArea dataOnly="0" labelOnly="1" fieldPosition="0">
        <references count="6">
          <reference field="1" count="1" selected="0">
            <x v="135"/>
          </reference>
          <reference field="5" count="1" selected="0">
            <x v="0"/>
          </reference>
          <reference field="6" count="1" selected="0">
            <x v="12"/>
          </reference>
          <reference field="7" count="1" selected="0">
            <x v="18"/>
          </reference>
          <reference field="8" count="1" selected="0">
            <x v="18"/>
          </reference>
          <reference field="9" count="1">
            <x v="611"/>
          </reference>
        </references>
      </pivotArea>
    </format>
    <format dxfId="765">
      <pivotArea dataOnly="0" labelOnly="1" fieldPosition="0">
        <references count="6">
          <reference field="1" count="1" selected="0">
            <x v="135"/>
          </reference>
          <reference field="5" count="1" selected="0">
            <x v="0"/>
          </reference>
          <reference field="6" count="1" selected="0">
            <x v="12"/>
          </reference>
          <reference field="7" count="1" selected="0">
            <x v="34"/>
          </reference>
          <reference field="8" count="1" selected="0">
            <x v="325"/>
          </reference>
          <reference field="9" count="1">
            <x v="611"/>
          </reference>
        </references>
      </pivotArea>
    </format>
    <format dxfId="764">
      <pivotArea dataOnly="0" labelOnly="1" fieldPosition="0">
        <references count="6">
          <reference field="1" count="1" selected="0">
            <x v="135"/>
          </reference>
          <reference field="5" count="1" selected="0">
            <x v="0"/>
          </reference>
          <reference field="6" count="1" selected="0">
            <x v="12"/>
          </reference>
          <reference field="7" count="1" selected="0">
            <x v="38"/>
          </reference>
          <reference field="8" count="1" selected="0">
            <x v="11"/>
          </reference>
          <reference field="9" count="1">
            <x v="611"/>
          </reference>
        </references>
      </pivotArea>
    </format>
    <format dxfId="763">
      <pivotArea dataOnly="0" labelOnly="1" fieldPosition="0">
        <references count="6">
          <reference field="1" count="1" selected="0">
            <x v="135"/>
          </reference>
          <reference field="5" count="1" selected="0">
            <x v="0"/>
          </reference>
          <reference field="6" count="1" selected="0">
            <x v="12"/>
          </reference>
          <reference field="7" count="1" selected="0">
            <x v="50"/>
          </reference>
          <reference field="8" count="1" selected="0">
            <x v="352"/>
          </reference>
          <reference field="9" count="1">
            <x v="611"/>
          </reference>
        </references>
      </pivotArea>
    </format>
    <format dxfId="762">
      <pivotArea dataOnly="0" labelOnly="1" fieldPosition="0">
        <references count="6">
          <reference field="1" count="1" selected="0">
            <x v="135"/>
          </reference>
          <reference field="5" count="1" selected="0">
            <x v="0"/>
          </reference>
          <reference field="6" count="1" selected="0">
            <x v="12"/>
          </reference>
          <reference field="7" count="1" selected="0">
            <x v="52"/>
          </reference>
          <reference field="8" count="1" selected="0">
            <x v="75"/>
          </reference>
          <reference field="9" count="1">
            <x v="611"/>
          </reference>
        </references>
      </pivotArea>
    </format>
    <format dxfId="761">
      <pivotArea dataOnly="0" labelOnly="1" fieldPosition="0">
        <references count="6">
          <reference field="1" count="1" selected="0">
            <x v="135"/>
          </reference>
          <reference field="5" count="1" selected="0">
            <x v="5"/>
          </reference>
          <reference field="6" count="1" selected="0">
            <x v="37"/>
          </reference>
          <reference field="7" count="1" selected="0">
            <x v="224"/>
          </reference>
          <reference field="8" count="1" selected="0">
            <x v="1207"/>
          </reference>
          <reference field="9" count="1">
            <x v="611"/>
          </reference>
        </references>
      </pivotArea>
    </format>
    <format dxfId="760">
      <pivotArea dataOnly="0" labelOnly="1" fieldPosition="0">
        <references count="6">
          <reference field="1" count="1" selected="0">
            <x v="135"/>
          </reference>
          <reference field="5" count="1" selected="0">
            <x v="6"/>
          </reference>
          <reference field="6" count="1" selected="0">
            <x v="38"/>
          </reference>
          <reference field="7" count="1" selected="0">
            <x v="224"/>
          </reference>
          <reference field="8" count="1" selected="0">
            <x v="619"/>
          </reference>
          <reference field="9" count="1">
            <x v="611"/>
          </reference>
        </references>
      </pivotArea>
    </format>
    <format dxfId="759">
      <pivotArea dataOnly="0" labelOnly="1" fieldPosition="0">
        <references count="6">
          <reference field="1" count="1" selected="0">
            <x v="135"/>
          </reference>
          <reference field="5" count="1" selected="0">
            <x v="12"/>
          </reference>
          <reference field="6" count="1" selected="0">
            <x v="1"/>
          </reference>
          <reference field="7" count="1" selected="0">
            <x v="224"/>
          </reference>
          <reference field="8" count="1" selected="0">
            <x v="80"/>
          </reference>
          <reference field="9" count="1">
            <x v="611"/>
          </reference>
        </references>
      </pivotArea>
    </format>
    <format dxfId="758">
      <pivotArea dataOnly="0" labelOnly="1" fieldPosition="0">
        <references count="6">
          <reference field="1" count="1" selected="0">
            <x v="135"/>
          </reference>
          <reference field="5" count="1" selected="0">
            <x v="12"/>
          </reference>
          <reference field="6" count="1" selected="0">
            <x v="1"/>
          </reference>
          <reference field="7" count="1" selected="0">
            <x v="224"/>
          </reference>
          <reference field="8" count="1" selected="0">
            <x v="213"/>
          </reference>
          <reference field="9" count="1">
            <x v="611"/>
          </reference>
        </references>
      </pivotArea>
    </format>
    <format dxfId="757">
      <pivotArea dataOnly="0" labelOnly="1" fieldPosition="0">
        <references count="6">
          <reference field="1" count="1" selected="0">
            <x v="135"/>
          </reference>
          <reference field="5" count="1" selected="0">
            <x v="12"/>
          </reference>
          <reference field="6" count="1" selected="0">
            <x v="1"/>
          </reference>
          <reference field="7" count="1" selected="0">
            <x v="224"/>
          </reference>
          <reference field="8" count="1" selected="0">
            <x v="352"/>
          </reference>
          <reference field="9" count="1">
            <x v="611"/>
          </reference>
        </references>
      </pivotArea>
    </format>
    <format dxfId="756">
      <pivotArea dataOnly="0" labelOnly="1" fieldPosition="0">
        <references count="6">
          <reference field="1" count="1" selected="0">
            <x v="135"/>
          </reference>
          <reference field="5" count="1" selected="0">
            <x v="12"/>
          </reference>
          <reference field="6" count="1" selected="0">
            <x v="1"/>
          </reference>
          <reference field="7" count="1" selected="0">
            <x v="224"/>
          </reference>
          <reference field="8" count="1" selected="0">
            <x v="771"/>
          </reference>
          <reference field="9" count="1">
            <x v="611"/>
          </reference>
        </references>
      </pivotArea>
    </format>
    <format dxfId="755">
      <pivotArea dataOnly="0" labelOnly="1" fieldPosition="0">
        <references count="6">
          <reference field="1" count="1" selected="0">
            <x v="135"/>
          </reference>
          <reference field="5" count="1" selected="0">
            <x v="12"/>
          </reference>
          <reference field="6" count="1" selected="0">
            <x v="1"/>
          </reference>
          <reference field="7" count="1" selected="0">
            <x v="224"/>
          </reference>
          <reference field="8" count="1" selected="0">
            <x v="964"/>
          </reference>
          <reference field="9" count="1">
            <x v="611"/>
          </reference>
        </references>
      </pivotArea>
    </format>
    <format dxfId="754">
      <pivotArea dataOnly="0" labelOnly="1" fieldPosition="0">
        <references count="6">
          <reference field="1" count="1" selected="0">
            <x v="135"/>
          </reference>
          <reference field="5" count="1" selected="0">
            <x v="17"/>
          </reference>
          <reference field="6" count="1" selected="0">
            <x v="6"/>
          </reference>
          <reference field="7" count="1" selected="0">
            <x v="224"/>
          </reference>
          <reference field="8" count="1" selected="0">
            <x v="1649"/>
          </reference>
          <reference field="9" count="1">
            <x v="611"/>
          </reference>
        </references>
      </pivotArea>
    </format>
    <format dxfId="753">
      <pivotArea dataOnly="0" labelOnly="1" fieldPosition="0">
        <references count="6">
          <reference field="1" count="1" selected="0">
            <x v="135"/>
          </reference>
          <reference field="5" count="1" selected="0">
            <x v="33"/>
          </reference>
          <reference field="6" count="1" selected="0">
            <x v="38"/>
          </reference>
          <reference field="7" count="1" selected="0">
            <x v="224"/>
          </reference>
          <reference field="8" count="1" selected="0">
            <x v="249"/>
          </reference>
          <reference field="9" count="1">
            <x v="611"/>
          </reference>
        </references>
      </pivotArea>
    </format>
    <format dxfId="752">
      <pivotArea dataOnly="0" labelOnly="1" fieldPosition="0">
        <references count="6">
          <reference field="1" count="1" selected="0">
            <x v="136"/>
          </reference>
          <reference field="5" count="1" selected="0">
            <x v="0"/>
          </reference>
          <reference field="6" count="1" selected="0">
            <x v="7"/>
          </reference>
          <reference field="7" count="1" selected="0">
            <x v="225"/>
          </reference>
          <reference field="8" count="1" selected="0">
            <x v="329"/>
          </reference>
          <reference field="9" count="1">
            <x v="611"/>
          </reference>
        </references>
      </pivotArea>
    </format>
    <format dxfId="751">
      <pivotArea dataOnly="0" labelOnly="1" fieldPosition="0">
        <references count="6">
          <reference field="1" count="1" selected="0">
            <x v="136"/>
          </reference>
          <reference field="5" count="1" selected="0">
            <x v="0"/>
          </reference>
          <reference field="6" count="1" selected="0">
            <x v="8"/>
          </reference>
          <reference field="7" count="1" selected="0">
            <x v="225"/>
          </reference>
          <reference field="8" count="1" selected="0">
            <x v="247"/>
          </reference>
          <reference field="9" count="1">
            <x v="611"/>
          </reference>
        </references>
      </pivotArea>
    </format>
    <format dxfId="750">
      <pivotArea dataOnly="0" labelOnly="1" fieldPosition="0">
        <references count="6">
          <reference field="1" count="1" selected="0">
            <x v="136"/>
          </reference>
          <reference field="5" count="1" selected="0">
            <x v="0"/>
          </reference>
          <reference field="6" count="1" selected="0">
            <x v="9"/>
          </reference>
          <reference field="7" count="1" selected="0">
            <x v="225"/>
          </reference>
          <reference field="8" count="1" selected="0">
            <x v="309"/>
          </reference>
          <reference field="9" count="1">
            <x v="611"/>
          </reference>
        </references>
      </pivotArea>
    </format>
    <format dxfId="749">
      <pivotArea dataOnly="0" labelOnly="1" fieldPosition="0">
        <references count="6">
          <reference field="1" count="1" selected="0">
            <x v="136"/>
          </reference>
          <reference field="5" count="1" selected="0">
            <x v="0"/>
          </reference>
          <reference field="6" count="1" selected="0">
            <x v="9"/>
          </reference>
          <reference field="7" count="1" selected="0">
            <x v="225"/>
          </reference>
          <reference field="8" count="1" selected="0">
            <x v="450"/>
          </reference>
          <reference field="9" count="1">
            <x v="611"/>
          </reference>
        </references>
      </pivotArea>
    </format>
    <format dxfId="748">
      <pivotArea dataOnly="0" labelOnly="1" fieldPosition="0">
        <references count="6">
          <reference field="1" count="1" selected="0">
            <x v="136"/>
          </reference>
          <reference field="5" count="1" selected="0">
            <x v="0"/>
          </reference>
          <reference field="6" count="1" selected="0">
            <x v="9"/>
          </reference>
          <reference field="7" count="1" selected="0">
            <x v="225"/>
          </reference>
          <reference field="8" count="1" selected="0">
            <x v="470"/>
          </reference>
          <reference field="9" count="1">
            <x v="611"/>
          </reference>
        </references>
      </pivotArea>
    </format>
    <format dxfId="747">
      <pivotArea dataOnly="0" labelOnly="1" fieldPosition="0">
        <references count="6">
          <reference field="1" count="1" selected="0">
            <x v="136"/>
          </reference>
          <reference field="5" count="1" selected="0">
            <x v="0"/>
          </reference>
          <reference field="6" count="1" selected="0">
            <x v="9"/>
          </reference>
          <reference field="7" count="1" selected="0">
            <x v="225"/>
          </reference>
          <reference field="8" count="1" selected="0">
            <x v="545"/>
          </reference>
          <reference field="9" count="1">
            <x v="611"/>
          </reference>
        </references>
      </pivotArea>
    </format>
    <format dxfId="746">
      <pivotArea dataOnly="0" labelOnly="1" fieldPosition="0">
        <references count="6">
          <reference field="1" count="1" selected="0">
            <x v="136"/>
          </reference>
          <reference field="5" count="1" selected="0">
            <x v="0"/>
          </reference>
          <reference field="6" count="1" selected="0">
            <x v="9"/>
          </reference>
          <reference field="7" count="1" selected="0">
            <x v="225"/>
          </reference>
          <reference field="8" count="1" selected="0">
            <x v="609"/>
          </reference>
          <reference field="9" count="1">
            <x v="611"/>
          </reference>
        </references>
      </pivotArea>
    </format>
    <format dxfId="745">
      <pivotArea dataOnly="0" labelOnly="1" fieldPosition="0">
        <references count="6">
          <reference field="1" count="1" selected="0">
            <x v="136"/>
          </reference>
          <reference field="5" count="1" selected="0">
            <x v="0"/>
          </reference>
          <reference field="6" count="1" selected="0">
            <x v="9"/>
          </reference>
          <reference field="7" count="1" selected="0">
            <x v="225"/>
          </reference>
          <reference field="8" count="1" selected="0">
            <x v="1004"/>
          </reference>
          <reference field="9" count="1">
            <x v="611"/>
          </reference>
        </references>
      </pivotArea>
    </format>
    <format dxfId="744">
      <pivotArea dataOnly="0" labelOnly="1" fieldPosition="0">
        <references count="6">
          <reference field="1" count="1" selected="0">
            <x v="136"/>
          </reference>
          <reference field="5" count="1" selected="0">
            <x v="0"/>
          </reference>
          <reference field="6" count="1" selected="0">
            <x v="12"/>
          </reference>
          <reference field="7" count="1" selected="0">
            <x v="63"/>
          </reference>
          <reference field="8" count="1" selected="0">
            <x v="6"/>
          </reference>
          <reference field="9" count="1">
            <x v="611"/>
          </reference>
        </references>
      </pivotArea>
    </format>
    <format dxfId="743">
      <pivotArea dataOnly="0" labelOnly="1" fieldPosition="0">
        <references count="6">
          <reference field="1" count="1" selected="0">
            <x v="136"/>
          </reference>
          <reference field="5" count="1" selected="0">
            <x v="0"/>
          </reference>
          <reference field="6" count="1" selected="0">
            <x v="38"/>
          </reference>
          <reference field="7" count="1" selected="0">
            <x v="225"/>
          </reference>
          <reference field="8" count="1" selected="0">
            <x v="138"/>
          </reference>
          <reference field="9" count="1">
            <x v="611"/>
          </reference>
        </references>
      </pivotArea>
    </format>
    <format dxfId="742">
      <pivotArea dataOnly="0" labelOnly="1" fieldPosition="0">
        <references count="6">
          <reference field="1" count="1" selected="0">
            <x v="136"/>
          </reference>
          <reference field="5" count="1" selected="0">
            <x v="2"/>
          </reference>
          <reference field="6" count="1" selected="0">
            <x v="10"/>
          </reference>
          <reference field="7" count="1" selected="0">
            <x v="225"/>
          </reference>
          <reference field="8" count="1" selected="0">
            <x v="1750"/>
          </reference>
          <reference field="9" count="1">
            <x v="611"/>
          </reference>
        </references>
      </pivotArea>
    </format>
    <format dxfId="741">
      <pivotArea dataOnly="0" labelOnly="1" fieldPosition="0">
        <references count="6">
          <reference field="1" count="1" selected="0">
            <x v="136"/>
          </reference>
          <reference field="5" count="1" selected="0">
            <x v="3"/>
          </reference>
          <reference field="6" count="1" selected="0">
            <x v="10"/>
          </reference>
          <reference field="7" count="1" selected="0">
            <x v="225"/>
          </reference>
          <reference field="8" count="1" selected="0">
            <x v="1355"/>
          </reference>
          <reference field="9" count="1">
            <x v="611"/>
          </reference>
        </references>
      </pivotArea>
    </format>
    <format dxfId="740">
      <pivotArea dataOnly="0" labelOnly="1" fieldPosition="0">
        <references count="6">
          <reference field="1" count="1" selected="0">
            <x v="136"/>
          </reference>
          <reference field="5" count="1" selected="0">
            <x v="8"/>
          </reference>
          <reference field="6" count="1" selected="0">
            <x v="10"/>
          </reference>
          <reference field="7" count="1" selected="0">
            <x v="225"/>
          </reference>
          <reference field="8" count="1" selected="0">
            <x v="1555"/>
          </reference>
          <reference field="9" count="1">
            <x v="611"/>
          </reference>
        </references>
      </pivotArea>
    </format>
    <format dxfId="739">
      <pivotArea dataOnly="0" labelOnly="1" fieldPosition="0">
        <references count="6">
          <reference field="1" count="1" selected="0">
            <x v="136"/>
          </reference>
          <reference field="5" count="1" selected="0">
            <x v="9"/>
          </reference>
          <reference field="6" count="1" selected="0">
            <x v="10"/>
          </reference>
          <reference field="7" count="1" selected="0">
            <x v="225"/>
          </reference>
          <reference field="8" count="1" selected="0">
            <x v="33"/>
          </reference>
          <reference field="9" count="1">
            <x v="611"/>
          </reference>
        </references>
      </pivotArea>
    </format>
    <format dxfId="738">
      <pivotArea dataOnly="0" labelOnly="1" fieldPosition="0">
        <references count="6">
          <reference field="1" count="1" selected="0">
            <x v="136"/>
          </reference>
          <reference field="5" count="1" selected="0">
            <x v="12"/>
          </reference>
          <reference field="6" count="1" selected="0">
            <x v="1"/>
          </reference>
          <reference field="7" count="1" selected="0">
            <x v="225"/>
          </reference>
          <reference field="8" count="1" selected="0">
            <x v="80"/>
          </reference>
          <reference field="9" count="1">
            <x v="611"/>
          </reference>
        </references>
      </pivotArea>
    </format>
    <format dxfId="737">
      <pivotArea dataOnly="0" labelOnly="1" fieldPosition="0">
        <references count="6">
          <reference field="1" count="1" selected="0">
            <x v="136"/>
          </reference>
          <reference field="5" count="1" selected="0">
            <x v="12"/>
          </reference>
          <reference field="6" count="1" selected="0">
            <x v="1"/>
          </reference>
          <reference field="7" count="1" selected="0">
            <x v="225"/>
          </reference>
          <reference field="8" count="1" selected="0">
            <x v="213"/>
          </reference>
          <reference field="9" count="1">
            <x v="611"/>
          </reference>
        </references>
      </pivotArea>
    </format>
    <format dxfId="736">
      <pivotArea dataOnly="0" labelOnly="1" fieldPosition="0">
        <references count="6">
          <reference field="1" count="1" selected="0">
            <x v="136"/>
          </reference>
          <reference field="5" count="1" selected="0">
            <x v="15"/>
          </reference>
          <reference field="6" count="1" selected="0">
            <x v="8"/>
          </reference>
          <reference field="7" count="1" selected="0">
            <x v="225"/>
          </reference>
          <reference field="8" count="1" selected="0">
            <x v="1119"/>
          </reference>
          <reference field="9" count="1">
            <x v="611"/>
          </reference>
        </references>
      </pivotArea>
    </format>
    <format dxfId="735">
      <pivotArea dataOnly="0" labelOnly="1" fieldPosition="0">
        <references count="6">
          <reference field="1" count="1" selected="0">
            <x v="136"/>
          </reference>
          <reference field="5" count="1" selected="0">
            <x v="18"/>
          </reference>
          <reference field="6" count="1" selected="0">
            <x v="10"/>
          </reference>
          <reference field="7" count="1" selected="0">
            <x v="225"/>
          </reference>
          <reference field="8" count="1" selected="0">
            <x v="1874"/>
          </reference>
          <reference field="9" count="1">
            <x v="611"/>
          </reference>
        </references>
      </pivotArea>
    </format>
    <format dxfId="734">
      <pivotArea dataOnly="0" labelOnly="1" fieldPosition="0">
        <references count="6">
          <reference field="1" count="1" selected="0">
            <x v="136"/>
          </reference>
          <reference field="5" count="1" selected="0">
            <x v="19"/>
          </reference>
          <reference field="6" count="1" selected="0">
            <x v="6"/>
          </reference>
          <reference field="7" count="1" selected="0">
            <x v="225"/>
          </reference>
          <reference field="8" count="1" selected="0">
            <x v="433"/>
          </reference>
          <reference field="9" count="1">
            <x v="611"/>
          </reference>
        </references>
      </pivotArea>
    </format>
    <format dxfId="733">
      <pivotArea dataOnly="0" labelOnly="1" fieldPosition="0">
        <references count="6">
          <reference field="1" count="1" selected="0">
            <x v="136"/>
          </reference>
          <reference field="5" count="1" selected="0">
            <x v="22"/>
          </reference>
          <reference field="6" count="1" selected="0">
            <x v="38"/>
          </reference>
          <reference field="7" count="1" selected="0">
            <x v="225"/>
          </reference>
          <reference field="8" count="1" selected="0">
            <x v="1453"/>
          </reference>
          <reference field="9" count="1">
            <x v="611"/>
          </reference>
        </references>
      </pivotArea>
    </format>
    <format dxfId="732">
      <pivotArea dataOnly="0" labelOnly="1" fieldPosition="0">
        <references count="6">
          <reference field="1" count="1" selected="0">
            <x v="136"/>
          </reference>
          <reference field="5" count="1" selected="0">
            <x v="23"/>
          </reference>
          <reference field="6" count="1" selected="0">
            <x v="38"/>
          </reference>
          <reference field="7" count="1" selected="0">
            <x v="225"/>
          </reference>
          <reference field="8" count="1" selected="0">
            <x v="30"/>
          </reference>
          <reference field="9" count="1">
            <x v="611"/>
          </reference>
        </references>
      </pivotArea>
    </format>
    <format dxfId="731">
      <pivotArea dataOnly="0" labelOnly="1" fieldPosition="0">
        <references count="6">
          <reference field="1" count="1" selected="0">
            <x v="136"/>
          </reference>
          <reference field="5" count="1" selected="0">
            <x v="35"/>
          </reference>
          <reference field="6" count="1" selected="0">
            <x v="1"/>
          </reference>
          <reference field="7" count="1" selected="0">
            <x v="225"/>
          </reference>
          <reference field="8" count="1" selected="0">
            <x v="80"/>
          </reference>
          <reference field="9" count="1">
            <x v="611"/>
          </reference>
        </references>
      </pivotArea>
    </format>
    <format dxfId="730">
      <pivotArea dataOnly="0" labelOnly="1" fieldPosition="0">
        <references count="6">
          <reference field="1" count="1" selected="0">
            <x v="136"/>
          </reference>
          <reference field="5" count="1" selected="0">
            <x v="36"/>
          </reference>
          <reference field="6" count="1" selected="0">
            <x v="10"/>
          </reference>
          <reference field="7" count="1" selected="0">
            <x v="225"/>
          </reference>
          <reference field="8" count="1" selected="0">
            <x v="1576"/>
          </reference>
          <reference field="9" count="1">
            <x v="611"/>
          </reference>
        </references>
      </pivotArea>
    </format>
    <format dxfId="729">
      <pivotArea dataOnly="0" labelOnly="1" fieldPosition="0">
        <references count="6">
          <reference field="1" count="1" selected="0">
            <x v="136"/>
          </reference>
          <reference field="5" count="1" selected="0">
            <x v="38"/>
          </reference>
          <reference field="6" count="1" selected="0">
            <x v="10"/>
          </reference>
          <reference field="7" count="1" selected="0">
            <x v="225"/>
          </reference>
          <reference field="8" count="1" selected="0">
            <x v="1276"/>
          </reference>
          <reference field="9" count="1">
            <x v="611"/>
          </reference>
        </references>
      </pivotArea>
    </format>
    <format dxfId="728">
      <pivotArea dataOnly="0" labelOnly="1" fieldPosition="0">
        <references count="6">
          <reference field="1" count="1" selected="0">
            <x v="137"/>
          </reference>
          <reference field="5" count="1" selected="0">
            <x v="0"/>
          </reference>
          <reference field="6" count="1" selected="0">
            <x v="12"/>
          </reference>
          <reference field="7" count="1" selected="0">
            <x v="21"/>
          </reference>
          <reference field="8" count="1" selected="0">
            <x v="194"/>
          </reference>
          <reference field="9" count="1">
            <x v="611"/>
          </reference>
        </references>
      </pivotArea>
    </format>
    <format dxfId="727">
      <pivotArea dataOnly="0" labelOnly="1" fieldPosition="0">
        <references count="6">
          <reference field="1" count="1" selected="0">
            <x v="137"/>
          </reference>
          <reference field="5" count="1" selected="0">
            <x v="0"/>
          </reference>
          <reference field="6" count="1" selected="0">
            <x v="12"/>
          </reference>
          <reference field="7" count="1" selected="0">
            <x v="24"/>
          </reference>
          <reference field="8" count="1" selected="0">
            <x v="23"/>
          </reference>
          <reference field="9" count="1">
            <x v="611"/>
          </reference>
        </references>
      </pivotArea>
    </format>
    <format dxfId="726">
      <pivotArea dataOnly="0" labelOnly="1" fieldPosition="0">
        <references count="6">
          <reference field="1" count="1" selected="0">
            <x v="137"/>
          </reference>
          <reference field="5" count="1" selected="0">
            <x v="0"/>
          </reference>
          <reference field="6" count="1" selected="0">
            <x v="12"/>
          </reference>
          <reference field="7" count="1" selected="0">
            <x v="32"/>
          </reference>
          <reference field="8" count="1" selected="0">
            <x v="744"/>
          </reference>
          <reference field="9" count="1">
            <x v="611"/>
          </reference>
        </references>
      </pivotArea>
    </format>
    <format dxfId="725">
      <pivotArea dataOnly="0" labelOnly="1" fieldPosition="0">
        <references count="6">
          <reference field="1" count="1" selected="0">
            <x v="137"/>
          </reference>
          <reference field="5" count="1" selected="0">
            <x v="0"/>
          </reference>
          <reference field="6" count="1" selected="0">
            <x v="12"/>
          </reference>
          <reference field="7" count="1" selected="0">
            <x v="71"/>
          </reference>
          <reference field="8" count="1" selected="0">
            <x v="139"/>
          </reference>
          <reference field="9" count="1">
            <x v="611"/>
          </reference>
        </references>
      </pivotArea>
    </format>
    <format dxfId="724">
      <pivotArea dataOnly="0" labelOnly="1" fieldPosition="0">
        <references count="6">
          <reference field="1" count="1" selected="0">
            <x v="137"/>
          </reference>
          <reference field="5" count="1" selected="0">
            <x v="3"/>
          </reference>
          <reference field="6" count="1" selected="0">
            <x v="38"/>
          </reference>
          <reference field="7" count="1" selected="0">
            <x v="226"/>
          </reference>
          <reference field="8" count="1" selected="0">
            <x v="561"/>
          </reference>
          <reference field="9" count="1">
            <x v="611"/>
          </reference>
        </references>
      </pivotArea>
    </format>
    <format dxfId="723">
      <pivotArea dataOnly="0" labelOnly="1" fieldPosition="0">
        <references count="6">
          <reference field="1" count="1" selected="0">
            <x v="137"/>
          </reference>
          <reference field="5" count="1" selected="0">
            <x v="5"/>
          </reference>
          <reference field="6" count="1" selected="0">
            <x v="37"/>
          </reference>
          <reference field="7" count="1" selected="0">
            <x v="226"/>
          </reference>
          <reference field="8" count="1" selected="0">
            <x v="1832"/>
          </reference>
          <reference field="9" count="1">
            <x v="611"/>
          </reference>
        </references>
      </pivotArea>
    </format>
    <format dxfId="722">
      <pivotArea dataOnly="0" labelOnly="1" fieldPosition="0">
        <references count="6">
          <reference field="1" count="1" selected="0">
            <x v="137"/>
          </reference>
          <reference field="5" count="1" selected="0">
            <x v="5"/>
          </reference>
          <reference field="6" count="1" selected="0">
            <x v="38"/>
          </reference>
          <reference field="7" count="1" selected="0">
            <x v="226"/>
          </reference>
          <reference field="8" count="1" selected="0">
            <x v="1707"/>
          </reference>
          <reference field="9" count="1">
            <x v="611"/>
          </reference>
        </references>
      </pivotArea>
    </format>
    <format dxfId="721">
      <pivotArea dataOnly="0" labelOnly="1" fieldPosition="0">
        <references count="6">
          <reference field="1" count="1" selected="0">
            <x v="137"/>
          </reference>
          <reference field="5" count="1" selected="0">
            <x v="6"/>
          </reference>
          <reference field="6" count="1" selected="0">
            <x v="38"/>
          </reference>
          <reference field="7" count="1" selected="0">
            <x v="226"/>
          </reference>
          <reference field="8" count="1" selected="0">
            <x v="947"/>
          </reference>
          <reference field="9" count="1">
            <x v="611"/>
          </reference>
        </references>
      </pivotArea>
    </format>
    <format dxfId="720">
      <pivotArea dataOnly="0" labelOnly="1" fieldPosition="0">
        <references count="6">
          <reference field="1" count="1" selected="0">
            <x v="137"/>
          </reference>
          <reference field="5" count="1" selected="0">
            <x v="8"/>
          </reference>
          <reference field="6" count="1" selected="0">
            <x v="38"/>
          </reference>
          <reference field="7" count="1" selected="0">
            <x v="226"/>
          </reference>
          <reference field="8" count="1" selected="0">
            <x v="532"/>
          </reference>
          <reference field="9" count="1">
            <x v="611"/>
          </reference>
        </references>
      </pivotArea>
    </format>
    <format dxfId="719">
      <pivotArea dataOnly="0" labelOnly="1" fieldPosition="0">
        <references count="6">
          <reference field="1" count="1" selected="0">
            <x v="137"/>
          </reference>
          <reference field="5" count="1" selected="0">
            <x v="12"/>
          </reference>
          <reference field="6" count="1" selected="0">
            <x v="1"/>
          </reference>
          <reference field="7" count="1" selected="0">
            <x v="226"/>
          </reference>
          <reference field="8" count="1" selected="0">
            <x v="80"/>
          </reference>
          <reference field="9" count="1">
            <x v="611"/>
          </reference>
        </references>
      </pivotArea>
    </format>
    <format dxfId="718">
      <pivotArea dataOnly="0" labelOnly="1" fieldPosition="0">
        <references count="6">
          <reference field="1" count="1" selected="0">
            <x v="137"/>
          </reference>
          <reference field="5" count="1" selected="0">
            <x v="12"/>
          </reference>
          <reference field="6" count="1" selected="0">
            <x v="1"/>
          </reference>
          <reference field="7" count="1" selected="0">
            <x v="226"/>
          </reference>
          <reference field="8" count="1" selected="0">
            <x v="213"/>
          </reference>
          <reference field="9" count="1">
            <x v="611"/>
          </reference>
        </references>
      </pivotArea>
    </format>
    <format dxfId="717">
      <pivotArea dataOnly="0" labelOnly="1" fieldPosition="0">
        <references count="6">
          <reference field="1" count="1" selected="0">
            <x v="137"/>
          </reference>
          <reference field="5" count="1" selected="0">
            <x v="12"/>
          </reference>
          <reference field="6" count="1" selected="0">
            <x v="1"/>
          </reference>
          <reference field="7" count="1" selected="0">
            <x v="226"/>
          </reference>
          <reference field="8" count="1" selected="0">
            <x v="500"/>
          </reference>
          <reference field="9" count="1">
            <x v="611"/>
          </reference>
        </references>
      </pivotArea>
    </format>
    <format dxfId="716">
      <pivotArea dataOnly="0" labelOnly="1" fieldPosition="0">
        <references count="6">
          <reference field="1" count="1" selected="0">
            <x v="137"/>
          </reference>
          <reference field="5" count="1" selected="0">
            <x v="12"/>
          </reference>
          <reference field="6" count="1" selected="0">
            <x v="1"/>
          </reference>
          <reference field="7" count="1" selected="0">
            <x v="226"/>
          </reference>
          <reference field="8" count="1" selected="0">
            <x v="846"/>
          </reference>
          <reference field="9" count="1">
            <x v="611"/>
          </reference>
        </references>
      </pivotArea>
    </format>
    <format dxfId="715">
      <pivotArea dataOnly="0" labelOnly="1" fieldPosition="0">
        <references count="6">
          <reference field="1" count="1" selected="0">
            <x v="137"/>
          </reference>
          <reference field="5" count="1" selected="0">
            <x v="14"/>
          </reference>
          <reference field="6" count="1" selected="0">
            <x v="1"/>
          </reference>
          <reference field="7" count="1" selected="0">
            <x v="226"/>
          </reference>
          <reference field="8" count="1" selected="0">
            <x v="1169"/>
          </reference>
          <reference field="9" count="1">
            <x v="611"/>
          </reference>
        </references>
      </pivotArea>
    </format>
    <format dxfId="714">
      <pivotArea dataOnly="0" labelOnly="1" fieldPosition="0">
        <references count="6">
          <reference field="1" count="1" selected="0">
            <x v="137"/>
          </reference>
          <reference field="5" count="1" selected="0">
            <x v="15"/>
          </reference>
          <reference field="6" count="1" selected="0">
            <x v="37"/>
          </reference>
          <reference field="7" count="1" selected="0">
            <x v="226"/>
          </reference>
          <reference field="8" count="1" selected="0">
            <x v="897"/>
          </reference>
          <reference field="9" count="1">
            <x v="611"/>
          </reference>
        </references>
      </pivotArea>
    </format>
    <format dxfId="713">
      <pivotArea dataOnly="0" labelOnly="1" fieldPosition="0">
        <references count="6">
          <reference field="1" count="1" selected="0">
            <x v="137"/>
          </reference>
          <reference field="5" count="1" selected="0">
            <x v="15"/>
          </reference>
          <reference field="6" count="1" selected="0">
            <x v="38"/>
          </reference>
          <reference field="7" count="1" selected="0">
            <x v="226"/>
          </reference>
          <reference field="8" count="1" selected="0">
            <x v="607"/>
          </reference>
          <reference field="9" count="1">
            <x v="611"/>
          </reference>
        </references>
      </pivotArea>
    </format>
    <format dxfId="712">
      <pivotArea dataOnly="0" labelOnly="1" fieldPosition="0">
        <references count="6">
          <reference field="1" count="1" selected="0">
            <x v="137"/>
          </reference>
          <reference field="5" count="1" selected="0">
            <x v="17"/>
          </reference>
          <reference field="6" count="1" selected="0">
            <x v="38"/>
          </reference>
          <reference field="7" count="1" selected="0">
            <x v="226"/>
          </reference>
          <reference field="8" count="1" selected="0">
            <x v="1453"/>
          </reference>
          <reference field="9" count="1">
            <x v="611"/>
          </reference>
        </references>
      </pivotArea>
    </format>
    <format dxfId="711">
      <pivotArea dataOnly="0" labelOnly="1" fieldPosition="0">
        <references count="6">
          <reference field="1" count="1" selected="0">
            <x v="137"/>
          </reference>
          <reference field="5" count="1" selected="0">
            <x v="24"/>
          </reference>
          <reference field="6" count="1" selected="0">
            <x v="38"/>
          </reference>
          <reference field="7" count="1" selected="0">
            <x v="226"/>
          </reference>
          <reference field="8" count="1" selected="0">
            <x v="1592"/>
          </reference>
          <reference field="9" count="1">
            <x v="611"/>
          </reference>
        </references>
      </pivotArea>
    </format>
    <format dxfId="710">
      <pivotArea dataOnly="0" labelOnly="1" fieldPosition="0">
        <references count="6">
          <reference field="1" count="1" selected="0">
            <x v="137"/>
          </reference>
          <reference field="5" count="1" selected="0">
            <x v="26"/>
          </reference>
          <reference field="6" count="1" selected="0">
            <x v="38"/>
          </reference>
          <reference field="7" count="1" selected="0">
            <x v="226"/>
          </reference>
          <reference field="8" count="1" selected="0">
            <x v="371"/>
          </reference>
          <reference field="9" count="1">
            <x v="611"/>
          </reference>
        </references>
      </pivotArea>
    </format>
    <format dxfId="709">
      <pivotArea dataOnly="0" labelOnly="1" fieldPosition="0">
        <references count="6">
          <reference field="1" count="1" selected="0">
            <x v="137"/>
          </reference>
          <reference field="5" count="1" selected="0">
            <x v="33"/>
          </reference>
          <reference field="6" count="1" selected="0">
            <x v="38"/>
          </reference>
          <reference field="7" count="1" selected="0">
            <x v="226"/>
          </reference>
          <reference field="8" count="1" selected="0">
            <x v="1280"/>
          </reference>
          <reference field="9" count="1">
            <x v="611"/>
          </reference>
        </references>
      </pivotArea>
    </format>
    <format dxfId="708">
      <pivotArea dataOnly="0" labelOnly="1" fieldPosition="0">
        <references count="6">
          <reference field="1" count="1" selected="0">
            <x v="137"/>
          </reference>
          <reference field="5" count="1" selected="0">
            <x v="35"/>
          </reference>
          <reference field="6" count="1" selected="0">
            <x v="1"/>
          </reference>
          <reference field="7" count="1" selected="0">
            <x v="226"/>
          </reference>
          <reference field="8" count="1" selected="0">
            <x v="213"/>
          </reference>
          <reference field="9" count="1">
            <x v="611"/>
          </reference>
        </references>
      </pivotArea>
    </format>
    <format dxfId="707">
      <pivotArea dataOnly="0" labelOnly="1" fieldPosition="0">
        <references count="6">
          <reference field="1" count="1" selected="0">
            <x v="138"/>
          </reference>
          <reference field="5" count="1" selected="0">
            <x v="12"/>
          </reference>
          <reference field="6" count="1" selected="0">
            <x v="1"/>
          </reference>
          <reference field="7" count="1" selected="0">
            <x v="227"/>
          </reference>
          <reference field="8" count="1" selected="0">
            <x v="80"/>
          </reference>
          <reference field="9" count="1">
            <x v="611"/>
          </reference>
        </references>
      </pivotArea>
    </format>
    <format dxfId="706">
      <pivotArea dataOnly="0" labelOnly="1" fieldPosition="0">
        <references count="6">
          <reference field="1" count="1" selected="0">
            <x v="138"/>
          </reference>
          <reference field="5" count="1" selected="0">
            <x v="12"/>
          </reference>
          <reference field="6" count="1" selected="0">
            <x v="1"/>
          </reference>
          <reference field="7" count="1" selected="0">
            <x v="227"/>
          </reference>
          <reference field="8" count="1" selected="0">
            <x v="213"/>
          </reference>
          <reference field="9" count="1">
            <x v="611"/>
          </reference>
        </references>
      </pivotArea>
    </format>
    <format dxfId="705">
      <pivotArea dataOnly="0" labelOnly="1" fieldPosition="0">
        <references count="6">
          <reference field="1" count="1" selected="0">
            <x v="138"/>
          </reference>
          <reference field="5" count="1" selected="0">
            <x v="12"/>
          </reference>
          <reference field="6" count="1" selected="0">
            <x v="38"/>
          </reference>
          <reference field="7" count="1" selected="0">
            <x v="227"/>
          </reference>
          <reference field="8" count="1" selected="0">
            <x v="1066"/>
          </reference>
          <reference field="9" count="1">
            <x v="611"/>
          </reference>
        </references>
      </pivotArea>
    </format>
    <format dxfId="704">
      <pivotArea dataOnly="0" labelOnly="1" fieldPosition="0">
        <references count="6">
          <reference field="1" count="1" selected="0">
            <x v="138"/>
          </reference>
          <reference field="5" count="1" selected="0">
            <x v="15"/>
          </reference>
          <reference field="6" count="1" selected="0">
            <x v="38"/>
          </reference>
          <reference field="7" count="1" selected="0">
            <x v="227"/>
          </reference>
          <reference field="8" count="1" selected="0">
            <x v="469"/>
          </reference>
          <reference field="9" count="1">
            <x v="611"/>
          </reference>
        </references>
      </pivotArea>
    </format>
    <format dxfId="703">
      <pivotArea dataOnly="0" labelOnly="1" fieldPosition="0">
        <references count="6">
          <reference field="1" count="1" selected="0">
            <x v="138"/>
          </reference>
          <reference field="5" count="1" selected="0">
            <x v="23"/>
          </reference>
          <reference field="6" count="1" selected="0">
            <x v="38"/>
          </reference>
          <reference field="7" count="1" selected="0">
            <x v="227"/>
          </reference>
          <reference field="8" count="1" selected="0">
            <x v="1188"/>
          </reference>
          <reference field="9" count="1">
            <x v="611"/>
          </reference>
        </references>
      </pivotArea>
    </format>
    <format dxfId="702">
      <pivotArea dataOnly="0" labelOnly="1" fieldPosition="0">
        <references count="6">
          <reference field="1" count="1" selected="0">
            <x v="138"/>
          </reference>
          <reference field="5" count="1" selected="0">
            <x v="33"/>
          </reference>
          <reference field="6" count="1" selected="0">
            <x v="6"/>
          </reference>
          <reference field="7" count="1" selected="0">
            <x v="227"/>
          </reference>
          <reference field="8" count="1" selected="0">
            <x v="469"/>
          </reference>
          <reference field="9" count="1">
            <x v="611"/>
          </reference>
        </references>
      </pivotArea>
    </format>
    <format dxfId="701">
      <pivotArea dataOnly="0" labelOnly="1" fieldPosition="0">
        <references count="6">
          <reference field="1" count="1" selected="0">
            <x v="138"/>
          </reference>
          <reference field="5" count="1" selected="0">
            <x v="35"/>
          </reference>
          <reference field="6" count="1" selected="0">
            <x v="1"/>
          </reference>
          <reference field="7" count="1" selected="0">
            <x v="227"/>
          </reference>
          <reference field="8" count="1" selected="0">
            <x v="80"/>
          </reference>
          <reference field="9" count="1">
            <x v="611"/>
          </reference>
        </references>
      </pivotArea>
    </format>
    <format dxfId="700">
      <pivotArea dataOnly="0" labelOnly="1" fieldPosition="0">
        <references count="6">
          <reference field="1" count="1" selected="0">
            <x v="138"/>
          </reference>
          <reference field="5" count="1" selected="0">
            <x v="36"/>
          </reference>
          <reference field="6" count="1" selected="0">
            <x v="6"/>
          </reference>
          <reference field="7" count="1" selected="0">
            <x v="227"/>
          </reference>
          <reference field="8" count="1" selected="0">
            <x v="404"/>
          </reference>
          <reference field="9" count="1">
            <x v="611"/>
          </reference>
        </references>
      </pivotArea>
    </format>
    <format dxfId="699">
      <pivotArea dataOnly="0" labelOnly="1" fieldPosition="0">
        <references count="6">
          <reference field="1" count="1" selected="0">
            <x v="138"/>
          </reference>
          <reference field="5" count="1" selected="0">
            <x v="36"/>
          </reference>
          <reference field="6" count="1" selected="0">
            <x v="38"/>
          </reference>
          <reference field="7" count="1" selected="0">
            <x v="227"/>
          </reference>
          <reference field="8" count="1" selected="0">
            <x v="567"/>
          </reference>
          <reference field="9" count="1">
            <x v="611"/>
          </reference>
        </references>
      </pivotArea>
    </format>
    <format dxfId="698">
      <pivotArea dataOnly="0" labelOnly="1" fieldPosition="0">
        <references count="6">
          <reference field="1" count="1" selected="0">
            <x v="139"/>
          </reference>
          <reference field="5" count="1" selected="0">
            <x v="0"/>
          </reference>
          <reference field="6" count="1" selected="0">
            <x v="12"/>
          </reference>
          <reference field="7" count="1" selected="0">
            <x v="38"/>
          </reference>
          <reference field="8" count="1" selected="0">
            <x v="9"/>
          </reference>
          <reference field="9" count="1">
            <x v="611"/>
          </reference>
        </references>
      </pivotArea>
    </format>
    <format dxfId="697">
      <pivotArea dataOnly="0" labelOnly="1" fieldPosition="0">
        <references count="6">
          <reference field="1" count="1" selected="0">
            <x v="139"/>
          </reference>
          <reference field="5" count="1" selected="0">
            <x v="0"/>
          </reference>
          <reference field="6" count="1" selected="0">
            <x v="12"/>
          </reference>
          <reference field="7" count="1" selected="0">
            <x v="56"/>
          </reference>
          <reference field="8" count="1" selected="0">
            <x v="6"/>
          </reference>
          <reference field="9" count="1">
            <x v="611"/>
          </reference>
        </references>
      </pivotArea>
    </format>
    <format dxfId="696">
      <pivotArea dataOnly="0" labelOnly="1" fieldPosition="0">
        <references count="6">
          <reference field="1" count="1" selected="0">
            <x v="139"/>
          </reference>
          <reference field="5" count="1" selected="0">
            <x v="12"/>
          </reference>
          <reference field="6" count="1" selected="0">
            <x v="1"/>
          </reference>
          <reference field="7" count="1" selected="0">
            <x v="228"/>
          </reference>
          <reference field="8" count="1" selected="0">
            <x v="352"/>
          </reference>
          <reference field="9" count="1">
            <x v="611"/>
          </reference>
        </references>
      </pivotArea>
    </format>
    <format dxfId="695">
      <pivotArea dataOnly="0" labelOnly="1" fieldPosition="0">
        <references count="6">
          <reference field="1" count="1" selected="0">
            <x v="139"/>
          </reference>
          <reference field="5" count="1" selected="0">
            <x v="35"/>
          </reference>
          <reference field="6" count="1" selected="0">
            <x v="1"/>
          </reference>
          <reference field="7" count="1" selected="0">
            <x v="228"/>
          </reference>
          <reference field="8" count="1" selected="0">
            <x v="213"/>
          </reference>
          <reference field="9" count="1">
            <x v="611"/>
          </reference>
        </references>
      </pivotArea>
    </format>
    <format dxfId="694">
      <pivotArea dataOnly="0" labelOnly="1" fieldPosition="0">
        <references count="6">
          <reference field="1" count="1" selected="0">
            <x v="139"/>
          </reference>
          <reference field="5" count="1" selected="0">
            <x v="35"/>
          </reference>
          <reference field="6" count="1" selected="0">
            <x v="1"/>
          </reference>
          <reference field="7" count="1" selected="0">
            <x v="228"/>
          </reference>
          <reference field="8" count="1" selected="0">
            <x v="352"/>
          </reference>
          <reference field="9" count="1">
            <x v="611"/>
          </reference>
        </references>
      </pivotArea>
    </format>
    <format dxfId="693">
      <pivotArea dataOnly="0" labelOnly="1" fieldPosition="0">
        <references count="6">
          <reference field="1" count="1" selected="0">
            <x v="139"/>
          </reference>
          <reference field="5" count="1" selected="0">
            <x v="36"/>
          </reference>
          <reference field="6" count="1" selected="0">
            <x v="38"/>
          </reference>
          <reference field="7" count="1" selected="0">
            <x v="228"/>
          </reference>
          <reference field="8" count="1" selected="0">
            <x v="125"/>
          </reference>
          <reference field="9" count="1">
            <x v="611"/>
          </reference>
        </references>
      </pivotArea>
    </format>
    <format dxfId="692">
      <pivotArea dataOnly="0" labelOnly="1" fieldPosition="0">
        <references count="6">
          <reference field="1" count="1" selected="0">
            <x v="140"/>
          </reference>
          <reference field="5" count="1" selected="0">
            <x v="0"/>
          </reference>
          <reference field="6" count="1" selected="0">
            <x v="6"/>
          </reference>
          <reference field="7" count="1" selected="0">
            <x v="230"/>
          </reference>
          <reference field="8" count="1" selected="0">
            <x v="913"/>
          </reference>
          <reference field="9" count="1">
            <x v="611"/>
          </reference>
        </references>
      </pivotArea>
    </format>
    <format dxfId="691">
      <pivotArea dataOnly="0" labelOnly="1" fieldPosition="0">
        <references count="6">
          <reference field="1" count="1" selected="0">
            <x v="140"/>
          </reference>
          <reference field="5" count="1" selected="0">
            <x v="0"/>
          </reference>
          <reference field="6" count="1" selected="0">
            <x v="6"/>
          </reference>
          <reference field="7" count="1" selected="0">
            <x v="230"/>
          </reference>
          <reference field="8" count="1" selected="0">
            <x v="934"/>
          </reference>
          <reference field="9" count="1">
            <x v="611"/>
          </reference>
        </references>
      </pivotArea>
    </format>
    <format dxfId="690">
      <pivotArea dataOnly="0" labelOnly="1" fieldPosition="0">
        <references count="6">
          <reference field="1" count="1" selected="0">
            <x v="140"/>
          </reference>
          <reference field="5" count="1" selected="0">
            <x v="0"/>
          </reference>
          <reference field="6" count="1" selected="0">
            <x v="8"/>
          </reference>
          <reference field="7" count="1" selected="0">
            <x v="230"/>
          </reference>
          <reference field="8" count="1" selected="0">
            <x v="248"/>
          </reference>
          <reference field="9" count="1">
            <x v="611"/>
          </reference>
        </references>
      </pivotArea>
    </format>
    <format dxfId="689">
      <pivotArea dataOnly="0" labelOnly="1" fieldPosition="0">
        <references count="6">
          <reference field="1" count="1" selected="0">
            <x v="140"/>
          </reference>
          <reference field="5" count="1" selected="0">
            <x v="0"/>
          </reference>
          <reference field="6" count="1" selected="0">
            <x v="8"/>
          </reference>
          <reference field="7" count="1" selected="0">
            <x v="230"/>
          </reference>
          <reference field="8" count="1" selected="0">
            <x v="550"/>
          </reference>
          <reference field="9" count="1">
            <x v="611"/>
          </reference>
        </references>
      </pivotArea>
    </format>
    <format dxfId="688">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136"/>
          </reference>
          <reference field="9" count="1">
            <x v="611"/>
          </reference>
        </references>
      </pivotArea>
    </format>
    <format dxfId="687">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248"/>
          </reference>
          <reference field="9" count="1">
            <x v="611"/>
          </reference>
        </references>
      </pivotArea>
    </format>
    <format dxfId="686">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321"/>
          </reference>
          <reference field="9" count="1">
            <x v="611"/>
          </reference>
        </references>
      </pivotArea>
    </format>
    <format dxfId="685">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611"/>
          </reference>
          <reference field="9" count="1">
            <x v="611"/>
          </reference>
        </references>
      </pivotArea>
    </format>
    <format dxfId="684">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688"/>
          </reference>
          <reference field="9" count="1">
            <x v="611"/>
          </reference>
        </references>
      </pivotArea>
    </format>
    <format dxfId="683">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747"/>
          </reference>
          <reference field="9" count="1">
            <x v="611"/>
          </reference>
        </references>
      </pivotArea>
    </format>
    <format dxfId="682">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1067"/>
          </reference>
          <reference field="9" count="1">
            <x v="611"/>
          </reference>
        </references>
      </pivotArea>
    </format>
    <format dxfId="681">
      <pivotArea dataOnly="0" labelOnly="1" fieldPosition="0">
        <references count="6">
          <reference field="1" count="1" selected="0">
            <x v="140"/>
          </reference>
          <reference field="5" count="1" selected="0">
            <x v="0"/>
          </reference>
          <reference field="6" count="1" selected="0">
            <x v="9"/>
          </reference>
          <reference field="7" count="1" selected="0">
            <x v="230"/>
          </reference>
          <reference field="8" count="1" selected="0">
            <x v="1075"/>
          </reference>
          <reference field="9" count="1">
            <x v="611"/>
          </reference>
        </references>
      </pivotArea>
    </format>
    <format dxfId="680">
      <pivotArea dataOnly="0" labelOnly="1" fieldPosition="0">
        <references count="6">
          <reference field="1" count="1" selected="0">
            <x v="140"/>
          </reference>
          <reference field="5" count="1" selected="0">
            <x v="0"/>
          </reference>
          <reference field="6" count="1" selected="0">
            <x v="24"/>
          </reference>
          <reference field="7" count="1" selected="0">
            <x v="229"/>
          </reference>
          <reference field="8" count="1" selected="0">
            <x v="293"/>
          </reference>
          <reference field="9" count="1">
            <x v="611"/>
          </reference>
        </references>
      </pivotArea>
    </format>
    <format dxfId="679">
      <pivotArea dataOnly="0" labelOnly="1" fieldPosition="0">
        <references count="6">
          <reference field="1" count="1" selected="0">
            <x v="140"/>
          </reference>
          <reference field="5" count="1" selected="0">
            <x v="0"/>
          </reference>
          <reference field="6" count="1" selected="0">
            <x v="24"/>
          </reference>
          <reference field="7" count="1" selected="0">
            <x v="229"/>
          </reference>
          <reference field="8" count="1" selected="0">
            <x v="833"/>
          </reference>
          <reference field="9" count="1">
            <x v="611"/>
          </reference>
        </references>
      </pivotArea>
    </format>
    <format dxfId="678">
      <pivotArea dataOnly="0" labelOnly="1" fieldPosition="0">
        <references count="6">
          <reference field="1" count="1" selected="0">
            <x v="140"/>
          </reference>
          <reference field="5" count="1" selected="0">
            <x v="0"/>
          </reference>
          <reference field="6" count="1" selected="0">
            <x v="24"/>
          </reference>
          <reference field="7" count="1" selected="0">
            <x v="229"/>
          </reference>
          <reference field="8" count="1" selected="0">
            <x v="860"/>
          </reference>
          <reference field="9" count="1">
            <x v="611"/>
          </reference>
        </references>
      </pivotArea>
    </format>
    <format dxfId="677">
      <pivotArea dataOnly="0" labelOnly="1" fieldPosition="0">
        <references count="6">
          <reference field="1" count="1" selected="0">
            <x v="140"/>
          </reference>
          <reference field="5" count="1" selected="0">
            <x v="0"/>
          </reference>
          <reference field="6" count="1" selected="0">
            <x v="24"/>
          </reference>
          <reference field="7" count="1" selected="0">
            <x v="229"/>
          </reference>
          <reference field="8" count="1" selected="0">
            <x v="1121"/>
          </reference>
          <reference field="9" count="1">
            <x v="611"/>
          </reference>
        </references>
      </pivotArea>
    </format>
    <format dxfId="676">
      <pivotArea dataOnly="0" labelOnly="1" fieldPosition="0">
        <references count="6">
          <reference field="1" count="1" selected="0">
            <x v="140"/>
          </reference>
          <reference field="5" count="1" selected="0">
            <x v="0"/>
          </reference>
          <reference field="6" count="1" selected="0">
            <x v="24"/>
          </reference>
          <reference field="7" count="1" selected="0">
            <x v="229"/>
          </reference>
          <reference field="8" count="1" selected="0">
            <x v="1201"/>
          </reference>
          <reference field="9" count="1">
            <x v="611"/>
          </reference>
        </references>
      </pivotArea>
    </format>
    <format dxfId="675">
      <pivotArea dataOnly="0" labelOnly="1" fieldPosition="0">
        <references count="6">
          <reference field="1" count="1" selected="0">
            <x v="140"/>
          </reference>
          <reference field="5" count="1" selected="0">
            <x v="2"/>
          </reference>
          <reference field="6" count="1" selected="0">
            <x v="9"/>
          </reference>
          <reference field="7" count="1" selected="0">
            <x v="230"/>
          </reference>
          <reference field="8" count="1" selected="0">
            <x v="663"/>
          </reference>
          <reference field="9" count="1">
            <x v="611"/>
          </reference>
        </references>
      </pivotArea>
    </format>
    <format dxfId="674">
      <pivotArea dataOnly="0" labelOnly="1" fieldPosition="0">
        <references count="6">
          <reference field="1" count="1" selected="0">
            <x v="140"/>
          </reference>
          <reference field="5" count="1" selected="0">
            <x v="2"/>
          </reference>
          <reference field="6" count="1" selected="0">
            <x v="24"/>
          </reference>
          <reference field="7" count="1" selected="0">
            <x v="229"/>
          </reference>
          <reference field="8" count="1" selected="0">
            <x v="1783"/>
          </reference>
          <reference field="9" count="1">
            <x v="611"/>
          </reference>
        </references>
      </pivotArea>
    </format>
    <format dxfId="673">
      <pivotArea dataOnly="0" labelOnly="1" fieldPosition="0">
        <references count="6">
          <reference field="1" count="1" selected="0">
            <x v="140"/>
          </reference>
          <reference field="5" count="1" selected="0">
            <x v="3"/>
          </reference>
          <reference field="6" count="1" selected="0">
            <x v="24"/>
          </reference>
          <reference field="7" count="1" selected="0">
            <x v="229"/>
          </reference>
          <reference field="8" count="1" selected="0">
            <x v="330"/>
          </reference>
          <reference field="9" count="1">
            <x v="611"/>
          </reference>
        </references>
      </pivotArea>
    </format>
    <format dxfId="672">
      <pivotArea dataOnly="0" labelOnly="1" fieldPosition="0">
        <references count="6">
          <reference field="1" count="1" selected="0">
            <x v="140"/>
          </reference>
          <reference field="5" count="1" selected="0">
            <x v="5"/>
          </reference>
          <reference field="6" count="1" selected="0">
            <x v="38"/>
          </reference>
          <reference field="7" count="1" selected="0">
            <x v="230"/>
          </reference>
          <reference field="8" count="1" selected="0">
            <x v="1682"/>
          </reference>
          <reference field="9" count="1">
            <x v="611"/>
          </reference>
        </references>
      </pivotArea>
    </format>
    <format dxfId="671">
      <pivotArea dataOnly="0" labelOnly="1" fieldPosition="0">
        <references count="6">
          <reference field="1" count="1" selected="0">
            <x v="140"/>
          </reference>
          <reference field="5" count="1" selected="0">
            <x v="12"/>
          </reference>
          <reference field="6" count="1" selected="0">
            <x v="1"/>
          </reference>
          <reference field="7" count="1" selected="0">
            <x v="230"/>
          </reference>
          <reference field="8" count="1" selected="0">
            <x v="80"/>
          </reference>
          <reference field="9" count="1">
            <x v="611"/>
          </reference>
        </references>
      </pivotArea>
    </format>
    <format dxfId="670">
      <pivotArea dataOnly="0" labelOnly="1" fieldPosition="0">
        <references count="6">
          <reference field="1" count="1" selected="0">
            <x v="140"/>
          </reference>
          <reference field="5" count="1" selected="0">
            <x v="12"/>
          </reference>
          <reference field="6" count="1" selected="0">
            <x v="1"/>
          </reference>
          <reference field="7" count="1" selected="0">
            <x v="230"/>
          </reference>
          <reference field="8" count="1" selected="0">
            <x v="213"/>
          </reference>
          <reference field="9" count="1">
            <x v="611"/>
          </reference>
        </references>
      </pivotArea>
    </format>
    <format dxfId="669">
      <pivotArea dataOnly="0" labelOnly="1" fieldPosition="0">
        <references count="6">
          <reference field="1" count="1" selected="0">
            <x v="140"/>
          </reference>
          <reference field="5" count="1" selected="0">
            <x v="12"/>
          </reference>
          <reference field="6" count="1" selected="0">
            <x v="1"/>
          </reference>
          <reference field="7" count="1" selected="0">
            <x v="230"/>
          </reference>
          <reference field="8" count="1" selected="0">
            <x v="500"/>
          </reference>
          <reference field="9" count="1">
            <x v="611"/>
          </reference>
        </references>
      </pivotArea>
    </format>
    <format dxfId="668">
      <pivotArea dataOnly="0" labelOnly="1" fieldPosition="0">
        <references count="6">
          <reference field="1" count="1" selected="0">
            <x v="140"/>
          </reference>
          <reference field="5" count="1" selected="0">
            <x v="12"/>
          </reference>
          <reference field="6" count="1" selected="0">
            <x v="1"/>
          </reference>
          <reference field="7" count="1" selected="0">
            <x v="230"/>
          </reference>
          <reference field="8" count="1" selected="0">
            <x v="702"/>
          </reference>
          <reference field="9" count="1">
            <x v="611"/>
          </reference>
        </references>
      </pivotArea>
    </format>
    <format dxfId="667">
      <pivotArea dataOnly="0" labelOnly="1" fieldPosition="0">
        <references count="6">
          <reference field="1" count="1" selected="0">
            <x v="140"/>
          </reference>
          <reference field="5" count="1" selected="0">
            <x v="12"/>
          </reference>
          <reference field="6" count="1" selected="0">
            <x v="1"/>
          </reference>
          <reference field="7" count="1" selected="0">
            <x v="230"/>
          </reference>
          <reference field="8" count="1" selected="0">
            <x v="964"/>
          </reference>
          <reference field="9" count="1">
            <x v="611"/>
          </reference>
        </references>
      </pivotArea>
    </format>
    <format dxfId="666">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58"/>
          </reference>
          <reference field="9" count="1">
            <x v="611"/>
          </reference>
        </references>
      </pivotArea>
    </format>
    <format dxfId="665">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444"/>
          </reference>
          <reference field="9" count="1">
            <x v="611"/>
          </reference>
        </references>
      </pivotArea>
    </format>
    <format dxfId="664">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508"/>
          </reference>
          <reference field="9" count="1">
            <x v="611"/>
          </reference>
        </references>
      </pivotArea>
    </format>
    <format dxfId="663">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186"/>
          </reference>
          <reference field="9" count="1">
            <x v="611"/>
          </reference>
        </references>
      </pivotArea>
    </format>
    <format dxfId="662">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273"/>
          </reference>
          <reference field="9" count="1">
            <x v="611"/>
          </reference>
        </references>
      </pivotArea>
    </format>
    <format dxfId="661">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346"/>
          </reference>
          <reference field="9" count="1">
            <x v="611"/>
          </reference>
        </references>
      </pivotArea>
    </format>
    <format dxfId="660">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420"/>
          </reference>
          <reference field="9" count="1">
            <x v="611"/>
          </reference>
        </references>
      </pivotArea>
    </format>
    <format dxfId="659">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511"/>
          </reference>
          <reference field="9" count="1">
            <x v="611"/>
          </reference>
        </references>
      </pivotArea>
    </format>
    <format dxfId="658">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513"/>
          </reference>
          <reference field="9" count="1">
            <x v="611"/>
          </reference>
        </references>
      </pivotArea>
    </format>
    <format dxfId="657">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524"/>
          </reference>
          <reference field="9" count="1">
            <x v="611"/>
          </reference>
        </references>
      </pivotArea>
    </format>
    <format dxfId="656">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541"/>
          </reference>
          <reference field="9" count="1">
            <x v="611"/>
          </reference>
        </references>
      </pivotArea>
    </format>
    <format dxfId="655">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585"/>
          </reference>
          <reference field="9" count="1">
            <x v="611"/>
          </reference>
        </references>
      </pivotArea>
    </format>
    <format dxfId="654">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596"/>
          </reference>
          <reference field="9" count="1">
            <x v="611"/>
          </reference>
        </references>
      </pivotArea>
    </format>
    <format dxfId="653">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636"/>
          </reference>
          <reference field="9" count="1">
            <x v="611"/>
          </reference>
        </references>
      </pivotArea>
    </format>
    <format dxfId="652">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651"/>
          </reference>
          <reference field="9" count="1">
            <x v="611"/>
          </reference>
        </references>
      </pivotArea>
    </format>
    <format dxfId="651">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700"/>
          </reference>
          <reference field="9" count="1">
            <x v="611"/>
          </reference>
        </references>
      </pivotArea>
    </format>
    <format dxfId="650">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702"/>
          </reference>
          <reference field="9" count="1">
            <x v="611"/>
          </reference>
        </references>
      </pivotArea>
    </format>
    <format dxfId="649">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710"/>
          </reference>
          <reference field="9" count="1">
            <x v="611"/>
          </reference>
        </references>
      </pivotArea>
    </format>
    <format dxfId="648">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717"/>
          </reference>
          <reference field="9" count="1">
            <x v="611"/>
          </reference>
        </references>
      </pivotArea>
    </format>
    <format dxfId="647">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734"/>
          </reference>
          <reference field="9" count="1">
            <x v="611"/>
          </reference>
        </references>
      </pivotArea>
    </format>
    <format dxfId="646">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775"/>
          </reference>
          <reference field="9" count="1">
            <x v="611"/>
          </reference>
        </references>
      </pivotArea>
    </format>
    <format dxfId="645">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818"/>
          </reference>
          <reference field="9" count="1">
            <x v="611"/>
          </reference>
        </references>
      </pivotArea>
    </format>
    <format dxfId="644">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831"/>
          </reference>
          <reference field="9" count="1">
            <x v="611"/>
          </reference>
        </references>
      </pivotArea>
    </format>
    <format dxfId="643">
      <pivotArea dataOnly="0" labelOnly="1" fieldPosition="0">
        <references count="6">
          <reference field="1" count="1" selected="0">
            <x v="140"/>
          </reference>
          <reference field="5" count="1" selected="0">
            <x v="12"/>
          </reference>
          <reference field="6" count="1" selected="0">
            <x v="24"/>
          </reference>
          <reference field="7" count="1" selected="0">
            <x v="229"/>
          </reference>
          <reference field="8" count="1" selected="0">
            <x v="1838"/>
          </reference>
          <reference field="9" count="1">
            <x v="611"/>
          </reference>
        </references>
      </pivotArea>
    </format>
    <format dxfId="642">
      <pivotArea dataOnly="0" labelOnly="1" fieldPosition="0">
        <references count="6">
          <reference field="1" count="1" selected="0">
            <x v="140"/>
          </reference>
          <reference field="5" count="1" selected="0">
            <x v="12"/>
          </reference>
          <reference field="6" count="1" selected="0">
            <x v="38"/>
          </reference>
          <reference field="7" count="1" selected="0">
            <x v="230"/>
          </reference>
          <reference field="8" count="1" selected="0">
            <x v="892"/>
          </reference>
          <reference field="9" count="1">
            <x v="611"/>
          </reference>
        </references>
      </pivotArea>
    </format>
    <format dxfId="641">
      <pivotArea dataOnly="0" labelOnly="1" fieldPosition="0">
        <references count="6">
          <reference field="1" count="1" selected="0">
            <x v="140"/>
          </reference>
          <reference field="5" count="1" selected="0">
            <x v="14"/>
          </reference>
          <reference field="6" count="1" selected="0">
            <x v="38"/>
          </reference>
          <reference field="7" count="1" selected="0">
            <x v="230"/>
          </reference>
          <reference field="8" count="1" selected="0">
            <x v="418"/>
          </reference>
          <reference field="9" count="1">
            <x v="611"/>
          </reference>
        </references>
      </pivotArea>
    </format>
    <format dxfId="640">
      <pivotArea dataOnly="0" labelOnly="1" fieldPosition="0">
        <references count="6">
          <reference field="1" count="1" selected="0">
            <x v="140"/>
          </reference>
          <reference field="5" count="1" selected="0">
            <x v="15"/>
          </reference>
          <reference field="6" count="1" selected="0">
            <x v="8"/>
          </reference>
          <reference field="7" count="1" selected="0">
            <x v="230"/>
          </reference>
          <reference field="8" count="1" selected="0">
            <x v="173"/>
          </reference>
          <reference field="9" count="1">
            <x v="611"/>
          </reference>
        </references>
      </pivotArea>
    </format>
    <format dxfId="639">
      <pivotArea dataOnly="0" labelOnly="1" fieldPosition="0">
        <references count="6">
          <reference field="1" count="1" selected="0">
            <x v="140"/>
          </reference>
          <reference field="5" count="1" selected="0">
            <x v="15"/>
          </reference>
          <reference field="6" count="1" selected="0">
            <x v="24"/>
          </reference>
          <reference field="7" count="1" selected="0">
            <x v="229"/>
          </reference>
          <reference field="8" count="1" selected="0">
            <x v="1663"/>
          </reference>
          <reference field="9" count="1">
            <x v="611"/>
          </reference>
        </references>
      </pivotArea>
    </format>
    <format dxfId="638">
      <pivotArea dataOnly="0" labelOnly="1" fieldPosition="0">
        <references count="6">
          <reference field="1" count="1" selected="0">
            <x v="140"/>
          </reference>
          <reference field="5" count="1" selected="0">
            <x v="15"/>
          </reference>
          <reference field="6" count="1" selected="0">
            <x v="38"/>
          </reference>
          <reference field="7" count="1" selected="0">
            <x v="230"/>
          </reference>
          <reference field="8" count="1" selected="0">
            <x v="1800"/>
          </reference>
          <reference field="9" count="1">
            <x v="611"/>
          </reference>
        </references>
      </pivotArea>
    </format>
    <format dxfId="637">
      <pivotArea dataOnly="0" labelOnly="1" fieldPosition="0">
        <references count="6">
          <reference field="1" count="1" selected="0">
            <x v="140"/>
          </reference>
          <reference field="5" count="1" selected="0">
            <x v="17"/>
          </reference>
          <reference field="6" count="1" selected="0">
            <x v="6"/>
          </reference>
          <reference field="7" count="1" selected="0">
            <x v="230"/>
          </reference>
          <reference field="8" count="1" selected="0">
            <x v="1834"/>
          </reference>
          <reference field="9" count="1">
            <x v="611"/>
          </reference>
        </references>
      </pivotArea>
    </format>
    <format dxfId="636">
      <pivotArea dataOnly="0" labelOnly="1" fieldPosition="0">
        <references count="6">
          <reference field="1" count="1" selected="0">
            <x v="140"/>
          </reference>
          <reference field="5" count="1" selected="0">
            <x v="21"/>
          </reference>
          <reference field="6" count="1" selected="0">
            <x v="24"/>
          </reference>
          <reference field="7" count="1" selected="0">
            <x v="229"/>
          </reference>
          <reference field="8" count="1" selected="0">
            <x v="1846"/>
          </reference>
          <reference field="9" count="1">
            <x v="611"/>
          </reference>
        </references>
      </pivotArea>
    </format>
    <format dxfId="635">
      <pivotArea dataOnly="0" labelOnly="1" fieldPosition="0">
        <references count="6">
          <reference field="1" count="1" selected="0">
            <x v="140"/>
          </reference>
          <reference field="5" count="1" selected="0">
            <x v="23"/>
          </reference>
          <reference field="6" count="1" selected="0">
            <x v="24"/>
          </reference>
          <reference field="7" count="1" selected="0">
            <x v="229"/>
          </reference>
          <reference field="8" count="1" selected="0">
            <x v="1779"/>
          </reference>
          <reference field="9" count="1">
            <x v="611"/>
          </reference>
        </references>
      </pivotArea>
    </format>
    <format dxfId="634">
      <pivotArea dataOnly="0" labelOnly="1" fieldPosition="0">
        <references count="6">
          <reference field="1" count="1" selected="0">
            <x v="140"/>
          </reference>
          <reference field="5" count="1" selected="0">
            <x v="24"/>
          </reference>
          <reference field="6" count="1" selected="0">
            <x v="24"/>
          </reference>
          <reference field="7" count="1" selected="0">
            <x v="229"/>
          </reference>
          <reference field="8" count="1" selected="0">
            <x v="1733"/>
          </reference>
          <reference field="9" count="1">
            <x v="611"/>
          </reference>
        </references>
      </pivotArea>
    </format>
    <format dxfId="633">
      <pivotArea dataOnly="0" labelOnly="1" fieldPosition="0">
        <references count="6">
          <reference field="1" count="1" selected="0">
            <x v="140"/>
          </reference>
          <reference field="5" count="1" selected="0">
            <x v="26"/>
          </reference>
          <reference field="6" count="1" selected="0">
            <x v="38"/>
          </reference>
          <reference field="7" count="1" selected="0">
            <x v="230"/>
          </reference>
          <reference field="8" count="1" selected="0">
            <x v="1380"/>
          </reference>
          <reference field="9" count="1">
            <x v="611"/>
          </reference>
        </references>
      </pivotArea>
    </format>
    <format dxfId="632">
      <pivotArea dataOnly="0" labelOnly="1" fieldPosition="0">
        <references count="6">
          <reference field="1" count="1" selected="0">
            <x v="140"/>
          </reference>
          <reference field="5" count="1" selected="0">
            <x v="29"/>
          </reference>
          <reference field="6" count="1" selected="0">
            <x v="38"/>
          </reference>
          <reference field="7" count="1" selected="0">
            <x v="230"/>
          </reference>
          <reference field="8" count="1" selected="0">
            <x v="1766"/>
          </reference>
          <reference field="9" count="1">
            <x v="611"/>
          </reference>
        </references>
      </pivotArea>
    </format>
    <format dxfId="631">
      <pivotArea dataOnly="0" labelOnly="1" fieldPosition="0">
        <references count="6">
          <reference field="1" count="1" selected="0">
            <x v="140"/>
          </reference>
          <reference field="5" count="1" selected="0">
            <x v="35"/>
          </reference>
          <reference field="6" count="1" selected="0">
            <x v="1"/>
          </reference>
          <reference field="7" count="1" selected="0">
            <x v="230"/>
          </reference>
          <reference field="8" count="1" selected="0">
            <x v="80"/>
          </reference>
          <reference field="9" count="1">
            <x v="611"/>
          </reference>
        </references>
      </pivotArea>
    </format>
    <format dxfId="630">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141"/>
          </reference>
          <reference field="9" count="1">
            <x v="611"/>
          </reference>
        </references>
      </pivotArea>
    </format>
    <format dxfId="629">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204"/>
          </reference>
          <reference field="9" count="1">
            <x v="611"/>
          </reference>
        </references>
      </pivotArea>
    </format>
    <format dxfId="628">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319"/>
          </reference>
          <reference field="9" count="1">
            <x v="611"/>
          </reference>
        </references>
      </pivotArea>
    </format>
    <format dxfId="627">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357"/>
          </reference>
          <reference field="9" count="1">
            <x v="611"/>
          </reference>
        </references>
      </pivotArea>
    </format>
    <format dxfId="626">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447"/>
          </reference>
          <reference field="9" count="1">
            <x v="611"/>
          </reference>
        </references>
      </pivotArea>
    </format>
    <format dxfId="625">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448"/>
          </reference>
          <reference field="9" count="1">
            <x v="611"/>
          </reference>
        </references>
      </pivotArea>
    </format>
    <format dxfId="624">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479"/>
          </reference>
          <reference field="9" count="1">
            <x v="611"/>
          </reference>
        </references>
      </pivotArea>
    </format>
    <format dxfId="623">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536"/>
          </reference>
          <reference field="9" count="1">
            <x v="611"/>
          </reference>
        </references>
      </pivotArea>
    </format>
    <format dxfId="622">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722"/>
          </reference>
          <reference field="9" count="1">
            <x v="611"/>
          </reference>
        </references>
      </pivotArea>
    </format>
    <format dxfId="621">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792"/>
          </reference>
          <reference field="9" count="1">
            <x v="611"/>
          </reference>
        </references>
      </pivotArea>
    </format>
    <format dxfId="620">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976"/>
          </reference>
          <reference field="9" count="1">
            <x v="611"/>
          </reference>
        </references>
      </pivotArea>
    </format>
    <format dxfId="619">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1168"/>
          </reference>
          <reference field="9" count="1">
            <x v="611"/>
          </reference>
        </references>
      </pivotArea>
    </format>
    <format dxfId="618">
      <pivotArea dataOnly="0" labelOnly="1" fieldPosition="0">
        <references count="6">
          <reference field="1" count="1" selected="0">
            <x v="140"/>
          </reference>
          <reference field="5" count="1" selected="0">
            <x v="35"/>
          </reference>
          <reference field="6" count="1" selected="0">
            <x v="24"/>
          </reference>
          <reference field="7" count="1" selected="0">
            <x v="229"/>
          </reference>
          <reference field="8" count="1" selected="0">
            <x v="1472"/>
          </reference>
          <reference field="9" count="1">
            <x v="611"/>
          </reference>
        </references>
      </pivotArea>
    </format>
    <format dxfId="617">
      <pivotArea dataOnly="0" labelOnly="1" fieldPosition="0">
        <references count="6">
          <reference field="1" count="1" selected="0">
            <x v="140"/>
          </reference>
          <reference field="5" count="1" selected="0">
            <x v="36"/>
          </reference>
          <reference field="6" count="1" selected="0">
            <x v="9"/>
          </reference>
          <reference field="7" count="1" selected="0">
            <x v="230"/>
          </reference>
          <reference field="8" count="1" selected="0">
            <x v="1204"/>
          </reference>
          <reference field="9" count="1">
            <x v="611"/>
          </reference>
        </references>
      </pivotArea>
    </format>
    <format dxfId="616">
      <pivotArea dataOnly="0" labelOnly="1" fieldPosition="0">
        <references count="6">
          <reference field="1" count="1" selected="0">
            <x v="140"/>
          </reference>
          <reference field="5" count="1" selected="0">
            <x v="37"/>
          </reference>
          <reference field="6" count="1" selected="0">
            <x v="24"/>
          </reference>
          <reference field="7" count="1" selected="0">
            <x v="229"/>
          </reference>
          <reference field="8" count="1" selected="0">
            <x v="993"/>
          </reference>
          <reference field="9" count="1">
            <x v="611"/>
          </reference>
        </references>
      </pivotArea>
    </format>
    <format dxfId="615">
      <pivotArea dataOnly="0" labelOnly="1" fieldPosition="0">
        <references count="6">
          <reference field="1" count="1" selected="0">
            <x v="141"/>
          </reference>
          <reference field="5" count="1" selected="0">
            <x v="0"/>
          </reference>
          <reference field="6" count="1" selected="0">
            <x v="9"/>
          </reference>
          <reference field="7" count="1" selected="0">
            <x v="231"/>
          </reference>
          <reference field="8" count="1" selected="0">
            <x v="351"/>
          </reference>
          <reference field="9" count="1">
            <x v="611"/>
          </reference>
        </references>
      </pivotArea>
    </format>
    <format dxfId="614">
      <pivotArea dataOnly="0" labelOnly="1" fieldPosition="0">
        <references count="6">
          <reference field="1" count="1" selected="0">
            <x v="141"/>
          </reference>
          <reference field="5" count="1" selected="0">
            <x v="0"/>
          </reference>
          <reference field="6" count="1" selected="0">
            <x v="9"/>
          </reference>
          <reference field="7" count="1" selected="0">
            <x v="231"/>
          </reference>
          <reference field="8" count="1" selected="0">
            <x v="807"/>
          </reference>
          <reference field="9" count="1">
            <x v="611"/>
          </reference>
        </references>
      </pivotArea>
    </format>
    <format dxfId="613">
      <pivotArea dataOnly="0" labelOnly="1" fieldPosition="0">
        <references count="6">
          <reference field="1" count="1" selected="0">
            <x v="141"/>
          </reference>
          <reference field="5" count="1" selected="0">
            <x v="0"/>
          </reference>
          <reference field="6" count="1" selected="0">
            <x v="9"/>
          </reference>
          <reference field="7" count="1" selected="0">
            <x v="231"/>
          </reference>
          <reference field="8" count="1" selected="0">
            <x v="812"/>
          </reference>
          <reference field="9" count="1">
            <x v="611"/>
          </reference>
        </references>
      </pivotArea>
    </format>
    <format dxfId="612">
      <pivotArea dataOnly="0" labelOnly="1" fieldPosition="0">
        <references count="6">
          <reference field="1" count="1" selected="0">
            <x v="141"/>
          </reference>
          <reference field="5" count="1" selected="0">
            <x v="0"/>
          </reference>
          <reference field="6" count="1" selected="0">
            <x v="12"/>
          </reference>
          <reference field="7" count="1" selected="0">
            <x v="25"/>
          </reference>
          <reference field="8" count="1" selected="0">
            <x v="180"/>
          </reference>
          <reference field="9" count="1">
            <x v="611"/>
          </reference>
        </references>
      </pivotArea>
    </format>
    <format dxfId="611">
      <pivotArea dataOnly="0" labelOnly="1" fieldPosition="0">
        <references count="6">
          <reference field="1" count="1" selected="0">
            <x v="141"/>
          </reference>
          <reference field="5" count="1" selected="0">
            <x v="0"/>
          </reference>
          <reference field="6" count="1" selected="0">
            <x v="12"/>
          </reference>
          <reference field="7" count="1" selected="0">
            <x v="52"/>
          </reference>
          <reference field="8" count="1" selected="0">
            <x v="35"/>
          </reference>
          <reference field="9" count="1">
            <x v="611"/>
          </reference>
        </references>
      </pivotArea>
    </format>
    <format dxfId="610">
      <pivotArea dataOnly="0" labelOnly="1" fieldPosition="0">
        <references count="6">
          <reference field="1" count="1" selected="0">
            <x v="141"/>
          </reference>
          <reference field="5" count="1" selected="0">
            <x v="10"/>
          </reference>
          <reference field="6" count="1" selected="0">
            <x v="38"/>
          </reference>
          <reference field="7" count="1" selected="0">
            <x v="231"/>
          </reference>
          <reference field="8" count="1" selected="0">
            <x v="1861"/>
          </reference>
          <reference field="9" count="1">
            <x v="611"/>
          </reference>
        </references>
      </pivotArea>
    </format>
    <format dxfId="609">
      <pivotArea dataOnly="0" labelOnly="1" fieldPosition="0">
        <references count="6">
          <reference field="1" count="1" selected="0">
            <x v="141"/>
          </reference>
          <reference field="5" count="1" selected="0">
            <x v="11"/>
          </reference>
          <reference field="6" count="1" selected="0">
            <x v="8"/>
          </reference>
          <reference field="7" count="1" selected="0">
            <x v="231"/>
          </reference>
          <reference field="8" count="1" selected="0">
            <x v="1233"/>
          </reference>
          <reference field="9" count="1">
            <x v="611"/>
          </reference>
        </references>
      </pivotArea>
    </format>
    <format dxfId="608">
      <pivotArea dataOnly="0" labelOnly="1" fieldPosition="0">
        <references count="6">
          <reference field="1" count="1" selected="0">
            <x v="141"/>
          </reference>
          <reference field="5" count="1" selected="0">
            <x v="12"/>
          </reference>
          <reference field="6" count="1" selected="0">
            <x v="1"/>
          </reference>
          <reference field="7" count="1" selected="0">
            <x v="231"/>
          </reference>
          <reference field="8" count="1" selected="0">
            <x v="80"/>
          </reference>
          <reference field="9" count="1">
            <x v="611"/>
          </reference>
        </references>
      </pivotArea>
    </format>
    <format dxfId="607">
      <pivotArea dataOnly="0" labelOnly="1" fieldPosition="0">
        <references count="6">
          <reference field="1" count="1" selected="0">
            <x v="141"/>
          </reference>
          <reference field="5" count="1" selected="0">
            <x v="12"/>
          </reference>
          <reference field="6" count="1" selected="0">
            <x v="1"/>
          </reference>
          <reference field="7" count="1" selected="0">
            <x v="231"/>
          </reference>
          <reference field="8" count="1" selected="0">
            <x v="352"/>
          </reference>
          <reference field="9" count="1">
            <x v="611"/>
          </reference>
        </references>
      </pivotArea>
    </format>
    <format dxfId="606">
      <pivotArea dataOnly="0" labelOnly="1" fieldPosition="0">
        <references count="6">
          <reference field="1" count="1" selected="0">
            <x v="141"/>
          </reference>
          <reference field="5" count="1" selected="0">
            <x v="27"/>
          </reference>
          <reference field="6" count="1" selected="0">
            <x v="38"/>
          </reference>
          <reference field="7" count="1" selected="0">
            <x v="231"/>
          </reference>
          <reference field="8" count="1" selected="0">
            <x v="1634"/>
          </reference>
          <reference field="9" count="1">
            <x v="611"/>
          </reference>
        </references>
      </pivotArea>
    </format>
    <format dxfId="605">
      <pivotArea dataOnly="0" labelOnly="1" fieldPosition="0">
        <references count="6">
          <reference field="1" count="1" selected="0">
            <x v="142"/>
          </reference>
          <reference field="5" count="1" selected="0">
            <x v="0"/>
          </reference>
          <reference field="6" count="1" selected="0">
            <x v="6"/>
          </reference>
          <reference field="7" count="1" selected="0">
            <x v="232"/>
          </reference>
          <reference field="8" count="1" selected="0">
            <x v="933"/>
          </reference>
          <reference field="9" count="1">
            <x v="611"/>
          </reference>
        </references>
      </pivotArea>
    </format>
    <format dxfId="604">
      <pivotArea dataOnly="0" labelOnly="1" fieldPosition="0">
        <references count="6">
          <reference field="1" count="1" selected="0">
            <x v="142"/>
          </reference>
          <reference field="5" count="1" selected="0">
            <x v="0"/>
          </reference>
          <reference field="6" count="1" selected="0">
            <x v="12"/>
          </reference>
          <reference field="7" count="1" selected="0">
            <x v="11"/>
          </reference>
          <reference field="8" count="1" selected="0">
            <x v="138"/>
          </reference>
          <reference field="9" count="1">
            <x v="611"/>
          </reference>
        </references>
      </pivotArea>
    </format>
    <format dxfId="603">
      <pivotArea dataOnly="0" labelOnly="1" fieldPosition="0">
        <references count="6">
          <reference field="1" count="1" selected="0">
            <x v="142"/>
          </reference>
          <reference field="5" count="1" selected="0">
            <x v="0"/>
          </reference>
          <reference field="6" count="1" selected="0">
            <x v="12"/>
          </reference>
          <reference field="7" count="1" selected="0">
            <x v="23"/>
          </reference>
          <reference field="8" count="1" selected="0">
            <x v="114"/>
          </reference>
          <reference field="9" count="1">
            <x v="611"/>
          </reference>
        </references>
      </pivotArea>
    </format>
    <format dxfId="602">
      <pivotArea dataOnly="0" labelOnly="1" fieldPosition="0">
        <references count="6">
          <reference field="1" count="1" selected="0">
            <x v="142"/>
          </reference>
          <reference field="5" count="1" selected="0">
            <x v="0"/>
          </reference>
          <reference field="6" count="1" selected="0">
            <x v="12"/>
          </reference>
          <reference field="7" count="1" selected="0">
            <x v="47"/>
          </reference>
          <reference field="8" count="1" selected="0">
            <x v="314"/>
          </reference>
          <reference field="9" count="1">
            <x v="611"/>
          </reference>
        </references>
      </pivotArea>
    </format>
    <format dxfId="601">
      <pivotArea dataOnly="0" labelOnly="1" fieldPosition="0">
        <references count="6">
          <reference field="1" count="1" selected="0">
            <x v="142"/>
          </reference>
          <reference field="5" count="1" selected="0">
            <x v="0"/>
          </reference>
          <reference field="6" count="1" selected="0">
            <x v="12"/>
          </reference>
          <reference field="7" count="1" selected="0">
            <x v="49"/>
          </reference>
          <reference field="8" count="1" selected="0">
            <x v="52"/>
          </reference>
          <reference field="9" count="1">
            <x v="611"/>
          </reference>
        </references>
      </pivotArea>
    </format>
    <format dxfId="600">
      <pivotArea dataOnly="0" labelOnly="1" fieldPosition="0">
        <references count="6">
          <reference field="1" count="1" selected="0">
            <x v="142"/>
          </reference>
          <reference field="5" count="1" selected="0">
            <x v="0"/>
          </reference>
          <reference field="6" count="1" selected="0">
            <x v="12"/>
          </reference>
          <reference field="7" count="1" selected="0">
            <x v="63"/>
          </reference>
          <reference field="8" count="1" selected="0">
            <x v="6"/>
          </reference>
          <reference field="9" count="1">
            <x v="611"/>
          </reference>
        </references>
      </pivotArea>
    </format>
    <format dxfId="599">
      <pivotArea dataOnly="0" labelOnly="1" fieldPosition="0">
        <references count="6">
          <reference field="1" count="1" selected="0">
            <x v="142"/>
          </reference>
          <reference field="5" count="1" selected="0">
            <x v="0"/>
          </reference>
          <reference field="6" count="1" selected="0">
            <x v="38"/>
          </reference>
          <reference field="7" count="1" selected="0">
            <x v="232"/>
          </reference>
          <reference field="8" count="1" selected="0">
            <x v="109"/>
          </reference>
          <reference field="9" count="1">
            <x v="611"/>
          </reference>
        </references>
      </pivotArea>
    </format>
    <format dxfId="598">
      <pivotArea dataOnly="0" labelOnly="1" fieldPosition="0">
        <references count="6">
          <reference field="1" count="1" selected="0">
            <x v="142"/>
          </reference>
          <reference field="5" count="1" selected="0">
            <x v="0"/>
          </reference>
          <reference field="6" count="1" selected="0">
            <x v="38"/>
          </reference>
          <reference field="7" count="1" selected="0">
            <x v="232"/>
          </reference>
          <reference field="8" count="1" selected="0">
            <x v="500"/>
          </reference>
          <reference field="9" count="1">
            <x v="611"/>
          </reference>
        </references>
      </pivotArea>
    </format>
    <format dxfId="597">
      <pivotArea dataOnly="0" labelOnly="1" fieldPosition="0">
        <references count="6">
          <reference field="1" count="1" selected="0">
            <x v="142"/>
          </reference>
          <reference field="5" count="1" selected="0">
            <x v="0"/>
          </reference>
          <reference field="6" count="1" selected="0">
            <x v="38"/>
          </reference>
          <reference field="7" count="1" selected="0">
            <x v="232"/>
          </reference>
          <reference field="8" count="1" selected="0">
            <x v="943"/>
          </reference>
          <reference field="9" count="1">
            <x v="611"/>
          </reference>
        </references>
      </pivotArea>
    </format>
    <format dxfId="596">
      <pivotArea dataOnly="0" labelOnly="1" fieldPosition="0">
        <references count="6">
          <reference field="1" count="1" selected="0">
            <x v="142"/>
          </reference>
          <reference field="5" count="1" selected="0">
            <x v="0"/>
          </reference>
          <reference field="6" count="1" selected="0">
            <x v="38"/>
          </reference>
          <reference field="7" count="1" selected="0">
            <x v="232"/>
          </reference>
          <reference field="8" count="1" selected="0">
            <x v="1093"/>
          </reference>
          <reference field="9" count="1">
            <x v="611"/>
          </reference>
        </references>
      </pivotArea>
    </format>
    <format dxfId="595">
      <pivotArea dataOnly="0" labelOnly="1" fieldPosition="0">
        <references count="6">
          <reference field="1" count="1" selected="0">
            <x v="142"/>
          </reference>
          <reference field="5" count="1" selected="0">
            <x v="0"/>
          </reference>
          <reference field="6" count="1" selected="0">
            <x v="38"/>
          </reference>
          <reference field="7" count="1" selected="0">
            <x v="232"/>
          </reference>
          <reference field="8" count="1" selected="0">
            <x v="1150"/>
          </reference>
          <reference field="9" count="1">
            <x v="611"/>
          </reference>
        </references>
      </pivotArea>
    </format>
    <format dxfId="594">
      <pivotArea dataOnly="0" labelOnly="1" fieldPosition="0">
        <references count="6">
          <reference field="1" count="1" selected="0">
            <x v="142"/>
          </reference>
          <reference field="5" count="1" selected="0">
            <x v="2"/>
          </reference>
          <reference field="6" count="1" selected="0">
            <x v="1"/>
          </reference>
          <reference field="7" count="1" selected="0">
            <x v="232"/>
          </reference>
          <reference field="8" count="1" selected="0">
            <x v="257"/>
          </reference>
          <reference field="9" count="1">
            <x v="611"/>
          </reference>
        </references>
      </pivotArea>
    </format>
    <format dxfId="593">
      <pivotArea dataOnly="0" labelOnly="1" fieldPosition="0">
        <references count="6">
          <reference field="1" count="1" selected="0">
            <x v="142"/>
          </reference>
          <reference field="5" count="1" selected="0">
            <x v="2"/>
          </reference>
          <reference field="6" count="1" selected="0">
            <x v="6"/>
          </reference>
          <reference field="7" count="1" selected="0">
            <x v="232"/>
          </reference>
          <reference field="8" count="1" selected="0">
            <x v="325"/>
          </reference>
          <reference field="9" count="1">
            <x v="611"/>
          </reference>
        </references>
      </pivotArea>
    </format>
    <format dxfId="592">
      <pivotArea dataOnly="0" labelOnly="1" fieldPosition="0">
        <references count="6">
          <reference field="1" count="1" selected="0">
            <x v="142"/>
          </reference>
          <reference field="5" count="1" selected="0">
            <x v="7"/>
          </reference>
          <reference field="6" count="1" selected="0">
            <x v="38"/>
          </reference>
          <reference field="7" count="1" selected="0">
            <x v="232"/>
          </reference>
          <reference field="8" count="1" selected="0">
            <x v="776"/>
          </reference>
          <reference field="9" count="1">
            <x v="611"/>
          </reference>
        </references>
      </pivotArea>
    </format>
    <format dxfId="591">
      <pivotArea dataOnly="0" labelOnly="1" fieldPosition="0">
        <references count="6">
          <reference field="1" count="1" selected="0">
            <x v="142"/>
          </reference>
          <reference field="5" count="1" selected="0">
            <x v="8"/>
          </reference>
          <reference field="6" count="1" selected="0">
            <x v="10"/>
          </reference>
          <reference field="7" count="1" selected="0">
            <x v="232"/>
          </reference>
          <reference field="8" count="1" selected="0">
            <x v="0"/>
          </reference>
          <reference field="9" count="1">
            <x v="166"/>
          </reference>
        </references>
      </pivotArea>
    </format>
    <format dxfId="590">
      <pivotArea dataOnly="0" labelOnly="1" fieldPosition="0">
        <references count="6">
          <reference field="1" count="1" selected="0">
            <x v="142"/>
          </reference>
          <reference field="5" count="1" selected="0">
            <x v="10"/>
          </reference>
          <reference field="6" count="1" selected="0">
            <x v="38"/>
          </reference>
          <reference field="7" count="1" selected="0">
            <x v="232"/>
          </reference>
          <reference field="8" count="1" selected="0">
            <x v="1744"/>
          </reference>
          <reference field="9" count="1">
            <x v="611"/>
          </reference>
        </references>
      </pivotArea>
    </format>
    <format dxfId="589">
      <pivotArea dataOnly="0" labelOnly="1" fieldPosition="0">
        <references count="6">
          <reference field="1" count="1" selected="0">
            <x v="142"/>
          </reference>
          <reference field="5" count="1" selected="0">
            <x v="12"/>
          </reference>
          <reference field="6" count="1" selected="0">
            <x v="1"/>
          </reference>
          <reference field="7" count="1" selected="0">
            <x v="232"/>
          </reference>
          <reference field="8" count="1" selected="0">
            <x v="80"/>
          </reference>
          <reference field="9" count="1">
            <x v="611"/>
          </reference>
        </references>
      </pivotArea>
    </format>
    <format dxfId="588">
      <pivotArea dataOnly="0" labelOnly="1" fieldPosition="0">
        <references count="6">
          <reference field="1" count="1" selected="0">
            <x v="142"/>
          </reference>
          <reference field="5" count="1" selected="0">
            <x v="12"/>
          </reference>
          <reference field="6" count="1" selected="0">
            <x v="1"/>
          </reference>
          <reference field="7" count="1" selected="0">
            <x v="232"/>
          </reference>
          <reference field="8" count="1" selected="0">
            <x v="213"/>
          </reference>
          <reference field="9" count="1">
            <x v="611"/>
          </reference>
        </references>
      </pivotArea>
    </format>
    <format dxfId="587">
      <pivotArea dataOnly="0" labelOnly="1" fieldPosition="0">
        <references count="6">
          <reference field="1" count="1" selected="0">
            <x v="142"/>
          </reference>
          <reference field="5" count="1" selected="0">
            <x v="12"/>
          </reference>
          <reference field="6" count="1" selected="0">
            <x v="1"/>
          </reference>
          <reference field="7" count="1" selected="0">
            <x v="232"/>
          </reference>
          <reference field="8" count="1" selected="0">
            <x v="352"/>
          </reference>
          <reference field="9" count="1">
            <x v="611"/>
          </reference>
        </references>
      </pivotArea>
    </format>
    <format dxfId="586">
      <pivotArea dataOnly="0" labelOnly="1" fieldPosition="0">
        <references count="6">
          <reference field="1" count="1" selected="0">
            <x v="142"/>
          </reference>
          <reference field="5" count="1" selected="0">
            <x v="12"/>
          </reference>
          <reference field="6" count="1" selected="0">
            <x v="38"/>
          </reference>
          <reference field="7" count="1" selected="0">
            <x v="232"/>
          </reference>
          <reference field="8" count="1" selected="0">
            <x v="278"/>
          </reference>
          <reference field="9" count="1">
            <x v="611"/>
          </reference>
        </references>
      </pivotArea>
    </format>
    <format dxfId="585">
      <pivotArea dataOnly="0" labelOnly="1" fieldPosition="0">
        <references count="6">
          <reference field="1" count="1" selected="0">
            <x v="142"/>
          </reference>
          <reference field="5" count="1" selected="0">
            <x v="12"/>
          </reference>
          <reference field="6" count="1" selected="0">
            <x v="38"/>
          </reference>
          <reference field="7" count="1" selected="0">
            <x v="232"/>
          </reference>
          <reference field="8" count="1" selected="0">
            <x v="500"/>
          </reference>
          <reference field="9" count="1">
            <x v="611"/>
          </reference>
        </references>
      </pivotArea>
    </format>
    <format dxfId="584">
      <pivotArea dataOnly="0" labelOnly="1" fieldPosition="0">
        <references count="6">
          <reference field="1" count="1" selected="0">
            <x v="142"/>
          </reference>
          <reference field="5" count="1" selected="0">
            <x v="15"/>
          </reference>
          <reference field="6" count="1" selected="0">
            <x v="38"/>
          </reference>
          <reference field="7" count="1" selected="0">
            <x v="232"/>
          </reference>
          <reference field="8" count="1" selected="0">
            <x v="1319"/>
          </reference>
          <reference field="9" count="1">
            <x v="611"/>
          </reference>
        </references>
      </pivotArea>
    </format>
    <format dxfId="583">
      <pivotArea dataOnly="0" labelOnly="1" fieldPosition="0">
        <references count="6">
          <reference field="1" count="1" selected="0">
            <x v="142"/>
          </reference>
          <reference field="5" count="1" selected="0">
            <x v="23"/>
          </reference>
          <reference field="6" count="1" selected="0">
            <x v="38"/>
          </reference>
          <reference field="7" count="1" selected="0">
            <x v="232"/>
          </reference>
          <reference field="8" count="1" selected="0">
            <x v="93"/>
          </reference>
          <reference field="9" count="1">
            <x v="611"/>
          </reference>
        </references>
      </pivotArea>
    </format>
    <format dxfId="582">
      <pivotArea dataOnly="0" labelOnly="1" fieldPosition="0">
        <references count="6">
          <reference field="1" count="1" selected="0">
            <x v="142"/>
          </reference>
          <reference field="5" count="1" selected="0">
            <x v="26"/>
          </reference>
          <reference field="6" count="1" selected="0">
            <x v="38"/>
          </reference>
          <reference field="7" count="1" selected="0">
            <x v="232"/>
          </reference>
          <reference field="8" count="1" selected="0">
            <x v="371"/>
          </reference>
          <reference field="9" count="1">
            <x v="611"/>
          </reference>
        </references>
      </pivotArea>
    </format>
    <format dxfId="581">
      <pivotArea dataOnly="0" labelOnly="1" fieldPosition="0">
        <references count="6">
          <reference field="1" count="1" selected="0">
            <x v="142"/>
          </reference>
          <reference field="5" count="1" selected="0">
            <x v="34"/>
          </reference>
          <reference field="6" count="1" selected="0">
            <x v="38"/>
          </reference>
          <reference field="7" count="1" selected="0">
            <x v="232"/>
          </reference>
          <reference field="8" count="1" selected="0">
            <x v="39"/>
          </reference>
          <reference field="9" count="1">
            <x v="611"/>
          </reference>
        </references>
      </pivotArea>
    </format>
    <format dxfId="580">
      <pivotArea dataOnly="0" labelOnly="1" fieldPosition="0">
        <references count="6">
          <reference field="1" count="1" selected="0">
            <x v="142"/>
          </reference>
          <reference field="5" count="1" selected="0">
            <x v="35"/>
          </reference>
          <reference field="6" count="1" selected="0">
            <x v="1"/>
          </reference>
          <reference field="7" count="1" selected="0">
            <x v="232"/>
          </reference>
          <reference field="8" count="1" selected="0">
            <x v="80"/>
          </reference>
          <reference field="9" count="1">
            <x v="611"/>
          </reference>
        </references>
      </pivotArea>
    </format>
    <format dxfId="579">
      <pivotArea dataOnly="0" labelOnly="1" fieldPosition="0">
        <references count="6">
          <reference field="1" count="1" selected="0">
            <x v="142"/>
          </reference>
          <reference field="5" count="1" selected="0">
            <x v="35"/>
          </reference>
          <reference field="6" count="1" selected="0">
            <x v="1"/>
          </reference>
          <reference field="7" count="1" selected="0">
            <x v="232"/>
          </reference>
          <reference field="8" count="1" selected="0">
            <x v="213"/>
          </reference>
          <reference field="9" count="1">
            <x v="611"/>
          </reference>
        </references>
      </pivotArea>
    </format>
    <format dxfId="578">
      <pivotArea dataOnly="0" labelOnly="1" fieldPosition="0">
        <references count="6">
          <reference field="1" count="1" selected="0">
            <x v="142"/>
          </reference>
          <reference field="5" count="1" selected="0">
            <x v="35"/>
          </reference>
          <reference field="6" count="1" selected="0">
            <x v="38"/>
          </reference>
          <reference field="7" count="1" selected="0">
            <x v="232"/>
          </reference>
          <reference field="8" count="1" selected="0">
            <x v="846"/>
          </reference>
          <reference field="9" count="1">
            <x v="611"/>
          </reference>
        </references>
      </pivotArea>
    </format>
    <format dxfId="577">
      <pivotArea dataOnly="0" labelOnly="1" fieldPosition="0">
        <references count="6">
          <reference field="1" count="1" selected="0">
            <x v="142"/>
          </reference>
          <reference field="5" count="1" selected="0">
            <x v="38"/>
          </reference>
          <reference field="6" count="1" selected="0">
            <x v="38"/>
          </reference>
          <reference field="7" count="1" selected="0">
            <x v="232"/>
          </reference>
          <reference field="8" count="1" selected="0">
            <x v="500"/>
          </reference>
          <reference field="9" count="1">
            <x v="611"/>
          </reference>
        </references>
      </pivotArea>
    </format>
    <format dxfId="576">
      <pivotArea dataOnly="0" labelOnly="1" fieldPosition="0">
        <references count="6">
          <reference field="1" count="1" selected="0">
            <x v="143"/>
          </reference>
          <reference field="5" count="1" selected="0">
            <x v="0"/>
          </reference>
          <reference field="6" count="1" selected="0">
            <x v="12"/>
          </reference>
          <reference field="7" count="1" selected="0">
            <x v="41"/>
          </reference>
          <reference field="8" count="1" selected="0">
            <x v="213"/>
          </reference>
          <reference field="9" count="1">
            <x v="611"/>
          </reference>
        </references>
      </pivotArea>
    </format>
    <format dxfId="575">
      <pivotArea dataOnly="0" labelOnly="1" fieldPosition="0">
        <references count="6">
          <reference field="1" count="1" selected="0">
            <x v="143"/>
          </reference>
          <reference field="5" count="1" selected="0">
            <x v="0"/>
          </reference>
          <reference field="6" count="1" selected="0">
            <x v="12"/>
          </reference>
          <reference field="7" count="1" selected="0">
            <x v="50"/>
          </reference>
          <reference field="8" count="1" selected="0">
            <x v="248"/>
          </reference>
          <reference field="9" count="1">
            <x v="611"/>
          </reference>
        </references>
      </pivotArea>
    </format>
    <format dxfId="574">
      <pivotArea dataOnly="0" labelOnly="1" fieldPosition="0">
        <references count="6">
          <reference field="1" count="1" selected="0">
            <x v="143"/>
          </reference>
          <reference field="5" count="1" selected="0">
            <x v="10"/>
          </reference>
          <reference field="6" count="1" selected="0">
            <x v="10"/>
          </reference>
          <reference field="7" count="1" selected="0">
            <x v="233"/>
          </reference>
          <reference field="8" count="1" selected="0">
            <x v="0"/>
          </reference>
          <reference field="9" count="1">
            <x v="253"/>
          </reference>
        </references>
      </pivotArea>
    </format>
    <format dxfId="573">
      <pivotArea dataOnly="0" labelOnly="1" fieldPosition="0">
        <references count="6">
          <reference field="1" count="1" selected="0">
            <x v="143"/>
          </reference>
          <reference field="5" count="1" selected="0">
            <x v="14"/>
          </reference>
          <reference field="6" count="1" selected="0">
            <x v="37"/>
          </reference>
          <reference field="7" count="1" selected="0">
            <x v="233"/>
          </reference>
          <reference field="8" count="1" selected="0">
            <x v="1181"/>
          </reference>
          <reference field="9" count="1">
            <x v="611"/>
          </reference>
        </references>
      </pivotArea>
    </format>
    <format dxfId="572">
      <pivotArea dataOnly="0" labelOnly="1" fieldPosition="0">
        <references count="6">
          <reference field="1" count="1" selected="0">
            <x v="143"/>
          </reference>
          <reference field="5" count="1" selected="0">
            <x v="32"/>
          </reference>
          <reference field="6" count="1" selected="0">
            <x v="9"/>
          </reference>
          <reference field="7" count="1" selected="0">
            <x v="233"/>
          </reference>
          <reference field="8" count="1" selected="0">
            <x v="1793"/>
          </reference>
          <reference field="9" count="1">
            <x v="611"/>
          </reference>
        </references>
      </pivotArea>
    </format>
    <format dxfId="571">
      <pivotArea dataOnly="0" labelOnly="1" fieldPosition="0">
        <references count="6">
          <reference field="1" count="1" selected="0">
            <x v="144"/>
          </reference>
          <reference field="5" count="1" selected="0">
            <x v="0"/>
          </reference>
          <reference field="6" count="1" selected="0">
            <x v="12"/>
          </reference>
          <reference field="7" count="1" selected="0">
            <x v="7"/>
          </reference>
          <reference field="8" count="1" selected="0">
            <x v="90"/>
          </reference>
          <reference field="9" count="1">
            <x v="611"/>
          </reference>
        </references>
      </pivotArea>
    </format>
    <format dxfId="570">
      <pivotArea dataOnly="0" labelOnly="1" fieldPosition="0">
        <references count="6">
          <reference field="1" count="1" selected="0">
            <x v="144"/>
          </reference>
          <reference field="5" count="1" selected="0">
            <x v="0"/>
          </reference>
          <reference field="6" count="1" selected="0">
            <x v="12"/>
          </reference>
          <reference field="7" count="1" selected="0">
            <x v="62"/>
          </reference>
          <reference field="8" count="1" selected="0">
            <x v="85"/>
          </reference>
          <reference field="9" count="1">
            <x v="611"/>
          </reference>
        </references>
      </pivotArea>
    </format>
    <format dxfId="569">
      <pivotArea dataOnly="0" labelOnly="1" fieldPosition="0">
        <references count="6">
          <reference field="1" count="1" selected="0">
            <x v="145"/>
          </reference>
          <reference field="5" count="1" selected="0">
            <x v="0"/>
          </reference>
          <reference field="6" count="1" selected="0">
            <x v="1"/>
          </reference>
          <reference field="7" count="1" selected="0">
            <x v="234"/>
          </reference>
          <reference field="8" count="1" selected="0">
            <x v="80"/>
          </reference>
          <reference field="9" count="1">
            <x v="611"/>
          </reference>
        </references>
      </pivotArea>
    </format>
    <format dxfId="568">
      <pivotArea dataOnly="0" labelOnly="1" fieldPosition="0">
        <references count="6">
          <reference field="1" count="1" selected="0">
            <x v="145"/>
          </reference>
          <reference field="5" count="1" selected="0">
            <x v="0"/>
          </reference>
          <reference field="6" count="1" selected="0">
            <x v="6"/>
          </reference>
          <reference field="7" count="1" selected="0">
            <x v="234"/>
          </reference>
          <reference field="8" count="1" selected="0">
            <x v="469"/>
          </reference>
          <reference field="9" count="1">
            <x v="611"/>
          </reference>
        </references>
      </pivotArea>
    </format>
    <format dxfId="567">
      <pivotArea dataOnly="0" labelOnly="1" fieldPosition="0">
        <references count="6">
          <reference field="1" count="1" selected="0">
            <x v="145"/>
          </reference>
          <reference field="5" count="1" selected="0">
            <x v="0"/>
          </reference>
          <reference field="6" count="1" selected="0">
            <x v="11"/>
          </reference>
          <reference field="7" count="1" selected="0">
            <x v="14"/>
          </reference>
          <reference field="8" count="1" selected="0">
            <x v="213"/>
          </reference>
          <reference field="9" count="1">
            <x v="611"/>
          </reference>
        </references>
      </pivotArea>
    </format>
    <format dxfId="566">
      <pivotArea dataOnly="0" labelOnly="1" fieldPosition="0">
        <references count="6">
          <reference field="1" count="1" selected="0">
            <x v="145"/>
          </reference>
          <reference field="5" count="1" selected="0">
            <x v="0"/>
          </reference>
          <reference field="6" count="1" selected="0">
            <x v="12"/>
          </reference>
          <reference field="7" count="1" selected="0">
            <x v="19"/>
          </reference>
          <reference field="8" count="1" selected="0">
            <x v="35"/>
          </reference>
          <reference field="9" count="1">
            <x v="611"/>
          </reference>
        </references>
      </pivotArea>
    </format>
    <format dxfId="565">
      <pivotArea dataOnly="0" labelOnly="1" fieldPosition="0">
        <references count="6">
          <reference field="1" count="1" selected="0">
            <x v="145"/>
          </reference>
          <reference field="5" count="1" selected="0">
            <x v="0"/>
          </reference>
          <reference field="6" count="1" selected="0">
            <x v="12"/>
          </reference>
          <reference field="7" count="1" selected="0">
            <x v="34"/>
          </reference>
          <reference field="8" count="1" selected="0">
            <x v="719"/>
          </reference>
          <reference field="9" count="1">
            <x v="611"/>
          </reference>
        </references>
      </pivotArea>
    </format>
    <format dxfId="564">
      <pivotArea dataOnly="0" labelOnly="1" fieldPosition="0">
        <references count="6">
          <reference field="1" count="1" selected="0">
            <x v="145"/>
          </reference>
          <reference field="5" count="1" selected="0">
            <x v="0"/>
          </reference>
          <reference field="6" count="1" selected="0">
            <x v="38"/>
          </reference>
          <reference field="7" count="1" selected="0">
            <x v="234"/>
          </reference>
          <reference field="8" count="1" selected="0">
            <x v="1170"/>
          </reference>
          <reference field="9" count="1">
            <x v="611"/>
          </reference>
        </references>
      </pivotArea>
    </format>
    <format dxfId="563">
      <pivotArea dataOnly="0" labelOnly="1" fieldPosition="0">
        <references count="6">
          <reference field="1" count="1" selected="0">
            <x v="145"/>
          </reference>
          <reference field="5" count="1" selected="0">
            <x v="3"/>
          </reference>
          <reference field="6" count="1" selected="0">
            <x v="38"/>
          </reference>
          <reference field="7" count="1" selected="0">
            <x v="234"/>
          </reference>
          <reference field="8" count="1" selected="0">
            <x v="106"/>
          </reference>
          <reference field="9" count="1">
            <x v="611"/>
          </reference>
        </references>
      </pivotArea>
    </format>
    <format dxfId="562">
      <pivotArea dataOnly="0" labelOnly="1" fieldPosition="0">
        <references count="6">
          <reference field="1" count="1" selected="0">
            <x v="145"/>
          </reference>
          <reference field="5" count="1" selected="0">
            <x v="7"/>
          </reference>
          <reference field="6" count="1" selected="0">
            <x v="6"/>
          </reference>
          <reference field="7" count="1" selected="0">
            <x v="234"/>
          </reference>
          <reference field="8" count="1" selected="0">
            <x v="539"/>
          </reference>
          <reference field="9" count="1">
            <x v="611"/>
          </reference>
        </references>
      </pivotArea>
    </format>
    <format dxfId="561">
      <pivotArea dataOnly="0" labelOnly="1" fieldPosition="0">
        <references count="6">
          <reference field="1" count="1" selected="0">
            <x v="145"/>
          </reference>
          <reference field="5" count="1" selected="0">
            <x v="8"/>
          </reference>
          <reference field="6" count="1" selected="0">
            <x v="38"/>
          </reference>
          <reference field="7" count="1" selected="0">
            <x v="234"/>
          </reference>
          <reference field="8" count="1" selected="0">
            <x v="642"/>
          </reference>
          <reference field="9" count="1">
            <x v="611"/>
          </reference>
        </references>
      </pivotArea>
    </format>
    <format dxfId="560">
      <pivotArea dataOnly="0" labelOnly="1" fieldPosition="0">
        <references count="6">
          <reference field="1" count="1" selected="0">
            <x v="145"/>
          </reference>
          <reference field="5" count="1" selected="0">
            <x v="12"/>
          </reference>
          <reference field="6" count="1" selected="0">
            <x v="1"/>
          </reference>
          <reference field="7" count="1" selected="0">
            <x v="234"/>
          </reference>
          <reference field="8" count="1" selected="0">
            <x v="213"/>
          </reference>
          <reference field="9" count="1">
            <x v="611"/>
          </reference>
        </references>
      </pivotArea>
    </format>
    <format dxfId="559">
      <pivotArea dataOnly="0" labelOnly="1" fieldPosition="0">
        <references count="6">
          <reference field="1" count="1" selected="0">
            <x v="145"/>
          </reference>
          <reference field="5" count="1" selected="0">
            <x v="12"/>
          </reference>
          <reference field="6" count="1" selected="0">
            <x v="1"/>
          </reference>
          <reference field="7" count="1" selected="0">
            <x v="234"/>
          </reference>
          <reference field="8" count="1" selected="0">
            <x v="500"/>
          </reference>
          <reference field="9" count="1">
            <x v="611"/>
          </reference>
        </references>
      </pivotArea>
    </format>
    <format dxfId="558">
      <pivotArea dataOnly="0" labelOnly="1" fieldPosition="0">
        <references count="6">
          <reference field="1" count="1" selected="0">
            <x v="145"/>
          </reference>
          <reference field="5" count="1" selected="0">
            <x v="12"/>
          </reference>
          <reference field="6" count="1" selected="0">
            <x v="1"/>
          </reference>
          <reference field="7" count="1" selected="0">
            <x v="234"/>
          </reference>
          <reference field="8" count="1" selected="0">
            <x v="607"/>
          </reference>
          <reference field="9" count="1">
            <x v="611"/>
          </reference>
        </references>
      </pivotArea>
    </format>
    <format dxfId="557">
      <pivotArea dataOnly="0" labelOnly="1" fieldPosition="0">
        <references count="6">
          <reference field="1" count="1" selected="0">
            <x v="145"/>
          </reference>
          <reference field="5" count="1" selected="0">
            <x v="12"/>
          </reference>
          <reference field="6" count="1" selected="0">
            <x v="1"/>
          </reference>
          <reference field="7" count="1" selected="0">
            <x v="234"/>
          </reference>
          <reference field="8" count="1" selected="0">
            <x v="771"/>
          </reference>
          <reference field="9" count="1">
            <x v="611"/>
          </reference>
        </references>
      </pivotArea>
    </format>
    <format dxfId="556">
      <pivotArea dataOnly="0" labelOnly="1" fieldPosition="0">
        <references count="6">
          <reference field="1" count="1" selected="0">
            <x v="145"/>
          </reference>
          <reference field="5" count="1" selected="0">
            <x v="12"/>
          </reference>
          <reference field="6" count="1" selected="0">
            <x v="38"/>
          </reference>
          <reference field="7" count="1" selected="0">
            <x v="234"/>
          </reference>
          <reference field="8" count="1" selected="0">
            <x v="1343"/>
          </reference>
          <reference field="9" count="1">
            <x v="611"/>
          </reference>
        </references>
      </pivotArea>
    </format>
    <format dxfId="555">
      <pivotArea dataOnly="0" labelOnly="1" fieldPosition="0">
        <references count="6">
          <reference field="1" count="1" selected="0">
            <x v="145"/>
          </reference>
          <reference field="5" count="1" selected="0">
            <x v="12"/>
          </reference>
          <reference field="6" count="1" selected="0">
            <x v="38"/>
          </reference>
          <reference field="7" count="1" selected="0">
            <x v="234"/>
          </reference>
          <reference field="8" count="1" selected="0">
            <x v="1528"/>
          </reference>
          <reference field="9" count="1">
            <x v="611"/>
          </reference>
        </references>
      </pivotArea>
    </format>
    <format dxfId="554">
      <pivotArea dataOnly="0" labelOnly="1" fieldPosition="0">
        <references count="6">
          <reference field="1" count="1" selected="0">
            <x v="145"/>
          </reference>
          <reference field="5" count="1" selected="0">
            <x v="15"/>
          </reference>
          <reference field="6" count="1" selected="0">
            <x v="38"/>
          </reference>
          <reference field="7" count="1" selected="0">
            <x v="234"/>
          </reference>
          <reference field="8" count="1" selected="0">
            <x v="744"/>
          </reference>
          <reference field="9" count="1">
            <x v="611"/>
          </reference>
        </references>
      </pivotArea>
    </format>
    <format dxfId="553">
      <pivotArea dataOnly="0" labelOnly="1" fieldPosition="0">
        <references count="6">
          <reference field="1" count="1" selected="0">
            <x v="145"/>
          </reference>
          <reference field="5" count="1" selected="0">
            <x v="27"/>
          </reference>
          <reference field="6" count="1" selected="0">
            <x v="38"/>
          </reference>
          <reference field="7" count="1" selected="0">
            <x v="234"/>
          </reference>
          <reference field="8" count="1" selected="0">
            <x v="39"/>
          </reference>
          <reference field="9" count="1">
            <x v="611"/>
          </reference>
        </references>
      </pivotArea>
    </format>
    <format dxfId="552">
      <pivotArea dataOnly="0" labelOnly="1" fieldPosition="0">
        <references count="6">
          <reference field="1" count="1" selected="0">
            <x v="145"/>
          </reference>
          <reference field="5" count="1" selected="0">
            <x v="35"/>
          </reference>
          <reference field="6" count="1" selected="0">
            <x v="1"/>
          </reference>
          <reference field="7" count="1" selected="0">
            <x v="234"/>
          </reference>
          <reference field="8" count="1" selected="0">
            <x v="80"/>
          </reference>
          <reference field="9" count="1">
            <x v="611"/>
          </reference>
        </references>
      </pivotArea>
    </format>
    <format dxfId="551">
      <pivotArea dataOnly="0" labelOnly="1" fieldPosition="0">
        <references count="6">
          <reference field="1" count="1" selected="0">
            <x v="145"/>
          </reference>
          <reference field="5" count="1" selected="0">
            <x v="35"/>
          </reference>
          <reference field="6" count="1" selected="0">
            <x v="1"/>
          </reference>
          <reference field="7" count="1" selected="0">
            <x v="234"/>
          </reference>
          <reference field="8" count="1" selected="0">
            <x v="846"/>
          </reference>
          <reference field="9" count="1">
            <x v="611"/>
          </reference>
        </references>
      </pivotArea>
    </format>
    <format dxfId="550">
      <pivotArea dataOnly="0" labelOnly="1" fieldPosition="0">
        <references count="6">
          <reference field="1" count="1" selected="0">
            <x v="146"/>
          </reference>
          <reference field="5" count="1" selected="0">
            <x v="0"/>
          </reference>
          <reference field="6" count="1" selected="0">
            <x v="8"/>
          </reference>
          <reference field="7" count="1" selected="0">
            <x v="235"/>
          </reference>
          <reference field="8" count="1" selected="0">
            <x v="1028"/>
          </reference>
          <reference field="9" count="1">
            <x v="611"/>
          </reference>
        </references>
      </pivotArea>
    </format>
    <format dxfId="549">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128"/>
          </reference>
          <reference field="9" count="1">
            <x v="611"/>
          </reference>
        </references>
      </pivotArea>
    </format>
    <format dxfId="548">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257"/>
          </reference>
          <reference field="9" count="1">
            <x v="611"/>
          </reference>
        </references>
      </pivotArea>
    </format>
    <format dxfId="547">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267"/>
          </reference>
          <reference field="9" count="1">
            <x v="611"/>
          </reference>
        </references>
      </pivotArea>
    </format>
    <format dxfId="546">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824"/>
          </reference>
          <reference field="9" count="1">
            <x v="611"/>
          </reference>
        </references>
      </pivotArea>
    </format>
    <format dxfId="545">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1033"/>
          </reference>
          <reference field="9" count="1">
            <x v="611"/>
          </reference>
        </references>
      </pivotArea>
    </format>
    <format dxfId="544">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1057"/>
          </reference>
          <reference field="9" count="1">
            <x v="611"/>
          </reference>
        </references>
      </pivotArea>
    </format>
    <format dxfId="543">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1089"/>
          </reference>
          <reference field="9" count="1">
            <x v="611"/>
          </reference>
        </references>
      </pivotArea>
    </format>
    <format dxfId="542">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1105"/>
          </reference>
          <reference field="9" count="1">
            <x v="611"/>
          </reference>
        </references>
      </pivotArea>
    </format>
    <format dxfId="541">
      <pivotArea dataOnly="0" labelOnly="1" fieldPosition="0">
        <references count="6">
          <reference field="1" count="1" selected="0">
            <x v="146"/>
          </reference>
          <reference field="5" count="1" selected="0">
            <x v="0"/>
          </reference>
          <reference field="6" count="1" selected="0">
            <x v="9"/>
          </reference>
          <reference field="7" count="1" selected="0">
            <x v="235"/>
          </reference>
          <reference field="8" count="1" selected="0">
            <x v="1203"/>
          </reference>
          <reference field="9" count="1">
            <x v="611"/>
          </reference>
        </references>
      </pivotArea>
    </format>
    <format dxfId="540">
      <pivotArea dataOnly="0" labelOnly="1" fieldPosition="0">
        <references count="6">
          <reference field="1" count="1" selected="0">
            <x v="146"/>
          </reference>
          <reference field="5" count="1" selected="0">
            <x v="0"/>
          </reference>
          <reference field="6" count="1" selected="0">
            <x v="12"/>
          </reference>
          <reference field="7" count="1" selected="0">
            <x v="25"/>
          </reference>
          <reference field="8" count="1" selected="0">
            <x v="55"/>
          </reference>
          <reference field="9" count="1">
            <x v="611"/>
          </reference>
        </references>
      </pivotArea>
    </format>
    <format dxfId="539">
      <pivotArea dataOnly="0" labelOnly="1" fieldPosition="0">
        <references count="6">
          <reference field="1" count="1" selected="0">
            <x v="146"/>
          </reference>
          <reference field="5" count="1" selected="0">
            <x v="6"/>
          </reference>
          <reference field="6" count="1" selected="0">
            <x v="38"/>
          </reference>
          <reference field="7" count="1" selected="0">
            <x v="235"/>
          </reference>
          <reference field="8" count="1" selected="0">
            <x v="1229"/>
          </reference>
          <reference field="9" count="1">
            <x v="611"/>
          </reference>
        </references>
      </pivotArea>
    </format>
    <format dxfId="538">
      <pivotArea dataOnly="0" labelOnly="1" fieldPosition="0">
        <references count="6">
          <reference field="1" count="1" selected="0">
            <x v="146"/>
          </reference>
          <reference field="5" count="1" selected="0">
            <x v="8"/>
          </reference>
          <reference field="6" count="1" selected="0">
            <x v="38"/>
          </reference>
          <reference field="7" count="1" selected="0">
            <x v="235"/>
          </reference>
          <reference field="8" count="1" selected="0">
            <x v="1390"/>
          </reference>
          <reference field="9" count="1">
            <x v="611"/>
          </reference>
        </references>
      </pivotArea>
    </format>
    <format dxfId="537">
      <pivotArea dataOnly="0" labelOnly="1" fieldPosition="0">
        <references count="6">
          <reference field="1" count="1" selected="0">
            <x v="146"/>
          </reference>
          <reference field="5" count="1" selected="0">
            <x v="10"/>
          </reference>
          <reference field="6" count="1" selected="0">
            <x v="10"/>
          </reference>
          <reference field="7" count="1" selected="0">
            <x v="235"/>
          </reference>
          <reference field="8" count="1" selected="0">
            <x v="1847"/>
          </reference>
          <reference field="9" count="1">
            <x v="611"/>
          </reference>
        </references>
      </pivotArea>
    </format>
    <format dxfId="536">
      <pivotArea dataOnly="0" labelOnly="1" fieldPosition="0">
        <references count="6">
          <reference field="1" count="1" selected="0">
            <x v="146"/>
          </reference>
          <reference field="5" count="1" selected="0">
            <x v="12"/>
          </reference>
          <reference field="6" count="1" selected="0">
            <x v="1"/>
          </reference>
          <reference field="7" count="1" selected="0">
            <x v="235"/>
          </reference>
          <reference field="8" count="1" selected="0">
            <x v="80"/>
          </reference>
          <reference field="9" count="1">
            <x v="611"/>
          </reference>
        </references>
      </pivotArea>
    </format>
    <format dxfId="535">
      <pivotArea dataOnly="0" labelOnly="1" fieldPosition="0">
        <references count="6">
          <reference field="1" count="1" selected="0">
            <x v="146"/>
          </reference>
          <reference field="5" count="1" selected="0">
            <x v="12"/>
          </reference>
          <reference field="6" count="1" selected="0">
            <x v="1"/>
          </reference>
          <reference field="7" count="1" selected="0">
            <x v="235"/>
          </reference>
          <reference field="8" count="1" selected="0">
            <x v="352"/>
          </reference>
          <reference field="9" count="1">
            <x v="611"/>
          </reference>
        </references>
      </pivotArea>
    </format>
    <format dxfId="534">
      <pivotArea dataOnly="0" labelOnly="1" fieldPosition="0">
        <references count="6">
          <reference field="1" count="1" selected="0">
            <x v="146"/>
          </reference>
          <reference field="5" count="1" selected="0">
            <x v="12"/>
          </reference>
          <reference field="6" count="1" selected="0">
            <x v="1"/>
          </reference>
          <reference field="7" count="1" selected="0">
            <x v="235"/>
          </reference>
          <reference field="8" count="1" selected="0">
            <x v="500"/>
          </reference>
          <reference field="9" count="1">
            <x v="611"/>
          </reference>
        </references>
      </pivotArea>
    </format>
    <format dxfId="533">
      <pivotArea dataOnly="0" labelOnly="1" fieldPosition="0">
        <references count="6">
          <reference field="1" count="1" selected="0">
            <x v="146"/>
          </reference>
          <reference field="5" count="1" selected="0">
            <x v="12"/>
          </reference>
          <reference field="6" count="1" selected="0">
            <x v="1"/>
          </reference>
          <reference field="7" count="1" selected="0">
            <x v="235"/>
          </reference>
          <reference field="8" count="1" selected="0">
            <x v="607"/>
          </reference>
          <reference field="9" count="1">
            <x v="611"/>
          </reference>
        </references>
      </pivotArea>
    </format>
    <format dxfId="532">
      <pivotArea dataOnly="0" labelOnly="1" fieldPosition="0">
        <references count="6">
          <reference field="1" count="1" selected="0">
            <x v="146"/>
          </reference>
          <reference field="5" count="1" selected="0">
            <x v="12"/>
          </reference>
          <reference field="6" count="1" selected="0">
            <x v="1"/>
          </reference>
          <reference field="7" count="1" selected="0">
            <x v="235"/>
          </reference>
          <reference field="8" count="1" selected="0">
            <x v="702"/>
          </reference>
          <reference field="9" count="1">
            <x v="611"/>
          </reference>
        </references>
      </pivotArea>
    </format>
    <format dxfId="531">
      <pivotArea dataOnly="0" labelOnly="1" fieldPosition="0">
        <references count="6">
          <reference field="1" count="1" selected="0">
            <x v="146"/>
          </reference>
          <reference field="5" count="1" selected="0">
            <x v="12"/>
          </reference>
          <reference field="6" count="1" selected="0">
            <x v="1"/>
          </reference>
          <reference field="7" count="1" selected="0">
            <x v="235"/>
          </reference>
          <reference field="8" count="1" selected="0">
            <x v="771"/>
          </reference>
          <reference field="9" count="1">
            <x v="611"/>
          </reference>
        </references>
      </pivotArea>
    </format>
    <format dxfId="530">
      <pivotArea dataOnly="0" labelOnly="1" fieldPosition="0">
        <references count="6">
          <reference field="1" count="1" selected="0">
            <x v="146"/>
          </reference>
          <reference field="5" count="1" selected="0">
            <x v="17"/>
          </reference>
          <reference field="6" count="1" selected="0">
            <x v="6"/>
          </reference>
          <reference field="7" count="1" selected="0">
            <x v="235"/>
          </reference>
          <reference field="8" count="1" selected="0">
            <x v="1696"/>
          </reference>
          <reference field="9" count="1">
            <x v="611"/>
          </reference>
        </references>
      </pivotArea>
    </format>
    <format dxfId="529">
      <pivotArea dataOnly="0" labelOnly="1" fieldPosition="0">
        <references count="6">
          <reference field="1" count="1" selected="0">
            <x v="146"/>
          </reference>
          <reference field="5" count="1" selected="0">
            <x v="17"/>
          </reference>
          <reference field="6" count="1" selected="0">
            <x v="9"/>
          </reference>
          <reference field="7" count="1" selected="0">
            <x v="235"/>
          </reference>
          <reference field="8" count="1" selected="0">
            <x v="1433"/>
          </reference>
          <reference field="9" count="1">
            <x v="611"/>
          </reference>
        </references>
      </pivotArea>
    </format>
    <format dxfId="528">
      <pivotArea dataOnly="0" labelOnly="1" fieldPosition="0">
        <references count="6">
          <reference field="1" count="1" selected="0">
            <x v="146"/>
          </reference>
          <reference field="5" count="1" selected="0">
            <x v="19"/>
          </reference>
          <reference field="6" count="1" selected="0">
            <x v="6"/>
          </reference>
          <reference field="7" count="1" selected="0">
            <x v="235"/>
          </reference>
          <reference field="8" count="1" selected="0">
            <x v="539"/>
          </reference>
          <reference field="9" count="1">
            <x v="611"/>
          </reference>
        </references>
      </pivotArea>
    </format>
    <format dxfId="527">
      <pivotArea dataOnly="0" labelOnly="1" fieldPosition="0">
        <references count="6">
          <reference field="1" count="1" selected="0">
            <x v="146"/>
          </reference>
          <reference field="5" count="1" selected="0">
            <x v="23"/>
          </reference>
          <reference field="6" count="1" selected="0">
            <x v="6"/>
          </reference>
          <reference field="7" count="1" selected="0">
            <x v="235"/>
          </reference>
          <reference field="8" count="1" selected="0">
            <x v="325"/>
          </reference>
          <reference field="9" count="1">
            <x v="611"/>
          </reference>
        </references>
      </pivotArea>
    </format>
    <format dxfId="526">
      <pivotArea dataOnly="0" labelOnly="1" fieldPosition="0">
        <references count="6">
          <reference field="1" count="1" selected="0">
            <x v="146"/>
          </reference>
          <reference field="5" count="1" selected="0">
            <x v="33"/>
          </reference>
          <reference field="6" count="1" selected="0">
            <x v="38"/>
          </reference>
          <reference field="7" count="1" selected="0">
            <x v="235"/>
          </reference>
          <reference field="8" count="1" selected="0">
            <x v="710"/>
          </reference>
          <reference field="9" count="1">
            <x v="611"/>
          </reference>
        </references>
      </pivotArea>
    </format>
    <format dxfId="525">
      <pivotArea dataOnly="0" labelOnly="1" fieldPosition="0">
        <references count="6">
          <reference field="1" count="1" selected="0">
            <x v="146"/>
          </reference>
          <reference field="5" count="1" selected="0">
            <x v="34"/>
          </reference>
          <reference field="6" count="1" selected="0">
            <x v="38"/>
          </reference>
          <reference field="7" count="1" selected="0">
            <x v="235"/>
          </reference>
          <reference field="8" count="1" selected="0">
            <x v="1167"/>
          </reference>
          <reference field="9" count="1">
            <x v="611"/>
          </reference>
        </references>
      </pivotArea>
    </format>
    <format dxfId="524">
      <pivotArea dataOnly="0" labelOnly="1" fieldPosition="0">
        <references count="6">
          <reference field="1" count="1" selected="0">
            <x v="146"/>
          </reference>
          <reference field="5" count="1" selected="0">
            <x v="35"/>
          </reference>
          <reference field="6" count="1" selected="0">
            <x v="1"/>
          </reference>
          <reference field="7" count="1" selected="0">
            <x v="235"/>
          </reference>
          <reference field="8" count="1" selected="0">
            <x v="80"/>
          </reference>
          <reference field="9" count="1">
            <x v="611"/>
          </reference>
        </references>
      </pivotArea>
    </format>
    <format dxfId="523">
      <pivotArea dataOnly="0" labelOnly="1" fieldPosition="0">
        <references count="6">
          <reference field="1" count="1" selected="0">
            <x v="146"/>
          </reference>
          <reference field="5" count="1" selected="0">
            <x v="35"/>
          </reference>
          <reference field="6" count="1" selected="0">
            <x v="1"/>
          </reference>
          <reference field="7" count="1" selected="0">
            <x v="235"/>
          </reference>
          <reference field="8" count="1" selected="0">
            <x v="500"/>
          </reference>
          <reference field="9" count="1">
            <x v="611"/>
          </reference>
        </references>
      </pivotArea>
    </format>
    <format dxfId="522">
      <pivotArea dataOnly="0" labelOnly="1" fieldPosition="0">
        <references count="6">
          <reference field="1" count="1" selected="0">
            <x v="146"/>
          </reference>
          <reference field="5" count="1" selected="0">
            <x v="36"/>
          </reference>
          <reference field="6" count="1" selected="0">
            <x v="8"/>
          </reference>
          <reference field="7" count="1" selected="0">
            <x v="235"/>
          </reference>
          <reference field="8" count="1" selected="0">
            <x v="1463"/>
          </reference>
          <reference field="9" count="1">
            <x v="611"/>
          </reference>
        </references>
      </pivotArea>
    </format>
    <format dxfId="521">
      <pivotArea dataOnly="0" labelOnly="1" fieldPosition="0">
        <references count="6">
          <reference field="1" count="1" selected="0">
            <x v="146"/>
          </reference>
          <reference field="5" count="1" selected="0">
            <x v="36"/>
          </reference>
          <reference field="6" count="1" selected="0">
            <x v="9"/>
          </reference>
          <reference field="7" count="1" selected="0">
            <x v="235"/>
          </reference>
          <reference field="8" count="1" selected="0">
            <x v="1368"/>
          </reference>
          <reference field="9" count="1">
            <x v="611"/>
          </reference>
        </references>
      </pivotArea>
    </format>
    <format dxfId="520">
      <pivotArea dataOnly="0" labelOnly="1" fieldPosition="0">
        <references count="6">
          <reference field="1" count="1" selected="0">
            <x v="146"/>
          </reference>
          <reference field="5" count="1" selected="0">
            <x v="36"/>
          </reference>
          <reference field="6" count="1" selected="0">
            <x v="38"/>
          </reference>
          <reference field="7" count="1" selected="0">
            <x v="235"/>
          </reference>
          <reference field="8" count="1" selected="0">
            <x v="214"/>
          </reference>
          <reference field="9" count="1">
            <x v="611"/>
          </reference>
        </references>
      </pivotArea>
    </format>
    <format dxfId="519">
      <pivotArea dataOnly="0" labelOnly="1" fieldPosition="0">
        <references count="6">
          <reference field="1" count="1" selected="0">
            <x v="147"/>
          </reference>
          <reference field="5" count="1" selected="0">
            <x v="0"/>
          </reference>
          <reference field="6" count="1" selected="0">
            <x v="12"/>
          </reference>
          <reference field="7" count="1" selected="0">
            <x v="4"/>
          </reference>
          <reference field="8" count="1" selected="0">
            <x v="73"/>
          </reference>
          <reference field="9" count="1">
            <x v="611"/>
          </reference>
        </references>
      </pivotArea>
    </format>
    <format dxfId="518">
      <pivotArea dataOnly="0" labelOnly="1" fieldPosition="0">
        <references count="6">
          <reference field="1" count="1" selected="0">
            <x v="147"/>
          </reference>
          <reference field="5" count="1" selected="0">
            <x v="0"/>
          </reference>
          <reference field="6" count="1" selected="0">
            <x v="12"/>
          </reference>
          <reference field="7" count="1" selected="0">
            <x v="26"/>
          </reference>
          <reference field="8" count="1" selected="0">
            <x v="25"/>
          </reference>
          <reference field="9" count="1">
            <x v="611"/>
          </reference>
        </references>
      </pivotArea>
    </format>
    <format dxfId="517">
      <pivotArea dataOnly="0" labelOnly="1" fieldPosition="0">
        <references count="6">
          <reference field="1" count="1" selected="0">
            <x v="147"/>
          </reference>
          <reference field="5" count="1" selected="0">
            <x v="0"/>
          </reference>
          <reference field="6" count="1" selected="0">
            <x v="12"/>
          </reference>
          <reference field="7" count="1" selected="0">
            <x v="55"/>
          </reference>
          <reference field="8" count="1" selected="0">
            <x v="25"/>
          </reference>
          <reference field="9" count="1">
            <x v="611"/>
          </reference>
        </references>
      </pivotArea>
    </format>
    <format dxfId="516">
      <pivotArea dataOnly="0" labelOnly="1" fieldPosition="0">
        <references count="6">
          <reference field="1" count="1" selected="0">
            <x v="147"/>
          </reference>
          <reference field="5" count="1" selected="0">
            <x v="1"/>
          </reference>
          <reference field="6" count="1" selected="0">
            <x v="37"/>
          </reference>
          <reference field="7" count="1" selected="0">
            <x v="236"/>
          </reference>
          <reference field="8" count="1" selected="0">
            <x v="1851"/>
          </reference>
          <reference field="9" count="1">
            <x v="611"/>
          </reference>
        </references>
      </pivotArea>
    </format>
    <format dxfId="515">
      <pivotArea dataOnly="0" labelOnly="1" fieldPosition="0">
        <references count="6">
          <reference field="1" count="1" selected="0">
            <x v="147"/>
          </reference>
          <reference field="5" count="1" selected="0">
            <x v="5"/>
          </reference>
          <reference field="6" count="1" selected="0">
            <x v="37"/>
          </reference>
          <reference field="7" count="1" selected="0">
            <x v="236"/>
          </reference>
          <reference field="8" count="1" selected="0">
            <x v="960"/>
          </reference>
          <reference field="9" count="1">
            <x v="611"/>
          </reference>
        </references>
      </pivotArea>
    </format>
    <format dxfId="514">
      <pivotArea dataOnly="0" labelOnly="1" fieldPosition="0">
        <references count="6">
          <reference field="1" count="1" selected="0">
            <x v="147"/>
          </reference>
          <reference field="5" count="1" selected="0">
            <x v="12"/>
          </reference>
          <reference field="6" count="1" selected="0">
            <x v="1"/>
          </reference>
          <reference field="7" count="1" selected="0">
            <x v="236"/>
          </reference>
          <reference field="8" count="1" selected="0">
            <x v="80"/>
          </reference>
          <reference field="9" count="1">
            <x v="611"/>
          </reference>
        </references>
      </pivotArea>
    </format>
    <format dxfId="513">
      <pivotArea dataOnly="0" labelOnly="1" fieldPosition="0">
        <references count="6">
          <reference field="1" count="1" selected="0">
            <x v="147"/>
          </reference>
          <reference field="5" count="1" selected="0">
            <x v="12"/>
          </reference>
          <reference field="6" count="1" selected="0">
            <x v="1"/>
          </reference>
          <reference field="7" count="1" selected="0">
            <x v="236"/>
          </reference>
          <reference field="8" count="1" selected="0">
            <x v="213"/>
          </reference>
          <reference field="9" count="1">
            <x v="611"/>
          </reference>
        </references>
      </pivotArea>
    </format>
    <format dxfId="512">
      <pivotArea dataOnly="0" labelOnly="1" fieldPosition="0">
        <references count="6">
          <reference field="1" count="1" selected="0">
            <x v="147"/>
          </reference>
          <reference field="5" count="1" selected="0">
            <x v="12"/>
          </reference>
          <reference field="6" count="1" selected="0">
            <x v="1"/>
          </reference>
          <reference field="7" count="1" selected="0">
            <x v="236"/>
          </reference>
          <reference field="8" count="1" selected="0">
            <x v="352"/>
          </reference>
          <reference field="9" count="1">
            <x v="611"/>
          </reference>
        </references>
      </pivotArea>
    </format>
    <format dxfId="511">
      <pivotArea dataOnly="0" labelOnly="1" fieldPosition="0">
        <references count="6">
          <reference field="1" count="1" selected="0">
            <x v="147"/>
          </reference>
          <reference field="5" count="1" selected="0">
            <x v="20"/>
          </reference>
          <reference field="6" count="1" selected="0">
            <x v="10"/>
          </reference>
          <reference field="7" count="1" selected="0">
            <x v="236"/>
          </reference>
          <reference field="8" count="1" selected="0">
            <x v="0"/>
          </reference>
          <reference field="9" count="1">
            <x v="77"/>
          </reference>
        </references>
      </pivotArea>
    </format>
    <format dxfId="510">
      <pivotArea dataOnly="0" labelOnly="1" fieldPosition="0">
        <references count="6">
          <reference field="1" count="1" selected="0">
            <x v="147"/>
          </reference>
          <reference field="5" count="1" selected="0">
            <x v="29"/>
          </reference>
          <reference field="6" count="1" selected="0">
            <x v="6"/>
          </reference>
          <reference field="7" count="1" selected="0">
            <x v="236"/>
          </reference>
          <reference field="8" count="1" selected="0">
            <x v="955"/>
          </reference>
          <reference field="9" count="1">
            <x v="611"/>
          </reference>
        </references>
      </pivotArea>
    </format>
    <format dxfId="509">
      <pivotArea dataOnly="0" labelOnly="1" fieldPosition="0">
        <references count="6">
          <reference field="1" count="1" selected="0">
            <x v="147"/>
          </reference>
          <reference field="5" count="1" selected="0">
            <x v="35"/>
          </reference>
          <reference field="6" count="1" selected="0">
            <x v="1"/>
          </reference>
          <reference field="7" count="1" selected="0">
            <x v="236"/>
          </reference>
          <reference field="8" count="1" selected="0">
            <x v="80"/>
          </reference>
          <reference field="9" count="1">
            <x v="611"/>
          </reference>
        </references>
      </pivotArea>
    </format>
    <format dxfId="508">
      <pivotArea dataOnly="0" labelOnly="1" fieldPosition="0">
        <references count="6">
          <reference field="1" count="1" selected="0">
            <x v="147"/>
          </reference>
          <reference field="5" count="1" selected="0">
            <x v="36"/>
          </reference>
          <reference field="6" count="1" selected="0">
            <x v="6"/>
          </reference>
          <reference field="7" count="1" selected="0">
            <x v="236"/>
          </reference>
          <reference field="8" count="1" selected="0">
            <x v="838"/>
          </reference>
          <reference field="9" count="1">
            <x v="611"/>
          </reference>
        </references>
      </pivotArea>
    </format>
    <format dxfId="507">
      <pivotArea dataOnly="0" labelOnly="1" fieldPosition="0">
        <references count="6">
          <reference field="1" count="1" selected="0">
            <x v="148"/>
          </reference>
          <reference field="5" count="1" selected="0">
            <x v="0"/>
          </reference>
          <reference field="6" count="1" selected="0">
            <x v="1"/>
          </reference>
          <reference field="7" count="1" selected="0">
            <x v="237"/>
          </reference>
          <reference field="8" count="1" selected="0">
            <x v="80"/>
          </reference>
          <reference field="9" count="1">
            <x v="611"/>
          </reference>
        </references>
      </pivotArea>
    </format>
    <format dxfId="506">
      <pivotArea dataOnly="0" labelOnly="1" fieldPosition="0">
        <references count="6">
          <reference field="1" count="1" selected="0">
            <x v="148"/>
          </reference>
          <reference field="5" count="1" selected="0">
            <x v="0"/>
          </reference>
          <reference field="6" count="1" selected="0">
            <x v="6"/>
          </reference>
          <reference field="7" count="1" selected="0">
            <x v="237"/>
          </reference>
          <reference field="8" count="1" selected="0">
            <x v="469"/>
          </reference>
          <reference field="9" count="1">
            <x v="611"/>
          </reference>
        </references>
      </pivotArea>
    </format>
    <format dxfId="505">
      <pivotArea dataOnly="0" labelOnly="1" fieldPosition="0">
        <references count="6">
          <reference field="1" count="1" selected="0">
            <x v="148"/>
          </reference>
          <reference field="5" count="1" selected="0">
            <x v="0"/>
          </reference>
          <reference field="6" count="1" selected="0">
            <x v="8"/>
          </reference>
          <reference field="7" count="1" selected="0">
            <x v="237"/>
          </reference>
          <reference field="8" count="1" selected="0">
            <x v="682"/>
          </reference>
          <reference field="9" count="1">
            <x v="611"/>
          </reference>
        </references>
      </pivotArea>
    </format>
    <format dxfId="504">
      <pivotArea dataOnly="0" labelOnly="1" fieldPosition="0">
        <references count="6">
          <reference field="1" count="1" selected="0">
            <x v="148"/>
          </reference>
          <reference field="5" count="1" selected="0">
            <x v="0"/>
          </reference>
          <reference field="6" count="1" selected="0">
            <x v="8"/>
          </reference>
          <reference field="7" count="1" selected="0">
            <x v="237"/>
          </reference>
          <reference field="8" count="1" selected="0">
            <x v="1187"/>
          </reference>
          <reference field="9" count="1">
            <x v="611"/>
          </reference>
        </references>
      </pivotArea>
    </format>
    <format dxfId="503">
      <pivotArea dataOnly="0" labelOnly="1" fieldPosition="0">
        <references count="6">
          <reference field="1" count="1" selected="0">
            <x v="148"/>
          </reference>
          <reference field="5" count="1" selected="0">
            <x v="0"/>
          </reference>
          <reference field="6" count="1" selected="0">
            <x v="9"/>
          </reference>
          <reference field="7" count="1" selected="0">
            <x v="237"/>
          </reference>
          <reference field="8" count="1" selected="0">
            <x v="341"/>
          </reference>
          <reference field="9" count="1">
            <x v="611"/>
          </reference>
        </references>
      </pivotArea>
    </format>
    <format dxfId="502">
      <pivotArea dataOnly="0" labelOnly="1" fieldPosition="0">
        <references count="6">
          <reference field="1" count="1" selected="0">
            <x v="148"/>
          </reference>
          <reference field="5" count="1" selected="0">
            <x v="0"/>
          </reference>
          <reference field="6" count="1" selected="0">
            <x v="9"/>
          </reference>
          <reference field="7" count="1" selected="0">
            <x v="237"/>
          </reference>
          <reference field="8" count="1" selected="0">
            <x v="429"/>
          </reference>
          <reference field="9" count="1">
            <x v="611"/>
          </reference>
        </references>
      </pivotArea>
    </format>
    <format dxfId="501">
      <pivotArea dataOnly="0" labelOnly="1" fieldPosition="0">
        <references count="6">
          <reference field="1" count="1" selected="0">
            <x v="148"/>
          </reference>
          <reference field="5" count="1" selected="0">
            <x v="0"/>
          </reference>
          <reference field="6" count="1" selected="0">
            <x v="9"/>
          </reference>
          <reference field="7" count="1" selected="0">
            <x v="237"/>
          </reference>
          <reference field="8" count="1" selected="0">
            <x v="493"/>
          </reference>
          <reference field="9" count="1">
            <x v="611"/>
          </reference>
        </references>
      </pivotArea>
    </format>
    <format dxfId="500">
      <pivotArea dataOnly="0" labelOnly="1" fieldPosition="0">
        <references count="6">
          <reference field="1" count="1" selected="0">
            <x v="148"/>
          </reference>
          <reference field="5" count="1" selected="0">
            <x v="0"/>
          </reference>
          <reference field="6" count="1" selected="0">
            <x v="9"/>
          </reference>
          <reference field="7" count="1" selected="0">
            <x v="237"/>
          </reference>
          <reference field="8" count="1" selected="0">
            <x v="915"/>
          </reference>
          <reference field="9" count="1">
            <x v="611"/>
          </reference>
        </references>
      </pivotArea>
    </format>
    <format dxfId="499">
      <pivotArea dataOnly="0" labelOnly="1" fieldPosition="0">
        <references count="6">
          <reference field="1" count="1" selected="0">
            <x v="148"/>
          </reference>
          <reference field="5" count="1" selected="0">
            <x v="0"/>
          </reference>
          <reference field="6" count="1" selected="0">
            <x v="9"/>
          </reference>
          <reference field="7" count="1" selected="0">
            <x v="237"/>
          </reference>
          <reference field="8" count="1" selected="0">
            <x v="921"/>
          </reference>
          <reference field="9" count="1">
            <x v="611"/>
          </reference>
        </references>
      </pivotArea>
    </format>
    <format dxfId="498">
      <pivotArea dataOnly="0" labelOnly="1" fieldPosition="0">
        <references count="6">
          <reference field="1" count="1" selected="0">
            <x v="148"/>
          </reference>
          <reference field="5" count="1" selected="0">
            <x v="0"/>
          </reference>
          <reference field="6" count="1" selected="0">
            <x v="9"/>
          </reference>
          <reference field="7" count="1" selected="0">
            <x v="237"/>
          </reference>
          <reference field="8" count="1" selected="0">
            <x v="959"/>
          </reference>
          <reference field="9" count="1">
            <x v="611"/>
          </reference>
        </references>
      </pivotArea>
    </format>
    <format dxfId="497">
      <pivotArea dataOnly="0" labelOnly="1" fieldPosition="0">
        <references count="6">
          <reference field="1" count="1" selected="0">
            <x v="148"/>
          </reference>
          <reference field="5" count="1" selected="0">
            <x v="0"/>
          </reference>
          <reference field="6" count="1" selected="0">
            <x v="9"/>
          </reference>
          <reference field="7" count="1" selected="0">
            <x v="237"/>
          </reference>
          <reference field="8" count="1" selected="0">
            <x v="1210"/>
          </reference>
          <reference field="9" count="1">
            <x v="611"/>
          </reference>
        </references>
      </pivotArea>
    </format>
    <format dxfId="496">
      <pivotArea dataOnly="0" labelOnly="1" fieldPosition="0">
        <references count="6">
          <reference field="1" count="1" selected="0">
            <x v="148"/>
          </reference>
          <reference field="5" count="1" selected="0">
            <x v="0"/>
          </reference>
          <reference field="6" count="1" selected="0">
            <x v="12"/>
          </reference>
          <reference field="7" count="1" selected="0">
            <x v="6"/>
          </reference>
          <reference field="8" count="1" selected="0">
            <x v="186"/>
          </reference>
          <reference field="9" count="1">
            <x v="611"/>
          </reference>
        </references>
      </pivotArea>
    </format>
    <format dxfId="495">
      <pivotArea dataOnly="0" labelOnly="1" fieldPosition="0">
        <references count="6">
          <reference field="1" count="1" selected="0">
            <x v="148"/>
          </reference>
          <reference field="5" count="1" selected="0">
            <x v="0"/>
          </reference>
          <reference field="6" count="1" selected="0">
            <x v="12"/>
          </reference>
          <reference field="7" count="1" selected="0">
            <x v="28"/>
          </reference>
          <reference field="8" count="1" selected="0">
            <x v="131"/>
          </reference>
          <reference field="9" count="1">
            <x v="611"/>
          </reference>
        </references>
      </pivotArea>
    </format>
    <format dxfId="494">
      <pivotArea dataOnly="0" labelOnly="1" fieldPosition="0">
        <references count="6">
          <reference field="1" count="1" selected="0">
            <x v="148"/>
          </reference>
          <reference field="5" count="1" selected="0">
            <x v="0"/>
          </reference>
          <reference field="6" count="1" selected="0">
            <x v="12"/>
          </reference>
          <reference field="7" count="1" selected="0">
            <x v="30"/>
          </reference>
          <reference field="8" count="1" selected="0">
            <x v="92"/>
          </reference>
          <reference field="9" count="1">
            <x v="611"/>
          </reference>
        </references>
      </pivotArea>
    </format>
    <format dxfId="493">
      <pivotArea dataOnly="0" labelOnly="1" fieldPosition="0">
        <references count="6">
          <reference field="1" count="1" selected="0">
            <x v="148"/>
          </reference>
          <reference field="5" count="1" selected="0">
            <x v="0"/>
          </reference>
          <reference field="6" count="1" selected="0">
            <x v="12"/>
          </reference>
          <reference field="7" count="1" selected="0">
            <x v="35"/>
          </reference>
          <reference field="8" count="1" selected="0">
            <x v="27"/>
          </reference>
          <reference field="9" count="1">
            <x v="611"/>
          </reference>
        </references>
      </pivotArea>
    </format>
    <format dxfId="492">
      <pivotArea dataOnly="0" labelOnly="1" fieldPosition="0">
        <references count="6">
          <reference field="1" count="1" selected="0">
            <x v="148"/>
          </reference>
          <reference field="5" count="1" selected="0">
            <x v="0"/>
          </reference>
          <reference field="6" count="1" selected="0">
            <x v="38"/>
          </reference>
          <reference field="7" count="1" selected="0">
            <x v="237"/>
          </reference>
          <reference field="8" count="1" selected="0">
            <x v="1503"/>
          </reference>
          <reference field="9" count="1">
            <x v="611"/>
          </reference>
        </references>
      </pivotArea>
    </format>
    <format dxfId="491">
      <pivotArea dataOnly="0" labelOnly="1" fieldPosition="0">
        <references count="6">
          <reference field="1" count="1" selected="0">
            <x v="148"/>
          </reference>
          <reference field="5" count="1" selected="0">
            <x v="5"/>
          </reference>
          <reference field="6" count="1" selected="0">
            <x v="38"/>
          </reference>
          <reference field="7" count="1" selected="0">
            <x v="237"/>
          </reference>
          <reference field="8" count="1" selected="0">
            <x v="1665"/>
          </reference>
          <reference field="9" count="1">
            <x v="611"/>
          </reference>
        </references>
      </pivotArea>
    </format>
    <format dxfId="490">
      <pivotArea dataOnly="0" labelOnly="1" fieldPosition="0">
        <references count="6">
          <reference field="1" count="1" selected="0">
            <x v="148"/>
          </reference>
          <reference field="5" count="1" selected="0">
            <x v="8"/>
          </reference>
          <reference field="6" count="1" selected="0">
            <x v="38"/>
          </reference>
          <reference field="7" count="1" selected="0">
            <x v="237"/>
          </reference>
          <reference field="8" count="1" selected="0">
            <x v="900"/>
          </reference>
          <reference field="9" count="1">
            <x v="611"/>
          </reference>
        </references>
      </pivotArea>
    </format>
    <format dxfId="489">
      <pivotArea dataOnly="0" labelOnly="1" fieldPosition="0">
        <references count="6">
          <reference field="1" count="1" selected="0">
            <x v="148"/>
          </reference>
          <reference field="5" count="1" selected="0">
            <x v="9"/>
          </reference>
          <reference field="6" count="1" selected="0">
            <x v="8"/>
          </reference>
          <reference field="7" count="1" selected="0">
            <x v="237"/>
          </reference>
          <reference field="8" count="1" selected="0">
            <x v="683"/>
          </reference>
          <reference field="9" count="1">
            <x v="611"/>
          </reference>
        </references>
      </pivotArea>
    </format>
    <format dxfId="488">
      <pivotArea dataOnly="0" labelOnly="1" fieldPosition="0">
        <references count="6">
          <reference field="1" count="1" selected="0">
            <x v="148"/>
          </reference>
          <reference field="5" count="1" selected="0">
            <x v="12"/>
          </reference>
          <reference field="6" count="1" selected="0">
            <x v="1"/>
          </reference>
          <reference field="7" count="1" selected="0">
            <x v="237"/>
          </reference>
          <reference field="8" count="1" selected="0">
            <x v="80"/>
          </reference>
          <reference field="9" count="1">
            <x v="611"/>
          </reference>
        </references>
      </pivotArea>
    </format>
    <format dxfId="487">
      <pivotArea dataOnly="0" labelOnly="1" fieldPosition="0">
        <references count="6">
          <reference field="1" count="1" selected="0">
            <x v="148"/>
          </reference>
          <reference field="5" count="1" selected="0">
            <x v="12"/>
          </reference>
          <reference field="6" count="1" selected="0">
            <x v="1"/>
          </reference>
          <reference field="7" count="1" selected="0">
            <x v="237"/>
          </reference>
          <reference field="8" count="1" selected="0">
            <x v="213"/>
          </reference>
          <reference field="9" count="1">
            <x v="611"/>
          </reference>
        </references>
      </pivotArea>
    </format>
    <format dxfId="486">
      <pivotArea dataOnly="0" labelOnly="1" fieldPosition="0">
        <references count="6">
          <reference field="1" count="1" selected="0">
            <x v="148"/>
          </reference>
          <reference field="5" count="1" selected="0">
            <x v="12"/>
          </reference>
          <reference field="6" count="1" selected="0">
            <x v="1"/>
          </reference>
          <reference field="7" count="1" selected="0">
            <x v="237"/>
          </reference>
          <reference field="8" count="1" selected="0">
            <x v="352"/>
          </reference>
          <reference field="9" count="1">
            <x v="611"/>
          </reference>
        </references>
      </pivotArea>
    </format>
    <format dxfId="485">
      <pivotArea dataOnly="0" labelOnly="1" fieldPosition="0">
        <references count="6">
          <reference field="1" count="1" selected="0">
            <x v="148"/>
          </reference>
          <reference field="5" count="1" selected="0">
            <x v="12"/>
          </reference>
          <reference field="6" count="1" selected="0">
            <x v="1"/>
          </reference>
          <reference field="7" count="1" selected="0">
            <x v="237"/>
          </reference>
          <reference field="8" count="1" selected="0">
            <x v="500"/>
          </reference>
          <reference field="9" count="1">
            <x v="611"/>
          </reference>
        </references>
      </pivotArea>
    </format>
    <format dxfId="484">
      <pivotArea dataOnly="0" labelOnly="1" fieldPosition="0">
        <references count="6">
          <reference field="1" count="1" selected="0">
            <x v="148"/>
          </reference>
          <reference field="5" count="1" selected="0">
            <x v="12"/>
          </reference>
          <reference field="6" count="1" selected="0">
            <x v="1"/>
          </reference>
          <reference field="7" count="1" selected="0">
            <x v="237"/>
          </reference>
          <reference field="8" count="1" selected="0">
            <x v="607"/>
          </reference>
          <reference field="9" count="1">
            <x v="611"/>
          </reference>
        </references>
      </pivotArea>
    </format>
    <format dxfId="483">
      <pivotArea dataOnly="0" labelOnly="1" fieldPosition="0">
        <references count="6">
          <reference field="1" count="1" selected="0">
            <x v="148"/>
          </reference>
          <reference field="5" count="1" selected="0">
            <x v="15"/>
          </reference>
          <reference field="6" count="1" selected="0">
            <x v="8"/>
          </reference>
          <reference field="7" count="1" selected="0">
            <x v="237"/>
          </reference>
          <reference field="8" count="1" selected="0">
            <x v="224"/>
          </reference>
          <reference field="9" count="1">
            <x v="611"/>
          </reference>
        </references>
      </pivotArea>
    </format>
    <format dxfId="482">
      <pivotArea dataOnly="0" labelOnly="1" fieldPosition="0">
        <references count="6">
          <reference field="1" count="1" selected="0">
            <x v="148"/>
          </reference>
          <reference field="5" count="1" selected="0">
            <x v="15"/>
          </reference>
          <reference field="6" count="1" selected="0">
            <x v="9"/>
          </reference>
          <reference field="7" count="1" selected="0">
            <x v="237"/>
          </reference>
          <reference field="8" count="1" selected="0">
            <x v="133"/>
          </reference>
          <reference field="9" count="1">
            <x v="611"/>
          </reference>
        </references>
      </pivotArea>
    </format>
    <format dxfId="481">
      <pivotArea dataOnly="0" labelOnly="1" fieldPosition="0">
        <references count="6">
          <reference field="1" count="1" selected="0">
            <x v="148"/>
          </reference>
          <reference field="5" count="1" selected="0">
            <x v="17"/>
          </reference>
          <reference field="6" count="1" selected="0">
            <x v="7"/>
          </reference>
          <reference field="7" count="1" selected="0">
            <x v="237"/>
          </reference>
          <reference field="8" count="1" selected="0">
            <x v="1219"/>
          </reference>
          <reference field="9" count="1">
            <x v="611"/>
          </reference>
        </references>
      </pivotArea>
    </format>
    <format dxfId="480">
      <pivotArea dataOnly="0" labelOnly="1" fieldPosition="0">
        <references count="6">
          <reference field="1" count="1" selected="0">
            <x v="148"/>
          </reference>
          <reference field="5" count="1" selected="0">
            <x v="17"/>
          </reference>
          <reference field="6" count="1" selected="0">
            <x v="10"/>
          </reference>
          <reference field="7" count="1" selected="0">
            <x v="237"/>
          </reference>
          <reference field="8" count="1" selected="0">
            <x v="1852"/>
          </reference>
          <reference field="9" count="1">
            <x v="611"/>
          </reference>
        </references>
      </pivotArea>
    </format>
    <format dxfId="479">
      <pivotArea dataOnly="0" labelOnly="1" fieldPosition="0">
        <references count="6">
          <reference field="1" count="1" selected="0">
            <x v="148"/>
          </reference>
          <reference field="5" count="1" selected="0">
            <x v="23"/>
          </reference>
          <reference field="6" count="1" selected="0">
            <x v="38"/>
          </reference>
          <reference field="7" count="1" selected="0">
            <x v="237"/>
          </reference>
          <reference field="8" count="1" selected="0">
            <x v="84"/>
          </reference>
          <reference field="9" count="1">
            <x v="611"/>
          </reference>
        </references>
      </pivotArea>
    </format>
    <format dxfId="478">
      <pivotArea dataOnly="0" labelOnly="1" fieldPosition="0">
        <references count="6">
          <reference field="1" count="1" selected="0">
            <x v="148"/>
          </reference>
          <reference field="5" count="1" selected="0">
            <x v="26"/>
          </reference>
          <reference field="6" count="1" selected="0">
            <x v="38"/>
          </reference>
          <reference field="7" count="1" selected="0">
            <x v="237"/>
          </reference>
          <reference field="8" count="1" selected="0">
            <x v="109"/>
          </reference>
          <reference field="9" count="1">
            <x v="611"/>
          </reference>
        </references>
      </pivotArea>
    </format>
    <format dxfId="477">
      <pivotArea dataOnly="0" labelOnly="1" fieldPosition="0">
        <references count="6">
          <reference field="1" count="1" selected="0">
            <x v="148"/>
          </reference>
          <reference field="5" count="1" selected="0">
            <x v="27"/>
          </reference>
          <reference field="6" count="1" selected="0">
            <x v="6"/>
          </reference>
          <reference field="7" count="1" selected="0">
            <x v="237"/>
          </reference>
          <reference field="8" count="1" selected="0">
            <x v="1622"/>
          </reference>
          <reference field="9" count="1">
            <x v="611"/>
          </reference>
        </references>
      </pivotArea>
    </format>
    <format dxfId="476">
      <pivotArea dataOnly="0" labelOnly="1" fieldPosition="0">
        <references count="6">
          <reference field="1" count="1" selected="0">
            <x v="148"/>
          </reference>
          <reference field="5" count="1" selected="0">
            <x v="31"/>
          </reference>
          <reference field="6" count="1" selected="0">
            <x v="9"/>
          </reference>
          <reference field="7" count="1" selected="0">
            <x v="237"/>
          </reference>
          <reference field="8" count="1" selected="0">
            <x v="1865"/>
          </reference>
          <reference field="9" count="1">
            <x v="611"/>
          </reference>
        </references>
      </pivotArea>
    </format>
    <format dxfId="475">
      <pivotArea dataOnly="0" labelOnly="1" fieldPosition="0">
        <references count="6">
          <reference field="1" count="1" selected="0">
            <x v="148"/>
          </reference>
          <reference field="5" count="1" selected="0">
            <x v="32"/>
          </reference>
          <reference field="6" count="1" selected="0">
            <x v="9"/>
          </reference>
          <reference field="7" count="1" selected="0">
            <x v="237"/>
          </reference>
          <reference field="8" count="1" selected="0">
            <x v="0"/>
          </reference>
          <reference field="9" count="1">
            <x v="78"/>
          </reference>
        </references>
      </pivotArea>
    </format>
    <format dxfId="474">
      <pivotArea dataOnly="0" labelOnly="1" fieldPosition="0">
        <references count="6">
          <reference field="1" count="1" selected="0">
            <x v="148"/>
          </reference>
          <reference field="5" count="1" selected="0">
            <x v="35"/>
          </reference>
          <reference field="6" count="1" selected="0">
            <x v="38"/>
          </reference>
          <reference field="7" count="1" selected="0">
            <x v="237"/>
          </reference>
          <reference field="8" count="1" selected="0">
            <x v="1271"/>
          </reference>
          <reference field="9" count="1">
            <x v="611"/>
          </reference>
        </references>
      </pivotArea>
    </format>
    <format dxfId="473">
      <pivotArea dataOnly="0" labelOnly="1" fieldPosition="0">
        <references count="6">
          <reference field="1" count="1" selected="0">
            <x v="148"/>
          </reference>
          <reference field="5" count="1" selected="0">
            <x v="36"/>
          </reference>
          <reference field="6" count="1" selected="0">
            <x v="8"/>
          </reference>
          <reference field="7" count="1" selected="0">
            <x v="237"/>
          </reference>
          <reference field="8" count="1" selected="0">
            <x v="1115"/>
          </reference>
          <reference field="9" count="1">
            <x v="611"/>
          </reference>
        </references>
      </pivotArea>
    </format>
    <format dxfId="472">
      <pivotArea dataOnly="0" labelOnly="1" fieldPosition="0">
        <references count="6">
          <reference field="1" count="1" selected="0">
            <x v="148"/>
          </reference>
          <reference field="5" count="1" selected="0">
            <x v="37"/>
          </reference>
          <reference field="6" count="1" selected="0">
            <x v="8"/>
          </reference>
          <reference field="7" count="1" selected="0">
            <x v="237"/>
          </reference>
          <reference field="8" count="1" selected="0">
            <x v="327"/>
          </reference>
          <reference field="9" count="1">
            <x v="611"/>
          </reference>
        </references>
      </pivotArea>
    </format>
    <format dxfId="471">
      <pivotArea dataOnly="0" labelOnly="1" fieldPosition="0">
        <references count="6">
          <reference field="1" count="1" selected="0">
            <x v="148"/>
          </reference>
          <reference field="5" count="1" selected="0">
            <x v="37"/>
          </reference>
          <reference field="6" count="1" selected="0">
            <x v="9"/>
          </reference>
          <reference field="7" count="1" selected="0">
            <x v="237"/>
          </reference>
          <reference field="8" count="1" selected="0">
            <x v="1443"/>
          </reference>
          <reference field="9" count="1">
            <x v="611"/>
          </reference>
        </references>
      </pivotArea>
    </format>
    <format dxfId="470">
      <pivotArea dataOnly="0" labelOnly="1" fieldPosition="0">
        <references count="6">
          <reference field="1" count="1" selected="0">
            <x v="149"/>
          </reference>
          <reference field="5" count="1" selected="0">
            <x v="0"/>
          </reference>
          <reference field="6" count="1" selected="0">
            <x v="1"/>
          </reference>
          <reference field="7" count="1" selected="0">
            <x v="238"/>
          </reference>
          <reference field="8" count="1" selected="0">
            <x v="80"/>
          </reference>
          <reference field="9" count="1">
            <x v="611"/>
          </reference>
        </references>
      </pivotArea>
    </format>
    <format dxfId="469">
      <pivotArea dataOnly="0" labelOnly="1" fieldPosition="0">
        <references count="6">
          <reference field="1" count="1" selected="0">
            <x v="149"/>
          </reference>
          <reference field="5" count="1" selected="0">
            <x v="0"/>
          </reference>
          <reference field="6" count="1" selected="0">
            <x v="9"/>
          </reference>
          <reference field="7" count="1" selected="0">
            <x v="238"/>
          </reference>
          <reference field="8" count="1" selected="0">
            <x v="539"/>
          </reference>
          <reference field="9" count="1">
            <x v="611"/>
          </reference>
        </references>
      </pivotArea>
    </format>
    <format dxfId="468">
      <pivotArea dataOnly="0" labelOnly="1" fieldPosition="0">
        <references count="6">
          <reference field="1" count="1" selected="0">
            <x v="149"/>
          </reference>
          <reference field="5" count="1" selected="0">
            <x v="0"/>
          </reference>
          <reference field="6" count="1" selected="0">
            <x v="9"/>
          </reference>
          <reference field="7" count="1" selected="0">
            <x v="238"/>
          </reference>
          <reference field="8" count="1" selected="0">
            <x v="547"/>
          </reference>
          <reference field="9" count="1">
            <x v="611"/>
          </reference>
        </references>
      </pivotArea>
    </format>
    <format dxfId="467">
      <pivotArea dataOnly="0" labelOnly="1" fieldPosition="0">
        <references count="6">
          <reference field="1" count="1" selected="0">
            <x v="149"/>
          </reference>
          <reference field="5" count="1" selected="0">
            <x v="0"/>
          </reference>
          <reference field="6" count="1" selected="0">
            <x v="9"/>
          </reference>
          <reference field="7" count="1" selected="0">
            <x v="238"/>
          </reference>
          <reference field="8" count="1" selected="0">
            <x v="984"/>
          </reference>
          <reference field="9" count="1">
            <x v="611"/>
          </reference>
        </references>
      </pivotArea>
    </format>
    <format dxfId="466">
      <pivotArea dataOnly="0" labelOnly="1" fieldPosition="0">
        <references count="6">
          <reference field="1" count="1" selected="0">
            <x v="149"/>
          </reference>
          <reference field="5" count="1" selected="0">
            <x v="0"/>
          </reference>
          <reference field="6" count="1" selected="0">
            <x v="12"/>
          </reference>
          <reference field="7" count="1" selected="0">
            <x v="16"/>
          </reference>
          <reference field="8" count="1" selected="0">
            <x v="90"/>
          </reference>
          <reference field="9" count="1">
            <x v="611"/>
          </reference>
        </references>
      </pivotArea>
    </format>
    <format dxfId="465">
      <pivotArea dataOnly="0" labelOnly="1" fieldPosition="0">
        <references count="6">
          <reference field="1" count="1" selected="0">
            <x v="149"/>
          </reference>
          <reference field="5" count="1" selected="0">
            <x v="0"/>
          </reference>
          <reference field="6" count="1" selected="0">
            <x v="12"/>
          </reference>
          <reference field="7" count="1" selected="0">
            <x v="19"/>
          </reference>
          <reference field="8" count="1" selected="0">
            <x v="25"/>
          </reference>
          <reference field="9" count="1">
            <x v="611"/>
          </reference>
        </references>
      </pivotArea>
    </format>
    <format dxfId="464">
      <pivotArea dataOnly="0" labelOnly="1" fieldPosition="0">
        <references count="6">
          <reference field="1" count="1" selected="0">
            <x v="149"/>
          </reference>
          <reference field="5" count="1" selected="0">
            <x v="3"/>
          </reference>
          <reference field="6" count="1" selected="0">
            <x v="38"/>
          </reference>
          <reference field="7" count="1" selected="0">
            <x v="238"/>
          </reference>
          <reference field="8" count="1" selected="0">
            <x v="109"/>
          </reference>
          <reference field="9" count="1">
            <x v="611"/>
          </reference>
        </references>
      </pivotArea>
    </format>
    <format dxfId="463">
      <pivotArea dataOnly="0" labelOnly="1" fieldPosition="0">
        <references count="6">
          <reference field="1" count="1" selected="0">
            <x v="149"/>
          </reference>
          <reference field="5" count="1" selected="0">
            <x v="5"/>
          </reference>
          <reference field="6" count="1" selected="0">
            <x v="10"/>
          </reference>
          <reference field="7" count="1" selected="0">
            <x v="238"/>
          </reference>
          <reference field="8" count="1" selected="0">
            <x v="1362"/>
          </reference>
          <reference field="9" count="1">
            <x v="611"/>
          </reference>
        </references>
      </pivotArea>
    </format>
    <format dxfId="462">
      <pivotArea dataOnly="0" labelOnly="1" fieldPosition="0">
        <references count="6">
          <reference field="1" count="1" selected="0">
            <x v="149"/>
          </reference>
          <reference field="5" count="1" selected="0">
            <x v="5"/>
          </reference>
          <reference field="6" count="1" selected="0">
            <x v="38"/>
          </reference>
          <reference field="7" count="1" selected="0">
            <x v="238"/>
          </reference>
          <reference field="8" count="1" selected="0">
            <x v="371"/>
          </reference>
          <reference field="9" count="1">
            <x v="611"/>
          </reference>
        </references>
      </pivotArea>
    </format>
    <format dxfId="461">
      <pivotArea dataOnly="0" labelOnly="1" fieldPosition="0">
        <references count="6">
          <reference field="1" count="1" selected="0">
            <x v="149"/>
          </reference>
          <reference field="5" count="1" selected="0">
            <x v="6"/>
          </reference>
          <reference field="6" count="1" selected="0">
            <x v="38"/>
          </reference>
          <reference field="7" count="1" selected="0">
            <x v="238"/>
          </reference>
          <reference field="8" count="1" selected="0">
            <x v="919"/>
          </reference>
          <reference field="9" count="1">
            <x v="611"/>
          </reference>
        </references>
      </pivotArea>
    </format>
    <format dxfId="460">
      <pivotArea dataOnly="0" labelOnly="1" fieldPosition="0">
        <references count="6">
          <reference field="1" count="1" selected="0">
            <x v="149"/>
          </reference>
          <reference field="5" count="1" selected="0">
            <x v="12"/>
          </reference>
          <reference field="6" count="1" selected="0">
            <x v="1"/>
          </reference>
          <reference field="7" count="1" selected="0">
            <x v="238"/>
          </reference>
          <reference field="8" count="1" selected="0">
            <x v="80"/>
          </reference>
          <reference field="9" count="1">
            <x v="611"/>
          </reference>
        </references>
      </pivotArea>
    </format>
    <format dxfId="459">
      <pivotArea dataOnly="0" labelOnly="1" fieldPosition="0">
        <references count="6">
          <reference field="1" count="1" selected="0">
            <x v="149"/>
          </reference>
          <reference field="5" count="1" selected="0">
            <x v="12"/>
          </reference>
          <reference field="6" count="1" selected="0">
            <x v="1"/>
          </reference>
          <reference field="7" count="1" selected="0">
            <x v="238"/>
          </reference>
          <reference field="8" count="1" selected="0">
            <x v="352"/>
          </reference>
          <reference field="9" count="1">
            <x v="611"/>
          </reference>
        </references>
      </pivotArea>
    </format>
    <format dxfId="458">
      <pivotArea dataOnly="0" labelOnly="1" fieldPosition="0">
        <references count="6">
          <reference field="1" count="1" selected="0">
            <x v="149"/>
          </reference>
          <reference field="5" count="1" selected="0">
            <x v="12"/>
          </reference>
          <reference field="6" count="1" selected="0">
            <x v="1"/>
          </reference>
          <reference field="7" count="1" selected="0">
            <x v="238"/>
          </reference>
          <reference field="8" count="1" selected="0">
            <x v="500"/>
          </reference>
          <reference field="9" count="1">
            <x v="611"/>
          </reference>
        </references>
      </pivotArea>
    </format>
    <format dxfId="457">
      <pivotArea dataOnly="0" labelOnly="1" fieldPosition="0">
        <references count="6">
          <reference field="1" count="1" selected="0">
            <x v="149"/>
          </reference>
          <reference field="5" count="1" selected="0">
            <x v="12"/>
          </reference>
          <reference field="6" count="1" selected="0">
            <x v="1"/>
          </reference>
          <reference field="7" count="1" selected="0">
            <x v="238"/>
          </reference>
          <reference field="8" count="1" selected="0">
            <x v="607"/>
          </reference>
          <reference field="9" count="1">
            <x v="611"/>
          </reference>
        </references>
      </pivotArea>
    </format>
    <format dxfId="456">
      <pivotArea dataOnly="0" labelOnly="1" fieldPosition="0">
        <references count="6">
          <reference field="1" count="1" selected="0">
            <x v="149"/>
          </reference>
          <reference field="5" count="1" selected="0">
            <x v="15"/>
          </reference>
          <reference field="6" count="1" selected="0">
            <x v="38"/>
          </reference>
          <reference field="7" count="1" selected="0">
            <x v="238"/>
          </reference>
          <reference field="8" count="1" selected="0">
            <x v="1337"/>
          </reference>
          <reference field="9" count="1">
            <x v="611"/>
          </reference>
        </references>
      </pivotArea>
    </format>
    <format dxfId="455">
      <pivotArea dataOnly="0" labelOnly="1" fieldPosition="0">
        <references count="6">
          <reference field="1" count="1" selected="0">
            <x v="149"/>
          </reference>
          <reference field="5" count="1" selected="0">
            <x v="21"/>
          </reference>
          <reference field="6" count="1" selected="0">
            <x v="38"/>
          </reference>
          <reference field="7" count="1" selected="0">
            <x v="238"/>
          </reference>
          <reference field="8" count="1" selected="0">
            <x v="1274"/>
          </reference>
          <reference field="9" count="1">
            <x v="611"/>
          </reference>
        </references>
      </pivotArea>
    </format>
    <format dxfId="454">
      <pivotArea dataOnly="0" labelOnly="1" fieldPosition="0">
        <references count="6">
          <reference field="1" count="1" selected="0">
            <x v="149"/>
          </reference>
          <reference field="5" count="1" selected="0">
            <x v="23"/>
          </reference>
          <reference field="6" count="1" selected="0">
            <x v="7"/>
          </reference>
          <reference field="7" count="1" selected="0">
            <x v="238"/>
          </reference>
          <reference field="8" count="1" selected="0">
            <x v="371"/>
          </reference>
          <reference field="9" count="1">
            <x v="611"/>
          </reference>
        </references>
      </pivotArea>
    </format>
    <format dxfId="453">
      <pivotArea dataOnly="0" labelOnly="1" fieldPosition="0">
        <references count="6">
          <reference field="1" count="1" selected="0">
            <x v="149"/>
          </reference>
          <reference field="5" count="1" selected="0">
            <x v="23"/>
          </reference>
          <reference field="6" count="1" selected="0">
            <x v="9"/>
          </reference>
          <reference field="7" count="1" selected="0">
            <x v="238"/>
          </reference>
          <reference field="8" count="1" selected="0">
            <x v="1512"/>
          </reference>
          <reference field="9" count="1">
            <x v="611"/>
          </reference>
        </references>
      </pivotArea>
    </format>
    <format dxfId="452">
      <pivotArea dataOnly="0" labelOnly="1" fieldPosition="0">
        <references count="6">
          <reference field="1" count="1" selected="0">
            <x v="149"/>
          </reference>
          <reference field="5" count="1" selected="0">
            <x v="23"/>
          </reference>
          <reference field="6" count="1" selected="0">
            <x v="38"/>
          </reference>
          <reference field="7" count="1" selected="0">
            <x v="238"/>
          </reference>
          <reference field="8" count="1" selected="0">
            <x v="1855"/>
          </reference>
          <reference field="9" count="1">
            <x v="611"/>
          </reference>
        </references>
      </pivotArea>
    </format>
    <format dxfId="451">
      <pivotArea dataOnly="0" labelOnly="1" fieldPosition="0">
        <references count="6">
          <reference field="1" count="1" selected="0">
            <x v="149"/>
          </reference>
          <reference field="5" count="1" selected="0">
            <x v="26"/>
          </reference>
          <reference field="6" count="1" selected="0">
            <x v="38"/>
          </reference>
          <reference field="7" count="1" selected="0">
            <x v="238"/>
          </reference>
          <reference field="8" count="1" selected="0">
            <x v="278"/>
          </reference>
          <reference field="9" count="1">
            <x v="611"/>
          </reference>
        </references>
      </pivotArea>
    </format>
    <format dxfId="450">
      <pivotArea dataOnly="0" labelOnly="1" fieldPosition="0">
        <references count="6">
          <reference field="1" count="1" selected="0">
            <x v="149"/>
          </reference>
          <reference field="5" count="1" selected="0">
            <x v="33"/>
          </reference>
          <reference field="6" count="1" selected="0">
            <x v="9"/>
          </reference>
          <reference field="7" count="1" selected="0">
            <x v="238"/>
          </reference>
          <reference field="8" count="1" selected="0">
            <x v="1069"/>
          </reference>
          <reference field="9" count="1">
            <x v="611"/>
          </reference>
        </references>
      </pivotArea>
    </format>
    <format dxfId="449">
      <pivotArea dataOnly="0" labelOnly="1" fieldPosition="0">
        <references count="6">
          <reference field="1" count="1" selected="0">
            <x v="149"/>
          </reference>
          <reference field="5" count="1" selected="0">
            <x v="33"/>
          </reference>
          <reference field="6" count="1" selected="0">
            <x v="38"/>
          </reference>
          <reference field="7" count="1" selected="0">
            <x v="238"/>
          </reference>
          <reference field="8" count="1" selected="0">
            <x v="849"/>
          </reference>
          <reference field="9" count="1">
            <x v="611"/>
          </reference>
        </references>
      </pivotArea>
    </format>
    <format dxfId="448">
      <pivotArea dataOnly="0" labelOnly="1" fieldPosition="0">
        <references count="6">
          <reference field="1" count="1" selected="0">
            <x v="149"/>
          </reference>
          <reference field="5" count="1" selected="0">
            <x v="35"/>
          </reference>
          <reference field="6" count="1" selected="0">
            <x v="1"/>
          </reference>
          <reference field="7" count="1" selected="0">
            <x v="238"/>
          </reference>
          <reference field="8" count="1" selected="0">
            <x v="80"/>
          </reference>
          <reference field="9" count="1">
            <x v="611"/>
          </reference>
        </references>
      </pivotArea>
    </format>
    <format dxfId="447">
      <pivotArea dataOnly="0" labelOnly="1" fieldPosition="0">
        <references count="6">
          <reference field="1" count="1" selected="0">
            <x v="149"/>
          </reference>
          <reference field="5" count="1" selected="0">
            <x v="35"/>
          </reference>
          <reference field="6" count="1" selected="0">
            <x v="1"/>
          </reference>
          <reference field="7" count="1" selected="0">
            <x v="238"/>
          </reference>
          <reference field="8" count="1" selected="0">
            <x v="352"/>
          </reference>
          <reference field="9" count="1">
            <x v="611"/>
          </reference>
        </references>
      </pivotArea>
    </format>
    <format dxfId="446">
      <pivotArea dataOnly="0" labelOnly="1" fieldPosition="0">
        <references count="6">
          <reference field="1" count="1" selected="0">
            <x v="149"/>
          </reference>
          <reference field="5" count="1" selected="0">
            <x v="35"/>
          </reference>
          <reference field="6" count="1" selected="0">
            <x v="1"/>
          </reference>
          <reference field="7" count="1" selected="0">
            <x v="238"/>
          </reference>
          <reference field="8" count="1" selected="0">
            <x v="500"/>
          </reference>
          <reference field="9" count="1">
            <x v="611"/>
          </reference>
        </references>
      </pivotArea>
    </format>
    <format dxfId="445">
      <pivotArea dataOnly="0" labelOnly="1" fieldPosition="0">
        <references count="6">
          <reference field="1" count="1" selected="0">
            <x v="150"/>
          </reference>
          <reference field="5" count="1" selected="0">
            <x v="0"/>
          </reference>
          <reference field="6" count="1" selected="0">
            <x v="8"/>
          </reference>
          <reference field="7" count="1" selected="0">
            <x v="239"/>
          </reference>
          <reference field="8" count="1" selected="0">
            <x v="0"/>
          </reference>
          <reference field="9" count="2">
            <x v="293"/>
            <x v="473"/>
          </reference>
        </references>
      </pivotArea>
    </format>
    <format dxfId="444">
      <pivotArea dataOnly="0" labelOnly="1" fieldPosition="0">
        <references count="6">
          <reference field="1" count="1" selected="0">
            <x v="150"/>
          </reference>
          <reference field="5" count="1" selected="0">
            <x v="0"/>
          </reference>
          <reference field="6" count="1" selected="0">
            <x v="9"/>
          </reference>
          <reference field="7" count="1" selected="0">
            <x v="239"/>
          </reference>
          <reference field="8" count="1" selected="0">
            <x v="825"/>
          </reference>
          <reference field="9" count="1">
            <x v="611"/>
          </reference>
        </references>
      </pivotArea>
    </format>
    <format dxfId="443">
      <pivotArea dataOnly="0" labelOnly="1" fieldPosition="0">
        <references count="6">
          <reference field="1" count="1" selected="0">
            <x v="150"/>
          </reference>
          <reference field="5" count="1" selected="0">
            <x v="0"/>
          </reference>
          <reference field="6" count="1" selected="0">
            <x v="9"/>
          </reference>
          <reference field="7" count="1" selected="0">
            <x v="239"/>
          </reference>
          <reference field="8" count="1" selected="0">
            <x v="1494"/>
          </reference>
          <reference field="9" count="1">
            <x v="611"/>
          </reference>
        </references>
      </pivotArea>
    </format>
    <format dxfId="442">
      <pivotArea dataOnly="0" labelOnly="1" fieldPosition="0">
        <references count="6">
          <reference field="1" count="1" selected="0">
            <x v="150"/>
          </reference>
          <reference field="5" count="1" selected="0">
            <x v="0"/>
          </reference>
          <reference field="6" count="1" selected="0">
            <x v="10"/>
          </reference>
          <reference field="7" count="1" selected="0">
            <x v="239"/>
          </reference>
          <reference field="8" count="1" selected="0">
            <x v="0"/>
          </reference>
          <reference field="9" count="1">
            <x v="525"/>
          </reference>
        </references>
      </pivotArea>
    </format>
    <format dxfId="441">
      <pivotArea dataOnly="0" labelOnly="1" fieldPosition="0">
        <references count="6">
          <reference field="1" count="1" selected="0">
            <x v="150"/>
          </reference>
          <reference field="5" count="1" selected="0">
            <x v="0"/>
          </reference>
          <reference field="6" count="1" selected="0">
            <x v="12"/>
          </reference>
          <reference field="7" count="1" selected="0">
            <x v="57"/>
          </reference>
          <reference field="8" count="1" selected="0">
            <x v="11"/>
          </reference>
          <reference field="9" count="1">
            <x v="611"/>
          </reference>
        </references>
      </pivotArea>
    </format>
    <format dxfId="440">
      <pivotArea dataOnly="0" labelOnly="1" fieldPosition="0">
        <references count="6">
          <reference field="1" count="1" selected="0">
            <x v="150"/>
          </reference>
          <reference field="5" count="1" selected="0">
            <x v="8"/>
          </reference>
          <reference field="6" count="1" selected="0">
            <x v="38"/>
          </reference>
          <reference field="7" count="1" selected="0">
            <x v="239"/>
          </reference>
          <reference field="8" count="1" selected="0">
            <x v="868"/>
          </reference>
          <reference field="9" count="1">
            <x v="611"/>
          </reference>
        </references>
      </pivotArea>
    </format>
    <format dxfId="439">
      <pivotArea dataOnly="0" labelOnly="1" fieldPosition="0">
        <references count="6">
          <reference field="1" count="1" selected="0">
            <x v="150"/>
          </reference>
          <reference field="5" count="1" selected="0">
            <x v="9"/>
          </reference>
          <reference field="6" count="1" selected="0">
            <x v="1"/>
          </reference>
          <reference field="7" count="1" selected="0">
            <x v="239"/>
          </reference>
          <reference field="8" count="1" selected="0">
            <x v="72"/>
          </reference>
          <reference field="9" count="1">
            <x v="611"/>
          </reference>
        </references>
      </pivotArea>
    </format>
    <format dxfId="438">
      <pivotArea dataOnly="0" labelOnly="1" fieldPosition="0">
        <references count="6">
          <reference field="1" count="1" selected="0">
            <x v="150"/>
          </reference>
          <reference field="5" count="1" selected="0">
            <x v="11"/>
          </reference>
          <reference field="6" count="1" selected="0">
            <x v="7"/>
          </reference>
          <reference field="7" count="1" selected="0">
            <x v="239"/>
          </reference>
          <reference field="8" count="1" selected="0">
            <x v="313"/>
          </reference>
          <reference field="9" count="1">
            <x v="611"/>
          </reference>
        </references>
      </pivotArea>
    </format>
    <format dxfId="437">
      <pivotArea dataOnly="0" labelOnly="1" fieldPosition="0">
        <references count="6">
          <reference field="1" count="1" selected="0">
            <x v="150"/>
          </reference>
          <reference field="5" count="1" selected="0">
            <x v="11"/>
          </reference>
          <reference field="6" count="1" selected="0">
            <x v="8"/>
          </reference>
          <reference field="7" count="1" selected="0">
            <x v="239"/>
          </reference>
          <reference field="8" count="1" selected="0">
            <x v="0"/>
          </reference>
          <reference field="9" count="1">
            <x v="570"/>
          </reference>
        </references>
      </pivotArea>
    </format>
    <format dxfId="436">
      <pivotArea dataOnly="0" labelOnly="1" fieldPosition="0">
        <references count="6">
          <reference field="1" count="1" selected="0">
            <x v="150"/>
          </reference>
          <reference field="5" count="1" selected="0">
            <x v="12"/>
          </reference>
          <reference field="6" count="1" selected="0">
            <x v="1"/>
          </reference>
          <reference field="7" count="1" selected="0">
            <x v="239"/>
          </reference>
          <reference field="8" count="1" selected="0">
            <x v="80"/>
          </reference>
          <reference field="9" count="1">
            <x v="611"/>
          </reference>
        </references>
      </pivotArea>
    </format>
    <format dxfId="435">
      <pivotArea dataOnly="0" labelOnly="1" fieldPosition="0">
        <references count="6">
          <reference field="1" count="1" selected="0">
            <x v="150"/>
          </reference>
          <reference field="5" count="1" selected="0">
            <x v="12"/>
          </reference>
          <reference field="6" count="1" selected="0">
            <x v="1"/>
          </reference>
          <reference field="7" count="1" selected="0">
            <x v="239"/>
          </reference>
          <reference field="8" count="1" selected="0">
            <x v="213"/>
          </reference>
          <reference field="9" count="1">
            <x v="611"/>
          </reference>
        </references>
      </pivotArea>
    </format>
    <format dxfId="434">
      <pivotArea dataOnly="0" labelOnly="1" fieldPosition="0">
        <references count="6">
          <reference field="1" count="1" selected="0">
            <x v="150"/>
          </reference>
          <reference field="5" count="1" selected="0">
            <x v="12"/>
          </reference>
          <reference field="6" count="1" selected="0">
            <x v="38"/>
          </reference>
          <reference field="7" count="1" selected="0">
            <x v="239"/>
          </reference>
          <reference field="8" count="1" selected="0">
            <x v="1244"/>
          </reference>
          <reference field="9" count="1">
            <x v="611"/>
          </reference>
        </references>
      </pivotArea>
    </format>
    <format dxfId="433">
      <pivotArea dataOnly="0" labelOnly="1" fieldPosition="0">
        <references count="6">
          <reference field="1" count="1" selected="0">
            <x v="150"/>
          </reference>
          <reference field="5" count="1" selected="0">
            <x v="14"/>
          </reference>
          <reference field="6" count="1" selected="0">
            <x v="8"/>
          </reference>
          <reference field="7" count="1" selected="0">
            <x v="239"/>
          </reference>
          <reference field="8" count="1" selected="0">
            <x v="0"/>
          </reference>
          <reference field="9" count="1">
            <x v="401"/>
          </reference>
        </references>
      </pivotArea>
    </format>
    <format dxfId="432">
      <pivotArea dataOnly="0" labelOnly="1" fieldPosition="0">
        <references count="6">
          <reference field="1" count="1" selected="0">
            <x v="150"/>
          </reference>
          <reference field="5" count="1" selected="0">
            <x v="14"/>
          </reference>
          <reference field="6" count="1" selected="0">
            <x v="9"/>
          </reference>
          <reference field="7" count="1" selected="0">
            <x v="239"/>
          </reference>
          <reference field="8" count="1" selected="0">
            <x v="1169"/>
          </reference>
          <reference field="9" count="1">
            <x v="611"/>
          </reference>
        </references>
      </pivotArea>
    </format>
    <format dxfId="431">
      <pivotArea dataOnly="0" labelOnly="1" fieldPosition="0">
        <references count="6">
          <reference field="1" count="1" selected="0">
            <x v="150"/>
          </reference>
          <reference field="5" count="1" selected="0">
            <x v="15"/>
          </reference>
          <reference field="6" count="1" selected="0">
            <x v="6"/>
          </reference>
          <reference field="7" count="1" selected="0">
            <x v="239"/>
          </reference>
          <reference field="8" count="1" selected="0">
            <x v="465"/>
          </reference>
          <reference field="9" count="1">
            <x v="611"/>
          </reference>
        </references>
      </pivotArea>
    </format>
    <format dxfId="430">
      <pivotArea dataOnly="0" labelOnly="1" fieldPosition="0">
        <references count="6">
          <reference field="1" count="1" selected="0">
            <x v="150"/>
          </reference>
          <reference field="5" count="1" selected="0">
            <x v="15"/>
          </reference>
          <reference field="6" count="1" selected="0">
            <x v="37"/>
          </reference>
          <reference field="7" count="1" selected="0">
            <x v="239"/>
          </reference>
          <reference field="8" count="1" selected="0">
            <x v="1813"/>
          </reference>
          <reference field="9" count="1">
            <x v="611"/>
          </reference>
        </references>
      </pivotArea>
    </format>
    <format dxfId="429">
      <pivotArea dataOnly="0" labelOnly="1" fieldPosition="0">
        <references count="6">
          <reference field="1" count="1" selected="0">
            <x v="150"/>
          </reference>
          <reference field="5" count="1" selected="0">
            <x v="15"/>
          </reference>
          <reference field="6" count="1" selected="0">
            <x v="38"/>
          </reference>
          <reference field="7" count="1" selected="0">
            <x v="239"/>
          </reference>
          <reference field="8" count="1" selected="0">
            <x v="1114"/>
          </reference>
          <reference field="9" count="1">
            <x v="611"/>
          </reference>
        </references>
      </pivotArea>
    </format>
    <format dxfId="428">
      <pivotArea dataOnly="0" labelOnly="1" fieldPosition="0">
        <references count="6">
          <reference field="1" count="1" selected="0">
            <x v="151"/>
          </reference>
          <reference field="5" count="1" selected="0">
            <x v="0"/>
          </reference>
          <reference field="6" count="1" selected="0">
            <x v="12"/>
          </reference>
          <reference field="7" count="1" selected="0">
            <x v="29"/>
          </reference>
          <reference field="8" count="1" selected="0">
            <x v="11"/>
          </reference>
          <reference field="9" count="1">
            <x v="611"/>
          </reference>
        </references>
      </pivotArea>
    </format>
    <format dxfId="427">
      <pivotArea dataOnly="0" labelOnly="1" fieldPosition="0">
        <references count="6">
          <reference field="1" count="1" selected="0">
            <x v="151"/>
          </reference>
          <reference field="5" count="1" selected="0">
            <x v="0"/>
          </reference>
          <reference field="6" count="1" selected="0">
            <x v="16"/>
          </reference>
          <reference field="7" count="1" selected="0">
            <x v="240"/>
          </reference>
          <reference field="8" count="1" selected="0">
            <x v="636"/>
          </reference>
          <reference field="9" count="1">
            <x v="611"/>
          </reference>
        </references>
      </pivotArea>
    </format>
    <format dxfId="426">
      <pivotArea dataOnly="0" labelOnly="1" fieldPosition="0">
        <references count="6">
          <reference field="1" count="1" selected="0">
            <x v="151"/>
          </reference>
          <reference field="5" count="1" selected="0">
            <x v="0"/>
          </reference>
          <reference field="6" count="1" selected="0">
            <x v="16"/>
          </reference>
          <reference field="7" count="1" selected="0">
            <x v="240"/>
          </reference>
          <reference field="8" count="1" selected="0">
            <x v="783"/>
          </reference>
          <reference field="9" count="1">
            <x v="611"/>
          </reference>
        </references>
      </pivotArea>
    </format>
    <format dxfId="425">
      <pivotArea dataOnly="0" labelOnly="1" fieldPosition="0">
        <references count="6">
          <reference field="1" count="1" selected="0">
            <x v="151"/>
          </reference>
          <reference field="5" count="1" selected="0">
            <x v="0"/>
          </reference>
          <reference field="6" count="1" selected="0">
            <x v="16"/>
          </reference>
          <reference field="7" count="1" selected="0">
            <x v="240"/>
          </reference>
          <reference field="8" count="1" selected="0">
            <x v="811"/>
          </reference>
          <reference field="9" count="1">
            <x v="611"/>
          </reference>
        </references>
      </pivotArea>
    </format>
    <format dxfId="424">
      <pivotArea dataOnly="0" labelOnly="1" fieldPosition="0">
        <references count="6">
          <reference field="1" count="1" selected="0">
            <x v="151"/>
          </reference>
          <reference field="5" count="1" selected="0">
            <x v="0"/>
          </reference>
          <reference field="6" count="1" selected="0">
            <x v="16"/>
          </reference>
          <reference field="7" count="1" selected="0">
            <x v="240"/>
          </reference>
          <reference field="8" count="1" selected="0">
            <x v="1237"/>
          </reference>
          <reference field="9" count="1">
            <x v="611"/>
          </reference>
        </references>
      </pivotArea>
    </format>
    <format dxfId="423">
      <pivotArea dataOnly="0" labelOnly="1" fieldPosition="0">
        <references count="6">
          <reference field="1" count="1" selected="0">
            <x v="151"/>
          </reference>
          <reference field="5" count="1" selected="0">
            <x v="2"/>
          </reference>
          <reference field="6" count="1" selected="0">
            <x v="16"/>
          </reference>
          <reference field="7" count="1" selected="0">
            <x v="240"/>
          </reference>
          <reference field="8" count="1" selected="0">
            <x v="1760"/>
          </reference>
          <reference field="9" count="1">
            <x v="611"/>
          </reference>
        </references>
      </pivotArea>
    </format>
    <format dxfId="422">
      <pivotArea dataOnly="0" labelOnly="1" fieldPosition="0">
        <references count="6">
          <reference field="1" count="1" selected="0">
            <x v="151"/>
          </reference>
          <reference field="5" count="1" selected="0">
            <x v="3"/>
          </reference>
          <reference field="6" count="1" selected="0">
            <x v="16"/>
          </reference>
          <reference field="7" count="1" selected="0">
            <x v="240"/>
          </reference>
          <reference field="8" count="1" selected="0">
            <x v="477"/>
          </reference>
          <reference field="9" count="1">
            <x v="611"/>
          </reference>
        </references>
      </pivotArea>
    </format>
    <format dxfId="421">
      <pivotArea dataOnly="0" labelOnly="1" fieldPosition="0">
        <references count="6">
          <reference field="1" count="1" selected="0">
            <x v="151"/>
          </reference>
          <reference field="5" count="1" selected="0">
            <x v="3"/>
          </reference>
          <reference field="6" count="1" selected="0">
            <x v="38"/>
          </reference>
          <reference field="7" count="1" selected="0">
            <x v="241"/>
          </reference>
          <reference field="8" count="1" selected="0">
            <x v="138"/>
          </reference>
          <reference field="9" count="1">
            <x v="611"/>
          </reference>
        </references>
      </pivotArea>
    </format>
    <format dxfId="420">
      <pivotArea dataOnly="0" labelOnly="1" fieldPosition="0">
        <references count="6">
          <reference field="1" count="1" selected="0">
            <x v="151"/>
          </reference>
          <reference field="5" count="1" selected="0">
            <x v="5"/>
          </reference>
          <reference field="6" count="1" selected="0">
            <x v="38"/>
          </reference>
          <reference field="7" count="1" selected="0">
            <x v="241"/>
          </reference>
          <reference field="8" count="1" selected="0">
            <x v="1773"/>
          </reference>
          <reference field="9" count="1">
            <x v="611"/>
          </reference>
        </references>
      </pivotArea>
    </format>
    <format dxfId="419">
      <pivotArea dataOnly="0" labelOnly="1" fieldPosition="0">
        <references count="6">
          <reference field="1" count="1" selected="0">
            <x v="151"/>
          </reference>
          <reference field="5" count="1" selected="0">
            <x v="12"/>
          </reference>
          <reference field="6" count="1" selected="0">
            <x v="1"/>
          </reference>
          <reference field="7" count="1" selected="0">
            <x v="241"/>
          </reference>
          <reference field="8" count="1" selected="0">
            <x v="80"/>
          </reference>
          <reference field="9" count="1">
            <x v="611"/>
          </reference>
        </references>
      </pivotArea>
    </format>
    <format dxfId="418">
      <pivotArea dataOnly="0" labelOnly="1" fieldPosition="0">
        <references count="6">
          <reference field="1" count="1" selected="0">
            <x v="151"/>
          </reference>
          <reference field="5" count="1" selected="0">
            <x v="12"/>
          </reference>
          <reference field="6" count="1" selected="0">
            <x v="1"/>
          </reference>
          <reference field="7" count="1" selected="0">
            <x v="241"/>
          </reference>
          <reference field="8" count="1" selected="0">
            <x v="213"/>
          </reference>
          <reference field="9" count="1">
            <x v="611"/>
          </reference>
        </references>
      </pivotArea>
    </format>
    <format dxfId="417">
      <pivotArea dataOnly="0" labelOnly="1" fieldPosition="0">
        <references count="6">
          <reference field="1" count="1" selected="0">
            <x v="151"/>
          </reference>
          <reference field="5" count="1" selected="0">
            <x v="12"/>
          </reference>
          <reference field="6" count="1" selected="0">
            <x v="1"/>
          </reference>
          <reference field="7" count="1" selected="0">
            <x v="241"/>
          </reference>
          <reference field="8" count="1" selected="0">
            <x v="352"/>
          </reference>
          <reference field="9" count="1">
            <x v="611"/>
          </reference>
        </references>
      </pivotArea>
    </format>
    <format dxfId="416">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434"/>
          </reference>
          <reference field="9" count="1">
            <x v="611"/>
          </reference>
        </references>
      </pivotArea>
    </format>
    <format dxfId="415">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460"/>
          </reference>
          <reference field="9" count="1">
            <x v="611"/>
          </reference>
        </references>
      </pivotArea>
    </format>
    <format dxfId="414">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174"/>
          </reference>
          <reference field="9" count="1">
            <x v="611"/>
          </reference>
        </references>
      </pivotArea>
    </format>
    <format dxfId="413">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220"/>
          </reference>
          <reference field="9" count="1">
            <x v="611"/>
          </reference>
        </references>
      </pivotArea>
    </format>
    <format dxfId="412">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323"/>
          </reference>
          <reference field="9" count="1">
            <x v="611"/>
          </reference>
        </references>
      </pivotArea>
    </format>
    <format dxfId="411">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330"/>
          </reference>
          <reference field="9" count="1">
            <x v="611"/>
          </reference>
        </references>
      </pivotArea>
    </format>
    <format dxfId="410">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331"/>
          </reference>
          <reference field="9" count="1">
            <x v="611"/>
          </reference>
        </references>
      </pivotArea>
    </format>
    <format dxfId="409">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352"/>
          </reference>
          <reference field="9" count="1">
            <x v="611"/>
          </reference>
        </references>
      </pivotArea>
    </format>
    <format dxfId="408">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396"/>
          </reference>
          <reference field="9" count="1">
            <x v="611"/>
          </reference>
        </references>
      </pivotArea>
    </format>
    <format dxfId="407">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474"/>
          </reference>
          <reference field="9" count="1">
            <x v="611"/>
          </reference>
        </references>
      </pivotArea>
    </format>
    <format dxfId="406">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529"/>
          </reference>
          <reference field="9" count="1">
            <x v="611"/>
          </reference>
        </references>
      </pivotArea>
    </format>
    <format dxfId="405">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573"/>
          </reference>
          <reference field="9" count="1">
            <x v="611"/>
          </reference>
        </references>
      </pivotArea>
    </format>
    <format dxfId="404">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620"/>
          </reference>
          <reference field="9" count="1">
            <x v="611"/>
          </reference>
        </references>
      </pivotArea>
    </format>
    <format dxfId="403">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633"/>
          </reference>
          <reference field="9" count="1">
            <x v="611"/>
          </reference>
        </references>
      </pivotArea>
    </format>
    <format dxfId="402">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672"/>
          </reference>
          <reference field="9" count="1">
            <x v="611"/>
          </reference>
        </references>
      </pivotArea>
    </format>
    <format dxfId="401">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684"/>
          </reference>
          <reference field="9" count="1">
            <x v="611"/>
          </reference>
        </references>
      </pivotArea>
    </format>
    <format dxfId="400">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690"/>
          </reference>
          <reference field="9" count="1">
            <x v="611"/>
          </reference>
        </references>
      </pivotArea>
    </format>
    <format dxfId="399">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699"/>
          </reference>
          <reference field="9" count="1">
            <x v="611"/>
          </reference>
        </references>
      </pivotArea>
    </format>
    <format dxfId="398">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740"/>
          </reference>
          <reference field="9" count="1">
            <x v="611"/>
          </reference>
        </references>
      </pivotArea>
    </format>
    <format dxfId="397">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753"/>
          </reference>
          <reference field="9" count="1">
            <x v="611"/>
          </reference>
        </references>
      </pivotArea>
    </format>
    <format dxfId="396">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765"/>
          </reference>
          <reference field="9" count="1">
            <x v="611"/>
          </reference>
        </references>
      </pivotArea>
    </format>
    <format dxfId="395">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769"/>
          </reference>
          <reference field="9" count="1">
            <x v="611"/>
          </reference>
        </references>
      </pivotArea>
    </format>
    <format dxfId="394">
      <pivotArea dataOnly="0" labelOnly="1" fieldPosition="0">
        <references count="6">
          <reference field="1" count="1" selected="0">
            <x v="151"/>
          </reference>
          <reference field="5" count="1" selected="0">
            <x v="12"/>
          </reference>
          <reference field="6" count="1" selected="0">
            <x v="16"/>
          </reference>
          <reference field="7" count="1" selected="0">
            <x v="240"/>
          </reference>
          <reference field="8" count="1" selected="0">
            <x v="1848"/>
          </reference>
          <reference field="9" count="1">
            <x v="611"/>
          </reference>
        </references>
      </pivotArea>
    </format>
    <format dxfId="393">
      <pivotArea dataOnly="0" labelOnly="1" fieldPosition="0">
        <references count="6">
          <reference field="1" count="1" selected="0">
            <x v="151"/>
          </reference>
          <reference field="5" count="1" selected="0">
            <x v="14"/>
          </reference>
          <reference field="6" count="1" selected="0">
            <x v="16"/>
          </reference>
          <reference field="7" count="1" selected="0">
            <x v="240"/>
          </reference>
          <reference field="8" count="1" selected="0">
            <x v="107"/>
          </reference>
          <reference field="9" count="1">
            <x v="611"/>
          </reference>
        </references>
      </pivotArea>
    </format>
    <format dxfId="392">
      <pivotArea dataOnly="0" labelOnly="1" fieldPosition="0">
        <references count="6">
          <reference field="1" count="1" selected="0">
            <x v="151"/>
          </reference>
          <reference field="5" count="1" selected="0">
            <x v="14"/>
          </reference>
          <reference field="6" count="1" selected="0">
            <x v="38"/>
          </reference>
          <reference field="7" count="1" selected="0">
            <x v="241"/>
          </reference>
          <reference field="8" count="1" selected="0">
            <x v="1208"/>
          </reference>
          <reference field="9" count="1">
            <x v="611"/>
          </reference>
        </references>
      </pivotArea>
    </format>
    <format dxfId="391">
      <pivotArea dataOnly="0" labelOnly="1" fieldPosition="0">
        <references count="6">
          <reference field="1" count="1" selected="0">
            <x v="151"/>
          </reference>
          <reference field="5" count="1" selected="0">
            <x v="15"/>
          </reference>
          <reference field="6" count="1" selected="0">
            <x v="16"/>
          </reference>
          <reference field="7" count="1" selected="0">
            <x v="240"/>
          </reference>
          <reference field="8" count="1" selected="0">
            <x v="374"/>
          </reference>
          <reference field="9" count="1">
            <x v="611"/>
          </reference>
        </references>
      </pivotArea>
    </format>
    <format dxfId="390">
      <pivotArea dataOnly="0" labelOnly="1" fieldPosition="0">
        <references count="6">
          <reference field="1" count="1" selected="0">
            <x v="151"/>
          </reference>
          <reference field="5" count="1" selected="0">
            <x v="19"/>
          </reference>
          <reference field="6" count="1" selected="0">
            <x v="38"/>
          </reference>
          <reference field="7" count="1" selected="0">
            <x v="241"/>
          </reference>
          <reference field="8" count="1" selected="0">
            <x v="292"/>
          </reference>
          <reference field="9" count="1">
            <x v="611"/>
          </reference>
        </references>
      </pivotArea>
    </format>
    <format dxfId="389">
      <pivotArea dataOnly="0" labelOnly="1" fieldPosition="0">
        <references count="6">
          <reference field="1" count="1" selected="0">
            <x v="151"/>
          </reference>
          <reference field="5" count="1" selected="0">
            <x v="21"/>
          </reference>
          <reference field="6" count="1" selected="0">
            <x v="16"/>
          </reference>
          <reference field="7" count="1" selected="0">
            <x v="240"/>
          </reference>
          <reference field="8" count="1" selected="0">
            <x v="1311"/>
          </reference>
          <reference field="9" count="1">
            <x v="611"/>
          </reference>
        </references>
      </pivotArea>
    </format>
    <format dxfId="388">
      <pivotArea dataOnly="0" labelOnly="1" fieldPosition="0">
        <references count="6">
          <reference field="1" count="1" selected="0">
            <x v="151"/>
          </reference>
          <reference field="5" count="1" selected="0">
            <x v="23"/>
          </reference>
          <reference field="6" count="1" selected="0">
            <x v="16"/>
          </reference>
          <reference field="7" count="1" selected="0">
            <x v="240"/>
          </reference>
          <reference field="8" count="1" selected="0">
            <x v="1781"/>
          </reference>
          <reference field="9" count="1">
            <x v="611"/>
          </reference>
        </references>
      </pivotArea>
    </format>
    <format dxfId="387">
      <pivotArea dataOnly="0" labelOnly="1" fieldPosition="0">
        <references count="6">
          <reference field="1" count="1" selected="0">
            <x v="151"/>
          </reference>
          <reference field="5" count="1" selected="0">
            <x v="23"/>
          </reference>
          <reference field="6" count="1" selected="0">
            <x v="38"/>
          </reference>
          <reference field="7" count="1" selected="0">
            <x v="241"/>
          </reference>
          <reference field="8" count="1" selected="0">
            <x v="1379"/>
          </reference>
          <reference field="9" count="1">
            <x v="611"/>
          </reference>
        </references>
      </pivotArea>
    </format>
    <format dxfId="386">
      <pivotArea dataOnly="0" labelOnly="1" fieldPosition="0">
        <references count="6">
          <reference field="1" count="1" selected="0">
            <x v="151"/>
          </reference>
          <reference field="5" count="1" selected="0">
            <x v="24"/>
          </reference>
          <reference field="6" count="1" selected="0">
            <x v="16"/>
          </reference>
          <reference field="7" count="1" selected="0">
            <x v="240"/>
          </reference>
          <reference field="8" count="1" selected="0">
            <x v="1441"/>
          </reference>
          <reference field="9" count="1">
            <x v="611"/>
          </reference>
        </references>
      </pivotArea>
    </format>
    <format dxfId="385">
      <pivotArea dataOnly="0" labelOnly="1" fieldPosition="0">
        <references count="6">
          <reference field="1" count="1" selected="0">
            <x v="151"/>
          </reference>
          <reference field="5" count="1" selected="0">
            <x v="29"/>
          </reference>
          <reference field="6" count="1" selected="0">
            <x v="6"/>
          </reference>
          <reference field="7" count="1" selected="0">
            <x v="241"/>
          </reference>
          <reference field="8" count="1" selected="0">
            <x v="147"/>
          </reference>
          <reference field="9" count="1">
            <x v="611"/>
          </reference>
        </references>
      </pivotArea>
    </format>
    <format dxfId="384">
      <pivotArea dataOnly="0" labelOnly="1" fieldPosition="0">
        <references count="6">
          <reference field="1" count="1" selected="0">
            <x v="151"/>
          </reference>
          <reference field="5" count="1" selected="0">
            <x v="35"/>
          </reference>
          <reference field="6" count="1" selected="0">
            <x v="1"/>
          </reference>
          <reference field="7" count="1" selected="0">
            <x v="241"/>
          </reference>
          <reference field="8" count="1" selected="0">
            <x v="80"/>
          </reference>
          <reference field="9" count="1">
            <x v="611"/>
          </reference>
        </references>
      </pivotArea>
    </format>
    <format dxfId="383">
      <pivotArea dataOnly="0" labelOnly="1" fieldPosition="0">
        <references count="6">
          <reference field="1" count="1" selected="0">
            <x v="151"/>
          </reference>
          <reference field="5" count="1" selected="0">
            <x v="35"/>
          </reference>
          <reference field="6" count="1" selected="0">
            <x v="1"/>
          </reference>
          <reference field="7" count="1" selected="0">
            <x v="241"/>
          </reference>
          <reference field="8" count="1" selected="0">
            <x v="352"/>
          </reference>
          <reference field="9" count="1">
            <x v="611"/>
          </reference>
        </references>
      </pivotArea>
    </format>
    <format dxfId="382">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65"/>
          </reference>
          <reference field="9" count="1">
            <x v="611"/>
          </reference>
        </references>
      </pivotArea>
    </format>
    <format dxfId="381">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169"/>
          </reference>
          <reference field="9" count="1">
            <x v="611"/>
          </reference>
        </references>
      </pivotArea>
    </format>
    <format dxfId="380">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241"/>
          </reference>
          <reference field="9" count="1">
            <x v="611"/>
          </reference>
        </references>
      </pivotArea>
    </format>
    <format dxfId="379">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276"/>
          </reference>
          <reference field="9" count="1">
            <x v="611"/>
          </reference>
        </references>
      </pivotArea>
    </format>
    <format dxfId="378">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280"/>
          </reference>
          <reference field="9" count="1">
            <x v="611"/>
          </reference>
        </references>
      </pivotArea>
    </format>
    <format dxfId="377">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342"/>
          </reference>
          <reference field="9" count="1">
            <x v="611"/>
          </reference>
        </references>
      </pivotArea>
    </format>
    <format dxfId="376">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393"/>
          </reference>
          <reference field="9" count="1">
            <x v="611"/>
          </reference>
        </references>
      </pivotArea>
    </format>
    <format dxfId="375">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432"/>
          </reference>
          <reference field="9" count="1">
            <x v="611"/>
          </reference>
        </references>
      </pivotArea>
    </format>
    <format dxfId="374">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451"/>
          </reference>
          <reference field="9" count="1">
            <x v="611"/>
          </reference>
        </references>
      </pivotArea>
    </format>
    <format dxfId="373">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463"/>
          </reference>
          <reference field="9" count="1">
            <x v="611"/>
          </reference>
        </references>
      </pivotArea>
    </format>
    <format dxfId="372">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496"/>
          </reference>
          <reference field="9" count="1">
            <x v="611"/>
          </reference>
        </references>
      </pivotArea>
    </format>
    <format dxfId="371">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518"/>
          </reference>
          <reference field="9" count="1">
            <x v="611"/>
          </reference>
        </references>
      </pivotArea>
    </format>
    <format dxfId="370">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762"/>
          </reference>
          <reference field="9" count="1">
            <x v="611"/>
          </reference>
        </references>
      </pivotArea>
    </format>
    <format dxfId="369">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787"/>
          </reference>
          <reference field="9" count="1">
            <x v="611"/>
          </reference>
        </references>
      </pivotArea>
    </format>
    <format dxfId="368">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1161"/>
          </reference>
          <reference field="9" count="1">
            <x v="611"/>
          </reference>
        </references>
      </pivotArea>
    </format>
    <format dxfId="367">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1180"/>
          </reference>
          <reference field="9" count="1">
            <x v="611"/>
          </reference>
        </references>
      </pivotArea>
    </format>
    <format dxfId="366">
      <pivotArea dataOnly="0" labelOnly="1" fieldPosition="0">
        <references count="6">
          <reference field="1" count="1" selected="0">
            <x v="151"/>
          </reference>
          <reference field="5" count="1" selected="0">
            <x v="35"/>
          </reference>
          <reference field="6" count="1" selected="0">
            <x v="16"/>
          </reference>
          <reference field="7" count="1" selected="0">
            <x v="240"/>
          </reference>
          <reference field="8" count="1" selected="0">
            <x v="1226"/>
          </reference>
          <reference field="9" count="1">
            <x v="611"/>
          </reference>
        </references>
      </pivotArea>
    </format>
    <format dxfId="365">
      <pivotArea dataOnly="0" labelOnly="1" fieldPosition="0">
        <references count="6">
          <reference field="1" count="1" selected="0">
            <x v="151"/>
          </reference>
          <reference field="5" count="1" selected="0">
            <x v="37"/>
          </reference>
          <reference field="6" count="1" selected="0">
            <x v="38"/>
          </reference>
          <reference field="7" count="1" selected="0">
            <x v="241"/>
          </reference>
          <reference field="8" count="1" selected="0">
            <x v="1189"/>
          </reference>
          <reference field="9" count="1">
            <x v="611"/>
          </reference>
        </references>
      </pivotArea>
    </format>
    <format dxfId="364">
      <pivotArea dataOnly="0" labelOnly="1" fieldPosition="0">
        <references count="6">
          <reference field="1" count="1" selected="0">
            <x v="152"/>
          </reference>
          <reference field="5" count="1" selected="0">
            <x v="0"/>
          </reference>
          <reference field="6" count="1" selected="0">
            <x v="12"/>
          </reference>
          <reference field="7" count="1" selected="0">
            <x v="42"/>
          </reference>
          <reference field="8" count="1" selected="0">
            <x v="6"/>
          </reference>
          <reference field="9" count="1">
            <x v="611"/>
          </reference>
        </references>
      </pivotArea>
    </format>
    <format dxfId="363">
      <pivotArea dataOnly="0" labelOnly="1" fieldPosition="0">
        <references count="6">
          <reference field="1" count="1" selected="0">
            <x v="152"/>
          </reference>
          <reference field="5" count="1" selected="0">
            <x v="0"/>
          </reference>
          <reference field="6" count="1" selected="0">
            <x v="12"/>
          </reference>
          <reference field="7" count="1" selected="0">
            <x v="50"/>
          </reference>
          <reference field="8" count="1" selected="0">
            <x v="39"/>
          </reference>
          <reference field="9" count="1">
            <x v="611"/>
          </reference>
        </references>
      </pivotArea>
    </format>
    <format dxfId="362">
      <pivotArea dataOnly="0" labelOnly="1" fieldPosition="0">
        <references count="6">
          <reference field="1" count="1" selected="0">
            <x v="152"/>
          </reference>
          <reference field="5" count="1" selected="0">
            <x v="0"/>
          </reference>
          <reference field="6" count="1" selected="0">
            <x v="12"/>
          </reference>
          <reference field="7" count="1" selected="0">
            <x v="57"/>
          </reference>
          <reference field="8" count="1" selected="0">
            <x v="11"/>
          </reference>
          <reference field="9" count="1">
            <x v="611"/>
          </reference>
        </references>
      </pivotArea>
    </format>
    <format dxfId="361">
      <pivotArea dataOnly="0" labelOnly="1" fieldPosition="0">
        <references count="6">
          <reference field="1" count="1" selected="0">
            <x v="152"/>
          </reference>
          <reference field="5" count="1" selected="0">
            <x v="3"/>
          </reference>
          <reference field="6" count="1" selected="0">
            <x v="8"/>
          </reference>
          <reference field="7" count="1" selected="0">
            <x v="242"/>
          </reference>
          <reference field="8" count="1" selected="0">
            <x v="0"/>
          </reference>
          <reference field="9" count="1">
            <x v="538"/>
          </reference>
        </references>
      </pivotArea>
    </format>
    <format dxfId="360">
      <pivotArea dataOnly="0" labelOnly="1" fieldPosition="0">
        <references count="6">
          <reference field="1" count="1" selected="0">
            <x v="152"/>
          </reference>
          <reference field="5" count="1" selected="0">
            <x v="3"/>
          </reference>
          <reference field="6" count="1" selected="0">
            <x v="10"/>
          </reference>
          <reference field="7" count="1" selected="0">
            <x v="242"/>
          </reference>
          <reference field="8" count="1" selected="0">
            <x v="469"/>
          </reference>
          <reference field="9" count="1">
            <x v="611"/>
          </reference>
        </references>
      </pivotArea>
    </format>
    <format dxfId="359">
      <pivotArea dataOnly="0" labelOnly="1" fieldPosition="0">
        <references count="6">
          <reference field="1" count="1" selected="0">
            <x v="152"/>
          </reference>
          <reference field="5" count="1" selected="0">
            <x v="7"/>
          </reference>
          <reference field="6" count="1" selected="0">
            <x v="8"/>
          </reference>
          <reference field="7" count="1" selected="0">
            <x v="242"/>
          </reference>
          <reference field="8" count="1" selected="0">
            <x v="0"/>
          </reference>
          <reference field="9" count="1">
            <x v="462"/>
          </reference>
        </references>
      </pivotArea>
    </format>
    <format dxfId="358">
      <pivotArea dataOnly="0" labelOnly="1" fieldPosition="0">
        <references count="6">
          <reference field="1" count="1" selected="0">
            <x v="152"/>
          </reference>
          <reference field="5" count="1" selected="0">
            <x v="7"/>
          </reference>
          <reference field="6" count="1" selected="0">
            <x v="10"/>
          </reference>
          <reference field="7" count="1" selected="0">
            <x v="242"/>
          </reference>
          <reference field="8" count="1" selected="0">
            <x v="888"/>
          </reference>
          <reference field="9" count="1">
            <x v="611"/>
          </reference>
        </references>
      </pivotArea>
    </format>
    <format dxfId="357">
      <pivotArea dataOnly="0" labelOnly="1" fieldPosition="0">
        <references count="6">
          <reference field="1" count="1" selected="0">
            <x v="152"/>
          </reference>
          <reference field="5" count="1" selected="0">
            <x v="7"/>
          </reference>
          <reference field="6" count="1" selected="0">
            <x v="38"/>
          </reference>
          <reference field="7" count="1" selected="0">
            <x v="242"/>
          </reference>
          <reference field="8" count="1" selected="0">
            <x v="791"/>
          </reference>
          <reference field="9" count="1">
            <x v="611"/>
          </reference>
        </references>
      </pivotArea>
    </format>
    <format dxfId="356">
      <pivotArea dataOnly="0" labelOnly="1" fieldPosition="0">
        <references count="6">
          <reference field="1" count="1" selected="0">
            <x v="152"/>
          </reference>
          <reference field="5" count="1" selected="0">
            <x v="10"/>
          </reference>
          <reference field="6" count="1" selected="0">
            <x v="6"/>
          </reference>
          <reference field="7" count="1" selected="0">
            <x v="242"/>
          </reference>
          <reference field="8" count="1" selected="0">
            <x v="1263"/>
          </reference>
          <reference field="9" count="1">
            <x v="611"/>
          </reference>
        </references>
      </pivotArea>
    </format>
    <format dxfId="355">
      <pivotArea dataOnly="0" labelOnly="1" fieldPosition="0">
        <references count="6">
          <reference field="1" count="1" selected="0">
            <x v="152"/>
          </reference>
          <reference field="5" count="1" selected="0">
            <x v="12"/>
          </reference>
          <reference field="6" count="1" selected="0">
            <x v="1"/>
          </reference>
          <reference field="7" count="1" selected="0">
            <x v="242"/>
          </reference>
          <reference field="8" count="1" selected="0">
            <x v="80"/>
          </reference>
          <reference field="9" count="1">
            <x v="611"/>
          </reference>
        </references>
      </pivotArea>
    </format>
    <format dxfId="354">
      <pivotArea dataOnly="0" labelOnly="1" fieldPosition="0">
        <references count="6">
          <reference field="1" count="1" selected="0">
            <x v="152"/>
          </reference>
          <reference field="5" count="1" selected="0">
            <x v="12"/>
          </reference>
          <reference field="6" count="1" selected="0">
            <x v="1"/>
          </reference>
          <reference field="7" count="1" selected="0">
            <x v="242"/>
          </reference>
          <reference field="8" count="1" selected="0">
            <x v="213"/>
          </reference>
          <reference field="9" count="1">
            <x v="611"/>
          </reference>
        </references>
      </pivotArea>
    </format>
    <format dxfId="353">
      <pivotArea dataOnly="0" labelOnly="1" fieldPosition="0">
        <references count="6">
          <reference field="1" count="1" selected="0">
            <x v="152"/>
          </reference>
          <reference field="5" count="1" selected="0">
            <x v="13"/>
          </reference>
          <reference field="6" count="1" selected="0">
            <x v="33"/>
          </reference>
          <reference field="7" count="1" selected="0">
            <x v="242"/>
          </reference>
          <reference field="8" count="1" selected="0">
            <x v="155"/>
          </reference>
          <reference field="9" count="1">
            <x v="611"/>
          </reference>
        </references>
      </pivotArea>
    </format>
    <format dxfId="352">
      <pivotArea dataOnly="0" labelOnly="1" fieldPosition="0">
        <references count="6">
          <reference field="1" count="1" selected="0">
            <x v="152"/>
          </reference>
          <reference field="5" count="1" selected="0">
            <x v="14"/>
          </reference>
          <reference field="6" count="1" selected="0">
            <x v="8"/>
          </reference>
          <reference field="7" count="1" selected="0">
            <x v="242"/>
          </reference>
          <reference field="8" count="1" selected="0">
            <x v="0"/>
          </reference>
          <reference field="9" count="1">
            <x v="596"/>
          </reference>
        </references>
      </pivotArea>
    </format>
    <format dxfId="351">
      <pivotArea dataOnly="0" labelOnly="1" fieldPosition="0">
        <references count="6">
          <reference field="1" count="1" selected="0">
            <x v="152"/>
          </reference>
          <reference field="5" count="1" selected="0">
            <x v="14"/>
          </reference>
          <reference field="6" count="1" selected="0">
            <x v="10"/>
          </reference>
          <reference field="7" count="1" selected="0">
            <x v="242"/>
          </reference>
          <reference field="8" count="1" selected="0">
            <x v="109"/>
          </reference>
          <reference field="9" count="1">
            <x v="611"/>
          </reference>
        </references>
      </pivotArea>
    </format>
    <format dxfId="350">
      <pivotArea dataOnly="0" labelOnly="1" fieldPosition="0">
        <references count="6">
          <reference field="1" count="1" selected="0">
            <x v="152"/>
          </reference>
          <reference field="5" count="1" selected="0">
            <x v="17"/>
          </reference>
          <reference field="6" count="1" selected="0">
            <x v="38"/>
          </reference>
          <reference field="7" count="1" selected="0">
            <x v="242"/>
          </reference>
          <reference field="8" count="1" selected="0">
            <x v="469"/>
          </reference>
          <reference field="9" count="1">
            <x v="611"/>
          </reference>
        </references>
      </pivotArea>
    </format>
    <format dxfId="349">
      <pivotArea dataOnly="0" labelOnly="1" fieldPosition="0">
        <references count="6">
          <reference field="1" count="1" selected="0">
            <x v="152"/>
          </reference>
          <reference field="5" count="1" selected="0">
            <x v="19"/>
          </reference>
          <reference field="6" count="1" selected="0">
            <x v="38"/>
          </reference>
          <reference field="7" count="1" selected="0">
            <x v="242"/>
          </reference>
          <reference field="8" count="1" selected="0">
            <x v="156"/>
          </reference>
          <reference field="9" count="1">
            <x v="611"/>
          </reference>
        </references>
      </pivotArea>
    </format>
    <format dxfId="348">
      <pivotArea dataOnly="0" labelOnly="1" fieldPosition="0">
        <references count="6">
          <reference field="1" count="1" selected="0">
            <x v="152"/>
          </reference>
          <reference field="5" count="1" selected="0">
            <x v="23"/>
          </reference>
          <reference field="6" count="1" selected="0">
            <x v="38"/>
          </reference>
          <reference field="7" count="1" selected="0">
            <x v="242"/>
          </reference>
          <reference field="8" count="1" selected="0">
            <x v="278"/>
          </reference>
          <reference field="9" count="1">
            <x v="611"/>
          </reference>
        </references>
      </pivotArea>
    </format>
    <format dxfId="347">
      <pivotArea dataOnly="0" labelOnly="1" fieldPosition="0">
        <references count="6">
          <reference field="1" count="1" selected="0">
            <x v="152"/>
          </reference>
          <reference field="5" count="1" selected="0">
            <x v="24"/>
          </reference>
          <reference field="6" count="1" selected="0">
            <x v="6"/>
          </reference>
          <reference field="7" count="1" selected="0">
            <x v="242"/>
          </reference>
          <reference field="8" count="1" selected="0">
            <x v="816"/>
          </reference>
          <reference field="9" count="1">
            <x v="611"/>
          </reference>
        </references>
      </pivotArea>
    </format>
    <format dxfId="346">
      <pivotArea dataOnly="0" labelOnly="1" fieldPosition="0">
        <references count="6">
          <reference field="1" count="1" selected="0">
            <x v="152"/>
          </reference>
          <reference field="5" count="1" selected="0">
            <x v="24"/>
          </reference>
          <reference field="6" count="1" selected="0">
            <x v="8"/>
          </reference>
          <reference field="7" count="1" selected="0">
            <x v="242"/>
          </reference>
          <reference field="8" count="1" selected="0">
            <x v="0"/>
          </reference>
          <reference field="9" count="1">
            <x v="596"/>
          </reference>
        </references>
      </pivotArea>
    </format>
    <format dxfId="345">
      <pivotArea dataOnly="0" labelOnly="1" fieldPosition="0">
        <references count="6">
          <reference field="1" count="1" selected="0">
            <x v="152"/>
          </reference>
          <reference field="5" count="1" selected="0">
            <x v="24"/>
          </reference>
          <reference field="6" count="1" selected="0">
            <x v="10"/>
          </reference>
          <reference field="7" count="1" selected="0">
            <x v="242"/>
          </reference>
          <reference field="8" count="1" selected="0">
            <x v="109"/>
          </reference>
          <reference field="9" count="1">
            <x v="611"/>
          </reference>
        </references>
      </pivotArea>
    </format>
    <format dxfId="344">
      <pivotArea dataOnly="0" labelOnly="1" fieldPosition="0">
        <references count="6">
          <reference field="1" count="1" selected="0">
            <x v="152"/>
          </reference>
          <reference field="5" count="1" selected="0">
            <x v="28"/>
          </reference>
          <reference field="6" count="1" selected="0">
            <x v="8"/>
          </reference>
          <reference field="7" count="1" selected="0">
            <x v="242"/>
          </reference>
          <reference field="8" count="1" selected="0">
            <x v="0"/>
          </reference>
          <reference field="9" count="1">
            <x v="429"/>
          </reference>
        </references>
      </pivotArea>
    </format>
    <format dxfId="343">
      <pivotArea dataOnly="0" labelOnly="1" fieldPosition="0">
        <references count="6">
          <reference field="1" count="1" selected="0">
            <x v="152"/>
          </reference>
          <reference field="5" count="1" selected="0">
            <x v="28"/>
          </reference>
          <reference field="6" count="1" selected="0">
            <x v="10"/>
          </reference>
          <reference field="7" count="1" selected="0">
            <x v="242"/>
          </reference>
          <reference field="8" count="1" selected="0">
            <x v="1052"/>
          </reference>
          <reference field="9" count="1">
            <x v="611"/>
          </reference>
        </references>
      </pivotArea>
    </format>
    <format dxfId="342">
      <pivotArea dataOnly="0" labelOnly="1" fieldPosition="0">
        <references count="6">
          <reference field="1" count="1" selected="0">
            <x v="152"/>
          </reference>
          <reference field="5" count="1" selected="0">
            <x v="35"/>
          </reference>
          <reference field="6" count="1" selected="0">
            <x v="1"/>
          </reference>
          <reference field="7" count="1" selected="0">
            <x v="242"/>
          </reference>
          <reference field="8" count="1" selected="0">
            <x v="80"/>
          </reference>
          <reference field="9" count="1">
            <x v="611"/>
          </reference>
        </references>
      </pivotArea>
    </format>
    <format dxfId="341">
      <pivotArea dataOnly="0" labelOnly="1" fieldPosition="0">
        <references count="6">
          <reference field="1" count="1" selected="0">
            <x v="152"/>
          </reference>
          <reference field="5" count="1" selected="0">
            <x v="35"/>
          </reference>
          <reference field="6" count="1" selected="0">
            <x v="1"/>
          </reference>
          <reference field="7" count="1" selected="0">
            <x v="242"/>
          </reference>
          <reference field="8" count="1" selected="0">
            <x v="500"/>
          </reference>
          <reference field="9" count="1">
            <x v="611"/>
          </reference>
        </references>
      </pivotArea>
    </format>
    <format dxfId="340">
      <pivotArea dataOnly="0" labelOnly="1" fieldPosition="0">
        <references count="6">
          <reference field="1" count="1" selected="0">
            <x v="152"/>
          </reference>
          <reference field="5" count="1" selected="0">
            <x v="37"/>
          </reference>
          <reference field="6" count="1" selected="0">
            <x v="8"/>
          </reference>
          <reference field="7" count="1" selected="0">
            <x v="242"/>
          </reference>
          <reference field="8" count="1" selected="0">
            <x v="0"/>
          </reference>
          <reference field="9" count="1">
            <x v="573"/>
          </reference>
        </references>
      </pivotArea>
    </format>
    <format dxfId="339">
      <pivotArea dataOnly="0" labelOnly="1" fieldPosition="0">
        <references count="6">
          <reference field="1" count="1" selected="0">
            <x v="152"/>
          </reference>
          <reference field="5" count="1" selected="0">
            <x v="37"/>
          </reference>
          <reference field="6" count="1" selected="0">
            <x v="10"/>
          </reference>
          <reference field="7" count="1" selected="0">
            <x v="242"/>
          </reference>
          <reference field="8" count="1" selected="0">
            <x v="283"/>
          </reference>
          <reference field="9" count="1">
            <x v="611"/>
          </reference>
        </references>
      </pivotArea>
    </format>
    <format dxfId="338">
      <pivotArea dataOnly="0" labelOnly="1" fieldPosition="0">
        <references count="6">
          <reference field="1" count="1" selected="0">
            <x v="153"/>
          </reference>
          <reference field="5" count="1" selected="0">
            <x v="0"/>
          </reference>
          <reference field="6" count="1" selected="0">
            <x v="8"/>
          </reference>
          <reference field="7" count="1" selected="0">
            <x v="243"/>
          </reference>
          <reference field="8" count="1" selected="0">
            <x v="1157"/>
          </reference>
          <reference field="9" count="1">
            <x v="611"/>
          </reference>
        </references>
      </pivotArea>
    </format>
    <format dxfId="337">
      <pivotArea dataOnly="0" labelOnly="1" fieldPosition="0">
        <references count="6">
          <reference field="1" count="1" selected="0">
            <x v="153"/>
          </reference>
          <reference field="5" count="1" selected="0">
            <x v="0"/>
          </reference>
          <reference field="6" count="1" selected="0">
            <x v="9"/>
          </reference>
          <reference field="7" count="1" selected="0">
            <x v="243"/>
          </reference>
          <reference field="8" count="1" selected="0">
            <x v="371"/>
          </reference>
          <reference field="9" count="1">
            <x v="611"/>
          </reference>
        </references>
      </pivotArea>
    </format>
    <format dxfId="336">
      <pivotArea dataOnly="0" labelOnly="1" fieldPosition="0">
        <references count="6">
          <reference field="1" count="1" selected="0">
            <x v="153"/>
          </reference>
          <reference field="5" count="1" selected="0">
            <x v="0"/>
          </reference>
          <reference field="6" count="1" selected="0">
            <x v="9"/>
          </reference>
          <reference field="7" count="1" selected="0">
            <x v="243"/>
          </reference>
          <reference field="8" count="1" selected="0">
            <x v="433"/>
          </reference>
          <reference field="9" count="1">
            <x v="611"/>
          </reference>
        </references>
      </pivotArea>
    </format>
    <format dxfId="335">
      <pivotArea dataOnly="0" labelOnly="1" fieldPosition="0">
        <references count="6">
          <reference field="1" count="1" selected="0">
            <x v="153"/>
          </reference>
          <reference field="5" count="1" selected="0">
            <x v="0"/>
          </reference>
          <reference field="6" count="1" selected="0">
            <x v="9"/>
          </reference>
          <reference field="7" count="1" selected="0">
            <x v="243"/>
          </reference>
          <reference field="8" count="1" selected="0">
            <x v="605"/>
          </reference>
          <reference field="9" count="1">
            <x v="611"/>
          </reference>
        </references>
      </pivotArea>
    </format>
    <format dxfId="334">
      <pivotArea dataOnly="0" labelOnly="1" fieldPosition="0">
        <references count="6">
          <reference field="1" count="1" selected="0">
            <x v="153"/>
          </reference>
          <reference field="5" count="1" selected="0">
            <x v="0"/>
          </reference>
          <reference field="6" count="1" selected="0">
            <x v="9"/>
          </reference>
          <reference field="7" count="1" selected="0">
            <x v="243"/>
          </reference>
          <reference field="8" count="1" selected="0">
            <x v="788"/>
          </reference>
          <reference field="9" count="1">
            <x v="611"/>
          </reference>
        </references>
      </pivotArea>
    </format>
    <format dxfId="333">
      <pivotArea dataOnly="0" labelOnly="1" fieldPosition="0">
        <references count="6">
          <reference field="1" count="1" selected="0">
            <x v="153"/>
          </reference>
          <reference field="5" count="1" selected="0">
            <x v="0"/>
          </reference>
          <reference field="6" count="1" selected="0">
            <x v="9"/>
          </reference>
          <reference field="7" count="1" selected="0">
            <x v="243"/>
          </reference>
          <reference field="8" count="1" selected="0">
            <x v="939"/>
          </reference>
          <reference field="9" count="1">
            <x v="611"/>
          </reference>
        </references>
      </pivotArea>
    </format>
    <format dxfId="332">
      <pivotArea dataOnly="0" labelOnly="1" fieldPosition="0">
        <references count="6">
          <reference field="1" count="1" selected="0">
            <x v="153"/>
          </reference>
          <reference field="5" count="1" selected="0">
            <x v="0"/>
          </reference>
          <reference field="6" count="1" selected="0">
            <x v="12"/>
          </reference>
          <reference field="7" count="1" selected="0">
            <x v="17"/>
          </reference>
          <reference field="8" count="1" selected="0">
            <x v="96"/>
          </reference>
          <reference field="9" count="1">
            <x v="611"/>
          </reference>
        </references>
      </pivotArea>
    </format>
    <format dxfId="331">
      <pivotArea dataOnly="0" labelOnly="1" fieldPosition="0">
        <references count="6">
          <reference field="1" count="1" selected="0">
            <x v="153"/>
          </reference>
          <reference field="5" count="1" selected="0">
            <x v="0"/>
          </reference>
          <reference field="6" count="1" selected="0">
            <x v="12"/>
          </reference>
          <reference field="7" count="1" selected="0">
            <x v="19"/>
          </reference>
          <reference field="8" count="1" selected="0">
            <x v="46"/>
          </reference>
          <reference field="9" count="1">
            <x v="611"/>
          </reference>
        </references>
      </pivotArea>
    </format>
    <format dxfId="330">
      <pivotArea dataOnly="0" labelOnly="1" fieldPosition="0">
        <references count="6">
          <reference field="1" count="1" selected="0">
            <x v="153"/>
          </reference>
          <reference field="5" count="1" selected="0">
            <x v="0"/>
          </reference>
          <reference field="6" count="1" selected="0">
            <x v="12"/>
          </reference>
          <reference field="7" count="1" selected="0">
            <x v="71"/>
          </reference>
          <reference field="8" count="1" selected="0">
            <x v="37"/>
          </reference>
          <reference field="9" count="1">
            <x v="611"/>
          </reference>
        </references>
      </pivotArea>
    </format>
    <format dxfId="329">
      <pivotArea dataOnly="0" labelOnly="1" fieldPosition="0">
        <references count="6">
          <reference field="1" count="1" selected="0">
            <x v="153"/>
          </reference>
          <reference field="5" count="1" selected="0">
            <x v="2"/>
          </reference>
          <reference field="6" count="1" selected="0">
            <x v="10"/>
          </reference>
          <reference field="7" count="1" selected="0">
            <x v="243"/>
          </reference>
          <reference field="8" count="1" selected="0">
            <x v="1756"/>
          </reference>
          <reference field="9" count="1">
            <x v="611"/>
          </reference>
        </references>
      </pivotArea>
    </format>
    <format dxfId="328">
      <pivotArea dataOnly="0" labelOnly="1" fieldPosition="0">
        <references count="6">
          <reference field="1" count="1" selected="0">
            <x v="153"/>
          </reference>
          <reference field="5" count="1" selected="0">
            <x v="3"/>
          </reference>
          <reference field="6" count="1" selected="0">
            <x v="10"/>
          </reference>
          <reference field="7" count="1" selected="0">
            <x v="243"/>
          </reference>
          <reference field="8" count="1" selected="0">
            <x v="1401"/>
          </reference>
          <reference field="9" count="1">
            <x v="611"/>
          </reference>
        </references>
      </pivotArea>
    </format>
    <format dxfId="327">
      <pivotArea dataOnly="0" labelOnly="1" fieldPosition="0">
        <references count="6">
          <reference field="1" count="1" selected="0">
            <x v="153"/>
          </reference>
          <reference field="5" count="1" selected="0">
            <x v="7"/>
          </reference>
          <reference field="6" count="1" selected="0">
            <x v="8"/>
          </reference>
          <reference field="7" count="1" selected="0">
            <x v="243"/>
          </reference>
          <reference field="8" count="1" selected="0">
            <x v="714"/>
          </reference>
          <reference field="9" count="1">
            <x v="611"/>
          </reference>
        </references>
      </pivotArea>
    </format>
    <format dxfId="326">
      <pivotArea dataOnly="0" labelOnly="1" fieldPosition="0">
        <references count="6">
          <reference field="1" count="1" selected="0">
            <x v="153"/>
          </reference>
          <reference field="5" count="1" selected="0">
            <x v="7"/>
          </reference>
          <reference field="6" count="1" selected="0">
            <x v="9"/>
          </reference>
          <reference field="7" count="1" selected="0">
            <x v="243"/>
          </reference>
          <reference field="8" count="1" selected="0">
            <x v="40"/>
          </reference>
          <reference field="9" count="1">
            <x v="611"/>
          </reference>
        </references>
      </pivotArea>
    </format>
    <format dxfId="325">
      <pivotArea dataOnly="0" labelOnly="1" fieldPosition="0">
        <references count="6">
          <reference field="1" count="1" selected="0">
            <x v="153"/>
          </reference>
          <reference field="5" count="1" selected="0">
            <x v="9"/>
          </reference>
          <reference field="6" count="1" selected="0">
            <x v="8"/>
          </reference>
          <reference field="7" count="1" selected="0">
            <x v="243"/>
          </reference>
          <reference field="8" count="1" selected="0">
            <x v="423"/>
          </reference>
          <reference field="9" count="1">
            <x v="611"/>
          </reference>
        </references>
      </pivotArea>
    </format>
    <format dxfId="324">
      <pivotArea dataOnly="0" labelOnly="1" fieldPosition="0">
        <references count="6">
          <reference field="1" count="1" selected="0">
            <x v="153"/>
          </reference>
          <reference field="5" count="1" selected="0">
            <x v="9"/>
          </reference>
          <reference field="6" count="1" selected="0">
            <x v="10"/>
          </reference>
          <reference field="7" count="1" selected="0">
            <x v="243"/>
          </reference>
          <reference field="8" count="1" selected="0">
            <x v="60"/>
          </reference>
          <reference field="9" count="1">
            <x v="611"/>
          </reference>
        </references>
      </pivotArea>
    </format>
    <format dxfId="323">
      <pivotArea dataOnly="0" labelOnly="1" fieldPosition="0">
        <references count="6">
          <reference field="1" count="1" selected="0">
            <x v="153"/>
          </reference>
          <reference field="5" count="1" selected="0">
            <x v="15"/>
          </reference>
          <reference field="6" count="1" selected="0">
            <x v="8"/>
          </reference>
          <reference field="7" count="1" selected="0">
            <x v="243"/>
          </reference>
          <reference field="8" count="1" selected="0">
            <x v="883"/>
          </reference>
          <reference field="9" count="1">
            <x v="611"/>
          </reference>
        </references>
      </pivotArea>
    </format>
    <format dxfId="322">
      <pivotArea dataOnly="0" labelOnly="1" fieldPosition="0">
        <references count="6">
          <reference field="1" count="1" selected="0">
            <x v="153"/>
          </reference>
          <reference field="5" count="1" selected="0">
            <x v="17"/>
          </reference>
          <reference field="6" count="1" selected="0">
            <x v="10"/>
          </reference>
          <reference field="7" count="1" selected="0">
            <x v="243"/>
          </reference>
          <reference field="8" count="1" selected="0">
            <x v="1776"/>
          </reference>
          <reference field="9" count="1">
            <x v="611"/>
          </reference>
        </references>
      </pivotArea>
    </format>
    <format dxfId="321">
      <pivotArea dataOnly="0" labelOnly="1" fieldPosition="0">
        <references count="6">
          <reference field="1" count="1" selected="0">
            <x v="153"/>
          </reference>
          <reference field="5" count="1" selected="0">
            <x v="18"/>
          </reference>
          <reference field="6" count="1" selected="0">
            <x v="8"/>
          </reference>
          <reference field="7" count="1" selected="0">
            <x v="243"/>
          </reference>
          <reference field="8" count="1" selected="0">
            <x v="831"/>
          </reference>
          <reference field="9" count="1">
            <x v="611"/>
          </reference>
        </references>
      </pivotArea>
    </format>
    <format dxfId="320">
      <pivotArea dataOnly="0" labelOnly="1" fieldPosition="0">
        <references count="6">
          <reference field="1" count="1" selected="0">
            <x v="153"/>
          </reference>
          <reference field="5" count="1" selected="0">
            <x v="24"/>
          </reference>
          <reference field="6" count="1" selected="0">
            <x v="9"/>
          </reference>
          <reference field="7" count="1" selected="0">
            <x v="243"/>
          </reference>
          <reference field="8" count="1" selected="0">
            <x v="1353"/>
          </reference>
          <reference field="9" count="1">
            <x v="611"/>
          </reference>
        </references>
      </pivotArea>
    </format>
    <format dxfId="319">
      <pivotArea dataOnly="0" labelOnly="1" fieldPosition="0">
        <references count="6">
          <reference field="1" count="1" selected="0">
            <x v="153"/>
          </reference>
          <reference field="5" count="1" selected="0">
            <x v="24"/>
          </reference>
          <reference field="6" count="1" selected="0">
            <x v="10"/>
          </reference>
          <reference field="7" count="1" selected="0">
            <x v="243"/>
          </reference>
          <reference field="8" count="1" selected="0">
            <x v="287"/>
          </reference>
          <reference field="9" count="1">
            <x v="611"/>
          </reference>
        </references>
      </pivotArea>
    </format>
    <format dxfId="318">
      <pivotArea dataOnly="0" labelOnly="1" fieldPosition="0">
        <references count="6">
          <reference field="1" count="1" selected="0">
            <x v="153"/>
          </reference>
          <reference field="5" count="1" selected="0">
            <x v="26"/>
          </reference>
          <reference field="6" count="1" selected="0">
            <x v="38"/>
          </reference>
          <reference field="7" count="1" selected="0">
            <x v="243"/>
          </reference>
          <reference field="8" count="1" selected="0">
            <x v="371"/>
          </reference>
          <reference field="9" count="1">
            <x v="611"/>
          </reference>
        </references>
      </pivotArea>
    </format>
    <format dxfId="317">
      <pivotArea dataOnly="0" labelOnly="1" fieldPosition="0">
        <references count="6">
          <reference field="1" count="1" selected="0">
            <x v="153"/>
          </reference>
          <reference field="5" count="1" selected="0">
            <x v="35"/>
          </reference>
          <reference field="6" count="1" selected="0">
            <x v="1"/>
          </reference>
          <reference field="7" count="1" selected="0">
            <x v="243"/>
          </reference>
          <reference field="8" count="1" selected="0">
            <x v="213"/>
          </reference>
          <reference field="9" count="1">
            <x v="611"/>
          </reference>
        </references>
      </pivotArea>
    </format>
    <format dxfId="316">
      <pivotArea dataOnly="0" labelOnly="1" fieldPosition="0">
        <references count="6">
          <reference field="1" count="1" selected="0">
            <x v="153"/>
          </reference>
          <reference field="5" count="1" selected="0">
            <x v="36"/>
          </reference>
          <reference field="6" count="1" selected="0">
            <x v="10"/>
          </reference>
          <reference field="7" count="1" selected="0">
            <x v="243"/>
          </reference>
          <reference field="8" count="1" selected="0">
            <x v="1534"/>
          </reference>
          <reference field="9" count="1">
            <x v="611"/>
          </reference>
        </references>
      </pivotArea>
    </format>
    <format dxfId="315">
      <pivotArea dataOnly="0" labelOnly="1" fieldPosition="0">
        <references count="6">
          <reference field="1" count="1" selected="0">
            <x v="153"/>
          </reference>
          <reference field="5" count="1" selected="0">
            <x v="38"/>
          </reference>
          <reference field="6" count="1" selected="0">
            <x v="10"/>
          </reference>
          <reference field="7" count="1" selected="0">
            <x v="243"/>
          </reference>
          <reference field="8" count="1" selected="0">
            <x v="1017"/>
          </reference>
          <reference field="9" count="1">
            <x v="611"/>
          </reference>
        </references>
      </pivotArea>
    </format>
    <format dxfId="314">
      <pivotArea dataOnly="0" labelOnly="1" fieldPosition="0">
        <references count="6">
          <reference field="1" count="1" selected="0">
            <x v="154"/>
          </reference>
          <reference field="5" count="1" selected="0">
            <x v="0"/>
          </reference>
          <reference field="6" count="1" selected="0">
            <x v="12"/>
          </reference>
          <reference field="7" count="1" selected="0">
            <x v="71"/>
          </reference>
          <reference field="8" count="1" selected="0">
            <x v="11"/>
          </reference>
          <reference field="9" count="1">
            <x v="611"/>
          </reference>
        </references>
      </pivotArea>
    </format>
    <format dxfId="313">
      <pivotArea dataOnly="0" labelOnly="1" fieldPosition="0">
        <references count="6">
          <reference field="1" count="1" selected="0">
            <x v="154"/>
          </reference>
          <reference field="5" count="1" selected="0">
            <x v="0"/>
          </reference>
          <reference field="6" count="1" selected="0">
            <x v="38"/>
          </reference>
          <reference field="7" count="1" selected="0">
            <x v="244"/>
          </reference>
          <reference field="8" count="1" selected="0">
            <x v="89"/>
          </reference>
          <reference field="9" count="1">
            <x v="611"/>
          </reference>
        </references>
      </pivotArea>
    </format>
    <format dxfId="312">
      <pivotArea dataOnly="0" labelOnly="1" fieldPosition="0">
        <references count="6">
          <reference field="1" count="1" selected="0">
            <x v="154"/>
          </reference>
          <reference field="5" count="1" selected="0">
            <x v="0"/>
          </reference>
          <reference field="6" count="1" selected="0">
            <x v="38"/>
          </reference>
          <reference field="7" count="1" selected="0">
            <x v="244"/>
          </reference>
          <reference field="8" count="1" selected="0">
            <x v="138"/>
          </reference>
          <reference field="9" count="1">
            <x v="611"/>
          </reference>
        </references>
      </pivotArea>
    </format>
    <format dxfId="311">
      <pivotArea dataOnly="0" labelOnly="1" fieldPosition="0">
        <references count="6">
          <reference field="1" count="1" selected="0">
            <x v="154"/>
          </reference>
          <reference field="5" count="1" selected="0">
            <x v="0"/>
          </reference>
          <reference field="6" count="1" selected="0">
            <x v="38"/>
          </reference>
          <reference field="7" count="1" selected="0">
            <x v="244"/>
          </reference>
          <reference field="8" count="1" selected="0">
            <x v="391"/>
          </reference>
          <reference field="9" count="1">
            <x v="611"/>
          </reference>
        </references>
      </pivotArea>
    </format>
    <format dxfId="310">
      <pivotArea dataOnly="0" labelOnly="1" fieldPosition="0">
        <references count="6">
          <reference field="1" count="1" selected="0">
            <x v="154"/>
          </reference>
          <reference field="5" count="1" selected="0">
            <x v="12"/>
          </reference>
          <reference field="6" count="1" selected="0">
            <x v="1"/>
          </reference>
          <reference field="7" count="1" selected="0">
            <x v="244"/>
          </reference>
          <reference field="8" count="1" selected="0">
            <x v="80"/>
          </reference>
          <reference field="9" count="1">
            <x v="611"/>
          </reference>
        </references>
      </pivotArea>
    </format>
    <format dxfId="309">
      <pivotArea dataOnly="0" labelOnly="1" fieldPosition="0">
        <references count="6">
          <reference field="1" count="1" selected="0">
            <x v="154"/>
          </reference>
          <reference field="5" count="1" selected="0">
            <x v="12"/>
          </reference>
          <reference field="6" count="1" selected="0">
            <x v="1"/>
          </reference>
          <reference field="7" count="1" selected="0">
            <x v="244"/>
          </reference>
          <reference field="8" count="1" selected="0">
            <x v="213"/>
          </reference>
          <reference field="9" count="1">
            <x v="611"/>
          </reference>
        </references>
      </pivotArea>
    </format>
    <format dxfId="308">
      <pivotArea dataOnly="0" labelOnly="1" fieldPosition="0">
        <references count="6">
          <reference field="1" count="1" selected="0">
            <x v="154"/>
          </reference>
          <reference field="5" count="1" selected="0">
            <x v="12"/>
          </reference>
          <reference field="6" count="1" selected="0">
            <x v="1"/>
          </reference>
          <reference field="7" count="1" selected="0">
            <x v="244"/>
          </reference>
          <reference field="8" count="1" selected="0">
            <x v="352"/>
          </reference>
          <reference field="9" count="1">
            <x v="611"/>
          </reference>
        </references>
      </pivotArea>
    </format>
    <format dxfId="307">
      <pivotArea dataOnly="0" labelOnly="1" fieldPosition="0">
        <references count="6">
          <reference field="1" count="1" selected="0">
            <x v="154"/>
          </reference>
          <reference field="5" count="1" selected="0">
            <x v="17"/>
          </reference>
          <reference field="6" count="1" selected="0">
            <x v="38"/>
          </reference>
          <reference field="7" count="1" selected="0">
            <x v="244"/>
          </reference>
          <reference field="8" count="1" selected="0">
            <x v="365"/>
          </reference>
          <reference field="9" count="1">
            <x v="611"/>
          </reference>
        </references>
      </pivotArea>
    </format>
    <format dxfId="306">
      <pivotArea dataOnly="0" labelOnly="1" fieldPosition="0">
        <references count="6">
          <reference field="1" count="1" selected="0">
            <x v="154"/>
          </reference>
          <reference field="5" count="1" selected="0">
            <x v="23"/>
          </reference>
          <reference field="6" count="1" selected="0">
            <x v="38"/>
          </reference>
          <reference field="7" count="1" selected="0">
            <x v="244"/>
          </reference>
          <reference field="8" count="1" selected="0">
            <x v="1603"/>
          </reference>
          <reference field="9" count="1">
            <x v="611"/>
          </reference>
        </references>
      </pivotArea>
    </format>
    <format dxfId="305">
      <pivotArea dataOnly="0" labelOnly="1" fieldPosition="0">
        <references count="6">
          <reference field="1" count="1" selected="0">
            <x v="154"/>
          </reference>
          <reference field="5" count="1" selected="0">
            <x v="33"/>
          </reference>
          <reference field="6" count="1" selected="0">
            <x v="37"/>
          </reference>
          <reference field="7" count="1" selected="0">
            <x v="244"/>
          </reference>
          <reference field="8" count="1" selected="0">
            <x v="897"/>
          </reference>
          <reference field="9" count="1">
            <x v="611"/>
          </reference>
        </references>
      </pivotArea>
    </format>
    <format dxfId="304">
      <pivotArea dataOnly="0" labelOnly="1" fieldPosition="0">
        <references count="6">
          <reference field="1" count="1" selected="0">
            <x v="154"/>
          </reference>
          <reference field="5" count="1" selected="0">
            <x v="33"/>
          </reference>
          <reference field="6" count="1" selected="0">
            <x v="38"/>
          </reference>
          <reference field="7" count="1" selected="0">
            <x v="244"/>
          </reference>
          <reference field="8" count="1" selected="0">
            <x v="401"/>
          </reference>
          <reference field="9" count="1">
            <x v="611"/>
          </reference>
        </references>
      </pivotArea>
    </format>
    <format dxfId="303">
      <pivotArea dataOnly="0" labelOnly="1" fieldPosition="0">
        <references count="6">
          <reference field="1" count="1" selected="0">
            <x v="154"/>
          </reference>
          <reference field="5" count="1" selected="0">
            <x v="35"/>
          </reference>
          <reference field="6" count="1" selected="0">
            <x v="1"/>
          </reference>
          <reference field="7" count="1" selected="0">
            <x v="244"/>
          </reference>
          <reference field="8" count="1" selected="0">
            <x v="80"/>
          </reference>
          <reference field="9" count="1">
            <x v="611"/>
          </reference>
        </references>
      </pivotArea>
    </format>
    <format dxfId="302">
      <pivotArea dataOnly="0" labelOnly="1" fieldPosition="0">
        <references count="6">
          <reference field="1" count="1" selected="0">
            <x v="154"/>
          </reference>
          <reference field="5" count="1" selected="0">
            <x v="35"/>
          </reference>
          <reference field="6" count="1" selected="0">
            <x v="1"/>
          </reference>
          <reference field="7" count="1" selected="0">
            <x v="244"/>
          </reference>
          <reference field="8" count="1" selected="0">
            <x v="213"/>
          </reference>
          <reference field="9" count="1">
            <x v="611"/>
          </reference>
        </references>
      </pivotArea>
    </format>
    <format dxfId="301">
      <pivotArea dataOnly="0" labelOnly="1" fieldPosition="0">
        <references count="6">
          <reference field="1" count="1" selected="0">
            <x v="154"/>
          </reference>
          <reference field="5" count="1" selected="0">
            <x v="35"/>
          </reference>
          <reference field="6" count="1" selected="0">
            <x v="1"/>
          </reference>
          <reference field="7" count="1" selected="0">
            <x v="244"/>
          </reference>
          <reference field="8" count="1" selected="0">
            <x v="352"/>
          </reference>
          <reference field="9" count="1">
            <x v="611"/>
          </reference>
        </references>
      </pivotArea>
    </format>
    <format dxfId="300">
      <pivotArea dataOnly="0" labelOnly="1" fieldPosition="0">
        <references count="6">
          <reference field="1" count="1" selected="0">
            <x v="154"/>
          </reference>
          <reference field="5" count="1" selected="0">
            <x v="36"/>
          </reference>
          <reference field="6" count="1" selected="0">
            <x v="38"/>
          </reference>
          <reference field="7" count="1" selected="0">
            <x v="244"/>
          </reference>
          <reference field="8" count="1" selected="0">
            <x v="214"/>
          </reference>
          <reference field="9" count="1">
            <x v="611"/>
          </reference>
        </references>
      </pivotArea>
    </format>
    <format dxfId="299">
      <pivotArea dataOnly="0" labelOnly="1" fieldPosition="0">
        <references count="6">
          <reference field="1" count="1" selected="0">
            <x v="155"/>
          </reference>
          <reference field="5" count="1" selected="0">
            <x v="0"/>
          </reference>
          <reference field="6" count="1" selected="0">
            <x v="12"/>
          </reference>
          <reference field="7" count="1" selected="0">
            <x v="2"/>
          </reference>
          <reference field="8" count="1" selected="0">
            <x v="12"/>
          </reference>
          <reference field="9" count="1">
            <x v="611"/>
          </reference>
        </references>
      </pivotArea>
    </format>
    <format dxfId="298">
      <pivotArea dataOnly="0" labelOnly="1" fieldPosition="0">
        <references count="6">
          <reference field="1" count="1" selected="0">
            <x v="155"/>
          </reference>
          <reference field="5" count="1" selected="0">
            <x v="0"/>
          </reference>
          <reference field="6" count="1" selected="0">
            <x v="12"/>
          </reference>
          <reference field="7" count="1" selected="0">
            <x v="10"/>
          </reference>
          <reference field="8" count="1" selected="0">
            <x v="119"/>
          </reference>
          <reference field="9" count="1">
            <x v="611"/>
          </reference>
        </references>
      </pivotArea>
    </format>
    <format dxfId="297">
      <pivotArea dataOnly="0" labelOnly="1" fieldPosition="0">
        <references count="6">
          <reference field="1" count="1" selected="0">
            <x v="155"/>
          </reference>
          <reference field="5" count="1" selected="0">
            <x v="0"/>
          </reference>
          <reference field="6" count="1" selected="0">
            <x v="12"/>
          </reference>
          <reference field="7" count="1" selected="0">
            <x v="19"/>
          </reference>
          <reference field="8" count="1" selected="0">
            <x v="35"/>
          </reference>
          <reference field="9" count="1">
            <x v="611"/>
          </reference>
        </references>
      </pivotArea>
    </format>
    <format dxfId="296">
      <pivotArea dataOnly="0" labelOnly="1" fieldPosition="0">
        <references count="6">
          <reference field="1" count="1" selected="0">
            <x v="155"/>
          </reference>
          <reference field="5" count="1" selected="0">
            <x v="0"/>
          </reference>
          <reference field="6" count="1" selected="0">
            <x v="12"/>
          </reference>
          <reference field="7" count="1" selected="0">
            <x v="39"/>
          </reference>
          <reference field="8" count="1" selected="0">
            <x v="180"/>
          </reference>
          <reference field="9" count="1">
            <x v="611"/>
          </reference>
        </references>
      </pivotArea>
    </format>
    <format dxfId="295">
      <pivotArea dataOnly="0" labelOnly="1" fieldPosition="0">
        <references count="6">
          <reference field="1" count="1" selected="0">
            <x v="155"/>
          </reference>
          <reference field="5" count="1" selected="0">
            <x v="0"/>
          </reference>
          <reference field="6" count="1" selected="0">
            <x v="38"/>
          </reference>
          <reference field="7" count="1" selected="0">
            <x v="245"/>
          </reference>
          <reference field="8" count="1" selected="0">
            <x v="1177"/>
          </reference>
          <reference field="9" count="1">
            <x v="611"/>
          </reference>
        </references>
      </pivotArea>
    </format>
    <format dxfId="294">
      <pivotArea dataOnly="0" labelOnly="1" fieldPosition="0">
        <references count="6">
          <reference field="1" count="1" selected="0">
            <x v="155"/>
          </reference>
          <reference field="5" count="1" selected="0">
            <x v="6"/>
          </reference>
          <reference field="6" count="1" selected="0">
            <x v="38"/>
          </reference>
          <reference field="7" count="1" selected="0">
            <x v="245"/>
          </reference>
          <reference field="8" count="1" selected="0">
            <x v="1357"/>
          </reference>
          <reference field="9" count="1">
            <x v="611"/>
          </reference>
        </references>
      </pivotArea>
    </format>
    <format dxfId="293">
      <pivotArea dataOnly="0" labelOnly="1" fieldPosition="0">
        <references count="6">
          <reference field="1" count="1" selected="0">
            <x v="155"/>
          </reference>
          <reference field="5" count="1" selected="0">
            <x v="12"/>
          </reference>
          <reference field="6" count="1" selected="0">
            <x v="1"/>
          </reference>
          <reference field="7" count="1" selected="0">
            <x v="245"/>
          </reference>
          <reference field="8" count="1" selected="0">
            <x v="80"/>
          </reference>
          <reference field="9" count="1">
            <x v="611"/>
          </reference>
        </references>
      </pivotArea>
    </format>
    <format dxfId="292">
      <pivotArea dataOnly="0" labelOnly="1" fieldPosition="0">
        <references count="6">
          <reference field="1" count="1" selected="0">
            <x v="155"/>
          </reference>
          <reference field="5" count="1" selected="0">
            <x v="12"/>
          </reference>
          <reference field="6" count="1" selected="0">
            <x v="1"/>
          </reference>
          <reference field="7" count="1" selected="0">
            <x v="245"/>
          </reference>
          <reference field="8" count="1" selected="0">
            <x v="213"/>
          </reference>
          <reference field="9" count="1">
            <x v="611"/>
          </reference>
        </references>
      </pivotArea>
    </format>
    <format dxfId="291">
      <pivotArea dataOnly="0" labelOnly="1" fieldPosition="0">
        <references count="6">
          <reference field="1" count="1" selected="0">
            <x v="155"/>
          </reference>
          <reference field="5" count="1" selected="0">
            <x v="12"/>
          </reference>
          <reference field="6" count="1" selected="0">
            <x v="1"/>
          </reference>
          <reference field="7" count="1" selected="0">
            <x v="245"/>
          </reference>
          <reference field="8" count="1" selected="0">
            <x v="352"/>
          </reference>
          <reference field="9" count="1">
            <x v="611"/>
          </reference>
        </references>
      </pivotArea>
    </format>
    <format dxfId="290">
      <pivotArea dataOnly="0" labelOnly="1" fieldPosition="0">
        <references count="6">
          <reference field="1" count="1" selected="0">
            <x v="155"/>
          </reference>
          <reference field="5" count="1" selected="0">
            <x v="33"/>
          </reference>
          <reference field="6" count="1" selected="0">
            <x v="38"/>
          </reference>
          <reference field="7" count="1" selected="0">
            <x v="245"/>
          </reference>
          <reference field="8" count="1" selected="0">
            <x v="235"/>
          </reference>
          <reference field="9" count="1">
            <x v="611"/>
          </reference>
        </references>
      </pivotArea>
    </format>
    <format dxfId="289">
      <pivotArea dataOnly="0" labelOnly="1" fieldPosition="0">
        <references count="6">
          <reference field="1" count="1" selected="0">
            <x v="155"/>
          </reference>
          <reference field="5" count="1" selected="0">
            <x v="35"/>
          </reference>
          <reference field="6" count="1" selected="0">
            <x v="1"/>
          </reference>
          <reference field="7" count="1" selected="0">
            <x v="245"/>
          </reference>
          <reference field="8" count="1" selected="0">
            <x v="80"/>
          </reference>
          <reference field="9" count="1">
            <x v="611"/>
          </reference>
        </references>
      </pivotArea>
    </format>
    <format dxfId="288">
      <pivotArea dataOnly="0" labelOnly="1" fieldPosition="0">
        <references count="6">
          <reference field="1" count="1" selected="0">
            <x v="156"/>
          </reference>
          <reference field="5" count="1" selected="0">
            <x v="0"/>
          </reference>
          <reference field="6" count="1" selected="0">
            <x v="12"/>
          </reference>
          <reference field="7" count="1" selected="0">
            <x v="2"/>
          </reference>
          <reference field="8" count="1" selected="0">
            <x v="39"/>
          </reference>
          <reference field="9" count="1">
            <x v="611"/>
          </reference>
        </references>
      </pivotArea>
    </format>
    <format dxfId="287">
      <pivotArea dataOnly="0" labelOnly="1" fieldPosition="0">
        <references count="6">
          <reference field="1" count="1" selected="0">
            <x v="156"/>
          </reference>
          <reference field="5" count="1" selected="0">
            <x v="0"/>
          </reference>
          <reference field="6" count="1" selected="0">
            <x v="12"/>
          </reference>
          <reference field="7" count="1" selected="0">
            <x v="32"/>
          </reference>
          <reference field="8" count="1" selected="0">
            <x v="391"/>
          </reference>
          <reference field="9" count="1">
            <x v="611"/>
          </reference>
        </references>
      </pivotArea>
    </format>
    <format dxfId="286">
      <pivotArea dataOnly="0" labelOnly="1" fieldPosition="0">
        <references count="6">
          <reference field="1" count="1" selected="0">
            <x v="156"/>
          </reference>
          <reference field="5" count="1" selected="0">
            <x v="0"/>
          </reference>
          <reference field="6" count="1" selected="0">
            <x v="12"/>
          </reference>
          <reference field="7" count="1" selected="0">
            <x v="38"/>
          </reference>
          <reference field="8" count="1" selected="0">
            <x v="6"/>
          </reference>
          <reference field="9" count="1">
            <x v="611"/>
          </reference>
        </references>
      </pivotArea>
    </format>
    <format dxfId="285">
      <pivotArea dataOnly="0" labelOnly="1" fieldPosition="0">
        <references count="6">
          <reference field="1" count="1" selected="0">
            <x v="156"/>
          </reference>
          <reference field="5" count="1" selected="0">
            <x v="0"/>
          </reference>
          <reference field="6" count="1" selected="0">
            <x v="38"/>
          </reference>
          <reference field="7" count="1" selected="0">
            <x v="246"/>
          </reference>
          <reference field="8" count="1" selected="0">
            <x v="138"/>
          </reference>
          <reference field="9" count="1">
            <x v="611"/>
          </reference>
        </references>
      </pivotArea>
    </format>
    <format dxfId="284">
      <pivotArea dataOnly="0" labelOnly="1" fieldPosition="0">
        <references count="6">
          <reference field="1" count="1" selected="0">
            <x v="156"/>
          </reference>
          <reference field="5" count="1" selected="0">
            <x v="6"/>
          </reference>
          <reference field="6" count="1" selected="0">
            <x v="38"/>
          </reference>
          <reference field="7" count="1" selected="0">
            <x v="246"/>
          </reference>
          <reference field="8" count="1" selected="0">
            <x v="579"/>
          </reference>
          <reference field="9" count="1">
            <x v="611"/>
          </reference>
        </references>
      </pivotArea>
    </format>
    <format dxfId="283">
      <pivotArea dataOnly="0" labelOnly="1" fieldPosition="0">
        <references count="6">
          <reference field="1" count="1" selected="0">
            <x v="156"/>
          </reference>
          <reference field="5" count="1" selected="0">
            <x v="12"/>
          </reference>
          <reference field="6" count="1" selected="0">
            <x v="1"/>
          </reference>
          <reference field="7" count="1" selected="0">
            <x v="246"/>
          </reference>
          <reference field="8" count="1" selected="0">
            <x v="80"/>
          </reference>
          <reference field="9" count="1">
            <x v="611"/>
          </reference>
        </references>
      </pivotArea>
    </format>
    <format dxfId="282">
      <pivotArea dataOnly="0" labelOnly="1" fieldPosition="0">
        <references count="6">
          <reference field="1" count="1" selected="0">
            <x v="156"/>
          </reference>
          <reference field="5" count="1" selected="0">
            <x v="12"/>
          </reference>
          <reference field="6" count="1" selected="0">
            <x v="1"/>
          </reference>
          <reference field="7" count="1" selected="0">
            <x v="246"/>
          </reference>
          <reference field="8" count="1" selected="0">
            <x v="213"/>
          </reference>
          <reference field="9" count="1">
            <x v="611"/>
          </reference>
        </references>
      </pivotArea>
    </format>
    <format dxfId="281">
      <pivotArea dataOnly="0" labelOnly="1" fieldPosition="0">
        <references count="6">
          <reference field="1" count="1" selected="0">
            <x v="156"/>
          </reference>
          <reference field="5" count="1" selected="0">
            <x v="12"/>
          </reference>
          <reference field="6" count="1" selected="0">
            <x v="1"/>
          </reference>
          <reference field="7" count="1" selected="0">
            <x v="246"/>
          </reference>
          <reference field="8" count="1" selected="0">
            <x v="500"/>
          </reference>
          <reference field="9" count="1">
            <x v="611"/>
          </reference>
        </references>
      </pivotArea>
    </format>
    <format dxfId="280">
      <pivotArea dataOnly="0" labelOnly="1" fieldPosition="0">
        <references count="6">
          <reference field="1" count="1" selected="0">
            <x v="156"/>
          </reference>
          <reference field="5" count="1" selected="0">
            <x v="12"/>
          </reference>
          <reference field="6" count="1" selected="0">
            <x v="1"/>
          </reference>
          <reference field="7" count="1" selected="0">
            <x v="246"/>
          </reference>
          <reference field="8" count="1" selected="0">
            <x v="607"/>
          </reference>
          <reference field="9" count="1">
            <x v="611"/>
          </reference>
        </references>
      </pivotArea>
    </format>
    <format dxfId="279">
      <pivotArea dataOnly="0" labelOnly="1" fieldPosition="0">
        <references count="6">
          <reference field="1" count="1" selected="0">
            <x v="156"/>
          </reference>
          <reference field="5" count="1" selected="0">
            <x v="12"/>
          </reference>
          <reference field="6" count="1" selected="0">
            <x v="38"/>
          </reference>
          <reference field="7" count="1" selected="0">
            <x v="246"/>
          </reference>
          <reference field="8" count="1" selected="0">
            <x v="1271"/>
          </reference>
          <reference field="9" count="1">
            <x v="611"/>
          </reference>
        </references>
      </pivotArea>
    </format>
    <format dxfId="278">
      <pivotArea dataOnly="0" labelOnly="1" fieldPosition="0">
        <references count="6">
          <reference field="1" count="1" selected="0">
            <x v="156"/>
          </reference>
          <reference field="5" count="1" selected="0">
            <x v="12"/>
          </reference>
          <reference field="6" count="1" selected="0">
            <x v="38"/>
          </reference>
          <reference field="7" count="1" selected="0">
            <x v="246"/>
          </reference>
          <reference field="8" count="1" selected="0">
            <x v="1343"/>
          </reference>
          <reference field="9" count="1">
            <x v="611"/>
          </reference>
        </references>
      </pivotArea>
    </format>
    <format dxfId="277">
      <pivotArea dataOnly="0" labelOnly="1" fieldPosition="0">
        <references count="6">
          <reference field="1" count="1" selected="0">
            <x v="156"/>
          </reference>
          <reference field="5" count="1" selected="0">
            <x v="12"/>
          </reference>
          <reference field="6" count="1" selected="0">
            <x v="38"/>
          </reference>
          <reference field="7" count="1" selected="0">
            <x v="246"/>
          </reference>
          <reference field="8" count="1" selected="0">
            <x v="1528"/>
          </reference>
          <reference field="9" count="1">
            <x v="611"/>
          </reference>
        </references>
      </pivotArea>
    </format>
    <format dxfId="276">
      <pivotArea dataOnly="0" labelOnly="1" fieldPosition="0">
        <references count="6">
          <reference field="1" count="1" selected="0">
            <x v="156"/>
          </reference>
          <reference field="5" count="1" selected="0">
            <x v="31"/>
          </reference>
          <reference field="6" count="1" selected="0">
            <x v="6"/>
          </reference>
          <reference field="7" count="1" selected="0">
            <x v="246"/>
          </reference>
          <reference field="8" count="1" selected="0">
            <x v="1793"/>
          </reference>
          <reference field="9" count="1">
            <x v="611"/>
          </reference>
        </references>
      </pivotArea>
    </format>
    <format dxfId="275">
      <pivotArea dataOnly="0" labelOnly="1" fieldPosition="0">
        <references count="6">
          <reference field="1" count="1" selected="0">
            <x v="156"/>
          </reference>
          <reference field="5" count="1" selected="0">
            <x v="35"/>
          </reference>
          <reference field="6" count="1" selected="0">
            <x v="1"/>
          </reference>
          <reference field="7" count="1" selected="0">
            <x v="246"/>
          </reference>
          <reference field="8" count="1" selected="0">
            <x v="80"/>
          </reference>
          <reference field="9" count="1">
            <x v="611"/>
          </reference>
        </references>
      </pivotArea>
    </format>
    <format dxfId="274">
      <pivotArea dataOnly="0" labelOnly="1" fieldPosition="0">
        <references count="6">
          <reference field="1" count="1" selected="0">
            <x v="156"/>
          </reference>
          <reference field="5" count="1" selected="0">
            <x v="36"/>
          </reference>
          <reference field="6" count="1" selected="0">
            <x v="38"/>
          </reference>
          <reference field="7" count="1" selected="0">
            <x v="246"/>
          </reference>
          <reference field="8" count="1" selected="0">
            <x v="214"/>
          </reference>
          <reference field="9" count="1">
            <x v="611"/>
          </reference>
        </references>
      </pivotArea>
    </format>
    <format dxfId="273">
      <pivotArea dataOnly="0" labelOnly="1" fieldPosition="0">
        <references count="6">
          <reference field="1" count="1" selected="0">
            <x v="157"/>
          </reference>
          <reference field="5" count="1" selected="0">
            <x v="0"/>
          </reference>
          <reference field="6" count="1" selected="0">
            <x v="38"/>
          </reference>
          <reference field="7" count="1" selected="0">
            <x v="247"/>
          </reference>
          <reference field="8" count="1" selected="0">
            <x v="138"/>
          </reference>
          <reference field="9" count="1">
            <x v="611"/>
          </reference>
        </references>
      </pivotArea>
    </format>
    <format dxfId="272">
      <pivotArea dataOnly="0" labelOnly="1" fieldPosition="0">
        <references count="6">
          <reference field="1" count="1" selected="0">
            <x v="157"/>
          </reference>
          <reference field="5" count="1" selected="0">
            <x v="0"/>
          </reference>
          <reference field="6" count="1" selected="0">
            <x v="38"/>
          </reference>
          <reference field="7" count="1" selected="0">
            <x v="247"/>
          </reference>
          <reference field="8" count="1" selected="0">
            <x v="524"/>
          </reference>
          <reference field="9" count="1">
            <x v="611"/>
          </reference>
        </references>
      </pivotArea>
    </format>
    <format dxfId="271">
      <pivotArea dataOnly="0" labelOnly="1" fieldPosition="0">
        <references count="6">
          <reference field="1" count="1" selected="0">
            <x v="157"/>
          </reference>
          <reference field="5" count="1" selected="0">
            <x v="2"/>
          </reference>
          <reference field="6" count="1" selected="0">
            <x v="1"/>
          </reference>
          <reference field="7" count="1" selected="0">
            <x v="247"/>
          </reference>
          <reference field="8" count="1" selected="0">
            <x v="1284"/>
          </reference>
          <reference field="9" count="1">
            <x v="611"/>
          </reference>
        </references>
      </pivotArea>
    </format>
    <format dxfId="270">
      <pivotArea dataOnly="0" labelOnly="1" fieldPosition="0">
        <references count="6">
          <reference field="1" count="1" selected="0">
            <x v="157"/>
          </reference>
          <reference field="5" count="1" selected="0">
            <x v="2"/>
          </reference>
          <reference field="6" count="1" selected="0">
            <x v="6"/>
          </reference>
          <reference field="7" count="1" selected="0">
            <x v="247"/>
          </reference>
          <reference field="8" count="1" selected="0">
            <x v="909"/>
          </reference>
          <reference field="9" count="1">
            <x v="611"/>
          </reference>
        </references>
      </pivotArea>
    </format>
    <format dxfId="269">
      <pivotArea dataOnly="0" labelOnly="1" fieldPosition="0">
        <references count="6">
          <reference field="1" count="1" selected="0">
            <x v="157"/>
          </reference>
          <reference field="5" count="1" selected="0">
            <x v="3"/>
          </reference>
          <reference field="6" count="1" selected="0">
            <x v="38"/>
          </reference>
          <reference field="7" count="1" selected="0">
            <x v="247"/>
          </reference>
          <reference field="8" count="1" selected="0">
            <x v="1070"/>
          </reference>
          <reference field="9" count="1">
            <x v="611"/>
          </reference>
        </references>
      </pivotArea>
    </format>
    <format dxfId="268">
      <pivotArea dataOnly="0" labelOnly="1" fieldPosition="0">
        <references count="6">
          <reference field="1" count="1" selected="0">
            <x v="157"/>
          </reference>
          <reference field="5" count="1" selected="0">
            <x v="7"/>
          </reference>
          <reference field="6" count="1" selected="0">
            <x v="38"/>
          </reference>
          <reference field="7" count="1" selected="0">
            <x v="247"/>
          </reference>
          <reference field="8" count="1" selected="0">
            <x v="1770"/>
          </reference>
          <reference field="9" count="1">
            <x v="611"/>
          </reference>
        </references>
      </pivotArea>
    </format>
    <format dxfId="267">
      <pivotArea dataOnly="0" labelOnly="1" fieldPosition="0">
        <references count="6">
          <reference field="1" count="1" selected="0">
            <x v="157"/>
          </reference>
          <reference field="5" count="1" selected="0">
            <x v="12"/>
          </reference>
          <reference field="6" count="1" selected="0">
            <x v="1"/>
          </reference>
          <reference field="7" count="1" selected="0">
            <x v="247"/>
          </reference>
          <reference field="8" count="1" selected="0">
            <x v="80"/>
          </reference>
          <reference field="9" count="1">
            <x v="611"/>
          </reference>
        </references>
      </pivotArea>
    </format>
    <format dxfId="266">
      <pivotArea dataOnly="0" labelOnly="1" fieldPosition="0">
        <references count="6">
          <reference field="1" count="1" selected="0">
            <x v="157"/>
          </reference>
          <reference field="5" count="1" selected="0">
            <x v="12"/>
          </reference>
          <reference field="6" count="1" selected="0">
            <x v="1"/>
          </reference>
          <reference field="7" count="1" selected="0">
            <x v="247"/>
          </reference>
          <reference field="8" count="1" selected="0">
            <x v="213"/>
          </reference>
          <reference field="9" count="1">
            <x v="611"/>
          </reference>
        </references>
      </pivotArea>
    </format>
    <format dxfId="265">
      <pivotArea dataOnly="0" labelOnly="1" fieldPosition="0">
        <references count="6">
          <reference field="1" count="1" selected="0">
            <x v="157"/>
          </reference>
          <reference field="5" count="1" selected="0">
            <x v="12"/>
          </reference>
          <reference field="6" count="1" selected="0">
            <x v="1"/>
          </reference>
          <reference field="7" count="1" selected="0">
            <x v="247"/>
          </reference>
          <reference field="8" count="1" selected="0">
            <x v="352"/>
          </reference>
          <reference field="9" count="1">
            <x v="611"/>
          </reference>
        </references>
      </pivotArea>
    </format>
    <format dxfId="264">
      <pivotArea dataOnly="0" labelOnly="1" fieldPosition="0">
        <references count="6">
          <reference field="1" count="1" selected="0">
            <x v="157"/>
          </reference>
          <reference field="5" count="1" selected="0">
            <x v="12"/>
          </reference>
          <reference field="6" count="1" selected="0">
            <x v="1"/>
          </reference>
          <reference field="7" count="1" selected="0">
            <x v="247"/>
          </reference>
          <reference field="8" count="1" selected="0">
            <x v="771"/>
          </reference>
          <reference field="9" count="1">
            <x v="611"/>
          </reference>
        </references>
      </pivotArea>
    </format>
    <format dxfId="263">
      <pivotArea dataOnly="0" labelOnly="1" fieldPosition="0">
        <references count="6">
          <reference field="1" count="1" selected="0">
            <x v="157"/>
          </reference>
          <reference field="5" count="1" selected="0">
            <x v="12"/>
          </reference>
          <reference field="6" count="1" selected="0">
            <x v="1"/>
          </reference>
          <reference field="7" count="1" selected="0">
            <x v="247"/>
          </reference>
          <reference field="8" count="1" selected="0">
            <x v="964"/>
          </reference>
          <reference field="9" count="1">
            <x v="611"/>
          </reference>
        </references>
      </pivotArea>
    </format>
    <format dxfId="262">
      <pivotArea dataOnly="0" labelOnly="1" fieldPosition="0">
        <references count="6">
          <reference field="1" count="1" selected="0">
            <x v="157"/>
          </reference>
          <reference field="5" count="1" selected="0">
            <x v="17"/>
          </reference>
          <reference field="6" count="1" selected="0">
            <x v="38"/>
          </reference>
          <reference field="7" count="1" selected="0">
            <x v="247"/>
          </reference>
          <reference field="8" count="1" selected="0">
            <x v="1708"/>
          </reference>
          <reference field="9" count="1">
            <x v="611"/>
          </reference>
        </references>
      </pivotArea>
    </format>
    <format dxfId="261">
      <pivotArea dataOnly="0" labelOnly="1" fieldPosition="0">
        <references count="6">
          <reference field="1" count="1" selected="0">
            <x v="157"/>
          </reference>
          <reference field="5" count="1" selected="0">
            <x v="35"/>
          </reference>
          <reference field="6" count="1" selected="0">
            <x v="1"/>
          </reference>
          <reference field="7" count="1" selected="0">
            <x v="247"/>
          </reference>
          <reference field="8" count="1" selected="0">
            <x v="80"/>
          </reference>
          <reference field="9" count="1">
            <x v="611"/>
          </reference>
        </references>
      </pivotArea>
    </format>
    <format dxfId="260">
      <pivotArea dataOnly="0" labelOnly="1" fieldPosition="0">
        <references count="6">
          <reference field="1" count="1" selected="0">
            <x v="158"/>
          </reference>
          <reference field="5" count="1" selected="0">
            <x v="0"/>
          </reference>
          <reference field="6" count="1" selected="0">
            <x v="12"/>
          </reference>
          <reference field="7" count="1" selected="0">
            <x v="52"/>
          </reference>
          <reference field="8" count="1" selected="0">
            <x v="9"/>
          </reference>
          <reference field="9" count="1">
            <x v="611"/>
          </reference>
        </references>
      </pivotArea>
    </format>
    <format dxfId="259">
      <pivotArea dataOnly="0" labelOnly="1" fieldPosition="0">
        <references count="6">
          <reference field="1" count="1" selected="0">
            <x v="158"/>
          </reference>
          <reference field="5" count="1" selected="0">
            <x v="0"/>
          </reference>
          <reference field="6" count="1" selected="0">
            <x v="12"/>
          </reference>
          <reference field="7" count="1" selected="0">
            <x v="57"/>
          </reference>
          <reference field="8" count="1" selected="0">
            <x v="6"/>
          </reference>
          <reference field="9" count="1">
            <x v="611"/>
          </reference>
        </references>
      </pivotArea>
    </format>
    <format dxfId="258">
      <pivotArea dataOnly="0" labelOnly="1" fieldPosition="0">
        <references count="6">
          <reference field="1" count="1" selected="0">
            <x v="158"/>
          </reference>
          <reference field="5" count="1" selected="0">
            <x v="5"/>
          </reference>
          <reference field="6" count="1" selected="0">
            <x v="10"/>
          </reference>
          <reference field="7" count="1" selected="0">
            <x v="248"/>
          </reference>
          <reference field="8" count="1" selected="0">
            <x v="1336"/>
          </reference>
          <reference field="9" count="1">
            <x v="611"/>
          </reference>
        </references>
      </pivotArea>
    </format>
    <format dxfId="257">
      <pivotArea dataOnly="0" labelOnly="1" fieldPosition="0">
        <references count="6">
          <reference field="1" count="1" selected="0">
            <x v="158"/>
          </reference>
          <reference field="5" count="1" selected="0">
            <x v="9"/>
          </reference>
          <reference field="6" count="1" selected="0">
            <x v="10"/>
          </reference>
          <reference field="7" count="1" selected="0">
            <x v="248"/>
          </reference>
          <reference field="8" count="1" selected="0">
            <x v="176"/>
          </reference>
          <reference field="9" count="1">
            <x v="611"/>
          </reference>
        </references>
      </pivotArea>
    </format>
    <format dxfId="256">
      <pivotArea dataOnly="0" labelOnly="1" fieldPosition="0">
        <references count="6">
          <reference field="1" count="1" selected="0">
            <x v="158"/>
          </reference>
          <reference field="5" count="1" selected="0">
            <x v="12"/>
          </reference>
          <reference field="6" count="1" selected="0">
            <x v="1"/>
          </reference>
          <reference field="7" count="1" selected="0">
            <x v="248"/>
          </reference>
          <reference field="8" count="1" selected="0">
            <x v="213"/>
          </reference>
          <reference field="9" count="1">
            <x v="611"/>
          </reference>
        </references>
      </pivotArea>
    </format>
    <format dxfId="255">
      <pivotArea dataOnly="0" labelOnly="1" fieldPosition="0">
        <references count="6">
          <reference field="1" count="1" selected="0">
            <x v="158"/>
          </reference>
          <reference field="5" count="1" selected="0">
            <x v="12"/>
          </reference>
          <reference field="6" count="1" selected="0">
            <x v="1"/>
          </reference>
          <reference field="7" count="1" selected="0">
            <x v="248"/>
          </reference>
          <reference field="8" count="1" selected="0">
            <x v="352"/>
          </reference>
          <reference field="9" count="1">
            <x v="611"/>
          </reference>
        </references>
      </pivotArea>
    </format>
    <format dxfId="254">
      <pivotArea dataOnly="0" labelOnly="1" fieldPosition="0">
        <references count="6">
          <reference field="1" count="1" selected="0">
            <x v="158"/>
          </reference>
          <reference field="5" count="1" selected="0">
            <x v="12"/>
          </reference>
          <reference field="6" count="1" selected="0">
            <x v="1"/>
          </reference>
          <reference field="7" count="1" selected="0">
            <x v="248"/>
          </reference>
          <reference field="8" count="1" selected="0">
            <x v="500"/>
          </reference>
          <reference field="9" count="1">
            <x v="611"/>
          </reference>
        </references>
      </pivotArea>
    </format>
    <format dxfId="253">
      <pivotArea dataOnly="0" labelOnly="1" fieldPosition="0">
        <references count="6">
          <reference field="1" count="1" selected="0">
            <x v="158"/>
          </reference>
          <reference field="5" count="1" selected="0">
            <x v="12"/>
          </reference>
          <reference field="6" count="1" selected="0">
            <x v="1"/>
          </reference>
          <reference field="7" count="1" selected="0">
            <x v="248"/>
          </reference>
          <reference field="8" count="1" selected="0">
            <x v="607"/>
          </reference>
          <reference field="9" count="1">
            <x v="611"/>
          </reference>
        </references>
      </pivotArea>
    </format>
    <format dxfId="252">
      <pivotArea dataOnly="0" labelOnly="1" fieldPosition="0">
        <references count="6">
          <reference field="1" count="1" selected="0">
            <x v="158"/>
          </reference>
          <reference field="5" count="1" selected="0">
            <x v="12"/>
          </reference>
          <reference field="6" count="1" selected="0">
            <x v="1"/>
          </reference>
          <reference field="7" count="1" selected="0">
            <x v="248"/>
          </reference>
          <reference field="8" count="1" selected="0">
            <x v="702"/>
          </reference>
          <reference field="9" count="1">
            <x v="611"/>
          </reference>
        </references>
      </pivotArea>
    </format>
    <format dxfId="251">
      <pivotArea dataOnly="0" labelOnly="1" fieldPosition="0">
        <references count="6">
          <reference field="1" count="1" selected="0">
            <x v="158"/>
          </reference>
          <reference field="5" count="1" selected="0">
            <x v="12"/>
          </reference>
          <reference field="6" count="1" selected="0">
            <x v="1"/>
          </reference>
          <reference field="7" count="1" selected="0">
            <x v="248"/>
          </reference>
          <reference field="8" count="1" selected="0">
            <x v="771"/>
          </reference>
          <reference field="9" count="1">
            <x v="611"/>
          </reference>
        </references>
      </pivotArea>
    </format>
    <format dxfId="250">
      <pivotArea dataOnly="0" labelOnly="1" fieldPosition="0">
        <references count="6">
          <reference field="1" count="1" selected="0">
            <x v="158"/>
          </reference>
          <reference field="5" count="1" selected="0">
            <x v="15"/>
          </reference>
          <reference field="6" count="1" selected="0">
            <x v="10"/>
          </reference>
          <reference field="7" count="1" selected="0">
            <x v="248"/>
          </reference>
          <reference field="8" count="1" selected="0">
            <x v="1807"/>
          </reference>
          <reference field="9" count="1">
            <x v="611"/>
          </reference>
        </references>
      </pivotArea>
    </format>
    <format dxfId="249">
      <pivotArea dataOnly="0" labelOnly="1" fieldPosition="0">
        <references count="6">
          <reference field="1" count="1" selected="0">
            <x v="158"/>
          </reference>
          <reference field="5" count="1" selected="0">
            <x v="15"/>
          </reference>
          <reference field="6" count="1" selected="0">
            <x v="38"/>
          </reference>
          <reference field="7" count="1" selected="0">
            <x v="248"/>
          </reference>
          <reference field="8" count="1" selected="0">
            <x v="607"/>
          </reference>
          <reference field="9" count="1">
            <x v="611"/>
          </reference>
        </references>
      </pivotArea>
    </format>
    <format dxfId="248">
      <pivotArea dataOnly="0" labelOnly="1" fieldPosition="0">
        <references count="6">
          <reference field="1" count="1" selected="0">
            <x v="158"/>
          </reference>
          <reference field="5" count="1" selected="0">
            <x v="19"/>
          </reference>
          <reference field="6" count="1" selected="0">
            <x v="6"/>
          </reference>
          <reference field="7" count="1" selected="0">
            <x v="248"/>
          </reference>
          <reference field="8" count="1" selected="0">
            <x v="902"/>
          </reference>
          <reference field="9" count="1">
            <x v="611"/>
          </reference>
        </references>
      </pivotArea>
    </format>
    <format dxfId="247">
      <pivotArea dataOnly="0" labelOnly="1" fieldPosition="0">
        <references count="6">
          <reference field="1" count="1" selected="0">
            <x v="158"/>
          </reference>
          <reference field="5" count="1" selected="0">
            <x v="23"/>
          </reference>
          <reference field="6" count="1" selected="0">
            <x v="1"/>
          </reference>
          <reference field="7" count="1" selected="0">
            <x v="248"/>
          </reference>
          <reference field="8" count="1" selected="0">
            <x v="718"/>
          </reference>
          <reference field="9" count="1">
            <x v="611"/>
          </reference>
        </references>
      </pivotArea>
    </format>
    <format dxfId="246">
      <pivotArea dataOnly="0" labelOnly="1" fieldPosition="0">
        <references count="6">
          <reference field="1" count="1" selected="0">
            <x v="158"/>
          </reference>
          <reference field="5" count="1" selected="0">
            <x v="24"/>
          </reference>
          <reference field="6" count="1" selected="0">
            <x v="6"/>
          </reference>
          <reference field="7" count="1" selected="0">
            <x v="248"/>
          </reference>
          <reference field="8" count="1" selected="0">
            <x v="1268"/>
          </reference>
          <reference field="9" count="1">
            <x v="611"/>
          </reference>
        </references>
      </pivotArea>
    </format>
    <format dxfId="245">
      <pivotArea dataOnly="0" labelOnly="1" fieldPosition="0">
        <references count="6">
          <reference field="1" count="1" selected="0">
            <x v="158"/>
          </reference>
          <reference field="5" count="1" selected="0">
            <x v="35"/>
          </reference>
          <reference field="6" count="1" selected="0">
            <x v="1"/>
          </reference>
          <reference field="7" count="1" selected="0">
            <x v="248"/>
          </reference>
          <reference field="8" count="1" selected="0">
            <x v="80"/>
          </reference>
          <reference field="9" count="1">
            <x v="611"/>
          </reference>
        </references>
      </pivotArea>
    </format>
    <format dxfId="244">
      <pivotArea dataOnly="0" labelOnly="1" fieldPosition="0">
        <references count="6">
          <reference field="1" count="1" selected="0">
            <x v="159"/>
          </reference>
          <reference field="5" count="1" selected="0">
            <x v="0"/>
          </reference>
          <reference field="6" count="1" selected="0">
            <x v="6"/>
          </reference>
          <reference field="7" count="1" selected="0">
            <x v="250"/>
          </reference>
          <reference field="8" count="1" selected="0">
            <x v="469"/>
          </reference>
          <reference field="9" count="1">
            <x v="611"/>
          </reference>
        </references>
      </pivotArea>
    </format>
    <format dxfId="243">
      <pivotArea dataOnly="0" labelOnly="1" fieldPosition="0">
        <references count="6">
          <reference field="1" count="1" selected="0">
            <x v="159"/>
          </reference>
          <reference field="5" count="1" selected="0">
            <x v="0"/>
          </reference>
          <reference field="6" count="1" selected="0">
            <x v="6"/>
          </reference>
          <reference field="7" count="1" selected="0">
            <x v="250"/>
          </reference>
          <reference field="8" count="1" selected="0">
            <x v="1345"/>
          </reference>
          <reference field="9" count="1">
            <x v="611"/>
          </reference>
        </references>
      </pivotArea>
    </format>
    <format dxfId="242">
      <pivotArea dataOnly="0" labelOnly="1" fieldPosition="0">
        <references count="6">
          <reference field="1" count="1" selected="0">
            <x v="159"/>
          </reference>
          <reference field="5" count="1" selected="0">
            <x v="0"/>
          </reference>
          <reference field="6" count="1" selected="0">
            <x v="9"/>
          </reference>
          <reference field="7" count="1" selected="0">
            <x v="250"/>
          </reference>
          <reference field="8" count="1" selected="0">
            <x v="605"/>
          </reference>
          <reference field="9" count="1">
            <x v="611"/>
          </reference>
        </references>
      </pivotArea>
    </format>
    <format dxfId="241">
      <pivotArea dataOnly="0" labelOnly="1" fieldPosition="0">
        <references count="6">
          <reference field="1" count="1" selected="0">
            <x v="159"/>
          </reference>
          <reference field="5" count="1" selected="0">
            <x v="0"/>
          </reference>
          <reference field="6" count="1" selected="0">
            <x v="9"/>
          </reference>
          <reference field="7" count="1" selected="0">
            <x v="250"/>
          </reference>
          <reference field="8" count="1" selected="0">
            <x v="909"/>
          </reference>
          <reference field="9" count="1">
            <x v="611"/>
          </reference>
        </references>
      </pivotArea>
    </format>
    <format dxfId="240">
      <pivotArea dataOnly="0" labelOnly="1" fieldPosition="0">
        <references count="6">
          <reference field="1" count="1" selected="0">
            <x v="159"/>
          </reference>
          <reference field="5" count="1" selected="0">
            <x v="0"/>
          </reference>
          <reference field="6" count="1" selected="0">
            <x v="12"/>
          </reference>
          <reference field="7" count="1" selected="0">
            <x v="64"/>
          </reference>
          <reference field="8" count="1" selected="0">
            <x v="69"/>
          </reference>
          <reference field="9" count="1">
            <x v="611"/>
          </reference>
        </references>
      </pivotArea>
    </format>
    <format dxfId="239">
      <pivotArea dataOnly="0" labelOnly="1" fieldPosition="0">
        <references count="6">
          <reference field="1" count="1" selected="0">
            <x v="159"/>
          </reference>
          <reference field="5" count="1" selected="0">
            <x v="12"/>
          </reference>
          <reference field="6" count="1" selected="0">
            <x v="1"/>
          </reference>
          <reference field="7" count="1" selected="0">
            <x v="250"/>
          </reference>
          <reference field="8" count="1" selected="0">
            <x v="80"/>
          </reference>
          <reference field="9" count="1">
            <x v="611"/>
          </reference>
        </references>
      </pivotArea>
    </format>
    <format dxfId="238">
      <pivotArea dataOnly="0" labelOnly="1" fieldPosition="0">
        <references count="6">
          <reference field="1" count="1" selected="0">
            <x v="159"/>
          </reference>
          <reference field="5" count="1" selected="0">
            <x v="12"/>
          </reference>
          <reference field="6" count="1" selected="0">
            <x v="1"/>
          </reference>
          <reference field="7" count="1" selected="0">
            <x v="250"/>
          </reference>
          <reference field="8" count="1" selected="0">
            <x v="213"/>
          </reference>
          <reference field="9" count="1">
            <x v="611"/>
          </reference>
        </references>
      </pivotArea>
    </format>
    <format dxfId="237">
      <pivotArea dataOnly="0" labelOnly="1" fieldPosition="0">
        <references count="6">
          <reference field="1" count="1" selected="0">
            <x v="159"/>
          </reference>
          <reference field="5" count="1" selected="0">
            <x v="12"/>
          </reference>
          <reference field="6" count="1" selected="0">
            <x v="1"/>
          </reference>
          <reference field="7" count="1" selected="0">
            <x v="250"/>
          </reference>
          <reference field="8" count="1" selected="0">
            <x v="500"/>
          </reference>
          <reference field="9" count="1">
            <x v="611"/>
          </reference>
        </references>
      </pivotArea>
    </format>
    <format dxfId="236">
      <pivotArea dataOnly="0" labelOnly="1" fieldPosition="0">
        <references count="6">
          <reference field="1" count="1" selected="0">
            <x v="159"/>
          </reference>
          <reference field="5" count="1" selected="0">
            <x v="12"/>
          </reference>
          <reference field="6" count="1" selected="0">
            <x v="1"/>
          </reference>
          <reference field="7" count="1" selected="0">
            <x v="250"/>
          </reference>
          <reference field="8" count="1" selected="0">
            <x v="771"/>
          </reference>
          <reference field="9" count="1">
            <x v="611"/>
          </reference>
        </references>
      </pivotArea>
    </format>
    <format dxfId="235">
      <pivotArea dataOnly="0" labelOnly="1" fieldPosition="0">
        <references count="6">
          <reference field="1" count="1" selected="0">
            <x v="159"/>
          </reference>
          <reference field="5" count="1" selected="0">
            <x v="12"/>
          </reference>
          <reference field="6" count="1" selected="0">
            <x v="8"/>
          </reference>
          <reference field="7" count="1" selected="0">
            <x v="250"/>
          </reference>
          <reference field="8" count="1" selected="0">
            <x v="0"/>
          </reference>
          <reference field="9" count="1">
            <x v="599"/>
          </reference>
        </references>
      </pivotArea>
    </format>
    <format dxfId="234">
      <pivotArea dataOnly="0" labelOnly="1" fieldPosition="0">
        <references count="6">
          <reference field="1" count="1" selected="0">
            <x v="159"/>
          </reference>
          <reference field="5" count="1" selected="0">
            <x v="12"/>
          </reference>
          <reference field="6" count="1" selected="0">
            <x v="29"/>
          </reference>
          <reference field="7" count="1" selected="0">
            <x v="249"/>
          </reference>
          <reference field="8" count="1" selected="0">
            <x v="221"/>
          </reference>
          <reference field="9" count="1">
            <x v="611"/>
          </reference>
        </references>
      </pivotArea>
    </format>
    <format dxfId="233">
      <pivotArea dataOnly="0" labelOnly="1" fieldPosition="0">
        <references count="6">
          <reference field="1" count="1" selected="0">
            <x v="159"/>
          </reference>
          <reference field="5" count="1" selected="0">
            <x v="15"/>
          </reference>
          <reference field="6" count="1" selected="0">
            <x v="10"/>
          </reference>
          <reference field="7" count="1" selected="0">
            <x v="250"/>
          </reference>
          <reference field="8" count="1" selected="0">
            <x v="1402"/>
          </reference>
          <reference field="9" count="1">
            <x v="611"/>
          </reference>
        </references>
      </pivotArea>
    </format>
    <format dxfId="232">
      <pivotArea dataOnly="0" labelOnly="1" fieldPosition="0">
        <references count="6">
          <reference field="1" count="1" selected="0">
            <x v="159"/>
          </reference>
          <reference field="5" count="1" selected="0">
            <x v="19"/>
          </reference>
          <reference field="6" count="1" selected="0">
            <x v="6"/>
          </reference>
          <reference field="7" count="1" selected="0">
            <x v="250"/>
          </reference>
          <reference field="8" count="1" selected="0">
            <x v="840"/>
          </reference>
          <reference field="9" count="1">
            <x v="611"/>
          </reference>
        </references>
      </pivotArea>
    </format>
    <format dxfId="231">
      <pivotArea dataOnly="0" labelOnly="1" fieldPosition="0">
        <references count="6">
          <reference field="1" count="1" selected="0">
            <x v="159"/>
          </reference>
          <reference field="5" count="1" selected="0">
            <x v="33"/>
          </reference>
          <reference field="6" count="1" selected="0">
            <x v="6"/>
          </reference>
          <reference field="7" count="1" selected="0">
            <x v="250"/>
          </reference>
          <reference field="8" count="1" selected="0">
            <x v="469"/>
          </reference>
          <reference field="9" count="1">
            <x v="611"/>
          </reference>
        </references>
      </pivotArea>
    </format>
    <format dxfId="230">
      <pivotArea dataOnly="0" labelOnly="1" fieldPosition="0">
        <references count="6">
          <reference field="1" count="1" selected="0">
            <x v="159"/>
          </reference>
          <reference field="5" count="1" selected="0">
            <x v="33"/>
          </reference>
          <reference field="6" count="1" selected="0">
            <x v="38"/>
          </reference>
          <reference field="7" count="1" selected="0">
            <x v="250"/>
          </reference>
          <reference field="8" count="1" selected="0">
            <x v="82"/>
          </reference>
          <reference field="9" count="1">
            <x v="611"/>
          </reference>
        </references>
      </pivotArea>
    </format>
    <format dxfId="229">
      <pivotArea dataOnly="0" labelOnly="1" fieldPosition="0">
        <references count="6">
          <reference field="1" count="1" selected="0">
            <x v="159"/>
          </reference>
          <reference field="5" count="1" selected="0">
            <x v="35"/>
          </reference>
          <reference field="6" count="1" selected="0">
            <x v="1"/>
          </reference>
          <reference field="7" count="1" selected="0">
            <x v="250"/>
          </reference>
          <reference field="8" count="1" selected="0">
            <x v="80"/>
          </reference>
          <reference field="9" count="1">
            <x v="611"/>
          </reference>
        </references>
      </pivotArea>
    </format>
    <format dxfId="228">
      <pivotArea dataOnly="0" labelOnly="1" fieldPosition="0">
        <references count="6">
          <reference field="1" count="1" selected="0">
            <x v="159"/>
          </reference>
          <reference field="5" count="1" selected="0">
            <x v="35"/>
          </reference>
          <reference field="6" count="1" selected="0">
            <x v="1"/>
          </reference>
          <reference field="7" count="1" selected="0">
            <x v="250"/>
          </reference>
          <reference field="8" count="1" selected="0">
            <x v="213"/>
          </reference>
          <reference field="9" count="1">
            <x v="611"/>
          </reference>
        </references>
      </pivotArea>
    </format>
    <format dxfId="227">
      <pivotArea dataOnly="0" labelOnly="1" fieldPosition="0">
        <references count="6">
          <reference field="1" count="1" selected="0">
            <x v="159"/>
          </reference>
          <reference field="5" count="1" selected="0">
            <x v="37"/>
          </reference>
          <reference field="6" count="1" selected="0">
            <x v="38"/>
          </reference>
          <reference field="7" count="1" selected="0">
            <x v="250"/>
          </reference>
          <reference field="8" count="1" selected="0">
            <x v="256"/>
          </reference>
          <reference field="9" count="1">
            <x v="611"/>
          </reference>
        </references>
      </pivotArea>
    </format>
    <format dxfId="226">
      <pivotArea dataOnly="0" labelOnly="1" fieldPosition="0">
        <references count="6">
          <reference field="1" count="1" selected="0">
            <x v="160"/>
          </reference>
          <reference field="5" count="1" selected="0">
            <x v="0"/>
          </reference>
          <reference field="6" count="1" selected="0">
            <x v="38"/>
          </reference>
          <reference field="7" count="1" selected="0">
            <x v="251"/>
          </reference>
          <reference field="8" count="1" selected="0">
            <x v="607"/>
          </reference>
          <reference field="9" count="1">
            <x v="611"/>
          </reference>
        </references>
      </pivotArea>
    </format>
    <format dxfId="225">
      <pivotArea dataOnly="0" labelOnly="1" fieldPosition="0">
        <references count="6">
          <reference field="1" count="1" selected="0">
            <x v="160"/>
          </reference>
          <reference field="5" count="1" selected="0">
            <x v="12"/>
          </reference>
          <reference field="6" count="1" selected="0">
            <x v="1"/>
          </reference>
          <reference field="7" count="1" selected="0">
            <x v="251"/>
          </reference>
          <reference field="8" count="1" selected="0">
            <x v="80"/>
          </reference>
          <reference field="9" count="1">
            <x v="611"/>
          </reference>
        </references>
      </pivotArea>
    </format>
    <format dxfId="224">
      <pivotArea dataOnly="0" labelOnly="1" fieldPosition="0">
        <references count="6">
          <reference field="1" count="1" selected="0">
            <x v="160"/>
          </reference>
          <reference field="5" count="1" selected="0">
            <x v="12"/>
          </reference>
          <reference field="6" count="1" selected="0">
            <x v="1"/>
          </reference>
          <reference field="7" count="1" selected="0">
            <x v="251"/>
          </reference>
          <reference field="8" count="1" selected="0">
            <x v="213"/>
          </reference>
          <reference field="9" count="1">
            <x v="611"/>
          </reference>
        </references>
      </pivotArea>
    </format>
    <format dxfId="223">
      <pivotArea dataOnly="0" labelOnly="1" fieldPosition="0">
        <references count="6">
          <reference field="1" count="1" selected="0">
            <x v="160"/>
          </reference>
          <reference field="5" count="1" selected="0">
            <x v="12"/>
          </reference>
          <reference field="6" count="1" selected="0">
            <x v="1"/>
          </reference>
          <reference field="7" count="1" selected="0">
            <x v="251"/>
          </reference>
          <reference field="8" count="1" selected="0">
            <x v="352"/>
          </reference>
          <reference field="9" count="1">
            <x v="611"/>
          </reference>
        </references>
      </pivotArea>
    </format>
    <format dxfId="222">
      <pivotArea dataOnly="0" labelOnly="1" fieldPosition="0">
        <references count="6">
          <reference field="1" count="1" selected="0">
            <x v="160"/>
          </reference>
          <reference field="5" count="1" selected="0">
            <x v="12"/>
          </reference>
          <reference field="6" count="1" selected="0">
            <x v="1"/>
          </reference>
          <reference field="7" count="1" selected="0">
            <x v="251"/>
          </reference>
          <reference field="8" count="1" selected="0">
            <x v="500"/>
          </reference>
          <reference field="9" count="1">
            <x v="611"/>
          </reference>
        </references>
      </pivotArea>
    </format>
    <format dxfId="221">
      <pivotArea dataOnly="0" labelOnly="1" fieldPosition="0">
        <references count="6">
          <reference field="1" count="1" selected="0">
            <x v="160"/>
          </reference>
          <reference field="5" count="1" selected="0">
            <x v="15"/>
          </reference>
          <reference field="6" count="1" selected="0">
            <x v="38"/>
          </reference>
          <reference field="7" count="1" selected="0">
            <x v="251"/>
          </reference>
          <reference field="8" count="1" selected="0">
            <x v="213"/>
          </reference>
          <reference field="9" count="1">
            <x v="611"/>
          </reference>
        </references>
      </pivotArea>
    </format>
    <format dxfId="220">
      <pivotArea dataOnly="0" labelOnly="1" fieldPosition="0">
        <references count="6">
          <reference field="1" count="1" selected="0">
            <x v="160"/>
          </reference>
          <reference field="5" count="1" selected="0">
            <x v="23"/>
          </reference>
          <reference field="6" count="1" selected="0">
            <x v="38"/>
          </reference>
          <reference field="7" count="1" selected="0">
            <x v="251"/>
          </reference>
          <reference field="8" count="1" selected="0">
            <x v="972"/>
          </reference>
          <reference field="9" count="1">
            <x v="611"/>
          </reference>
        </references>
      </pivotArea>
    </format>
    <format dxfId="219">
      <pivotArea dataOnly="0" labelOnly="1" fieldPosition="0">
        <references count="6">
          <reference field="1" count="1" selected="0">
            <x v="160"/>
          </reference>
          <reference field="5" count="1" selected="0">
            <x v="35"/>
          </reference>
          <reference field="6" count="1" selected="0">
            <x v="1"/>
          </reference>
          <reference field="7" count="1" selected="0">
            <x v="251"/>
          </reference>
          <reference field="8" count="1" selected="0">
            <x v="80"/>
          </reference>
          <reference field="9" count="1">
            <x v="611"/>
          </reference>
        </references>
      </pivotArea>
    </format>
    <format dxfId="218">
      <pivotArea dataOnly="0" labelOnly="1" fieldPosition="0">
        <references count="6">
          <reference field="1" count="1" selected="0">
            <x v="161"/>
          </reference>
          <reference field="5" count="1" selected="0">
            <x v="0"/>
          </reference>
          <reference field="6" count="1" selected="0">
            <x v="12"/>
          </reference>
          <reference field="7" count="1" selected="0">
            <x v="12"/>
          </reference>
          <reference field="8" count="1" selected="0">
            <x v="199"/>
          </reference>
          <reference field="9" count="1">
            <x v="611"/>
          </reference>
        </references>
      </pivotArea>
    </format>
    <format dxfId="217">
      <pivotArea dataOnly="0" labelOnly="1" fieldPosition="0">
        <references count="6">
          <reference field="1" count="1" selected="0">
            <x v="161"/>
          </reference>
          <reference field="5" count="1" selected="0">
            <x v="0"/>
          </reference>
          <reference field="6" count="1" selected="0">
            <x v="12"/>
          </reference>
          <reference field="7" count="1" selected="0">
            <x v="20"/>
          </reference>
          <reference field="8" count="1" selected="0">
            <x v="733"/>
          </reference>
          <reference field="9" count="1">
            <x v="611"/>
          </reference>
        </references>
      </pivotArea>
    </format>
    <format dxfId="216">
      <pivotArea dataOnly="0" labelOnly="1" fieldPosition="0">
        <references count="6">
          <reference field="1" count="1" selected="0">
            <x v="161"/>
          </reference>
          <reference field="5" count="1" selected="0">
            <x v="0"/>
          </reference>
          <reference field="6" count="1" selected="0">
            <x v="12"/>
          </reference>
          <reference field="7" count="1" selected="0">
            <x v="30"/>
          </reference>
          <reference field="8" count="1" selected="0">
            <x v="6"/>
          </reference>
          <reference field="9" count="1">
            <x v="611"/>
          </reference>
        </references>
      </pivotArea>
    </format>
    <format dxfId="215">
      <pivotArea dataOnly="0" labelOnly="1" fieldPosition="0">
        <references count="6">
          <reference field="1" count="1" selected="0">
            <x v="161"/>
          </reference>
          <reference field="5" count="1" selected="0">
            <x v="0"/>
          </reference>
          <reference field="6" count="1" selected="0">
            <x v="12"/>
          </reference>
          <reference field="7" count="1" selected="0">
            <x v="58"/>
          </reference>
          <reference field="8" count="1" selected="0">
            <x v="6"/>
          </reference>
          <reference field="9" count="1">
            <x v="611"/>
          </reference>
        </references>
      </pivotArea>
    </format>
    <format dxfId="214">
      <pivotArea dataOnly="0" labelOnly="1" fieldPosition="0">
        <references count="6">
          <reference field="1" count="1" selected="0">
            <x v="161"/>
          </reference>
          <reference field="5" count="1" selected="0">
            <x v="12"/>
          </reference>
          <reference field="6" count="1" selected="0">
            <x v="1"/>
          </reference>
          <reference field="7" count="1" selected="0">
            <x v="252"/>
          </reference>
          <reference field="8" count="1" selected="0">
            <x v="80"/>
          </reference>
          <reference field="9" count="1">
            <x v="611"/>
          </reference>
        </references>
      </pivotArea>
    </format>
    <format dxfId="213">
      <pivotArea dataOnly="0" labelOnly="1" fieldPosition="0">
        <references count="6">
          <reference field="1" count="1" selected="0">
            <x v="161"/>
          </reference>
          <reference field="5" count="1" selected="0">
            <x v="12"/>
          </reference>
          <reference field="6" count="1" selected="0">
            <x v="1"/>
          </reference>
          <reference field="7" count="1" selected="0">
            <x v="252"/>
          </reference>
          <reference field="8" count="1" selected="0">
            <x v="213"/>
          </reference>
          <reference field="9" count="1">
            <x v="611"/>
          </reference>
        </references>
      </pivotArea>
    </format>
    <format dxfId="212">
      <pivotArea dataOnly="0" labelOnly="1" fieldPosition="0">
        <references count="6">
          <reference field="1" count="1" selected="0">
            <x v="161"/>
          </reference>
          <reference field="5" count="1" selected="0">
            <x v="14"/>
          </reference>
          <reference field="6" count="1" selected="0">
            <x v="6"/>
          </reference>
          <reference field="7" count="1" selected="0">
            <x v="252"/>
          </reference>
          <reference field="8" count="1" selected="0">
            <x v="1871"/>
          </reference>
          <reference field="9" count="1">
            <x v="611"/>
          </reference>
        </references>
      </pivotArea>
    </format>
    <format dxfId="211">
      <pivotArea dataOnly="0" labelOnly="1" fieldPosition="0">
        <references count="6">
          <reference field="1" count="1" selected="0">
            <x v="161"/>
          </reference>
          <reference field="5" count="1" selected="0">
            <x v="35"/>
          </reference>
          <reference field="6" count="1" selected="0">
            <x v="1"/>
          </reference>
          <reference field="7" count="1" selected="0">
            <x v="252"/>
          </reference>
          <reference field="8" count="1" selected="0">
            <x v="213"/>
          </reference>
          <reference field="9" count="1">
            <x v="611"/>
          </reference>
        </references>
      </pivotArea>
    </format>
    <format dxfId="210">
      <pivotArea dataOnly="0" labelOnly="1" fieldPosition="0">
        <references count="6">
          <reference field="1" count="1" selected="0">
            <x v="162"/>
          </reference>
          <reference field="5" count="1" selected="0">
            <x v="0"/>
          </reference>
          <reference field="6" count="1" selected="0">
            <x v="6"/>
          </reference>
          <reference field="7" count="1" selected="0">
            <x v="253"/>
          </reference>
          <reference field="8" count="1" selected="0">
            <x v="334"/>
          </reference>
          <reference field="9" count="1">
            <x v="611"/>
          </reference>
        </references>
      </pivotArea>
    </format>
    <format dxfId="209">
      <pivotArea dataOnly="0" labelOnly="1" fieldPosition="0">
        <references count="6">
          <reference field="1" count="1" selected="0">
            <x v="162"/>
          </reference>
          <reference field="5" count="1" selected="0">
            <x v="0"/>
          </reference>
          <reference field="6" count="1" selected="0">
            <x v="8"/>
          </reference>
          <reference field="7" count="1" selected="0">
            <x v="253"/>
          </reference>
          <reference field="8" count="1" selected="0">
            <x v="74"/>
          </reference>
          <reference field="9" count="1">
            <x v="611"/>
          </reference>
        </references>
      </pivotArea>
    </format>
    <format dxfId="208">
      <pivotArea dataOnly="0" labelOnly="1" fieldPosition="0">
        <references count="6">
          <reference field="1" count="1" selected="0">
            <x v="162"/>
          </reference>
          <reference field="5" count="1" selected="0">
            <x v="0"/>
          </reference>
          <reference field="6" count="1" selected="0">
            <x v="8"/>
          </reference>
          <reference field="7" count="1" selected="0">
            <x v="253"/>
          </reference>
          <reference field="8" count="1" selected="0">
            <x v="846"/>
          </reference>
          <reference field="9" count="1">
            <x v="611"/>
          </reference>
        </references>
      </pivotArea>
    </format>
    <format dxfId="207">
      <pivotArea dataOnly="0" labelOnly="1" fieldPosition="0">
        <references count="6">
          <reference field="1" count="1" selected="0">
            <x v="162"/>
          </reference>
          <reference field="5" count="1" selected="0">
            <x v="0"/>
          </reference>
          <reference field="6" count="1" selected="0">
            <x v="8"/>
          </reference>
          <reference field="7" count="1" selected="0">
            <x v="253"/>
          </reference>
          <reference field="8" count="1" selected="0">
            <x v="910"/>
          </reference>
          <reference field="9" count="1">
            <x v="611"/>
          </reference>
        </references>
      </pivotArea>
    </format>
    <format dxfId="206">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125"/>
          </reference>
          <reference field="9" count="1">
            <x v="611"/>
          </reference>
        </references>
      </pivotArea>
    </format>
    <format dxfId="205">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191"/>
          </reference>
          <reference field="9" count="1">
            <x v="611"/>
          </reference>
        </references>
      </pivotArea>
    </format>
    <format dxfId="204">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203"/>
          </reference>
          <reference field="9" count="1">
            <x v="611"/>
          </reference>
        </references>
      </pivotArea>
    </format>
    <format dxfId="203">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303"/>
          </reference>
          <reference field="9" count="1">
            <x v="611"/>
          </reference>
        </references>
      </pivotArea>
    </format>
    <format dxfId="202">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504"/>
          </reference>
          <reference field="9" count="1">
            <x v="611"/>
          </reference>
        </references>
      </pivotArea>
    </format>
    <format dxfId="201">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524"/>
          </reference>
          <reference field="9" count="1">
            <x v="611"/>
          </reference>
        </references>
      </pivotArea>
    </format>
    <format dxfId="200">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543"/>
          </reference>
          <reference field="9" count="1">
            <x v="611"/>
          </reference>
        </references>
      </pivotArea>
    </format>
    <format dxfId="199">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551"/>
          </reference>
          <reference field="9" count="1">
            <x v="611"/>
          </reference>
        </references>
      </pivotArea>
    </format>
    <format dxfId="198">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1007"/>
          </reference>
          <reference field="9" count="1">
            <x v="611"/>
          </reference>
        </references>
      </pivotArea>
    </format>
    <format dxfId="197">
      <pivotArea dataOnly="0" labelOnly="1" fieldPosition="0">
        <references count="6">
          <reference field="1" count="1" selected="0">
            <x v="162"/>
          </reference>
          <reference field="5" count="1" selected="0">
            <x v="0"/>
          </reference>
          <reference field="6" count="1" selected="0">
            <x v="9"/>
          </reference>
          <reference field="7" count="1" selected="0">
            <x v="253"/>
          </reference>
          <reference field="8" count="1" selected="0">
            <x v="1027"/>
          </reference>
          <reference field="9" count="1">
            <x v="611"/>
          </reference>
        </references>
      </pivotArea>
    </format>
    <format dxfId="196">
      <pivotArea dataOnly="0" labelOnly="1" fieldPosition="0">
        <references count="6">
          <reference field="1" count="1" selected="0">
            <x v="162"/>
          </reference>
          <reference field="5" count="1" selected="0">
            <x v="3"/>
          </reference>
          <reference field="6" count="1" selected="0">
            <x v="8"/>
          </reference>
          <reference field="7" count="1" selected="0">
            <x v="253"/>
          </reference>
          <reference field="8" count="1" selected="0">
            <x v="865"/>
          </reference>
          <reference field="9" count="1">
            <x v="611"/>
          </reference>
        </references>
      </pivotArea>
    </format>
    <format dxfId="195">
      <pivotArea dataOnly="0" labelOnly="1" fieldPosition="0">
        <references count="6">
          <reference field="1" count="1" selected="0">
            <x v="162"/>
          </reference>
          <reference field="5" count="1" selected="0">
            <x v="3"/>
          </reference>
          <reference field="6" count="1" selected="0">
            <x v="37"/>
          </reference>
          <reference field="7" count="1" selected="0">
            <x v="253"/>
          </reference>
          <reference field="8" count="1" selected="0">
            <x v="1069"/>
          </reference>
          <reference field="9" count="1">
            <x v="611"/>
          </reference>
        </references>
      </pivotArea>
    </format>
    <format dxfId="194">
      <pivotArea dataOnly="0" labelOnly="1" fieldPosition="0">
        <references count="6">
          <reference field="1" count="1" selected="0">
            <x v="162"/>
          </reference>
          <reference field="5" count="1" selected="0">
            <x v="3"/>
          </reference>
          <reference field="6" count="1" selected="0">
            <x v="38"/>
          </reference>
          <reference field="7" count="1" selected="0">
            <x v="253"/>
          </reference>
          <reference field="8" count="1" selected="0">
            <x v="109"/>
          </reference>
          <reference field="9" count="1">
            <x v="611"/>
          </reference>
        </references>
      </pivotArea>
    </format>
    <format dxfId="193">
      <pivotArea dataOnly="0" labelOnly="1" fieldPosition="0">
        <references count="6">
          <reference field="1" count="1" selected="0">
            <x v="162"/>
          </reference>
          <reference field="5" count="1" selected="0">
            <x v="5"/>
          </reference>
          <reference field="6" count="1" selected="0">
            <x v="37"/>
          </reference>
          <reference field="7" count="1" selected="0">
            <x v="253"/>
          </reference>
          <reference field="8" count="1" selected="0">
            <x v="1069"/>
          </reference>
          <reference field="9" count="1">
            <x v="611"/>
          </reference>
        </references>
      </pivotArea>
    </format>
    <format dxfId="192">
      <pivotArea dataOnly="0" labelOnly="1" fieldPosition="0">
        <references count="6">
          <reference field="1" count="1" selected="0">
            <x v="162"/>
          </reference>
          <reference field="5" count="1" selected="0">
            <x v="7"/>
          </reference>
          <reference field="6" count="1" selected="0">
            <x v="38"/>
          </reference>
          <reference field="7" count="1" selected="0">
            <x v="253"/>
          </reference>
          <reference field="8" count="1" selected="0">
            <x v="304"/>
          </reference>
          <reference field="9" count="1">
            <x v="611"/>
          </reference>
        </references>
      </pivotArea>
    </format>
    <format dxfId="191">
      <pivotArea dataOnly="0" labelOnly="1" fieldPosition="0">
        <references count="6">
          <reference field="1" count="1" selected="0">
            <x v="162"/>
          </reference>
          <reference field="5" count="1" selected="0">
            <x v="9"/>
          </reference>
          <reference field="6" count="1" selected="0">
            <x v="8"/>
          </reference>
          <reference field="7" count="1" selected="0">
            <x v="253"/>
          </reference>
          <reference field="8" count="1" selected="0">
            <x v="208"/>
          </reference>
          <reference field="9" count="1">
            <x v="611"/>
          </reference>
        </references>
      </pivotArea>
    </format>
    <format dxfId="190">
      <pivotArea dataOnly="0" labelOnly="1" fieldPosition="0">
        <references count="6">
          <reference field="1" count="1" selected="0">
            <x v="162"/>
          </reference>
          <reference field="5" count="1" selected="0">
            <x v="11"/>
          </reference>
          <reference field="6" count="1" selected="0">
            <x v="9"/>
          </reference>
          <reference field="7" count="1" selected="0">
            <x v="253"/>
          </reference>
          <reference field="8" count="1" selected="0">
            <x v="410"/>
          </reference>
          <reference field="9" count="1">
            <x v="611"/>
          </reference>
        </references>
      </pivotArea>
    </format>
    <format dxfId="189">
      <pivotArea dataOnly="0" labelOnly="1" fieldPosition="0">
        <references count="6">
          <reference field="1" count="1" selected="0">
            <x v="162"/>
          </reference>
          <reference field="5" count="1" selected="0">
            <x v="12"/>
          </reference>
          <reference field="6" count="1" selected="0">
            <x v="1"/>
          </reference>
          <reference field="7" count="1" selected="0">
            <x v="253"/>
          </reference>
          <reference field="8" count="1" selected="0">
            <x v="80"/>
          </reference>
          <reference field="9" count="1">
            <x v="611"/>
          </reference>
        </references>
      </pivotArea>
    </format>
    <format dxfId="188">
      <pivotArea dataOnly="0" labelOnly="1" fieldPosition="0">
        <references count="6">
          <reference field="1" count="1" selected="0">
            <x v="162"/>
          </reference>
          <reference field="5" count="1" selected="0">
            <x v="12"/>
          </reference>
          <reference field="6" count="1" selected="0">
            <x v="1"/>
          </reference>
          <reference field="7" count="1" selected="0">
            <x v="253"/>
          </reference>
          <reference field="8" count="1" selected="0">
            <x v="213"/>
          </reference>
          <reference field="9" count="1">
            <x v="611"/>
          </reference>
        </references>
      </pivotArea>
    </format>
    <format dxfId="187">
      <pivotArea dataOnly="0" labelOnly="1" fieldPosition="0">
        <references count="6">
          <reference field="1" count="1" selected="0">
            <x v="162"/>
          </reference>
          <reference field="5" count="1" selected="0">
            <x v="12"/>
          </reference>
          <reference field="6" count="1" selected="0">
            <x v="1"/>
          </reference>
          <reference field="7" count="1" selected="0">
            <x v="253"/>
          </reference>
          <reference field="8" count="1" selected="0">
            <x v="352"/>
          </reference>
          <reference field="9" count="1">
            <x v="611"/>
          </reference>
        </references>
      </pivotArea>
    </format>
    <format dxfId="186">
      <pivotArea dataOnly="0" labelOnly="1" fieldPosition="0">
        <references count="6">
          <reference field="1" count="1" selected="0">
            <x v="162"/>
          </reference>
          <reference field="5" count="1" selected="0">
            <x v="14"/>
          </reference>
          <reference field="6" count="1" selected="0">
            <x v="38"/>
          </reference>
          <reference field="7" count="1" selected="0">
            <x v="253"/>
          </reference>
          <reference field="8" count="1" selected="0">
            <x v="177"/>
          </reference>
          <reference field="9" count="1">
            <x v="611"/>
          </reference>
        </references>
      </pivotArea>
    </format>
    <format dxfId="185">
      <pivotArea dataOnly="0" labelOnly="1" fieldPosition="0">
        <references count="6">
          <reference field="1" count="1" selected="0">
            <x v="162"/>
          </reference>
          <reference field="5" count="1" selected="0">
            <x v="15"/>
          </reference>
          <reference field="6" count="1" selected="0">
            <x v="7"/>
          </reference>
          <reference field="7" count="1" selected="0">
            <x v="253"/>
          </reference>
          <reference field="8" count="1" selected="0">
            <x v="205"/>
          </reference>
          <reference field="9" count="1">
            <x v="611"/>
          </reference>
        </references>
      </pivotArea>
    </format>
    <format dxfId="184">
      <pivotArea dataOnly="0" labelOnly="1" fieldPosition="0">
        <references count="6">
          <reference field="1" count="1" selected="0">
            <x v="162"/>
          </reference>
          <reference field="5" count="1" selected="0">
            <x v="15"/>
          </reference>
          <reference field="6" count="1" selected="0">
            <x v="8"/>
          </reference>
          <reference field="7" count="1" selected="0">
            <x v="253"/>
          </reference>
          <reference field="8" count="1" selected="0">
            <x v="356"/>
          </reference>
          <reference field="9" count="1">
            <x v="611"/>
          </reference>
        </references>
      </pivotArea>
    </format>
    <format dxfId="183">
      <pivotArea dataOnly="0" labelOnly="1" fieldPosition="0">
        <references count="6">
          <reference field="1" count="1" selected="0">
            <x v="162"/>
          </reference>
          <reference field="5" count="1" selected="0">
            <x v="15"/>
          </reference>
          <reference field="6" count="1" selected="0">
            <x v="38"/>
          </reference>
          <reference field="7" count="1" selected="0">
            <x v="253"/>
          </reference>
          <reference field="8" count="1" selected="0">
            <x v="846"/>
          </reference>
          <reference field="9" count="1">
            <x v="611"/>
          </reference>
        </references>
      </pivotArea>
    </format>
    <format dxfId="182">
      <pivotArea dataOnly="0" labelOnly="1" fieldPosition="0">
        <references count="6">
          <reference field="1" count="1" selected="0">
            <x v="162"/>
          </reference>
          <reference field="5" count="1" selected="0">
            <x v="17"/>
          </reference>
          <reference field="6" count="1" selected="0">
            <x v="7"/>
          </reference>
          <reference field="7" count="1" selected="0">
            <x v="253"/>
          </reference>
          <reference field="8" count="1" selected="0">
            <x v="275"/>
          </reference>
          <reference field="9" count="1">
            <x v="611"/>
          </reference>
        </references>
      </pivotArea>
    </format>
    <format dxfId="181">
      <pivotArea dataOnly="0" labelOnly="1" fieldPosition="0">
        <references count="6">
          <reference field="1" count="1" selected="0">
            <x v="162"/>
          </reference>
          <reference field="5" count="1" selected="0">
            <x v="17"/>
          </reference>
          <reference field="6" count="1" selected="0">
            <x v="8"/>
          </reference>
          <reference field="7" count="1" selected="0">
            <x v="253"/>
          </reference>
          <reference field="8" count="1" selected="0">
            <x v="1071"/>
          </reference>
          <reference field="9" count="1">
            <x v="611"/>
          </reference>
        </references>
      </pivotArea>
    </format>
    <format dxfId="180">
      <pivotArea dataOnly="0" labelOnly="1" fieldPosition="0">
        <references count="6">
          <reference field="1" count="1" selected="0">
            <x v="162"/>
          </reference>
          <reference field="5" count="1" selected="0">
            <x v="23"/>
          </reference>
          <reference field="6" count="1" selected="0">
            <x v="6"/>
          </reference>
          <reference field="7" count="1" selected="0">
            <x v="253"/>
          </reference>
          <reference field="8" count="1" selected="0">
            <x v="278"/>
          </reference>
          <reference field="9" count="1">
            <x v="611"/>
          </reference>
        </references>
      </pivotArea>
    </format>
    <format dxfId="179">
      <pivotArea dataOnly="0" labelOnly="1" fieldPosition="0">
        <references count="6">
          <reference field="1" count="1" selected="0">
            <x v="162"/>
          </reference>
          <reference field="5" count="1" selected="0">
            <x v="29"/>
          </reference>
          <reference field="6" count="1" selected="0">
            <x v="37"/>
          </reference>
          <reference field="7" count="1" selected="0">
            <x v="253"/>
          </reference>
          <reference field="8" count="1" selected="0">
            <x v="721"/>
          </reference>
          <reference field="9" count="1">
            <x v="611"/>
          </reference>
        </references>
      </pivotArea>
    </format>
    <format dxfId="178">
      <pivotArea dataOnly="0" labelOnly="1" fieldPosition="0">
        <references count="6">
          <reference field="1" count="1" selected="0">
            <x v="162"/>
          </reference>
          <reference field="5" count="1" selected="0">
            <x v="33"/>
          </reference>
          <reference field="6" count="1" selected="0">
            <x v="8"/>
          </reference>
          <reference field="7" count="1" selected="0">
            <x v="253"/>
          </reference>
          <reference field="8" count="1" selected="0">
            <x v="1080"/>
          </reference>
          <reference field="9" count="1">
            <x v="611"/>
          </reference>
        </references>
      </pivotArea>
    </format>
    <format dxfId="177">
      <pivotArea dataOnly="0" labelOnly="1" fieldPosition="0">
        <references count="6">
          <reference field="1" count="1" selected="0">
            <x v="162"/>
          </reference>
          <reference field="5" count="1" selected="0">
            <x v="33"/>
          </reference>
          <reference field="6" count="1" selected="0">
            <x v="9"/>
          </reference>
          <reference field="7" count="1" selected="0">
            <x v="253"/>
          </reference>
          <reference field="8" count="1" selected="0">
            <x v="500"/>
          </reference>
          <reference field="9" count="1">
            <x v="611"/>
          </reference>
        </references>
      </pivotArea>
    </format>
    <format dxfId="176">
      <pivotArea dataOnly="0" labelOnly="1" fieldPosition="0">
        <references count="6">
          <reference field="1" count="1" selected="0">
            <x v="162"/>
          </reference>
          <reference field="5" count="1" selected="0">
            <x v="35"/>
          </reference>
          <reference field="6" count="1" selected="0">
            <x v="1"/>
          </reference>
          <reference field="7" count="1" selected="0">
            <x v="253"/>
          </reference>
          <reference field="8" count="1" selected="0">
            <x v="80"/>
          </reference>
          <reference field="9" count="1">
            <x v="611"/>
          </reference>
        </references>
      </pivotArea>
    </format>
    <format dxfId="175">
      <pivotArea dataOnly="0" labelOnly="1" fieldPosition="0">
        <references count="6">
          <reference field="1" count="1" selected="0">
            <x v="162"/>
          </reference>
          <reference field="5" count="1" selected="0">
            <x v="36"/>
          </reference>
          <reference field="6" count="1" selected="0">
            <x v="8"/>
          </reference>
          <reference field="7" count="1" selected="0">
            <x v="253"/>
          </reference>
          <reference field="8" count="1" selected="0">
            <x v="459"/>
          </reference>
          <reference field="9" count="1">
            <x v="611"/>
          </reference>
        </references>
      </pivotArea>
    </format>
    <format dxfId="174">
      <pivotArea dataOnly="0" labelOnly="1" fieldPosition="0">
        <references count="6">
          <reference field="1" count="1" selected="0">
            <x v="163"/>
          </reference>
          <reference field="5" count="1" selected="0">
            <x v="0"/>
          </reference>
          <reference field="6" count="1" selected="0">
            <x v="8"/>
          </reference>
          <reference field="7" count="1" selected="0">
            <x v="254"/>
          </reference>
          <reference field="8" count="1" selected="0">
            <x v="0"/>
          </reference>
          <reference field="9" count="1">
            <x v="468"/>
          </reference>
        </references>
      </pivotArea>
    </format>
    <format dxfId="173">
      <pivotArea dataOnly="0" labelOnly="1" fieldPosition="0">
        <references count="6">
          <reference field="1" count="1" selected="0">
            <x v="163"/>
          </reference>
          <reference field="5" count="1" selected="0">
            <x v="0"/>
          </reference>
          <reference field="6" count="1" selected="0">
            <x v="12"/>
          </reference>
          <reference field="7" count="1" selected="0">
            <x v="23"/>
          </reference>
          <reference field="8" count="1" selected="0">
            <x v="24"/>
          </reference>
          <reference field="9" count="1">
            <x v="611"/>
          </reference>
        </references>
      </pivotArea>
    </format>
    <format dxfId="172">
      <pivotArea dataOnly="0" labelOnly="1" fieldPosition="0">
        <references count="6">
          <reference field="1" count="1" selected="0">
            <x v="163"/>
          </reference>
          <reference field="5" count="1" selected="0">
            <x v="0"/>
          </reference>
          <reference field="6" count="1" selected="0">
            <x v="12"/>
          </reference>
          <reference field="7" count="1" selected="0">
            <x v="47"/>
          </reference>
          <reference field="8" count="1" selected="0">
            <x v="654"/>
          </reference>
          <reference field="9" count="1">
            <x v="611"/>
          </reference>
        </references>
      </pivotArea>
    </format>
    <format dxfId="171">
      <pivotArea dataOnly="0" labelOnly="1" fieldPosition="0">
        <references count="6">
          <reference field="1" count="1" selected="0">
            <x v="163"/>
          </reference>
          <reference field="5" count="1" selected="0">
            <x v="0"/>
          </reference>
          <reference field="6" count="1" selected="0">
            <x v="12"/>
          </reference>
          <reference field="7" count="1" selected="0">
            <x v="58"/>
          </reference>
          <reference field="8" count="1" selected="0">
            <x v="6"/>
          </reference>
          <reference field="9" count="1">
            <x v="611"/>
          </reference>
        </references>
      </pivotArea>
    </format>
    <format dxfId="170">
      <pivotArea dataOnly="0" labelOnly="1" fieldPosition="0">
        <references count="6">
          <reference field="1" count="1" selected="0">
            <x v="163"/>
          </reference>
          <reference field="5" count="1" selected="0">
            <x v="0"/>
          </reference>
          <reference field="6" count="1" selected="0">
            <x v="12"/>
          </reference>
          <reference field="7" count="1" selected="0">
            <x v="59"/>
          </reference>
          <reference field="8" count="1" selected="0">
            <x v="77"/>
          </reference>
          <reference field="9" count="1">
            <x v="611"/>
          </reference>
        </references>
      </pivotArea>
    </format>
    <format dxfId="169">
      <pivotArea dataOnly="0" labelOnly="1" fieldPosition="0">
        <references count="6">
          <reference field="1" count="1" selected="0">
            <x v="163"/>
          </reference>
          <reference field="5" count="1" selected="0">
            <x v="6"/>
          </reference>
          <reference field="6" count="1" selected="0">
            <x v="38"/>
          </reference>
          <reference field="7" count="1" selected="0">
            <x v="254"/>
          </reference>
          <reference field="8" count="1" selected="0">
            <x v="971"/>
          </reference>
          <reference field="9" count="1">
            <x v="611"/>
          </reference>
        </references>
      </pivotArea>
    </format>
    <format dxfId="168">
      <pivotArea dataOnly="0" labelOnly="1" fieldPosition="0">
        <references count="6">
          <reference field="1" count="1" selected="0">
            <x v="163"/>
          </reference>
          <reference field="5" count="1" selected="0">
            <x v="12"/>
          </reference>
          <reference field="6" count="1" selected="0">
            <x v="1"/>
          </reference>
          <reference field="7" count="1" selected="0">
            <x v="254"/>
          </reference>
          <reference field="8" count="1" selected="0">
            <x v="80"/>
          </reference>
          <reference field="9" count="1">
            <x v="611"/>
          </reference>
        </references>
      </pivotArea>
    </format>
    <format dxfId="167">
      <pivotArea dataOnly="0" labelOnly="1" fieldPosition="0">
        <references count="6">
          <reference field="1" count="1" selected="0">
            <x v="163"/>
          </reference>
          <reference field="5" count="1" selected="0">
            <x v="12"/>
          </reference>
          <reference field="6" count="1" selected="0">
            <x v="1"/>
          </reference>
          <reference field="7" count="1" selected="0">
            <x v="254"/>
          </reference>
          <reference field="8" count="1" selected="0">
            <x v="352"/>
          </reference>
          <reference field="9" count="1">
            <x v="611"/>
          </reference>
        </references>
      </pivotArea>
    </format>
    <format dxfId="166">
      <pivotArea dataOnly="0" labelOnly="1" fieldPosition="0">
        <references count="6">
          <reference field="1" count="1" selected="0">
            <x v="163"/>
          </reference>
          <reference field="5" count="1" selected="0">
            <x v="19"/>
          </reference>
          <reference field="6" count="1" selected="0">
            <x v="37"/>
          </reference>
          <reference field="7" count="1" selected="0">
            <x v="254"/>
          </reference>
          <reference field="8" count="1" selected="0">
            <x v="1464"/>
          </reference>
          <reference field="9" count="1">
            <x v="611"/>
          </reference>
        </references>
      </pivotArea>
    </format>
    <format dxfId="165">
      <pivotArea dataOnly="0" labelOnly="1" fieldPosition="0">
        <references count="6">
          <reference field="1" count="1" selected="0">
            <x v="163"/>
          </reference>
          <reference field="5" count="1" selected="0">
            <x v="33"/>
          </reference>
          <reference field="6" count="1" selected="0">
            <x v="38"/>
          </reference>
          <reference field="7" count="1" selected="0">
            <x v="254"/>
          </reference>
          <reference field="8" count="1" selected="0">
            <x v="114"/>
          </reference>
          <reference field="9" count="1">
            <x v="611"/>
          </reference>
        </references>
      </pivotArea>
    </format>
    <format dxfId="164">
      <pivotArea dataOnly="0" labelOnly="1" fieldPosition="0">
        <references count="6">
          <reference field="1" count="1" selected="0">
            <x v="164"/>
          </reference>
          <reference field="5" count="1" selected="0">
            <x v="0"/>
          </reference>
          <reference field="6" count="1" selected="0">
            <x v="12"/>
          </reference>
          <reference field="7" count="1" selected="0">
            <x v="13"/>
          </reference>
          <reference field="8" count="1" selected="0">
            <x v="140"/>
          </reference>
          <reference field="9" count="1">
            <x v="611"/>
          </reference>
        </references>
      </pivotArea>
    </format>
    <format dxfId="163">
      <pivotArea dataOnly="0" labelOnly="1" fieldPosition="0">
        <references count="6">
          <reference field="1" count="1" selected="0">
            <x v="164"/>
          </reference>
          <reference field="5" count="1" selected="0">
            <x v="0"/>
          </reference>
          <reference field="6" count="1" selected="0">
            <x v="12"/>
          </reference>
          <reference field="7" count="1" selected="0">
            <x v="18"/>
          </reference>
          <reference field="8" count="1" selected="0">
            <x v="92"/>
          </reference>
          <reference field="9" count="1">
            <x v="611"/>
          </reference>
        </references>
      </pivotArea>
    </format>
    <format dxfId="162">
      <pivotArea dataOnly="0" labelOnly="1" fieldPosition="0">
        <references count="6">
          <reference field="1" count="1" selected="0">
            <x v="164"/>
          </reference>
          <reference field="5" count="1" selected="0">
            <x v="0"/>
          </reference>
          <reference field="6" count="1" selected="0">
            <x v="12"/>
          </reference>
          <reference field="7" count="1" selected="0">
            <x v="21"/>
          </reference>
          <reference field="8" count="1" selected="0">
            <x v="310"/>
          </reference>
          <reference field="9" count="1">
            <x v="611"/>
          </reference>
        </references>
      </pivotArea>
    </format>
    <format dxfId="161">
      <pivotArea dataOnly="0" labelOnly="1" fieldPosition="0">
        <references count="6">
          <reference field="1" count="1" selected="0">
            <x v="164"/>
          </reference>
          <reference field="5" count="1" selected="0">
            <x v="0"/>
          </reference>
          <reference field="6" count="1" selected="0">
            <x v="12"/>
          </reference>
          <reference field="7" count="1" selected="0">
            <x v="40"/>
          </reference>
          <reference field="8" count="1" selected="0">
            <x v="219"/>
          </reference>
          <reference field="9" count="1">
            <x v="611"/>
          </reference>
        </references>
      </pivotArea>
    </format>
    <format dxfId="160">
      <pivotArea dataOnly="0" labelOnly="1" fieldPosition="0">
        <references count="6">
          <reference field="1" count="1" selected="0">
            <x v="164"/>
          </reference>
          <reference field="5" count="1" selected="0">
            <x v="0"/>
          </reference>
          <reference field="6" count="1" selected="0">
            <x v="12"/>
          </reference>
          <reference field="7" count="1" selected="0">
            <x v="52"/>
          </reference>
          <reference field="8" count="1" selected="0">
            <x v="9"/>
          </reference>
          <reference field="9" count="1">
            <x v="611"/>
          </reference>
        </references>
      </pivotArea>
    </format>
    <format dxfId="159">
      <pivotArea dataOnly="0" labelOnly="1" fieldPosition="0">
        <references count="6">
          <reference field="1" count="1" selected="0">
            <x v="164"/>
          </reference>
          <reference field="5" count="1" selected="0">
            <x v="0"/>
          </reference>
          <reference field="6" count="1" selected="0">
            <x v="12"/>
          </reference>
          <reference field="7" count="1" selected="0">
            <x v="55"/>
          </reference>
          <reference field="8" count="1" selected="0">
            <x v="92"/>
          </reference>
          <reference field="9" count="1">
            <x v="611"/>
          </reference>
        </references>
      </pivotArea>
    </format>
    <format dxfId="158">
      <pivotArea dataOnly="0" labelOnly="1" fieldPosition="0">
        <references count="6">
          <reference field="1" count="1" selected="0">
            <x v="164"/>
          </reference>
          <reference field="5" count="1" selected="0">
            <x v="0"/>
          </reference>
          <reference field="6" count="1" selected="0">
            <x v="12"/>
          </reference>
          <reference field="7" count="1" selected="0">
            <x v="68"/>
          </reference>
          <reference field="8" count="1" selected="0">
            <x v="134"/>
          </reference>
          <reference field="9" count="1">
            <x v="611"/>
          </reference>
        </references>
      </pivotArea>
    </format>
    <format dxfId="157">
      <pivotArea dataOnly="0" labelOnly="1" fieldPosition="0">
        <references count="6">
          <reference field="1" count="1" selected="0">
            <x v="164"/>
          </reference>
          <reference field="5" count="1" selected="0">
            <x v="0"/>
          </reference>
          <reference field="6" count="1" selected="0">
            <x v="12"/>
          </reference>
          <reference field="7" count="1" selected="0">
            <x v="71"/>
          </reference>
          <reference field="8" count="1" selected="0">
            <x v="11"/>
          </reference>
          <reference field="9" count="1">
            <x v="611"/>
          </reference>
        </references>
      </pivotArea>
    </format>
    <format dxfId="156">
      <pivotArea dataOnly="0" labelOnly="1" fieldPosition="0">
        <references count="6">
          <reference field="1" count="1" selected="0">
            <x v="164"/>
          </reference>
          <reference field="5" count="1" selected="0">
            <x v="0"/>
          </reference>
          <reference field="6" count="1" selected="0">
            <x v="23"/>
          </reference>
          <reference field="7" count="1" selected="0">
            <x v="255"/>
          </reference>
          <reference field="8" count="1" selected="0">
            <x v="705"/>
          </reference>
          <reference field="9" count="1">
            <x v="611"/>
          </reference>
        </references>
      </pivotArea>
    </format>
    <format dxfId="155">
      <pivotArea dataOnly="0" labelOnly="1" fieldPosition="0">
        <references count="6">
          <reference field="1" count="1" selected="0">
            <x v="164"/>
          </reference>
          <reference field="5" count="1" selected="0">
            <x v="0"/>
          </reference>
          <reference field="6" count="1" selected="0">
            <x v="23"/>
          </reference>
          <reference field="7" count="1" selected="0">
            <x v="255"/>
          </reference>
          <reference field="8" count="1" selected="0">
            <x v="735"/>
          </reference>
          <reference field="9" count="1">
            <x v="611"/>
          </reference>
        </references>
      </pivotArea>
    </format>
    <format dxfId="154">
      <pivotArea dataOnly="0" labelOnly="1" fieldPosition="0">
        <references count="6">
          <reference field="1" count="1" selected="0">
            <x v="164"/>
          </reference>
          <reference field="5" count="1" selected="0">
            <x v="0"/>
          </reference>
          <reference field="6" count="1" selected="0">
            <x v="23"/>
          </reference>
          <reference field="7" count="1" selected="0">
            <x v="255"/>
          </reference>
          <reference field="8" count="1" selected="0">
            <x v="752"/>
          </reference>
          <reference field="9" count="1">
            <x v="611"/>
          </reference>
        </references>
      </pivotArea>
    </format>
    <format dxfId="153">
      <pivotArea dataOnly="0" labelOnly="1" fieldPosition="0">
        <references count="6">
          <reference field="1" count="1" selected="0">
            <x v="164"/>
          </reference>
          <reference field="5" count="1" selected="0">
            <x v="0"/>
          </reference>
          <reference field="6" count="1" selected="0">
            <x v="23"/>
          </reference>
          <reference field="7" count="1" selected="0">
            <x v="255"/>
          </reference>
          <reference field="8" count="1" selected="0">
            <x v="842"/>
          </reference>
          <reference field="9" count="1">
            <x v="611"/>
          </reference>
        </references>
      </pivotArea>
    </format>
    <format dxfId="152">
      <pivotArea dataOnly="0" labelOnly="1" fieldPosition="0">
        <references count="6">
          <reference field="1" count="1" selected="0">
            <x v="164"/>
          </reference>
          <reference field="5" count="1" selected="0">
            <x v="0"/>
          </reference>
          <reference field="6" count="1" selected="0">
            <x v="23"/>
          </reference>
          <reference field="7" count="1" selected="0">
            <x v="255"/>
          </reference>
          <reference field="8" count="1" selected="0">
            <x v="884"/>
          </reference>
          <reference field="9" count="1">
            <x v="611"/>
          </reference>
        </references>
      </pivotArea>
    </format>
    <format dxfId="151">
      <pivotArea dataOnly="0" labelOnly="1" fieldPosition="0">
        <references count="6">
          <reference field="1" count="1" selected="0">
            <x v="164"/>
          </reference>
          <reference field="5" count="1" selected="0">
            <x v="0"/>
          </reference>
          <reference field="6" count="1" selected="0">
            <x v="23"/>
          </reference>
          <reference field="7" count="1" selected="0">
            <x v="255"/>
          </reference>
          <reference field="8" count="1" selected="0">
            <x v="922"/>
          </reference>
          <reference field="9" count="1">
            <x v="611"/>
          </reference>
        </references>
      </pivotArea>
    </format>
    <format dxfId="150">
      <pivotArea dataOnly="0" labelOnly="1" fieldPosition="0">
        <references count="6">
          <reference field="1" count="1" selected="0">
            <x v="164"/>
          </reference>
          <reference field="5" count="1" selected="0">
            <x v="0"/>
          </reference>
          <reference field="6" count="1" selected="0">
            <x v="38"/>
          </reference>
          <reference field="7" count="1" selected="0">
            <x v="256"/>
          </reference>
          <reference field="8" count="1" selected="0">
            <x v="262"/>
          </reference>
          <reference field="9" count="1">
            <x v="611"/>
          </reference>
        </references>
      </pivotArea>
    </format>
    <format dxfId="149">
      <pivotArea dataOnly="0" labelOnly="1" fieldPosition="0">
        <references count="6">
          <reference field="1" count="1" selected="0">
            <x v="164"/>
          </reference>
          <reference field="5" count="1" selected="0">
            <x v="2"/>
          </reference>
          <reference field="6" count="1" selected="0">
            <x v="23"/>
          </reference>
          <reference field="7" count="1" selected="0">
            <x v="255"/>
          </reference>
          <reference field="8" count="1" selected="0">
            <x v="1836"/>
          </reference>
          <reference field="9" count="1">
            <x v="611"/>
          </reference>
        </references>
      </pivotArea>
    </format>
    <format dxfId="148">
      <pivotArea dataOnly="0" labelOnly="1" fieldPosition="0">
        <references count="6">
          <reference field="1" count="1" selected="0">
            <x v="164"/>
          </reference>
          <reference field="5" count="1" selected="0">
            <x v="3"/>
          </reference>
          <reference field="6" count="1" selected="0">
            <x v="6"/>
          </reference>
          <reference field="7" count="1" selected="0">
            <x v="256"/>
          </reference>
          <reference field="8" count="1" selected="0">
            <x v="387"/>
          </reference>
          <reference field="9" count="1">
            <x v="611"/>
          </reference>
        </references>
      </pivotArea>
    </format>
    <format dxfId="147">
      <pivotArea dataOnly="0" labelOnly="1" fieldPosition="0">
        <references count="6">
          <reference field="1" count="1" selected="0">
            <x v="164"/>
          </reference>
          <reference field="5" count="1" selected="0">
            <x v="3"/>
          </reference>
          <reference field="6" count="1" selected="0">
            <x v="23"/>
          </reference>
          <reference field="7" count="1" selected="0">
            <x v="255"/>
          </reference>
          <reference field="8" count="1" selected="0">
            <x v="731"/>
          </reference>
          <reference field="9" count="1">
            <x v="611"/>
          </reference>
        </references>
      </pivotArea>
    </format>
    <format dxfId="146">
      <pivotArea dataOnly="0" labelOnly="1" fieldPosition="0">
        <references count="6">
          <reference field="1" count="1" selected="0">
            <x v="164"/>
          </reference>
          <reference field="5" count="1" selected="0">
            <x v="3"/>
          </reference>
          <reference field="6" count="1" selected="0">
            <x v="38"/>
          </reference>
          <reference field="7" count="1" selected="0">
            <x v="256"/>
          </reference>
          <reference field="8" count="1" selected="0">
            <x v="176"/>
          </reference>
          <reference field="9" count="1">
            <x v="611"/>
          </reference>
        </references>
      </pivotArea>
    </format>
    <format dxfId="145">
      <pivotArea dataOnly="0" labelOnly="1" fieldPosition="0">
        <references count="6">
          <reference field="1" count="1" selected="0">
            <x v="164"/>
          </reference>
          <reference field="5" count="1" selected="0">
            <x v="12"/>
          </reference>
          <reference field="6" count="1" selected="0">
            <x v="1"/>
          </reference>
          <reference field="7" count="1" selected="0">
            <x v="256"/>
          </reference>
          <reference field="8" count="1" selected="0">
            <x v="80"/>
          </reference>
          <reference field="9" count="1">
            <x v="611"/>
          </reference>
        </references>
      </pivotArea>
    </format>
    <format dxfId="144">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71"/>
          </reference>
          <reference field="9" count="1">
            <x v="611"/>
          </reference>
        </references>
      </pivotArea>
    </format>
    <format dxfId="143">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88"/>
          </reference>
          <reference field="9" count="1">
            <x v="611"/>
          </reference>
        </references>
      </pivotArea>
    </format>
    <format dxfId="142">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89"/>
          </reference>
          <reference field="9" count="1">
            <x v="611"/>
          </reference>
        </references>
      </pivotArea>
    </format>
    <format dxfId="141">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225"/>
          </reference>
          <reference field="9" count="1">
            <x v="611"/>
          </reference>
        </references>
      </pivotArea>
    </format>
    <format dxfId="140">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339"/>
          </reference>
          <reference field="9" count="1">
            <x v="611"/>
          </reference>
        </references>
      </pivotArea>
    </format>
    <format dxfId="139">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392"/>
          </reference>
          <reference field="9" count="1">
            <x v="611"/>
          </reference>
        </references>
      </pivotArea>
    </format>
    <format dxfId="138">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607"/>
          </reference>
          <reference field="9" count="1">
            <x v="611"/>
          </reference>
        </references>
      </pivotArea>
    </format>
    <format dxfId="137">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638"/>
          </reference>
          <reference field="9" count="1">
            <x v="611"/>
          </reference>
        </references>
      </pivotArea>
    </format>
    <format dxfId="136">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995"/>
          </reference>
          <reference field="9" count="1">
            <x v="611"/>
          </reference>
        </references>
      </pivotArea>
    </format>
    <format dxfId="135">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015"/>
          </reference>
          <reference field="9" count="1">
            <x v="611"/>
          </reference>
        </references>
      </pivotArea>
    </format>
    <format dxfId="134">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331"/>
          </reference>
          <reference field="9" count="1">
            <x v="611"/>
          </reference>
        </references>
      </pivotArea>
    </format>
    <format dxfId="133">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428"/>
          </reference>
          <reference field="9" count="1">
            <x v="611"/>
          </reference>
        </references>
      </pivotArea>
    </format>
    <format dxfId="132">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437"/>
          </reference>
          <reference field="9" count="1">
            <x v="611"/>
          </reference>
        </references>
      </pivotArea>
    </format>
    <format dxfId="131">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439"/>
          </reference>
          <reference field="9" count="1">
            <x v="611"/>
          </reference>
        </references>
      </pivotArea>
    </format>
    <format dxfId="130">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447"/>
          </reference>
          <reference field="9" count="1">
            <x v="611"/>
          </reference>
        </references>
      </pivotArea>
    </format>
    <format dxfId="129">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458"/>
          </reference>
          <reference field="9" count="1">
            <x v="611"/>
          </reference>
        </references>
      </pivotArea>
    </format>
    <format dxfId="128">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478"/>
          </reference>
          <reference field="9" count="1">
            <x v="611"/>
          </reference>
        </references>
      </pivotArea>
    </format>
    <format dxfId="127">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586"/>
          </reference>
          <reference field="9" count="1">
            <x v="611"/>
          </reference>
        </references>
      </pivotArea>
    </format>
    <format dxfId="126">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602"/>
          </reference>
          <reference field="9" count="1">
            <x v="611"/>
          </reference>
        </references>
      </pivotArea>
    </format>
    <format dxfId="125">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605"/>
          </reference>
          <reference field="9" count="1">
            <x v="611"/>
          </reference>
        </references>
      </pivotArea>
    </format>
    <format dxfId="124">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632"/>
          </reference>
          <reference field="9" count="1">
            <x v="611"/>
          </reference>
        </references>
      </pivotArea>
    </format>
    <format dxfId="123">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638"/>
          </reference>
          <reference field="9" count="1">
            <x v="611"/>
          </reference>
        </references>
      </pivotArea>
    </format>
    <format dxfId="122">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646"/>
          </reference>
          <reference field="9" count="1">
            <x v="611"/>
          </reference>
        </references>
      </pivotArea>
    </format>
    <format dxfId="121">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679"/>
          </reference>
          <reference field="9" count="1">
            <x v="611"/>
          </reference>
        </references>
      </pivotArea>
    </format>
    <format dxfId="120">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692"/>
          </reference>
          <reference field="9" count="1">
            <x v="611"/>
          </reference>
        </references>
      </pivotArea>
    </format>
    <format dxfId="119">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716"/>
          </reference>
          <reference field="9" count="1">
            <x v="611"/>
          </reference>
        </references>
      </pivotArea>
    </format>
    <format dxfId="118">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762"/>
          </reference>
          <reference field="9" count="1">
            <x v="611"/>
          </reference>
        </references>
      </pivotArea>
    </format>
    <format dxfId="117">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767"/>
          </reference>
          <reference field="9" count="1">
            <x v="611"/>
          </reference>
        </references>
      </pivotArea>
    </format>
    <format dxfId="116">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774"/>
          </reference>
          <reference field="9" count="1">
            <x v="611"/>
          </reference>
        </references>
      </pivotArea>
    </format>
    <format dxfId="115">
      <pivotArea dataOnly="0" labelOnly="1" fieldPosition="0">
        <references count="6">
          <reference field="1" count="1" selected="0">
            <x v="164"/>
          </reference>
          <reference field="5" count="1" selected="0">
            <x v="12"/>
          </reference>
          <reference field="6" count="1" selected="0">
            <x v="23"/>
          </reference>
          <reference field="7" count="1" selected="0">
            <x v="255"/>
          </reference>
          <reference field="8" count="1" selected="0">
            <x v="1809"/>
          </reference>
          <reference field="9" count="1">
            <x v="611"/>
          </reference>
        </references>
      </pivotArea>
    </format>
    <format dxfId="114">
      <pivotArea dataOnly="0" labelOnly="1" fieldPosition="0">
        <references count="6">
          <reference field="1" count="1" selected="0">
            <x v="164"/>
          </reference>
          <reference field="5" count="1" selected="0">
            <x v="12"/>
          </reference>
          <reference field="6" count="1" selected="0">
            <x v="38"/>
          </reference>
          <reference field="7" count="1" selected="0">
            <x v="256"/>
          </reference>
          <reference field="8" count="1" selected="0">
            <x v="6"/>
          </reference>
          <reference field="9" count="1">
            <x v="611"/>
          </reference>
        </references>
      </pivotArea>
    </format>
    <format dxfId="113">
      <pivotArea dataOnly="0" labelOnly="1" fieldPosition="0">
        <references count="6">
          <reference field="1" count="1" selected="0">
            <x v="164"/>
          </reference>
          <reference field="5" count="1" selected="0">
            <x v="14"/>
          </reference>
          <reference field="6" count="1" selected="0">
            <x v="1"/>
          </reference>
          <reference field="7" count="1" selected="0">
            <x v="256"/>
          </reference>
          <reference field="8" count="1" selected="0">
            <x v="602"/>
          </reference>
          <reference field="9" count="1">
            <x v="611"/>
          </reference>
        </references>
      </pivotArea>
    </format>
    <format dxfId="112">
      <pivotArea dataOnly="0" labelOnly="1" fieldPosition="0">
        <references count="6">
          <reference field="1" count="1" selected="0">
            <x v="164"/>
          </reference>
          <reference field="5" count="1" selected="0">
            <x v="14"/>
          </reference>
          <reference field="6" count="1" selected="0">
            <x v="23"/>
          </reference>
          <reference field="7" count="1" selected="0">
            <x v="255"/>
          </reference>
          <reference field="8" count="1" selected="0">
            <x v="294"/>
          </reference>
          <reference field="9" count="1">
            <x v="611"/>
          </reference>
        </references>
      </pivotArea>
    </format>
    <format dxfId="111">
      <pivotArea dataOnly="0" labelOnly="1" fieldPosition="0">
        <references count="6">
          <reference field="1" count="1" selected="0">
            <x v="164"/>
          </reference>
          <reference field="5" count="1" selected="0">
            <x v="15"/>
          </reference>
          <reference field="6" count="1" selected="0">
            <x v="23"/>
          </reference>
          <reference field="7" count="1" selected="0">
            <x v="255"/>
          </reference>
          <reference field="8" count="1" selected="0">
            <x v="1843"/>
          </reference>
          <reference field="9" count="1">
            <x v="611"/>
          </reference>
        </references>
      </pivotArea>
    </format>
    <format dxfId="110">
      <pivotArea dataOnly="0" labelOnly="1" fieldPosition="0">
        <references count="6">
          <reference field="1" count="1" selected="0">
            <x v="164"/>
          </reference>
          <reference field="5" count="1" selected="0">
            <x v="15"/>
          </reference>
          <reference field="6" count="1" selected="0">
            <x v="38"/>
          </reference>
          <reference field="7" count="1" selected="0">
            <x v="256"/>
          </reference>
          <reference field="8" count="1" selected="0">
            <x v="1619"/>
          </reference>
          <reference field="9" count="1">
            <x v="611"/>
          </reference>
        </references>
      </pivotArea>
    </format>
    <format dxfId="109">
      <pivotArea dataOnly="0" labelOnly="1" fieldPosition="0">
        <references count="6">
          <reference field="1" count="1" selected="0">
            <x v="164"/>
          </reference>
          <reference field="5" count="1" selected="0">
            <x v="23"/>
          </reference>
          <reference field="6" count="1" selected="0">
            <x v="23"/>
          </reference>
          <reference field="7" count="1" selected="0">
            <x v="255"/>
          </reference>
          <reference field="8" count="1" selected="0">
            <x v="1811"/>
          </reference>
          <reference field="9" count="1">
            <x v="611"/>
          </reference>
        </references>
      </pivotArea>
    </format>
    <format dxfId="108">
      <pivotArea dataOnly="0" labelOnly="1" fieldPosition="0">
        <references count="6">
          <reference field="1" count="1" selected="0">
            <x v="164"/>
          </reference>
          <reference field="5" count="1" selected="0">
            <x v="23"/>
          </reference>
          <reference field="6" count="1" selected="0">
            <x v="38"/>
          </reference>
          <reference field="7" count="1" selected="0">
            <x v="256"/>
          </reference>
          <reference field="8" count="1" selected="0">
            <x v="165"/>
          </reference>
          <reference field="9" count="1">
            <x v="611"/>
          </reference>
        </references>
      </pivotArea>
    </format>
    <format dxfId="107">
      <pivotArea dataOnly="0" labelOnly="1" fieldPosition="0">
        <references count="6">
          <reference field="1" count="1" selected="0">
            <x v="164"/>
          </reference>
          <reference field="5" count="1" selected="0">
            <x v="24"/>
          </reference>
          <reference field="6" count="1" selected="0">
            <x v="23"/>
          </reference>
          <reference field="7" count="1" selected="0">
            <x v="255"/>
          </reference>
          <reference field="8" count="1" selected="0">
            <x v="1432"/>
          </reference>
          <reference field="9" count="1">
            <x v="611"/>
          </reference>
        </references>
      </pivotArea>
    </format>
    <format dxfId="106">
      <pivotArea dataOnly="0" labelOnly="1" fieldPosition="0">
        <references count="6">
          <reference field="1" count="1" selected="0">
            <x v="164"/>
          </reference>
          <reference field="5" count="1" selected="0">
            <x v="33"/>
          </reference>
          <reference field="6" count="1" selected="0">
            <x v="38"/>
          </reference>
          <reference field="7" count="1" selected="0">
            <x v="256"/>
          </reference>
          <reference field="8" count="1" selected="0">
            <x v="541"/>
          </reference>
          <reference field="9" count="1">
            <x v="611"/>
          </reference>
        </references>
      </pivotArea>
    </format>
    <format dxfId="105">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47"/>
          </reference>
          <reference field="9" count="1">
            <x v="611"/>
          </reference>
        </references>
      </pivotArea>
    </format>
    <format dxfId="104">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183"/>
          </reference>
          <reference field="9" count="1">
            <x v="611"/>
          </reference>
        </references>
      </pivotArea>
    </format>
    <format dxfId="103">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268"/>
          </reference>
          <reference field="9" count="1">
            <x v="611"/>
          </reference>
        </references>
      </pivotArea>
    </format>
    <format dxfId="102">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283"/>
          </reference>
          <reference field="9" count="1">
            <x v="611"/>
          </reference>
        </references>
      </pivotArea>
    </format>
    <format dxfId="101">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336"/>
          </reference>
          <reference field="9" count="1">
            <x v="611"/>
          </reference>
        </references>
      </pivotArea>
    </format>
    <format dxfId="100">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343"/>
          </reference>
          <reference field="9" count="1">
            <x v="611"/>
          </reference>
        </references>
      </pivotArea>
    </format>
    <format dxfId="99">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384"/>
          </reference>
          <reference field="9" count="1">
            <x v="611"/>
          </reference>
        </references>
      </pivotArea>
    </format>
    <format dxfId="98">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419"/>
          </reference>
          <reference field="9" count="1">
            <x v="611"/>
          </reference>
        </references>
      </pivotArea>
    </format>
    <format dxfId="97">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656"/>
          </reference>
          <reference field="9" count="1">
            <x v="611"/>
          </reference>
        </references>
      </pivotArea>
    </format>
    <format dxfId="96">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677"/>
          </reference>
          <reference field="9" count="1">
            <x v="611"/>
          </reference>
        </references>
      </pivotArea>
    </format>
    <format dxfId="95">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709"/>
          </reference>
          <reference field="9" count="1">
            <x v="611"/>
          </reference>
        </references>
      </pivotArea>
    </format>
    <format dxfId="94">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816"/>
          </reference>
          <reference field="9" count="1">
            <x v="611"/>
          </reference>
        </references>
      </pivotArea>
    </format>
    <format dxfId="93">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843"/>
          </reference>
          <reference field="9" count="1">
            <x v="611"/>
          </reference>
        </references>
      </pivotArea>
    </format>
    <format dxfId="92">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859"/>
          </reference>
          <reference field="9" count="1">
            <x v="611"/>
          </reference>
        </references>
      </pivotArea>
    </format>
    <format dxfId="91">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969"/>
          </reference>
          <reference field="9" count="1">
            <x v="611"/>
          </reference>
        </references>
      </pivotArea>
    </format>
    <format dxfId="90">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1016"/>
          </reference>
          <reference field="9" count="1">
            <x v="611"/>
          </reference>
        </references>
      </pivotArea>
    </format>
    <format dxfId="89">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1129"/>
          </reference>
          <reference field="9" count="1">
            <x v="611"/>
          </reference>
        </references>
      </pivotArea>
    </format>
    <format dxfId="88">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1209"/>
          </reference>
          <reference field="9" count="1">
            <x v="611"/>
          </reference>
        </references>
      </pivotArea>
    </format>
    <format dxfId="87">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1217"/>
          </reference>
          <reference field="9" count="1">
            <x v="611"/>
          </reference>
        </references>
      </pivotArea>
    </format>
    <format dxfId="86">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1257"/>
          </reference>
          <reference field="9" count="1">
            <x v="611"/>
          </reference>
        </references>
      </pivotArea>
    </format>
    <format dxfId="85">
      <pivotArea dataOnly="0" labelOnly="1" fieldPosition="0">
        <references count="6">
          <reference field="1" count="1" selected="0">
            <x v="164"/>
          </reference>
          <reference field="5" count="1" selected="0">
            <x v="35"/>
          </reference>
          <reference field="6" count="1" selected="0">
            <x v="23"/>
          </reference>
          <reference field="7" count="1" selected="0">
            <x v="255"/>
          </reference>
          <reference field="8" count="1" selected="0">
            <x v="1590"/>
          </reference>
          <reference field="9" count="1">
            <x v="611"/>
          </reference>
        </references>
      </pivotArea>
    </format>
    <format dxfId="84">
      <pivotArea dataOnly="0" labelOnly="1" fieldPosition="0">
        <references count="6">
          <reference field="1" count="1" selected="0">
            <x v="165"/>
          </reference>
          <reference field="5" count="1" selected="0">
            <x v="0"/>
          </reference>
          <reference field="6" count="1" selected="0">
            <x v="1"/>
          </reference>
          <reference field="7" count="1" selected="0">
            <x v="257"/>
          </reference>
          <reference field="8" count="1" selected="0">
            <x v="213"/>
          </reference>
          <reference field="9" count="1">
            <x v="611"/>
          </reference>
        </references>
      </pivotArea>
    </format>
    <format dxfId="83">
      <pivotArea dataOnly="0" labelOnly="1" fieldPosition="0">
        <references count="6">
          <reference field="1" count="1" selected="0">
            <x v="165"/>
          </reference>
          <reference field="5" count="1" selected="0">
            <x v="0"/>
          </reference>
          <reference field="6" count="1" selected="0">
            <x v="8"/>
          </reference>
          <reference field="7" count="1" selected="0">
            <x v="257"/>
          </reference>
          <reference field="8" count="1" selected="0">
            <x v="320"/>
          </reference>
          <reference field="9" count="1">
            <x v="611"/>
          </reference>
        </references>
      </pivotArea>
    </format>
    <format dxfId="82">
      <pivotArea dataOnly="0" labelOnly="1" fieldPosition="0">
        <references count="6">
          <reference field="1" count="1" selected="0">
            <x v="165"/>
          </reference>
          <reference field="5" count="1" selected="0">
            <x v="0"/>
          </reference>
          <reference field="6" count="1" selected="0">
            <x v="8"/>
          </reference>
          <reference field="7" count="1" selected="0">
            <x v="257"/>
          </reference>
          <reference field="8" count="1" selected="0">
            <x v="397"/>
          </reference>
          <reference field="9" count="1">
            <x v="611"/>
          </reference>
        </references>
      </pivotArea>
    </format>
    <format dxfId="81">
      <pivotArea dataOnly="0" labelOnly="1" fieldPosition="0">
        <references count="6">
          <reference field="1" count="1" selected="0">
            <x v="165"/>
          </reference>
          <reference field="5" count="1" selected="0">
            <x v="0"/>
          </reference>
          <reference field="6" count="1" selected="0">
            <x v="8"/>
          </reference>
          <reference field="7" count="1" selected="0">
            <x v="257"/>
          </reference>
          <reference field="8" count="1" selected="0">
            <x v="408"/>
          </reference>
          <reference field="9" count="1">
            <x v="611"/>
          </reference>
        </references>
      </pivotArea>
    </format>
    <format dxfId="80">
      <pivotArea dataOnly="0" labelOnly="1" fieldPosition="0">
        <references count="6">
          <reference field="1" count="1" selected="0">
            <x v="165"/>
          </reference>
          <reference field="5" count="1" selected="0">
            <x v="0"/>
          </reference>
          <reference field="6" count="1" selected="0">
            <x v="8"/>
          </reference>
          <reference field="7" count="1" selected="0">
            <x v="257"/>
          </reference>
          <reference field="8" count="1" selected="0">
            <x v="550"/>
          </reference>
          <reference field="9" count="1">
            <x v="611"/>
          </reference>
        </references>
      </pivotArea>
    </format>
    <format dxfId="79">
      <pivotArea dataOnly="0" labelOnly="1" fieldPosition="0">
        <references count="6">
          <reference field="1" count="1" selected="0">
            <x v="165"/>
          </reference>
          <reference field="5" count="1" selected="0">
            <x v="0"/>
          </reference>
          <reference field="6" count="1" selected="0">
            <x v="8"/>
          </reference>
          <reference field="7" count="1" selected="0">
            <x v="257"/>
          </reference>
          <reference field="8" count="1" selected="0">
            <x v="605"/>
          </reference>
          <reference field="9" count="1">
            <x v="611"/>
          </reference>
        </references>
      </pivotArea>
    </format>
    <format dxfId="78">
      <pivotArea dataOnly="0" labelOnly="1" fieldPosition="0">
        <references count="6">
          <reference field="1" count="1" selected="0">
            <x v="165"/>
          </reference>
          <reference field="5" count="1" selected="0">
            <x v="0"/>
          </reference>
          <reference field="6" count="1" selected="0">
            <x v="8"/>
          </reference>
          <reference field="7" count="1" selected="0">
            <x v="257"/>
          </reference>
          <reference field="8" count="1" selected="0">
            <x v="1158"/>
          </reference>
          <reference field="9" count="1">
            <x v="611"/>
          </reference>
        </references>
      </pivotArea>
    </format>
    <format dxfId="77">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248"/>
          </reference>
          <reference field="9" count="1">
            <x v="611"/>
          </reference>
        </references>
      </pivotArea>
    </format>
    <format dxfId="76">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469"/>
          </reference>
          <reference field="9" count="1">
            <x v="611"/>
          </reference>
        </references>
      </pivotArea>
    </format>
    <format dxfId="75">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866"/>
          </reference>
          <reference field="9" count="1">
            <x v="611"/>
          </reference>
        </references>
      </pivotArea>
    </format>
    <format dxfId="74">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891"/>
          </reference>
          <reference field="9" count="1">
            <x v="611"/>
          </reference>
        </references>
      </pivotArea>
    </format>
    <format dxfId="73">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945"/>
          </reference>
          <reference field="9" count="1">
            <x v="611"/>
          </reference>
        </references>
      </pivotArea>
    </format>
    <format dxfId="72">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1036"/>
          </reference>
          <reference field="9" count="1">
            <x v="611"/>
          </reference>
        </references>
      </pivotArea>
    </format>
    <format dxfId="71">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1126"/>
          </reference>
          <reference field="9" count="1">
            <x v="611"/>
          </reference>
        </references>
      </pivotArea>
    </format>
    <format dxfId="70">
      <pivotArea dataOnly="0" labelOnly="1" fieldPosition="0">
        <references count="6">
          <reference field="1" count="1" selected="0">
            <x v="165"/>
          </reference>
          <reference field="5" count="1" selected="0">
            <x v="0"/>
          </reference>
          <reference field="6" count="1" selected="0">
            <x v="9"/>
          </reference>
          <reference field="7" count="1" selected="0">
            <x v="257"/>
          </reference>
          <reference field="8" count="1" selected="0">
            <x v="1234"/>
          </reference>
          <reference field="9" count="1">
            <x v="611"/>
          </reference>
        </references>
      </pivotArea>
    </format>
    <format dxfId="69">
      <pivotArea dataOnly="0" labelOnly="1" fieldPosition="0">
        <references count="6">
          <reference field="1" count="1" selected="0">
            <x v="165"/>
          </reference>
          <reference field="5" count="1" selected="0">
            <x v="0"/>
          </reference>
          <reference field="6" count="1" selected="0">
            <x v="12"/>
          </reference>
          <reference field="7" count="1" selected="0">
            <x v="9"/>
          </reference>
          <reference field="8" count="1" selected="0">
            <x v="82"/>
          </reference>
          <reference field="9" count="1">
            <x v="611"/>
          </reference>
        </references>
      </pivotArea>
    </format>
    <format dxfId="68">
      <pivotArea dataOnly="0" labelOnly="1" fieldPosition="0">
        <references count="6">
          <reference field="1" count="1" selected="0">
            <x v="165"/>
          </reference>
          <reference field="5" count="1" selected="0">
            <x v="0"/>
          </reference>
          <reference field="6" count="1" selected="0">
            <x v="12"/>
          </reference>
          <reference field="7" count="1" selected="0">
            <x v="11"/>
          </reference>
          <reference field="8" count="1" selected="0">
            <x v="138"/>
          </reference>
          <reference field="9" count="1">
            <x v="611"/>
          </reference>
        </references>
      </pivotArea>
    </format>
    <format dxfId="67">
      <pivotArea dataOnly="0" labelOnly="1" fieldPosition="0">
        <references count="6">
          <reference field="1" count="1" selected="0">
            <x v="165"/>
          </reference>
          <reference field="5" count="1" selected="0">
            <x v="0"/>
          </reference>
          <reference field="6" count="1" selected="0">
            <x v="12"/>
          </reference>
          <reference field="7" count="1" selected="0">
            <x v="19"/>
          </reference>
          <reference field="8" count="1" selected="0">
            <x v="188"/>
          </reference>
          <reference field="9" count="1">
            <x v="611"/>
          </reference>
        </references>
      </pivotArea>
    </format>
    <format dxfId="66">
      <pivotArea dataOnly="0" labelOnly="1" fieldPosition="0">
        <references count="6">
          <reference field="1" count="1" selected="0">
            <x v="165"/>
          </reference>
          <reference field="5" count="1" selected="0">
            <x v="0"/>
          </reference>
          <reference field="6" count="1" selected="0">
            <x v="12"/>
          </reference>
          <reference field="7" count="1" selected="0">
            <x v="42"/>
          </reference>
          <reference field="8" count="1" selected="0">
            <x v="69"/>
          </reference>
          <reference field="9" count="1">
            <x v="611"/>
          </reference>
        </references>
      </pivotArea>
    </format>
    <format dxfId="65">
      <pivotArea dataOnly="0" labelOnly="1" fieldPosition="0">
        <references count="6">
          <reference field="1" count="1" selected="0">
            <x v="165"/>
          </reference>
          <reference field="5" count="1" selected="0">
            <x v="0"/>
          </reference>
          <reference field="6" count="1" selected="0">
            <x v="38"/>
          </reference>
          <reference field="7" count="1" selected="0">
            <x v="257"/>
          </reference>
          <reference field="8" count="1" selected="0">
            <x v="6"/>
          </reference>
          <reference field="9" count="1">
            <x v="611"/>
          </reference>
        </references>
      </pivotArea>
    </format>
    <format dxfId="64">
      <pivotArea dataOnly="0" labelOnly="1" fieldPosition="0">
        <references count="6">
          <reference field="1" count="1" selected="0">
            <x v="165"/>
          </reference>
          <reference field="5" count="1" selected="0">
            <x v="0"/>
          </reference>
          <reference field="6" count="1" selected="0">
            <x v="38"/>
          </reference>
          <reference field="7" count="1" selected="0">
            <x v="257"/>
          </reference>
          <reference field="8" count="1" selected="0">
            <x v="138"/>
          </reference>
          <reference field="9" count="1">
            <x v="611"/>
          </reference>
        </references>
      </pivotArea>
    </format>
    <format dxfId="63">
      <pivotArea dataOnly="0" labelOnly="1" fieldPosition="0">
        <references count="6">
          <reference field="1" count="1" selected="0">
            <x v="165"/>
          </reference>
          <reference field="5" count="1" selected="0">
            <x v="0"/>
          </reference>
          <reference field="6" count="1" selected="0">
            <x v="38"/>
          </reference>
          <reference field="7" count="1" selected="0">
            <x v="257"/>
          </reference>
          <reference field="8" count="1" selected="0">
            <x v="676"/>
          </reference>
          <reference field="9" count="1">
            <x v="611"/>
          </reference>
        </references>
      </pivotArea>
    </format>
    <format dxfId="62">
      <pivotArea dataOnly="0" labelOnly="1" fieldPosition="0">
        <references count="6">
          <reference field="1" count="1" selected="0">
            <x v="165"/>
          </reference>
          <reference field="5" count="1" selected="0">
            <x v="0"/>
          </reference>
          <reference field="6" count="1" selected="0">
            <x v="38"/>
          </reference>
          <reference field="7" count="1" selected="0">
            <x v="257"/>
          </reference>
          <reference field="8" count="1" selected="0">
            <x v="1830"/>
          </reference>
          <reference field="9" count="1">
            <x v="611"/>
          </reference>
        </references>
      </pivotArea>
    </format>
    <format dxfId="61">
      <pivotArea dataOnly="0" labelOnly="1" fieldPosition="0">
        <references count="6">
          <reference field="1" count="1" selected="0">
            <x v="165"/>
          </reference>
          <reference field="5" count="1" selected="0">
            <x v="2"/>
          </reference>
          <reference field="6" count="1" selected="0">
            <x v="6"/>
          </reference>
          <reference field="7" count="1" selected="0">
            <x v="257"/>
          </reference>
          <reference field="8" count="1" selected="0">
            <x v="661"/>
          </reference>
          <reference field="9" count="1">
            <x v="611"/>
          </reference>
        </references>
      </pivotArea>
    </format>
    <format dxfId="60">
      <pivotArea dataOnly="0" labelOnly="1" fieldPosition="0">
        <references count="6">
          <reference field="1" count="1" selected="0">
            <x v="165"/>
          </reference>
          <reference field="5" count="1" selected="0">
            <x v="6"/>
          </reference>
          <reference field="6" count="1" selected="0">
            <x v="38"/>
          </reference>
          <reference field="7" count="1" selected="0">
            <x v="257"/>
          </reference>
          <reference field="8" count="1" selected="0">
            <x v="763"/>
          </reference>
          <reference field="9" count="1">
            <x v="611"/>
          </reference>
        </references>
      </pivotArea>
    </format>
    <format dxfId="59">
      <pivotArea dataOnly="0" labelOnly="1" fieldPosition="0">
        <references count="6">
          <reference field="1" count="1" selected="0">
            <x v="165"/>
          </reference>
          <reference field="5" count="1" selected="0">
            <x v="12"/>
          </reference>
          <reference field="6" count="1" selected="0">
            <x v="1"/>
          </reference>
          <reference field="7" count="1" selected="0">
            <x v="257"/>
          </reference>
          <reference field="8" count="1" selected="0">
            <x v="80"/>
          </reference>
          <reference field="9" count="1">
            <x v="611"/>
          </reference>
        </references>
      </pivotArea>
    </format>
    <format dxfId="58">
      <pivotArea dataOnly="0" labelOnly="1" fieldPosition="0">
        <references count="6">
          <reference field="1" count="1" selected="0">
            <x v="165"/>
          </reference>
          <reference field="5" count="1" selected="0">
            <x v="12"/>
          </reference>
          <reference field="6" count="1" selected="0">
            <x v="1"/>
          </reference>
          <reference field="7" count="1" selected="0">
            <x v="257"/>
          </reference>
          <reference field="8" count="1" selected="0">
            <x v="213"/>
          </reference>
          <reference field="9" count="1">
            <x v="611"/>
          </reference>
        </references>
      </pivotArea>
    </format>
    <format dxfId="57">
      <pivotArea dataOnly="0" labelOnly="1" fieldPosition="0">
        <references count="6">
          <reference field="1" count="1" selected="0">
            <x v="165"/>
          </reference>
          <reference field="5" count="1" selected="0">
            <x v="12"/>
          </reference>
          <reference field="6" count="1" selected="0">
            <x v="1"/>
          </reference>
          <reference field="7" count="1" selected="0">
            <x v="257"/>
          </reference>
          <reference field="8" count="1" selected="0">
            <x v="500"/>
          </reference>
          <reference field="9" count="1">
            <x v="611"/>
          </reference>
        </references>
      </pivotArea>
    </format>
    <format dxfId="56">
      <pivotArea dataOnly="0" labelOnly="1" fieldPosition="0">
        <references count="6">
          <reference field="1" count="1" selected="0">
            <x v="165"/>
          </reference>
          <reference field="5" count="1" selected="0">
            <x v="12"/>
          </reference>
          <reference field="6" count="1" selected="0">
            <x v="38"/>
          </reference>
          <reference field="7" count="1" selected="0">
            <x v="257"/>
          </reference>
          <reference field="8" count="1" selected="0">
            <x v="6"/>
          </reference>
          <reference field="9" count="1">
            <x v="611"/>
          </reference>
        </references>
      </pivotArea>
    </format>
    <format dxfId="55">
      <pivotArea dataOnly="0" labelOnly="1" fieldPosition="0">
        <references count="6">
          <reference field="1" count="1" selected="0">
            <x v="165"/>
          </reference>
          <reference field="5" count="1" selected="0">
            <x v="12"/>
          </reference>
          <reference field="6" count="1" selected="0">
            <x v="38"/>
          </reference>
          <reference field="7" count="1" selected="0">
            <x v="257"/>
          </reference>
          <reference field="8" count="1" selected="0">
            <x v="49"/>
          </reference>
          <reference field="9" count="1">
            <x v="611"/>
          </reference>
        </references>
      </pivotArea>
    </format>
    <format dxfId="54">
      <pivotArea dataOnly="0" labelOnly="1" fieldPosition="0">
        <references count="6">
          <reference field="1" count="1" selected="0">
            <x v="165"/>
          </reference>
          <reference field="5" count="1" selected="0">
            <x v="14"/>
          </reference>
          <reference field="6" count="1" selected="0">
            <x v="38"/>
          </reference>
          <reference field="7" count="1" selected="0">
            <x v="257"/>
          </reference>
          <reference field="8" count="1" selected="0">
            <x v="937"/>
          </reference>
          <reference field="9" count="1">
            <x v="611"/>
          </reference>
        </references>
      </pivotArea>
    </format>
    <format dxfId="53">
      <pivotArea dataOnly="0" labelOnly="1" fieldPosition="0">
        <references count="6">
          <reference field="1" count="1" selected="0">
            <x v="165"/>
          </reference>
          <reference field="5" count="1" selected="0">
            <x v="15"/>
          </reference>
          <reference field="6" count="1" selected="0">
            <x v="6"/>
          </reference>
          <reference field="7" count="1" selected="0">
            <x v="257"/>
          </reference>
          <reference field="8" count="1" selected="0">
            <x v="410"/>
          </reference>
          <reference field="9" count="1">
            <x v="611"/>
          </reference>
        </references>
      </pivotArea>
    </format>
    <format dxfId="52">
      <pivotArea dataOnly="0" labelOnly="1" fieldPosition="0">
        <references count="6">
          <reference field="1" count="1" selected="0">
            <x v="165"/>
          </reference>
          <reference field="5" count="1" selected="0">
            <x v="15"/>
          </reference>
          <reference field="6" count="1" selected="0">
            <x v="9"/>
          </reference>
          <reference field="7" count="1" selected="0">
            <x v="257"/>
          </reference>
          <reference field="8" count="1" selected="0">
            <x v="1044"/>
          </reference>
          <reference field="9" count="1">
            <x v="611"/>
          </reference>
        </references>
      </pivotArea>
    </format>
    <format dxfId="51">
      <pivotArea dataOnly="0" labelOnly="1" fieldPosition="0">
        <references count="6">
          <reference field="1" count="1" selected="0">
            <x v="165"/>
          </reference>
          <reference field="5" count="1" selected="0">
            <x v="15"/>
          </reference>
          <reference field="6" count="1" selected="0">
            <x v="38"/>
          </reference>
          <reference field="7" count="1" selected="0">
            <x v="257"/>
          </reference>
          <reference field="8" count="1" selected="0">
            <x v="1122"/>
          </reference>
          <reference field="9" count="1">
            <x v="611"/>
          </reference>
        </references>
      </pivotArea>
    </format>
    <format dxfId="50">
      <pivotArea dataOnly="0" labelOnly="1" fieldPosition="0">
        <references count="6">
          <reference field="1" count="1" selected="0">
            <x v="165"/>
          </reference>
          <reference field="5" count="1" selected="0">
            <x v="28"/>
          </reference>
          <reference field="6" count="1" selected="0">
            <x v="1"/>
          </reference>
          <reference field="7" count="1" selected="0">
            <x v="257"/>
          </reference>
          <reference field="8" count="1" selected="0">
            <x v="250"/>
          </reference>
          <reference field="9" count="1">
            <x v="611"/>
          </reference>
        </references>
      </pivotArea>
    </format>
    <format dxfId="49">
      <pivotArea dataOnly="0" labelOnly="1" fieldPosition="0">
        <references count="6">
          <reference field="1" count="1" selected="0">
            <x v="165"/>
          </reference>
          <reference field="5" count="1" selected="0">
            <x v="35"/>
          </reference>
          <reference field="6" count="1" selected="0">
            <x v="1"/>
          </reference>
          <reference field="7" count="1" selected="0">
            <x v="257"/>
          </reference>
          <reference field="8" count="1" selected="0">
            <x v="213"/>
          </reference>
          <reference field="9" count="1">
            <x v="611"/>
          </reference>
        </references>
      </pivotArea>
    </format>
    <format dxfId="48">
      <pivotArea dataOnly="0" labelOnly="1" fieldPosition="0">
        <references count="6">
          <reference field="1" count="1" selected="0">
            <x v="165"/>
          </reference>
          <reference field="5" count="1" selected="0">
            <x v="35"/>
          </reference>
          <reference field="6" count="1" selected="0">
            <x v="1"/>
          </reference>
          <reference field="7" count="1" selected="0">
            <x v="257"/>
          </reference>
          <reference field="8" count="1" selected="0">
            <x v="352"/>
          </reference>
          <reference field="9" count="1">
            <x v="611"/>
          </reference>
        </references>
      </pivotArea>
    </format>
    <format dxfId="47">
      <pivotArea dataOnly="0" labelOnly="1" fieldPosition="0">
        <references count="6">
          <reference field="1" count="1" selected="0">
            <x v="166"/>
          </reference>
          <reference field="5" count="1" selected="0">
            <x v="0"/>
          </reference>
          <reference field="6" count="1" selected="0">
            <x v="12"/>
          </reference>
          <reference field="7" count="1" selected="0">
            <x v="6"/>
          </reference>
          <reference field="8" count="1" selected="0">
            <x v="90"/>
          </reference>
          <reference field="9" count="1">
            <x v="611"/>
          </reference>
        </references>
      </pivotArea>
    </format>
    <format dxfId="46">
      <pivotArea dataOnly="0" labelOnly="1" fieldPosition="0">
        <references count="6">
          <reference field="1" count="1" selected="0">
            <x v="166"/>
          </reference>
          <reference field="5" count="1" selected="0">
            <x v="0"/>
          </reference>
          <reference field="6" count="1" selected="0">
            <x v="12"/>
          </reference>
          <reference field="7" count="1" selected="0">
            <x v="56"/>
          </reference>
          <reference field="8" count="1" selected="0">
            <x v="69"/>
          </reference>
          <reference field="9" count="1">
            <x v="611"/>
          </reference>
        </references>
      </pivotArea>
    </format>
    <format dxfId="45">
      <pivotArea dataOnly="0" labelOnly="1" fieldPosition="0">
        <references count="6">
          <reference field="1" count="1" selected="0">
            <x v="166"/>
          </reference>
          <reference field="5" count="1" selected="0">
            <x v="12"/>
          </reference>
          <reference field="6" count="1" selected="0">
            <x v="1"/>
          </reference>
          <reference field="7" count="1" selected="0">
            <x v="258"/>
          </reference>
          <reference field="8" count="1" selected="0">
            <x v="80"/>
          </reference>
          <reference field="9" count="1">
            <x v="611"/>
          </reference>
        </references>
      </pivotArea>
    </format>
    <format dxfId="44">
      <pivotArea dataOnly="0" labelOnly="1" fieldPosition="0">
        <references count="6">
          <reference field="1" count="1" selected="0">
            <x v="166"/>
          </reference>
          <reference field="5" count="1" selected="0">
            <x v="12"/>
          </reference>
          <reference field="6" count="1" selected="0">
            <x v="1"/>
          </reference>
          <reference field="7" count="1" selected="0">
            <x v="258"/>
          </reference>
          <reference field="8" count="1" selected="0">
            <x v="213"/>
          </reference>
          <reference field="9" count="1">
            <x v="611"/>
          </reference>
        </references>
      </pivotArea>
    </format>
    <format dxfId="43">
      <pivotArea dataOnly="0" labelOnly="1" fieldPosition="0">
        <references count="6">
          <reference field="1" count="1" selected="0">
            <x v="166"/>
          </reference>
          <reference field="5" count="1" selected="0">
            <x v="12"/>
          </reference>
          <reference field="6" count="1" selected="0">
            <x v="1"/>
          </reference>
          <reference field="7" count="1" selected="0">
            <x v="258"/>
          </reference>
          <reference field="8" count="1" selected="0">
            <x v="352"/>
          </reference>
          <reference field="9" count="1">
            <x v="611"/>
          </reference>
        </references>
      </pivotArea>
    </format>
    <format dxfId="42">
      <pivotArea dataOnly="0" labelOnly="1" fieldPosition="0">
        <references count="6">
          <reference field="1" count="1" selected="0">
            <x v="166"/>
          </reference>
          <reference field="5" count="1" selected="0">
            <x v="35"/>
          </reference>
          <reference field="6" count="1" selected="0">
            <x v="1"/>
          </reference>
          <reference field="7" count="1" selected="0">
            <x v="258"/>
          </reference>
          <reference field="8" count="1" selected="0">
            <x v="80"/>
          </reference>
          <reference field="9" count="1">
            <x v="611"/>
          </reference>
        </references>
      </pivotArea>
    </format>
    <format dxfId="41">
      <pivotArea dataOnly="0" labelOnly="1" fieldPosition="0">
        <references count="6">
          <reference field="1" count="1" selected="0">
            <x v="167"/>
          </reference>
          <reference field="5" count="1" selected="0">
            <x v="0"/>
          </reference>
          <reference field="6" count="1" selected="0">
            <x v="8"/>
          </reference>
          <reference field="7" count="1" selected="0">
            <x v="260"/>
          </reference>
          <reference field="8" count="1" selected="0">
            <x v="1199"/>
          </reference>
          <reference field="9" count="1">
            <x v="611"/>
          </reference>
        </references>
      </pivotArea>
    </format>
    <format dxfId="40">
      <pivotArea dataOnly="0" labelOnly="1" fieldPosition="0">
        <references count="6">
          <reference field="1" count="1" selected="0">
            <x v="167"/>
          </reference>
          <reference field="5" count="1" selected="0">
            <x v="0"/>
          </reference>
          <reference field="6" count="1" selected="0">
            <x v="10"/>
          </reference>
          <reference field="7" count="1" selected="0">
            <x v="260"/>
          </reference>
          <reference field="8" count="1" selected="0">
            <x v="0"/>
          </reference>
          <reference field="9" count="1">
            <x v="519"/>
          </reference>
        </references>
      </pivotArea>
    </format>
    <format dxfId="39">
      <pivotArea dataOnly="0" labelOnly="1" fieldPosition="0">
        <references count="6">
          <reference field="1" count="1" selected="0">
            <x v="167"/>
          </reference>
          <reference field="5" count="1" selected="0">
            <x v="0"/>
          </reference>
          <reference field="6" count="1" selected="0">
            <x v="12"/>
          </reference>
          <reference field="7" count="1" selected="0">
            <x v="6"/>
          </reference>
          <reference field="8" count="1" selected="0">
            <x v="90"/>
          </reference>
          <reference field="9" count="1">
            <x v="611"/>
          </reference>
        </references>
      </pivotArea>
    </format>
    <format dxfId="38">
      <pivotArea dataOnly="0" labelOnly="1" fieldPosition="0">
        <references count="6">
          <reference field="1" count="1" selected="0">
            <x v="167"/>
          </reference>
          <reference field="5" count="1" selected="0">
            <x v="0"/>
          </reference>
          <reference field="6" count="1" selected="0">
            <x v="12"/>
          </reference>
          <reference field="7" count="1" selected="0">
            <x v="16"/>
          </reference>
          <reference field="8" count="1" selected="0">
            <x v="138"/>
          </reference>
          <reference field="9" count="1">
            <x v="611"/>
          </reference>
        </references>
      </pivotArea>
    </format>
    <format dxfId="37">
      <pivotArea dataOnly="0" labelOnly="1" fieldPosition="0">
        <references count="6">
          <reference field="1" count="1" selected="0">
            <x v="167"/>
          </reference>
          <reference field="5" count="1" selected="0">
            <x v="0"/>
          </reference>
          <reference field="6" count="1" selected="0">
            <x v="12"/>
          </reference>
          <reference field="7" count="1" selected="0">
            <x v="27"/>
          </reference>
          <reference field="8" count="1" selected="0">
            <x v="92"/>
          </reference>
          <reference field="9" count="1">
            <x v="611"/>
          </reference>
        </references>
      </pivotArea>
    </format>
    <format dxfId="36">
      <pivotArea dataOnly="0" labelOnly="1" fieldPosition="0">
        <references count="6">
          <reference field="1" count="1" selected="0">
            <x v="167"/>
          </reference>
          <reference field="5" count="1" selected="0">
            <x v="0"/>
          </reference>
          <reference field="6" count="1" selected="0">
            <x v="12"/>
          </reference>
          <reference field="7" count="1" selected="0">
            <x v="30"/>
          </reference>
          <reference field="8" count="1" selected="0">
            <x v="6"/>
          </reference>
          <reference field="9" count="1">
            <x v="611"/>
          </reference>
        </references>
      </pivotArea>
    </format>
    <format dxfId="35">
      <pivotArea dataOnly="0" labelOnly="1" fieldPosition="0">
        <references count="6">
          <reference field="1" count="1" selected="0">
            <x v="167"/>
          </reference>
          <reference field="5" count="1" selected="0">
            <x v="0"/>
          </reference>
          <reference field="6" count="1" selected="0">
            <x v="12"/>
          </reference>
          <reference field="7" count="1" selected="0">
            <x v="39"/>
          </reference>
          <reference field="8" count="1" selected="0">
            <x v="61"/>
          </reference>
          <reference field="9" count="1">
            <x v="611"/>
          </reference>
        </references>
      </pivotArea>
    </format>
    <format dxfId="34">
      <pivotArea dataOnly="0" labelOnly="1" fieldPosition="0">
        <references count="6">
          <reference field="1" count="1" selected="0">
            <x v="167"/>
          </reference>
          <reference field="5" count="1" selected="0">
            <x v="0"/>
          </reference>
          <reference field="6" count="1" selected="0">
            <x v="12"/>
          </reference>
          <reference field="7" count="1" selected="0">
            <x v="57"/>
          </reference>
          <reference field="8" count="1" selected="0">
            <x v="69"/>
          </reference>
          <reference field="9" count="1">
            <x v="611"/>
          </reference>
        </references>
      </pivotArea>
    </format>
    <format dxfId="33">
      <pivotArea dataOnly="0" labelOnly="1" fieldPosition="0">
        <references count="6">
          <reference field="1" count="1" selected="0">
            <x v="167"/>
          </reference>
          <reference field="5" count="1" selected="0">
            <x v="5"/>
          </reference>
          <reference field="6" count="1" selected="0">
            <x v="37"/>
          </reference>
          <reference field="7" count="1" selected="0">
            <x v="260"/>
          </reference>
          <reference field="8" count="1" selected="0">
            <x v="1270"/>
          </reference>
          <reference field="9" count="1">
            <x v="611"/>
          </reference>
        </references>
      </pivotArea>
    </format>
    <format dxfId="32">
      <pivotArea dataOnly="0" labelOnly="1" fieldPosition="0">
        <references count="6">
          <reference field="1" count="1" selected="0">
            <x v="167"/>
          </reference>
          <reference field="5" count="1" selected="0">
            <x v="5"/>
          </reference>
          <reference field="6" count="1" selected="0">
            <x v="38"/>
          </reference>
          <reference field="7" count="1" selected="0">
            <x v="260"/>
          </reference>
          <reference field="8" count="1" selected="0">
            <x v="607"/>
          </reference>
          <reference field="9" count="1">
            <x v="611"/>
          </reference>
        </references>
      </pivotArea>
    </format>
    <format dxfId="31">
      <pivotArea dataOnly="0" labelOnly="1" fieldPosition="0">
        <references count="6">
          <reference field="1" count="1" selected="0">
            <x v="167"/>
          </reference>
          <reference field="5" count="1" selected="0">
            <x v="6"/>
          </reference>
          <reference field="6" count="1" selected="0">
            <x v="38"/>
          </reference>
          <reference field="7" count="1" selected="0">
            <x v="260"/>
          </reference>
          <reference field="8" count="1" selected="0">
            <x v="551"/>
          </reference>
          <reference field="9" count="1">
            <x v="611"/>
          </reference>
        </references>
      </pivotArea>
    </format>
    <format dxfId="30">
      <pivotArea dataOnly="0" labelOnly="1" fieldPosition="0">
        <references count="6">
          <reference field="1" count="1" selected="0">
            <x v="167"/>
          </reference>
          <reference field="5" count="1" selected="0">
            <x v="12"/>
          </reference>
          <reference field="6" count="1" selected="0">
            <x v="1"/>
          </reference>
          <reference field="7" count="1" selected="0">
            <x v="260"/>
          </reference>
          <reference field="8" count="1" selected="0">
            <x v="80"/>
          </reference>
          <reference field="9" count="1">
            <x v="611"/>
          </reference>
        </references>
      </pivotArea>
    </format>
    <format dxfId="29">
      <pivotArea dataOnly="0" labelOnly="1" fieldPosition="0">
        <references count="6">
          <reference field="1" count="1" selected="0">
            <x v="167"/>
          </reference>
          <reference field="5" count="1" selected="0">
            <x v="14"/>
          </reference>
          <reference field="6" count="1" selected="0">
            <x v="6"/>
          </reference>
          <reference field="7" count="1" selected="0">
            <x v="260"/>
          </reference>
          <reference field="8" count="1" selected="0">
            <x v="1792"/>
          </reference>
          <reference field="9" count="1">
            <x v="611"/>
          </reference>
        </references>
      </pivotArea>
    </format>
    <format dxfId="28">
      <pivotArea dataOnly="0" labelOnly="1" fieldPosition="0">
        <references count="6">
          <reference field="1" count="1" selected="0">
            <x v="167"/>
          </reference>
          <reference field="5" count="1" selected="0">
            <x v="14"/>
          </reference>
          <reference field="6" count="1" selected="0">
            <x v="29"/>
          </reference>
          <reference field="7" count="1" selected="0">
            <x v="259"/>
          </reference>
          <reference field="8" count="1" selected="0">
            <x v="1182"/>
          </reference>
          <reference field="9" count="1">
            <x v="611"/>
          </reference>
        </references>
      </pivotArea>
    </format>
    <format dxfId="27">
      <pivotArea dataOnly="0" labelOnly="1" fieldPosition="0">
        <references count="6">
          <reference field="1" count="1" selected="0">
            <x v="167"/>
          </reference>
          <reference field="5" count="1" selected="0">
            <x v="15"/>
          </reference>
          <reference field="6" count="1" selected="0">
            <x v="10"/>
          </reference>
          <reference field="7" count="1" selected="0">
            <x v="260"/>
          </reference>
          <reference field="8" count="1" selected="0">
            <x v="0"/>
          </reference>
          <reference field="9" count="1">
            <x v="519"/>
          </reference>
        </references>
      </pivotArea>
    </format>
    <format dxfId="26">
      <pivotArea dataOnly="0" labelOnly="1" fieldPosition="0">
        <references count="6">
          <reference field="1" count="1" selected="0">
            <x v="167"/>
          </reference>
          <reference field="5" count="1" selected="0">
            <x v="33"/>
          </reference>
          <reference field="6" count="1" selected="0">
            <x v="37"/>
          </reference>
          <reference field="7" count="1" selected="0">
            <x v="260"/>
          </reference>
          <reference field="8" count="1" selected="0">
            <x v="1208"/>
          </reference>
          <reference field="9" count="1">
            <x v="611"/>
          </reference>
        </references>
      </pivotArea>
    </format>
    <format dxfId="25">
      <pivotArea dataOnly="0" labelOnly="1" fieldPosition="0">
        <references count="6">
          <reference field="1" count="1" selected="0">
            <x v="167"/>
          </reference>
          <reference field="5" count="1" selected="0">
            <x v="35"/>
          </reference>
          <reference field="6" count="1" selected="0">
            <x v="1"/>
          </reference>
          <reference field="7" count="1" selected="0">
            <x v="260"/>
          </reference>
          <reference field="8" count="1" selected="0">
            <x v="80"/>
          </reference>
          <reference field="9" count="1">
            <x v="611"/>
          </reference>
        </references>
      </pivotArea>
    </format>
    <format dxfId="24">
      <pivotArea dataOnly="0" labelOnly="1" fieldPosition="0">
        <references count="6">
          <reference field="1" count="1" selected="0">
            <x v="168"/>
          </reference>
          <reference field="5" count="1" selected="0">
            <x v="0"/>
          </reference>
          <reference field="6" count="1" selected="0">
            <x v="1"/>
          </reference>
          <reference field="7" count="1" selected="0">
            <x v="262"/>
          </reference>
          <reference field="8" count="1" selected="0">
            <x v="80"/>
          </reference>
          <reference field="9" count="1">
            <x v="611"/>
          </reference>
        </references>
      </pivotArea>
    </format>
    <format dxfId="23">
      <pivotArea dataOnly="0" labelOnly="1" fieldPosition="0">
        <references count="6">
          <reference field="1" count="1" selected="0">
            <x v="168"/>
          </reference>
          <reference field="5" count="1" selected="0">
            <x v="0"/>
          </reference>
          <reference field="6" count="1" selected="0">
            <x v="11"/>
          </reference>
          <reference field="7" count="1" selected="0">
            <x v="51"/>
          </reference>
          <reference field="8" count="1" selected="0">
            <x v="633"/>
          </reference>
          <reference field="9" count="1">
            <x v="611"/>
          </reference>
        </references>
      </pivotArea>
    </format>
    <format dxfId="22">
      <pivotArea dataOnly="0" labelOnly="1" fieldPosition="0">
        <references count="6">
          <reference field="1" count="1" selected="0">
            <x v="168"/>
          </reference>
          <reference field="5" count="1" selected="0">
            <x v="0"/>
          </reference>
          <reference field="6" count="1" selected="0">
            <x v="12"/>
          </reference>
          <reference field="7" count="1" selected="0">
            <x v="12"/>
          </reference>
          <reference field="8" count="1" selected="0">
            <x v="39"/>
          </reference>
          <reference field="9" count="1">
            <x v="611"/>
          </reference>
        </references>
      </pivotArea>
    </format>
    <format dxfId="21">
      <pivotArea dataOnly="0" labelOnly="1" fieldPosition="0">
        <references count="6">
          <reference field="1" count="1" selected="0">
            <x v="168"/>
          </reference>
          <reference field="5" count="1" selected="0">
            <x v="0"/>
          </reference>
          <reference field="6" count="1" selected="0">
            <x v="12"/>
          </reference>
          <reference field="7" count="1" selected="0">
            <x v="38"/>
          </reference>
          <reference field="8" count="1" selected="0">
            <x v="114"/>
          </reference>
          <reference field="9" count="1">
            <x v="611"/>
          </reference>
        </references>
      </pivotArea>
    </format>
    <format dxfId="20">
      <pivotArea dataOnly="0" labelOnly="1" fieldPosition="0">
        <references count="6">
          <reference field="1" count="1" selected="0">
            <x v="168"/>
          </reference>
          <reference field="5" count="1" selected="0">
            <x v="0"/>
          </reference>
          <reference field="6" count="1" selected="0">
            <x v="12"/>
          </reference>
          <reference field="7" count="1" selected="0">
            <x v="55"/>
          </reference>
          <reference field="8" count="1" selected="0">
            <x v="92"/>
          </reference>
          <reference field="9" count="1">
            <x v="611"/>
          </reference>
        </references>
      </pivotArea>
    </format>
    <format dxfId="19">
      <pivotArea dataOnly="0" labelOnly="1" fieldPosition="0">
        <references count="6">
          <reference field="1" count="1" selected="0">
            <x v="168"/>
          </reference>
          <reference field="5" count="1" selected="0">
            <x v="0"/>
          </reference>
          <reference field="6" count="1" selected="0">
            <x v="12"/>
          </reference>
          <reference field="7" count="1" selected="0">
            <x v="57"/>
          </reference>
          <reference field="8" count="1" selected="0">
            <x v="192"/>
          </reference>
          <reference field="9" count="1">
            <x v="611"/>
          </reference>
        </references>
      </pivotArea>
    </format>
    <format dxfId="18">
      <pivotArea dataOnly="0" labelOnly="1" fieldPosition="0">
        <references count="6">
          <reference field="1" count="1" selected="0">
            <x v="168"/>
          </reference>
          <reference field="5" count="1" selected="0">
            <x v="0"/>
          </reference>
          <reference field="6" count="1" selected="0">
            <x v="38"/>
          </reference>
          <reference field="7" count="1" selected="0">
            <x v="262"/>
          </reference>
          <reference field="8" count="1" selected="0">
            <x v="262"/>
          </reference>
          <reference field="9" count="1">
            <x v="611"/>
          </reference>
        </references>
      </pivotArea>
    </format>
    <format dxfId="17">
      <pivotArea dataOnly="0" labelOnly="1" fieldPosition="0">
        <references count="6">
          <reference field="1" count="1" selected="0">
            <x v="168"/>
          </reference>
          <reference field="5" count="1" selected="0">
            <x v="0"/>
          </reference>
          <reference field="6" count="1" selected="0">
            <x v="38"/>
          </reference>
          <reference field="7" count="1" selected="0">
            <x v="262"/>
          </reference>
          <reference field="8" count="1" selected="0">
            <x v="1137"/>
          </reference>
          <reference field="9" count="1">
            <x v="611"/>
          </reference>
        </references>
      </pivotArea>
    </format>
    <format dxfId="16">
      <pivotArea dataOnly="0" labelOnly="1" fieldPosition="0">
        <references count="6">
          <reference field="1" count="1" selected="0">
            <x v="168"/>
          </reference>
          <reference field="5" count="1" selected="0">
            <x v="0"/>
          </reference>
          <reference field="6" count="1" selected="0">
            <x v="38"/>
          </reference>
          <reference field="7" count="1" selected="0">
            <x v="262"/>
          </reference>
          <reference field="8" count="1" selected="0">
            <x v="1343"/>
          </reference>
          <reference field="9" count="1">
            <x v="611"/>
          </reference>
        </references>
      </pivotArea>
    </format>
    <format dxfId="15">
      <pivotArea dataOnly="0" labelOnly="1" fieldPosition="0">
        <references count="6">
          <reference field="1" count="1" selected="0">
            <x v="168"/>
          </reference>
          <reference field="5" count="1" selected="0">
            <x v="3"/>
          </reference>
          <reference field="6" count="1" selected="0">
            <x v="38"/>
          </reference>
          <reference field="7" count="1" selected="0">
            <x v="262"/>
          </reference>
          <reference field="8" count="1" selected="0">
            <x v="1133"/>
          </reference>
          <reference field="9" count="1">
            <x v="611"/>
          </reference>
        </references>
      </pivotArea>
    </format>
    <format dxfId="14">
      <pivotArea dataOnly="0" labelOnly="1" fieldPosition="0">
        <references count="6">
          <reference field="1" count="1" selected="0">
            <x v="168"/>
          </reference>
          <reference field="5" count="1" selected="0">
            <x v="12"/>
          </reference>
          <reference field="6" count="1" selected="0">
            <x v="1"/>
          </reference>
          <reference field="7" count="1" selected="0">
            <x v="262"/>
          </reference>
          <reference field="8" count="1" selected="0">
            <x v="80"/>
          </reference>
          <reference field="9" count="1">
            <x v="611"/>
          </reference>
        </references>
      </pivotArea>
    </format>
    <format dxfId="13">
      <pivotArea dataOnly="0" labelOnly="1" fieldPosition="0">
        <references count="6">
          <reference field="1" count="1" selected="0">
            <x v="168"/>
          </reference>
          <reference field="5" count="1" selected="0">
            <x v="12"/>
          </reference>
          <reference field="6" count="1" selected="0">
            <x v="1"/>
          </reference>
          <reference field="7" count="1" selected="0">
            <x v="262"/>
          </reference>
          <reference field="8" count="1" selected="0">
            <x v="213"/>
          </reference>
          <reference field="9" count="1">
            <x v="611"/>
          </reference>
        </references>
      </pivotArea>
    </format>
    <format dxfId="12">
      <pivotArea dataOnly="0" labelOnly="1" fieldPosition="0">
        <references count="6">
          <reference field="1" count="1" selected="0">
            <x v="168"/>
          </reference>
          <reference field="5" count="1" selected="0">
            <x v="12"/>
          </reference>
          <reference field="6" count="1" selected="0">
            <x v="1"/>
          </reference>
          <reference field="7" count="1" selected="0">
            <x v="262"/>
          </reference>
          <reference field="8" count="1" selected="0">
            <x v="352"/>
          </reference>
          <reference field="9" count="1">
            <x v="611"/>
          </reference>
        </references>
      </pivotArea>
    </format>
    <format dxfId="11">
      <pivotArea dataOnly="0" labelOnly="1" fieldPosition="0">
        <references count="6">
          <reference field="1" count="1" selected="0">
            <x v="168"/>
          </reference>
          <reference field="5" count="1" selected="0">
            <x v="12"/>
          </reference>
          <reference field="6" count="1" selected="0">
            <x v="1"/>
          </reference>
          <reference field="7" count="1" selected="0">
            <x v="262"/>
          </reference>
          <reference field="8" count="1" selected="0">
            <x v="500"/>
          </reference>
          <reference field="9" count="1">
            <x v="611"/>
          </reference>
        </references>
      </pivotArea>
    </format>
    <format dxfId="10">
      <pivotArea dataOnly="0" labelOnly="1" fieldPosition="0">
        <references count="6">
          <reference field="1" count="1" selected="0">
            <x v="168"/>
          </reference>
          <reference field="5" count="1" selected="0">
            <x v="12"/>
          </reference>
          <reference field="6" count="1" selected="0">
            <x v="1"/>
          </reference>
          <reference field="7" count="1" selected="0">
            <x v="262"/>
          </reference>
          <reference field="8" count="1" selected="0">
            <x v="607"/>
          </reference>
          <reference field="9" count="1">
            <x v="611"/>
          </reference>
        </references>
      </pivotArea>
    </format>
    <format dxfId="9">
      <pivotArea dataOnly="0" labelOnly="1" fieldPosition="0">
        <references count="6">
          <reference field="1" count="1" selected="0">
            <x v="168"/>
          </reference>
          <reference field="5" count="1" selected="0">
            <x v="12"/>
          </reference>
          <reference field="6" count="1" selected="0">
            <x v="38"/>
          </reference>
          <reference field="7" count="1" selected="0">
            <x v="262"/>
          </reference>
          <reference field="8" count="1" selected="0">
            <x v="1697"/>
          </reference>
          <reference field="9" count="1">
            <x v="611"/>
          </reference>
        </references>
      </pivotArea>
    </format>
    <format dxfId="8">
      <pivotArea dataOnly="0" labelOnly="1" fieldPosition="0">
        <references count="6">
          <reference field="1" count="1" selected="0">
            <x v="168"/>
          </reference>
          <reference field="5" count="1" selected="0">
            <x v="14"/>
          </reference>
          <reference field="6" count="1" selected="0">
            <x v="6"/>
          </reference>
          <reference field="7" count="1" selected="0">
            <x v="262"/>
          </reference>
          <reference field="8" count="1" selected="0">
            <x v="1792"/>
          </reference>
          <reference field="9" count="1">
            <x v="611"/>
          </reference>
        </references>
      </pivotArea>
    </format>
    <format dxfId="7">
      <pivotArea dataOnly="0" labelOnly="1" fieldPosition="0">
        <references count="6">
          <reference field="1" count="1" selected="0">
            <x v="168"/>
          </reference>
          <reference field="5" count="1" selected="0">
            <x v="14"/>
          </reference>
          <reference field="6" count="1" selected="0">
            <x v="9"/>
          </reference>
          <reference field="7" count="1" selected="0">
            <x v="262"/>
          </reference>
          <reference field="8" count="1" selected="0">
            <x v="0"/>
          </reference>
          <reference field="9" count="1">
            <x v="127"/>
          </reference>
        </references>
      </pivotArea>
    </format>
    <format dxfId="6">
      <pivotArea dataOnly="0" labelOnly="1" fieldPosition="0">
        <references count="6">
          <reference field="1" count="1" selected="0">
            <x v="168"/>
          </reference>
          <reference field="5" count="1" selected="0">
            <x v="14"/>
          </reference>
          <reference field="6" count="1" selected="0">
            <x v="29"/>
          </reference>
          <reference field="7" count="1" selected="0">
            <x v="261"/>
          </reference>
          <reference field="8" count="1" selected="0">
            <x v="1238"/>
          </reference>
          <reference field="9" count="1">
            <x v="611"/>
          </reference>
        </references>
      </pivotArea>
    </format>
    <format dxfId="5">
      <pivotArea dataOnly="0" labelOnly="1" fieldPosition="0">
        <references count="6">
          <reference field="1" count="1" selected="0">
            <x v="168"/>
          </reference>
          <reference field="5" count="1" selected="0">
            <x v="15"/>
          </reference>
          <reference field="6" count="1" selected="0">
            <x v="33"/>
          </reference>
          <reference field="7" count="1" selected="0">
            <x v="262"/>
          </reference>
          <reference field="8" count="1" selected="0">
            <x v="981"/>
          </reference>
          <reference field="9" count="1">
            <x v="611"/>
          </reference>
        </references>
      </pivotArea>
    </format>
    <format dxfId="4">
      <pivotArea dataOnly="0" labelOnly="1" fieldPosition="0">
        <references count="6">
          <reference field="1" count="1" selected="0">
            <x v="168"/>
          </reference>
          <reference field="5" count="1" selected="0">
            <x v="15"/>
          </reference>
          <reference field="6" count="1" selected="0">
            <x v="38"/>
          </reference>
          <reference field="7" count="1" selected="0">
            <x v="262"/>
          </reference>
          <reference field="8" count="1" selected="0">
            <x v="500"/>
          </reference>
          <reference field="9" count="1">
            <x v="611"/>
          </reference>
        </references>
      </pivotArea>
    </format>
    <format dxfId="3">
      <pivotArea dataOnly="0" labelOnly="1" fieldPosition="0">
        <references count="6">
          <reference field="1" count="1" selected="0">
            <x v="168"/>
          </reference>
          <reference field="5" count="1" selected="0">
            <x v="26"/>
          </reference>
          <reference field="6" count="1" selected="0">
            <x v="38"/>
          </reference>
          <reference field="7" count="1" selected="0">
            <x v="262"/>
          </reference>
          <reference field="8" count="1" selected="0">
            <x v="719"/>
          </reference>
          <reference field="9" count="1">
            <x v="611"/>
          </reference>
        </references>
      </pivotArea>
    </format>
    <format dxfId="2">
      <pivotArea dataOnly="0" labelOnly="1" fieldPosition="0">
        <references count="6">
          <reference field="1" count="1" selected="0">
            <x v="169"/>
          </reference>
          <reference field="5" count="1" selected="0">
            <x v="0"/>
          </reference>
          <reference field="6" count="1" selected="0">
            <x v="12"/>
          </reference>
          <reference field="7" count="1" selected="0">
            <x v="6"/>
          </reference>
          <reference field="8" count="1" selected="0">
            <x v="32"/>
          </reference>
          <reference field="9" count="1">
            <x v="611"/>
          </reference>
        </references>
      </pivotArea>
    </format>
    <format dxfId="1">
      <pivotArea dataOnly="0" labelOnly="1" fieldPosition="0">
        <references count="6">
          <reference field="1" count="1" selected="0">
            <x v="169"/>
          </reference>
          <reference field="5" count="1" selected="0">
            <x v="0"/>
          </reference>
          <reference field="6" count="1" selected="0">
            <x v="12"/>
          </reference>
          <reference field="7" count="1" selected="0">
            <x v="61"/>
          </reference>
          <reference field="8" count="1" selected="0">
            <x v="315"/>
          </reference>
          <reference field="9" count="1">
            <x v="611"/>
          </reference>
        </references>
      </pivotArea>
    </format>
    <format dxfId="0">
      <pivotArea dataOnly="0" labelOnly="1" fieldPosition="0">
        <references count="6">
          <reference field="1" count="1" selected="0">
            <x v="169"/>
          </reference>
          <reference field="5" count="1" selected="0">
            <x v="0"/>
          </reference>
          <reference field="6" count="1" selected="0">
            <x v="12"/>
          </reference>
          <reference field="7" count="1" selected="0">
            <x v="62"/>
          </reference>
          <reference field="8" count="1" selected="0">
            <x v="81"/>
          </reference>
          <reference field="9" count="1">
            <x v="6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5" minRefreshableVersion="3" rowGrandTotals="0" colGrandTotals="0" itemPrintTitles="1" createdVersion="5" indent="0" outline="1" outlineData="1" multipleFieldFilters="0" fieldListSortAscending="1">
  <location ref="J6:L12"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items count="7">
        <item x="4"/>
        <item x="0"/>
        <item x="3"/>
        <item x="1"/>
        <item x="5"/>
        <item x="2"/>
        <item t="default"/>
      </items>
    </pivotField>
    <pivotField dataField="1" showAll="0"/>
    <pivotField dataField="1" showAll="0"/>
    <pivotField axis="axisPage" showAll="0">
      <items count="2">
        <item x="0"/>
        <item t="default"/>
      </items>
    </pivotField>
  </pivotFields>
  <rowFields count="1">
    <field x="2"/>
  </rowFields>
  <rowItems count="6">
    <i>
      <x/>
    </i>
    <i>
      <x v="1"/>
    </i>
    <i>
      <x v="2"/>
    </i>
    <i>
      <x v="3"/>
    </i>
    <i>
      <x v="4"/>
    </i>
    <i>
      <x v="5"/>
    </i>
  </rowItems>
  <colFields count="1">
    <field x="-2"/>
  </colFields>
  <colItems count="2">
    <i>
      <x/>
    </i>
    <i i="1">
      <x v="1"/>
    </i>
  </colItems>
  <pageFields count="2">
    <pageField fld="5" hier="-1"/>
    <pageField fld="0" hier="-1"/>
  </pageFields>
  <dataFields count="2">
    <dataField name="Suma de Balance" fld="3" baseField="2" baseItem="3"/>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apital Humano.accdb" connectionId="3" autoFormatId="16" applyNumberFormats="0" applyBorderFormats="0" applyFontFormats="0" applyPatternFormats="0" applyAlignmentFormats="0" applyWidthHeightFormats="0">
  <queryTableRefresh nextId="2">
    <queryTableFields count="1">
      <queryTableField id="1" name="Año" tableColumnId="1"/>
    </queryTableFields>
  </queryTableRefresh>
</queryTable>
</file>

<file path=xl/queryTables/queryTable2.xml><?xml version="1.0" encoding="utf-8"?>
<queryTable xmlns="http://schemas.openxmlformats.org/spreadsheetml/2006/main" name="Capital Humano.accdb_1" connectionId="4" autoFormatId="16" applyNumberFormats="0" applyBorderFormats="0" applyFontFormats="0" applyPatternFormats="0" applyAlignmentFormats="0" applyWidthHeightFormats="0">
  <queryTableRefresh nextId="4" unboundColumnsRight="1">
    <queryTableFields count="2">
      <queryTableField id="1" name="Mes" tableColumnId="1"/>
      <queryTableField id="3" dataBound="0"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a_Capital_Humano.accdb" displayName="Tabla_Capital_Humano.accdb" ref="O6:O8" tableType="queryTable" totalsRowShown="0">
  <autoFilter ref="O6:O8"/>
  <tableColumns count="1">
    <tableColumn id="1" uniqueName="1" name="Seleccione…" queryTableFieldId="1"/>
  </tableColumns>
  <tableStyleInfo name="TableStyleMedium2" showFirstColumn="0" showLastColumn="0" showRowStripes="1" showColumnStripes="0"/>
</table>
</file>

<file path=xl/tables/table2.xml><?xml version="1.0" encoding="utf-8"?>
<table xmlns="http://schemas.openxmlformats.org/spreadsheetml/2006/main" id="2" name="Tabla_Capital_Humano.accdb_1" displayName="Tabla_Capital_Humano.accdb_1" ref="R6:S18" tableType="queryTable" totalsRowShown="0">
  <autoFilter ref="R6:S18"/>
  <tableColumns count="2">
    <tableColumn id="1" uniqueName="1" name="Todos los meses" queryTableFieldId="1"/>
    <tableColumn id="3" uniqueName="3" name="0" queryTableFieldId="3"/>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36"/>
  <sheetViews>
    <sheetView showGridLines="0" zoomScale="70" zoomScaleNormal="70" workbookViewId="0">
      <selection activeCell="AH34" sqref="AH34"/>
    </sheetView>
  </sheetViews>
  <sheetFormatPr baseColWidth="10" defaultColWidth="9.140625" defaultRowHeight="15" x14ac:dyDescent="0.25"/>
  <cols>
    <col min="1" max="1" width="2.5703125" customWidth="1"/>
    <col min="2" max="2" width="3.42578125" customWidth="1"/>
    <col min="3" max="3" width="9" customWidth="1"/>
    <col min="4" max="4" width="8.85546875" customWidth="1"/>
    <col min="5" max="5" width="6.85546875" customWidth="1"/>
    <col min="6" max="7" width="8" customWidth="1"/>
    <col min="8"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5" width="6.85546875" customWidth="1"/>
    <col min="26" max="27" width="8" customWidth="1"/>
    <col min="28" max="28" width="6.85546875" customWidth="1"/>
    <col min="29" max="29" width="3.42578125" customWidth="1"/>
    <col min="30" max="30" width="3.28515625" customWidth="1"/>
  </cols>
  <sheetData>
    <row r="1" spans="1:16382" s="23" customFormat="1" ht="42.75" customHeight="1" x14ac:dyDescent="0.2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c r="ZA1" s="22"/>
      <c r="ZB1" s="22"/>
      <c r="ZC1" s="22"/>
      <c r="ZD1" s="22"/>
      <c r="ZE1" s="22"/>
      <c r="ZF1" s="22"/>
      <c r="ZG1" s="22"/>
      <c r="ZH1" s="22"/>
      <c r="ZI1" s="22"/>
      <c r="ZJ1" s="22"/>
      <c r="ZK1" s="22"/>
      <c r="ZL1" s="22"/>
      <c r="ZM1" s="22"/>
      <c r="ZN1" s="22"/>
      <c r="ZO1" s="22"/>
      <c r="ZP1" s="22"/>
      <c r="ZQ1" s="22"/>
      <c r="ZR1" s="22"/>
      <c r="ZS1" s="22"/>
      <c r="ZT1" s="22"/>
      <c r="ZU1" s="22"/>
      <c r="ZV1" s="22"/>
      <c r="ZW1" s="22"/>
      <c r="ZX1" s="22"/>
      <c r="ZY1" s="22"/>
      <c r="ZZ1" s="22"/>
      <c r="AAA1" s="22"/>
      <c r="AAB1" s="22"/>
      <c r="AAC1" s="22"/>
      <c r="AAD1" s="22"/>
      <c r="AAE1" s="22"/>
      <c r="AAF1" s="22"/>
      <c r="AAG1" s="22"/>
      <c r="AAH1" s="22"/>
      <c r="AAI1" s="22"/>
      <c r="AAJ1" s="22"/>
      <c r="AAK1" s="22"/>
      <c r="AAL1" s="22"/>
      <c r="AAM1" s="22"/>
      <c r="AAN1" s="22"/>
      <c r="AAO1" s="22"/>
      <c r="AAP1" s="22"/>
      <c r="AAQ1" s="22"/>
      <c r="AAR1" s="22"/>
      <c r="AAS1" s="22"/>
      <c r="AAT1" s="22"/>
      <c r="AAU1" s="22"/>
      <c r="AAV1" s="22"/>
      <c r="AAW1" s="22"/>
      <c r="AAX1" s="22"/>
      <c r="AAY1" s="22"/>
      <c r="AAZ1" s="22"/>
      <c r="ABA1" s="22"/>
      <c r="ABB1" s="22"/>
      <c r="ABC1" s="22"/>
      <c r="ABD1" s="22"/>
      <c r="ABE1" s="22"/>
      <c r="ABF1" s="22"/>
      <c r="ABG1" s="22"/>
      <c r="ABH1" s="22"/>
      <c r="ABI1" s="22"/>
      <c r="ABJ1" s="22"/>
      <c r="ABK1" s="22"/>
      <c r="ABL1" s="22"/>
      <c r="ABM1" s="22"/>
      <c r="ABN1" s="22"/>
      <c r="ABO1" s="22"/>
      <c r="ABP1" s="22"/>
      <c r="ABQ1" s="22"/>
      <c r="ABR1" s="22"/>
      <c r="ABS1" s="22"/>
      <c r="ABT1" s="22"/>
      <c r="ABU1" s="22"/>
      <c r="ABV1" s="22"/>
      <c r="ABW1" s="22"/>
      <c r="ABX1" s="22"/>
      <c r="ABY1" s="22"/>
      <c r="ABZ1" s="22"/>
      <c r="ACA1" s="22"/>
      <c r="ACB1" s="22"/>
      <c r="ACC1" s="22"/>
      <c r="ACD1" s="22"/>
      <c r="ACE1" s="22"/>
      <c r="ACF1" s="22"/>
      <c r="ACG1" s="22"/>
      <c r="ACH1" s="22"/>
      <c r="ACI1" s="22"/>
      <c r="ACJ1" s="22"/>
      <c r="ACK1" s="22"/>
      <c r="ACL1" s="22"/>
      <c r="ACM1" s="22"/>
      <c r="ACN1" s="22"/>
      <c r="ACO1" s="22"/>
      <c r="ACP1" s="22"/>
      <c r="ACQ1" s="22"/>
      <c r="ACR1" s="22"/>
      <c r="ACS1" s="22"/>
      <c r="ACT1" s="22"/>
      <c r="ACU1" s="22"/>
      <c r="ACV1" s="22"/>
      <c r="ACW1" s="22"/>
      <c r="ACX1" s="22"/>
      <c r="ACY1" s="22"/>
      <c r="ACZ1" s="22"/>
      <c r="ADA1" s="22"/>
      <c r="ADB1" s="22"/>
      <c r="ADC1" s="22"/>
      <c r="ADD1" s="22"/>
      <c r="ADE1" s="22"/>
      <c r="ADF1" s="22"/>
      <c r="ADG1" s="22"/>
      <c r="ADH1" s="22"/>
      <c r="ADI1" s="22"/>
      <c r="ADJ1" s="22"/>
      <c r="ADK1" s="22"/>
      <c r="ADL1" s="22"/>
      <c r="ADM1" s="22"/>
      <c r="ADN1" s="22"/>
      <c r="ADO1" s="22"/>
      <c r="ADP1" s="22"/>
      <c r="ADQ1" s="22"/>
      <c r="ADR1" s="22"/>
      <c r="ADS1" s="22"/>
      <c r="ADT1" s="22"/>
      <c r="ADU1" s="22"/>
      <c r="ADV1" s="22"/>
      <c r="ADW1" s="22"/>
      <c r="ADX1" s="22"/>
      <c r="ADY1" s="22"/>
      <c r="ADZ1" s="22"/>
      <c r="AEA1" s="22"/>
      <c r="AEB1" s="22"/>
      <c r="AEC1" s="22"/>
      <c r="AED1" s="22"/>
      <c r="AEE1" s="22"/>
      <c r="AEF1" s="22"/>
      <c r="AEG1" s="22"/>
      <c r="AEH1" s="22"/>
      <c r="AEI1" s="22"/>
      <c r="AEJ1" s="22"/>
      <c r="AEK1" s="22"/>
      <c r="AEL1" s="22"/>
      <c r="AEM1" s="22"/>
      <c r="AEN1" s="22"/>
      <c r="AEO1" s="22"/>
      <c r="AEP1" s="22"/>
      <c r="AEQ1" s="22"/>
      <c r="AER1" s="22"/>
      <c r="AES1" s="22"/>
      <c r="AET1" s="22"/>
      <c r="AEU1" s="22"/>
      <c r="AEV1" s="22"/>
      <c r="AEW1" s="22"/>
      <c r="AEX1" s="22"/>
      <c r="AEY1" s="22"/>
      <c r="AEZ1" s="22"/>
      <c r="AFA1" s="22"/>
      <c r="AFB1" s="22"/>
      <c r="AFC1" s="22"/>
      <c r="AFD1" s="22"/>
      <c r="AFE1" s="22"/>
      <c r="AFF1" s="22"/>
      <c r="AFG1" s="22"/>
      <c r="AFH1" s="22"/>
      <c r="AFI1" s="22"/>
      <c r="AFJ1" s="22"/>
      <c r="AFK1" s="22"/>
      <c r="AFL1" s="22"/>
      <c r="AFM1" s="22"/>
      <c r="AFN1" s="22"/>
      <c r="AFO1" s="22"/>
      <c r="AFP1" s="22"/>
      <c r="AFQ1" s="22"/>
      <c r="AFR1" s="22"/>
      <c r="AFS1" s="22"/>
      <c r="AFT1" s="22"/>
      <c r="AFU1" s="22"/>
      <c r="AFV1" s="22"/>
      <c r="AFW1" s="22"/>
      <c r="AFX1" s="22"/>
      <c r="AFY1" s="22"/>
      <c r="AFZ1" s="22"/>
      <c r="AGA1" s="22"/>
      <c r="AGB1" s="22"/>
      <c r="AGC1" s="22"/>
      <c r="AGD1" s="22"/>
      <c r="AGE1" s="22"/>
      <c r="AGF1" s="22"/>
      <c r="AGG1" s="22"/>
      <c r="AGH1" s="22"/>
      <c r="AGI1" s="22"/>
      <c r="AGJ1" s="22"/>
      <c r="AGK1" s="22"/>
      <c r="AGL1" s="22"/>
      <c r="AGM1" s="22"/>
      <c r="AGN1" s="22"/>
      <c r="AGO1" s="22"/>
      <c r="AGP1" s="22"/>
      <c r="AGQ1" s="22"/>
      <c r="AGR1" s="22"/>
      <c r="AGS1" s="22"/>
      <c r="AGT1" s="22"/>
      <c r="AGU1" s="22"/>
      <c r="AGV1" s="22"/>
      <c r="AGW1" s="22"/>
      <c r="AGX1" s="22"/>
      <c r="AGY1" s="22"/>
      <c r="AGZ1" s="22"/>
      <c r="AHA1" s="22"/>
      <c r="AHB1" s="22"/>
      <c r="AHC1" s="22"/>
      <c r="AHD1" s="22"/>
      <c r="AHE1" s="22"/>
      <c r="AHF1" s="22"/>
      <c r="AHG1" s="22"/>
      <c r="AHH1" s="22"/>
      <c r="AHI1" s="22"/>
      <c r="AHJ1" s="22"/>
      <c r="AHK1" s="22"/>
      <c r="AHL1" s="22"/>
      <c r="AHM1" s="22"/>
      <c r="AHN1" s="22"/>
      <c r="AHO1" s="22"/>
      <c r="AHP1" s="22"/>
      <c r="AHQ1" s="22"/>
      <c r="AHR1" s="22"/>
      <c r="AHS1" s="22"/>
      <c r="AHT1" s="22"/>
      <c r="AHU1" s="22"/>
      <c r="AHV1" s="22"/>
      <c r="AHW1" s="22"/>
      <c r="AHX1" s="22"/>
      <c r="AHY1" s="22"/>
      <c r="AHZ1" s="22"/>
      <c r="AIA1" s="22"/>
      <c r="AIB1" s="22"/>
      <c r="AIC1" s="22"/>
      <c r="AID1" s="22"/>
      <c r="AIE1" s="22"/>
      <c r="AIF1" s="22"/>
      <c r="AIG1" s="22"/>
      <c r="AIH1" s="22"/>
      <c r="AII1" s="22"/>
      <c r="AIJ1" s="22"/>
      <c r="AIK1" s="22"/>
      <c r="AIL1" s="22"/>
      <c r="AIM1" s="22"/>
      <c r="AIN1" s="22"/>
      <c r="AIO1" s="22"/>
      <c r="AIP1" s="22"/>
      <c r="AIQ1" s="22"/>
      <c r="AIR1" s="22"/>
      <c r="AIS1" s="22"/>
      <c r="AIT1" s="22"/>
      <c r="AIU1" s="22"/>
      <c r="AIV1" s="22"/>
      <c r="AIW1" s="22"/>
      <c r="AIX1" s="22"/>
      <c r="AIY1" s="22"/>
      <c r="AIZ1" s="22"/>
      <c r="AJA1" s="22"/>
      <c r="AJB1" s="22"/>
      <c r="AJC1" s="22"/>
      <c r="AJD1" s="22"/>
      <c r="AJE1" s="22"/>
      <c r="AJF1" s="22"/>
      <c r="AJG1" s="22"/>
      <c r="AJH1" s="22"/>
      <c r="AJI1" s="22"/>
      <c r="AJJ1" s="22"/>
      <c r="AJK1" s="22"/>
      <c r="AJL1" s="22"/>
      <c r="AJM1" s="22"/>
      <c r="AJN1" s="22"/>
      <c r="AJO1" s="22"/>
      <c r="AJP1" s="22"/>
      <c r="AJQ1" s="22"/>
      <c r="AJR1" s="22"/>
      <c r="AJS1" s="22"/>
      <c r="AJT1" s="22"/>
      <c r="AJU1" s="22"/>
      <c r="AJV1" s="22"/>
      <c r="AJW1" s="22"/>
      <c r="AJX1" s="22"/>
      <c r="AJY1" s="22"/>
      <c r="AJZ1" s="22"/>
      <c r="AKA1" s="22"/>
      <c r="AKB1" s="22"/>
      <c r="AKC1" s="22"/>
      <c r="AKD1" s="22"/>
      <c r="AKE1" s="22"/>
      <c r="AKF1" s="22"/>
      <c r="AKG1" s="22"/>
      <c r="AKH1" s="22"/>
      <c r="AKI1" s="22"/>
      <c r="AKJ1" s="22"/>
      <c r="AKK1" s="22"/>
      <c r="AKL1" s="22"/>
      <c r="AKM1" s="22"/>
      <c r="AKN1" s="22"/>
      <c r="AKO1" s="22"/>
      <c r="AKP1" s="22"/>
      <c r="AKQ1" s="22"/>
      <c r="AKR1" s="22"/>
      <c r="AKS1" s="22"/>
      <c r="AKT1" s="22"/>
      <c r="AKU1" s="22"/>
      <c r="AKV1" s="22"/>
      <c r="AKW1" s="22"/>
      <c r="AKX1" s="22"/>
      <c r="AKY1" s="22"/>
      <c r="AKZ1" s="22"/>
      <c r="ALA1" s="22"/>
      <c r="ALB1" s="22"/>
      <c r="ALC1" s="22"/>
      <c r="ALD1" s="22"/>
      <c r="ALE1" s="22"/>
      <c r="ALF1" s="22"/>
      <c r="ALG1" s="22"/>
      <c r="ALH1" s="22"/>
      <c r="ALI1" s="22"/>
      <c r="ALJ1" s="22"/>
      <c r="ALK1" s="22"/>
      <c r="ALL1" s="22"/>
      <c r="ALM1" s="22"/>
      <c r="ALN1" s="22"/>
      <c r="ALO1" s="22"/>
      <c r="ALP1" s="22"/>
      <c r="ALQ1" s="22"/>
      <c r="ALR1" s="22"/>
      <c r="ALS1" s="22"/>
      <c r="ALT1" s="22"/>
      <c r="ALU1" s="22"/>
      <c r="ALV1" s="22"/>
      <c r="ALW1" s="22"/>
      <c r="ALX1" s="22"/>
      <c r="ALY1" s="22"/>
      <c r="ALZ1" s="22"/>
      <c r="AMA1" s="22"/>
      <c r="AMB1" s="22"/>
      <c r="AMC1" s="22"/>
      <c r="AMD1" s="22"/>
      <c r="AME1" s="22"/>
      <c r="AMF1" s="22"/>
      <c r="AMG1" s="22"/>
      <c r="AMH1" s="22"/>
      <c r="AMI1" s="22"/>
      <c r="AMJ1" s="22"/>
      <c r="AMK1" s="22"/>
      <c r="AML1" s="22"/>
      <c r="AMM1" s="22"/>
      <c r="AMN1" s="22"/>
      <c r="AMO1" s="22"/>
      <c r="AMP1" s="22"/>
      <c r="AMQ1" s="22"/>
      <c r="AMR1" s="22"/>
      <c r="AMS1" s="22"/>
      <c r="AMT1" s="22"/>
      <c r="AMU1" s="22"/>
      <c r="AMV1" s="22"/>
      <c r="AMW1" s="22"/>
      <c r="AMX1" s="22"/>
      <c r="AMY1" s="22"/>
      <c r="AMZ1" s="22"/>
      <c r="ANA1" s="22"/>
      <c r="ANB1" s="22"/>
      <c r="ANC1" s="22"/>
      <c r="AND1" s="22"/>
      <c r="ANE1" s="22"/>
      <c r="ANF1" s="22"/>
      <c r="ANG1" s="22"/>
      <c r="ANH1" s="22"/>
      <c r="ANI1" s="22"/>
      <c r="ANJ1" s="22"/>
      <c r="ANK1" s="22"/>
      <c r="ANL1" s="22"/>
      <c r="ANM1" s="22"/>
      <c r="ANN1" s="22"/>
      <c r="ANO1" s="22"/>
      <c r="ANP1" s="22"/>
      <c r="ANQ1" s="22"/>
      <c r="ANR1" s="22"/>
      <c r="ANS1" s="22"/>
      <c r="ANT1" s="22"/>
      <c r="ANU1" s="22"/>
      <c r="ANV1" s="22"/>
      <c r="ANW1" s="22"/>
      <c r="ANX1" s="22"/>
      <c r="ANY1" s="22"/>
      <c r="ANZ1" s="22"/>
      <c r="AOA1" s="22"/>
      <c r="AOB1" s="22"/>
      <c r="AOC1" s="22"/>
      <c r="AOD1" s="22"/>
      <c r="AOE1" s="22"/>
      <c r="AOF1" s="22"/>
      <c r="AOG1" s="22"/>
      <c r="AOH1" s="22"/>
      <c r="AOI1" s="22"/>
      <c r="AOJ1" s="22"/>
      <c r="AOK1" s="22"/>
      <c r="AOL1" s="22"/>
      <c r="AOM1" s="22"/>
      <c r="AON1" s="22"/>
      <c r="AOO1" s="22"/>
      <c r="AOP1" s="22"/>
      <c r="AOQ1" s="22"/>
      <c r="AOR1" s="22"/>
      <c r="AOS1" s="22"/>
      <c r="AOT1" s="22"/>
      <c r="AOU1" s="22"/>
      <c r="AOV1" s="22"/>
      <c r="AOW1" s="22"/>
      <c r="AOX1" s="22"/>
      <c r="AOY1" s="22"/>
      <c r="AOZ1" s="22"/>
      <c r="APA1" s="22"/>
      <c r="APB1" s="22"/>
      <c r="APC1" s="22"/>
      <c r="APD1" s="22"/>
      <c r="APE1" s="22"/>
      <c r="APF1" s="22"/>
      <c r="APG1" s="22"/>
      <c r="APH1" s="22"/>
      <c r="API1" s="22"/>
      <c r="APJ1" s="22"/>
      <c r="APK1" s="22"/>
      <c r="APL1" s="22"/>
      <c r="APM1" s="22"/>
      <c r="APN1" s="22"/>
      <c r="APO1" s="22"/>
      <c r="APP1" s="22"/>
      <c r="APQ1" s="22"/>
      <c r="APR1" s="22"/>
      <c r="APS1" s="22"/>
      <c r="APT1" s="22"/>
      <c r="APU1" s="22"/>
      <c r="APV1" s="22"/>
      <c r="APW1" s="22"/>
      <c r="APX1" s="22"/>
      <c r="APY1" s="22"/>
      <c r="APZ1" s="22"/>
      <c r="AQA1" s="22"/>
      <c r="AQB1" s="22"/>
      <c r="AQC1" s="22"/>
      <c r="AQD1" s="22"/>
      <c r="AQE1" s="22"/>
      <c r="AQF1" s="22"/>
      <c r="AQG1" s="22"/>
      <c r="AQH1" s="22"/>
      <c r="AQI1" s="22"/>
      <c r="AQJ1" s="22"/>
      <c r="AQK1" s="22"/>
      <c r="AQL1" s="22"/>
      <c r="AQM1" s="22"/>
      <c r="AQN1" s="22"/>
      <c r="AQO1" s="22"/>
      <c r="AQP1" s="22"/>
      <c r="AQQ1" s="22"/>
      <c r="AQR1" s="22"/>
      <c r="AQS1" s="22"/>
      <c r="AQT1" s="22"/>
      <c r="AQU1" s="22"/>
      <c r="AQV1" s="22"/>
      <c r="AQW1" s="22"/>
      <c r="AQX1" s="22"/>
      <c r="AQY1" s="22"/>
      <c r="AQZ1" s="22"/>
      <c r="ARA1" s="22"/>
      <c r="ARB1" s="22"/>
      <c r="ARC1" s="22"/>
      <c r="ARD1" s="22"/>
      <c r="ARE1" s="22"/>
      <c r="ARF1" s="22"/>
      <c r="ARG1" s="22"/>
      <c r="ARH1" s="22"/>
      <c r="ARI1" s="22"/>
      <c r="ARJ1" s="22"/>
      <c r="ARK1" s="22"/>
      <c r="ARL1" s="22"/>
      <c r="ARM1" s="22"/>
      <c r="ARN1" s="22"/>
      <c r="ARO1" s="22"/>
      <c r="ARP1" s="22"/>
      <c r="ARQ1" s="22"/>
      <c r="ARR1" s="22"/>
      <c r="ARS1" s="22"/>
      <c r="ART1" s="22"/>
      <c r="ARU1" s="22"/>
      <c r="ARV1" s="22"/>
      <c r="ARW1" s="22"/>
      <c r="ARX1" s="22"/>
      <c r="ARY1" s="22"/>
      <c r="ARZ1" s="22"/>
      <c r="ASA1" s="22"/>
      <c r="ASB1" s="22"/>
      <c r="ASC1" s="22"/>
      <c r="ASD1" s="22"/>
      <c r="ASE1" s="22"/>
      <c r="ASF1" s="22"/>
      <c r="ASG1" s="22"/>
      <c r="ASH1" s="22"/>
      <c r="ASI1" s="22"/>
      <c r="ASJ1" s="22"/>
      <c r="ASK1" s="22"/>
      <c r="ASL1" s="22"/>
      <c r="ASM1" s="22"/>
      <c r="ASN1" s="22"/>
      <c r="ASO1" s="22"/>
      <c r="ASP1" s="22"/>
      <c r="ASQ1" s="22"/>
      <c r="ASR1" s="22"/>
      <c r="ASS1" s="22"/>
      <c r="AST1" s="22"/>
      <c r="ASU1" s="22"/>
      <c r="ASV1" s="22"/>
      <c r="ASW1" s="22"/>
      <c r="ASX1" s="22"/>
      <c r="ASY1" s="22"/>
      <c r="ASZ1" s="22"/>
      <c r="ATA1" s="22"/>
      <c r="ATB1" s="22"/>
      <c r="ATC1" s="22"/>
      <c r="ATD1" s="22"/>
      <c r="ATE1" s="22"/>
      <c r="ATF1" s="22"/>
      <c r="ATG1" s="22"/>
      <c r="ATH1" s="22"/>
      <c r="ATI1" s="22"/>
      <c r="ATJ1" s="22"/>
      <c r="ATK1" s="22"/>
      <c r="ATL1" s="22"/>
      <c r="ATM1" s="22"/>
      <c r="ATN1" s="22"/>
      <c r="ATO1" s="22"/>
      <c r="ATP1" s="22"/>
      <c r="ATQ1" s="22"/>
      <c r="ATR1" s="22"/>
      <c r="ATS1" s="22"/>
      <c r="ATT1" s="22"/>
      <c r="ATU1" s="22"/>
      <c r="ATV1" s="22"/>
      <c r="ATW1" s="22"/>
      <c r="ATX1" s="22"/>
      <c r="ATY1" s="22"/>
      <c r="ATZ1" s="22"/>
      <c r="AUA1" s="22"/>
      <c r="AUB1" s="22"/>
      <c r="AUC1" s="22"/>
      <c r="AUD1" s="22"/>
      <c r="AUE1" s="22"/>
      <c r="AUF1" s="22"/>
      <c r="AUG1" s="22"/>
      <c r="AUH1" s="22"/>
      <c r="AUI1" s="22"/>
      <c r="AUJ1" s="22"/>
      <c r="AUK1" s="22"/>
      <c r="AUL1" s="22"/>
      <c r="AUM1" s="22"/>
      <c r="AUN1" s="22"/>
      <c r="AUO1" s="22"/>
      <c r="AUP1" s="22"/>
      <c r="AUQ1" s="22"/>
      <c r="AUR1" s="22"/>
      <c r="AUS1" s="22"/>
      <c r="AUT1" s="22"/>
      <c r="AUU1" s="22"/>
      <c r="AUV1" s="22"/>
      <c r="AUW1" s="22"/>
      <c r="AUX1" s="22"/>
      <c r="AUY1" s="22"/>
      <c r="AUZ1" s="22"/>
      <c r="AVA1" s="22"/>
      <c r="AVB1" s="22"/>
      <c r="AVC1" s="22"/>
      <c r="AVD1" s="22"/>
      <c r="AVE1" s="22"/>
      <c r="AVF1" s="22"/>
      <c r="AVG1" s="22"/>
      <c r="AVH1" s="22"/>
      <c r="AVI1" s="22"/>
      <c r="AVJ1" s="22"/>
      <c r="AVK1" s="22"/>
      <c r="AVL1" s="22"/>
      <c r="AVM1" s="22"/>
      <c r="AVN1" s="22"/>
      <c r="AVO1" s="22"/>
      <c r="AVP1" s="22"/>
      <c r="AVQ1" s="22"/>
      <c r="AVR1" s="22"/>
      <c r="AVS1" s="22"/>
      <c r="AVT1" s="22"/>
      <c r="AVU1" s="22"/>
      <c r="AVV1" s="22"/>
      <c r="AVW1" s="22"/>
      <c r="AVX1" s="22"/>
      <c r="AVY1" s="22"/>
      <c r="AVZ1" s="22"/>
      <c r="AWA1" s="22"/>
      <c r="AWB1" s="22"/>
      <c r="AWC1" s="22"/>
      <c r="AWD1" s="22"/>
      <c r="AWE1" s="22"/>
      <c r="AWF1" s="22"/>
      <c r="AWG1" s="22"/>
      <c r="AWH1" s="22"/>
      <c r="AWI1" s="22"/>
      <c r="AWJ1" s="22"/>
      <c r="AWK1" s="22"/>
      <c r="AWL1" s="22"/>
      <c r="AWM1" s="22"/>
      <c r="AWN1" s="22"/>
      <c r="AWO1" s="22"/>
      <c r="AWP1" s="22"/>
      <c r="AWQ1" s="22"/>
      <c r="AWR1" s="22"/>
      <c r="AWS1" s="22"/>
      <c r="AWT1" s="22"/>
      <c r="AWU1" s="22"/>
      <c r="AWV1" s="22"/>
      <c r="AWW1" s="22"/>
      <c r="AWX1" s="22"/>
      <c r="AWY1" s="22"/>
      <c r="AWZ1" s="22"/>
      <c r="AXA1" s="22"/>
      <c r="AXB1" s="22"/>
      <c r="AXC1" s="22"/>
      <c r="AXD1" s="22"/>
      <c r="AXE1" s="22"/>
      <c r="AXF1" s="22"/>
      <c r="AXG1" s="22"/>
      <c r="AXH1" s="22"/>
      <c r="AXI1" s="22"/>
      <c r="AXJ1" s="22"/>
      <c r="AXK1" s="22"/>
      <c r="AXL1" s="22"/>
      <c r="AXM1" s="22"/>
      <c r="AXN1" s="22"/>
      <c r="AXO1" s="22"/>
      <c r="AXP1" s="22"/>
      <c r="AXQ1" s="22"/>
      <c r="AXR1" s="22"/>
      <c r="AXS1" s="22"/>
      <c r="AXT1" s="22"/>
      <c r="AXU1" s="22"/>
      <c r="AXV1" s="22"/>
      <c r="AXW1" s="22"/>
      <c r="AXX1" s="22"/>
      <c r="AXY1" s="22"/>
      <c r="AXZ1" s="22"/>
      <c r="AYA1" s="22"/>
      <c r="AYB1" s="22"/>
      <c r="AYC1" s="22"/>
      <c r="AYD1" s="22"/>
      <c r="AYE1" s="22"/>
      <c r="AYF1" s="22"/>
      <c r="AYG1" s="22"/>
      <c r="AYH1" s="22"/>
      <c r="AYI1" s="22"/>
      <c r="AYJ1" s="22"/>
      <c r="AYK1" s="22"/>
      <c r="AYL1" s="22"/>
      <c r="AYM1" s="22"/>
      <c r="AYN1" s="22"/>
      <c r="AYO1" s="22"/>
      <c r="AYP1" s="22"/>
      <c r="AYQ1" s="22"/>
      <c r="AYR1" s="22"/>
      <c r="AYS1" s="22"/>
      <c r="AYT1" s="22"/>
      <c r="AYU1" s="22"/>
      <c r="AYV1" s="22"/>
      <c r="AYW1" s="22"/>
      <c r="AYX1" s="22"/>
      <c r="AYY1" s="22"/>
      <c r="AYZ1" s="22"/>
      <c r="AZA1" s="22"/>
      <c r="AZB1" s="22"/>
      <c r="AZC1" s="22"/>
      <c r="AZD1" s="22"/>
      <c r="AZE1" s="22"/>
      <c r="AZF1" s="22"/>
      <c r="AZG1" s="22"/>
      <c r="AZH1" s="22"/>
      <c r="AZI1" s="22"/>
      <c r="AZJ1" s="22"/>
      <c r="AZK1" s="22"/>
      <c r="AZL1" s="22"/>
      <c r="AZM1" s="22"/>
      <c r="AZN1" s="22"/>
      <c r="AZO1" s="22"/>
      <c r="AZP1" s="22"/>
      <c r="AZQ1" s="22"/>
      <c r="AZR1" s="22"/>
      <c r="AZS1" s="22"/>
      <c r="AZT1" s="22"/>
      <c r="AZU1" s="22"/>
      <c r="AZV1" s="22"/>
      <c r="AZW1" s="22"/>
      <c r="AZX1" s="22"/>
      <c r="AZY1" s="22"/>
      <c r="AZZ1" s="22"/>
      <c r="BAA1" s="22"/>
      <c r="BAB1" s="22"/>
      <c r="BAC1" s="22"/>
      <c r="BAD1" s="22"/>
      <c r="BAE1" s="22"/>
      <c r="BAF1" s="22"/>
      <c r="BAG1" s="22"/>
      <c r="BAH1" s="22"/>
      <c r="BAI1" s="22"/>
      <c r="BAJ1" s="22"/>
      <c r="BAK1" s="22"/>
      <c r="BAL1" s="22"/>
      <c r="BAM1" s="22"/>
      <c r="BAN1" s="22"/>
      <c r="BAO1" s="22"/>
      <c r="BAP1" s="22"/>
      <c r="BAQ1" s="22"/>
      <c r="BAR1" s="22"/>
      <c r="BAS1" s="22"/>
      <c r="BAT1" s="22"/>
      <c r="BAU1" s="22"/>
      <c r="BAV1" s="22"/>
      <c r="BAW1" s="22"/>
      <c r="BAX1" s="22"/>
      <c r="BAY1" s="22"/>
      <c r="BAZ1" s="22"/>
      <c r="BBA1" s="22"/>
      <c r="BBB1" s="22"/>
      <c r="BBC1" s="22"/>
      <c r="BBD1" s="22"/>
      <c r="BBE1" s="22"/>
      <c r="BBF1" s="22"/>
      <c r="BBG1" s="22"/>
      <c r="BBH1" s="22"/>
      <c r="BBI1" s="22"/>
      <c r="BBJ1" s="22"/>
      <c r="BBK1" s="22"/>
      <c r="BBL1" s="22"/>
      <c r="BBM1" s="22"/>
      <c r="BBN1" s="22"/>
      <c r="BBO1" s="22"/>
      <c r="BBP1" s="22"/>
      <c r="BBQ1" s="22"/>
      <c r="BBR1" s="22"/>
      <c r="BBS1" s="22"/>
      <c r="BBT1" s="22"/>
      <c r="BBU1" s="22"/>
      <c r="BBV1" s="22"/>
      <c r="BBW1" s="22"/>
      <c r="BBX1" s="22"/>
      <c r="BBY1" s="22"/>
      <c r="BBZ1" s="22"/>
      <c r="BCA1" s="22"/>
      <c r="BCB1" s="22"/>
      <c r="BCC1" s="22"/>
      <c r="BCD1" s="22"/>
      <c r="BCE1" s="22"/>
      <c r="BCF1" s="22"/>
      <c r="BCG1" s="22"/>
      <c r="BCH1" s="22"/>
      <c r="BCI1" s="22"/>
      <c r="BCJ1" s="22"/>
      <c r="BCK1" s="22"/>
      <c r="BCL1" s="22"/>
      <c r="BCM1" s="22"/>
      <c r="BCN1" s="22"/>
      <c r="BCO1" s="22"/>
      <c r="BCP1" s="22"/>
      <c r="BCQ1" s="22"/>
      <c r="BCR1" s="22"/>
      <c r="BCS1" s="22"/>
      <c r="BCT1" s="22"/>
      <c r="BCU1" s="22"/>
      <c r="BCV1" s="22"/>
      <c r="BCW1" s="22"/>
      <c r="BCX1" s="22"/>
      <c r="BCY1" s="22"/>
      <c r="BCZ1" s="22"/>
      <c r="BDA1" s="22"/>
      <c r="BDB1" s="22"/>
      <c r="BDC1" s="22"/>
      <c r="BDD1" s="22"/>
      <c r="BDE1" s="22"/>
      <c r="BDF1" s="22"/>
      <c r="BDG1" s="22"/>
      <c r="BDH1" s="22"/>
      <c r="BDI1" s="22"/>
      <c r="BDJ1" s="22"/>
      <c r="BDK1" s="22"/>
      <c r="BDL1" s="22"/>
      <c r="BDM1" s="22"/>
      <c r="BDN1" s="22"/>
      <c r="BDO1" s="22"/>
      <c r="BDP1" s="22"/>
      <c r="BDQ1" s="22"/>
      <c r="BDR1" s="22"/>
      <c r="BDS1" s="22"/>
      <c r="BDT1" s="22"/>
      <c r="BDU1" s="22"/>
      <c r="BDV1" s="22"/>
      <c r="BDW1" s="22"/>
      <c r="BDX1" s="22"/>
      <c r="BDY1" s="22"/>
      <c r="BDZ1" s="22"/>
      <c r="BEA1" s="22"/>
      <c r="BEB1" s="22"/>
      <c r="BEC1" s="22"/>
      <c r="BED1" s="22"/>
      <c r="BEE1" s="22"/>
      <c r="BEF1" s="22"/>
      <c r="BEG1" s="22"/>
      <c r="BEH1" s="22"/>
      <c r="BEI1" s="22"/>
      <c r="BEJ1" s="22"/>
      <c r="BEK1" s="22"/>
      <c r="BEL1" s="22"/>
      <c r="BEM1" s="22"/>
      <c r="BEN1" s="22"/>
      <c r="BEO1" s="22"/>
      <c r="BEP1" s="22"/>
      <c r="BEQ1" s="22"/>
      <c r="BER1" s="22"/>
      <c r="BES1" s="22"/>
      <c r="BET1" s="22"/>
      <c r="BEU1" s="22"/>
      <c r="BEV1" s="22"/>
      <c r="BEW1" s="22"/>
      <c r="BEX1" s="22"/>
      <c r="BEY1" s="22"/>
      <c r="BEZ1" s="22"/>
      <c r="BFA1" s="22"/>
      <c r="BFB1" s="22"/>
      <c r="BFC1" s="22"/>
      <c r="BFD1" s="22"/>
      <c r="BFE1" s="22"/>
      <c r="BFF1" s="22"/>
      <c r="BFG1" s="22"/>
      <c r="BFH1" s="22"/>
      <c r="BFI1" s="22"/>
      <c r="BFJ1" s="22"/>
      <c r="BFK1" s="22"/>
      <c r="BFL1" s="22"/>
      <c r="BFM1" s="22"/>
      <c r="BFN1" s="22"/>
      <c r="BFO1" s="22"/>
      <c r="BFP1" s="22"/>
      <c r="BFQ1" s="22"/>
      <c r="BFR1" s="22"/>
      <c r="BFS1" s="22"/>
      <c r="BFT1" s="22"/>
      <c r="BFU1" s="22"/>
      <c r="BFV1" s="22"/>
      <c r="BFW1" s="22"/>
      <c r="BFX1" s="22"/>
      <c r="BFY1" s="22"/>
      <c r="BFZ1" s="22"/>
      <c r="BGA1" s="22"/>
      <c r="BGB1" s="22"/>
      <c r="BGC1" s="22"/>
      <c r="BGD1" s="22"/>
      <c r="BGE1" s="22"/>
      <c r="BGF1" s="22"/>
      <c r="BGG1" s="22"/>
      <c r="BGH1" s="22"/>
      <c r="BGI1" s="22"/>
      <c r="BGJ1" s="22"/>
      <c r="BGK1" s="22"/>
      <c r="BGL1" s="22"/>
      <c r="BGM1" s="22"/>
      <c r="BGN1" s="22"/>
      <c r="BGO1" s="22"/>
      <c r="BGP1" s="22"/>
      <c r="BGQ1" s="22"/>
      <c r="BGR1" s="22"/>
      <c r="BGS1" s="22"/>
      <c r="BGT1" s="22"/>
      <c r="BGU1" s="22"/>
      <c r="BGV1" s="22"/>
      <c r="BGW1" s="22"/>
      <c r="BGX1" s="22"/>
      <c r="BGY1" s="22"/>
      <c r="BGZ1" s="22"/>
      <c r="BHA1" s="22"/>
      <c r="BHB1" s="22"/>
      <c r="BHC1" s="22"/>
      <c r="BHD1" s="22"/>
      <c r="BHE1" s="22"/>
      <c r="BHF1" s="22"/>
      <c r="BHG1" s="22"/>
      <c r="BHH1" s="22"/>
      <c r="BHI1" s="22"/>
      <c r="BHJ1" s="22"/>
      <c r="BHK1" s="22"/>
      <c r="BHL1" s="22"/>
      <c r="BHM1" s="22"/>
      <c r="BHN1" s="22"/>
      <c r="BHO1" s="22"/>
      <c r="BHP1" s="22"/>
      <c r="BHQ1" s="22"/>
      <c r="BHR1" s="22"/>
      <c r="BHS1" s="22"/>
      <c r="BHT1" s="22"/>
      <c r="BHU1" s="22"/>
      <c r="BHV1" s="22"/>
      <c r="BHW1" s="22"/>
      <c r="BHX1" s="22"/>
      <c r="BHY1" s="22"/>
      <c r="BHZ1" s="22"/>
      <c r="BIA1" s="22"/>
      <c r="BIB1" s="22"/>
      <c r="BIC1" s="22"/>
      <c r="BID1" s="22"/>
      <c r="BIE1" s="22"/>
      <c r="BIF1" s="22"/>
      <c r="BIG1" s="22"/>
      <c r="BIH1" s="22"/>
      <c r="BII1" s="22"/>
      <c r="BIJ1" s="22"/>
      <c r="BIK1" s="22"/>
      <c r="BIL1" s="22"/>
      <c r="BIM1" s="22"/>
      <c r="BIN1" s="22"/>
      <c r="BIO1" s="22"/>
      <c r="BIP1" s="22"/>
      <c r="BIQ1" s="22"/>
      <c r="BIR1" s="22"/>
      <c r="BIS1" s="22"/>
      <c r="BIT1" s="22"/>
      <c r="BIU1" s="22"/>
      <c r="BIV1" s="22"/>
      <c r="BIW1" s="22"/>
      <c r="BIX1" s="22"/>
      <c r="BIY1" s="22"/>
      <c r="BIZ1" s="22"/>
      <c r="BJA1" s="22"/>
      <c r="BJB1" s="22"/>
      <c r="BJC1" s="22"/>
      <c r="BJD1" s="22"/>
      <c r="BJE1" s="22"/>
      <c r="BJF1" s="22"/>
      <c r="BJG1" s="22"/>
      <c r="BJH1" s="22"/>
      <c r="BJI1" s="22"/>
      <c r="BJJ1" s="22"/>
      <c r="BJK1" s="22"/>
      <c r="BJL1" s="22"/>
      <c r="BJM1" s="22"/>
      <c r="BJN1" s="22"/>
      <c r="BJO1" s="22"/>
      <c r="BJP1" s="22"/>
      <c r="BJQ1" s="22"/>
      <c r="BJR1" s="22"/>
      <c r="BJS1" s="22"/>
      <c r="BJT1" s="22"/>
      <c r="BJU1" s="22"/>
      <c r="BJV1" s="22"/>
      <c r="BJW1" s="22"/>
      <c r="BJX1" s="22"/>
      <c r="BJY1" s="22"/>
      <c r="BJZ1" s="22"/>
      <c r="BKA1" s="22"/>
      <c r="BKB1" s="22"/>
      <c r="BKC1" s="22"/>
      <c r="BKD1" s="22"/>
      <c r="BKE1" s="22"/>
      <c r="BKF1" s="22"/>
      <c r="BKG1" s="22"/>
      <c r="BKH1" s="22"/>
      <c r="BKI1" s="22"/>
      <c r="BKJ1" s="22"/>
      <c r="BKK1" s="22"/>
      <c r="BKL1" s="22"/>
      <c r="BKM1" s="22"/>
      <c r="BKN1" s="22"/>
      <c r="BKO1" s="22"/>
      <c r="BKP1" s="22"/>
      <c r="BKQ1" s="22"/>
      <c r="BKR1" s="22"/>
      <c r="BKS1" s="22"/>
      <c r="BKT1" s="22"/>
      <c r="BKU1" s="22"/>
      <c r="BKV1" s="22"/>
      <c r="BKW1" s="22"/>
      <c r="BKX1" s="22"/>
      <c r="BKY1" s="22"/>
      <c r="BKZ1" s="22"/>
      <c r="BLA1" s="22"/>
      <c r="BLB1" s="22"/>
      <c r="BLC1" s="22"/>
      <c r="BLD1" s="22"/>
      <c r="BLE1" s="22"/>
      <c r="BLF1" s="22"/>
      <c r="BLG1" s="22"/>
      <c r="BLH1" s="22"/>
      <c r="BLI1" s="22"/>
      <c r="BLJ1" s="22"/>
      <c r="BLK1" s="22"/>
      <c r="BLL1" s="22"/>
      <c r="BLM1" s="22"/>
      <c r="BLN1" s="22"/>
      <c r="BLO1" s="22"/>
      <c r="BLP1" s="22"/>
      <c r="BLQ1" s="22"/>
      <c r="BLR1" s="22"/>
      <c r="BLS1" s="22"/>
      <c r="BLT1" s="22"/>
      <c r="BLU1" s="22"/>
      <c r="BLV1" s="22"/>
      <c r="BLW1" s="22"/>
      <c r="BLX1" s="22"/>
      <c r="BLY1" s="22"/>
      <c r="BLZ1" s="22"/>
      <c r="BMA1" s="22"/>
      <c r="BMB1" s="22"/>
      <c r="BMC1" s="22"/>
      <c r="BMD1" s="22"/>
      <c r="BME1" s="22"/>
      <c r="BMF1" s="22"/>
      <c r="BMG1" s="22"/>
      <c r="BMH1" s="22"/>
      <c r="BMI1" s="22"/>
      <c r="BMJ1" s="22"/>
      <c r="BMK1" s="22"/>
      <c r="BML1" s="22"/>
      <c r="BMM1" s="22"/>
      <c r="BMN1" s="22"/>
      <c r="BMO1" s="22"/>
      <c r="BMP1" s="22"/>
      <c r="BMQ1" s="22"/>
      <c r="BMR1" s="22"/>
      <c r="BMS1" s="22"/>
      <c r="BMT1" s="22"/>
      <c r="BMU1" s="22"/>
      <c r="BMV1" s="22"/>
      <c r="BMW1" s="22"/>
      <c r="BMX1" s="22"/>
      <c r="BMY1" s="22"/>
      <c r="BMZ1" s="22"/>
      <c r="BNA1" s="22"/>
      <c r="BNB1" s="22"/>
      <c r="BNC1" s="22"/>
      <c r="BND1" s="22"/>
      <c r="BNE1" s="22"/>
      <c r="BNF1" s="22"/>
      <c r="BNG1" s="22"/>
      <c r="BNH1" s="22"/>
      <c r="BNI1" s="22"/>
      <c r="BNJ1" s="22"/>
      <c r="BNK1" s="22"/>
      <c r="BNL1" s="22"/>
      <c r="BNM1" s="22"/>
      <c r="BNN1" s="22"/>
      <c r="BNO1" s="22"/>
      <c r="BNP1" s="22"/>
      <c r="BNQ1" s="22"/>
      <c r="BNR1" s="22"/>
      <c r="BNS1" s="22"/>
      <c r="BNT1" s="22"/>
      <c r="BNU1" s="22"/>
      <c r="BNV1" s="22"/>
      <c r="BNW1" s="22"/>
      <c r="BNX1" s="22"/>
      <c r="BNY1" s="22"/>
      <c r="BNZ1" s="22"/>
      <c r="BOA1" s="22"/>
      <c r="BOB1" s="22"/>
      <c r="BOC1" s="22"/>
      <c r="BOD1" s="22"/>
      <c r="BOE1" s="22"/>
      <c r="BOF1" s="22"/>
      <c r="BOG1" s="22"/>
      <c r="BOH1" s="22"/>
      <c r="BOI1" s="22"/>
      <c r="BOJ1" s="22"/>
      <c r="BOK1" s="22"/>
      <c r="BOL1" s="22"/>
      <c r="BOM1" s="22"/>
      <c r="BON1" s="22"/>
      <c r="BOO1" s="22"/>
      <c r="BOP1" s="22"/>
      <c r="BOQ1" s="22"/>
      <c r="BOR1" s="22"/>
      <c r="BOS1" s="22"/>
      <c r="BOT1" s="22"/>
      <c r="BOU1" s="22"/>
      <c r="BOV1" s="22"/>
      <c r="BOW1" s="22"/>
      <c r="BOX1" s="22"/>
      <c r="BOY1" s="22"/>
      <c r="BOZ1" s="22"/>
      <c r="BPA1" s="22"/>
      <c r="BPB1" s="22"/>
      <c r="BPC1" s="22"/>
      <c r="BPD1" s="22"/>
      <c r="BPE1" s="22"/>
      <c r="BPF1" s="22"/>
      <c r="BPG1" s="22"/>
      <c r="BPH1" s="22"/>
      <c r="BPI1" s="22"/>
      <c r="BPJ1" s="22"/>
      <c r="BPK1" s="22"/>
      <c r="BPL1" s="22"/>
      <c r="BPM1" s="22"/>
      <c r="BPN1" s="22"/>
      <c r="BPO1" s="22"/>
      <c r="BPP1" s="22"/>
      <c r="BPQ1" s="22"/>
      <c r="BPR1" s="22"/>
      <c r="BPS1" s="22"/>
      <c r="BPT1" s="22"/>
      <c r="BPU1" s="22"/>
      <c r="BPV1" s="22"/>
      <c r="BPW1" s="22"/>
      <c r="BPX1" s="22"/>
      <c r="BPY1" s="22"/>
      <c r="BPZ1" s="22"/>
      <c r="BQA1" s="22"/>
      <c r="BQB1" s="22"/>
      <c r="BQC1" s="22"/>
      <c r="BQD1" s="22"/>
      <c r="BQE1" s="22"/>
      <c r="BQF1" s="22"/>
      <c r="BQG1" s="22"/>
      <c r="BQH1" s="22"/>
      <c r="BQI1" s="22"/>
      <c r="BQJ1" s="22"/>
      <c r="BQK1" s="22"/>
      <c r="BQL1" s="22"/>
      <c r="BQM1" s="22"/>
      <c r="BQN1" s="22"/>
      <c r="BQO1" s="22"/>
      <c r="BQP1" s="22"/>
      <c r="BQQ1" s="22"/>
      <c r="BQR1" s="22"/>
      <c r="BQS1" s="22"/>
      <c r="BQT1" s="22"/>
      <c r="BQU1" s="22"/>
      <c r="BQV1" s="22"/>
      <c r="BQW1" s="22"/>
      <c r="BQX1" s="22"/>
      <c r="BQY1" s="22"/>
      <c r="BQZ1" s="22"/>
      <c r="BRA1" s="22"/>
      <c r="BRB1" s="22"/>
      <c r="BRC1" s="22"/>
      <c r="BRD1" s="22"/>
      <c r="BRE1" s="22"/>
      <c r="BRF1" s="22"/>
      <c r="BRG1" s="22"/>
      <c r="BRH1" s="22"/>
      <c r="BRI1" s="22"/>
      <c r="BRJ1" s="22"/>
      <c r="BRK1" s="22"/>
      <c r="BRL1" s="22"/>
      <c r="BRM1" s="22"/>
      <c r="BRN1" s="22"/>
      <c r="BRO1" s="22"/>
      <c r="BRP1" s="22"/>
      <c r="BRQ1" s="22"/>
      <c r="BRR1" s="22"/>
      <c r="BRS1" s="22"/>
      <c r="BRT1" s="22"/>
      <c r="BRU1" s="22"/>
      <c r="BRV1" s="22"/>
      <c r="BRW1" s="22"/>
      <c r="BRX1" s="22"/>
      <c r="BRY1" s="22"/>
      <c r="BRZ1" s="22"/>
      <c r="BSA1" s="22"/>
      <c r="BSB1" s="22"/>
      <c r="BSC1" s="22"/>
      <c r="BSD1" s="22"/>
      <c r="BSE1" s="22"/>
      <c r="BSF1" s="22"/>
      <c r="BSG1" s="22"/>
      <c r="BSH1" s="22"/>
      <c r="BSI1" s="22"/>
      <c r="BSJ1" s="22"/>
      <c r="BSK1" s="22"/>
      <c r="BSL1" s="22"/>
      <c r="BSM1" s="22"/>
      <c r="BSN1" s="22"/>
      <c r="BSO1" s="22"/>
      <c r="BSP1" s="22"/>
      <c r="BSQ1" s="22"/>
      <c r="BSR1" s="22"/>
      <c r="BSS1" s="22"/>
      <c r="BST1" s="22"/>
      <c r="BSU1" s="22"/>
      <c r="BSV1" s="22"/>
      <c r="BSW1" s="22"/>
      <c r="BSX1" s="22"/>
      <c r="BSY1" s="22"/>
      <c r="BSZ1" s="22"/>
      <c r="BTA1" s="22"/>
      <c r="BTB1" s="22"/>
      <c r="BTC1" s="22"/>
      <c r="BTD1" s="22"/>
      <c r="BTE1" s="22"/>
      <c r="BTF1" s="22"/>
      <c r="BTG1" s="22"/>
      <c r="BTH1" s="22"/>
      <c r="BTI1" s="22"/>
      <c r="BTJ1" s="22"/>
      <c r="BTK1" s="22"/>
      <c r="BTL1" s="22"/>
      <c r="BTM1" s="22"/>
      <c r="BTN1" s="22"/>
      <c r="BTO1" s="22"/>
      <c r="BTP1" s="22"/>
      <c r="BTQ1" s="22"/>
      <c r="BTR1" s="22"/>
      <c r="BTS1" s="22"/>
      <c r="BTT1" s="22"/>
      <c r="BTU1" s="22"/>
      <c r="BTV1" s="22"/>
      <c r="BTW1" s="22"/>
      <c r="BTX1" s="22"/>
      <c r="BTY1" s="22"/>
      <c r="BTZ1" s="22"/>
      <c r="BUA1" s="22"/>
      <c r="BUB1" s="22"/>
      <c r="BUC1" s="22"/>
      <c r="BUD1" s="22"/>
      <c r="BUE1" s="22"/>
      <c r="BUF1" s="22"/>
      <c r="BUG1" s="22"/>
      <c r="BUH1" s="22"/>
      <c r="BUI1" s="22"/>
      <c r="BUJ1" s="22"/>
      <c r="BUK1" s="22"/>
      <c r="BUL1" s="22"/>
      <c r="BUM1" s="22"/>
      <c r="BUN1" s="22"/>
      <c r="BUO1" s="22"/>
      <c r="BUP1" s="22"/>
      <c r="BUQ1" s="22"/>
      <c r="BUR1" s="22"/>
      <c r="BUS1" s="22"/>
      <c r="BUT1" s="22"/>
      <c r="BUU1" s="22"/>
      <c r="BUV1" s="22"/>
      <c r="BUW1" s="22"/>
      <c r="BUX1" s="22"/>
      <c r="BUY1" s="22"/>
      <c r="BUZ1" s="22"/>
      <c r="BVA1" s="22"/>
      <c r="BVB1" s="22"/>
      <c r="BVC1" s="22"/>
      <c r="BVD1" s="22"/>
      <c r="BVE1" s="22"/>
      <c r="BVF1" s="22"/>
      <c r="BVG1" s="22"/>
      <c r="BVH1" s="22"/>
      <c r="BVI1" s="22"/>
      <c r="BVJ1" s="22"/>
      <c r="BVK1" s="22"/>
      <c r="BVL1" s="22"/>
      <c r="BVM1" s="22"/>
      <c r="BVN1" s="22"/>
      <c r="BVO1" s="22"/>
      <c r="BVP1" s="22"/>
      <c r="BVQ1" s="22"/>
      <c r="BVR1" s="22"/>
      <c r="BVS1" s="22"/>
      <c r="BVT1" s="22"/>
      <c r="BVU1" s="22"/>
      <c r="BVV1" s="22"/>
      <c r="BVW1" s="22"/>
      <c r="BVX1" s="22"/>
      <c r="BVY1" s="22"/>
      <c r="BVZ1" s="22"/>
      <c r="BWA1" s="22"/>
      <c r="BWB1" s="22"/>
      <c r="BWC1" s="22"/>
      <c r="BWD1" s="22"/>
      <c r="BWE1" s="22"/>
      <c r="BWF1" s="22"/>
      <c r="BWG1" s="22"/>
      <c r="BWH1" s="22"/>
      <c r="BWI1" s="22"/>
      <c r="BWJ1" s="22"/>
      <c r="BWK1" s="22"/>
      <c r="BWL1" s="22"/>
      <c r="BWM1" s="22"/>
      <c r="BWN1" s="22"/>
      <c r="BWO1" s="22"/>
      <c r="BWP1" s="22"/>
      <c r="BWQ1" s="22"/>
      <c r="BWR1" s="22"/>
      <c r="BWS1" s="22"/>
      <c r="BWT1" s="22"/>
      <c r="BWU1" s="22"/>
      <c r="BWV1" s="22"/>
      <c r="BWW1" s="22"/>
      <c r="BWX1" s="22"/>
      <c r="BWY1" s="22"/>
      <c r="BWZ1" s="22"/>
      <c r="BXA1" s="22"/>
      <c r="BXB1" s="22"/>
      <c r="BXC1" s="22"/>
      <c r="BXD1" s="22"/>
      <c r="BXE1" s="22"/>
      <c r="BXF1" s="22"/>
      <c r="BXG1" s="22"/>
      <c r="BXH1" s="22"/>
      <c r="BXI1" s="22"/>
      <c r="BXJ1" s="22"/>
      <c r="BXK1" s="22"/>
      <c r="BXL1" s="22"/>
      <c r="BXM1" s="22"/>
      <c r="BXN1" s="22"/>
      <c r="BXO1" s="22"/>
      <c r="BXP1" s="22"/>
      <c r="BXQ1" s="22"/>
      <c r="BXR1" s="22"/>
      <c r="BXS1" s="22"/>
      <c r="BXT1" s="22"/>
      <c r="BXU1" s="22"/>
      <c r="BXV1" s="22"/>
      <c r="BXW1" s="22"/>
      <c r="BXX1" s="22"/>
      <c r="BXY1" s="22"/>
      <c r="BXZ1" s="22"/>
      <c r="BYA1" s="22"/>
      <c r="BYB1" s="22"/>
      <c r="BYC1" s="22"/>
      <c r="BYD1" s="22"/>
      <c r="BYE1" s="22"/>
      <c r="BYF1" s="22"/>
      <c r="BYG1" s="22"/>
      <c r="BYH1" s="22"/>
      <c r="BYI1" s="22"/>
      <c r="BYJ1" s="22"/>
      <c r="BYK1" s="22"/>
      <c r="BYL1" s="22"/>
      <c r="BYM1" s="22"/>
      <c r="BYN1" s="22"/>
      <c r="BYO1" s="22"/>
      <c r="BYP1" s="22"/>
      <c r="BYQ1" s="22"/>
      <c r="BYR1" s="22"/>
      <c r="BYS1" s="22"/>
      <c r="BYT1" s="22"/>
      <c r="BYU1" s="22"/>
      <c r="BYV1" s="22"/>
      <c r="BYW1" s="22"/>
      <c r="BYX1" s="22"/>
      <c r="BYY1" s="22"/>
      <c r="BYZ1" s="22"/>
      <c r="BZA1" s="22"/>
      <c r="BZB1" s="22"/>
      <c r="BZC1" s="22"/>
      <c r="BZD1" s="22"/>
      <c r="BZE1" s="22"/>
      <c r="BZF1" s="22"/>
      <c r="BZG1" s="22"/>
      <c r="BZH1" s="22"/>
      <c r="BZI1" s="22"/>
      <c r="BZJ1" s="22"/>
      <c r="BZK1" s="22"/>
      <c r="BZL1" s="22"/>
      <c r="BZM1" s="22"/>
      <c r="BZN1" s="22"/>
      <c r="BZO1" s="22"/>
      <c r="BZP1" s="22"/>
      <c r="BZQ1" s="22"/>
      <c r="BZR1" s="22"/>
      <c r="BZS1" s="22"/>
      <c r="BZT1" s="22"/>
      <c r="BZU1" s="22"/>
      <c r="BZV1" s="22"/>
      <c r="BZW1" s="22"/>
      <c r="BZX1" s="22"/>
      <c r="BZY1" s="22"/>
      <c r="BZZ1" s="22"/>
      <c r="CAA1" s="22"/>
      <c r="CAB1" s="22"/>
      <c r="CAC1" s="22"/>
      <c r="CAD1" s="22"/>
      <c r="CAE1" s="22"/>
      <c r="CAF1" s="22"/>
      <c r="CAG1" s="22"/>
      <c r="CAH1" s="22"/>
      <c r="CAI1" s="22"/>
      <c r="CAJ1" s="22"/>
      <c r="CAK1" s="22"/>
      <c r="CAL1" s="22"/>
      <c r="CAM1" s="22"/>
      <c r="CAN1" s="22"/>
      <c r="CAO1" s="22"/>
      <c r="CAP1" s="22"/>
      <c r="CAQ1" s="22"/>
      <c r="CAR1" s="22"/>
      <c r="CAS1" s="22"/>
      <c r="CAT1" s="22"/>
      <c r="CAU1" s="22"/>
      <c r="CAV1" s="22"/>
      <c r="CAW1" s="22"/>
      <c r="CAX1" s="22"/>
      <c r="CAY1" s="22"/>
      <c r="CAZ1" s="22"/>
      <c r="CBA1" s="22"/>
      <c r="CBB1" s="22"/>
      <c r="CBC1" s="22"/>
      <c r="CBD1" s="22"/>
      <c r="CBE1" s="22"/>
      <c r="CBF1" s="22"/>
      <c r="CBG1" s="22"/>
      <c r="CBH1" s="22"/>
      <c r="CBI1" s="22"/>
      <c r="CBJ1" s="22"/>
      <c r="CBK1" s="22"/>
      <c r="CBL1" s="22"/>
      <c r="CBM1" s="22"/>
      <c r="CBN1" s="22"/>
      <c r="CBO1" s="22"/>
      <c r="CBP1" s="22"/>
      <c r="CBQ1" s="22"/>
      <c r="CBR1" s="22"/>
      <c r="CBS1" s="22"/>
      <c r="CBT1" s="22"/>
      <c r="CBU1" s="22"/>
      <c r="CBV1" s="22"/>
      <c r="CBW1" s="22"/>
      <c r="CBX1" s="22"/>
      <c r="CBY1" s="22"/>
      <c r="CBZ1" s="22"/>
      <c r="CCA1" s="22"/>
      <c r="CCB1" s="22"/>
      <c r="CCC1" s="22"/>
      <c r="CCD1" s="22"/>
      <c r="CCE1" s="22"/>
      <c r="CCF1" s="22"/>
      <c r="CCG1" s="22"/>
      <c r="CCH1" s="22"/>
      <c r="CCI1" s="22"/>
      <c r="CCJ1" s="22"/>
      <c r="CCK1" s="22"/>
      <c r="CCL1" s="22"/>
      <c r="CCM1" s="22"/>
      <c r="CCN1" s="22"/>
      <c r="CCO1" s="22"/>
      <c r="CCP1" s="22"/>
      <c r="CCQ1" s="22"/>
      <c r="CCR1" s="22"/>
      <c r="CCS1" s="22"/>
      <c r="CCT1" s="22"/>
      <c r="CCU1" s="22"/>
      <c r="CCV1" s="22"/>
      <c r="CCW1" s="22"/>
      <c r="CCX1" s="22"/>
      <c r="CCY1" s="22"/>
      <c r="CCZ1" s="22"/>
      <c r="CDA1" s="22"/>
      <c r="CDB1" s="22"/>
      <c r="CDC1" s="22"/>
      <c r="CDD1" s="22"/>
      <c r="CDE1" s="22"/>
      <c r="CDF1" s="22"/>
      <c r="CDG1" s="22"/>
      <c r="CDH1" s="22"/>
      <c r="CDI1" s="22"/>
      <c r="CDJ1" s="22"/>
      <c r="CDK1" s="22"/>
      <c r="CDL1" s="22"/>
      <c r="CDM1" s="22"/>
      <c r="CDN1" s="22"/>
      <c r="CDO1" s="22"/>
      <c r="CDP1" s="22"/>
      <c r="CDQ1" s="22"/>
      <c r="CDR1" s="22"/>
      <c r="CDS1" s="22"/>
      <c r="CDT1" s="22"/>
      <c r="CDU1" s="22"/>
      <c r="CDV1" s="22"/>
      <c r="CDW1" s="22"/>
      <c r="CDX1" s="22"/>
      <c r="CDY1" s="22"/>
      <c r="CDZ1" s="22"/>
      <c r="CEA1" s="22"/>
      <c r="CEB1" s="22"/>
      <c r="CEC1" s="22"/>
      <c r="CED1" s="22"/>
      <c r="CEE1" s="22"/>
      <c r="CEF1" s="22"/>
      <c r="CEG1" s="22"/>
      <c r="CEH1" s="22"/>
      <c r="CEI1" s="22"/>
      <c r="CEJ1" s="22"/>
      <c r="CEK1" s="22"/>
      <c r="CEL1" s="22"/>
      <c r="CEM1" s="22"/>
      <c r="CEN1" s="22"/>
      <c r="CEO1" s="22"/>
      <c r="CEP1" s="22"/>
      <c r="CEQ1" s="22"/>
      <c r="CER1" s="22"/>
      <c r="CES1" s="22"/>
      <c r="CET1" s="22"/>
      <c r="CEU1" s="22"/>
      <c r="CEV1" s="22"/>
      <c r="CEW1" s="22"/>
      <c r="CEX1" s="22"/>
      <c r="CEY1" s="22"/>
      <c r="CEZ1" s="22"/>
      <c r="CFA1" s="22"/>
      <c r="CFB1" s="22"/>
      <c r="CFC1" s="22"/>
      <c r="CFD1" s="22"/>
      <c r="CFE1" s="22"/>
      <c r="CFF1" s="22"/>
      <c r="CFG1" s="22"/>
      <c r="CFH1" s="22"/>
      <c r="CFI1" s="22"/>
      <c r="CFJ1" s="22"/>
      <c r="CFK1" s="22"/>
      <c r="CFL1" s="22"/>
      <c r="CFM1" s="22"/>
      <c r="CFN1" s="22"/>
      <c r="CFO1" s="22"/>
      <c r="CFP1" s="22"/>
      <c r="CFQ1" s="22"/>
      <c r="CFR1" s="22"/>
      <c r="CFS1" s="22"/>
      <c r="CFT1" s="22"/>
      <c r="CFU1" s="22"/>
      <c r="CFV1" s="22"/>
      <c r="CFW1" s="22"/>
      <c r="CFX1" s="22"/>
      <c r="CFY1" s="22"/>
      <c r="CFZ1" s="22"/>
      <c r="CGA1" s="22"/>
      <c r="CGB1" s="22"/>
      <c r="CGC1" s="22"/>
      <c r="CGD1" s="22"/>
      <c r="CGE1" s="22"/>
      <c r="CGF1" s="22"/>
      <c r="CGG1" s="22"/>
      <c r="CGH1" s="22"/>
      <c r="CGI1" s="22"/>
      <c r="CGJ1" s="22"/>
      <c r="CGK1" s="22"/>
      <c r="CGL1" s="22"/>
      <c r="CGM1" s="22"/>
      <c r="CGN1" s="22"/>
      <c r="CGO1" s="22"/>
      <c r="CGP1" s="22"/>
      <c r="CGQ1" s="22"/>
      <c r="CGR1" s="22"/>
      <c r="CGS1" s="22"/>
      <c r="CGT1" s="22"/>
      <c r="CGU1" s="22"/>
      <c r="CGV1" s="22"/>
      <c r="CGW1" s="22"/>
      <c r="CGX1" s="22"/>
      <c r="CGY1" s="22"/>
      <c r="CGZ1" s="22"/>
      <c r="CHA1" s="22"/>
      <c r="CHB1" s="22"/>
      <c r="CHC1" s="22"/>
      <c r="CHD1" s="22"/>
      <c r="CHE1" s="22"/>
      <c r="CHF1" s="22"/>
      <c r="CHG1" s="22"/>
      <c r="CHH1" s="22"/>
      <c r="CHI1" s="22"/>
      <c r="CHJ1" s="22"/>
      <c r="CHK1" s="22"/>
      <c r="CHL1" s="22"/>
      <c r="CHM1" s="22"/>
      <c r="CHN1" s="22"/>
      <c r="CHO1" s="22"/>
      <c r="CHP1" s="22"/>
      <c r="CHQ1" s="22"/>
      <c r="CHR1" s="22"/>
      <c r="CHS1" s="22"/>
      <c r="CHT1" s="22"/>
      <c r="CHU1" s="22"/>
      <c r="CHV1" s="22"/>
      <c r="CHW1" s="22"/>
      <c r="CHX1" s="22"/>
      <c r="CHY1" s="22"/>
      <c r="CHZ1" s="22"/>
      <c r="CIA1" s="22"/>
      <c r="CIB1" s="22"/>
      <c r="CIC1" s="22"/>
      <c r="CID1" s="22"/>
      <c r="CIE1" s="22"/>
      <c r="CIF1" s="22"/>
      <c r="CIG1" s="22"/>
      <c r="CIH1" s="22"/>
      <c r="CII1" s="22"/>
      <c r="CIJ1" s="22"/>
      <c r="CIK1" s="22"/>
      <c r="CIL1" s="22"/>
      <c r="CIM1" s="22"/>
      <c r="CIN1" s="22"/>
      <c r="CIO1" s="22"/>
      <c r="CIP1" s="22"/>
      <c r="CIQ1" s="22"/>
      <c r="CIR1" s="22"/>
      <c r="CIS1" s="22"/>
      <c r="CIT1" s="22"/>
      <c r="CIU1" s="22"/>
      <c r="CIV1" s="22"/>
      <c r="CIW1" s="22"/>
      <c r="CIX1" s="22"/>
      <c r="CIY1" s="22"/>
      <c r="CIZ1" s="22"/>
      <c r="CJA1" s="22"/>
      <c r="CJB1" s="22"/>
      <c r="CJC1" s="22"/>
      <c r="CJD1" s="22"/>
      <c r="CJE1" s="22"/>
      <c r="CJF1" s="22"/>
      <c r="CJG1" s="22"/>
      <c r="CJH1" s="22"/>
      <c r="CJI1" s="22"/>
      <c r="CJJ1" s="22"/>
      <c r="CJK1" s="22"/>
      <c r="CJL1" s="22"/>
      <c r="CJM1" s="22"/>
      <c r="CJN1" s="22"/>
      <c r="CJO1" s="22"/>
      <c r="CJP1" s="22"/>
      <c r="CJQ1" s="22"/>
      <c r="CJR1" s="22"/>
      <c r="CJS1" s="22"/>
      <c r="CJT1" s="22"/>
      <c r="CJU1" s="22"/>
      <c r="CJV1" s="22"/>
      <c r="CJW1" s="22"/>
      <c r="CJX1" s="22"/>
      <c r="CJY1" s="22"/>
      <c r="CJZ1" s="22"/>
      <c r="CKA1" s="22"/>
      <c r="CKB1" s="22"/>
      <c r="CKC1" s="22"/>
      <c r="CKD1" s="22"/>
      <c r="CKE1" s="22"/>
      <c r="CKF1" s="22"/>
      <c r="CKG1" s="22"/>
      <c r="CKH1" s="22"/>
      <c r="CKI1" s="22"/>
      <c r="CKJ1" s="22"/>
      <c r="CKK1" s="22"/>
      <c r="CKL1" s="22"/>
      <c r="CKM1" s="22"/>
      <c r="CKN1" s="22"/>
      <c r="CKO1" s="22"/>
      <c r="CKP1" s="22"/>
      <c r="CKQ1" s="22"/>
      <c r="CKR1" s="22"/>
      <c r="CKS1" s="22"/>
      <c r="CKT1" s="22"/>
      <c r="CKU1" s="22"/>
      <c r="CKV1" s="22"/>
      <c r="CKW1" s="22"/>
      <c r="CKX1" s="22"/>
      <c r="CKY1" s="22"/>
      <c r="CKZ1" s="22"/>
      <c r="CLA1" s="22"/>
      <c r="CLB1" s="22"/>
      <c r="CLC1" s="22"/>
      <c r="CLD1" s="22"/>
      <c r="CLE1" s="22"/>
      <c r="CLF1" s="22"/>
      <c r="CLG1" s="22"/>
      <c r="CLH1" s="22"/>
      <c r="CLI1" s="22"/>
      <c r="CLJ1" s="22"/>
      <c r="CLK1" s="22"/>
      <c r="CLL1" s="22"/>
      <c r="CLM1" s="22"/>
      <c r="CLN1" s="22"/>
      <c r="CLO1" s="22"/>
      <c r="CLP1" s="22"/>
      <c r="CLQ1" s="22"/>
      <c r="CLR1" s="22"/>
      <c r="CLS1" s="22"/>
      <c r="CLT1" s="22"/>
      <c r="CLU1" s="22"/>
      <c r="CLV1" s="22"/>
      <c r="CLW1" s="22"/>
      <c r="CLX1" s="22"/>
      <c r="CLY1" s="22"/>
      <c r="CLZ1" s="22"/>
      <c r="CMA1" s="22"/>
      <c r="CMB1" s="22"/>
      <c r="CMC1" s="22"/>
      <c r="CMD1" s="22"/>
      <c r="CME1" s="22"/>
      <c r="CMF1" s="22"/>
      <c r="CMG1" s="22"/>
      <c r="CMH1" s="22"/>
      <c r="CMI1" s="22"/>
      <c r="CMJ1" s="22"/>
      <c r="CMK1" s="22"/>
      <c r="CML1" s="22"/>
      <c r="CMM1" s="22"/>
      <c r="CMN1" s="22"/>
      <c r="CMO1" s="22"/>
      <c r="CMP1" s="22"/>
      <c r="CMQ1" s="22"/>
      <c r="CMR1" s="22"/>
      <c r="CMS1" s="22"/>
      <c r="CMT1" s="22"/>
      <c r="CMU1" s="22"/>
      <c r="CMV1" s="22"/>
      <c r="CMW1" s="22"/>
      <c r="CMX1" s="22"/>
      <c r="CMY1" s="22"/>
      <c r="CMZ1" s="22"/>
      <c r="CNA1" s="22"/>
      <c r="CNB1" s="22"/>
      <c r="CNC1" s="22"/>
      <c r="CND1" s="22"/>
      <c r="CNE1" s="22"/>
      <c r="CNF1" s="22"/>
      <c r="CNG1" s="22"/>
      <c r="CNH1" s="22"/>
      <c r="CNI1" s="22"/>
      <c r="CNJ1" s="22"/>
      <c r="CNK1" s="22"/>
      <c r="CNL1" s="22"/>
      <c r="CNM1" s="22"/>
      <c r="CNN1" s="22"/>
      <c r="CNO1" s="22"/>
      <c r="CNP1" s="22"/>
      <c r="CNQ1" s="22"/>
      <c r="CNR1" s="22"/>
      <c r="CNS1" s="22"/>
      <c r="CNT1" s="22"/>
      <c r="CNU1" s="22"/>
      <c r="CNV1" s="22"/>
      <c r="CNW1" s="22"/>
      <c r="CNX1" s="22"/>
      <c r="CNY1" s="22"/>
      <c r="CNZ1" s="22"/>
      <c r="COA1" s="22"/>
      <c r="COB1" s="22"/>
      <c r="COC1" s="22"/>
      <c r="COD1" s="22"/>
      <c r="COE1" s="22"/>
      <c r="COF1" s="22"/>
      <c r="COG1" s="22"/>
      <c r="COH1" s="22"/>
      <c r="COI1" s="22"/>
      <c r="COJ1" s="22"/>
      <c r="COK1" s="22"/>
      <c r="COL1" s="22"/>
      <c r="COM1" s="22"/>
      <c r="CON1" s="22"/>
      <c r="COO1" s="22"/>
      <c r="COP1" s="22"/>
      <c r="COQ1" s="22"/>
      <c r="COR1" s="22"/>
      <c r="COS1" s="22"/>
      <c r="COT1" s="22"/>
      <c r="COU1" s="22"/>
      <c r="COV1" s="22"/>
      <c r="COW1" s="22"/>
      <c r="COX1" s="22"/>
      <c r="COY1" s="22"/>
      <c r="COZ1" s="22"/>
      <c r="CPA1" s="22"/>
      <c r="CPB1" s="22"/>
      <c r="CPC1" s="22"/>
      <c r="CPD1" s="22"/>
      <c r="CPE1" s="22"/>
      <c r="CPF1" s="22"/>
      <c r="CPG1" s="22"/>
      <c r="CPH1" s="22"/>
      <c r="CPI1" s="22"/>
      <c r="CPJ1" s="22"/>
      <c r="CPK1" s="22"/>
      <c r="CPL1" s="22"/>
      <c r="CPM1" s="22"/>
      <c r="CPN1" s="22"/>
      <c r="CPO1" s="22"/>
      <c r="CPP1" s="22"/>
      <c r="CPQ1" s="22"/>
      <c r="CPR1" s="22"/>
      <c r="CPS1" s="22"/>
      <c r="CPT1" s="22"/>
      <c r="CPU1" s="22"/>
      <c r="CPV1" s="22"/>
      <c r="CPW1" s="22"/>
      <c r="CPX1" s="22"/>
      <c r="CPY1" s="22"/>
      <c r="CPZ1" s="22"/>
      <c r="CQA1" s="22"/>
      <c r="CQB1" s="22"/>
      <c r="CQC1" s="22"/>
      <c r="CQD1" s="22"/>
      <c r="CQE1" s="22"/>
      <c r="CQF1" s="22"/>
      <c r="CQG1" s="22"/>
      <c r="CQH1" s="22"/>
      <c r="CQI1" s="22"/>
      <c r="CQJ1" s="22"/>
      <c r="CQK1" s="22"/>
      <c r="CQL1" s="22"/>
      <c r="CQM1" s="22"/>
      <c r="CQN1" s="22"/>
      <c r="CQO1" s="22"/>
      <c r="CQP1" s="22"/>
      <c r="CQQ1" s="22"/>
      <c r="CQR1" s="22"/>
      <c r="CQS1" s="22"/>
      <c r="CQT1" s="22"/>
      <c r="CQU1" s="22"/>
      <c r="CQV1" s="22"/>
      <c r="CQW1" s="22"/>
      <c r="CQX1" s="22"/>
      <c r="CQY1" s="22"/>
      <c r="CQZ1" s="22"/>
      <c r="CRA1" s="22"/>
      <c r="CRB1" s="22"/>
      <c r="CRC1" s="22"/>
      <c r="CRD1" s="22"/>
      <c r="CRE1" s="22"/>
      <c r="CRF1" s="22"/>
      <c r="CRG1" s="22"/>
      <c r="CRH1" s="22"/>
      <c r="CRI1" s="22"/>
      <c r="CRJ1" s="22"/>
      <c r="CRK1" s="22"/>
      <c r="CRL1" s="22"/>
      <c r="CRM1" s="22"/>
      <c r="CRN1" s="22"/>
      <c r="CRO1" s="22"/>
      <c r="CRP1" s="22"/>
      <c r="CRQ1" s="22"/>
      <c r="CRR1" s="22"/>
      <c r="CRS1" s="22"/>
      <c r="CRT1" s="22"/>
      <c r="CRU1" s="22"/>
      <c r="CRV1" s="22"/>
      <c r="CRW1" s="22"/>
      <c r="CRX1" s="22"/>
      <c r="CRY1" s="22"/>
      <c r="CRZ1" s="22"/>
      <c r="CSA1" s="22"/>
      <c r="CSB1" s="22"/>
      <c r="CSC1" s="22"/>
      <c r="CSD1" s="22"/>
      <c r="CSE1" s="22"/>
      <c r="CSF1" s="22"/>
      <c r="CSG1" s="22"/>
      <c r="CSH1" s="22"/>
      <c r="CSI1" s="22"/>
      <c r="CSJ1" s="22"/>
      <c r="CSK1" s="22"/>
      <c r="CSL1" s="22"/>
      <c r="CSM1" s="22"/>
      <c r="CSN1" s="22"/>
      <c r="CSO1" s="22"/>
      <c r="CSP1" s="22"/>
      <c r="CSQ1" s="22"/>
      <c r="CSR1" s="22"/>
      <c r="CSS1" s="22"/>
      <c r="CST1" s="22"/>
      <c r="CSU1" s="22"/>
      <c r="CSV1" s="22"/>
      <c r="CSW1" s="22"/>
      <c r="CSX1" s="22"/>
      <c r="CSY1" s="22"/>
      <c r="CSZ1" s="22"/>
      <c r="CTA1" s="22"/>
      <c r="CTB1" s="22"/>
      <c r="CTC1" s="22"/>
      <c r="CTD1" s="22"/>
      <c r="CTE1" s="22"/>
      <c r="CTF1" s="22"/>
      <c r="CTG1" s="22"/>
      <c r="CTH1" s="22"/>
      <c r="CTI1" s="22"/>
      <c r="CTJ1" s="22"/>
      <c r="CTK1" s="22"/>
      <c r="CTL1" s="22"/>
      <c r="CTM1" s="22"/>
      <c r="CTN1" s="22"/>
      <c r="CTO1" s="22"/>
      <c r="CTP1" s="22"/>
      <c r="CTQ1" s="22"/>
      <c r="CTR1" s="22"/>
      <c r="CTS1" s="22"/>
      <c r="CTT1" s="22"/>
      <c r="CTU1" s="22"/>
      <c r="CTV1" s="22"/>
      <c r="CTW1" s="22"/>
      <c r="CTX1" s="22"/>
      <c r="CTY1" s="22"/>
      <c r="CTZ1" s="22"/>
      <c r="CUA1" s="22"/>
      <c r="CUB1" s="22"/>
      <c r="CUC1" s="22"/>
      <c r="CUD1" s="22"/>
      <c r="CUE1" s="22"/>
      <c r="CUF1" s="22"/>
      <c r="CUG1" s="22"/>
      <c r="CUH1" s="22"/>
      <c r="CUI1" s="22"/>
      <c r="CUJ1" s="22"/>
      <c r="CUK1" s="22"/>
      <c r="CUL1" s="22"/>
      <c r="CUM1" s="22"/>
      <c r="CUN1" s="22"/>
      <c r="CUO1" s="22"/>
      <c r="CUP1" s="22"/>
      <c r="CUQ1" s="22"/>
      <c r="CUR1" s="22"/>
      <c r="CUS1" s="22"/>
      <c r="CUT1" s="22"/>
      <c r="CUU1" s="22"/>
      <c r="CUV1" s="22"/>
      <c r="CUW1" s="22"/>
      <c r="CUX1" s="22"/>
      <c r="CUY1" s="22"/>
      <c r="CUZ1" s="22"/>
      <c r="CVA1" s="22"/>
      <c r="CVB1" s="22"/>
      <c r="CVC1" s="22"/>
      <c r="CVD1" s="22"/>
      <c r="CVE1" s="22"/>
      <c r="CVF1" s="22"/>
      <c r="CVG1" s="22"/>
      <c r="CVH1" s="22"/>
      <c r="CVI1" s="22"/>
      <c r="CVJ1" s="22"/>
      <c r="CVK1" s="22"/>
      <c r="CVL1" s="22"/>
      <c r="CVM1" s="22"/>
      <c r="CVN1" s="22"/>
      <c r="CVO1" s="22"/>
      <c r="CVP1" s="22"/>
      <c r="CVQ1" s="22"/>
      <c r="CVR1" s="22"/>
      <c r="CVS1" s="22"/>
      <c r="CVT1" s="22"/>
      <c r="CVU1" s="22"/>
      <c r="CVV1" s="22"/>
      <c r="CVW1" s="22"/>
      <c r="CVX1" s="22"/>
      <c r="CVY1" s="22"/>
      <c r="CVZ1" s="22"/>
      <c r="CWA1" s="22"/>
      <c r="CWB1" s="22"/>
      <c r="CWC1" s="22"/>
      <c r="CWD1" s="22"/>
      <c r="CWE1" s="22"/>
      <c r="CWF1" s="22"/>
      <c r="CWG1" s="22"/>
      <c r="CWH1" s="22"/>
      <c r="CWI1" s="22"/>
      <c r="CWJ1" s="22"/>
      <c r="CWK1" s="22"/>
      <c r="CWL1" s="22"/>
      <c r="CWM1" s="22"/>
      <c r="CWN1" s="22"/>
      <c r="CWO1" s="22"/>
      <c r="CWP1" s="22"/>
      <c r="CWQ1" s="22"/>
      <c r="CWR1" s="22"/>
      <c r="CWS1" s="22"/>
      <c r="CWT1" s="22"/>
      <c r="CWU1" s="22"/>
      <c r="CWV1" s="22"/>
      <c r="CWW1" s="22"/>
      <c r="CWX1" s="22"/>
      <c r="CWY1" s="22"/>
      <c r="CWZ1" s="22"/>
      <c r="CXA1" s="22"/>
      <c r="CXB1" s="22"/>
      <c r="CXC1" s="22"/>
      <c r="CXD1" s="22"/>
      <c r="CXE1" s="22"/>
      <c r="CXF1" s="22"/>
      <c r="CXG1" s="22"/>
      <c r="CXH1" s="22"/>
      <c r="CXI1" s="22"/>
      <c r="CXJ1" s="22"/>
      <c r="CXK1" s="22"/>
      <c r="CXL1" s="22"/>
      <c r="CXM1" s="22"/>
      <c r="CXN1" s="22"/>
      <c r="CXO1" s="22"/>
      <c r="CXP1" s="22"/>
      <c r="CXQ1" s="22"/>
      <c r="CXR1" s="22"/>
      <c r="CXS1" s="22"/>
      <c r="CXT1" s="22"/>
      <c r="CXU1" s="22"/>
      <c r="CXV1" s="22"/>
      <c r="CXW1" s="22"/>
      <c r="CXX1" s="22"/>
      <c r="CXY1" s="22"/>
      <c r="CXZ1" s="22"/>
      <c r="CYA1" s="22"/>
      <c r="CYB1" s="22"/>
      <c r="CYC1" s="22"/>
      <c r="CYD1" s="22"/>
      <c r="CYE1" s="22"/>
      <c r="CYF1" s="22"/>
      <c r="CYG1" s="22"/>
      <c r="CYH1" s="22"/>
      <c r="CYI1" s="22"/>
      <c r="CYJ1" s="22"/>
      <c r="CYK1" s="22"/>
      <c r="CYL1" s="22"/>
      <c r="CYM1" s="22"/>
      <c r="CYN1" s="22"/>
      <c r="CYO1" s="22"/>
      <c r="CYP1" s="22"/>
      <c r="CYQ1" s="22"/>
      <c r="CYR1" s="22"/>
      <c r="CYS1" s="22"/>
      <c r="CYT1" s="22"/>
      <c r="CYU1" s="22"/>
      <c r="CYV1" s="22"/>
      <c r="CYW1" s="22"/>
      <c r="CYX1" s="22"/>
      <c r="CYY1" s="22"/>
      <c r="CYZ1" s="22"/>
      <c r="CZA1" s="22"/>
      <c r="CZB1" s="22"/>
      <c r="CZC1" s="22"/>
      <c r="CZD1" s="22"/>
      <c r="CZE1" s="22"/>
      <c r="CZF1" s="22"/>
      <c r="CZG1" s="22"/>
      <c r="CZH1" s="22"/>
      <c r="CZI1" s="22"/>
      <c r="CZJ1" s="22"/>
      <c r="CZK1" s="22"/>
      <c r="CZL1" s="22"/>
      <c r="CZM1" s="22"/>
      <c r="CZN1" s="22"/>
      <c r="CZO1" s="22"/>
      <c r="CZP1" s="22"/>
      <c r="CZQ1" s="22"/>
      <c r="CZR1" s="22"/>
      <c r="CZS1" s="22"/>
      <c r="CZT1" s="22"/>
      <c r="CZU1" s="22"/>
      <c r="CZV1" s="22"/>
      <c r="CZW1" s="22"/>
      <c r="CZX1" s="22"/>
      <c r="CZY1" s="22"/>
      <c r="CZZ1" s="22"/>
      <c r="DAA1" s="22"/>
      <c r="DAB1" s="22"/>
      <c r="DAC1" s="22"/>
      <c r="DAD1" s="22"/>
      <c r="DAE1" s="22"/>
      <c r="DAF1" s="22"/>
      <c r="DAG1" s="22"/>
      <c r="DAH1" s="22"/>
      <c r="DAI1" s="22"/>
      <c r="DAJ1" s="22"/>
      <c r="DAK1" s="22"/>
      <c r="DAL1" s="22"/>
      <c r="DAM1" s="22"/>
      <c r="DAN1" s="22"/>
      <c r="DAO1" s="22"/>
      <c r="DAP1" s="22"/>
      <c r="DAQ1" s="22"/>
      <c r="DAR1" s="22"/>
      <c r="DAS1" s="22"/>
      <c r="DAT1" s="22"/>
      <c r="DAU1" s="22"/>
      <c r="DAV1" s="22"/>
      <c r="DAW1" s="22"/>
      <c r="DAX1" s="22"/>
      <c r="DAY1" s="22"/>
      <c r="DAZ1" s="22"/>
      <c r="DBA1" s="22"/>
      <c r="DBB1" s="22"/>
      <c r="DBC1" s="22"/>
      <c r="DBD1" s="22"/>
      <c r="DBE1" s="22"/>
      <c r="DBF1" s="22"/>
      <c r="DBG1" s="22"/>
      <c r="DBH1" s="22"/>
      <c r="DBI1" s="22"/>
      <c r="DBJ1" s="22"/>
      <c r="DBK1" s="22"/>
      <c r="DBL1" s="22"/>
      <c r="DBM1" s="22"/>
      <c r="DBN1" s="22"/>
      <c r="DBO1" s="22"/>
      <c r="DBP1" s="22"/>
      <c r="DBQ1" s="22"/>
      <c r="DBR1" s="22"/>
      <c r="DBS1" s="22"/>
      <c r="DBT1" s="22"/>
      <c r="DBU1" s="22"/>
      <c r="DBV1" s="22"/>
      <c r="DBW1" s="22"/>
      <c r="DBX1" s="22"/>
      <c r="DBY1" s="22"/>
      <c r="DBZ1" s="22"/>
      <c r="DCA1" s="22"/>
      <c r="DCB1" s="22"/>
      <c r="DCC1" s="22"/>
      <c r="DCD1" s="22"/>
      <c r="DCE1" s="22"/>
      <c r="DCF1" s="22"/>
      <c r="DCG1" s="22"/>
      <c r="DCH1" s="22"/>
      <c r="DCI1" s="22"/>
      <c r="DCJ1" s="22"/>
      <c r="DCK1" s="22"/>
      <c r="DCL1" s="22"/>
      <c r="DCM1" s="22"/>
      <c r="DCN1" s="22"/>
      <c r="DCO1" s="22"/>
      <c r="DCP1" s="22"/>
      <c r="DCQ1" s="22"/>
      <c r="DCR1" s="22"/>
      <c r="DCS1" s="22"/>
      <c r="DCT1" s="22"/>
      <c r="DCU1" s="22"/>
      <c r="DCV1" s="22"/>
      <c r="DCW1" s="22"/>
      <c r="DCX1" s="22"/>
      <c r="DCY1" s="22"/>
      <c r="DCZ1" s="22"/>
      <c r="DDA1" s="22"/>
      <c r="DDB1" s="22"/>
      <c r="DDC1" s="22"/>
      <c r="DDD1" s="22"/>
      <c r="DDE1" s="22"/>
      <c r="DDF1" s="22"/>
      <c r="DDG1" s="22"/>
      <c r="DDH1" s="22"/>
      <c r="DDI1" s="22"/>
      <c r="DDJ1" s="22"/>
      <c r="DDK1" s="22"/>
      <c r="DDL1" s="22"/>
      <c r="DDM1" s="22"/>
      <c r="DDN1" s="22"/>
      <c r="DDO1" s="22"/>
      <c r="DDP1" s="22"/>
      <c r="DDQ1" s="22"/>
      <c r="DDR1" s="22"/>
      <c r="DDS1" s="22"/>
      <c r="DDT1" s="22"/>
      <c r="DDU1" s="22"/>
      <c r="DDV1" s="22"/>
      <c r="DDW1" s="22"/>
      <c r="DDX1" s="22"/>
      <c r="DDY1" s="22"/>
      <c r="DDZ1" s="22"/>
      <c r="DEA1" s="22"/>
      <c r="DEB1" s="22"/>
      <c r="DEC1" s="22"/>
      <c r="DED1" s="22"/>
      <c r="DEE1" s="22"/>
      <c r="DEF1" s="22"/>
      <c r="DEG1" s="22"/>
      <c r="DEH1" s="22"/>
      <c r="DEI1" s="22"/>
      <c r="DEJ1" s="22"/>
      <c r="DEK1" s="22"/>
      <c r="DEL1" s="22"/>
      <c r="DEM1" s="22"/>
      <c r="DEN1" s="22"/>
      <c r="DEO1" s="22"/>
      <c r="DEP1" s="22"/>
      <c r="DEQ1" s="22"/>
      <c r="DER1" s="22"/>
      <c r="DES1" s="22"/>
      <c r="DET1" s="22"/>
      <c r="DEU1" s="22"/>
      <c r="DEV1" s="22"/>
      <c r="DEW1" s="22"/>
      <c r="DEX1" s="22"/>
      <c r="DEY1" s="22"/>
      <c r="DEZ1" s="22"/>
      <c r="DFA1" s="22"/>
      <c r="DFB1" s="22"/>
      <c r="DFC1" s="22"/>
      <c r="DFD1" s="22"/>
      <c r="DFE1" s="22"/>
      <c r="DFF1" s="22"/>
      <c r="DFG1" s="22"/>
      <c r="DFH1" s="22"/>
      <c r="DFI1" s="22"/>
      <c r="DFJ1" s="22"/>
      <c r="DFK1" s="22"/>
      <c r="DFL1" s="22"/>
      <c r="DFM1" s="22"/>
      <c r="DFN1" s="22"/>
      <c r="DFO1" s="22"/>
      <c r="DFP1" s="22"/>
      <c r="DFQ1" s="22"/>
      <c r="DFR1" s="22"/>
      <c r="DFS1" s="22"/>
      <c r="DFT1" s="22"/>
      <c r="DFU1" s="22"/>
      <c r="DFV1" s="22"/>
      <c r="DFW1" s="22"/>
      <c r="DFX1" s="22"/>
      <c r="DFY1" s="22"/>
      <c r="DFZ1" s="22"/>
      <c r="DGA1" s="22"/>
      <c r="DGB1" s="22"/>
      <c r="DGC1" s="22"/>
      <c r="DGD1" s="22"/>
      <c r="DGE1" s="22"/>
      <c r="DGF1" s="22"/>
      <c r="DGG1" s="22"/>
      <c r="DGH1" s="22"/>
      <c r="DGI1" s="22"/>
      <c r="DGJ1" s="22"/>
      <c r="DGK1" s="22"/>
      <c r="DGL1" s="22"/>
      <c r="DGM1" s="22"/>
      <c r="DGN1" s="22"/>
      <c r="DGO1" s="22"/>
      <c r="DGP1" s="22"/>
      <c r="DGQ1" s="22"/>
      <c r="DGR1" s="22"/>
      <c r="DGS1" s="22"/>
      <c r="DGT1" s="22"/>
      <c r="DGU1" s="22"/>
      <c r="DGV1" s="22"/>
      <c r="DGW1" s="22"/>
      <c r="DGX1" s="22"/>
      <c r="DGY1" s="22"/>
      <c r="DGZ1" s="22"/>
      <c r="DHA1" s="22"/>
      <c r="DHB1" s="22"/>
      <c r="DHC1" s="22"/>
      <c r="DHD1" s="22"/>
      <c r="DHE1" s="22"/>
      <c r="DHF1" s="22"/>
      <c r="DHG1" s="22"/>
      <c r="DHH1" s="22"/>
      <c r="DHI1" s="22"/>
      <c r="DHJ1" s="22"/>
      <c r="DHK1" s="22"/>
      <c r="DHL1" s="22"/>
      <c r="DHM1" s="22"/>
      <c r="DHN1" s="22"/>
      <c r="DHO1" s="22"/>
      <c r="DHP1" s="22"/>
      <c r="DHQ1" s="22"/>
      <c r="DHR1" s="22"/>
      <c r="DHS1" s="22"/>
      <c r="DHT1" s="22"/>
      <c r="DHU1" s="22"/>
      <c r="DHV1" s="22"/>
      <c r="DHW1" s="22"/>
      <c r="DHX1" s="22"/>
      <c r="DHY1" s="22"/>
      <c r="DHZ1" s="22"/>
      <c r="DIA1" s="22"/>
      <c r="DIB1" s="22"/>
      <c r="DIC1" s="22"/>
      <c r="DID1" s="22"/>
      <c r="DIE1" s="22"/>
      <c r="DIF1" s="22"/>
      <c r="DIG1" s="22"/>
      <c r="DIH1" s="22"/>
      <c r="DII1" s="22"/>
      <c r="DIJ1" s="22"/>
      <c r="DIK1" s="22"/>
      <c r="DIL1" s="22"/>
      <c r="DIM1" s="22"/>
      <c r="DIN1" s="22"/>
      <c r="DIO1" s="22"/>
      <c r="DIP1" s="22"/>
      <c r="DIQ1" s="22"/>
      <c r="DIR1" s="22"/>
      <c r="DIS1" s="22"/>
      <c r="DIT1" s="22"/>
      <c r="DIU1" s="22"/>
      <c r="DIV1" s="22"/>
      <c r="DIW1" s="22"/>
      <c r="DIX1" s="22"/>
      <c r="DIY1" s="22"/>
      <c r="DIZ1" s="22"/>
      <c r="DJA1" s="22"/>
      <c r="DJB1" s="22"/>
      <c r="DJC1" s="22"/>
      <c r="DJD1" s="22"/>
      <c r="DJE1" s="22"/>
      <c r="DJF1" s="22"/>
      <c r="DJG1" s="22"/>
      <c r="DJH1" s="22"/>
      <c r="DJI1" s="22"/>
      <c r="DJJ1" s="22"/>
      <c r="DJK1" s="22"/>
      <c r="DJL1" s="22"/>
      <c r="DJM1" s="22"/>
      <c r="DJN1" s="22"/>
      <c r="DJO1" s="22"/>
      <c r="DJP1" s="22"/>
      <c r="DJQ1" s="22"/>
      <c r="DJR1" s="22"/>
      <c r="DJS1" s="22"/>
      <c r="DJT1" s="22"/>
      <c r="DJU1" s="22"/>
      <c r="DJV1" s="22"/>
      <c r="DJW1" s="22"/>
      <c r="DJX1" s="22"/>
      <c r="DJY1" s="22"/>
      <c r="DJZ1" s="22"/>
      <c r="DKA1" s="22"/>
      <c r="DKB1" s="22"/>
      <c r="DKC1" s="22"/>
      <c r="DKD1" s="22"/>
      <c r="DKE1" s="22"/>
      <c r="DKF1" s="22"/>
      <c r="DKG1" s="22"/>
      <c r="DKH1" s="22"/>
      <c r="DKI1" s="22"/>
      <c r="DKJ1" s="22"/>
      <c r="DKK1" s="22"/>
      <c r="DKL1" s="22"/>
      <c r="DKM1" s="22"/>
      <c r="DKN1" s="22"/>
      <c r="DKO1" s="22"/>
      <c r="DKP1" s="22"/>
      <c r="DKQ1" s="22"/>
      <c r="DKR1" s="22"/>
      <c r="DKS1" s="22"/>
      <c r="DKT1" s="22"/>
      <c r="DKU1" s="22"/>
      <c r="DKV1" s="22"/>
      <c r="DKW1" s="22"/>
      <c r="DKX1" s="22"/>
      <c r="DKY1" s="22"/>
      <c r="DKZ1" s="22"/>
      <c r="DLA1" s="22"/>
      <c r="DLB1" s="22"/>
      <c r="DLC1" s="22"/>
      <c r="DLD1" s="22"/>
      <c r="DLE1" s="22"/>
      <c r="DLF1" s="22"/>
      <c r="DLG1" s="22"/>
      <c r="DLH1" s="22"/>
      <c r="DLI1" s="22"/>
      <c r="DLJ1" s="22"/>
      <c r="DLK1" s="22"/>
      <c r="DLL1" s="22"/>
      <c r="DLM1" s="22"/>
      <c r="DLN1" s="22"/>
      <c r="DLO1" s="22"/>
      <c r="DLP1" s="22"/>
      <c r="DLQ1" s="22"/>
      <c r="DLR1" s="22"/>
      <c r="DLS1" s="22"/>
      <c r="DLT1" s="22"/>
      <c r="DLU1" s="22"/>
      <c r="DLV1" s="22"/>
      <c r="DLW1" s="22"/>
      <c r="DLX1" s="22"/>
      <c r="DLY1" s="22"/>
      <c r="DLZ1" s="22"/>
      <c r="DMA1" s="22"/>
      <c r="DMB1" s="22"/>
      <c r="DMC1" s="22"/>
      <c r="DMD1" s="22"/>
      <c r="DME1" s="22"/>
      <c r="DMF1" s="22"/>
      <c r="DMG1" s="22"/>
      <c r="DMH1" s="22"/>
      <c r="DMI1" s="22"/>
      <c r="DMJ1" s="22"/>
      <c r="DMK1" s="22"/>
      <c r="DML1" s="22"/>
      <c r="DMM1" s="22"/>
      <c r="DMN1" s="22"/>
      <c r="DMO1" s="22"/>
      <c r="DMP1" s="22"/>
      <c r="DMQ1" s="22"/>
      <c r="DMR1" s="22"/>
      <c r="DMS1" s="22"/>
      <c r="DMT1" s="22"/>
      <c r="DMU1" s="22"/>
      <c r="DMV1" s="22"/>
      <c r="DMW1" s="22"/>
      <c r="DMX1" s="22"/>
      <c r="DMY1" s="22"/>
      <c r="DMZ1" s="22"/>
      <c r="DNA1" s="22"/>
      <c r="DNB1" s="22"/>
      <c r="DNC1" s="22"/>
      <c r="DND1" s="22"/>
      <c r="DNE1" s="22"/>
      <c r="DNF1" s="22"/>
      <c r="DNG1" s="22"/>
      <c r="DNH1" s="22"/>
      <c r="DNI1" s="22"/>
      <c r="DNJ1" s="22"/>
      <c r="DNK1" s="22"/>
      <c r="DNL1" s="22"/>
      <c r="DNM1" s="22"/>
      <c r="DNN1" s="22"/>
      <c r="DNO1" s="22"/>
      <c r="DNP1" s="22"/>
      <c r="DNQ1" s="22"/>
      <c r="DNR1" s="22"/>
      <c r="DNS1" s="22"/>
      <c r="DNT1" s="22"/>
      <c r="DNU1" s="22"/>
      <c r="DNV1" s="22"/>
      <c r="DNW1" s="22"/>
      <c r="DNX1" s="22"/>
      <c r="DNY1" s="22"/>
      <c r="DNZ1" s="22"/>
      <c r="DOA1" s="22"/>
      <c r="DOB1" s="22"/>
      <c r="DOC1" s="22"/>
      <c r="DOD1" s="22"/>
      <c r="DOE1" s="22"/>
      <c r="DOF1" s="22"/>
      <c r="DOG1" s="22"/>
      <c r="DOH1" s="22"/>
      <c r="DOI1" s="22"/>
      <c r="DOJ1" s="22"/>
      <c r="DOK1" s="22"/>
      <c r="DOL1" s="22"/>
      <c r="DOM1" s="22"/>
      <c r="DON1" s="22"/>
      <c r="DOO1" s="22"/>
      <c r="DOP1" s="22"/>
      <c r="DOQ1" s="22"/>
      <c r="DOR1" s="22"/>
      <c r="DOS1" s="22"/>
      <c r="DOT1" s="22"/>
      <c r="DOU1" s="22"/>
      <c r="DOV1" s="22"/>
      <c r="DOW1" s="22"/>
      <c r="DOX1" s="22"/>
      <c r="DOY1" s="22"/>
      <c r="DOZ1" s="22"/>
      <c r="DPA1" s="22"/>
      <c r="DPB1" s="22"/>
      <c r="DPC1" s="22"/>
      <c r="DPD1" s="22"/>
      <c r="DPE1" s="22"/>
      <c r="DPF1" s="22"/>
      <c r="DPG1" s="22"/>
      <c r="DPH1" s="22"/>
      <c r="DPI1" s="22"/>
      <c r="DPJ1" s="22"/>
      <c r="DPK1" s="22"/>
      <c r="DPL1" s="22"/>
      <c r="DPM1" s="22"/>
      <c r="DPN1" s="22"/>
      <c r="DPO1" s="22"/>
      <c r="DPP1" s="22"/>
      <c r="DPQ1" s="22"/>
      <c r="DPR1" s="22"/>
      <c r="DPS1" s="22"/>
      <c r="DPT1" s="22"/>
      <c r="DPU1" s="22"/>
      <c r="DPV1" s="22"/>
      <c r="DPW1" s="22"/>
      <c r="DPX1" s="22"/>
      <c r="DPY1" s="22"/>
      <c r="DPZ1" s="22"/>
      <c r="DQA1" s="22"/>
      <c r="DQB1" s="22"/>
      <c r="DQC1" s="22"/>
      <c r="DQD1" s="22"/>
      <c r="DQE1" s="22"/>
      <c r="DQF1" s="22"/>
      <c r="DQG1" s="22"/>
      <c r="DQH1" s="22"/>
      <c r="DQI1" s="22"/>
      <c r="DQJ1" s="22"/>
      <c r="DQK1" s="22"/>
      <c r="DQL1" s="22"/>
      <c r="DQM1" s="22"/>
      <c r="DQN1" s="22"/>
      <c r="DQO1" s="22"/>
      <c r="DQP1" s="22"/>
      <c r="DQQ1" s="22"/>
      <c r="DQR1" s="22"/>
      <c r="DQS1" s="22"/>
      <c r="DQT1" s="22"/>
      <c r="DQU1" s="22"/>
      <c r="DQV1" s="22"/>
      <c r="DQW1" s="22"/>
      <c r="DQX1" s="22"/>
      <c r="DQY1" s="22"/>
      <c r="DQZ1" s="22"/>
      <c r="DRA1" s="22"/>
      <c r="DRB1" s="22"/>
      <c r="DRC1" s="22"/>
      <c r="DRD1" s="22"/>
      <c r="DRE1" s="22"/>
      <c r="DRF1" s="22"/>
      <c r="DRG1" s="22"/>
      <c r="DRH1" s="22"/>
      <c r="DRI1" s="22"/>
      <c r="DRJ1" s="22"/>
      <c r="DRK1" s="22"/>
      <c r="DRL1" s="22"/>
      <c r="DRM1" s="22"/>
      <c r="DRN1" s="22"/>
      <c r="DRO1" s="22"/>
      <c r="DRP1" s="22"/>
      <c r="DRQ1" s="22"/>
      <c r="DRR1" s="22"/>
      <c r="DRS1" s="22"/>
      <c r="DRT1" s="22"/>
      <c r="DRU1" s="22"/>
      <c r="DRV1" s="22"/>
      <c r="DRW1" s="22"/>
      <c r="DRX1" s="22"/>
      <c r="DRY1" s="22"/>
      <c r="DRZ1" s="22"/>
      <c r="DSA1" s="22"/>
      <c r="DSB1" s="22"/>
      <c r="DSC1" s="22"/>
      <c r="DSD1" s="22"/>
      <c r="DSE1" s="22"/>
      <c r="DSF1" s="22"/>
      <c r="DSG1" s="22"/>
      <c r="DSH1" s="22"/>
      <c r="DSI1" s="22"/>
      <c r="DSJ1" s="22"/>
      <c r="DSK1" s="22"/>
      <c r="DSL1" s="22"/>
      <c r="DSM1" s="22"/>
      <c r="DSN1" s="22"/>
      <c r="DSO1" s="22"/>
      <c r="DSP1" s="22"/>
      <c r="DSQ1" s="22"/>
      <c r="DSR1" s="22"/>
      <c r="DSS1" s="22"/>
      <c r="DST1" s="22"/>
      <c r="DSU1" s="22"/>
      <c r="DSV1" s="22"/>
      <c r="DSW1" s="22"/>
      <c r="DSX1" s="22"/>
      <c r="DSY1" s="22"/>
      <c r="DSZ1" s="22"/>
      <c r="DTA1" s="22"/>
      <c r="DTB1" s="22"/>
      <c r="DTC1" s="22"/>
      <c r="DTD1" s="22"/>
      <c r="DTE1" s="22"/>
      <c r="DTF1" s="22"/>
      <c r="DTG1" s="22"/>
      <c r="DTH1" s="22"/>
      <c r="DTI1" s="22"/>
      <c r="DTJ1" s="22"/>
      <c r="DTK1" s="22"/>
      <c r="DTL1" s="22"/>
      <c r="DTM1" s="22"/>
      <c r="DTN1" s="22"/>
      <c r="DTO1" s="22"/>
      <c r="DTP1" s="22"/>
      <c r="DTQ1" s="22"/>
      <c r="DTR1" s="22"/>
      <c r="DTS1" s="22"/>
      <c r="DTT1" s="22"/>
      <c r="DTU1" s="22"/>
      <c r="DTV1" s="22"/>
      <c r="DTW1" s="22"/>
      <c r="DTX1" s="22"/>
      <c r="DTY1" s="22"/>
      <c r="DTZ1" s="22"/>
      <c r="DUA1" s="22"/>
      <c r="DUB1" s="22"/>
      <c r="DUC1" s="22"/>
      <c r="DUD1" s="22"/>
      <c r="DUE1" s="22"/>
      <c r="DUF1" s="22"/>
      <c r="DUG1" s="22"/>
      <c r="DUH1" s="22"/>
      <c r="DUI1" s="22"/>
      <c r="DUJ1" s="22"/>
      <c r="DUK1" s="22"/>
      <c r="DUL1" s="22"/>
      <c r="DUM1" s="22"/>
      <c r="DUN1" s="22"/>
      <c r="DUO1" s="22"/>
      <c r="DUP1" s="22"/>
      <c r="DUQ1" s="22"/>
      <c r="DUR1" s="22"/>
      <c r="DUS1" s="22"/>
      <c r="DUT1" s="22"/>
      <c r="DUU1" s="22"/>
      <c r="DUV1" s="22"/>
      <c r="DUW1" s="22"/>
      <c r="DUX1" s="22"/>
      <c r="DUY1" s="22"/>
      <c r="DUZ1" s="22"/>
      <c r="DVA1" s="22"/>
      <c r="DVB1" s="22"/>
      <c r="DVC1" s="22"/>
      <c r="DVD1" s="22"/>
      <c r="DVE1" s="22"/>
      <c r="DVF1" s="22"/>
      <c r="DVG1" s="22"/>
      <c r="DVH1" s="22"/>
      <c r="DVI1" s="22"/>
      <c r="DVJ1" s="22"/>
      <c r="DVK1" s="22"/>
      <c r="DVL1" s="22"/>
      <c r="DVM1" s="22"/>
      <c r="DVN1" s="22"/>
      <c r="DVO1" s="22"/>
      <c r="DVP1" s="22"/>
      <c r="DVQ1" s="22"/>
      <c r="DVR1" s="22"/>
      <c r="DVS1" s="22"/>
      <c r="DVT1" s="22"/>
      <c r="DVU1" s="22"/>
      <c r="DVV1" s="22"/>
      <c r="DVW1" s="22"/>
      <c r="DVX1" s="22"/>
      <c r="DVY1" s="22"/>
      <c r="DVZ1" s="22"/>
      <c r="DWA1" s="22"/>
      <c r="DWB1" s="22"/>
      <c r="DWC1" s="22"/>
      <c r="DWD1" s="22"/>
      <c r="DWE1" s="22"/>
      <c r="DWF1" s="22"/>
      <c r="DWG1" s="22"/>
      <c r="DWH1" s="22"/>
      <c r="DWI1" s="22"/>
      <c r="DWJ1" s="22"/>
      <c r="DWK1" s="22"/>
      <c r="DWL1" s="22"/>
      <c r="DWM1" s="22"/>
      <c r="DWN1" s="22"/>
      <c r="DWO1" s="22"/>
      <c r="DWP1" s="22"/>
      <c r="DWQ1" s="22"/>
      <c r="DWR1" s="22"/>
      <c r="DWS1" s="22"/>
      <c r="DWT1" s="22"/>
      <c r="DWU1" s="22"/>
      <c r="DWV1" s="22"/>
      <c r="DWW1" s="22"/>
      <c r="DWX1" s="22"/>
      <c r="DWY1" s="22"/>
      <c r="DWZ1" s="22"/>
      <c r="DXA1" s="22"/>
      <c r="DXB1" s="22"/>
      <c r="DXC1" s="22"/>
      <c r="DXD1" s="22"/>
      <c r="DXE1" s="22"/>
      <c r="DXF1" s="22"/>
      <c r="DXG1" s="22"/>
      <c r="DXH1" s="22"/>
      <c r="DXI1" s="22"/>
      <c r="DXJ1" s="22"/>
      <c r="DXK1" s="22"/>
      <c r="DXL1" s="22"/>
      <c r="DXM1" s="22"/>
      <c r="DXN1" s="22"/>
      <c r="DXO1" s="22"/>
      <c r="DXP1" s="22"/>
      <c r="DXQ1" s="22"/>
      <c r="DXR1" s="22"/>
      <c r="DXS1" s="22"/>
      <c r="DXT1" s="22"/>
      <c r="DXU1" s="22"/>
      <c r="DXV1" s="22"/>
      <c r="DXW1" s="22"/>
      <c r="DXX1" s="22"/>
      <c r="DXY1" s="22"/>
      <c r="DXZ1" s="22"/>
      <c r="DYA1" s="22"/>
      <c r="DYB1" s="22"/>
      <c r="DYC1" s="22"/>
      <c r="DYD1" s="22"/>
      <c r="DYE1" s="22"/>
      <c r="DYF1" s="22"/>
      <c r="DYG1" s="22"/>
      <c r="DYH1" s="22"/>
      <c r="DYI1" s="22"/>
      <c r="DYJ1" s="22"/>
      <c r="DYK1" s="22"/>
      <c r="DYL1" s="22"/>
      <c r="DYM1" s="22"/>
      <c r="DYN1" s="22"/>
      <c r="DYO1" s="22"/>
      <c r="DYP1" s="22"/>
      <c r="DYQ1" s="22"/>
      <c r="DYR1" s="22"/>
      <c r="DYS1" s="22"/>
      <c r="DYT1" s="22"/>
      <c r="DYU1" s="22"/>
      <c r="DYV1" s="22"/>
      <c r="DYW1" s="22"/>
      <c r="DYX1" s="22"/>
      <c r="DYY1" s="22"/>
      <c r="DYZ1" s="22"/>
      <c r="DZA1" s="22"/>
      <c r="DZB1" s="22"/>
      <c r="DZC1" s="22"/>
      <c r="DZD1" s="22"/>
      <c r="DZE1" s="22"/>
      <c r="DZF1" s="22"/>
      <c r="DZG1" s="22"/>
      <c r="DZH1" s="22"/>
      <c r="DZI1" s="22"/>
      <c r="DZJ1" s="22"/>
      <c r="DZK1" s="22"/>
      <c r="DZL1" s="22"/>
      <c r="DZM1" s="22"/>
      <c r="DZN1" s="22"/>
      <c r="DZO1" s="22"/>
      <c r="DZP1" s="22"/>
      <c r="DZQ1" s="22"/>
      <c r="DZR1" s="22"/>
      <c r="DZS1" s="22"/>
      <c r="DZT1" s="22"/>
      <c r="DZU1" s="22"/>
      <c r="DZV1" s="22"/>
      <c r="DZW1" s="22"/>
      <c r="DZX1" s="22"/>
      <c r="DZY1" s="22"/>
      <c r="DZZ1" s="22"/>
      <c r="EAA1" s="22"/>
      <c r="EAB1" s="22"/>
      <c r="EAC1" s="22"/>
      <c r="EAD1" s="22"/>
      <c r="EAE1" s="22"/>
      <c r="EAF1" s="22"/>
      <c r="EAG1" s="22"/>
      <c r="EAH1" s="22"/>
      <c r="EAI1" s="22"/>
      <c r="EAJ1" s="22"/>
      <c r="EAK1" s="22"/>
      <c r="EAL1" s="22"/>
      <c r="EAM1" s="22"/>
      <c r="EAN1" s="22"/>
      <c r="EAO1" s="22"/>
      <c r="EAP1" s="22"/>
      <c r="EAQ1" s="22"/>
      <c r="EAR1" s="22"/>
      <c r="EAS1" s="22"/>
      <c r="EAT1" s="22"/>
      <c r="EAU1" s="22"/>
      <c r="EAV1" s="22"/>
      <c r="EAW1" s="22"/>
      <c r="EAX1" s="22"/>
      <c r="EAY1" s="22"/>
      <c r="EAZ1" s="22"/>
      <c r="EBA1" s="22"/>
      <c r="EBB1" s="22"/>
      <c r="EBC1" s="22"/>
      <c r="EBD1" s="22"/>
      <c r="EBE1" s="22"/>
      <c r="EBF1" s="22"/>
      <c r="EBG1" s="22"/>
      <c r="EBH1" s="22"/>
      <c r="EBI1" s="22"/>
      <c r="EBJ1" s="22"/>
      <c r="EBK1" s="22"/>
      <c r="EBL1" s="22"/>
      <c r="EBM1" s="22"/>
      <c r="EBN1" s="22"/>
      <c r="EBO1" s="22"/>
      <c r="EBP1" s="22"/>
      <c r="EBQ1" s="22"/>
      <c r="EBR1" s="22"/>
      <c r="EBS1" s="22"/>
      <c r="EBT1" s="22"/>
      <c r="EBU1" s="22"/>
      <c r="EBV1" s="22"/>
      <c r="EBW1" s="22"/>
      <c r="EBX1" s="22"/>
      <c r="EBY1" s="22"/>
      <c r="EBZ1" s="22"/>
      <c r="ECA1" s="22"/>
      <c r="ECB1" s="22"/>
      <c r="ECC1" s="22"/>
      <c r="ECD1" s="22"/>
      <c r="ECE1" s="22"/>
      <c r="ECF1" s="22"/>
      <c r="ECG1" s="22"/>
      <c r="ECH1" s="22"/>
      <c r="ECI1" s="22"/>
      <c r="ECJ1" s="22"/>
      <c r="ECK1" s="22"/>
      <c r="ECL1" s="22"/>
      <c r="ECM1" s="22"/>
      <c r="ECN1" s="22"/>
      <c r="ECO1" s="22"/>
      <c r="ECP1" s="22"/>
      <c r="ECQ1" s="22"/>
      <c r="ECR1" s="22"/>
      <c r="ECS1" s="22"/>
      <c r="ECT1" s="22"/>
      <c r="ECU1" s="22"/>
      <c r="ECV1" s="22"/>
      <c r="ECW1" s="22"/>
      <c r="ECX1" s="22"/>
      <c r="ECY1" s="22"/>
      <c r="ECZ1" s="22"/>
      <c r="EDA1" s="22"/>
      <c r="EDB1" s="22"/>
      <c r="EDC1" s="22"/>
      <c r="EDD1" s="22"/>
      <c r="EDE1" s="22"/>
      <c r="EDF1" s="22"/>
      <c r="EDG1" s="22"/>
      <c r="EDH1" s="22"/>
      <c r="EDI1" s="22"/>
      <c r="EDJ1" s="22"/>
      <c r="EDK1" s="22"/>
      <c r="EDL1" s="22"/>
      <c r="EDM1" s="22"/>
      <c r="EDN1" s="22"/>
      <c r="EDO1" s="22"/>
      <c r="EDP1" s="22"/>
      <c r="EDQ1" s="22"/>
      <c r="EDR1" s="22"/>
      <c r="EDS1" s="22"/>
      <c r="EDT1" s="22"/>
      <c r="EDU1" s="22"/>
      <c r="EDV1" s="22"/>
      <c r="EDW1" s="22"/>
      <c r="EDX1" s="22"/>
      <c r="EDY1" s="22"/>
      <c r="EDZ1" s="22"/>
      <c r="EEA1" s="22"/>
      <c r="EEB1" s="22"/>
      <c r="EEC1" s="22"/>
      <c r="EED1" s="22"/>
      <c r="EEE1" s="22"/>
      <c r="EEF1" s="22"/>
      <c r="EEG1" s="22"/>
      <c r="EEH1" s="22"/>
      <c r="EEI1" s="22"/>
      <c r="EEJ1" s="22"/>
      <c r="EEK1" s="22"/>
      <c r="EEL1" s="22"/>
      <c r="EEM1" s="22"/>
      <c r="EEN1" s="22"/>
      <c r="EEO1" s="22"/>
      <c r="EEP1" s="22"/>
      <c r="EEQ1" s="22"/>
      <c r="EER1" s="22"/>
      <c r="EES1" s="22"/>
      <c r="EET1" s="22"/>
      <c r="EEU1" s="22"/>
      <c r="EEV1" s="22"/>
      <c r="EEW1" s="22"/>
      <c r="EEX1" s="22"/>
      <c r="EEY1" s="22"/>
      <c r="EEZ1" s="22"/>
      <c r="EFA1" s="22"/>
      <c r="EFB1" s="22"/>
      <c r="EFC1" s="22"/>
      <c r="EFD1" s="22"/>
      <c r="EFE1" s="22"/>
      <c r="EFF1" s="22"/>
      <c r="EFG1" s="22"/>
      <c r="EFH1" s="22"/>
      <c r="EFI1" s="22"/>
      <c r="EFJ1" s="22"/>
      <c r="EFK1" s="22"/>
      <c r="EFL1" s="22"/>
      <c r="EFM1" s="22"/>
      <c r="EFN1" s="22"/>
      <c r="EFO1" s="22"/>
      <c r="EFP1" s="22"/>
      <c r="EFQ1" s="22"/>
      <c r="EFR1" s="22"/>
      <c r="EFS1" s="22"/>
      <c r="EFT1" s="22"/>
      <c r="EFU1" s="22"/>
      <c r="EFV1" s="22"/>
      <c r="EFW1" s="22"/>
      <c r="EFX1" s="22"/>
      <c r="EFY1" s="22"/>
      <c r="EFZ1" s="22"/>
      <c r="EGA1" s="22"/>
      <c r="EGB1" s="22"/>
      <c r="EGC1" s="22"/>
      <c r="EGD1" s="22"/>
      <c r="EGE1" s="22"/>
      <c r="EGF1" s="22"/>
      <c r="EGG1" s="22"/>
      <c r="EGH1" s="22"/>
      <c r="EGI1" s="22"/>
      <c r="EGJ1" s="22"/>
      <c r="EGK1" s="22"/>
      <c r="EGL1" s="22"/>
      <c r="EGM1" s="22"/>
      <c r="EGN1" s="22"/>
      <c r="EGO1" s="22"/>
      <c r="EGP1" s="22"/>
      <c r="EGQ1" s="22"/>
      <c r="EGR1" s="22"/>
      <c r="EGS1" s="22"/>
      <c r="EGT1" s="22"/>
      <c r="EGU1" s="22"/>
      <c r="EGV1" s="22"/>
      <c r="EGW1" s="22"/>
      <c r="EGX1" s="22"/>
      <c r="EGY1" s="22"/>
      <c r="EGZ1" s="22"/>
      <c r="EHA1" s="22"/>
      <c r="EHB1" s="22"/>
      <c r="EHC1" s="22"/>
      <c r="EHD1" s="22"/>
      <c r="EHE1" s="22"/>
      <c r="EHF1" s="22"/>
      <c r="EHG1" s="22"/>
      <c r="EHH1" s="22"/>
      <c r="EHI1" s="22"/>
      <c r="EHJ1" s="22"/>
      <c r="EHK1" s="22"/>
      <c r="EHL1" s="22"/>
      <c r="EHM1" s="22"/>
      <c r="EHN1" s="22"/>
      <c r="EHO1" s="22"/>
      <c r="EHP1" s="22"/>
      <c r="EHQ1" s="22"/>
      <c r="EHR1" s="22"/>
      <c r="EHS1" s="22"/>
      <c r="EHT1" s="22"/>
      <c r="EHU1" s="22"/>
      <c r="EHV1" s="22"/>
      <c r="EHW1" s="22"/>
      <c r="EHX1" s="22"/>
      <c r="EHY1" s="22"/>
      <c r="EHZ1" s="22"/>
      <c r="EIA1" s="22"/>
      <c r="EIB1" s="22"/>
      <c r="EIC1" s="22"/>
      <c r="EID1" s="22"/>
      <c r="EIE1" s="22"/>
      <c r="EIF1" s="22"/>
      <c r="EIG1" s="22"/>
      <c r="EIH1" s="22"/>
      <c r="EII1" s="22"/>
      <c r="EIJ1" s="22"/>
      <c r="EIK1" s="22"/>
      <c r="EIL1" s="22"/>
      <c r="EIM1" s="22"/>
      <c r="EIN1" s="22"/>
      <c r="EIO1" s="22"/>
      <c r="EIP1" s="22"/>
      <c r="EIQ1" s="22"/>
      <c r="EIR1" s="22"/>
      <c r="EIS1" s="22"/>
      <c r="EIT1" s="22"/>
      <c r="EIU1" s="22"/>
      <c r="EIV1" s="22"/>
      <c r="EIW1" s="22"/>
      <c r="EIX1" s="22"/>
      <c r="EIY1" s="22"/>
      <c r="EIZ1" s="22"/>
      <c r="EJA1" s="22"/>
      <c r="EJB1" s="22"/>
      <c r="EJC1" s="22"/>
      <c r="EJD1" s="22"/>
      <c r="EJE1" s="22"/>
      <c r="EJF1" s="22"/>
      <c r="EJG1" s="22"/>
      <c r="EJH1" s="22"/>
      <c r="EJI1" s="22"/>
      <c r="EJJ1" s="22"/>
      <c r="EJK1" s="22"/>
      <c r="EJL1" s="22"/>
      <c r="EJM1" s="22"/>
      <c r="EJN1" s="22"/>
      <c r="EJO1" s="22"/>
      <c r="EJP1" s="22"/>
      <c r="EJQ1" s="22"/>
      <c r="EJR1" s="22"/>
      <c r="EJS1" s="22"/>
      <c r="EJT1" s="22"/>
      <c r="EJU1" s="22"/>
      <c r="EJV1" s="22"/>
      <c r="EJW1" s="22"/>
      <c r="EJX1" s="22"/>
      <c r="EJY1" s="22"/>
      <c r="EJZ1" s="22"/>
      <c r="EKA1" s="22"/>
      <c r="EKB1" s="22"/>
      <c r="EKC1" s="22"/>
      <c r="EKD1" s="22"/>
      <c r="EKE1" s="22"/>
      <c r="EKF1" s="22"/>
      <c r="EKG1" s="22"/>
      <c r="EKH1" s="22"/>
      <c r="EKI1" s="22"/>
      <c r="EKJ1" s="22"/>
      <c r="EKK1" s="22"/>
      <c r="EKL1" s="22"/>
      <c r="EKM1" s="22"/>
      <c r="EKN1" s="22"/>
      <c r="EKO1" s="22"/>
      <c r="EKP1" s="22"/>
      <c r="EKQ1" s="22"/>
      <c r="EKR1" s="22"/>
      <c r="EKS1" s="22"/>
      <c r="EKT1" s="22"/>
      <c r="EKU1" s="22"/>
      <c r="EKV1" s="22"/>
      <c r="EKW1" s="22"/>
      <c r="EKX1" s="22"/>
      <c r="EKY1" s="22"/>
      <c r="EKZ1" s="22"/>
      <c r="ELA1" s="22"/>
      <c r="ELB1" s="22"/>
      <c r="ELC1" s="22"/>
      <c r="ELD1" s="22"/>
      <c r="ELE1" s="22"/>
      <c r="ELF1" s="22"/>
      <c r="ELG1" s="22"/>
      <c r="ELH1" s="22"/>
      <c r="ELI1" s="22"/>
      <c r="ELJ1" s="22"/>
      <c r="ELK1" s="22"/>
      <c r="ELL1" s="22"/>
      <c r="ELM1" s="22"/>
      <c r="ELN1" s="22"/>
      <c r="ELO1" s="22"/>
      <c r="ELP1" s="22"/>
      <c r="ELQ1" s="22"/>
      <c r="ELR1" s="22"/>
      <c r="ELS1" s="22"/>
      <c r="ELT1" s="22"/>
      <c r="ELU1" s="22"/>
      <c r="ELV1" s="22"/>
      <c r="ELW1" s="22"/>
      <c r="ELX1" s="22"/>
      <c r="ELY1" s="22"/>
      <c r="ELZ1" s="22"/>
      <c r="EMA1" s="22"/>
      <c r="EMB1" s="22"/>
      <c r="EMC1" s="22"/>
      <c r="EMD1" s="22"/>
      <c r="EME1" s="22"/>
      <c r="EMF1" s="22"/>
      <c r="EMG1" s="22"/>
      <c r="EMH1" s="22"/>
      <c r="EMI1" s="22"/>
      <c r="EMJ1" s="22"/>
      <c r="EMK1" s="22"/>
      <c r="EML1" s="22"/>
      <c r="EMM1" s="22"/>
      <c r="EMN1" s="22"/>
      <c r="EMO1" s="22"/>
      <c r="EMP1" s="22"/>
      <c r="EMQ1" s="22"/>
      <c r="EMR1" s="22"/>
      <c r="EMS1" s="22"/>
      <c r="EMT1" s="22"/>
      <c r="EMU1" s="22"/>
      <c r="EMV1" s="22"/>
      <c r="EMW1" s="22"/>
      <c r="EMX1" s="22"/>
      <c r="EMY1" s="22"/>
      <c r="EMZ1" s="22"/>
      <c r="ENA1" s="22"/>
      <c r="ENB1" s="22"/>
      <c r="ENC1" s="22"/>
      <c r="END1" s="22"/>
      <c r="ENE1" s="22"/>
      <c r="ENF1" s="22"/>
      <c r="ENG1" s="22"/>
      <c r="ENH1" s="22"/>
      <c r="ENI1" s="22"/>
      <c r="ENJ1" s="22"/>
      <c r="ENK1" s="22"/>
      <c r="ENL1" s="22"/>
      <c r="ENM1" s="22"/>
      <c r="ENN1" s="22"/>
      <c r="ENO1" s="22"/>
      <c r="ENP1" s="22"/>
      <c r="ENQ1" s="22"/>
      <c r="ENR1" s="22"/>
      <c r="ENS1" s="22"/>
      <c r="ENT1" s="22"/>
      <c r="ENU1" s="22"/>
      <c r="ENV1" s="22"/>
      <c r="ENW1" s="22"/>
      <c r="ENX1" s="22"/>
      <c r="ENY1" s="22"/>
      <c r="ENZ1" s="22"/>
      <c r="EOA1" s="22"/>
      <c r="EOB1" s="22"/>
      <c r="EOC1" s="22"/>
      <c r="EOD1" s="22"/>
      <c r="EOE1" s="22"/>
      <c r="EOF1" s="22"/>
      <c r="EOG1" s="22"/>
      <c r="EOH1" s="22"/>
      <c r="EOI1" s="22"/>
      <c r="EOJ1" s="22"/>
      <c r="EOK1" s="22"/>
      <c r="EOL1" s="22"/>
      <c r="EOM1" s="22"/>
      <c r="EON1" s="22"/>
      <c r="EOO1" s="22"/>
      <c r="EOP1" s="22"/>
      <c r="EOQ1" s="22"/>
      <c r="EOR1" s="22"/>
      <c r="EOS1" s="22"/>
      <c r="EOT1" s="22"/>
      <c r="EOU1" s="22"/>
      <c r="EOV1" s="22"/>
      <c r="EOW1" s="22"/>
      <c r="EOX1" s="22"/>
      <c r="EOY1" s="22"/>
      <c r="EOZ1" s="22"/>
      <c r="EPA1" s="22"/>
      <c r="EPB1" s="22"/>
      <c r="EPC1" s="22"/>
      <c r="EPD1" s="22"/>
      <c r="EPE1" s="22"/>
      <c r="EPF1" s="22"/>
      <c r="EPG1" s="22"/>
      <c r="EPH1" s="22"/>
      <c r="EPI1" s="22"/>
      <c r="EPJ1" s="22"/>
      <c r="EPK1" s="22"/>
      <c r="EPL1" s="22"/>
      <c r="EPM1" s="22"/>
      <c r="EPN1" s="22"/>
      <c r="EPO1" s="22"/>
      <c r="EPP1" s="22"/>
      <c r="EPQ1" s="22"/>
      <c r="EPR1" s="22"/>
      <c r="EPS1" s="22"/>
      <c r="EPT1" s="22"/>
      <c r="EPU1" s="22"/>
      <c r="EPV1" s="22"/>
      <c r="EPW1" s="22"/>
      <c r="EPX1" s="22"/>
      <c r="EPY1" s="22"/>
      <c r="EPZ1" s="22"/>
      <c r="EQA1" s="22"/>
      <c r="EQB1" s="22"/>
      <c r="EQC1" s="22"/>
      <c r="EQD1" s="22"/>
      <c r="EQE1" s="22"/>
      <c r="EQF1" s="22"/>
      <c r="EQG1" s="22"/>
      <c r="EQH1" s="22"/>
      <c r="EQI1" s="22"/>
      <c r="EQJ1" s="22"/>
      <c r="EQK1" s="22"/>
      <c r="EQL1" s="22"/>
      <c r="EQM1" s="22"/>
      <c r="EQN1" s="22"/>
      <c r="EQO1" s="22"/>
      <c r="EQP1" s="22"/>
      <c r="EQQ1" s="22"/>
      <c r="EQR1" s="22"/>
      <c r="EQS1" s="22"/>
      <c r="EQT1" s="22"/>
      <c r="EQU1" s="22"/>
      <c r="EQV1" s="22"/>
      <c r="EQW1" s="22"/>
      <c r="EQX1" s="22"/>
      <c r="EQY1" s="22"/>
      <c r="EQZ1" s="22"/>
      <c r="ERA1" s="22"/>
      <c r="ERB1" s="22"/>
      <c r="ERC1" s="22"/>
      <c r="ERD1" s="22"/>
      <c r="ERE1" s="22"/>
      <c r="ERF1" s="22"/>
      <c r="ERG1" s="22"/>
      <c r="ERH1" s="22"/>
      <c r="ERI1" s="22"/>
      <c r="ERJ1" s="22"/>
      <c r="ERK1" s="22"/>
      <c r="ERL1" s="22"/>
      <c r="ERM1" s="22"/>
      <c r="ERN1" s="22"/>
      <c r="ERO1" s="22"/>
      <c r="ERP1" s="22"/>
      <c r="ERQ1" s="22"/>
      <c r="ERR1" s="22"/>
      <c r="ERS1" s="22"/>
      <c r="ERT1" s="22"/>
      <c r="ERU1" s="22"/>
      <c r="ERV1" s="22"/>
      <c r="ERW1" s="22"/>
      <c r="ERX1" s="22"/>
      <c r="ERY1" s="22"/>
      <c r="ERZ1" s="22"/>
      <c r="ESA1" s="22"/>
      <c r="ESB1" s="22"/>
      <c r="ESC1" s="22"/>
      <c r="ESD1" s="22"/>
      <c r="ESE1" s="22"/>
      <c r="ESF1" s="22"/>
      <c r="ESG1" s="22"/>
      <c r="ESH1" s="22"/>
      <c r="ESI1" s="22"/>
      <c r="ESJ1" s="22"/>
      <c r="ESK1" s="22"/>
      <c r="ESL1" s="22"/>
      <c r="ESM1" s="22"/>
      <c r="ESN1" s="22"/>
      <c r="ESO1" s="22"/>
      <c r="ESP1" s="22"/>
      <c r="ESQ1" s="22"/>
      <c r="ESR1" s="22"/>
      <c r="ESS1" s="22"/>
      <c r="EST1" s="22"/>
      <c r="ESU1" s="22"/>
      <c r="ESV1" s="22"/>
      <c r="ESW1" s="22"/>
      <c r="ESX1" s="22"/>
      <c r="ESY1" s="22"/>
      <c r="ESZ1" s="22"/>
      <c r="ETA1" s="22"/>
      <c r="ETB1" s="22"/>
      <c r="ETC1" s="22"/>
      <c r="ETD1" s="22"/>
      <c r="ETE1" s="22"/>
      <c r="ETF1" s="22"/>
      <c r="ETG1" s="22"/>
      <c r="ETH1" s="22"/>
      <c r="ETI1" s="22"/>
      <c r="ETJ1" s="22"/>
      <c r="ETK1" s="22"/>
      <c r="ETL1" s="22"/>
      <c r="ETM1" s="22"/>
      <c r="ETN1" s="22"/>
      <c r="ETO1" s="22"/>
      <c r="ETP1" s="22"/>
      <c r="ETQ1" s="22"/>
      <c r="ETR1" s="22"/>
      <c r="ETS1" s="22"/>
      <c r="ETT1" s="22"/>
      <c r="ETU1" s="22"/>
      <c r="ETV1" s="22"/>
      <c r="ETW1" s="22"/>
      <c r="ETX1" s="22"/>
      <c r="ETY1" s="22"/>
      <c r="ETZ1" s="22"/>
      <c r="EUA1" s="22"/>
      <c r="EUB1" s="22"/>
      <c r="EUC1" s="22"/>
      <c r="EUD1" s="22"/>
      <c r="EUE1" s="22"/>
      <c r="EUF1" s="22"/>
      <c r="EUG1" s="22"/>
      <c r="EUH1" s="22"/>
      <c r="EUI1" s="22"/>
      <c r="EUJ1" s="22"/>
      <c r="EUK1" s="22"/>
      <c r="EUL1" s="22"/>
      <c r="EUM1" s="22"/>
      <c r="EUN1" s="22"/>
      <c r="EUO1" s="22"/>
      <c r="EUP1" s="22"/>
      <c r="EUQ1" s="22"/>
      <c r="EUR1" s="22"/>
      <c r="EUS1" s="22"/>
      <c r="EUT1" s="22"/>
      <c r="EUU1" s="22"/>
      <c r="EUV1" s="22"/>
      <c r="EUW1" s="22"/>
      <c r="EUX1" s="22"/>
      <c r="EUY1" s="22"/>
      <c r="EUZ1" s="22"/>
      <c r="EVA1" s="22"/>
      <c r="EVB1" s="22"/>
      <c r="EVC1" s="22"/>
      <c r="EVD1" s="22"/>
      <c r="EVE1" s="22"/>
      <c r="EVF1" s="22"/>
      <c r="EVG1" s="22"/>
      <c r="EVH1" s="22"/>
      <c r="EVI1" s="22"/>
      <c r="EVJ1" s="22"/>
      <c r="EVK1" s="22"/>
      <c r="EVL1" s="22"/>
      <c r="EVM1" s="22"/>
      <c r="EVN1" s="22"/>
      <c r="EVO1" s="22"/>
      <c r="EVP1" s="22"/>
      <c r="EVQ1" s="22"/>
      <c r="EVR1" s="22"/>
      <c r="EVS1" s="22"/>
      <c r="EVT1" s="22"/>
      <c r="EVU1" s="22"/>
      <c r="EVV1" s="22"/>
      <c r="EVW1" s="22"/>
      <c r="EVX1" s="22"/>
      <c r="EVY1" s="22"/>
      <c r="EVZ1" s="22"/>
      <c r="EWA1" s="22"/>
      <c r="EWB1" s="22"/>
      <c r="EWC1" s="22"/>
      <c r="EWD1" s="22"/>
      <c r="EWE1" s="22"/>
      <c r="EWF1" s="22"/>
      <c r="EWG1" s="22"/>
      <c r="EWH1" s="22"/>
      <c r="EWI1" s="22"/>
      <c r="EWJ1" s="22"/>
      <c r="EWK1" s="22"/>
      <c r="EWL1" s="22"/>
      <c r="EWM1" s="22"/>
      <c r="EWN1" s="22"/>
      <c r="EWO1" s="22"/>
      <c r="EWP1" s="22"/>
      <c r="EWQ1" s="22"/>
      <c r="EWR1" s="22"/>
      <c r="EWS1" s="22"/>
      <c r="EWT1" s="22"/>
      <c r="EWU1" s="22"/>
      <c r="EWV1" s="22"/>
      <c r="EWW1" s="22"/>
      <c r="EWX1" s="22"/>
      <c r="EWY1" s="22"/>
      <c r="EWZ1" s="22"/>
      <c r="EXA1" s="22"/>
      <c r="EXB1" s="22"/>
      <c r="EXC1" s="22"/>
      <c r="EXD1" s="22"/>
      <c r="EXE1" s="22"/>
      <c r="EXF1" s="22"/>
      <c r="EXG1" s="22"/>
      <c r="EXH1" s="22"/>
      <c r="EXI1" s="22"/>
      <c r="EXJ1" s="22"/>
      <c r="EXK1" s="22"/>
      <c r="EXL1" s="22"/>
      <c r="EXM1" s="22"/>
      <c r="EXN1" s="22"/>
      <c r="EXO1" s="22"/>
      <c r="EXP1" s="22"/>
      <c r="EXQ1" s="22"/>
      <c r="EXR1" s="22"/>
      <c r="EXS1" s="22"/>
      <c r="EXT1" s="22"/>
      <c r="EXU1" s="22"/>
      <c r="EXV1" s="22"/>
      <c r="EXW1" s="22"/>
      <c r="EXX1" s="22"/>
      <c r="EXY1" s="22"/>
      <c r="EXZ1" s="22"/>
      <c r="EYA1" s="22"/>
      <c r="EYB1" s="22"/>
      <c r="EYC1" s="22"/>
      <c r="EYD1" s="22"/>
      <c r="EYE1" s="22"/>
      <c r="EYF1" s="22"/>
      <c r="EYG1" s="22"/>
      <c r="EYH1" s="22"/>
      <c r="EYI1" s="22"/>
      <c r="EYJ1" s="22"/>
      <c r="EYK1" s="22"/>
      <c r="EYL1" s="22"/>
      <c r="EYM1" s="22"/>
      <c r="EYN1" s="22"/>
      <c r="EYO1" s="22"/>
      <c r="EYP1" s="22"/>
      <c r="EYQ1" s="22"/>
      <c r="EYR1" s="22"/>
      <c r="EYS1" s="22"/>
      <c r="EYT1" s="22"/>
      <c r="EYU1" s="22"/>
      <c r="EYV1" s="22"/>
      <c r="EYW1" s="22"/>
      <c r="EYX1" s="22"/>
      <c r="EYY1" s="22"/>
      <c r="EYZ1" s="22"/>
      <c r="EZA1" s="22"/>
      <c r="EZB1" s="22"/>
      <c r="EZC1" s="22"/>
      <c r="EZD1" s="22"/>
      <c r="EZE1" s="22"/>
      <c r="EZF1" s="22"/>
      <c r="EZG1" s="22"/>
      <c r="EZH1" s="22"/>
      <c r="EZI1" s="22"/>
      <c r="EZJ1" s="22"/>
      <c r="EZK1" s="22"/>
      <c r="EZL1" s="22"/>
      <c r="EZM1" s="22"/>
      <c r="EZN1" s="22"/>
      <c r="EZO1" s="22"/>
      <c r="EZP1" s="22"/>
      <c r="EZQ1" s="22"/>
      <c r="EZR1" s="22"/>
      <c r="EZS1" s="22"/>
      <c r="EZT1" s="22"/>
      <c r="EZU1" s="22"/>
      <c r="EZV1" s="22"/>
      <c r="EZW1" s="22"/>
      <c r="EZX1" s="22"/>
      <c r="EZY1" s="22"/>
      <c r="EZZ1" s="22"/>
      <c r="FAA1" s="22"/>
      <c r="FAB1" s="22"/>
      <c r="FAC1" s="22"/>
      <c r="FAD1" s="22"/>
      <c r="FAE1" s="22"/>
      <c r="FAF1" s="22"/>
      <c r="FAG1" s="22"/>
      <c r="FAH1" s="22"/>
      <c r="FAI1" s="22"/>
      <c r="FAJ1" s="22"/>
      <c r="FAK1" s="22"/>
      <c r="FAL1" s="22"/>
      <c r="FAM1" s="22"/>
      <c r="FAN1" s="22"/>
      <c r="FAO1" s="22"/>
      <c r="FAP1" s="22"/>
      <c r="FAQ1" s="22"/>
      <c r="FAR1" s="22"/>
      <c r="FAS1" s="22"/>
      <c r="FAT1" s="22"/>
      <c r="FAU1" s="22"/>
      <c r="FAV1" s="22"/>
      <c r="FAW1" s="22"/>
      <c r="FAX1" s="22"/>
      <c r="FAY1" s="22"/>
      <c r="FAZ1" s="22"/>
      <c r="FBA1" s="22"/>
      <c r="FBB1" s="22"/>
      <c r="FBC1" s="22"/>
      <c r="FBD1" s="22"/>
      <c r="FBE1" s="22"/>
      <c r="FBF1" s="22"/>
      <c r="FBG1" s="22"/>
      <c r="FBH1" s="22"/>
      <c r="FBI1" s="22"/>
      <c r="FBJ1" s="22"/>
      <c r="FBK1" s="22"/>
      <c r="FBL1" s="22"/>
      <c r="FBM1" s="22"/>
      <c r="FBN1" s="22"/>
      <c r="FBO1" s="22"/>
      <c r="FBP1" s="22"/>
      <c r="FBQ1" s="22"/>
      <c r="FBR1" s="22"/>
      <c r="FBS1" s="22"/>
      <c r="FBT1" s="22"/>
      <c r="FBU1" s="22"/>
      <c r="FBV1" s="22"/>
      <c r="FBW1" s="22"/>
      <c r="FBX1" s="22"/>
      <c r="FBY1" s="22"/>
      <c r="FBZ1" s="22"/>
      <c r="FCA1" s="22"/>
      <c r="FCB1" s="22"/>
      <c r="FCC1" s="22"/>
      <c r="FCD1" s="22"/>
      <c r="FCE1" s="22"/>
      <c r="FCF1" s="22"/>
      <c r="FCG1" s="22"/>
      <c r="FCH1" s="22"/>
      <c r="FCI1" s="22"/>
      <c r="FCJ1" s="22"/>
      <c r="FCK1" s="22"/>
      <c r="FCL1" s="22"/>
      <c r="FCM1" s="22"/>
      <c r="FCN1" s="22"/>
      <c r="FCO1" s="22"/>
      <c r="FCP1" s="22"/>
      <c r="FCQ1" s="22"/>
      <c r="FCR1" s="22"/>
      <c r="FCS1" s="22"/>
      <c r="FCT1" s="22"/>
      <c r="FCU1" s="22"/>
      <c r="FCV1" s="22"/>
      <c r="FCW1" s="22"/>
      <c r="FCX1" s="22"/>
      <c r="FCY1" s="22"/>
      <c r="FCZ1" s="22"/>
      <c r="FDA1" s="22"/>
      <c r="FDB1" s="22"/>
      <c r="FDC1" s="22"/>
      <c r="FDD1" s="22"/>
      <c r="FDE1" s="22"/>
      <c r="FDF1" s="22"/>
      <c r="FDG1" s="22"/>
      <c r="FDH1" s="22"/>
      <c r="FDI1" s="22"/>
      <c r="FDJ1" s="22"/>
      <c r="FDK1" s="22"/>
      <c r="FDL1" s="22"/>
      <c r="FDM1" s="22"/>
      <c r="FDN1" s="22"/>
      <c r="FDO1" s="22"/>
      <c r="FDP1" s="22"/>
      <c r="FDQ1" s="22"/>
      <c r="FDR1" s="22"/>
      <c r="FDS1" s="22"/>
      <c r="FDT1" s="22"/>
      <c r="FDU1" s="22"/>
      <c r="FDV1" s="22"/>
      <c r="FDW1" s="22"/>
      <c r="FDX1" s="22"/>
      <c r="FDY1" s="22"/>
      <c r="FDZ1" s="22"/>
      <c r="FEA1" s="22"/>
      <c r="FEB1" s="22"/>
      <c r="FEC1" s="22"/>
      <c r="FED1" s="22"/>
      <c r="FEE1" s="22"/>
      <c r="FEF1" s="22"/>
      <c r="FEG1" s="22"/>
      <c r="FEH1" s="22"/>
      <c r="FEI1" s="22"/>
      <c r="FEJ1" s="22"/>
      <c r="FEK1" s="22"/>
      <c r="FEL1" s="22"/>
      <c r="FEM1" s="22"/>
      <c r="FEN1" s="22"/>
      <c r="FEO1" s="22"/>
      <c r="FEP1" s="22"/>
      <c r="FEQ1" s="22"/>
      <c r="FER1" s="22"/>
      <c r="FES1" s="22"/>
      <c r="FET1" s="22"/>
      <c r="FEU1" s="22"/>
      <c r="FEV1" s="22"/>
      <c r="FEW1" s="22"/>
      <c r="FEX1" s="22"/>
      <c r="FEY1" s="22"/>
      <c r="FEZ1" s="22"/>
      <c r="FFA1" s="22"/>
      <c r="FFB1" s="22"/>
      <c r="FFC1" s="22"/>
      <c r="FFD1" s="22"/>
      <c r="FFE1" s="22"/>
      <c r="FFF1" s="22"/>
      <c r="FFG1" s="22"/>
      <c r="FFH1" s="22"/>
      <c r="FFI1" s="22"/>
      <c r="FFJ1" s="22"/>
      <c r="FFK1" s="22"/>
      <c r="FFL1" s="22"/>
      <c r="FFM1" s="22"/>
      <c r="FFN1" s="22"/>
      <c r="FFO1" s="22"/>
      <c r="FFP1" s="22"/>
      <c r="FFQ1" s="22"/>
      <c r="FFR1" s="22"/>
      <c r="FFS1" s="22"/>
      <c r="FFT1" s="22"/>
      <c r="FFU1" s="22"/>
      <c r="FFV1" s="22"/>
      <c r="FFW1" s="22"/>
      <c r="FFX1" s="22"/>
      <c r="FFY1" s="22"/>
      <c r="FFZ1" s="22"/>
      <c r="FGA1" s="22"/>
      <c r="FGB1" s="22"/>
      <c r="FGC1" s="22"/>
      <c r="FGD1" s="22"/>
      <c r="FGE1" s="22"/>
      <c r="FGF1" s="22"/>
      <c r="FGG1" s="22"/>
      <c r="FGH1" s="22"/>
      <c r="FGI1" s="22"/>
      <c r="FGJ1" s="22"/>
      <c r="FGK1" s="22"/>
      <c r="FGL1" s="22"/>
      <c r="FGM1" s="22"/>
      <c r="FGN1" s="22"/>
      <c r="FGO1" s="22"/>
      <c r="FGP1" s="22"/>
      <c r="FGQ1" s="22"/>
      <c r="FGR1" s="22"/>
      <c r="FGS1" s="22"/>
      <c r="FGT1" s="22"/>
      <c r="FGU1" s="22"/>
      <c r="FGV1" s="22"/>
      <c r="FGW1" s="22"/>
      <c r="FGX1" s="22"/>
      <c r="FGY1" s="22"/>
      <c r="FGZ1" s="22"/>
      <c r="FHA1" s="22"/>
      <c r="FHB1" s="22"/>
      <c r="FHC1" s="22"/>
      <c r="FHD1" s="22"/>
      <c r="FHE1" s="22"/>
      <c r="FHF1" s="22"/>
      <c r="FHG1" s="22"/>
      <c r="FHH1" s="22"/>
      <c r="FHI1" s="22"/>
      <c r="FHJ1" s="22"/>
      <c r="FHK1" s="22"/>
      <c r="FHL1" s="22"/>
      <c r="FHM1" s="22"/>
      <c r="FHN1" s="22"/>
      <c r="FHO1" s="22"/>
      <c r="FHP1" s="22"/>
      <c r="FHQ1" s="22"/>
      <c r="FHR1" s="22"/>
      <c r="FHS1" s="22"/>
      <c r="FHT1" s="22"/>
      <c r="FHU1" s="22"/>
      <c r="FHV1" s="22"/>
      <c r="FHW1" s="22"/>
      <c r="FHX1" s="22"/>
      <c r="FHY1" s="22"/>
      <c r="FHZ1" s="22"/>
      <c r="FIA1" s="22"/>
      <c r="FIB1" s="22"/>
      <c r="FIC1" s="22"/>
      <c r="FID1" s="22"/>
      <c r="FIE1" s="22"/>
      <c r="FIF1" s="22"/>
      <c r="FIG1" s="22"/>
      <c r="FIH1" s="22"/>
      <c r="FII1" s="22"/>
      <c r="FIJ1" s="22"/>
      <c r="FIK1" s="22"/>
      <c r="FIL1" s="22"/>
      <c r="FIM1" s="22"/>
      <c r="FIN1" s="22"/>
      <c r="FIO1" s="22"/>
      <c r="FIP1" s="22"/>
      <c r="FIQ1" s="22"/>
      <c r="FIR1" s="22"/>
      <c r="FIS1" s="22"/>
      <c r="FIT1" s="22"/>
      <c r="FIU1" s="22"/>
      <c r="FIV1" s="22"/>
      <c r="FIW1" s="22"/>
      <c r="FIX1" s="22"/>
      <c r="FIY1" s="22"/>
      <c r="FIZ1" s="22"/>
      <c r="FJA1" s="22"/>
      <c r="FJB1" s="22"/>
      <c r="FJC1" s="22"/>
      <c r="FJD1" s="22"/>
      <c r="FJE1" s="22"/>
      <c r="FJF1" s="22"/>
      <c r="FJG1" s="22"/>
      <c r="FJH1" s="22"/>
      <c r="FJI1" s="22"/>
      <c r="FJJ1" s="22"/>
      <c r="FJK1" s="22"/>
      <c r="FJL1" s="22"/>
      <c r="FJM1" s="22"/>
      <c r="FJN1" s="22"/>
      <c r="FJO1" s="22"/>
      <c r="FJP1" s="22"/>
      <c r="FJQ1" s="22"/>
      <c r="FJR1" s="22"/>
      <c r="FJS1" s="22"/>
      <c r="FJT1" s="22"/>
      <c r="FJU1" s="22"/>
      <c r="FJV1" s="22"/>
      <c r="FJW1" s="22"/>
      <c r="FJX1" s="22"/>
      <c r="FJY1" s="22"/>
      <c r="FJZ1" s="22"/>
      <c r="FKA1" s="22"/>
      <c r="FKB1" s="22"/>
      <c r="FKC1" s="22"/>
      <c r="FKD1" s="22"/>
      <c r="FKE1" s="22"/>
      <c r="FKF1" s="22"/>
      <c r="FKG1" s="22"/>
      <c r="FKH1" s="22"/>
      <c r="FKI1" s="22"/>
      <c r="FKJ1" s="22"/>
      <c r="FKK1" s="22"/>
      <c r="FKL1" s="22"/>
      <c r="FKM1" s="22"/>
      <c r="FKN1" s="22"/>
      <c r="FKO1" s="22"/>
      <c r="FKP1" s="22"/>
      <c r="FKQ1" s="22"/>
      <c r="FKR1" s="22"/>
      <c r="FKS1" s="22"/>
      <c r="FKT1" s="22"/>
      <c r="FKU1" s="22"/>
      <c r="FKV1" s="22"/>
      <c r="FKW1" s="22"/>
      <c r="FKX1" s="22"/>
      <c r="FKY1" s="22"/>
      <c r="FKZ1" s="22"/>
      <c r="FLA1" s="22"/>
      <c r="FLB1" s="22"/>
      <c r="FLC1" s="22"/>
      <c r="FLD1" s="22"/>
      <c r="FLE1" s="22"/>
      <c r="FLF1" s="22"/>
      <c r="FLG1" s="22"/>
      <c r="FLH1" s="22"/>
      <c r="FLI1" s="22"/>
      <c r="FLJ1" s="22"/>
      <c r="FLK1" s="22"/>
      <c r="FLL1" s="22"/>
      <c r="FLM1" s="22"/>
      <c r="FLN1" s="22"/>
      <c r="FLO1" s="22"/>
      <c r="FLP1" s="22"/>
      <c r="FLQ1" s="22"/>
      <c r="FLR1" s="22"/>
      <c r="FLS1" s="22"/>
      <c r="FLT1" s="22"/>
      <c r="FLU1" s="22"/>
      <c r="FLV1" s="22"/>
      <c r="FLW1" s="22"/>
      <c r="FLX1" s="22"/>
      <c r="FLY1" s="22"/>
      <c r="FLZ1" s="22"/>
      <c r="FMA1" s="22"/>
      <c r="FMB1" s="22"/>
      <c r="FMC1" s="22"/>
      <c r="FMD1" s="22"/>
      <c r="FME1" s="22"/>
      <c r="FMF1" s="22"/>
      <c r="FMG1" s="22"/>
      <c r="FMH1" s="22"/>
      <c r="FMI1" s="22"/>
      <c r="FMJ1" s="22"/>
      <c r="FMK1" s="22"/>
      <c r="FML1" s="22"/>
      <c r="FMM1" s="22"/>
      <c r="FMN1" s="22"/>
      <c r="FMO1" s="22"/>
      <c r="FMP1" s="22"/>
      <c r="FMQ1" s="22"/>
      <c r="FMR1" s="22"/>
      <c r="FMS1" s="22"/>
      <c r="FMT1" s="22"/>
      <c r="FMU1" s="22"/>
      <c r="FMV1" s="22"/>
      <c r="FMW1" s="22"/>
      <c r="FMX1" s="22"/>
      <c r="FMY1" s="22"/>
      <c r="FMZ1" s="22"/>
      <c r="FNA1" s="22"/>
      <c r="FNB1" s="22"/>
      <c r="FNC1" s="22"/>
      <c r="FND1" s="22"/>
      <c r="FNE1" s="22"/>
      <c r="FNF1" s="22"/>
      <c r="FNG1" s="22"/>
      <c r="FNH1" s="22"/>
      <c r="FNI1" s="22"/>
      <c r="FNJ1" s="22"/>
      <c r="FNK1" s="22"/>
      <c r="FNL1" s="22"/>
      <c r="FNM1" s="22"/>
      <c r="FNN1" s="22"/>
      <c r="FNO1" s="22"/>
      <c r="FNP1" s="22"/>
      <c r="FNQ1" s="22"/>
      <c r="FNR1" s="22"/>
      <c r="FNS1" s="22"/>
      <c r="FNT1" s="22"/>
      <c r="FNU1" s="22"/>
      <c r="FNV1" s="22"/>
      <c r="FNW1" s="22"/>
      <c r="FNX1" s="22"/>
      <c r="FNY1" s="22"/>
      <c r="FNZ1" s="22"/>
      <c r="FOA1" s="22"/>
      <c r="FOB1" s="22"/>
      <c r="FOC1" s="22"/>
      <c r="FOD1" s="22"/>
      <c r="FOE1" s="22"/>
      <c r="FOF1" s="22"/>
      <c r="FOG1" s="22"/>
      <c r="FOH1" s="22"/>
      <c r="FOI1" s="22"/>
      <c r="FOJ1" s="22"/>
      <c r="FOK1" s="22"/>
      <c r="FOL1" s="22"/>
      <c r="FOM1" s="22"/>
      <c r="FON1" s="22"/>
      <c r="FOO1" s="22"/>
      <c r="FOP1" s="22"/>
      <c r="FOQ1" s="22"/>
      <c r="FOR1" s="22"/>
      <c r="FOS1" s="22"/>
      <c r="FOT1" s="22"/>
      <c r="FOU1" s="22"/>
      <c r="FOV1" s="22"/>
      <c r="FOW1" s="22"/>
      <c r="FOX1" s="22"/>
      <c r="FOY1" s="22"/>
      <c r="FOZ1" s="22"/>
      <c r="FPA1" s="22"/>
      <c r="FPB1" s="22"/>
      <c r="FPC1" s="22"/>
      <c r="FPD1" s="22"/>
      <c r="FPE1" s="22"/>
      <c r="FPF1" s="22"/>
      <c r="FPG1" s="22"/>
      <c r="FPH1" s="22"/>
      <c r="FPI1" s="22"/>
      <c r="FPJ1" s="22"/>
      <c r="FPK1" s="22"/>
      <c r="FPL1" s="22"/>
      <c r="FPM1" s="22"/>
      <c r="FPN1" s="22"/>
      <c r="FPO1" s="22"/>
      <c r="FPP1" s="22"/>
      <c r="FPQ1" s="22"/>
      <c r="FPR1" s="22"/>
      <c r="FPS1" s="22"/>
      <c r="FPT1" s="22"/>
      <c r="FPU1" s="22"/>
      <c r="FPV1" s="22"/>
      <c r="FPW1" s="22"/>
      <c r="FPX1" s="22"/>
      <c r="FPY1" s="22"/>
      <c r="FPZ1" s="22"/>
      <c r="FQA1" s="22"/>
      <c r="FQB1" s="22"/>
      <c r="FQC1" s="22"/>
      <c r="FQD1" s="22"/>
      <c r="FQE1" s="22"/>
      <c r="FQF1" s="22"/>
      <c r="FQG1" s="22"/>
      <c r="FQH1" s="22"/>
      <c r="FQI1" s="22"/>
      <c r="FQJ1" s="22"/>
      <c r="FQK1" s="22"/>
      <c r="FQL1" s="22"/>
      <c r="FQM1" s="22"/>
      <c r="FQN1" s="22"/>
      <c r="FQO1" s="22"/>
      <c r="FQP1" s="22"/>
      <c r="FQQ1" s="22"/>
      <c r="FQR1" s="22"/>
      <c r="FQS1" s="22"/>
      <c r="FQT1" s="22"/>
      <c r="FQU1" s="22"/>
      <c r="FQV1" s="22"/>
      <c r="FQW1" s="22"/>
      <c r="FQX1" s="22"/>
      <c r="FQY1" s="22"/>
      <c r="FQZ1" s="22"/>
      <c r="FRA1" s="22"/>
      <c r="FRB1" s="22"/>
      <c r="FRC1" s="22"/>
      <c r="FRD1" s="22"/>
      <c r="FRE1" s="22"/>
      <c r="FRF1" s="22"/>
      <c r="FRG1" s="22"/>
      <c r="FRH1" s="22"/>
      <c r="FRI1" s="22"/>
      <c r="FRJ1" s="22"/>
      <c r="FRK1" s="22"/>
      <c r="FRL1" s="22"/>
      <c r="FRM1" s="22"/>
      <c r="FRN1" s="22"/>
      <c r="FRO1" s="22"/>
      <c r="FRP1" s="22"/>
      <c r="FRQ1" s="22"/>
      <c r="FRR1" s="22"/>
      <c r="FRS1" s="22"/>
      <c r="FRT1" s="22"/>
      <c r="FRU1" s="22"/>
      <c r="FRV1" s="22"/>
      <c r="FRW1" s="22"/>
      <c r="FRX1" s="22"/>
      <c r="FRY1" s="22"/>
      <c r="FRZ1" s="22"/>
      <c r="FSA1" s="22"/>
      <c r="FSB1" s="22"/>
      <c r="FSC1" s="22"/>
      <c r="FSD1" s="22"/>
      <c r="FSE1" s="22"/>
      <c r="FSF1" s="22"/>
      <c r="FSG1" s="22"/>
      <c r="FSH1" s="22"/>
      <c r="FSI1" s="22"/>
      <c r="FSJ1" s="22"/>
      <c r="FSK1" s="22"/>
      <c r="FSL1" s="22"/>
      <c r="FSM1" s="22"/>
      <c r="FSN1" s="22"/>
      <c r="FSO1" s="22"/>
      <c r="FSP1" s="22"/>
      <c r="FSQ1" s="22"/>
      <c r="FSR1" s="22"/>
      <c r="FSS1" s="22"/>
      <c r="FST1" s="22"/>
      <c r="FSU1" s="22"/>
      <c r="FSV1" s="22"/>
      <c r="FSW1" s="22"/>
      <c r="FSX1" s="22"/>
      <c r="FSY1" s="22"/>
      <c r="FSZ1" s="22"/>
      <c r="FTA1" s="22"/>
      <c r="FTB1" s="22"/>
      <c r="FTC1" s="22"/>
      <c r="FTD1" s="22"/>
      <c r="FTE1" s="22"/>
      <c r="FTF1" s="22"/>
      <c r="FTG1" s="22"/>
      <c r="FTH1" s="22"/>
      <c r="FTI1" s="22"/>
      <c r="FTJ1" s="22"/>
      <c r="FTK1" s="22"/>
      <c r="FTL1" s="22"/>
      <c r="FTM1" s="22"/>
      <c r="FTN1" s="22"/>
      <c r="FTO1" s="22"/>
      <c r="FTP1" s="22"/>
      <c r="FTQ1" s="22"/>
      <c r="FTR1" s="22"/>
      <c r="FTS1" s="22"/>
      <c r="FTT1" s="22"/>
      <c r="FTU1" s="22"/>
      <c r="FTV1" s="22"/>
      <c r="FTW1" s="22"/>
      <c r="FTX1" s="22"/>
      <c r="FTY1" s="22"/>
      <c r="FTZ1" s="22"/>
      <c r="FUA1" s="22"/>
      <c r="FUB1" s="22"/>
      <c r="FUC1" s="22"/>
      <c r="FUD1" s="22"/>
      <c r="FUE1" s="22"/>
      <c r="FUF1" s="22"/>
      <c r="FUG1" s="22"/>
      <c r="FUH1" s="22"/>
      <c r="FUI1" s="22"/>
      <c r="FUJ1" s="22"/>
      <c r="FUK1" s="22"/>
      <c r="FUL1" s="22"/>
      <c r="FUM1" s="22"/>
      <c r="FUN1" s="22"/>
      <c r="FUO1" s="22"/>
      <c r="FUP1" s="22"/>
      <c r="FUQ1" s="22"/>
      <c r="FUR1" s="22"/>
      <c r="FUS1" s="22"/>
      <c r="FUT1" s="22"/>
      <c r="FUU1" s="22"/>
      <c r="FUV1" s="22"/>
      <c r="FUW1" s="22"/>
      <c r="FUX1" s="22"/>
      <c r="FUY1" s="22"/>
      <c r="FUZ1" s="22"/>
      <c r="FVA1" s="22"/>
      <c r="FVB1" s="22"/>
      <c r="FVC1" s="22"/>
      <c r="FVD1" s="22"/>
      <c r="FVE1" s="22"/>
      <c r="FVF1" s="22"/>
      <c r="FVG1" s="22"/>
      <c r="FVH1" s="22"/>
      <c r="FVI1" s="22"/>
      <c r="FVJ1" s="22"/>
      <c r="FVK1" s="22"/>
      <c r="FVL1" s="22"/>
      <c r="FVM1" s="22"/>
      <c r="FVN1" s="22"/>
      <c r="FVO1" s="22"/>
      <c r="FVP1" s="22"/>
      <c r="FVQ1" s="22"/>
      <c r="FVR1" s="22"/>
      <c r="FVS1" s="22"/>
      <c r="FVT1" s="22"/>
      <c r="FVU1" s="22"/>
      <c r="FVV1" s="22"/>
      <c r="FVW1" s="22"/>
      <c r="FVX1" s="22"/>
      <c r="FVY1" s="22"/>
      <c r="FVZ1" s="22"/>
      <c r="FWA1" s="22"/>
      <c r="FWB1" s="22"/>
      <c r="FWC1" s="22"/>
      <c r="FWD1" s="22"/>
      <c r="FWE1" s="22"/>
      <c r="FWF1" s="22"/>
      <c r="FWG1" s="22"/>
      <c r="FWH1" s="22"/>
      <c r="FWI1" s="22"/>
      <c r="FWJ1" s="22"/>
      <c r="FWK1" s="22"/>
      <c r="FWL1" s="22"/>
      <c r="FWM1" s="22"/>
      <c r="FWN1" s="22"/>
      <c r="FWO1" s="22"/>
      <c r="FWP1" s="22"/>
      <c r="FWQ1" s="22"/>
      <c r="FWR1" s="22"/>
      <c r="FWS1" s="22"/>
      <c r="FWT1" s="22"/>
      <c r="FWU1" s="22"/>
      <c r="FWV1" s="22"/>
      <c r="FWW1" s="22"/>
      <c r="FWX1" s="22"/>
      <c r="FWY1" s="22"/>
      <c r="FWZ1" s="22"/>
      <c r="FXA1" s="22"/>
      <c r="FXB1" s="22"/>
      <c r="FXC1" s="22"/>
      <c r="FXD1" s="22"/>
      <c r="FXE1" s="22"/>
      <c r="FXF1" s="22"/>
      <c r="FXG1" s="22"/>
      <c r="FXH1" s="22"/>
      <c r="FXI1" s="22"/>
      <c r="FXJ1" s="22"/>
      <c r="FXK1" s="22"/>
      <c r="FXL1" s="22"/>
      <c r="FXM1" s="22"/>
      <c r="FXN1" s="22"/>
      <c r="FXO1" s="22"/>
      <c r="FXP1" s="22"/>
      <c r="FXQ1" s="22"/>
      <c r="FXR1" s="22"/>
      <c r="FXS1" s="22"/>
      <c r="FXT1" s="22"/>
      <c r="FXU1" s="22"/>
      <c r="FXV1" s="22"/>
      <c r="FXW1" s="22"/>
      <c r="FXX1" s="22"/>
      <c r="FXY1" s="22"/>
      <c r="FXZ1" s="22"/>
      <c r="FYA1" s="22"/>
      <c r="FYB1" s="22"/>
      <c r="FYC1" s="22"/>
      <c r="FYD1" s="22"/>
      <c r="FYE1" s="22"/>
      <c r="FYF1" s="22"/>
      <c r="FYG1" s="22"/>
      <c r="FYH1" s="22"/>
      <c r="FYI1" s="22"/>
      <c r="FYJ1" s="22"/>
      <c r="FYK1" s="22"/>
      <c r="FYL1" s="22"/>
      <c r="FYM1" s="22"/>
      <c r="FYN1" s="22"/>
      <c r="FYO1" s="22"/>
      <c r="FYP1" s="22"/>
      <c r="FYQ1" s="22"/>
      <c r="FYR1" s="22"/>
      <c r="FYS1" s="22"/>
      <c r="FYT1" s="22"/>
      <c r="FYU1" s="22"/>
      <c r="FYV1" s="22"/>
      <c r="FYW1" s="22"/>
      <c r="FYX1" s="22"/>
      <c r="FYY1" s="22"/>
      <c r="FYZ1" s="22"/>
      <c r="FZA1" s="22"/>
      <c r="FZB1" s="22"/>
      <c r="FZC1" s="22"/>
      <c r="FZD1" s="22"/>
      <c r="FZE1" s="22"/>
      <c r="FZF1" s="22"/>
      <c r="FZG1" s="22"/>
      <c r="FZH1" s="22"/>
      <c r="FZI1" s="22"/>
      <c r="FZJ1" s="22"/>
      <c r="FZK1" s="22"/>
      <c r="FZL1" s="22"/>
      <c r="FZM1" s="22"/>
      <c r="FZN1" s="22"/>
      <c r="FZO1" s="22"/>
      <c r="FZP1" s="22"/>
      <c r="FZQ1" s="22"/>
      <c r="FZR1" s="22"/>
      <c r="FZS1" s="22"/>
      <c r="FZT1" s="22"/>
      <c r="FZU1" s="22"/>
      <c r="FZV1" s="22"/>
      <c r="FZW1" s="22"/>
      <c r="FZX1" s="22"/>
      <c r="FZY1" s="22"/>
      <c r="FZZ1" s="22"/>
      <c r="GAA1" s="22"/>
      <c r="GAB1" s="22"/>
      <c r="GAC1" s="22"/>
      <c r="GAD1" s="22"/>
      <c r="GAE1" s="22"/>
      <c r="GAF1" s="22"/>
      <c r="GAG1" s="22"/>
      <c r="GAH1" s="22"/>
      <c r="GAI1" s="22"/>
      <c r="GAJ1" s="22"/>
      <c r="GAK1" s="22"/>
      <c r="GAL1" s="22"/>
      <c r="GAM1" s="22"/>
      <c r="GAN1" s="22"/>
      <c r="GAO1" s="22"/>
      <c r="GAP1" s="22"/>
      <c r="GAQ1" s="22"/>
      <c r="GAR1" s="22"/>
      <c r="GAS1" s="22"/>
      <c r="GAT1" s="22"/>
      <c r="GAU1" s="22"/>
      <c r="GAV1" s="22"/>
      <c r="GAW1" s="22"/>
      <c r="GAX1" s="22"/>
      <c r="GAY1" s="22"/>
      <c r="GAZ1" s="22"/>
      <c r="GBA1" s="22"/>
      <c r="GBB1" s="22"/>
      <c r="GBC1" s="22"/>
      <c r="GBD1" s="22"/>
      <c r="GBE1" s="22"/>
      <c r="GBF1" s="22"/>
      <c r="GBG1" s="22"/>
      <c r="GBH1" s="22"/>
      <c r="GBI1" s="22"/>
      <c r="GBJ1" s="22"/>
      <c r="GBK1" s="22"/>
      <c r="GBL1" s="22"/>
      <c r="GBM1" s="22"/>
      <c r="GBN1" s="22"/>
      <c r="GBO1" s="22"/>
      <c r="GBP1" s="22"/>
      <c r="GBQ1" s="22"/>
      <c r="GBR1" s="22"/>
      <c r="GBS1" s="22"/>
      <c r="GBT1" s="22"/>
      <c r="GBU1" s="22"/>
      <c r="GBV1" s="22"/>
      <c r="GBW1" s="22"/>
      <c r="GBX1" s="22"/>
      <c r="GBY1" s="22"/>
      <c r="GBZ1" s="22"/>
      <c r="GCA1" s="22"/>
      <c r="GCB1" s="22"/>
      <c r="GCC1" s="22"/>
      <c r="GCD1" s="22"/>
      <c r="GCE1" s="22"/>
      <c r="GCF1" s="22"/>
      <c r="GCG1" s="22"/>
      <c r="GCH1" s="22"/>
      <c r="GCI1" s="22"/>
      <c r="GCJ1" s="22"/>
      <c r="GCK1" s="22"/>
      <c r="GCL1" s="22"/>
      <c r="GCM1" s="22"/>
      <c r="GCN1" s="22"/>
      <c r="GCO1" s="22"/>
      <c r="GCP1" s="22"/>
      <c r="GCQ1" s="22"/>
      <c r="GCR1" s="22"/>
      <c r="GCS1" s="22"/>
      <c r="GCT1" s="22"/>
      <c r="GCU1" s="22"/>
      <c r="GCV1" s="22"/>
      <c r="GCW1" s="22"/>
      <c r="GCX1" s="22"/>
      <c r="GCY1" s="22"/>
      <c r="GCZ1" s="22"/>
      <c r="GDA1" s="22"/>
      <c r="GDB1" s="22"/>
      <c r="GDC1" s="22"/>
      <c r="GDD1" s="22"/>
      <c r="GDE1" s="22"/>
      <c r="GDF1" s="22"/>
      <c r="GDG1" s="22"/>
      <c r="GDH1" s="22"/>
      <c r="GDI1" s="22"/>
      <c r="GDJ1" s="22"/>
      <c r="GDK1" s="22"/>
      <c r="GDL1" s="22"/>
      <c r="GDM1" s="22"/>
      <c r="GDN1" s="22"/>
      <c r="GDO1" s="22"/>
      <c r="GDP1" s="22"/>
      <c r="GDQ1" s="22"/>
      <c r="GDR1" s="22"/>
      <c r="GDS1" s="22"/>
      <c r="GDT1" s="22"/>
      <c r="GDU1" s="22"/>
      <c r="GDV1" s="22"/>
      <c r="GDW1" s="22"/>
      <c r="GDX1" s="22"/>
      <c r="GDY1" s="22"/>
      <c r="GDZ1" s="22"/>
      <c r="GEA1" s="22"/>
      <c r="GEB1" s="22"/>
      <c r="GEC1" s="22"/>
      <c r="GED1" s="22"/>
      <c r="GEE1" s="22"/>
      <c r="GEF1" s="22"/>
      <c r="GEG1" s="22"/>
      <c r="GEH1" s="22"/>
      <c r="GEI1" s="22"/>
      <c r="GEJ1" s="22"/>
      <c r="GEK1" s="22"/>
      <c r="GEL1" s="22"/>
      <c r="GEM1" s="22"/>
      <c r="GEN1" s="22"/>
      <c r="GEO1" s="22"/>
      <c r="GEP1" s="22"/>
      <c r="GEQ1" s="22"/>
      <c r="GER1" s="22"/>
      <c r="GES1" s="22"/>
      <c r="GET1" s="22"/>
      <c r="GEU1" s="22"/>
      <c r="GEV1" s="22"/>
      <c r="GEW1" s="22"/>
      <c r="GEX1" s="22"/>
      <c r="GEY1" s="22"/>
      <c r="GEZ1" s="22"/>
      <c r="GFA1" s="22"/>
      <c r="GFB1" s="22"/>
      <c r="GFC1" s="22"/>
      <c r="GFD1" s="22"/>
      <c r="GFE1" s="22"/>
      <c r="GFF1" s="22"/>
      <c r="GFG1" s="22"/>
      <c r="GFH1" s="22"/>
      <c r="GFI1" s="22"/>
      <c r="GFJ1" s="22"/>
      <c r="GFK1" s="22"/>
      <c r="GFL1" s="22"/>
      <c r="GFM1" s="22"/>
      <c r="GFN1" s="22"/>
      <c r="GFO1" s="22"/>
      <c r="GFP1" s="22"/>
      <c r="GFQ1" s="22"/>
      <c r="GFR1" s="22"/>
      <c r="GFS1" s="22"/>
      <c r="GFT1" s="22"/>
      <c r="GFU1" s="22"/>
      <c r="GFV1" s="22"/>
      <c r="GFW1" s="22"/>
      <c r="GFX1" s="22"/>
      <c r="GFY1" s="22"/>
      <c r="GFZ1" s="22"/>
      <c r="GGA1" s="22"/>
      <c r="GGB1" s="22"/>
      <c r="GGC1" s="22"/>
      <c r="GGD1" s="22"/>
      <c r="GGE1" s="22"/>
      <c r="GGF1" s="22"/>
      <c r="GGG1" s="22"/>
      <c r="GGH1" s="22"/>
      <c r="GGI1" s="22"/>
      <c r="GGJ1" s="22"/>
      <c r="GGK1" s="22"/>
      <c r="GGL1" s="22"/>
      <c r="GGM1" s="22"/>
      <c r="GGN1" s="22"/>
      <c r="GGO1" s="22"/>
      <c r="GGP1" s="22"/>
      <c r="GGQ1" s="22"/>
      <c r="GGR1" s="22"/>
      <c r="GGS1" s="22"/>
      <c r="GGT1" s="22"/>
      <c r="GGU1" s="22"/>
      <c r="GGV1" s="22"/>
      <c r="GGW1" s="22"/>
      <c r="GGX1" s="22"/>
      <c r="GGY1" s="22"/>
      <c r="GGZ1" s="22"/>
      <c r="GHA1" s="22"/>
      <c r="GHB1" s="22"/>
      <c r="GHC1" s="22"/>
      <c r="GHD1" s="22"/>
      <c r="GHE1" s="22"/>
      <c r="GHF1" s="22"/>
      <c r="GHG1" s="22"/>
      <c r="GHH1" s="22"/>
      <c r="GHI1" s="22"/>
      <c r="GHJ1" s="22"/>
      <c r="GHK1" s="22"/>
      <c r="GHL1" s="22"/>
      <c r="GHM1" s="22"/>
      <c r="GHN1" s="22"/>
      <c r="GHO1" s="22"/>
      <c r="GHP1" s="22"/>
      <c r="GHQ1" s="22"/>
      <c r="GHR1" s="22"/>
      <c r="GHS1" s="22"/>
      <c r="GHT1" s="22"/>
      <c r="GHU1" s="22"/>
      <c r="GHV1" s="22"/>
      <c r="GHW1" s="22"/>
      <c r="GHX1" s="22"/>
      <c r="GHY1" s="22"/>
      <c r="GHZ1" s="22"/>
      <c r="GIA1" s="22"/>
      <c r="GIB1" s="22"/>
      <c r="GIC1" s="22"/>
      <c r="GID1" s="22"/>
      <c r="GIE1" s="22"/>
      <c r="GIF1" s="22"/>
      <c r="GIG1" s="22"/>
      <c r="GIH1" s="22"/>
      <c r="GII1" s="22"/>
      <c r="GIJ1" s="22"/>
      <c r="GIK1" s="22"/>
      <c r="GIL1" s="22"/>
      <c r="GIM1" s="22"/>
      <c r="GIN1" s="22"/>
      <c r="GIO1" s="22"/>
      <c r="GIP1" s="22"/>
      <c r="GIQ1" s="22"/>
      <c r="GIR1" s="22"/>
      <c r="GIS1" s="22"/>
      <c r="GIT1" s="22"/>
      <c r="GIU1" s="22"/>
      <c r="GIV1" s="22"/>
      <c r="GIW1" s="22"/>
      <c r="GIX1" s="22"/>
      <c r="GIY1" s="22"/>
      <c r="GIZ1" s="22"/>
      <c r="GJA1" s="22"/>
      <c r="GJB1" s="22"/>
      <c r="GJC1" s="22"/>
      <c r="GJD1" s="22"/>
      <c r="GJE1" s="22"/>
      <c r="GJF1" s="22"/>
      <c r="GJG1" s="22"/>
      <c r="GJH1" s="22"/>
      <c r="GJI1" s="22"/>
      <c r="GJJ1" s="22"/>
      <c r="GJK1" s="22"/>
      <c r="GJL1" s="22"/>
      <c r="GJM1" s="22"/>
      <c r="GJN1" s="22"/>
      <c r="GJO1" s="22"/>
      <c r="GJP1" s="22"/>
      <c r="GJQ1" s="22"/>
      <c r="GJR1" s="22"/>
      <c r="GJS1" s="22"/>
      <c r="GJT1" s="22"/>
      <c r="GJU1" s="22"/>
      <c r="GJV1" s="22"/>
      <c r="GJW1" s="22"/>
      <c r="GJX1" s="22"/>
      <c r="GJY1" s="22"/>
      <c r="GJZ1" s="22"/>
      <c r="GKA1" s="22"/>
      <c r="GKB1" s="22"/>
      <c r="GKC1" s="22"/>
      <c r="GKD1" s="22"/>
      <c r="GKE1" s="22"/>
      <c r="GKF1" s="22"/>
      <c r="GKG1" s="22"/>
      <c r="GKH1" s="22"/>
      <c r="GKI1" s="22"/>
      <c r="GKJ1" s="22"/>
      <c r="GKK1" s="22"/>
      <c r="GKL1" s="22"/>
      <c r="GKM1" s="22"/>
      <c r="GKN1" s="22"/>
      <c r="GKO1" s="22"/>
      <c r="GKP1" s="22"/>
      <c r="GKQ1" s="22"/>
      <c r="GKR1" s="22"/>
      <c r="GKS1" s="22"/>
      <c r="GKT1" s="22"/>
      <c r="GKU1" s="22"/>
      <c r="GKV1" s="22"/>
      <c r="GKW1" s="22"/>
      <c r="GKX1" s="22"/>
      <c r="GKY1" s="22"/>
      <c r="GKZ1" s="22"/>
      <c r="GLA1" s="22"/>
      <c r="GLB1" s="22"/>
      <c r="GLC1" s="22"/>
      <c r="GLD1" s="22"/>
      <c r="GLE1" s="22"/>
      <c r="GLF1" s="22"/>
      <c r="GLG1" s="22"/>
      <c r="GLH1" s="22"/>
      <c r="GLI1" s="22"/>
      <c r="GLJ1" s="22"/>
      <c r="GLK1" s="22"/>
      <c r="GLL1" s="22"/>
      <c r="GLM1" s="22"/>
      <c r="GLN1" s="22"/>
      <c r="GLO1" s="22"/>
      <c r="GLP1" s="22"/>
      <c r="GLQ1" s="22"/>
      <c r="GLR1" s="22"/>
      <c r="GLS1" s="22"/>
      <c r="GLT1" s="22"/>
      <c r="GLU1" s="22"/>
      <c r="GLV1" s="22"/>
      <c r="GLW1" s="22"/>
      <c r="GLX1" s="22"/>
      <c r="GLY1" s="22"/>
      <c r="GLZ1" s="22"/>
      <c r="GMA1" s="22"/>
      <c r="GMB1" s="22"/>
      <c r="GMC1" s="22"/>
      <c r="GMD1" s="22"/>
      <c r="GME1" s="22"/>
      <c r="GMF1" s="22"/>
      <c r="GMG1" s="22"/>
      <c r="GMH1" s="22"/>
      <c r="GMI1" s="22"/>
      <c r="GMJ1" s="22"/>
      <c r="GMK1" s="22"/>
      <c r="GML1" s="22"/>
      <c r="GMM1" s="22"/>
      <c r="GMN1" s="22"/>
      <c r="GMO1" s="22"/>
      <c r="GMP1" s="22"/>
      <c r="GMQ1" s="22"/>
      <c r="GMR1" s="22"/>
      <c r="GMS1" s="22"/>
      <c r="GMT1" s="22"/>
      <c r="GMU1" s="22"/>
      <c r="GMV1" s="22"/>
      <c r="GMW1" s="22"/>
      <c r="GMX1" s="22"/>
      <c r="GMY1" s="22"/>
      <c r="GMZ1" s="22"/>
      <c r="GNA1" s="22"/>
      <c r="GNB1" s="22"/>
      <c r="GNC1" s="22"/>
      <c r="GND1" s="22"/>
      <c r="GNE1" s="22"/>
      <c r="GNF1" s="22"/>
      <c r="GNG1" s="22"/>
      <c r="GNH1" s="22"/>
      <c r="GNI1" s="22"/>
      <c r="GNJ1" s="22"/>
      <c r="GNK1" s="22"/>
      <c r="GNL1" s="22"/>
      <c r="GNM1" s="22"/>
      <c r="GNN1" s="22"/>
      <c r="GNO1" s="22"/>
      <c r="GNP1" s="22"/>
      <c r="GNQ1" s="22"/>
      <c r="GNR1" s="22"/>
      <c r="GNS1" s="22"/>
      <c r="GNT1" s="22"/>
      <c r="GNU1" s="22"/>
      <c r="GNV1" s="22"/>
      <c r="GNW1" s="22"/>
      <c r="GNX1" s="22"/>
      <c r="GNY1" s="22"/>
      <c r="GNZ1" s="22"/>
      <c r="GOA1" s="22"/>
      <c r="GOB1" s="22"/>
      <c r="GOC1" s="22"/>
      <c r="GOD1" s="22"/>
      <c r="GOE1" s="22"/>
      <c r="GOF1" s="22"/>
      <c r="GOG1" s="22"/>
      <c r="GOH1" s="22"/>
      <c r="GOI1" s="22"/>
      <c r="GOJ1" s="22"/>
      <c r="GOK1" s="22"/>
      <c r="GOL1" s="22"/>
      <c r="GOM1" s="22"/>
      <c r="GON1" s="22"/>
      <c r="GOO1" s="22"/>
      <c r="GOP1" s="22"/>
      <c r="GOQ1" s="22"/>
      <c r="GOR1" s="22"/>
      <c r="GOS1" s="22"/>
      <c r="GOT1" s="22"/>
      <c r="GOU1" s="22"/>
      <c r="GOV1" s="22"/>
      <c r="GOW1" s="22"/>
      <c r="GOX1" s="22"/>
      <c r="GOY1" s="22"/>
      <c r="GOZ1" s="22"/>
      <c r="GPA1" s="22"/>
      <c r="GPB1" s="22"/>
      <c r="GPC1" s="22"/>
      <c r="GPD1" s="22"/>
      <c r="GPE1" s="22"/>
      <c r="GPF1" s="22"/>
      <c r="GPG1" s="22"/>
      <c r="GPH1" s="22"/>
      <c r="GPI1" s="22"/>
      <c r="GPJ1" s="22"/>
      <c r="GPK1" s="22"/>
      <c r="GPL1" s="22"/>
      <c r="GPM1" s="22"/>
      <c r="GPN1" s="22"/>
      <c r="GPO1" s="22"/>
      <c r="GPP1" s="22"/>
      <c r="GPQ1" s="22"/>
      <c r="GPR1" s="22"/>
      <c r="GPS1" s="22"/>
      <c r="GPT1" s="22"/>
      <c r="GPU1" s="22"/>
      <c r="GPV1" s="22"/>
      <c r="GPW1" s="22"/>
      <c r="GPX1" s="22"/>
      <c r="GPY1" s="22"/>
      <c r="GPZ1" s="22"/>
      <c r="GQA1" s="22"/>
      <c r="GQB1" s="22"/>
      <c r="GQC1" s="22"/>
      <c r="GQD1" s="22"/>
      <c r="GQE1" s="22"/>
      <c r="GQF1" s="22"/>
      <c r="GQG1" s="22"/>
      <c r="GQH1" s="22"/>
      <c r="GQI1" s="22"/>
      <c r="GQJ1" s="22"/>
      <c r="GQK1" s="22"/>
      <c r="GQL1" s="22"/>
      <c r="GQM1" s="22"/>
      <c r="GQN1" s="22"/>
      <c r="GQO1" s="22"/>
      <c r="GQP1" s="22"/>
      <c r="GQQ1" s="22"/>
      <c r="GQR1" s="22"/>
      <c r="GQS1" s="22"/>
      <c r="GQT1" s="22"/>
      <c r="GQU1" s="22"/>
      <c r="GQV1" s="22"/>
      <c r="GQW1" s="22"/>
      <c r="GQX1" s="22"/>
      <c r="GQY1" s="22"/>
      <c r="GQZ1" s="22"/>
      <c r="GRA1" s="22"/>
      <c r="GRB1" s="22"/>
      <c r="GRC1" s="22"/>
      <c r="GRD1" s="22"/>
      <c r="GRE1" s="22"/>
      <c r="GRF1" s="22"/>
      <c r="GRG1" s="22"/>
      <c r="GRH1" s="22"/>
      <c r="GRI1" s="22"/>
      <c r="GRJ1" s="22"/>
      <c r="GRK1" s="22"/>
      <c r="GRL1" s="22"/>
      <c r="GRM1" s="22"/>
      <c r="GRN1" s="22"/>
      <c r="GRO1" s="22"/>
      <c r="GRP1" s="22"/>
      <c r="GRQ1" s="22"/>
      <c r="GRR1" s="22"/>
      <c r="GRS1" s="22"/>
      <c r="GRT1" s="22"/>
      <c r="GRU1" s="22"/>
      <c r="GRV1" s="22"/>
      <c r="GRW1" s="22"/>
      <c r="GRX1" s="22"/>
      <c r="GRY1" s="22"/>
      <c r="GRZ1" s="22"/>
      <c r="GSA1" s="22"/>
      <c r="GSB1" s="22"/>
      <c r="GSC1" s="22"/>
      <c r="GSD1" s="22"/>
      <c r="GSE1" s="22"/>
      <c r="GSF1" s="22"/>
      <c r="GSG1" s="22"/>
      <c r="GSH1" s="22"/>
      <c r="GSI1" s="22"/>
      <c r="GSJ1" s="22"/>
      <c r="GSK1" s="22"/>
      <c r="GSL1" s="22"/>
      <c r="GSM1" s="22"/>
      <c r="GSN1" s="22"/>
      <c r="GSO1" s="22"/>
      <c r="GSP1" s="22"/>
      <c r="GSQ1" s="22"/>
      <c r="GSR1" s="22"/>
      <c r="GSS1" s="22"/>
      <c r="GST1" s="22"/>
      <c r="GSU1" s="22"/>
      <c r="GSV1" s="22"/>
      <c r="GSW1" s="22"/>
      <c r="GSX1" s="22"/>
      <c r="GSY1" s="22"/>
      <c r="GSZ1" s="22"/>
      <c r="GTA1" s="22"/>
      <c r="GTB1" s="22"/>
      <c r="GTC1" s="22"/>
      <c r="GTD1" s="22"/>
      <c r="GTE1" s="22"/>
      <c r="GTF1" s="22"/>
      <c r="GTG1" s="22"/>
      <c r="GTH1" s="22"/>
      <c r="GTI1" s="22"/>
      <c r="GTJ1" s="22"/>
      <c r="GTK1" s="22"/>
      <c r="GTL1" s="22"/>
      <c r="GTM1" s="22"/>
      <c r="GTN1" s="22"/>
      <c r="GTO1" s="22"/>
      <c r="GTP1" s="22"/>
      <c r="GTQ1" s="22"/>
      <c r="GTR1" s="22"/>
      <c r="GTS1" s="22"/>
      <c r="GTT1" s="22"/>
      <c r="GTU1" s="22"/>
      <c r="GTV1" s="22"/>
      <c r="GTW1" s="22"/>
      <c r="GTX1" s="22"/>
      <c r="GTY1" s="22"/>
      <c r="GTZ1" s="22"/>
      <c r="GUA1" s="22"/>
      <c r="GUB1" s="22"/>
      <c r="GUC1" s="22"/>
      <c r="GUD1" s="22"/>
      <c r="GUE1" s="22"/>
      <c r="GUF1" s="22"/>
      <c r="GUG1" s="22"/>
      <c r="GUH1" s="22"/>
      <c r="GUI1" s="22"/>
      <c r="GUJ1" s="22"/>
      <c r="GUK1" s="22"/>
      <c r="GUL1" s="22"/>
      <c r="GUM1" s="22"/>
      <c r="GUN1" s="22"/>
      <c r="GUO1" s="22"/>
      <c r="GUP1" s="22"/>
      <c r="GUQ1" s="22"/>
      <c r="GUR1" s="22"/>
      <c r="GUS1" s="22"/>
      <c r="GUT1" s="22"/>
      <c r="GUU1" s="22"/>
      <c r="GUV1" s="22"/>
      <c r="GUW1" s="22"/>
      <c r="GUX1" s="22"/>
      <c r="GUY1" s="22"/>
      <c r="GUZ1" s="22"/>
      <c r="GVA1" s="22"/>
      <c r="GVB1" s="22"/>
      <c r="GVC1" s="22"/>
      <c r="GVD1" s="22"/>
      <c r="GVE1" s="22"/>
      <c r="GVF1" s="22"/>
      <c r="GVG1" s="22"/>
      <c r="GVH1" s="22"/>
      <c r="GVI1" s="22"/>
      <c r="GVJ1" s="22"/>
      <c r="GVK1" s="22"/>
      <c r="GVL1" s="22"/>
      <c r="GVM1" s="22"/>
      <c r="GVN1" s="22"/>
      <c r="GVO1" s="22"/>
      <c r="GVP1" s="22"/>
      <c r="GVQ1" s="22"/>
      <c r="GVR1" s="22"/>
      <c r="GVS1" s="22"/>
      <c r="GVT1" s="22"/>
      <c r="GVU1" s="22"/>
      <c r="GVV1" s="22"/>
      <c r="GVW1" s="22"/>
      <c r="GVX1" s="22"/>
      <c r="GVY1" s="22"/>
      <c r="GVZ1" s="22"/>
      <c r="GWA1" s="22"/>
      <c r="GWB1" s="22"/>
      <c r="GWC1" s="22"/>
      <c r="GWD1" s="22"/>
      <c r="GWE1" s="22"/>
      <c r="GWF1" s="22"/>
      <c r="GWG1" s="22"/>
      <c r="GWH1" s="22"/>
      <c r="GWI1" s="22"/>
      <c r="GWJ1" s="22"/>
      <c r="GWK1" s="22"/>
      <c r="GWL1" s="22"/>
      <c r="GWM1" s="22"/>
      <c r="GWN1" s="22"/>
      <c r="GWO1" s="22"/>
      <c r="GWP1" s="22"/>
      <c r="GWQ1" s="22"/>
      <c r="GWR1" s="22"/>
      <c r="GWS1" s="22"/>
      <c r="GWT1" s="22"/>
      <c r="GWU1" s="22"/>
      <c r="GWV1" s="22"/>
      <c r="GWW1" s="22"/>
      <c r="GWX1" s="22"/>
      <c r="GWY1" s="22"/>
      <c r="GWZ1" s="22"/>
      <c r="GXA1" s="22"/>
      <c r="GXB1" s="22"/>
      <c r="GXC1" s="22"/>
      <c r="GXD1" s="22"/>
      <c r="GXE1" s="22"/>
      <c r="GXF1" s="22"/>
      <c r="GXG1" s="22"/>
      <c r="GXH1" s="22"/>
      <c r="GXI1" s="22"/>
      <c r="GXJ1" s="22"/>
      <c r="GXK1" s="22"/>
      <c r="GXL1" s="22"/>
      <c r="GXM1" s="22"/>
      <c r="GXN1" s="22"/>
      <c r="GXO1" s="22"/>
      <c r="GXP1" s="22"/>
      <c r="GXQ1" s="22"/>
      <c r="GXR1" s="22"/>
      <c r="GXS1" s="22"/>
      <c r="GXT1" s="22"/>
      <c r="GXU1" s="22"/>
      <c r="GXV1" s="22"/>
      <c r="GXW1" s="22"/>
      <c r="GXX1" s="22"/>
      <c r="GXY1" s="22"/>
      <c r="GXZ1" s="22"/>
      <c r="GYA1" s="22"/>
      <c r="GYB1" s="22"/>
      <c r="GYC1" s="22"/>
      <c r="GYD1" s="22"/>
      <c r="GYE1" s="22"/>
      <c r="GYF1" s="22"/>
      <c r="GYG1" s="22"/>
      <c r="GYH1" s="22"/>
      <c r="GYI1" s="22"/>
      <c r="GYJ1" s="22"/>
      <c r="GYK1" s="22"/>
      <c r="GYL1" s="22"/>
      <c r="GYM1" s="22"/>
      <c r="GYN1" s="22"/>
      <c r="GYO1" s="22"/>
      <c r="GYP1" s="22"/>
      <c r="GYQ1" s="22"/>
      <c r="GYR1" s="22"/>
      <c r="GYS1" s="22"/>
      <c r="GYT1" s="22"/>
      <c r="GYU1" s="22"/>
      <c r="GYV1" s="22"/>
      <c r="GYW1" s="22"/>
      <c r="GYX1" s="22"/>
      <c r="GYY1" s="22"/>
      <c r="GYZ1" s="22"/>
      <c r="GZA1" s="22"/>
      <c r="GZB1" s="22"/>
      <c r="GZC1" s="22"/>
      <c r="GZD1" s="22"/>
      <c r="GZE1" s="22"/>
      <c r="GZF1" s="22"/>
      <c r="GZG1" s="22"/>
      <c r="GZH1" s="22"/>
      <c r="GZI1" s="22"/>
      <c r="GZJ1" s="22"/>
      <c r="GZK1" s="22"/>
      <c r="GZL1" s="22"/>
      <c r="GZM1" s="22"/>
      <c r="GZN1" s="22"/>
      <c r="GZO1" s="22"/>
      <c r="GZP1" s="22"/>
      <c r="GZQ1" s="22"/>
      <c r="GZR1" s="22"/>
      <c r="GZS1" s="22"/>
      <c r="GZT1" s="22"/>
      <c r="GZU1" s="22"/>
      <c r="GZV1" s="22"/>
      <c r="GZW1" s="22"/>
      <c r="GZX1" s="22"/>
      <c r="GZY1" s="22"/>
      <c r="GZZ1" s="22"/>
      <c r="HAA1" s="22"/>
      <c r="HAB1" s="22"/>
      <c r="HAC1" s="22"/>
      <c r="HAD1" s="22"/>
      <c r="HAE1" s="22"/>
      <c r="HAF1" s="22"/>
      <c r="HAG1" s="22"/>
      <c r="HAH1" s="22"/>
      <c r="HAI1" s="22"/>
      <c r="HAJ1" s="22"/>
      <c r="HAK1" s="22"/>
      <c r="HAL1" s="22"/>
      <c r="HAM1" s="22"/>
      <c r="HAN1" s="22"/>
      <c r="HAO1" s="22"/>
      <c r="HAP1" s="22"/>
      <c r="HAQ1" s="22"/>
      <c r="HAR1" s="22"/>
      <c r="HAS1" s="22"/>
      <c r="HAT1" s="22"/>
      <c r="HAU1" s="22"/>
      <c r="HAV1" s="22"/>
      <c r="HAW1" s="22"/>
      <c r="HAX1" s="22"/>
      <c r="HAY1" s="22"/>
      <c r="HAZ1" s="22"/>
      <c r="HBA1" s="22"/>
      <c r="HBB1" s="22"/>
      <c r="HBC1" s="22"/>
      <c r="HBD1" s="22"/>
      <c r="HBE1" s="22"/>
      <c r="HBF1" s="22"/>
      <c r="HBG1" s="22"/>
      <c r="HBH1" s="22"/>
      <c r="HBI1" s="22"/>
      <c r="HBJ1" s="22"/>
      <c r="HBK1" s="22"/>
      <c r="HBL1" s="22"/>
      <c r="HBM1" s="22"/>
      <c r="HBN1" s="22"/>
      <c r="HBO1" s="22"/>
      <c r="HBP1" s="22"/>
      <c r="HBQ1" s="22"/>
      <c r="HBR1" s="22"/>
      <c r="HBS1" s="22"/>
      <c r="HBT1" s="22"/>
      <c r="HBU1" s="22"/>
      <c r="HBV1" s="22"/>
      <c r="HBW1" s="22"/>
      <c r="HBX1" s="22"/>
      <c r="HBY1" s="22"/>
      <c r="HBZ1" s="22"/>
      <c r="HCA1" s="22"/>
      <c r="HCB1" s="22"/>
      <c r="HCC1" s="22"/>
      <c r="HCD1" s="22"/>
      <c r="HCE1" s="22"/>
      <c r="HCF1" s="22"/>
      <c r="HCG1" s="22"/>
      <c r="HCH1" s="22"/>
      <c r="HCI1" s="22"/>
      <c r="HCJ1" s="22"/>
      <c r="HCK1" s="22"/>
      <c r="HCL1" s="22"/>
      <c r="HCM1" s="22"/>
      <c r="HCN1" s="22"/>
      <c r="HCO1" s="22"/>
      <c r="HCP1" s="22"/>
      <c r="HCQ1" s="22"/>
      <c r="HCR1" s="22"/>
      <c r="HCS1" s="22"/>
      <c r="HCT1" s="22"/>
      <c r="HCU1" s="22"/>
      <c r="HCV1" s="22"/>
      <c r="HCW1" s="22"/>
      <c r="HCX1" s="22"/>
      <c r="HCY1" s="22"/>
      <c r="HCZ1" s="22"/>
      <c r="HDA1" s="22"/>
      <c r="HDB1" s="22"/>
      <c r="HDC1" s="22"/>
      <c r="HDD1" s="22"/>
      <c r="HDE1" s="22"/>
      <c r="HDF1" s="22"/>
      <c r="HDG1" s="22"/>
      <c r="HDH1" s="22"/>
      <c r="HDI1" s="22"/>
      <c r="HDJ1" s="22"/>
      <c r="HDK1" s="22"/>
      <c r="HDL1" s="22"/>
      <c r="HDM1" s="22"/>
      <c r="HDN1" s="22"/>
      <c r="HDO1" s="22"/>
      <c r="HDP1" s="22"/>
      <c r="HDQ1" s="22"/>
      <c r="HDR1" s="22"/>
      <c r="HDS1" s="22"/>
      <c r="HDT1" s="22"/>
      <c r="HDU1" s="22"/>
      <c r="HDV1" s="22"/>
      <c r="HDW1" s="22"/>
      <c r="HDX1" s="22"/>
      <c r="HDY1" s="22"/>
      <c r="HDZ1" s="22"/>
      <c r="HEA1" s="22"/>
      <c r="HEB1" s="22"/>
      <c r="HEC1" s="22"/>
      <c r="HED1" s="22"/>
      <c r="HEE1" s="22"/>
      <c r="HEF1" s="22"/>
      <c r="HEG1" s="22"/>
      <c r="HEH1" s="22"/>
      <c r="HEI1" s="22"/>
      <c r="HEJ1" s="22"/>
      <c r="HEK1" s="22"/>
      <c r="HEL1" s="22"/>
      <c r="HEM1" s="22"/>
      <c r="HEN1" s="22"/>
      <c r="HEO1" s="22"/>
      <c r="HEP1" s="22"/>
      <c r="HEQ1" s="22"/>
      <c r="HER1" s="22"/>
      <c r="HES1" s="22"/>
      <c r="HET1" s="22"/>
      <c r="HEU1" s="22"/>
      <c r="HEV1" s="22"/>
      <c r="HEW1" s="22"/>
      <c r="HEX1" s="22"/>
      <c r="HEY1" s="22"/>
      <c r="HEZ1" s="22"/>
      <c r="HFA1" s="22"/>
      <c r="HFB1" s="22"/>
      <c r="HFC1" s="22"/>
      <c r="HFD1" s="22"/>
      <c r="HFE1" s="22"/>
      <c r="HFF1" s="22"/>
      <c r="HFG1" s="22"/>
      <c r="HFH1" s="22"/>
      <c r="HFI1" s="22"/>
      <c r="HFJ1" s="22"/>
      <c r="HFK1" s="22"/>
      <c r="HFL1" s="22"/>
      <c r="HFM1" s="22"/>
      <c r="HFN1" s="22"/>
      <c r="HFO1" s="22"/>
      <c r="HFP1" s="22"/>
      <c r="HFQ1" s="22"/>
      <c r="HFR1" s="22"/>
      <c r="HFS1" s="22"/>
      <c r="HFT1" s="22"/>
      <c r="HFU1" s="22"/>
      <c r="HFV1" s="22"/>
      <c r="HFW1" s="22"/>
      <c r="HFX1" s="22"/>
      <c r="HFY1" s="22"/>
      <c r="HFZ1" s="22"/>
      <c r="HGA1" s="22"/>
      <c r="HGB1" s="22"/>
      <c r="HGC1" s="22"/>
      <c r="HGD1" s="22"/>
      <c r="HGE1" s="22"/>
      <c r="HGF1" s="22"/>
      <c r="HGG1" s="22"/>
      <c r="HGH1" s="22"/>
      <c r="HGI1" s="22"/>
      <c r="HGJ1" s="22"/>
      <c r="HGK1" s="22"/>
      <c r="HGL1" s="22"/>
      <c r="HGM1" s="22"/>
      <c r="HGN1" s="22"/>
      <c r="HGO1" s="22"/>
      <c r="HGP1" s="22"/>
      <c r="HGQ1" s="22"/>
      <c r="HGR1" s="22"/>
      <c r="HGS1" s="22"/>
      <c r="HGT1" s="22"/>
      <c r="HGU1" s="22"/>
      <c r="HGV1" s="22"/>
      <c r="HGW1" s="22"/>
      <c r="HGX1" s="22"/>
      <c r="HGY1" s="22"/>
      <c r="HGZ1" s="22"/>
      <c r="HHA1" s="22"/>
      <c r="HHB1" s="22"/>
      <c r="HHC1" s="22"/>
      <c r="HHD1" s="22"/>
      <c r="HHE1" s="22"/>
      <c r="HHF1" s="22"/>
      <c r="HHG1" s="22"/>
      <c r="HHH1" s="22"/>
      <c r="HHI1" s="22"/>
      <c r="HHJ1" s="22"/>
      <c r="HHK1" s="22"/>
      <c r="HHL1" s="22"/>
      <c r="HHM1" s="22"/>
      <c r="HHN1" s="22"/>
      <c r="HHO1" s="22"/>
      <c r="HHP1" s="22"/>
      <c r="HHQ1" s="22"/>
      <c r="HHR1" s="22"/>
      <c r="HHS1" s="22"/>
      <c r="HHT1" s="22"/>
      <c r="HHU1" s="22"/>
      <c r="HHV1" s="22"/>
      <c r="HHW1" s="22"/>
      <c r="HHX1" s="22"/>
      <c r="HHY1" s="22"/>
      <c r="HHZ1" s="22"/>
      <c r="HIA1" s="22"/>
      <c r="HIB1" s="22"/>
      <c r="HIC1" s="22"/>
      <c r="HID1" s="22"/>
      <c r="HIE1" s="22"/>
      <c r="HIF1" s="22"/>
      <c r="HIG1" s="22"/>
      <c r="HIH1" s="22"/>
      <c r="HII1" s="22"/>
      <c r="HIJ1" s="22"/>
      <c r="HIK1" s="22"/>
      <c r="HIL1" s="22"/>
      <c r="HIM1" s="22"/>
      <c r="HIN1" s="22"/>
      <c r="HIO1" s="22"/>
      <c r="HIP1" s="22"/>
      <c r="HIQ1" s="22"/>
      <c r="HIR1" s="22"/>
      <c r="HIS1" s="22"/>
      <c r="HIT1" s="22"/>
      <c r="HIU1" s="22"/>
      <c r="HIV1" s="22"/>
      <c r="HIW1" s="22"/>
      <c r="HIX1" s="22"/>
      <c r="HIY1" s="22"/>
      <c r="HIZ1" s="22"/>
      <c r="HJA1" s="22"/>
      <c r="HJB1" s="22"/>
      <c r="HJC1" s="22"/>
      <c r="HJD1" s="22"/>
      <c r="HJE1" s="22"/>
      <c r="HJF1" s="22"/>
      <c r="HJG1" s="22"/>
      <c r="HJH1" s="22"/>
      <c r="HJI1" s="22"/>
      <c r="HJJ1" s="22"/>
      <c r="HJK1" s="22"/>
      <c r="HJL1" s="22"/>
      <c r="HJM1" s="22"/>
      <c r="HJN1" s="22"/>
      <c r="HJO1" s="22"/>
      <c r="HJP1" s="22"/>
      <c r="HJQ1" s="22"/>
      <c r="HJR1" s="22"/>
      <c r="HJS1" s="22"/>
      <c r="HJT1" s="22"/>
      <c r="HJU1" s="22"/>
      <c r="HJV1" s="22"/>
      <c r="HJW1" s="22"/>
      <c r="HJX1" s="22"/>
      <c r="HJY1" s="22"/>
      <c r="HJZ1" s="22"/>
      <c r="HKA1" s="22"/>
      <c r="HKB1" s="22"/>
      <c r="HKC1" s="22"/>
      <c r="HKD1" s="22"/>
      <c r="HKE1" s="22"/>
      <c r="HKF1" s="22"/>
      <c r="HKG1" s="22"/>
      <c r="HKH1" s="22"/>
      <c r="HKI1" s="22"/>
      <c r="HKJ1" s="22"/>
      <c r="HKK1" s="22"/>
      <c r="HKL1" s="22"/>
      <c r="HKM1" s="22"/>
      <c r="HKN1" s="22"/>
      <c r="HKO1" s="22"/>
      <c r="HKP1" s="22"/>
      <c r="HKQ1" s="22"/>
      <c r="HKR1" s="22"/>
      <c r="HKS1" s="22"/>
      <c r="HKT1" s="22"/>
      <c r="HKU1" s="22"/>
      <c r="HKV1" s="22"/>
      <c r="HKW1" s="22"/>
      <c r="HKX1" s="22"/>
      <c r="HKY1" s="22"/>
      <c r="HKZ1" s="22"/>
      <c r="HLA1" s="22"/>
      <c r="HLB1" s="22"/>
      <c r="HLC1" s="22"/>
      <c r="HLD1" s="22"/>
      <c r="HLE1" s="22"/>
      <c r="HLF1" s="22"/>
      <c r="HLG1" s="22"/>
      <c r="HLH1" s="22"/>
      <c r="HLI1" s="22"/>
      <c r="HLJ1" s="22"/>
      <c r="HLK1" s="22"/>
      <c r="HLL1" s="22"/>
      <c r="HLM1" s="22"/>
      <c r="HLN1" s="22"/>
      <c r="HLO1" s="22"/>
      <c r="HLP1" s="22"/>
      <c r="HLQ1" s="22"/>
      <c r="HLR1" s="22"/>
      <c r="HLS1" s="22"/>
      <c r="HLT1" s="22"/>
      <c r="HLU1" s="22"/>
      <c r="HLV1" s="22"/>
      <c r="HLW1" s="22"/>
      <c r="HLX1" s="22"/>
      <c r="HLY1" s="22"/>
      <c r="HLZ1" s="22"/>
      <c r="HMA1" s="22"/>
      <c r="HMB1" s="22"/>
      <c r="HMC1" s="22"/>
      <c r="HMD1" s="22"/>
      <c r="HME1" s="22"/>
      <c r="HMF1" s="22"/>
      <c r="HMG1" s="22"/>
      <c r="HMH1" s="22"/>
      <c r="HMI1" s="22"/>
      <c r="HMJ1" s="22"/>
      <c r="HMK1" s="22"/>
      <c r="HML1" s="22"/>
      <c r="HMM1" s="22"/>
      <c r="HMN1" s="22"/>
      <c r="HMO1" s="22"/>
      <c r="HMP1" s="22"/>
      <c r="HMQ1" s="22"/>
      <c r="HMR1" s="22"/>
      <c r="HMS1" s="22"/>
      <c r="HMT1" s="22"/>
      <c r="HMU1" s="22"/>
      <c r="HMV1" s="22"/>
      <c r="HMW1" s="22"/>
      <c r="HMX1" s="22"/>
      <c r="HMY1" s="22"/>
      <c r="HMZ1" s="22"/>
      <c r="HNA1" s="22"/>
      <c r="HNB1" s="22"/>
      <c r="HNC1" s="22"/>
      <c r="HND1" s="22"/>
      <c r="HNE1" s="22"/>
      <c r="HNF1" s="22"/>
      <c r="HNG1" s="22"/>
      <c r="HNH1" s="22"/>
      <c r="HNI1" s="22"/>
      <c r="HNJ1" s="22"/>
      <c r="HNK1" s="22"/>
      <c r="HNL1" s="22"/>
      <c r="HNM1" s="22"/>
      <c r="HNN1" s="22"/>
      <c r="HNO1" s="22"/>
      <c r="HNP1" s="22"/>
      <c r="HNQ1" s="22"/>
      <c r="HNR1" s="22"/>
      <c r="HNS1" s="22"/>
      <c r="HNT1" s="22"/>
      <c r="HNU1" s="22"/>
      <c r="HNV1" s="22"/>
      <c r="HNW1" s="22"/>
      <c r="HNX1" s="22"/>
      <c r="HNY1" s="22"/>
      <c r="HNZ1" s="22"/>
      <c r="HOA1" s="22"/>
      <c r="HOB1" s="22"/>
      <c r="HOC1" s="22"/>
      <c r="HOD1" s="22"/>
      <c r="HOE1" s="22"/>
      <c r="HOF1" s="22"/>
      <c r="HOG1" s="22"/>
      <c r="HOH1" s="22"/>
      <c r="HOI1" s="22"/>
      <c r="HOJ1" s="22"/>
      <c r="HOK1" s="22"/>
      <c r="HOL1" s="22"/>
      <c r="HOM1" s="22"/>
      <c r="HON1" s="22"/>
      <c r="HOO1" s="22"/>
      <c r="HOP1" s="22"/>
      <c r="HOQ1" s="22"/>
      <c r="HOR1" s="22"/>
      <c r="HOS1" s="22"/>
      <c r="HOT1" s="22"/>
      <c r="HOU1" s="22"/>
      <c r="HOV1" s="22"/>
      <c r="HOW1" s="22"/>
      <c r="HOX1" s="22"/>
      <c r="HOY1" s="22"/>
      <c r="HOZ1" s="22"/>
      <c r="HPA1" s="22"/>
      <c r="HPB1" s="22"/>
      <c r="HPC1" s="22"/>
      <c r="HPD1" s="22"/>
      <c r="HPE1" s="22"/>
      <c r="HPF1" s="22"/>
      <c r="HPG1" s="22"/>
      <c r="HPH1" s="22"/>
      <c r="HPI1" s="22"/>
      <c r="HPJ1" s="22"/>
      <c r="HPK1" s="22"/>
      <c r="HPL1" s="22"/>
      <c r="HPM1" s="22"/>
      <c r="HPN1" s="22"/>
      <c r="HPO1" s="22"/>
      <c r="HPP1" s="22"/>
      <c r="HPQ1" s="22"/>
      <c r="HPR1" s="22"/>
      <c r="HPS1" s="22"/>
      <c r="HPT1" s="22"/>
      <c r="HPU1" s="22"/>
      <c r="HPV1" s="22"/>
      <c r="HPW1" s="22"/>
      <c r="HPX1" s="22"/>
      <c r="HPY1" s="22"/>
      <c r="HPZ1" s="22"/>
      <c r="HQA1" s="22"/>
      <c r="HQB1" s="22"/>
      <c r="HQC1" s="22"/>
      <c r="HQD1" s="22"/>
      <c r="HQE1" s="22"/>
      <c r="HQF1" s="22"/>
      <c r="HQG1" s="22"/>
      <c r="HQH1" s="22"/>
      <c r="HQI1" s="22"/>
      <c r="HQJ1" s="22"/>
      <c r="HQK1" s="22"/>
      <c r="HQL1" s="22"/>
      <c r="HQM1" s="22"/>
      <c r="HQN1" s="22"/>
      <c r="HQO1" s="22"/>
      <c r="HQP1" s="22"/>
      <c r="HQQ1" s="22"/>
      <c r="HQR1" s="22"/>
      <c r="HQS1" s="22"/>
      <c r="HQT1" s="22"/>
      <c r="HQU1" s="22"/>
      <c r="HQV1" s="22"/>
      <c r="HQW1" s="22"/>
      <c r="HQX1" s="22"/>
      <c r="HQY1" s="22"/>
      <c r="HQZ1" s="22"/>
      <c r="HRA1" s="22"/>
      <c r="HRB1" s="22"/>
      <c r="HRC1" s="22"/>
      <c r="HRD1" s="22"/>
      <c r="HRE1" s="22"/>
      <c r="HRF1" s="22"/>
      <c r="HRG1" s="22"/>
      <c r="HRH1" s="22"/>
      <c r="HRI1" s="22"/>
      <c r="HRJ1" s="22"/>
      <c r="HRK1" s="22"/>
      <c r="HRL1" s="22"/>
      <c r="HRM1" s="22"/>
      <c r="HRN1" s="22"/>
      <c r="HRO1" s="22"/>
      <c r="HRP1" s="22"/>
      <c r="HRQ1" s="22"/>
      <c r="HRR1" s="22"/>
      <c r="HRS1" s="22"/>
      <c r="HRT1" s="22"/>
      <c r="HRU1" s="22"/>
      <c r="HRV1" s="22"/>
      <c r="HRW1" s="22"/>
      <c r="HRX1" s="22"/>
      <c r="HRY1" s="22"/>
      <c r="HRZ1" s="22"/>
      <c r="HSA1" s="22"/>
      <c r="HSB1" s="22"/>
      <c r="HSC1" s="22"/>
      <c r="HSD1" s="22"/>
      <c r="HSE1" s="22"/>
      <c r="HSF1" s="22"/>
      <c r="HSG1" s="22"/>
      <c r="HSH1" s="22"/>
      <c r="HSI1" s="22"/>
      <c r="HSJ1" s="22"/>
      <c r="HSK1" s="22"/>
      <c r="HSL1" s="22"/>
      <c r="HSM1" s="22"/>
      <c r="HSN1" s="22"/>
      <c r="HSO1" s="22"/>
      <c r="HSP1" s="22"/>
      <c r="HSQ1" s="22"/>
      <c r="HSR1" s="22"/>
      <c r="HSS1" s="22"/>
      <c r="HST1" s="22"/>
      <c r="HSU1" s="22"/>
      <c r="HSV1" s="22"/>
      <c r="HSW1" s="22"/>
      <c r="HSX1" s="22"/>
      <c r="HSY1" s="22"/>
      <c r="HSZ1" s="22"/>
      <c r="HTA1" s="22"/>
      <c r="HTB1" s="22"/>
      <c r="HTC1" s="22"/>
      <c r="HTD1" s="22"/>
      <c r="HTE1" s="22"/>
      <c r="HTF1" s="22"/>
      <c r="HTG1" s="22"/>
      <c r="HTH1" s="22"/>
      <c r="HTI1" s="22"/>
      <c r="HTJ1" s="22"/>
      <c r="HTK1" s="22"/>
      <c r="HTL1" s="22"/>
      <c r="HTM1" s="22"/>
      <c r="HTN1" s="22"/>
      <c r="HTO1" s="22"/>
      <c r="HTP1" s="22"/>
      <c r="HTQ1" s="22"/>
      <c r="HTR1" s="22"/>
      <c r="HTS1" s="22"/>
      <c r="HTT1" s="22"/>
      <c r="HTU1" s="22"/>
      <c r="HTV1" s="22"/>
      <c r="HTW1" s="22"/>
      <c r="HTX1" s="22"/>
      <c r="HTY1" s="22"/>
      <c r="HTZ1" s="22"/>
      <c r="HUA1" s="22"/>
      <c r="HUB1" s="22"/>
      <c r="HUC1" s="22"/>
      <c r="HUD1" s="22"/>
      <c r="HUE1" s="22"/>
      <c r="HUF1" s="22"/>
      <c r="HUG1" s="22"/>
      <c r="HUH1" s="22"/>
      <c r="HUI1" s="22"/>
      <c r="HUJ1" s="22"/>
      <c r="HUK1" s="22"/>
      <c r="HUL1" s="22"/>
      <c r="HUM1" s="22"/>
      <c r="HUN1" s="22"/>
      <c r="HUO1" s="22"/>
      <c r="HUP1" s="22"/>
      <c r="HUQ1" s="22"/>
      <c r="HUR1" s="22"/>
      <c r="HUS1" s="22"/>
      <c r="HUT1" s="22"/>
      <c r="HUU1" s="22"/>
      <c r="HUV1" s="22"/>
      <c r="HUW1" s="22"/>
      <c r="HUX1" s="22"/>
      <c r="HUY1" s="22"/>
      <c r="HUZ1" s="22"/>
      <c r="HVA1" s="22"/>
      <c r="HVB1" s="22"/>
      <c r="HVC1" s="22"/>
      <c r="HVD1" s="22"/>
      <c r="HVE1" s="22"/>
      <c r="HVF1" s="22"/>
      <c r="HVG1" s="22"/>
      <c r="HVH1" s="22"/>
      <c r="HVI1" s="22"/>
      <c r="HVJ1" s="22"/>
      <c r="HVK1" s="22"/>
      <c r="HVL1" s="22"/>
      <c r="HVM1" s="22"/>
      <c r="HVN1" s="22"/>
      <c r="HVO1" s="22"/>
      <c r="HVP1" s="22"/>
      <c r="HVQ1" s="22"/>
      <c r="HVR1" s="22"/>
      <c r="HVS1" s="22"/>
      <c r="HVT1" s="22"/>
      <c r="HVU1" s="22"/>
      <c r="HVV1" s="22"/>
      <c r="HVW1" s="22"/>
      <c r="HVX1" s="22"/>
      <c r="HVY1" s="22"/>
      <c r="HVZ1" s="22"/>
      <c r="HWA1" s="22"/>
      <c r="HWB1" s="22"/>
      <c r="HWC1" s="22"/>
      <c r="HWD1" s="22"/>
      <c r="HWE1" s="22"/>
      <c r="HWF1" s="22"/>
      <c r="HWG1" s="22"/>
      <c r="HWH1" s="22"/>
      <c r="HWI1" s="22"/>
      <c r="HWJ1" s="22"/>
      <c r="HWK1" s="22"/>
      <c r="HWL1" s="22"/>
      <c r="HWM1" s="22"/>
      <c r="HWN1" s="22"/>
      <c r="HWO1" s="22"/>
      <c r="HWP1" s="22"/>
      <c r="HWQ1" s="22"/>
      <c r="HWR1" s="22"/>
      <c r="HWS1" s="22"/>
      <c r="HWT1" s="22"/>
      <c r="HWU1" s="22"/>
      <c r="HWV1" s="22"/>
      <c r="HWW1" s="22"/>
      <c r="HWX1" s="22"/>
      <c r="HWY1" s="22"/>
      <c r="HWZ1" s="22"/>
      <c r="HXA1" s="22"/>
      <c r="HXB1" s="22"/>
      <c r="HXC1" s="22"/>
      <c r="HXD1" s="22"/>
      <c r="HXE1" s="22"/>
      <c r="HXF1" s="22"/>
      <c r="HXG1" s="22"/>
      <c r="HXH1" s="22"/>
      <c r="HXI1" s="22"/>
      <c r="HXJ1" s="22"/>
      <c r="HXK1" s="22"/>
      <c r="HXL1" s="22"/>
      <c r="HXM1" s="22"/>
      <c r="HXN1" s="22"/>
      <c r="HXO1" s="22"/>
      <c r="HXP1" s="22"/>
      <c r="HXQ1" s="22"/>
      <c r="HXR1" s="22"/>
      <c r="HXS1" s="22"/>
      <c r="HXT1" s="22"/>
      <c r="HXU1" s="22"/>
      <c r="HXV1" s="22"/>
      <c r="HXW1" s="22"/>
      <c r="HXX1" s="22"/>
      <c r="HXY1" s="22"/>
      <c r="HXZ1" s="22"/>
      <c r="HYA1" s="22"/>
      <c r="HYB1" s="22"/>
      <c r="HYC1" s="22"/>
      <c r="HYD1" s="22"/>
      <c r="HYE1" s="22"/>
      <c r="HYF1" s="22"/>
      <c r="HYG1" s="22"/>
      <c r="HYH1" s="22"/>
      <c r="HYI1" s="22"/>
      <c r="HYJ1" s="22"/>
      <c r="HYK1" s="22"/>
      <c r="HYL1" s="22"/>
      <c r="HYM1" s="22"/>
      <c r="HYN1" s="22"/>
      <c r="HYO1" s="22"/>
      <c r="HYP1" s="22"/>
      <c r="HYQ1" s="22"/>
      <c r="HYR1" s="22"/>
      <c r="HYS1" s="22"/>
      <c r="HYT1" s="22"/>
      <c r="HYU1" s="22"/>
      <c r="HYV1" s="22"/>
      <c r="HYW1" s="22"/>
      <c r="HYX1" s="22"/>
      <c r="HYY1" s="22"/>
      <c r="HYZ1" s="22"/>
      <c r="HZA1" s="22"/>
      <c r="HZB1" s="22"/>
      <c r="HZC1" s="22"/>
      <c r="HZD1" s="22"/>
      <c r="HZE1" s="22"/>
      <c r="HZF1" s="22"/>
      <c r="HZG1" s="22"/>
      <c r="HZH1" s="22"/>
      <c r="HZI1" s="22"/>
      <c r="HZJ1" s="22"/>
      <c r="HZK1" s="22"/>
      <c r="HZL1" s="22"/>
      <c r="HZM1" s="22"/>
      <c r="HZN1" s="22"/>
      <c r="HZO1" s="22"/>
      <c r="HZP1" s="22"/>
      <c r="HZQ1" s="22"/>
      <c r="HZR1" s="22"/>
      <c r="HZS1" s="22"/>
      <c r="HZT1" s="22"/>
      <c r="HZU1" s="22"/>
      <c r="HZV1" s="22"/>
      <c r="HZW1" s="22"/>
      <c r="HZX1" s="22"/>
      <c r="HZY1" s="22"/>
      <c r="HZZ1" s="22"/>
      <c r="IAA1" s="22"/>
      <c r="IAB1" s="22"/>
      <c r="IAC1" s="22"/>
      <c r="IAD1" s="22"/>
      <c r="IAE1" s="22"/>
      <c r="IAF1" s="22"/>
      <c r="IAG1" s="22"/>
      <c r="IAH1" s="22"/>
      <c r="IAI1" s="22"/>
      <c r="IAJ1" s="22"/>
      <c r="IAK1" s="22"/>
      <c r="IAL1" s="22"/>
      <c r="IAM1" s="22"/>
      <c r="IAN1" s="22"/>
      <c r="IAO1" s="22"/>
      <c r="IAP1" s="22"/>
      <c r="IAQ1" s="22"/>
      <c r="IAR1" s="22"/>
      <c r="IAS1" s="22"/>
      <c r="IAT1" s="22"/>
      <c r="IAU1" s="22"/>
      <c r="IAV1" s="22"/>
      <c r="IAW1" s="22"/>
      <c r="IAX1" s="22"/>
      <c r="IAY1" s="22"/>
      <c r="IAZ1" s="22"/>
      <c r="IBA1" s="22"/>
      <c r="IBB1" s="22"/>
      <c r="IBC1" s="22"/>
      <c r="IBD1" s="22"/>
      <c r="IBE1" s="22"/>
      <c r="IBF1" s="22"/>
      <c r="IBG1" s="22"/>
      <c r="IBH1" s="22"/>
      <c r="IBI1" s="22"/>
      <c r="IBJ1" s="22"/>
      <c r="IBK1" s="22"/>
      <c r="IBL1" s="22"/>
      <c r="IBM1" s="22"/>
      <c r="IBN1" s="22"/>
      <c r="IBO1" s="22"/>
      <c r="IBP1" s="22"/>
      <c r="IBQ1" s="22"/>
      <c r="IBR1" s="22"/>
      <c r="IBS1" s="22"/>
      <c r="IBT1" s="22"/>
      <c r="IBU1" s="22"/>
      <c r="IBV1" s="22"/>
      <c r="IBW1" s="22"/>
      <c r="IBX1" s="22"/>
      <c r="IBY1" s="22"/>
      <c r="IBZ1" s="22"/>
      <c r="ICA1" s="22"/>
      <c r="ICB1" s="22"/>
      <c r="ICC1" s="22"/>
      <c r="ICD1" s="22"/>
      <c r="ICE1" s="22"/>
      <c r="ICF1" s="22"/>
      <c r="ICG1" s="22"/>
      <c r="ICH1" s="22"/>
      <c r="ICI1" s="22"/>
      <c r="ICJ1" s="22"/>
      <c r="ICK1" s="22"/>
      <c r="ICL1" s="22"/>
      <c r="ICM1" s="22"/>
      <c r="ICN1" s="22"/>
      <c r="ICO1" s="22"/>
      <c r="ICP1" s="22"/>
      <c r="ICQ1" s="22"/>
      <c r="ICR1" s="22"/>
      <c r="ICS1" s="22"/>
      <c r="ICT1" s="22"/>
      <c r="ICU1" s="22"/>
      <c r="ICV1" s="22"/>
      <c r="ICW1" s="22"/>
      <c r="ICX1" s="22"/>
      <c r="ICY1" s="22"/>
      <c r="ICZ1" s="22"/>
      <c r="IDA1" s="22"/>
      <c r="IDB1" s="22"/>
      <c r="IDC1" s="22"/>
      <c r="IDD1" s="22"/>
      <c r="IDE1" s="22"/>
      <c r="IDF1" s="22"/>
      <c r="IDG1" s="22"/>
      <c r="IDH1" s="22"/>
      <c r="IDI1" s="22"/>
      <c r="IDJ1" s="22"/>
      <c r="IDK1" s="22"/>
      <c r="IDL1" s="22"/>
      <c r="IDM1" s="22"/>
      <c r="IDN1" s="22"/>
      <c r="IDO1" s="22"/>
      <c r="IDP1" s="22"/>
      <c r="IDQ1" s="22"/>
      <c r="IDR1" s="22"/>
      <c r="IDS1" s="22"/>
      <c r="IDT1" s="22"/>
      <c r="IDU1" s="22"/>
      <c r="IDV1" s="22"/>
      <c r="IDW1" s="22"/>
      <c r="IDX1" s="22"/>
      <c r="IDY1" s="22"/>
      <c r="IDZ1" s="22"/>
      <c r="IEA1" s="22"/>
      <c r="IEB1" s="22"/>
      <c r="IEC1" s="22"/>
      <c r="IED1" s="22"/>
      <c r="IEE1" s="22"/>
      <c r="IEF1" s="22"/>
      <c r="IEG1" s="22"/>
      <c r="IEH1" s="22"/>
      <c r="IEI1" s="22"/>
      <c r="IEJ1" s="22"/>
      <c r="IEK1" s="22"/>
      <c r="IEL1" s="22"/>
      <c r="IEM1" s="22"/>
      <c r="IEN1" s="22"/>
      <c r="IEO1" s="22"/>
      <c r="IEP1" s="22"/>
      <c r="IEQ1" s="22"/>
      <c r="IER1" s="22"/>
      <c r="IES1" s="22"/>
      <c r="IET1" s="22"/>
      <c r="IEU1" s="22"/>
      <c r="IEV1" s="22"/>
      <c r="IEW1" s="22"/>
      <c r="IEX1" s="22"/>
      <c r="IEY1" s="22"/>
      <c r="IEZ1" s="22"/>
      <c r="IFA1" s="22"/>
      <c r="IFB1" s="22"/>
      <c r="IFC1" s="22"/>
      <c r="IFD1" s="22"/>
      <c r="IFE1" s="22"/>
      <c r="IFF1" s="22"/>
      <c r="IFG1" s="22"/>
      <c r="IFH1" s="22"/>
      <c r="IFI1" s="22"/>
      <c r="IFJ1" s="22"/>
      <c r="IFK1" s="22"/>
      <c r="IFL1" s="22"/>
      <c r="IFM1" s="22"/>
      <c r="IFN1" s="22"/>
      <c r="IFO1" s="22"/>
      <c r="IFP1" s="22"/>
      <c r="IFQ1" s="22"/>
      <c r="IFR1" s="22"/>
      <c r="IFS1" s="22"/>
      <c r="IFT1" s="22"/>
      <c r="IFU1" s="22"/>
      <c r="IFV1" s="22"/>
      <c r="IFW1" s="22"/>
      <c r="IFX1" s="22"/>
      <c r="IFY1" s="22"/>
      <c r="IFZ1" s="22"/>
      <c r="IGA1" s="22"/>
      <c r="IGB1" s="22"/>
      <c r="IGC1" s="22"/>
      <c r="IGD1" s="22"/>
      <c r="IGE1" s="22"/>
      <c r="IGF1" s="22"/>
      <c r="IGG1" s="22"/>
      <c r="IGH1" s="22"/>
      <c r="IGI1" s="22"/>
      <c r="IGJ1" s="22"/>
      <c r="IGK1" s="22"/>
      <c r="IGL1" s="22"/>
      <c r="IGM1" s="22"/>
      <c r="IGN1" s="22"/>
      <c r="IGO1" s="22"/>
      <c r="IGP1" s="22"/>
      <c r="IGQ1" s="22"/>
      <c r="IGR1" s="22"/>
      <c r="IGS1" s="22"/>
      <c r="IGT1" s="22"/>
      <c r="IGU1" s="22"/>
      <c r="IGV1" s="22"/>
      <c r="IGW1" s="22"/>
      <c r="IGX1" s="22"/>
      <c r="IGY1" s="22"/>
      <c r="IGZ1" s="22"/>
      <c r="IHA1" s="22"/>
      <c r="IHB1" s="22"/>
      <c r="IHC1" s="22"/>
      <c r="IHD1" s="22"/>
      <c r="IHE1" s="22"/>
      <c r="IHF1" s="22"/>
      <c r="IHG1" s="22"/>
      <c r="IHH1" s="22"/>
      <c r="IHI1" s="22"/>
      <c r="IHJ1" s="22"/>
      <c r="IHK1" s="22"/>
      <c r="IHL1" s="22"/>
      <c r="IHM1" s="22"/>
      <c r="IHN1" s="22"/>
      <c r="IHO1" s="22"/>
      <c r="IHP1" s="22"/>
      <c r="IHQ1" s="22"/>
      <c r="IHR1" s="22"/>
      <c r="IHS1" s="22"/>
      <c r="IHT1" s="22"/>
      <c r="IHU1" s="22"/>
      <c r="IHV1" s="22"/>
      <c r="IHW1" s="22"/>
      <c r="IHX1" s="22"/>
      <c r="IHY1" s="22"/>
      <c r="IHZ1" s="22"/>
      <c r="IIA1" s="22"/>
      <c r="IIB1" s="22"/>
      <c r="IIC1" s="22"/>
      <c r="IID1" s="22"/>
      <c r="IIE1" s="22"/>
      <c r="IIF1" s="22"/>
      <c r="IIG1" s="22"/>
      <c r="IIH1" s="22"/>
      <c r="III1" s="22"/>
      <c r="IIJ1" s="22"/>
      <c r="IIK1" s="22"/>
      <c r="IIL1" s="22"/>
      <c r="IIM1" s="22"/>
      <c r="IIN1" s="22"/>
      <c r="IIO1" s="22"/>
      <c r="IIP1" s="22"/>
      <c r="IIQ1" s="22"/>
      <c r="IIR1" s="22"/>
      <c r="IIS1" s="22"/>
      <c r="IIT1" s="22"/>
      <c r="IIU1" s="22"/>
      <c r="IIV1" s="22"/>
      <c r="IIW1" s="22"/>
      <c r="IIX1" s="22"/>
      <c r="IIY1" s="22"/>
      <c r="IIZ1" s="22"/>
      <c r="IJA1" s="22"/>
      <c r="IJB1" s="22"/>
      <c r="IJC1" s="22"/>
      <c r="IJD1" s="22"/>
      <c r="IJE1" s="22"/>
      <c r="IJF1" s="22"/>
      <c r="IJG1" s="22"/>
      <c r="IJH1" s="22"/>
      <c r="IJI1" s="22"/>
      <c r="IJJ1" s="22"/>
      <c r="IJK1" s="22"/>
      <c r="IJL1" s="22"/>
      <c r="IJM1" s="22"/>
      <c r="IJN1" s="22"/>
      <c r="IJO1" s="22"/>
      <c r="IJP1" s="22"/>
      <c r="IJQ1" s="22"/>
      <c r="IJR1" s="22"/>
      <c r="IJS1" s="22"/>
      <c r="IJT1" s="22"/>
      <c r="IJU1" s="22"/>
      <c r="IJV1" s="22"/>
      <c r="IJW1" s="22"/>
      <c r="IJX1" s="22"/>
      <c r="IJY1" s="22"/>
      <c r="IJZ1" s="22"/>
      <c r="IKA1" s="22"/>
      <c r="IKB1" s="22"/>
      <c r="IKC1" s="22"/>
      <c r="IKD1" s="22"/>
      <c r="IKE1" s="22"/>
      <c r="IKF1" s="22"/>
      <c r="IKG1" s="22"/>
      <c r="IKH1" s="22"/>
      <c r="IKI1" s="22"/>
      <c r="IKJ1" s="22"/>
      <c r="IKK1" s="22"/>
      <c r="IKL1" s="22"/>
      <c r="IKM1" s="22"/>
      <c r="IKN1" s="22"/>
      <c r="IKO1" s="22"/>
      <c r="IKP1" s="22"/>
      <c r="IKQ1" s="22"/>
      <c r="IKR1" s="22"/>
      <c r="IKS1" s="22"/>
      <c r="IKT1" s="22"/>
      <c r="IKU1" s="22"/>
      <c r="IKV1" s="22"/>
      <c r="IKW1" s="22"/>
      <c r="IKX1" s="22"/>
      <c r="IKY1" s="22"/>
      <c r="IKZ1" s="22"/>
      <c r="ILA1" s="22"/>
      <c r="ILB1" s="22"/>
      <c r="ILC1" s="22"/>
      <c r="ILD1" s="22"/>
      <c r="ILE1" s="22"/>
      <c r="ILF1" s="22"/>
      <c r="ILG1" s="22"/>
      <c r="ILH1" s="22"/>
      <c r="ILI1" s="22"/>
      <c r="ILJ1" s="22"/>
      <c r="ILK1" s="22"/>
      <c r="ILL1" s="22"/>
      <c r="ILM1" s="22"/>
      <c r="ILN1" s="22"/>
      <c r="ILO1" s="22"/>
      <c r="ILP1" s="22"/>
      <c r="ILQ1" s="22"/>
      <c r="ILR1" s="22"/>
      <c r="ILS1" s="22"/>
      <c r="ILT1" s="22"/>
      <c r="ILU1" s="22"/>
      <c r="ILV1" s="22"/>
      <c r="ILW1" s="22"/>
      <c r="ILX1" s="22"/>
      <c r="ILY1" s="22"/>
      <c r="ILZ1" s="22"/>
      <c r="IMA1" s="22"/>
      <c r="IMB1" s="22"/>
      <c r="IMC1" s="22"/>
      <c r="IMD1" s="22"/>
      <c r="IME1" s="22"/>
      <c r="IMF1" s="22"/>
      <c r="IMG1" s="22"/>
      <c r="IMH1" s="22"/>
      <c r="IMI1" s="22"/>
      <c r="IMJ1" s="22"/>
      <c r="IMK1" s="22"/>
      <c r="IML1" s="22"/>
      <c r="IMM1" s="22"/>
      <c r="IMN1" s="22"/>
      <c r="IMO1" s="22"/>
      <c r="IMP1" s="22"/>
      <c r="IMQ1" s="22"/>
      <c r="IMR1" s="22"/>
      <c r="IMS1" s="22"/>
      <c r="IMT1" s="22"/>
      <c r="IMU1" s="22"/>
      <c r="IMV1" s="22"/>
      <c r="IMW1" s="22"/>
      <c r="IMX1" s="22"/>
      <c r="IMY1" s="22"/>
      <c r="IMZ1" s="22"/>
      <c r="INA1" s="22"/>
      <c r="INB1" s="22"/>
      <c r="INC1" s="22"/>
      <c r="IND1" s="22"/>
      <c r="INE1" s="22"/>
      <c r="INF1" s="22"/>
      <c r="ING1" s="22"/>
      <c r="INH1" s="22"/>
      <c r="INI1" s="22"/>
      <c r="INJ1" s="22"/>
      <c r="INK1" s="22"/>
      <c r="INL1" s="22"/>
      <c r="INM1" s="22"/>
      <c r="INN1" s="22"/>
      <c r="INO1" s="22"/>
      <c r="INP1" s="22"/>
      <c r="INQ1" s="22"/>
      <c r="INR1" s="22"/>
      <c r="INS1" s="22"/>
      <c r="INT1" s="22"/>
      <c r="INU1" s="22"/>
      <c r="INV1" s="22"/>
      <c r="INW1" s="22"/>
      <c r="INX1" s="22"/>
      <c r="INY1" s="22"/>
      <c r="INZ1" s="22"/>
      <c r="IOA1" s="22"/>
      <c r="IOB1" s="22"/>
      <c r="IOC1" s="22"/>
      <c r="IOD1" s="22"/>
      <c r="IOE1" s="22"/>
      <c r="IOF1" s="22"/>
      <c r="IOG1" s="22"/>
      <c r="IOH1" s="22"/>
      <c r="IOI1" s="22"/>
      <c r="IOJ1" s="22"/>
      <c r="IOK1" s="22"/>
      <c r="IOL1" s="22"/>
      <c r="IOM1" s="22"/>
      <c r="ION1" s="22"/>
      <c r="IOO1" s="22"/>
      <c r="IOP1" s="22"/>
      <c r="IOQ1" s="22"/>
      <c r="IOR1" s="22"/>
      <c r="IOS1" s="22"/>
      <c r="IOT1" s="22"/>
      <c r="IOU1" s="22"/>
      <c r="IOV1" s="22"/>
      <c r="IOW1" s="22"/>
      <c r="IOX1" s="22"/>
      <c r="IOY1" s="22"/>
      <c r="IOZ1" s="22"/>
      <c r="IPA1" s="22"/>
      <c r="IPB1" s="22"/>
      <c r="IPC1" s="22"/>
      <c r="IPD1" s="22"/>
      <c r="IPE1" s="22"/>
      <c r="IPF1" s="22"/>
      <c r="IPG1" s="22"/>
      <c r="IPH1" s="22"/>
      <c r="IPI1" s="22"/>
      <c r="IPJ1" s="22"/>
      <c r="IPK1" s="22"/>
      <c r="IPL1" s="22"/>
      <c r="IPM1" s="22"/>
      <c r="IPN1" s="22"/>
      <c r="IPO1" s="22"/>
      <c r="IPP1" s="22"/>
      <c r="IPQ1" s="22"/>
      <c r="IPR1" s="22"/>
      <c r="IPS1" s="22"/>
      <c r="IPT1" s="22"/>
      <c r="IPU1" s="22"/>
      <c r="IPV1" s="22"/>
      <c r="IPW1" s="22"/>
      <c r="IPX1" s="22"/>
      <c r="IPY1" s="22"/>
      <c r="IPZ1" s="22"/>
      <c r="IQA1" s="22"/>
      <c r="IQB1" s="22"/>
      <c r="IQC1" s="22"/>
      <c r="IQD1" s="22"/>
      <c r="IQE1" s="22"/>
      <c r="IQF1" s="22"/>
      <c r="IQG1" s="22"/>
      <c r="IQH1" s="22"/>
      <c r="IQI1" s="22"/>
      <c r="IQJ1" s="22"/>
      <c r="IQK1" s="22"/>
      <c r="IQL1" s="22"/>
      <c r="IQM1" s="22"/>
      <c r="IQN1" s="22"/>
      <c r="IQO1" s="22"/>
      <c r="IQP1" s="22"/>
      <c r="IQQ1" s="22"/>
      <c r="IQR1" s="22"/>
      <c r="IQS1" s="22"/>
      <c r="IQT1" s="22"/>
      <c r="IQU1" s="22"/>
      <c r="IQV1" s="22"/>
      <c r="IQW1" s="22"/>
      <c r="IQX1" s="22"/>
      <c r="IQY1" s="22"/>
      <c r="IQZ1" s="22"/>
      <c r="IRA1" s="22"/>
      <c r="IRB1" s="22"/>
      <c r="IRC1" s="22"/>
      <c r="IRD1" s="22"/>
      <c r="IRE1" s="22"/>
      <c r="IRF1" s="22"/>
      <c r="IRG1" s="22"/>
      <c r="IRH1" s="22"/>
      <c r="IRI1" s="22"/>
      <c r="IRJ1" s="22"/>
      <c r="IRK1" s="22"/>
      <c r="IRL1" s="22"/>
      <c r="IRM1" s="22"/>
      <c r="IRN1" s="22"/>
      <c r="IRO1" s="22"/>
      <c r="IRP1" s="22"/>
      <c r="IRQ1" s="22"/>
      <c r="IRR1" s="22"/>
      <c r="IRS1" s="22"/>
      <c r="IRT1" s="22"/>
      <c r="IRU1" s="22"/>
      <c r="IRV1" s="22"/>
      <c r="IRW1" s="22"/>
      <c r="IRX1" s="22"/>
      <c r="IRY1" s="22"/>
      <c r="IRZ1" s="22"/>
      <c r="ISA1" s="22"/>
      <c r="ISB1" s="22"/>
      <c r="ISC1" s="22"/>
      <c r="ISD1" s="22"/>
      <c r="ISE1" s="22"/>
      <c r="ISF1" s="22"/>
      <c r="ISG1" s="22"/>
      <c r="ISH1" s="22"/>
      <c r="ISI1" s="22"/>
      <c r="ISJ1" s="22"/>
      <c r="ISK1" s="22"/>
      <c r="ISL1" s="22"/>
      <c r="ISM1" s="22"/>
      <c r="ISN1" s="22"/>
      <c r="ISO1" s="22"/>
      <c r="ISP1" s="22"/>
      <c r="ISQ1" s="22"/>
      <c r="ISR1" s="22"/>
      <c r="ISS1" s="22"/>
      <c r="IST1" s="22"/>
      <c r="ISU1" s="22"/>
      <c r="ISV1" s="22"/>
      <c r="ISW1" s="22"/>
      <c r="ISX1" s="22"/>
      <c r="ISY1" s="22"/>
      <c r="ISZ1" s="22"/>
      <c r="ITA1" s="22"/>
      <c r="ITB1" s="22"/>
      <c r="ITC1" s="22"/>
      <c r="ITD1" s="22"/>
      <c r="ITE1" s="22"/>
      <c r="ITF1" s="22"/>
      <c r="ITG1" s="22"/>
      <c r="ITH1" s="22"/>
      <c r="ITI1" s="22"/>
      <c r="ITJ1" s="22"/>
      <c r="ITK1" s="22"/>
      <c r="ITL1" s="22"/>
      <c r="ITM1" s="22"/>
      <c r="ITN1" s="22"/>
      <c r="ITO1" s="22"/>
      <c r="ITP1" s="22"/>
      <c r="ITQ1" s="22"/>
      <c r="ITR1" s="22"/>
      <c r="ITS1" s="22"/>
      <c r="ITT1" s="22"/>
      <c r="ITU1" s="22"/>
      <c r="ITV1" s="22"/>
      <c r="ITW1" s="22"/>
      <c r="ITX1" s="22"/>
      <c r="ITY1" s="22"/>
      <c r="ITZ1" s="22"/>
      <c r="IUA1" s="22"/>
      <c r="IUB1" s="22"/>
      <c r="IUC1" s="22"/>
      <c r="IUD1" s="22"/>
      <c r="IUE1" s="22"/>
      <c r="IUF1" s="22"/>
      <c r="IUG1" s="22"/>
      <c r="IUH1" s="22"/>
      <c r="IUI1" s="22"/>
      <c r="IUJ1" s="22"/>
      <c r="IUK1" s="22"/>
      <c r="IUL1" s="22"/>
      <c r="IUM1" s="22"/>
      <c r="IUN1" s="22"/>
      <c r="IUO1" s="22"/>
      <c r="IUP1" s="22"/>
      <c r="IUQ1" s="22"/>
      <c r="IUR1" s="22"/>
      <c r="IUS1" s="22"/>
      <c r="IUT1" s="22"/>
      <c r="IUU1" s="22"/>
      <c r="IUV1" s="22"/>
      <c r="IUW1" s="22"/>
      <c r="IUX1" s="22"/>
      <c r="IUY1" s="22"/>
      <c r="IUZ1" s="22"/>
      <c r="IVA1" s="22"/>
      <c r="IVB1" s="22"/>
      <c r="IVC1" s="22"/>
      <c r="IVD1" s="22"/>
      <c r="IVE1" s="22"/>
      <c r="IVF1" s="22"/>
      <c r="IVG1" s="22"/>
      <c r="IVH1" s="22"/>
      <c r="IVI1" s="22"/>
      <c r="IVJ1" s="22"/>
      <c r="IVK1" s="22"/>
      <c r="IVL1" s="22"/>
      <c r="IVM1" s="22"/>
      <c r="IVN1" s="22"/>
      <c r="IVO1" s="22"/>
      <c r="IVP1" s="22"/>
      <c r="IVQ1" s="22"/>
      <c r="IVR1" s="22"/>
      <c r="IVS1" s="22"/>
      <c r="IVT1" s="22"/>
      <c r="IVU1" s="22"/>
      <c r="IVV1" s="22"/>
      <c r="IVW1" s="22"/>
      <c r="IVX1" s="22"/>
      <c r="IVY1" s="22"/>
      <c r="IVZ1" s="22"/>
      <c r="IWA1" s="22"/>
      <c r="IWB1" s="22"/>
      <c r="IWC1" s="22"/>
      <c r="IWD1" s="22"/>
      <c r="IWE1" s="22"/>
      <c r="IWF1" s="22"/>
      <c r="IWG1" s="22"/>
      <c r="IWH1" s="22"/>
      <c r="IWI1" s="22"/>
      <c r="IWJ1" s="22"/>
      <c r="IWK1" s="22"/>
      <c r="IWL1" s="22"/>
      <c r="IWM1" s="22"/>
      <c r="IWN1" s="22"/>
      <c r="IWO1" s="22"/>
      <c r="IWP1" s="22"/>
      <c r="IWQ1" s="22"/>
      <c r="IWR1" s="22"/>
      <c r="IWS1" s="22"/>
      <c r="IWT1" s="22"/>
      <c r="IWU1" s="22"/>
      <c r="IWV1" s="22"/>
      <c r="IWW1" s="22"/>
      <c r="IWX1" s="22"/>
      <c r="IWY1" s="22"/>
      <c r="IWZ1" s="22"/>
      <c r="IXA1" s="22"/>
      <c r="IXB1" s="22"/>
      <c r="IXC1" s="22"/>
      <c r="IXD1" s="22"/>
      <c r="IXE1" s="22"/>
      <c r="IXF1" s="22"/>
      <c r="IXG1" s="22"/>
      <c r="IXH1" s="22"/>
      <c r="IXI1" s="22"/>
      <c r="IXJ1" s="22"/>
      <c r="IXK1" s="22"/>
      <c r="IXL1" s="22"/>
      <c r="IXM1" s="22"/>
      <c r="IXN1" s="22"/>
      <c r="IXO1" s="22"/>
      <c r="IXP1" s="22"/>
      <c r="IXQ1" s="22"/>
      <c r="IXR1" s="22"/>
      <c r="IXS1" s="22"/>
      <c r="IXT1" s="22"/>
      <c r="IXU1" s="22"/>
      <c r="IXV1" s="22"/>
      <c r="IXW1" s="22"/>
      <c r="IXX1" s="22"/>
      <c r="IXY1" s="22"/>
      <c r="IXZ1" s="22"/>
      <c r="IYA1" s="22"/>
      <c r="IYB1" s="22"/>
      <c r="IYC1" s="22"/>
      <c r="IYD1" s="22"/>
      <c r="IYE1" s="22"/>
      <c r="IYF1" s="22"/>
      <c r="IYG1" s="22"/>
      <c r="IYH1" s="22"/>
      <c r="IYI1" s="22"/>
      <c r="IYJ1" s="22"/>
      <c r="IYK1" s="22"/>
      <c r="IYL1" s="22"/>
      <c r="IYM1" s="22"/>
      <c r="IYN1" s="22"/>
      <c r="IYO1" s="22"/>
      <c r="IYP1" s="22"/>
      <c r="IYQ1" s="22"/>
      <c r="IYR1" s="22"/>
      <c r="IYS1" s="22"/>
      <c r="IYT1" s="22"/>
      <c r="IYU1" s="22"/>
      <c r="IYV1" s="22"/>
      <c r="IYW1" s="22"/>
      <c r="IYX1" s="22"/>
      <c r="IYY1" s="22"/>
      <c r="IYZ1" s="22"/>
      <c r="IZA1" s="22"/>
      <c r="IZB1" s="22"/>
      <c r="IZC1" s="22"/>
      <c r="IZD1" s="22"/>
      <c r="IZE1" s="22"/>
      <c r="IZF1" s="22"/>
      <c r="IZG1" s="22"/>
      <c r="IZH1" s="22"/>
      <c r="IZI1" s="22"/>
      <c r="IZJ1" s="22"/>
      <c r="IZK1" s="22"/>
      <c r="IZL1" s="22"/>
      <c r="IZM1" s="22"/>
      <c r="IZN1" s="22"/>
      <c r="IZO1" s="22"/>
      <c r="IZP1" s="22"/>
      <c r="IZQ1" s="22"/>
      <c r="IZR1" s="22"/>
      <c r="IZS1" s="22"/>
      <c r="IZT1" s="22"/>
      <c r="IZU1" s="22"/>
      <c r="IZV1" s="22"/>
      <c r="IZW1" s="22"/>
      <c r="IZX1" s="22"/>
      <c r="IZY1" s="22"/>
      <c r="IZZ1" s="22"/>
      <c r="JAA1" s="22"/>
      <c r="JAB1" s="22"/>
      <c r="JAC1" s="22"/>
      <c r="JAD1" s="22"/>
      <c r="JAE1" s="22"/>
      <c r="JAF1" s="22"/>
      <c r="JAG1" s="22"/>
      <c r="JAH1" s="22"/>
      <c r="JAI1" s="22"/>
      <c r="JAJ1" s="22"/>
      <c r="JAK1" s="22"/>
      <c r="JAL1" s="22"/>
      <c r="JAM1" s="22"/>
      <c r="JAN1" s="22"/>
      <c r="JAO1" s="22"/>
      <c r="JAP1" s="22"/>
      <c r="JAQ1" s="22"/>
      <c r="JAR1" s="22"/>
      <c r="JAS1" s="22"/>
      <c r="JAT1" s="22"/>
      <c r="JAU1" s="22"/>
      <c r="JAV1" s="22"/>
      <c r="JAW1" s="22"/>
      <c r="JAX1" s="22"/>
      <c r="JAY1" s="22"/>
      <c r="JAZ1" s="22"/>
      <c r="JBA1" s="22"/>
      <c r="JBB1" s="22"/>
      <c r="JBC1" s="22"/>
      <c r="JBD1" s="22"/>
      <c r="JBE1" s="22"/>
      <c r="JBF1" s="22"/>
      <c r="JBG1" s="22"/>
      <c r="JBH1" s="22"/>
      <c r="JBI1" s="22"/>
      <c r="JBJ1" s="22"/>
      <c r="JBK1" s="22"/>
      <c r="JBL1" s="22"/>
      <c r="JBM1" s="22"/>
      <c r="JBN1" s="22"/>
      <c r="JBO1" s="22"/>
      <c r="JBP1" s="22"/>
      <c r="JBQ1" s="22"/>
      <c r="JBR1" s="22"/>
      <c r="JBS1" s="22"/>
      <c r="JBT1" s="22"/>
      <c r="JBU1" s="22"/>
      <c r="JBV1" s="22"/>
      <c r="JBW1" s="22"/>
      <c r="JBX1" s="22"/>
      <c r="JBY1" s="22"/>
      <c r="JBZ1" s="22"/>
      <c r="JCA1" s="22"/>
      <c r="JCB1" s="22"/>
      <c r="JCC1" s="22"/>
      <c r="JCD1" s="22"/>
      <c r="JCE1" s="22"/>
      <c r="JCF1" s="22"/>
      <c r="JCG1" s="22"/>
      <c r="JCH1" s="22"/>
      <c r="JCI1" s="22"/>
      <c r="JCJ1" s="22"/>
      <c r="JCK1" s="22"/>
      <c r="JCL1" s="22"/>
      <c r="JCM1" s="22"/>
      <c r="JCN1" s="22"/>
      <c r="JCO1" s="22"/>
      <c r="JCP1" s="22"/>
      <c r="JCQ1" s="22"/>
      <c r="JCR1" s="22"/>
      <c r="JCS1" s="22"/>
      <c r="JCT1" s="22"/>
      <c r="JCU1" s="22"/>
      <c r="JCV1" s="22"/>
      <c r="JCW1" s="22"/>
      <c r="JCX1" s="22"/>
      <c r="JCY1" s="22"/>
      <c r="JCZ1" s="22"/>
      <c r="JDA1" s="22"/>
      <c r="JDB1" s="22"/>
      <c r="JDC1" s="22"/>
      <c r="JDD1" s="22"/>
      <c r="JDE1" s="22"/>
      <c r="JDF1" s="22"/>
      <c r="JDG1" s="22"/>
      <c r="JDH1" s="22"/>
      <c r="JDI1" s="22"/>
      <c r="JDJ1" s="22"/>
      <c r="JDK1" s="22"/>
      <c r="JDL1" s="22"/>
      <c r="JDM1" s="22"/>
      <c r="JDN1" s="22"/>
      <c r="JDO1" s="22"/>
      <c r="JDP1" s="22"/>
      <c r="JDQ1" s="22"/>
      <c r="JDR1" s="22"/>
      <c r="JDS1" s="22"/>
      <c r="JDT1" s="22"/>
      <c r="JDU1" s="22"/>
      <c r="JDV1" s="22"/>
      <c r="JDW1" s="22"/>
      <c r="JDX1" s="22"/>
      <c r="JDY1" s="22"/>
      <c r="JDZ1" s="22"/>
      <c r="JEA1" s="22"/>
      <c r="JEB1" s="22"/>
      <c r="JEC1" s="22"/>
      <c r="JED1" s="22"/>
      <c r="JEE1" s="22"/>
      <c r="JEF1" s="22"/>
      <c r="JEG1" s="22"/>
      <c r="JEH1" s="22"/>
      <c r="JEI1" s="22"/>
      <c r="JEJ1" s="22"/>
      <c r="JEK1" s="22"/>
      <c r="JEL1" s="22"/>
      <c r="JEM1" s="22"/>
      <c r="JEN1" s="22"/>
      <c r="JEO1" s="22"/>
      <c r="JEP1" s="22"/>
      <c r="JEQ1" s="22"/>
      <c r="JER1" s="22"/>
      <c r="JES1" s="22"/>
      <c r="JET1" s="22"/>
      <c r="JEU1" s="22"/>
      <c r="JEV1" s="22"/>
      <c r="JEW1" s="22"/>
      <c r="JEX1" s="22"/>
      <c r="JEY1" s="22"/>
      <c r="JEZ1" s="22"/>
      <c r="JFA1" s="22"/>
      <c r="JFB1" s="22"/>
      <c r="JFC1" s="22"/>
      <c r="JFD1" s="22"/>
      <c r="JFE1" s="22"/>
      <c r="JFF1" s="22"/>
      <c r="JFG1" s="22"/>
      <c r="JFH1" s="22"/>
      <c r="JFI1" s="22"/>
      <c r="JFJ1" s="22"/>
      <c r="JFK1" s="22"/>
      <c r="JFL1" s="22"/>
      <c r="JFM1" s="22"/>
      <c r="JFN1" s="22"/>
      <c r="JFO1" s="22"/>
      <c r="JFP1" s="22"/>
      <c r="JFQ1" s="22"/>
      <c r="JFR1" s="22"/>
      <c r="JFS1" s="22"/>
      <c r="JFT1" s="22"/>
      <c r="JFU1" s="22"/>
      <c r="JFV1" s="22"/>
      <c r="JFW1" s="22"/>
      <c r="JFX1" s="22"/>
      <c r="JFY1" s="22"/>
      <c r="JFZ1" s="22"/>
      <c r="JGA1" s="22"/>
      <c r="JGB1" s="22"/>
      <c r="JGC1" s="22"/>
      <c r="JGD1" s="22"/>
      <c r="JGE1" s="22"/>
      <c r="JGF1" s="22"/>
      <c r="JGG1" s="22"/>
      <c r="JGH1" s="22"/>
      <c r="JGI1" s="22"/>
      <c r="JGJ1" s="22"/>
      <c r="JGK1" s="22"/>
      <c r="JGL1" s="22"/>
      <c r="JGM1" s="22"/>
      <c r="JGN1" s="22"/>
      <c r="JGO1" s="22"/>
      <c r="JGP1" s="22"/>
      <c r="JGQ1" s="22"/>
      <c r="JGR1" s="22"/>
      <c r="JGS1" s="22"/>
      <c r="JGT1" s="22"/>
      <c r="JGU1" s="22"/>
      <c r="JGV1" s="22"/>
      <c r="JGW1" s="22"/>
      <c r="JGX1" s="22"/>
      <c r="JGY1" s="22"/>
      <c r="JGZ1" s="22"/>
      <c r="JHA1" s="22"/>
      <c r="JHB1" s="22"/>
      <c r="JHC1" s="22"/>
      <c r="JHD1" s="22"/>
      <c r="JHE1" s="22"/>
      <c r="JHF1" s="22"/>
      <c r="JHG1" s="22"/>
      <c r="JHH1" s="22"/>
      <c r="JHI1" s="22"/>
      <c r="JHJ1" s="22"/>
      <c r="JHK1" s="22"/>
      <c r="JHL1" s="22"/>
      <c r="JHM1" s="22"/>
      <c r="JHN1" s="22"/>
      <c r="JHO1" s="22"/>
      <c r="JHP1" s="22"/>
      <c r="JHQ1" s="22"/>
      <c r="JHR1" s="22"/>
      <c r="JHS1" s="22"/>
      <c r="JHT1" s="22"/>
      <c r="JHU1" s="22"/>
      <c r="JHV1" s="22"/>
      <c r="JHW1" s="22"/>
      <c r="JHX1" s="22"/>
      <c r="JHY1" s="22"/>
      <c r="JHZ1" s="22"/>
      <c r="JIA1" s="22"/>
      <c r="JIB1" s="22"/>
      <c r="JIC1" s="22"/>
      <c r="JID1" s="22"/>
      <c r="JIE1" s="22"/>
      <c r="JIF1" s="22"/>
      <c r="JIG1" s="22"/>
      <c r="JIH1" s="22"/>
      <c r="JII1" s="22"/>
      <c r="JIJ1" s="22"/>
      <c r="JIK1" s="22"/>
      <c r="JIL1" s="22"/>
      <c r="JIM1" s="22"/>
      <c r="JIN1" s="22"/>
      <c r="JIO1" s="22"/>
      <c r="JIP1" s="22"/>
      <c r="JIQ1" s="22"/>
      <c r="JIR1" s="22"/>
      <c r="JIS1" s="22"/>
      <c r="JIT1" s="22"/>
      <c r="JIU1" s="22"/>
      <c r="JIV1" s="22"/>
      <c r="JIW1" s="22"/>
      <c r="JIX1" s="22"/>
      <c r="JIY1" s="22"/>
      <c r="JIZ1" s="22"/>
      <c r="JJA1" s="22"/>
      <c r="JJB1" s="22"/>
      <c r="JJC1" s="22"/>
      <c r="JJD1" s="22"/>
      <c r="JJE1" s="22"/>
      <c r="JJF1" s="22"/>
      <c r="JJG1" s="22"/>
      <c r="JJH1" s="22"/>
      <c r="JJI1" s="22"/>
      <c r="JJJ1" s="22"/>
      <c r="JJK1" s="22"/>
      <c r="JJL1" s="22"/>
      <c r="JJM1" s="22"/>
      <c r="JJN1" s="22"/>
      <c r="JJO1" s="22"/>
      <c r="JJP1" s="22"/>
      <c r="JJQ1" s="22"/>
      <c r="JJR1" s="22"/>
      <c r="JJS1" s="22"/>
      <c r="JJT1" s="22"/>
      <c r="JJU1" s="22"/>
      <c r="JJV1" s="22"/>
      <c r="JJW1" s="22"/>
      <c r="JJX1" s="22"/>
      <c r="JJY1" s="22"/>
      <c r="JJZ1" s="22"/>
      <c r="JKA1" s="22"/>
      <c r="JKB1" s="22"/>
      <c r="JKC1" s="22"/>
      <c r="JKD1" s="22"/>
      <c r="JKE1" s="22"/>
      <c r="JKF1" s="22"/>
      <c r="JKG1" s="22"/>
      <c r="JKH1" s="22"/>
      <c r="JKI1" s="22"/>
      <c r="JKJ1" s="22"/>
      <c r="JKK1" s="22"/>
      <c r="JKL1" s="22"/>
      <c r="JKM1" s="22"/>
      <c r="JKN1" s="22"/>
      <c r="JKO1" s="22"/>
      <c r="JKP1" s="22"/>
      <c r="JKQ1" s="22"/>
      <c r="JKR1" s="22"/>
      <c r="JKS1" s="22"/>
      <c r="JKT1" s="22"/>
      <c r="JKU1" s="22"/>
      <c r="JKV1" s="22"/>
      <c r="JKW1" s="22"/>
      <c r="JKX1" s="22"/>
      <c r="JKY1" s="22"/>
      <c r="JKZ1" s="22"/>
      <c r="JLA1" s="22"/>
      <c r="JLB1" s="22"/>
      <c r="JLC1" s="22"/>
      <c r="JLD1" s="22"/>
      <c r="JLE1" s="22"/>
      <c r="JLF1" s="22"/>
      <c r="JLG1" s="22"/>
      <c r="JLH1" s="22"/>
      <c r="JLI1" s="22"/>
      <c r="JLJ1" s="22"/>
      <c r="JLK1" s="22"/>
      <c r="JLL1" s="22"/>
      <c r="JLM1" s="22"/>
      <c r="JLN1" s="22"/>
      <c r="JLO1" s="22"/>
      <c r="JLP1" s="22"/>
      <c r="JLQ1" s="22"/>
      <c r="JLR1" s="22"/>
      <c r="JLS1" s="22"/>
      <c r="JLT1" s="22"/>
      <c r="JLU1" s="22"/>
      <c r="JLV1" s="22"/>
      <c r="JLW1" s="22"/>
      <c r="JLX1" s="22"/>
      <c r="JLY1" s="22"/>
      <c r="JLZ1" s="22"/>
      <c r="JMA1" s="22"/>
      <c r="JMB1" s="22"/>
      <c r="JMC1" s="22"/>
      <c r="JMD1" s="22"/>
      <c r="JME1" s="22"/>
      <c r="JMF1" s="22"/>
      <c r="JMG1" s="22"/>
      <c r="JMH1" s="22"/>
      <c r="JMI1" s="22"/>
      <c r="JMJ1" s="22"/>
      <c r="JMK1" s="22"/>
      <c r="JML1" s="22"/>
      <c r="JMM1" s="22"/>
      <c r="JMN1" s="22"/>
      <c r="JMO1" s="22"/>
      <c r="JMP1" s="22"/>
      <c r="JMQ1" s="22"/>
      <c r="JMR1" s="22"/>
      <c r="JMS1" s="22"/>
      <c r="JMT1" s="22"/>
      <c r="JMU1" s="22"/>
      <c r="JMV1" s="22"/>
      <c r="JMW1" s="22"/>
      <c r="JMX1" s="22"/>
      <c r="JMY1" s="22"/>
      <c r="JMZ1" s="22"/>
      <c r="JNA1" s="22"/>
      <c r="JNB1" s="22"/>
      <c r="JNC1" s="22"/>
      <c r="JND1" s="22"/>
      <c r="JNE1" s="22"/>
      <c r="JNF1" s="22"/>
      <c r="JNG1" s="22"/>
      <c r="JNH1" s="22"/>
      <c r="JNI1" s="22"/>
      <c r="JNJ1" s="22"/>
      <c r="JNK1" s="22"/>
      <c r="JNL1" s="22"/>
      <c r="JNM1" s="22"/>
      <c r="JNN1" s="22"/>
      <c r="JNO1" s="22"/>
      <c r="JNP1" s="22"/>
      <c r="JNQ1" s="22"/>
      <c r="JNR1" s="22"/>
      <c r="JNS1" s="22"/>
      <c r="JNT1" s="22"/>
      <c r="JNU1" s="22"/>
      <c r="JNV1" s="22"/>
      <c r="JNW1" s="22"/>
      <c r="JNX1" s="22"/>
      <c r="JNY1" s="22"/>
      <c r="JNZ1" s="22"/>
      <c r="JOA1" s="22"/>
      <c r="JOB1" s="22"/>
      <c r="JOC1" s="22"/>
      <c r="JOD1" s="22"/>
      <c r="JOE1" s="22"/>
      <c r="JOF1" s="22"/>
      <c r="JOG1" s="22"/>
      <c r="JOH1" s="22"/>
      <c r="JOI1" s="22"/>
      <c r="JOJ1" s="22"/>
      <c r="JOK1" s="22"/>
      <c r="JOL1" s="22"/>
      <c r="JOM1" s="22"/>
      <c r="JON1" s="22"/>
      <c r="JOO1" s="22"/>
      <c r="JOP1" s="22"/>
      <c r="JOQ1" s="22"/>
      <c r="JOR1" s="22"/>
      <c r="JOS1" s="22"/>
      <c r="JOT1" s="22"/>
      <c r="JOU1" s="22"/>
      <c r="JOV1" s="22"/>
      <c r="JOW1" s="22"/>
      <c r="JOX1" s="22"/>
      <c r="JOY1" s="22"/>
      <c r="JOZ1" s="22"/>
      <c r="JPA1" s="22"/>
      <c r="JPB1" s="22"/>
      <c r="JPC1" s="22"/>
      <c r="JPD1" s="22"/>
      <c r="JPE1" s="22"/>
      <c r="JPF1" s="22"/>
      <c r="JPG1" s="22"/>
      <c r="JPH1" s="22"/>
      <c r="JPI1" s="22"/>
      <c r="JPJ1" s="22"/>
      <c r="JPK1" s="22"/>
      <c r="JPL1" s="22"/>
      <c r="JPM1" s="22"/>
      <c r="JPN1" s="22"/>
      <c r="JPO1" s="22"/>
      <c r="JPP1" s="22"/>
      <c r="JPQ1" s="22"/>
      <c r="JPR1" s="22"/>
      <c r="JPS1" s="22"/>
      <c r="JPT1" s="22"/>
      <c r="JPU1" s="22"/>
      <c r="JPV1" s="22"/>
      <c r="JPW1" s="22"/>
      <c r="JPX1" s="22"/>
      <c r="JPY1" s="22"/>
      <c r="JPZ1" s="22"/>
      <c r="JQA1" s="22"/>
      <c r="JQB1" s="22"/>
      <c r="JQC1" s="22"/>
      <c r="JQD1" s="22"/>
      <c r="JQE1" s="22"/>
      <c r="JQF1" s="22"/>
      <c r="JQG1" s="22"/>
      <c r="JQH1" s="22"/>
      <c r="JQI1" s="22"/>
      <c r="JQJ1" s="22"/>
      <c r="JQK1" s="22"/>
      <c r="JQL1" s="22"/>
      <c r="JQM1" s="22"/>
      <c r="JQN1" s="22"/>
      <c r="JQO1" s="22"/>
      <c r="JQP1" s="22"/>
      <c r="JQQ1" s="22"/>
      <c r="JQR1" s="22"/>
      <c r="JQS1" s="22"/>
      <c r="JQT1" s="22"/>
      <c r="JQU1" s="22"/>
      <c r="JQV1" s="22"/>
      <c r="JQW1" s="22"/>
      <c r="JQX1" s="22"/>
      <c r="JQY1" s="22"/>
      <c r="JQZ1" s="22"/>
      <c r="JRA1" s="22"/>
      <c r="JRB1" s="22"/>
      <c r="JRC1" s="22"/>
      <c r="JRD1" s="22"/>
      <c r="JRE1" s="22"/>
      <c r="JRF1" s="22"/>
      <c r="JRG1" s="22"/>
      <c r="JRH1" s="22"/>
      <c r="JRI1" s="22"/>
      <c r="JRJ1" s="22"/>
      <c r="JRK1" s="22"/>
      <c r="JRL1" s="22"/>
      <c r="JRM1" s="22"/>
      <c r="JRN1" s="22"/>
      <c r="JRO1" s="22"/>
      <c r="JRP1" s="22"/>
      <c r="JRQ1" s="22"/>
      <c r="JRR1" s="22"/>
      <c r="JRS1" s="22"/>
      <c r="JRT1" s="22"/>
      <c r="JRU1" s="22"/>
      <c r="JRV1" s="22"/>
      <c r="JRW1" s="22"/>
      <c r="JRX1" s="22"/>
      <c r="JRY1" s="22"/>
      <c r="JRZ1" s="22"/>
      <c r="JSA1" s="22"/>
      <c r="JSB1" s="22"/>
      <c r="JSC1" s="22"/>
      <c r="JSD1" s="22"/>
      <c r="JSE1" s="22"/>
      <c r="JSF1" s="22"/>
      <c r="JSG1" s="22"/>
      <c r="JSH1" s="22"/>
      <c r="JSI1" s="22"/>
      <c r="JSJ1" s="22"/>
      <c r="JSK1" s="22"/>
      <c r="JSL1" s="22"/>
      <c r="JSM1" s="22"/>
      <c r="JSN1" s="22"/>
      <c r="JSO1" s="22"/>
      <c r="JSP1" s="22"/>
      <c r="JSQ1" s="22"/>
      <c r="JSR1" s="22"/>
      <c r="JSS1" s="22"/>
      <c r="JST1" s="22"/>
      <c r="JSU1" s="22"/>
      <c r="JSV1" s="22"/>
      <c r="JSW1" s="22"/>
      <c r="JSX1" s="22"/>
      <c r="JSY1" s="22"/>
      <c r="JSZ1" s="22"/>
      <c r="JTA1" s="22"/>
      <c r="JTB1" s="22"/>
      <c r="JTC1" s="22"/>
      <c r="JTD1" s="22"/>
      <c r="JTE1" s="22"/>
      <c r="JTF1" s="22"/>
      <c r="JTG1" s="22"/>
      <c r="JTH1" s="22"/>
      <c r="JTI1" s="22"/>
      <c r="JTJ1" s="22"/>
      <c r="JTK1" s="22"/>
      <c r="JTL1" s="22"/>
      <c r="JTM1" s="22"/>
      <c r="JTN1" s="22"/>
      <c r="JTO1" s="22"/>
      <c r="JTP1" s="22"/>
      <c r="JTQ1" s="22"/>
      <c r="JTR1" s="22"/>
      <c r="JTS1" s="22"/>
      <c r="JTT1" s="22"/>
      <c r="JTU1" s="22"/>
      <c r="JTV1" s="22"/>
      <c r="JTW1" s="22"/>
      <c r="JTX1" s="22"/>
      <c r="JTY1" s="22"/>
      <c r="JTZ1" s="22"/>
      <c r="JUA1" s="22"/>
      <c r="JUB1" s="22"/>
      <c r="JUC1" s="22"/>
      <c r="JUD1" s="22"/>
      <c r="JUE1" s="22"/>
      <c r="JUF1" s="22"/>
      <c r="JUG1" s="22"/>
      <c r="JUH1" s="22"/>
      <c r="JUI1" s="22"/>
      <c r="JUJ1" s="22"/>
      <c r="JUK1" s="22"/>
      <c r="JUL1" s="22"/>
      <c r="JUM1" s="22"/>
      <c r="JUN1" s="22"/>
      <c r="JUO1" s="22"/>
      <c r="JUP1" s="22"/>
      <c r="JUQ1" s="22"/>
      <c r="JUR1" s="22"/>
      <c r="JUS1" s="22"/>
      <c r="JUT1" s="22"/>
      <c r="JUU1" s="22"/>
      <c r="JUV1" s="22"/>
      <c r="JUW1" s="22"/>
      <c r="JUX1" s="22"/>
      <c r="JUY1" s="22"/>
      <c r="JUZ1" s="22"/>
      <c r="JVA1" s="22"/>
      <c r="JVB1" s="22"/>
      <c r="JVC1" s="22"/>
      <c r="JVD1" s="22"/>
      <c r="JVE1" s="22"/>
      <c r="JVF1" s="22"/>
      <c r="JVG1" s="22"/>
      <c r="JVH1" s="22"/>
      <c r="JVI1" s="22"/>
      <c r="JVJ1" s="22"/>
      <c r="JVK1" s="22"/>
      <c r="JVL1" s="22"/>
      <c r="JVM1" s="22"/>
      <c r="JVN1" s="22"/>
      <c r="JVO1" s="22"/>
      <c r="JVP1" s="22"/>
      <c r="JVQ1" s="22"/>
      <c r="JVR1" s="22"/>
      <c r="JVS1" s="22"/>
      <c r="JVT1" s="22"/>
      <c r="JVU1" s="22"/>
      <c r="JVV1" s="22"/>
      <c r="JVW1" s="22"/>
      <c r="JVX1" s="22"/>
      <c r="JVY1" s="22"/>
      <c r="JVZ1" s="22"/>
      <c r="JWA1" s="22"/>
      <c r="JWB1" s="22"/>
      <c r="JWC1" s="22"/>
      <c r="JWD1" s="22"/>
      <c r="JWE1" s="22"/>
      <c r="JWF1" s="22"/>
      <c r="JWG1" s="22"/>
      <c r="JWH1" s="22"/>
      <c r="JWI1" s="22"/>
      <c r="JWJ1" s="22"/>
      <c r="JWK1" s="22"/>
      <c r="JWL1" s="22"/>
      <c r="JWM1" s="22"/>
      <c r="JWN1" s="22"/>
      <c r="JWO1" s="22"/>
      <c r="JWP1" s="22"/>
      <c r="JWQ1" s="22"/>
      <c r="JWR1" s="22"/>
      <c r="JWS1" s="22"/>
      <c r="JWT1" s="22"/>
      <c r="JWU1" s="22"/>
      <c r="JWV1" s="22"/>
      <c r="JWW1" s="22"/>
      <c r="JWX1" s="22"/>
      <c r="JWY1" s="22"/>
      <c r="JWZ1" s="22"/>
      <c r="JXA1" s="22"/>
      <c r="JXB1" s="22"/>
      <c r="JXC1" s="22"/>
      <c r="JXD1" s="22"/>
      <c r="JXE1" s="22"/>
      <c r="JXF1" s="22"/>
      <c r="JXG1" s="22"/>
      <c r="JXH1" s="22"/>
      <c r="JXI1" s="22"/>
      <c r="JXJ1" s="22"/>
      <c r="JXK1" s="22"/>
      <c r="JXL1" s="22"/>
      <c r="JXM1" s="22"/>
      <c r="JXN1" s="22"/>
      <c r="JXO1" s="22"/>
      <c r="JXP1" s="22"/>
      <c r="JXQ1" s="22"/>
      <c r="JXR1" s="22"/>
      <c r="JXS1" s="22"/>
      <c r="JXT1" s="22"/>
      <c r="JXU1" s="22"/>
      <c r="JXV1" s="22"/>
      <c r="JXW1" s="22"/>
      <c r="JXX1" s="22"/>
      <c r="JXY1" s="22"/>
      <c r="JXZ1" s="22"/>
      <c r="JYA1" s="22"/>
      <c r="JYB1" s="22"/>
      <c r="JYC1" s="22"/>
      <c r="JYD1" s="22"/>
      <c r="JYE1" s="22"/>
      <c r="JYF1" s="22"/>
      <c r="JYG1" s="22"/>
      <c r="JYH1" s="22"/>
      <c r="JYI1" s="22"/>
      <c r="JYJ1" s="22"/>
      <c r="JYK1" s="22"/>
      <c r="JYL1" s="22"/>
      <c r="JYM1" s="22"/>
      <c r="JYN1" s="22"/>
      <c r="JYO1" s="22"/>
      <c r="JYP1" s="22"/>
      <c r="JYQ1" s="22"/>
      <c r="JYR1" s="22"/>
      <c r="JYS1" s="22"/>
      <c r="JYT1" s="22"/>
      <c r="JYU1" s="22"/>
      <c r="JYV1" s="22"/>
      <c r="JYW1" s="22"/>
      <c r="JYX1" s="22"/>
      <c r="JYY1" s="22"/>
      <c r="JYZ1" s="22"/>
      <c r="JZA1" s="22"/>
      <c r="JZB1" s="22"/>
      <c r="JZC1" s="22"/>
      <c r="JZD1" s="22"/>
      <c r="JZE1" s="22"/>
      <c r="JZF1" s="22"/>
      <c r="JZG1" s="22"/>
      <c r="JZH1" s="22"/>
      <c r="JZI1" s="22"/>
      <c r="JZJ1" s="22"/>
      <c r="JZK1" s="22"/>
      <c r="JZL1" s="22"/>
      <c r="JZM1" s="22"/>
      <c r="JZN1" s="22"/>
      <c r="JZO1" s="22"/>
      <c r="JZP1" s="22"/>
      <c r="JZQ1" s="22"/>
      <c r="JZR1" s="22"/>
      <c r="JZS1" s="22"/>
      <c r="JZT1" s="22"/>
      <c r="JZU1" s="22"/>
      <c r="JZV1" s="22"/>
      <c r="JZW1" s="22"/>
      <c r="JZX1" s="22"/>
      <c r="JZY1" s="22"/>
      <c r="JZZ1" s="22"/>
      <c r="KAA1" s="22"/>
      <c r="KAB1" s="22"/>
      <c r="KAC1" s="22"/>
      <c r="KAD1" s="22"/>
      <c r="KAE1" s="22"/>
      <c r="KAF1" s="22"/>
      <c r="KAG1" s="22"/>
      <c r="KAH1" s="22"/>
      <c r="KAI1" s="22"/>
      <c r="KAJ1" s="22"/>
      <c r="KAK1" s="22"/>
      <c r="KAL1" s="22"/>
      <c r="KAM1" s="22"/>
      <c r="KAN1" s="22"/>
      <c r="KAO1" s="22"/>
      <c r="KAP1" s="22"/>
      <c r="KAQ1" s="22"/>
      <c r="KAR1" s="22"/>
      <c r="KAS1" s="22"/>
      <c r="KAT1" s="22"/>
      <c r="KAU1" s="22"/>
      <c r="KAV1" s="22"/>
      <c r="KAW1" s="22"/>
      <c r="KAX1" s="22"/>
      <c r="KAY1" s="22"/>
      <c r="KAZ1" s="22"/>
      <c r="KBA1" s="22"/>
      <c r="KBB1" s="22"/>
      <c r="KBC1" s="22"/>
      <c r="KBD1" s="22"/>
      <c r="KBE1" s="22"/>
      <c r="KBF1" s="22"/>
      <c r="KBG1" s="22"/>
      <c r="KBH1" s="22"/>
      <c r="KBI1" s="22"/>
      <c r="KBJ1" s="22"/>
      <c r="KBK1" s="22"/>
      <c r="KBL1" s="22"/>
      <c r="KBM1" s="22"/>
      <c r="KBN1" s="22"/>
      <c r="KBO1" s="22"/>
      <c r="KBP1" s="22"/>
      <c r="KBQ1" s="22"/>
      <c r="KBR1" s="22"/>
      <c r="KBS1" s="22"/>
      <c r="KBT1" s="22"/>
      <c r="KBU1" s="22"/>
      <c r="KBV1" s="22"/>
      <c r="KBW1" s="22"/>
      <c r="KBX1" s="22"/>
      <c r="KBY1" s="22"/>
      <c r="KBZ1" s="22"/>
      <c r="KCA1" s="22"/>
      <c r="KCB1" s="22"/>
      <c r="KCC1" s="22"/>
      <c r="KCD1" s="22"/>
      <c r="KCE1" s="22"/>
      <c r="KCF1" s="22"/>
      <c r="KCG1" s="22"/>
      <c r="KCH1" s="22"/>
      <c r="KCI1" s="22"/>
      <c r="KCJ1" s="22"/>
      <c r="KCK1" s="22"/>
      <c r="KCL1" s="22"/>
      <c r="KCM1" s="22"/>
      <c r="KCN1" s="22"/>
      <c r="KCO1" s="22"/>
      <c r="KCP1" s="22"/>
      <c r="KCQ1" s="22"/>
      <c r="KCR1" s="22"/>
      <c r="KCS1" s="22"/>
      <c r="KCT1" s="22"/>
      <c r="KCU1" s="22"/>
      <c r="KCV1" s="22"/>
      <c r="KCW1" s="22"/>
      <c r="KCX1" s="22"/>
      <c r="KCY1" s="22"/>
      <c r="KCZ1" s="22"/>
      <c r="KDA1" s="22"/>
      <c r="KDB1" s="22"/>
      <c r="KDC1" s="22"/>
      <c r="KDD1" s="22"/>
      <c r="KDE1" s="22"/>
      <c r="KDF1" s="22"/>
      <c r="KDG1" s="22"/>
      <c r="KDH1" s="22"/>
      <c r="KDI1" s="22"/>
      <c r="KDJ1" s="22"/>
      <c r="KDK1" s="22"/>
      <c r="KDL1" s="22"/>
      <c r="KDM1" s="22"/>
      <c r="KDN1" s="22"/>
      <c r="KDO1" s="22"/>
      <c r="KDP1" s="22"/>
      <c r="KDQ1" s="22"/>
      <c r="KDR1" s="22"/>
      <c r="KDS1" s="22"/>
      <c r="KDT1" s="22"/>
      <c r="KDU1" s="22"/>
      <c r="KDV1" s="22"/>
      <c r="KDW1" s="22"/>
      <c r="KDX1" s="22"/>
      <c r="KDY1" s="22"/>
      <c r="KDZ1" s="22"/>
      <c r="KEA1" s="22"/>
      <c r="KEB1" s="22"/>
      <c r="KEC1" s="22"/>
      <c r="KED1" s="22"/>
      <c r="KEE1" s="22"/>
      <c r="KEF1" s="22"/>
      <c r="KEG1" s="22"/>
      <c r="KEH1" s="22"/>
      <c r="KEI1" s="22"/>
      <c r="KEJ1" s="22"/>
      <c r="KEK1" s="22"/>
      <c r="KEL1" s="22"/>
      <c r="KEM1" s="22"/>
      <c r="KEN1" s="22"/>
      <c r="KEO1" s="22"/>
      <c r="KEP1" s="22"/>
      <c r="KEQ1" s="22"/>
      <c r="KER1" s="22"/>
      <c r="KES1" s="22"/>
      <c r="KET1" s="22"/>
      <c r="KEU1" s="22"/>
      <c r="KEV1" s="22"/>
      <c r="KEW1" s="22"/>
      <c r="KEX1" s="22"/>
      <c r="KEY1" s="22"/>
      <c r="KEZ1" s="22"/>
      <c r="KFA1" s="22"/>
      <c r="KFB1" s="22"/>
      <c r="KFC1" s="22"/>
      <c r="KFD1" s="22"/>
      <c r="KFE1" s="22"/>
      <c r="KFF1" s="22"/>
      <c r="KFG1" s="22"/>
      <c r="KFH1" s="22"/>
      <c r="KFI1" s="22"/>
      <c r="KFJ1" s="22"/>
      <c r="KFK1" s="22"/>
      <c r="KFL1" s="22"/>
      <c r="KFM1" s="22"/>
      <c r="KFN1" s="22"/>
      <c r="KFO1" s="22"/>
      <c r="KFP1" s="22"/>
      <c r="KFQ1" s="22"/>
      <c r="KFR1" s="22"/>
      <c r="KFS1" s="22"/>
      <c r="KFT1" s="22"/>
      <c r="KFU1" s="22"/>
      <c r="KFV1" s="22"/>
      <c r="KFW1" s="22"/>
      <c r="KFX1" s="22"/>
      <c r="KFY1" s="22"/>
      <c r="KFZ1" s="22"/>
      <c r="KGA1" s="22"/>
      <c r="KGB1" s="22"/>
      <c r="KGC1" s="22"/>
      <c r="KGD1" s="22"/>
      <c r="KGE1" s="22"/>
      <c r="KGF1" s="22"/>
      <c r="KGG1" s="22"/>
      <c r="KGH1" s="22"/>
      <c r="KGI1" s="22"/>
      <c r="KGJ1" s="22"/>
      <c r="KGK1" s="22"/>
      <c r="KGL1" s="22"/>
      <c r="KGM1" s="22"/>
      <c r="KGN1" s="22"/>
      <c r="KGO1" s="22"/>
      <c r="KGP1" s="22"/>
      <c r="KGQ1" s="22"/>
      <c r="KGR1" s="22"/>
      <c r="KGS1" s="22"/>
      <c r="KGT1" s="22"/>
      <c r="KGU1" s="22"/>
      <c r="KGV1" s="22"/>
      <c r="KGW1" s="22"/>
      <c r="KGX1" s="22"/>
      <c r="KGY1" s="22"/>
      <c r="KGZ1" s="22"/>
      <c r="KHA1" s="22"/>
      <c r="KHB1" s="22"/>
      <c r="KHC1" s="22"/>
      <c r="KHD1" s="22"/>
      <c r="KHE1" s="22"/>
      <c r="KHF1" s="22"/>
      <c r="KHG1" s="22"/>
      <c r="KHH1" s="22"/>
      <c r="KHI1" s="22"/>
      <c r="KHJ1" s="22"/>
      <c r="KHK1" s="22"/>
      <c r="KHL1" s="22"/>
      <c r="KHM1" s="22"/>
      <c r="KHN1" s="22"/>
      <c r="KHO1" s="22"/>
      <c r="KHP1" s="22"/>
      <c r="KHQ1" s="22"/>
      <c r="KHR1" s="22"/>
      <c r="KHS1" s="22"/>
      <c r="KHT1" s="22"/>
      <c r="KHU1" s="22"/>
      <c r="KHV1" s="22"/>
      <c r="KHW1" s="22"/>
      <c r="KHX1" s="22"/>
      <c r="KHY1" s="22"/>
      <c r="KHZ1" s="22"/>
      <c r="KIA1" s="22"/>
      <c r="KIB1" s="22"/>
      <c r="KIC1" s="22"/>
      <c r="KID1" s="22"/>
      <c r="KIE1" s="22"/>
      <c r="KIF1" s="22"/>
      <c r="KIG1" s="22"/>
      <c r="KIH1" s="22"/>
      <c r="KII1" s="22"/>
      <c r="KIJ1" s="22"/>
      <c r="KIK1" s="22"/>
      <c r="KIL1" s="22"/>
      <c r="KIM1" s="22"/>
      <c r="KIN1" s="22"/>
      <c r="KIO1" s="22"/>
      <c r="KIP1" s="22"/>
      <c r="KIQ1" s="22"/>
      <c r="KIR1" s="22"/>
      <c r="KIS1" s="22"/>
      <c r="KIT1" s="22"/>
      <c r="KIU1" s="22"/>
      <c r="KIV1" s="22"/>
      <c r="KIW1" s="22"/>
      <c r="KIX1" s="22"/>
      <c r="KIY1" s="22"/>
      <c r="KIZ1" s="22"/>
      <c r="KJA1" s="22"/>
      <c r="KJB1" s="22"/>
      <c r="KJC1" s="22"/>
      <c r="KJD1" s="22"/>
      <c r="KJE1" s="22"/>
      <c r="KJF1" s="22"/>
      <c r="KJG1" s="22"/>
      <c r="KJH1" s="22"/>
      <c r="KJI1" s="22"/>
      <c r="KJJ1" s="22"/>
      <c r="KJK1" s="22"/>
      <c r="KJL1" s="22"/>
      <c r="KJM1" s="22"/>
      <c r="KJN1" s="22"/>
      <c r="KJO1" s="22"/>
      <c r="KJP1" s="22"/>
      <c r="KJQ1" s="22"/>
      <c r="KJR1" s="22"/>
      <c r="KJS1" s="22"/>
      <c r="KJT1" s="22"/>
      <c r="KJU1" s="22"/>
      <c r="KJV1" s="22"/>
      <c r="KJW1" s="22"/>
      <c r="KJX1" s="22"/>
      <c r="KJY1" s="22"/>
      <c r="KJZ1" s="22"/>
      <c r="KKA1" s="22"/>
      <c r="KKB1" s="22"/>
      <c r="KKC1" s="22"/>
      <c r="KKD1" s="22"/>
      <c r="KKE1" s="22"/>
      <c r="KKF1" s="22"/>
      <c r="KKG1" s="22"/>
      <c r="KKH1" s="22"/>
      <c r="KKI1" s="22"/>
      <c r="KKJ1" s="22"/>
      <c r="KKK1" s="22"/>
      <c r="KKL1" s="22"/>
      <c r="KKM1" s="22"/>
      <c r="KKN1" s="22"/>
      <c r="KKO1" s="22"/>
      <c r="KKP1" s="22"/>
      <c r="KKQ1" s="22"/>
      <c r="KKR1" s="22"/>
      <c r="KKS1" s="22"/>
      <c r="KKT1" s="22"/>
      <c r="KKU1" s="22"/>
      <c r="KKV1" s="22"/>
      <c r="KKW1" s="22"/>
      <c r="KKX1" s="22"/>
      <c r="KKY1" s="22"/>
      <c r="KKZ1" s="22"/>
      <c r="KLA1" s="22"/>
      <c r="KLB1" s="22"/>
      <c r="KLC1" s="22"/>
      <c r="KLD1" s="22"/>
      <c r="KLE1" s="22"/>
      <c r="KLF1" s="22"/>
      <c r="KLG1" s="22"/>
      <c r="KLH1" s="22"/>
      <c r="KLI1" s="22"/>
      <c r="KLJ1" s="22"/>
      <c r="KLK1" s="22"/>
      <c r="KLL1" s="22"/>
      <c r="KLM1" s="22"/>
      <c r="KLN1" s="22"/>
      <c r="KLO1" s="22"/>
      <c r="KLP1" s="22"/>
      <c r="KLQ1" s="22"/>
      <c r="KLR1" s="22"/>
      <c r="KLS1" s="22"/>
      <c r="KLT1" s="22"/>
      <c r="KLU1" s="22"/>
      <c r="KLV1" s="22"/>
      <c r="KLW1" s="22"/>
      <c r="KLX1" s="22"/>
      <c r="KLY1" s="22"/>
      <c r="KLZ1" s="22"/>
      <c r="KMA1" s="22"/>
      <c r="KMB1" s="22"/>
      <c r="KMC1" s="22"/>
      <c r="KMD1" s="22"/>
      <c r="KME1" s="22"/>
      <c r="KMF1" s="22"/>
      <c r="KMG1" s="22"/>
      <c r="KMH1" s="22"/>
      <c r="KMI1" s="22"/>
      <c r="KMJ1" s="22"/>
      <c r="KMK1" s="22"/>
      <c r="KML1" s="22"/>
      <c r="KMM1" s="22"/>
      <c r="KMN1" s="22"/>
      <c r="KMO1" s="22"/>
      <c r="KMP1" s="22"/>
      <c r="KMQ1" s="22"/>
      <c r="KMR1" s="22"/>
      <c r="KMS1" s="22"/>
      <c r="KMT1" s="22"/>
      <c r="KMU1" s="22"/>
      <c r="KMV1" s="22"/>
      <c r="KMW1" s="22"/>
      <c r="KMX1" s="22"/>
      <c r="KMY1" s="22"/>
      <c r="KMZ1" s="22"/>
      <c r="KNA1" s="22"/>
      <c r="KNB1" s="22"/>
      <c r="KNC1" s="22"/>
      <c r="KND1" s="22"/>
      <c r="KNE1" s="22"/>
      <c r="KNF1" s="22"/>
      <c r="KNG1" s="22"/>
      <c r="KNH1" s="22"/>
      <c r="KNI1" s="22"/>
      <c r="KNJ1" s="22"/>
      <c r="KNK1" s="22"/>
      <c r="KNL1" s="22"/>
      <c r="KNM1" s="22"/>
      <c r="KNN1" s="22"/>
      <c r="KNO1" s="22"/>
      <c r="KNP1" s="22"/>
      <c r="KNQ1" s="22"/>
      <c r="KNR1" s="22"/>
      <c r="KNS1" s="22"/>
      <c r="KNT1" s="22"/>
      <c r="KNU1" s="22"/>
      <c r="KNV1" s="22"/>
      <c r="KNW1" s="22"/>
      <c r="KNX1" s="22"/>
      <c r="KNY1" s="22"/>
      <c r="KNZ1" s="22"/>
      <c r="KOA1" s="22"/>
      <c r="KOB1" s="22"/>
      <c r="KOC1" s="22"/>
      <c r="KOD1" s="22"/>
      <c r="KOE1" s="22"/>
      <c r="KOF1" s="22"/>
      <c r="KOG1" s="22"/>
      <c r="KOH1" s="22"/>
      <c r="KOI1" s="22"/>
      <c r="KOJ1" s="22"/>
      <c r="KOK1" s="22"/>
      <c r="KOL1" s="22"/>
      <c r="KOM1" s="22"/>
      <c r="KON1" s="22"/>
      <c r="KOO1" s="22"/>
      <c r="KOP1" s="22"/>
      <c r="KOQ1" s="22"/>
      <c r="KOR1" s="22"/>
      <c r="KOS1" s="22"/>
      <c r="KOT1" s="22"/>
      <c r="KOU1" s="22"/>
      <c r="KOV1" s="22"/>
      <c r="KOW1" s="22"/>
      <c r="KOX1" s="22"/>
      <c r="KOY1" s="22"/>
      <c r="KOZ1" s="22"/>
      <c r="KPA1" s="22"/>
      <c r="KPB1" s="22"/>
      <c r="KPC1" s="22"/>
      <c r="KPD1" s="22"/>
      <c r="KPE1" s="22"/>
      <c r="KPF1" s="22"/>
      <c r="KPG1" s="22"/>
      <c r="KPH1" s="22"/>
      <c r="KPI1" s="22"/>
      <c r="KPJ1" s="22"/>
      <c r="KPK1" s="22"/>
      <c r="KPL1" s="22"/>
      <c r="KPM1" s="22"/>
      <c r="KPN1" s="22"/>
      <c r="KPO1" s="22"/>
      <c r="KPP1" s="22"/>
      <c r="KPQ1" s="22"/>
      <c r="KPR1" s="22"/>
      <c r="KPS1" s="22"/>
      <c r="KPT1" s="22"/>
      <c r="KPU1" s="22"/>
      <c r="KPV1" s="22"/>
      <c r="KPW1" s="22"/>
      <c r="KPX1" s="22"/>
      <c r="KPY1" s="22"/>
      <c r="KPZ1" s="22"/>
      <c r="KQA1" s="22"/>
      <c r="KQB1" s="22"/>
      <c r="KQC1" s="22"/>
      <c r="KQD1" s="22"/>
      <c r="KQE1" s="22"/>
      <c r="KQF1" s="22"/>
      <c r="KQG1" s="22"/>
      <c r="KQH1" s="22"/>
      <c r="KQI1" s="22"/>
      <c r="KQJ1" s="22"/>
      <c r="KQK1" s="22"/>
      <c r="KQL1" s="22"/>
      <c r="KQM1" s="22"/>
      <c r="KQN1" s="22"/>
      <c r="KQO1" s="22"/>
      <c r="KQP1" s="22"/>
      <c r="KQQ1" s="22"/>
      <c r="KQR1" s="22"/>
      <c r="KQS1" s="22"/>
      <c r="KQT1" s="22"/>
      <c r="KQU1" s="22"/>
      <c r="KQV1" s="22"/>
      <c r="KQW1" s="22"/>
      <c r="KQX1" s="22"/>
      <c r="KQY1" s="22"/>
      <c r="KQZ1" s="22"/>
      <c r="KRA1" s="22"/>
      <c r="KRB1" s="22"/>
      <c r="KRC1" s="22"/>
      <c r="KRD1" s="22"/>
      <c r="KRE1" s="22"/>
      <c r="KRF1" s="22"/>
      <c r="KRG1" s="22"/>
      <c r="KRH1" s="22"/>
      <c r="KRI1" s="22"/>
      <c r="KRJ1" s="22"/>
      <c r="KRK1" s="22"/>
      <c r="KRL1" s="22"/>
      <c r="KRM1" s="22"/>
      <c r="KRN1" s="22"/>
      <c r="KRO1" s="22"/>
      <c r="KRP1" s="22"/>
      <c r="KRQ1" s="22"/>
      <c r="KRR1" s="22"/>
      <c r="KRS1" s="22"/>
      <c r="KRT1" s="22"/>
      <c r="KRU1" s="22"/>
      <c r="KRV1" s="22"/>
      <c r="KRW1" s="22"/>
      <c r="KRX1" s="22"/>
      <c r="KRY1" s="22"/>
      <c r="KRZ1" s="22"/>
      <c r="KSA1" s="22"/>
      <c r="KSB1" s="22"/>
      <c r="KSC1" s="22"/>
      <c r="KSD1" s="22"/>
      <c r="KSE1" s="22"/>
      <c r="KSF1" s="22"/>
      <c r="KSG1" s="22"/>
      <c r="KSH1" s="22"/>
      <c r="KSI1" s="22"/>
      <c r="KSJ1" s="22"/>
      <c r="KSK1" s="22"/>
      <c r="KSL1" s="22"/>
      <c r="KSM1" s="22"/>
      <c r="KSN1" s="22"/>
      <c r="KSO1" s="22"/>
      <c r="KSP1" s="22"/>
      <c r="KSQ1" s="22"/>
      <c r="KSR1" s="22"/>
      <c r="KSS1" s="22"/>
      <c r="KST1" s="22"/>
      <c r="KSU1" s="22"/>
      <c r="KSV1" s="22"/>
      <c r="KSW1" s="22"/>
      <c r="KSX1" s="22"/>
      <c r="KSY1" s="22"/>
      <c r="KSZ1" s="22"/>
      <c r="KTA1" s="22"/>
      <c r="KTB1" s="22"/>
      <c r="KTC1" s="22"/>
      <c r="KTD1" s="22"/>
      <c r="KTE1" s="22"/>
      <c r="KTF1" s="22"/>
      <c r="KTG1" s="22"/>
      <c r="KTH1" s="22"/>
      <c r="KTI1" s="22"/>
      <c r="KTJ1" s="22"/>
      <c r="KTK1" s="22"/>
      <c r="KTL1" s="22"/>
      <c r="KTM1" s="22"/>
      <c r="KTN1" s="22"/>
      <c r="KTO1" s="22"/>
      <c r="KTP1" s="22"/>
      <c r="KTQ1" s="22"/>
      <c r="KTR1" s="22"/>
      <c r="KTS1" s="22"/>
      <c r="KTT1" s="22"/>
      <c r="KTU1" s="22"/>
      <c r="KTV1" s="22"/>
      <c r="KTW1" s="22"/>
      <c r="KTX1" s="22"/>
      <c r="KTY1" s="22"/>
      <c r="KTZ1" s="22"/>
      <c r="KUA1" s="22"/>
      <c r="KUB1" s="22"/>
      <c r="KUC1" s="22"/>
      <c r="KUD1" s="22"/>
      <c r="KUE1" s="22"/>
      <c r="KUF1" s="22"/>
      <c r="KUG1" s="22"/>
      <c r="KUH1" s="22"/>
      <c r="KUI1" s="22"/>
      <c r="KUJ1" s="22"/>
      <c r="KUK1" s="22"/>
      <c r="KUL1" s="22"/>
      <c r="KUM1" s="22"/>
      <c r="KUN1" s="22"/>
      <c r="KUO1" s="22"/>
      <c r="KUP1" s="22"/>
      <c r="KUQ1" s="22"/>
      <c r="KUR1" s="22"/>
      <c r="KUS1" s="22"/>
      <c r="KUT1" s="22"/>
      <c r="KUU1" s="22"/>
      <c r="KUV1" s="22"/>
      <c r="KUW1" s="22"/>
      <c r="KUX1" s="22"/>
      <c r="KUY1" s="22"/>
      <c r="KUZ1" s="22"/>
      <c r="KVA1" s="22"/>
      <c r="KVB1" s="22"/>
      <c r="KVC1" s="22"/>
      <c r="KVD1" s="22"/>
      <c r="KVE1" s="22"/>
      <c r="KVF1" s="22"/>
      <c r="KVG1" s="22"/>
      <c r="KVH1" s="22"/>
      <c r="KVI1" s="22"/>
      <c r="KVJ1" s="22"/>
      <c r="KVK1" s="22"/>
      <c r="KVL1" s="22"/>
      <c r="KVM1" s="22"/>
      <c r="KVN1" s="22"/>
      <c r="KVO1" s="22"/>
      <c r="KVP1" s="22"/>
      <c r="KVQ1" s="22"/>
      <c r="KVR1" s="22"/>
      <c r="KVS1" s="22"/>
      <c r="KVT1" s="22"/>
      <c r="KVU1" s="22"/>
      <c r="KVV1" s="22"/>
      <c r="KVW1" s="22"/>
      <c r="KVX1" s="22"/>
      <c r="KVY1" s="22"/>
      <c r="KVZ1" s="22"/>
      <c r="KWA1" s="22"/>
      <c r="KWB1" s="22"/>
      <c r="KWC1" s="22"/>
      <c r="KWD1" s="22"/>
      <c r="KWE1" s="22"/>
      <c r="KWF1" s="22"/>
      <c r="KWG1" s="22"/>
      <c r="KWH1" s="22"/>
      <c r="KWI1" s="22"/>
      <c r="KWJ1" s="22"/>
      <c r="KWK1" s="22"/>
      <c r="KWL1" s="22"/>
      <c r="KWM1" s="22"/>
      <c r="KWN1" s="22"/>
      <c r="KWO1" s="22"/>
      <c r="KWP1" s="22"/>
      <c r="KWQ1" s="22"/>
      <c r="KWR1" s="22"/>
      <c r="KWS1" s="22"/>
      <c r="KWT1" s="22"/>
      <c r="KWU1" s="22"/>
      <c r="KWV1" s="22"/>
      <c r="KWW1" s="22"/>
      <c r="KWX1" s="22"/>
      <c r="KWY1" s="22"/>
      <c r="KWZ1" s="22"/>
      <c r="KXA1" s="22"/>
      <c r="KXB1" s="22"/>
      <c r="KXC1" s="22"/>
      <c r="KXD1" s="22"/>
      <c r="KXE1" s="22"/>
      <c r="KXF1" s="22"/>
      <c r="KXG1" s="22"/>
      <c r="KXH1" s="22"/>
      <c r="KXI1" s="22"/>
      <c r="KXJ1" s="22"/>
      <c r="KXK1" s="22"/>
      <c r="KXL1" s="22"/>
      <c r="KXM1" s="22"/>
      <c r="KXN1" s="22"/>
      <c r="KXO1" s="22"/>
      <c r="KXP1" s="22"/>
      <c r="KXQ1" s="22"/>
      <c r="KXR1" s="22"/>
      <c r="KXS1" s="22"/>
      <c r="KXT1" s="22"/>
      <c r="KXU1" s="22"/>
      <c r="KXV1" s="22"/>
      <c r="KXW1" s="22"/>
      <c r="KXX1" s="22"/>
      <c r="KXY1" s="22"/>
      <c r="KXZ1" s="22"/>
      <c r="KYA1" s="22"/>
      <c r="KYB1" s="22"/>
      <c r="KYC1" s="22"/>
      <c r="KYD1" s="22"/>
      <c r="KYE1" s="22"/>
      <c r="KYF1" s="22"/>
      <c r="KYG1" s="22"/>
      <c r="KYH1" s="22"/>
      <c r="KYI1" s="22"/>
      <c r="KYJ1" s="22"/>
      <c r="KYK1" s="22"/>
      <c r="KYL1" s="22"/>
      <c r="KYM1" s="22"/>
      <c r="KYN1" s="22"/>
      <c r="KYO1" s="22"/>
      <c r="KYP1" s="22"/>
      <c r="KYQ1" s="22"/>
      <c r="KYR1" s="22"/>
      <c r="KYS1" s="22"/>
      <c r="KYT1" s="22"/>
      <c r="KYU1" s="22"/>
      <c r="KYV1" s="22"/>
      <c r="KYW1" s="22"/>
      <c r="KYX1" s="22"/>
      <c r="KYY1" s="22"/>
      <c r="KYZ1" s="22"/>
      <c r="KZA1" s="22"/>
      <c r="KZB1" s="22"/>
      <c r="KZC1" s="22"/>
      <c r="KZD1" s="22"/>
      <c r="KZE1" s="22"/>
      <c r="KZF1" s="22"/>
      <c r="KZG1" s="22"/>
      <c r="KZH1" s="22"/>
      <c r="KZI1" s="22"/>
      <c r="KZJ1" s="22"/>
      <c r="KZK1" s="22"/>
      <c r="KZL1" s="22"/>
      <c r="KZM1" s="22"/>
      <c r="KZN1" s="22"/>
      <c r="KZO1" s="22"/>
      <c r="KZP1" s="22"/>
      <c r="KZQ1" s="22"/>
      <c r="KZR1" s="22"/>
      <c r="KZS1" s="22"/>
      <c r="KZT1" s="22"/>
      <c r="KZU1" s="22"/>
      <c r="KZV1" s="22"/>
      <c r="KZW1" s="22"/>
      <c r="KZX1" s="22"/>
      <c r="KZY1" s="22"/>
      <c r="KZZ1" s="22"/>
      <c r="LAA1" s="22"/>
      <c r="LAB1" s="22"/>
      <c r="LAC1" s="22"/>
      <c r="LAD1" s="22"/>
      <c r="LAE1" s="22"/>
      <c r="LAF1" s="22"/>
      <c r="LAG1" s="22"/>
      <c r="LAH1" s="22"/>
      <c r="LAI1" s="22"/>
      <c r="LAJ1" s="22"/>
      <c r="LAK1" s="22"/>
      <c r="LAL1" s="22"/>
      <c r="LAM1" s="22"/>
      <c r="LAN1" s="22"/>
      <c r="LAO1" s="22"/>
      <c r="LAP1" s="22"/>
      <c r="LAQ1" s="22"/>
      <c r="LAR1" s="22"/>
      <c r="LAS1" s="22"/>
      <c r="LAT1" s="22"/>
      <c r="LAU1" s="22"/>
      <c r="LAV1" s="22"/>
      <c r="LAW1" s="22"/>
      <c r="LAX1" s="22"/>
      <c r="LAY1" s="22"/>
      <c r="LAZ1" s="22"/>
      <c r="LBA1" s="22"/>
      <c r="LBB1" s="22"/>
      <c r="LBC1" s="22"/>
      <c r="LBD1" s="22"/>
      <c r="LBE1" s="22"/>
      <c r="LBF1" s="22"/>
      <c r="LBG1" s="22"/>
      <c r="LBH1" s="22"/>
      <c r="LBI1" s="22"/>
      <c r="LBJ1" s="22"/>
      <c r="LBK1" s="22"/>
      <c r="LBL1" s="22"/>
      <c r="LBM1" s="22"/>
      <c r="LBN1" s="22"/>
      <c r="LBO1" s="22"/>
      <c r="LBP1" s="22"/>
      <c r="LBQ1" s="22"/>
      <c r="LBR1" s="22"/>
      <c r="LBS1" s="22"/>
      <c r="LBT1" s="22"/>
      <c r="LBU1" s="22"/>
      <c r="LBV1" s="22"/>
      <c r="LBW1" s="22"/>
      <c r="LBX1" s="22"/>
      <c r="LBY1" s="22"/>
      <c r="LBZ1" s="22"/>
      <c r="LCA1" s="22"/>
      <c r="LCB1" s="22"/>
      <c r="LCC1" s="22"/>
      <c r="LCD1" s="22"/>
      <c r="LCE1" s="22"/>
      <c r="LCF1" s="22"/>
      <c r="LCG1" s="22"/>
      <c r="LCH1" s="22"/>
      <c r="LCI1" s="22"/>
      <c r="LCJ1" s="22"/>
      <c r="LCK1" s="22"/>
      <c r="LCL1" s="22"/>
      <c r="LCM1" s="22"/>
      <c r="LCN1" s="22"/>
      <c r="LCO1" s="22"/>
      <c r="LCP1" s="22"/>
      <c r="LCQ1" s="22"/>
      <c r="LCR1" s="22"/>
      <c r="LCS1" s="22"/>
      <c r="LCT1" s="22"/>
      <c r="LCU1" s="22"/>
      <c r="LCV1" s="22"/>
      <c r="LCW1" s="22"/>
      <c r="LCX1" s="22"/>
      <c r="LCY1" s="22"/>
      <c r="LCZ1" s="22"/>
      <c r="LDA1" s="22"/>
      <c r="LDB1" s="22"/>
      <c r="LDC1" s="22"/>
      <c r="LDD1" s="22"/>
      <c r="LDE1" s="22"/>
      <c r="LDF1" s="22"/>
      <c r="LDG1" s="22"/>
      <c r="LDH1" s="22"/>
      <c r="LDI1" s="22"/>
      <c r="LDJ1" s="22"/>
      <c r="LDK1" s="22"/>
      <c r="LDL1" s="22"/>
      <c r="LDM1" s="22"/>
      <c r="LDN1" s="22"/>
      <c r="LDO1" s="22"/>
      <c r="LDP1" s="22"/>
      <c r="LDQ1" s="22"/>
      <c r="LDR1" s="22"/>
      <c r="LDS1" s="22"/>
      <c r="LDT1" s="22"/>
      <c r="LDU1" s="22"/>
      <c r="LDV1" s="22"/>
      <c r="LDW1" s="22"/>
      <c r="LDX1" s="22"/>
      <c r="LDY1" s="22"/>
      <c r="LDZ1" s="22"/>
      <c r="LEA1" s="22"/>
      <c r="LEB1" s="22"/>
      <c r="LEC1" s="22"/>
      <c r="LED1" s="22"/>
      <c r="LEE1" s="22"/>
      <c r="LEF1" s="22"/>
      <c r="LEG1" s="22"/>
      <c r="LEH1" s="22"/>
      <c r="LEI1" s="22"/>
      <c r="LEJ1" s="22"/>
      <c r="LEK1" s="22"/>
      <c r="LEL1" s="22"/>
      <c r="LEM1" s="22"/>
      <c r="LEN1" s="22"/>
      <c r="LEO1" s="22"/>
      <c r="LEP1" s="22"/>
      <c r="LEQ1" s="22"/>
      <c r="LER1" s="22"/>
      <c r="LES1" s="22"/>
      <c r="LET1" s="22"/>
      <c r="LEU1" s="22"/>
      <c r="LEV1" s="22"/>
      <c r="LEW1" s="22"/>
      <c r="LEX1" s="22"/>
      <c r="LEY1" s="22"/>
      <c r="LEZ1" s="22"/>
      <c r="LFA1" s="22"/>
      <c r="LFB1" s="22"/>
      <c r="LFC1" s="22"/>
      <c r="LFD1" s="22"/>
      <c r="LFE1" s="22"/>
      <c r="LFF1" s="22"/>
      <c r="LFG1" s="22"/>
      <c r="LFH1" s="22"/>
      <c r="LFI1" s="22"/>
      <c r="LFJ1" s="22"/>
      <c r="LFK1" s="22"/>
      <c r="LFL1" s="22"/>
      <c r="LFM1" s="22"/>
      <c r="LFN1" s="22"/>
      <c r="LFO1" s="22"/>
      <c r="LFP1" s="22"/>
      <c r="LFQ1" s="22"/>
      <c r="LFR1" s="22"/>
      <c r="LFS1" s="22"/>
      <c r="LFT1" s="22"/>
      <c r="LFU1" s="22"/>
      <c r="LFV1" s="22"/>
      <c r="LFW1" s="22"/>
      <c r="LFX1" s="22"/>
      <c r="LFY1" s="22"/>
      <c r="LFZ1" s="22"/>
      <c r="LGA1" s="22"/>
      <c r="LGB1" s="22"/>
      <c r="LGC1" s="22"/>
      <c r="LGD1" s="22"/>
      <c r="LGE1" s="22"/>
      <c r="LGF1" s="22"/>
      <c r="LGG1" s="22"/>
      <c r="LGH1" s="22"/>
      <c r="LGI1" s="22"/>
      <c r="LGJ1" s="22"/>
      <c r="LGK1" s="22"/>
      <c r="LGL1" s="22"/>
      <c r="LGM1" s="22"/>
      <c r="LGN1" s="22"/>
      <c r="LGO1" s="22"/>
      <c r="LGP1" s="22"/>
      <c r="LGQ1" s="22"/>
      <c r="LGR1" s="22"/>
      <c r="LGS1" s="22"/>
      <c r="LGT1" s="22"/>
      <c r="LGU1" s="22"/>
      <c r="LGV1" s="22"/>
      <c r="LGW1" s="22"/>
      <c r="LGX1" s="22"/>
      <c r="LGY1" s="22"/>
      <c r="LGZ1" s="22"/>
      <c r="LHA1" s="22"/>
      <c r="LHB1" s="22"/>
      <c r="LHC1" s="22"/>
      <c r="LHD1" s="22"/>
      <c r="LHE1" s="22"/>
      <c r="LHF1" s="22"/>
      <c r="LHG1" s="22"/>
      <c r="LHH1" s="22"/>
      <c r="LHI1" s="22"/>
      <c r="LHJ1" s="22"/>
      <c r="LHK1" s="22"/>
      <c r="LHL1" s="22"/>
      <c r="LHM1" s="22"/>
      <c r="LHN1" s="22"/>
      <c r="LHO1" s="22"/>
      <c r="LHP1" s="22"/>
      <c r="LHQ1" s="22"/>
      <c r="LHR1" s="22"/>
      <c r="LHS1" s="22"/>
      <c r="LHT1" s="22"/>
      <c r="LHU1" s="22"/>
      <c r="LHV1" s="22"/>
      <c r="LHW1" s="22"/>
      <c r="LHX1" s="22"/>
      <c r="LHY1" s="22"/>
      <c r="LHZ1" s="22"/>
      <c r="LIA1" s="22"/>
      <c r="LIB1" s="22"/>
      <c r="LIC1" s="22"/>
      <c r="LID1" s="22"/>
      <c r="LIE1" s="22"/>
      <c r="LIF1" s="22"/>
      <c r="LIG1" s="22"/>
      <c r="LIH1" s="22"/>
      <c r="LII1" s="22"/>
      <c r="LIJ1" s="22"/>
      <c r="LIK1" s="22"/>
      <c r="LIL1" s="22"/>
      <c r="LIM1" s="22"/>
      <c r="LIN1" s="22"/>
      <c r="LIO1" s="22"/>
      <c r="LIP1" s="22"/>
      <c r="LIQ1" s="22"/>
      <c r="LIR1" s="22"/>
      <c r="LIS1" s="22"/>
      <c r="LIT1" s="22"/>
      <c r="LIU1" s="22"/>
      <c r="LIV1" s="22"/>
      <c r="LIW1" s="22"/>
      <c r="LIX1" s="22"/>
      <c r="LIY1" s="22"/>
      <c r="LIZ1" s="22"/>
      <c r="LJA1" s="22"/>
      <c r="LJB1" s="22"/>
      <c r="LJC1" s="22"/>
      <c r="LJD1" s="22"/>
      <c r="LJE1" s="22"/>
      <c r="LJF1" s="22"/>
      <c r="LJG1" s="22"/>
      <c r="LJH1" s="22"/>
      <c r="LJI1" s="22"/>
      <c r="LJJ1" s="22"/>
      <c r="LJK1" s="22"/>
      <c r="LJL1" s="22"/>
      <c r="LJM1" s="22"/>
      <c r="LJN1" s="22"/>
      <c r="LJO1" s="22"/>
      <c r="LJP1" s="22"/>
      <c r="LJQ1" s="22"/>
      <c r="LJR1" s="22"/>
      <c r="LJS1" s="22"/>
      <c r="LJT1" s="22"/>
      <c r="LJU1" s="22"/>
      <c r="LJV1" s="22"/>
      <c r="LJW1" s="22"/>
      <c r="LJX1" s="22"/>
      <c r="LJY1" s="22"/>
      <c r="LJZ1" s="22"/>
      <c r="LKA1" s="22"/>
      <c r="LKB1" s="22"/>
      <c r="LKC1" s="22"/>
      <c r="LKD1" s="22"/>
      <c r="LKE1" s="22"/>
      <c r="LKF1" s="22"/>
      <c r="LKG1" s="22"/>
      <c r="LKH1" s="22"/>
      <c r="LKI1" s="22"/>
      <c r="LKJ1" s="22"/>
      <c r="LKK1" s="22"/>
      <c r="LKL1" s="22"/>
      <c r="LKM1" s="22"/>
      <c r="LKN1" s="22"/>
      <c r="LKO1" s="22"/>
      <c r="LKP1" s="22"/>
      <c r="LKQ1" s="22"/>
      <c r="LKR1" s="22"/>
      <c r="LKS1" s="22"/>
      <c r="LKT1" s="22"/>
      <c r="LKU1" s="22"/>
      <c r="LKV1" s="22"/>
      <c r="LKW1" s="22"/>
      <c r="LKX1" s="22"/>
      <c r="LKY1" s="22"/>
      <c r="LKZ1" s="22"/>
      <c r="LLA1" s="22"/>
      <c r="LLB1" s="22"/>
      <c r="LLC1" s="22"/>
      <c r="LLD1" s="22"/>
      <c r="LLE1" s="22"/>
      <c r="LLF1" s="22"/>
      <c r="LLG1" s="22"/>
      <c r="LLH1" s="22"/>
      <c r="LLI1" s="22"/>
      <c r="LLJ1" s="22"/>
      <c r="LLK1" s="22"/>
      <c r="LLL1" s="22"/>
      <c r="LLM1" s="22"/>
      <c r="LLN1" s="22"/>
      <c r="LLO1" s="22"/>
      <c r="LLP1" s="22"/>
      <c r="LLQ1" s="22"/>
      <c r="LLR1" s="22"/>
      <c r="LLS1" s="22"/>
      <c r="LLT1" s="22"/>
      <c r="LLU1" s="22"/>
      <c r="LLV1" s="22"/>
      <c r="LLW1" s="22"/>
      <c r="LLX1" s="22"/>
      <c r="LLY1" s="22"/>
      <c r="LLZ1" s="22"/>
      <c r="LMA1" s="22"/>
      <c r="LMB1" s="22"/>
      <c r="LMC1" s="22"/>
      <c r="LMD1" s="22"/>
      <c r="LME1" s="22"/>
      <c r="LMF1" s="22"/>
      <c r="LMG1" s="22"/>
      <c r="LMH1" s="22"/>
      <c r="LMI1" s="22"/>
      <c r="LMJ1" s="22"/>
      <c r="LMK1" s="22"/>
      <c r="LML1" s="22"/>
      <c r="LMM1" s="22"/>
      <c r="LMN1" s="22"/>
      <c r="LMO1" s="22"/>
      <c r="LMP1" s="22"/>
      <c r="LMQ1" s="22"/>
      <c r="LMR1" s="22"/>
      <c r="LMS1" s="22"/>
      <c r="LMT1" s="22"/>
      <c r="LMU1" s="22"/>
      <c r="LMV1" s="22"/>
      <c r="LMW1" s="22"/>
      <c r="LMX1" s="22"/>
      <c r="LMY1" s="22"/>
      <c r="LMZ1" s="22"/>
      <c r="LNA1" s="22"/>
      <c r="LNB1" s="22"/>
      <c r="LNC1" s="22"/>
      <c r="LND1" s="22"/>
      <c r="LNE1" s="22"/>
      <c r="LNF1" s="22"/>
      <c r="LNG1" s="22"/>
      <c r="LNH1" s="22"/>
      <c r="LNI1" s="22"/>
      <c r="LNJ1" s="22"/>
      <c r="LNK1" s="22"/>
      <c r="LNL1" s="22"/>
      <c r="LNM1" s="22"/>
      <c r="LNN1" s="22"/>
      <c r="LNO1" s="22"/>
      <c r="LNP1" s="22"/>
      <c r="LNQ1" s="22"/>
      <c r="LNR1" s="22"/>
      <c r="LNS1" s="22"/>
      <c r="LNT1" s="22"/>
      <c r="LNU1" s="22"/>
      <c r="LNV1" s="22"/>
      <c r="LNW1" s="22"/>
      <c r="LNX1" s="22"/>
      <c r="LNY1" s="22"/>
      <c r="LNZ1" s="22"/>
      <c r="LOA1" s="22"/>
      <c r="LOB1" s="22"/>
      <c r="LOC1" s="22"/>
      <c r="LOD1" s="22"/>
      <c r="LOE1" s="22"/>
      <c r="LOF1" s="22"/>
      <c r="LOG1" s="22"/>
      <c r="LOH1" s="22"/>
      <c r="LOI1" s="22"/>
      <c r="LOJ1" s="22"/>
      <c r="LOK1" s="22"/>
      <c r="LOL1" s="22"/>
      <c r="LOM1" s="22"/>
      <c r="LON1" s="22"/>
      <c r="LOO1" s="22"/>
      <c r="LOP1" s="22"/>
      <c r="LOQ1" s="22"/>
      <c r="LOR1" s="22"/>
      <c r="LOS1" s="22"/>
      <c r="LOT1" s="22"/>
      <c r="LOU1" s="22"/>
      <c r="LOV1" s="22"/>
      <c r="LOW1" s="22"/>
      <c r="LOX1" s="22"/>
      <c r="LOY1" s="22"/>
      <c r="LOZ1" s="22"/>
      <c r="LPA1" s="22"/>
      <c r="LPB1" s="22"/>
      <c r="LPC1" s="22"/>
      <c r="LPD1" s="22"/>
      <c r="LPE1" s="22"/>
      <c r="LPF1" s="22"/>
      <c r="LPG1" s="22"/>
      <c r="LPH1" s="22"/>
      <c r="LPI1" s="22"/>
      <c r="LPJ1" s="22"/>
      <c r="LPK1" s="22"/>
      <c r="LPL1" s="22"/>
      <c r="LPM1" s="22"/>
      <c r="LPN1" s="22"/>
      <c r="LPO1" s="22"/>
      <c r="LPP1" s="22"/>
      <c r="LPQ1" s="22"/>
      <c r="LPR1" s="22"/>
      <c r="LPS1" s="22"/>
      <c r="LPT1" s="22"/>
      <c r="LPU1" s="22"/>
      <c r="LPV1" s="22"/>
      <c r="LPW1" s="22"/>
      <c r="LPX1" s="22"/>
      <c r="LPY1" s="22"/>
      <c r="LPZ1" s="22"/>
      <c r="LQA1" s="22"/>
      <c r="LQB1" s="22"/>
      <c r="LQC1" s="22"/>
      <c r="LQD1" s="22"/>
      <c r="LQE1" s="22"/>
      <c r="LQF1" s="22"/>
      <c r="LQG1" s="22"/>
      <c r="LQH1" s="22"/>
      <c r="LQI1" s="22"/>
      <c r="LQJ1" s="22"/>
      <c r="LQK1" s="22"/>
      <c r="LQL1" s="22"/>
      <c r="LQM1" s="22"/>
      <c r="LQN1" s="22"/>
      <c r="LQO1" s="22"/>
      <c r="LQP1" s="22"/>
      <c r="LQQ1" s="22"/>
      <c r="LQR1" s="22"/>
      <c r="LQS1" s="22"/>
      <c r="LQT1" s="22"/>
      <c r="LQU1" s="22"/>
      <c r="LQV1" s="22"/>
      <c r="LQW1" s="22"/>
      <c r="LQX1" s="22"/>
      <c r="LQY1" s="22"/>
      <c r="LQZ1" s="22"/>
      <c r="LRA1" s="22"/>
      <c r="LRB1" s="22"/>
      <c r="LRC1" s="22"/>
      <c r="LRD1" s="22"/>
      <c r="LRE1" s="22"/>
      <c r="LRF1" s="22"/>
      <c r="LRG1" s="22"/>
      <c r="LRH1" s="22"/>
      <c r="LRI1" s="22"/>
      <c r="LRJ1" s="22"/>
      <c r="LRK1" s="22"/>
      <c r="LRL1" s="22"/>
      <c r="LRM1" s="22"/>
      <c r="LRN1" s="22"/>
      <c r="LRO1" s="22"/>
      <c r="LRP1" s="22"/>
      <c r="LRQ1" s="22"/>
      <c r="LRR1" s="22"/>
      <c r="LRS1" s="22"/>
      <c r="LRT1" s="22"/>
      <c r="LRU1" s="22"/>
      <c r="LRV1" s="22"/>
      <c r="LRW1" s="22"/>
      <c r="LRX1" s="22"/>
      <c r="LRY1" s="22"/>
      <c r="LRZ1" s="22"/>
      <c r="LSA1" s="22"/>
      <c r="LSB1" s="22"/>
      <c r="LSC1" s="22"/>
      <c r="LSD1" s="22"/>
      <c r="LSE1" s="22"/>
      <c r="LSF1" s="22"/>
      <c r="LSG1" s="22"/>
      <c r="LSH1" s="22"/>
      <c r="LSI1" s="22"/>
      <c r="LSJ1" s="22"/>
      <c r="LSK1" s="22"/>
      <c r="LSL1" s="22"/>
      <c r="LSM1" s="22"/>
      <c r="LSN1" s="22"/>
      <c r="LSO1" s="22"/>
      <c r="LSP1" s="22"/>
      <c r="LSQ1" s="22"/>
      <c r="LSR1" s="22"/>
      <c r="LSS1" s="22"/>
      <c r="LST1" s="22"/>
      <c r="LSU1" s="22"/>
      <c r="LSV1" s="22"/>
      <c r="LSW1" s="22"/>
      <c r="LSX1" s="22"/>
      <c r="LSY1" s="22"/>
      <c r="LSZ1" s="22"/>
      <c r="LTA1" s="22"/>
      <c r="LTB1" s="22"/>
      <c r="LTC1" s="22"/>
      <c r="LTD1" s="22"/>
      <c r="LTE1" s="22"/>
      <c r="LTF1" s="22"/>
      <c r="LTG1" s="22"/>
      <c r="LTH1" s="22"/>
      <c r="LTI1" s="22"/>
      <c r="LTJ1" s="22"/>
      <c r="LTK1" s="22"/>
      <c r="LTL1" s="22"/>
      <c r="LTM1" s="22"/>
      <c r="LTN1" s="22"/>
      <c r="LTO1" s="22"/>
      <c r="LTP1" s="22"/>
      <c r="LTQ1" s="22"/>
      <c r="LTR1" s="22"/>
      <c r="LTS1" s="22"/>
      <c r="LTT1" s="22"/>
      <c r="LTU1" s="22"/>
      <c r="LTV1" s="22"/>
      <c r="LTW1" s="22"/>
      <c r="LTX1" s="22"/>
      <c r="LTY1" s="22"/>
      <c r="LTZ1" s="22"/>
      <c r="LUA1" s="22"/>
      <c r="LUB1" s="22"/>
      <c r="LUC1" s="22"/>
      <c r="LUD1" s="22"/>
      <c r="LUE1" s="22"/>
      <c r="LUF1" s="22"/>
      <c r="LUG1" s="22"/>
      <c r="LUH1" s="22"/>
      <c r="LUI1" s="22"/>
      <c r="LUJ1" s="22"/>
      <c r="LUK1" s="22"/>
      <c r="LUL1" s="22"/>
      <c r="LUM1" s="22"/>
      <c r="LUN1" s="22"/>
      <c r="LUO1" s="22"/>
      <c r="LUP1" s="22"/>
      <c r="LUQ1" s="22"/>
      <c r="LUR1" s="22"/>
      <c r="LUS1" s="22"/>
      <c r="LUT1" s="22"/>
      <c r="LUU1" s="22"/>
      <c r="LUV1" s="22"/>
      <c r="LUW1" s="22"/>
      <c r="LUX1" s="22"/>
      <c r="LUY1" s="22"/>
      <c r="LUZ1" s="22"/>
      <c r="LVA1" s="22"/>
      <c r="LVB1" s="22"/>
      <c r="LVC1" s="22"/>
      <c r="LVD1" s="22"/>
      <c r="LVE1" s="22"/>
      <c r="LVF1" s="22"/>
      <c r="LVG1" s="22"/>
      <c r="LVH1" s="22"/>
      <c r="LVI1" s="22"/>
      <c r="LVJ1" s="22"/>
      <c r="LVK1" s="22"/>
      <c r="LVL1" s="22"/>
      <c r="LVM1" s="22"/>
      <c r="LVN1" s="22"/>
      <c r="LVO1" s="22"/>
      <c r="LVP1" s="22"/>
      <c r="LVQ1" s="22"/>
      <c r="LVR1" s="22"/>
      <c r="LVS1" s="22"/>
      <c r="LVT1" s="22"/>
      <c r="LVU1" s="22"/>
      <c r="LVV1" s="22"/>
      <c r="LVW1" s="22"/>
      <c r="LVX1" s="22"/>
      <c r="LVY1" s="22"/>
      <c r="LVZ1" s="22"/>
      <c r="LWA1" s="22"/>
      <c r="LWB1" s="22"/>
      <c r="LWC1" s="22"/>
      <c r="LWD1" s="22"/>
      <c r="LWE1" s="22"/>
      <c r="LWF1" s="22"/>
      <c r="LWG1" s="22"/>
      <c r="LWH1" s="22"/>
      <c r="LWI1" s="22"/>
      <c r="LWJ1" s="22"/>
      <c r="LWK1" s="22"/>
      <c r="LWL1" s="22"/>
      <c r="LWM1" s="22"/>
      <c r="LWN1" s="22"/>
      <c r="LWO1" s="22"/>
      <c r="LWP1" s="22"/>
      <c r="LWQ1" s="22"/>
      <c r="LWR1" s="22"/>
      <c r="LWS1" s="22"/>
      <c r="LWT1" s="22"/>
      <c r="LWU1" s="22"/>
      <c r="LWV1" s="22"/>
      <c r="LWW1" s="22"/>
      <c r="LWX1" s="22"/>
      <c r="LWY1" s="22"/>
      <c r="LWZ1" s="22"/>
      <c r="LXA1" s="22"/>
      <c r="LXB1" s="22"/>
      <c r="LXC1" s="22"/>
      <c r="LXD1" s="22"/>
      <c r="LXE1" s="22"/>
      <c r="LXF1" s="22"/>
      <c r="LXG1" s="22"/>
      <c r="LXH1" s="22"/>
      <c r="LXI1" s="22"/>
      <c r="LXJ1" s="22"/>
      <c r="LXK1" s="22"/>
      <c r="LXL1" s="22"/>
      <c r="LXM1" s="22"/>
      <c r="LXN1" s="22"/>
      <c r="LXO1" s="22"/>
      <c r="LXP1" s="22"/>
      <c r="LXQ1" s="22"/>
      <c r="LXR1" s="22"/>
      <c r="LXS1" s="22"/>
      <c r="LXT1" s="22"/>
      <c r="LXU1" s="22"/>
      <c r="LXV1" s="22"/>
      <c r="LXW1" s="22"/>
      <c r="LXX1" s="22"/>
      <c r="LXY1" s="22"/>
      <c r="LXZ1" s="22"/>
      <c r="LYA1" s="22"/>
      <c r="LYB1" s="22"/>
      <c r="LYC1" s="22"/>
      <c r="LYD1" s="22"/>
      <c r="LYE1" s="22"/>
      <c r="LYF1" s="22"/>
      <c r="LYG1" s="22"/>
      <c r="LYH1" s="22"/>
      <c r="LYI1" s="22"/>
      <c r="LYJ1" s="22"/>
      <c r="LYK1" s="22"/>
      <c r="LYL1" s="22"/>
      <c r="LYM1" s="22"/>
      <c r="LYN1" s="22"/>
      <c r="LYO1" s="22"/>
      <c r="LYP1" s="22"/>
      <c r="LYQ1" s="22"/>
      <c r="LYR1" s="22"/>
      <c r="LYS1" s="22"/>
      <c r="LYT1" s="22"/>
      <c r="LYU1" s="22"/>
      <c r="LYV1" s="22"/>
      <c r="LYW1" s="22"/>
      <c r="LYX1" s="22"/>
      <c r="LYY1" s="22"/>
      <c r="LYZ1" s="22"/>
      <c r="LZA1" s="22"/>
      <c r="LZB1" s="22"/>
      <c r="LZC1" s="22"/>
      <c r="LZD1" s="22"/>
      <c r="LZE1" s="22"/>
      <c r="LZF1" s="22"/>
      <c r="LZG1" s="22"/>
      <c r="LZH1" s="22"/>
      <c r="LZI1" s="22"/>
      <c r="LZJ1" s="22"/>
      <c r="LZK1" s="22"/>
      <c r="LZL1" s="22"/>
      <c r="LZM1" s="22"/>
      <c r="LZN1" s="22"/>
      <c r="LZO1" s="22"/>
      <c r="LZP1" s="22"/>
      <c r="LZQ1" s="22"/>
      <c r="LZR1" s="22"/>
      <c r="LZS1" s="22"/>
      <c r="LZT1" s="22"/>
      <c r="LZU1" s="22"/>
      <c r="LZV1" s="22"/>
      <c r="LZW1" s="22"/>
      <c r="LZX1" s="22"/>
      <c r="LZY1" s="22"/>
      <c r="LZZ1" s="22"/>
      <c r="MAA1" s="22"/>
      <c r="MAB1" s="22"/>
      <c r="MAC1" s="22"/>
      <c r="MAD1" s="22"/>
      <c r="MAE1" s="22"/>
      <c r="MAF1" s="22"/>
      <c r="MAG1" s="22"/>
      <c r="MAH1" s="22"/>
      <c r="MAI1" s="22"/>
      <c r="MAJ1" s="22"/>
      <c r="MAK1" s="22"/>
      <c r="MAL1" s="22"/>
      <c r="MAM1" s="22"/>
      <c r="MAN1" s="22"/>
      <c r="MAO1" s="22"/>
      <c r="MAP1" s="22"/>
      <c r="MAQ1" s="22"/>
      <c r="MAR1" s="22"/>
      <c r="MAS1" s="22"/>
      <c r="MAT1" s="22"/>
      <c r="MAU1" s="22"/>
      <c r="MAV1" s="22"/>
      <c r="MAW1" s="22"/>
      <c r="MAX1" s="22"/>
      <c r="MAY1" s="22"/>
      <c r="MAZ1" s="22"/>
      <c r="MBA1" s="22"/>
      <c r="MBB1" s="22"/>
      <c r="MBC1" s="22"/>
      <c r="MBD1" s="22"/>
      <c r="MBE1" s="22"/>
      <c r="MBF1" s="22"/>
      <c r="MBG1" s="22"/>
      <c r="MBH1" s="22"/>
      <c r="MBI1" s="22"/>
      <c r="MBJ1" s="22"/>
      <c r="MBK1" s="22"/>
      <c r="MBL1" s="22"/>
      <c r="MBM1" s="22"/>
      <c r="MBN1" s="22"/>
      <c r="MBO1" s="22"/>
      <c r="MBP1" s="22"/>
      <c r="MBQ1" s="22"/>
      <c r="MBR1" s="22"/>
      <c r="MBS1" s="22"/>
      <c r="MBT1" s="22"/>
      <c r="MBU1" s="22"/>
      <c r="MBV1" s="22"/>
      <c r="MBW1" s="22"/>
      <c r="MBX1" s="22"/>
      <c r="MBY1" s="22"/>
      <c r="MBZ1" s="22"/>
      <c r="MCA1" s="22"/>
      <c r="MCB1" s="22"/>
      <c r="MCC1" s="22"/>
      <c r="MCD1" s="22"/>
      <c r="MCE1" s="22"/>
      <c r="MCF1" s="22"/>
      <c r="MCG1" s="22"/>
      <c r="MCH1" s="22"/>
      <c r="MCI1" s="22"/>
      <c r="MCJ1" s="22"/>
      <c r="MCK1" s="22"/>
      <c r="MCL1" s="22"/>
      <c r="MCM1" s="22"/>
      <c r="MCN1" s="22"/>
      <c r="MCO1" s="22"/>
      <c r="MCP1" s="22"/>
      <c r="MCQ1" s="22"/>
      <c r="MCR1" s="22"/>
      <c r="MCS1" s="22"/>
      <c r="MCT1" s="22"/>
      <c r="MCU1" s="22"/>
      <c r="MCV1" s="22"/>
      <c r="MCW1" s="22"/>
      <c r="MCX1" s="22"/>
      <c r="MCY1" s="22"/>
      <c r="MCZ1" s="22"/>
      <c r="MDA1" s="22"/>
      <c r="MDB1" s="22"/>
      <c r="MDC1" s="22"/>
      <c r="MDD1" s="22"/>
      <c r="MDE1" s="22"/>
      <c r="MDF1" s="22"/>
      <c r="MDG1" s="22"/>
      <c r="MDH1" s="22"/>
      <c r="MDI1" s="22"/>
      <c r="MDJ1" s="22"/>
      <c r="MDK1" s="22"/>
      <c r="MDL1" s="22"/>
      <c r="MDM1" s="22"/>
      <c r="MDN1" s="22"/>
      <c r="MDO1" s="22"/>
      <c r="MDP1" s="22"/>
      <c r="MDQ1" s="22"/>
      <c r="MDR1" s="22"/>
      <c r="MDS1" s="22"/>
      <c r="MDT1" s="22"/>
      <c r="MDU1" s="22"/>
      <c r="MDV1" s="22"/>
      <c r="MDW1" s="22"/>
      <c r="MDX1" s="22"/>
      <c r="MDY1" s="22"/>
      <c r="MDZ1" s="22"/>
      <c r="MEA1" s="22"/>
      <c r="MEB1" s="22"/>
      <c r="MEC1" s="22"/>
      <c r="MED1" s="22"/>
      <c r="MEE1" s="22"/>
      <c r="MEF1" s="22"/>
      <c r="MEG1" s="22"/>
      <c r="MEH1" s="22"/>
      <c r="MEI1" s="22"/>
      <c r="MEJ1" s="22"/>
      <c r="MEK1" s="22"/>
      <c r="MEL1" s="22"/>
      <c r="MEM1" s="22"/>
      <c r="MEN1" s="22"/>
      <c r="MEO1" s="22"/>
      <c r="MEP1" s="22"/>
      <c r="MEQ1" s="22"/>
      <c r="MER1" s="22"/>
      <c r="MES1" s="22"/>
      <c r="MET1" s="22"/>
      <c r="MEU1" s="22"/>
      <c r="MEV1" s="22"/>
      <c r="MEW1" s="22"/>
      <c r="MEX1" s="22"/>
      <c r="MEY1" s="22"/>
      <c r="MEZ1" s="22"/>
      <c r="MFA1" s="22"/>
      <c r="MFB1" s="22"/>
      <c r="MFC1" s="22"/>
      <c r="MFD1" s="22"/>
      <c r="MFE1" s="22"/>
      <c r="MFF1" s="22"/>
      <c r="MFG1" s="22"/>
      <c r="MFH1" s="22"/>
      <c r="MFI1" s="22"/>
      <c r="MFJ1" s="22"/>
      <c r="MFK1" s="22"/>
      <c r="MFL1" s="22"/>
      <c r="MFM1" s="22"/>
      <c r="MFN1" s="22"/>
      <c r="MFO1" s="22"/>
      <c r="MFP1" s="22"/>
      <c r="MFQ1" s="22"/>
      <c r="MFR1" s="22"/>
      <c r="MFS1" s="22"/>
      <c r="MFT1" s="22"/>
      <c r="MFU1" s="22"/>
      <c r="MFV1" s="22"/>
      <c r="MFW1" s="22"/>
      <c r="MFX1" s="22"/>
      <c r="MFY1" s="22"/>
      <c r="MFZ1" s="22"/>
      <c r="MGA1" s="22"/>
      <c r="MGB1" s="22"/>
      <c r="MGC1" s="22"/>
      <c r="MGD1" s="22"/>
      <c r="MGE1" s="22"/>
      <c r="MGF1" s="22"/>
      <c r="MGG1" s="22"/>
      <c r="MGH1" s="22"/>
      <c r="MGI1" s="22"/>
      <c r="MGJ1" s="22"/>
      <c r="MGK1" s="22"/>
      <c r="MGL1" s="22"/>
      <c r="MGM1" s="22"/>
      <c r="MGN1" s="22"/>
      <c r="MGO1" s="22"/>
      <c r="MGP1" s="22"/>
      <c r="MGQ1" s="22"/>
      <c r="MGR1" s="22"/>
      <c r="MGS1" s="22"/>
      <c r="MGT1" s="22"/>
      <c r="MGU1" s="22"/>
      <c r="MGV1" s="22"/>
      <c r="MGW1" s="22"/>
      <c r="MGX1" s="22"/>
      <c r="MGY1" s="22"/>
      <c r="MGZ1" s="22"/>
      <c r="MHA1" s="22"/>
      <c r="MHB1" s="22"/>
      <c r="MHC1" s="22"/>
      <c r="MHD1" s="22"/>
      <c r="MHE1" s="22"/>
      <c r="MHF1" s="22"/>
      <c r="MHG1" s="22"/>
      <c r="MHH1" s="22"/>
      <c r="MHI1" s="22"/>
      <c r="MHJ1" s="22"/>
      <c r="MHK1" s="22"/>
      <c r="MHL1" s="22"/>
      <c r="MHM1" s="22"/>
      <c r="MHN1" s="22"/>
      <c r="MHO1" s="22"/>
      <c r="MHP1" s="22"/>
      <c r="MHQ1" s="22"/>
      <c r="MHR1" s="22"/>
      <c r="MHS1" s="22"/>
      <c r="MHT1" s="22"/>
      <c r="MHU1" s="22"/>
      <c r="MHV1" s="22"/>
      <c r="MHW1" s="22"/>
      <c r="MHX1" s="22"/>
      <c r="MHY1" s="22"/>
      <c r="MHZ1" s="22"/>
      <c r="MIA1" s="22"/>
      <c r="MIB1" s="22"/>
      <c r="MIC1" s="22"/>
      <c r="MID1" s="22"/>
      <c r="MIE1" s="22"/>
      <c r="MIF1" s="22"/>
      <c r="MIG1" s="22"/>
      <c r="MIH1" s="22"/>
      <c r="MII1" s="22"/>
      <c r="MIJ1" s="22"/>
      <c r="MIK1" s="22"/>
      <c r="MIL1" s="22"/>
      <c r="MIM1" s="22"/>
      <c r="MIN1" s="22"/>
      <c r="MIO1" s="22"/>
      <c r="MIP1" s="22"/>
      <c r="MIQ1" s="22"/>
      <c r="MIR1" s="22"/>
      <c r="MIS1" s="22"/>
      <c r="MIT1" s="22"/>
      <c r="MIU1" s="22"/>
      <c r="MIV1" s="22"/>
      <c r="MIW1" s="22"/>
      <c r="MIX1" s="22"/>
      <c r="MIY1" s="22"/>
      <c r="MIZ1" s="22"/>
      <c r="MJA1" s="22"/>
      <c r="MJB1" s="22"/>
      <c r="MJC1" s="22"/>
      <c r="MJD1" s="22"/>
      <c r="MJE1" s="22"/>
      <c r="MJF1" s="22"/>
      <c r="MJG1" s="22"/>
      <c r="MJH1" s="22"/>
      <c r="MJI1" s="22"/>
      <c r="MJJ1" s="22"/>
      <c r="MJK1" s="22"/>
      <c r="MJL1" s="22"/>
      <c r="MJM1" s="22"/>
      <c r="MJN1" s="22"/>
      <c r="MJO1" s="22"/>
      <c r="MJP1" s="22"/>
      <c r="MJQ1" s="22"/>
      <c r="MJR1" s="22"/>
      <c r="MJS1" s="22"/>
      <c r="MJT1" s="22"/>
      <c r="MJU1" s="22"/>
      <c r="MJV1" s="22"/>
      <c r="MJW1" s="22"/>
      <c r="MJX1" s="22"/>
      <c r="MJY1" s="22"/>
      <c r="MJZ1" s="22"/>
      <c r="MKA1" s="22"/>
      <c r="MKB1" s="22"/>
      <c r="MKC1" s="22"/>
      <c r="MKD1" s="22"/>
      <c r="MKE1" s="22"/>
      <c r="MKF1" s="22"/>
      <c r="MKG1" s="22"/>
      <c r="MKH1" s="22"/>
      <c r="MKI1" s="22"/>
      <c r="MKJ1" s="22"/>
      <c r="MKK1" s="22"/>
      <c r="MKL1" s="22"/>
      <c r="MKM1" s="22"/>
      <c r="MKN1" s="22"/>
      <c r="MKO1" s="22"/>
      <c r="MKP1" s="22"/>
      <c r="MKQ1" s="22"/>
      <c r="MKR1" s="22"/>
      <c r="MKS1" s="22"/>
      <c r="MKT1" s="22"/>
      <c r="MKU1" s="22"/>
      <c r="MKV1" s="22"/>
      <c r="MKW1" s="22"/>
      <c r="MKX1" s="22"/>
      <c r="MKY1" s="22"/>
      <c r="MKZ1" s="22"/>
      <c r="MLA1" s="22"/>
      <c r="MLB1" s="22"/>
      <c r="MLC1" s="22"/>
      <c r="MLD1" s="22"/>
      <c r="MLE1" s="22"/>
      <c r="MLF1" s="22"/>
      <c r="MLG1" s="22"/>
      <c r="MLH1" s="22"/>
      <c r="MLI1" s="22"/>
      <c r="MLJ1" s="22"/>
      <c r="MLK1" s="22"/>
      <c r="MLL1" s="22"/>
      <c r="MLM1" s="22"/>
      <c r="MLN1" s="22"/>
      <c r="MLO1" s="22"/>
      <c r="MLP1" s="22"/>
      <c r="MLQ1" s="22"/>
      <c r="MLR1" s="22"/>
      <c r="MLS1" s="22"/>
      <c r="MLT1" s="22"/>
      <c r="MLU1" s="22"/>
      <c r="MLV1" s="22"/>
      <c r="MLW1" s="22"/>
      <c r="MLX1" s="22"/>
      <c r="MLY1" s="22"/>
      <c r="MLZ1" s="22"/>
      <c r="MMA1" s="22"/>
      <c r="MMB1" s="22"/>
      <c r="MMC1" s="22"/>
      <c r="MMD1" s="22"/>
      <c r="MME1" s="22"/>
      <c r="MMF1" s="22"/>
      <c r="MMG1" s="22"/>
      <c r="MMH1" s="22"/>
      <c r="MMI1" s="22"/>
      <c r="MMJ1" s="22"/>
      <c r="MMK1" s="22"/>
      <c r="MML1" s="22"/>
      <c r="MMM1" s="22"/>
      <c r="MMN1" s="22"/>
      <c r="MMO1" s="22"/>
      <c r="MMP1" s="22"/>
      <c r="MMQ1" s="22"/>
      <c r="MMR1" s="22"/>
      <c r="MMS1" s="22"/>
      <c r="MMT1" s="22"/>
      <c r="MMU1" s="22"/>
      <c r="MMV1" s="22"/>
      <c r="MMW1" s="22"/>
      <c r="MMX1" s="22"/>
      <c r="MMY1" s="22"/>
      <c r="MMZ1" s="22"/>
      <c r="MNA1" s="22"/>
      <c r="MNB1" s="22"/>
      <c r="MNC1" s="22"/>
      <c r="MND1" s="22"/>
      <c r="MNE1" s="22"/>
      <c r="MNF1" s="22"/>
      <c r="MNG1" s="22"/>
      <c r="MNH1" s="22"/>
      <c r="MNI1" s="22"/>
      <c r="MNJ1" s="22"/>
      <c r="MNK1" s="22"/>
      <c r="MNL1" s="22"/>
      <c r="MNM1" s="22"/>
      <c r="MNN1" s="22"/>
      <c r="MNO1" s="22"/>
      <c r="MNP1" s="22"/>
      <c r="MNQ1" s="22"/>
      <c r="MNR1" s="22"/>
      <c r="MNS1" s="22"/>
      <c r="MNT1" s="22"/>
      <c r="MNU1" s="22"/>
      <c r="MNV1" s="22"/>
      <c r="MNW1" s="22"/>
      <c r="MNX1" s="22"/>
      <c r="MNY1" s="22"/>
      <c r="MNZ1" s="22"/>
      <c r="MOA1" s="22"/>
      <c r="MOB1" s="22"/>
      <c r="MOC1" s="22"/>
      <c r="MOD1" s="22"/>
      <c r="MOE1" s="22"/>
      <c r="MOF1" s="22"/>
      <c r="MOG1" s="22"/>
      <c r="MOH1" s="22"/>
      <c r="MOI1" s="22"/>
      <c r="MOJ1" s="22"/>
      <c r="MOK1" s="22"/>
      <c r="MOL1" s="22"/>
      <c r="MOM1" s="22"/>
      <c r="MON1" s="22"/>
      <c r="MOO1" s="22"/>
      <c r="MOP1" s="22"/>
      <c r="MOQ1" s="22"/>
      <c r="MOR1" s="22"/>
      <c r="MOS1" s="22"/>
      <c r="MOT1" s="22"/>
      <c r="MOU1" s="22"/>
      <c r="MOV1" s="22"/>
      <c r="MOW1" s="22"/>
      <c r="MOX1" s="22"/>
      <c r="MOY1" s="22"/>
      <c r="MOZ1" s="22"/>
      <c r="MPA1" s="22"/>
      <c r="MPB1" s="22"/>
      <c r="MPC1" s="22"/>
      <c r="MPD1" s="22"/>
      <c r="MPE1" s="22"/>
      <c r="MPF1" s="22"/>
      <c r="MPG1" s="22"/>
      <c r="MPH1" s="22"/>
      <c r="MPI1" s="22"/>
      <c r="MPJ1" s="22"/>
      <c r="MPK1" s="22"/>
      <c r="MPL1" s="22"/>
      <c r="MPM1" s="22"/>
      <c r="MPN1" s="22"/>
      <c r="MPO1" s="22"/>
      <c r="MPP1" s="22"/>
      <c r="MPQ1" s="22"/>
      <c r="MPR1" s="22"/>
      <c r="MPS1" s="22"/>
      <c r="MPT1" s="22"/>
      <c r="MPU1" s="22"/>
      <c r="MPV1" s="22"/>
      <c r="MPW1" s="22"/>
      <c r="MPX1" s="22"/>
      <c r="MPY1" s="22"/>
      <c r="MPZ1" s="22"/>
      <c r="MQA1" s="22"/>
      <c r="MQB1" s="22"/>
      <c r="MQC1" s="22"/>
      <c r="MQD1" s="22"/>
      <c r="MQE1" s="22"/>
      <c r="MQF1" s="22"/>
      <c r="MQG1" s="22"/>
      <c r="MQH1" s="22"/>
      <c r="MQI1" s="22"/>
      <c r="MQJ1" s="22"/>
      <c r="MQK1" s="22"/>
      <c r="MQL1" s="22"/>
      <c r="MQM1" s="22"/>
      <c r="MQN1" s="22"/>
      <c r="MQO1" s="22"/>
      <c r="MQP1" s="22"/>
      <c r="MQQ1" s="22"/>
      <c r="MQR1" s="22"/>
      <c r="MQS1" s="22"/>
      <c r="MQT1" s="22"/>
      <c r="MQU1" s="22"/>
      <c r="MQV1" s="22"/>
      <c r="MQW1" s="22"/>
      <c r="MQX1" s="22"/>
      <c r="MQY1" s="22"/>
      <c r="MQZ1" s="22"/>
      <c r="MRA1" s="22"/>
      <c r="MRB1" s="22"/>
      <c r="MRC1" s="22"/>
      <c r="MRD1" s="22"/>
      <c r="MRE1" s="22"/>
      <c r="MRF1" s="22"/>
      <c r="MRG1" s="22"/>
      <c r="MRH1" s="22"/>
      <c r="MRI1" s="22"/>
      <c r="MRJ1" s="22"/>
      <c r="MRK1" s="22"/>
      <c r="MRL1" s="22"/>
      <c r="MRM1" s="22"/>
      <c r="MRN1" s="22"/>
      <c r="MRO1" s="22"/>
      <c r="MRP1" s="22"/>
      <c r="MRQ1" s="22"/>
      <c r="MRR1" s="22"/>
      <c r="MRS1" s="22"/>
      <c r="MRT1" s="22"/>
      <c r="MRU1" s="22"/>
      <c r="MRV1" s="22"/>
      <c r="MRW1" s="22"/>
      <c r="MRX1" s="22"/>
      <c r="MRY1" s="22"/>
      <c r="MRZ1" s="22"/>
      <c r="MSA1" s="22"/>
      <c r="MSB1" s="22"/>
      <c r="MSC1" s="22"/>
      <c r="MSD1" s="22"/>
      <c r="MSE1" s="22"/>
      <c r="MSF1" s="22"/>
      <c r="MSG1" s="22"/>
      <c r="MSH1" s="22"/>
      <c r="MSI1" s="22"/>
      <c r="MSJ1" s="22"/>
      <c r="MSK1" s="22"/>
      <c r="MSL1" s="22"/>
      <c r="MSM1" s="22"/>
      <c r="MSN1" s="22"/>
      <c r="MSO1" s="22"/>
      <c r="MSP1" s="22"/>
      <c r="MSQ1" s="22"/>
      <c r="MSR1" s="22"/>
      <c r="MSS1" s="22"/>
      <c r="MST1" s="22"/>
      <c r="MSU1" s="22"/>
      <c r="MSV1" s="22"/>
      <c r="MSW1" s="22"/>
      <c r="MSX1" s="22"/>
      <c r="MSY1" s="22"/>
      <c r="MSZ1" s="22"/>
      <c r="MTA1" s="22"/>
      <c r="MTB1" s="22"/>
      <c r="MTC1" s="22"/>
      <c r="MTD1" s="22"/>
      <c r="MTE1" s="22"/>
      <c r="MTF1" s="22"/>
      <c r="MTG1" s="22"/>
      <c r="MTH1" s="22"/>
      <c r="MTI1" s="22"/>
      <c r="MTJ1" s="22"/>
      <c r="MTK1" s="22"/>
      <c r="MTL1" s="22"/>
      <c r="MTM1" s="22"/>
      <c r="MTN1" s="22"/>
      <c r="MTO1" s="22"/>
      <c r="MTP1" s="22"/>
      <c r="MTQ1" s="22"/>
      <c r="MTR1" s="22"/>
      <c r="MTS1" s="22"/>
      <c r="MTT1" s="22"/>
      <c r="MTU1" s="22"/>
      <c r="MTV1" s="22"/>
      <c r="MTW1" s="22"/>
      <c r="MTX1" s="22"/>
      <c r="MTY1" s="22"/>
      <c r="MTZ1" s="22"/>
      <c r="MUA1" s="22"/>
      <c r="MUB1" s="22"/>
      <c r="MUC1" s="22"/>
      <c r="MUD1" s="22"/>
      <c r="MUE1" s="22"/>
      <c r="MUF1" s="22"/>
      <c r="MUG1" s="22"/>
      <c r="MUH1" s="22"/>
      <c r="MUI1" s="22"/>
      <c r="MUJ1" s="22"/>
      <c r="MUK1" s="22"/>
      <c r="MUL1" s="22"/>
      <c r="MUM1" s="22"/>
      <c r="MUN1" s="22"/>
      <c r="MUO1" s="22"/>
      <c r="MUP1" s="22"/>
      <c r="MUQ1" s="22"/>
      <c r="MUR1" s="22"/>
      <c r="MUS1" s="22"/>
      <c r="MUT1" s="22"/>
      <c r="MUU1" s="22"/>
      <c r="MUV1" s="22"/>
      <c r="MUW1" s="22"/>
      <c r="MUX1" s="22"/>
      <c r="MUY1" s="22"/>
      <c r="MUZ1" s="22"/>
      <c r="MVA1" s="22"/>
      <c r="MVB1" s="22"/>
      <c r="MVC1" s="22"/>
      <c r="MVD1" s="22"/>
      <c r="MVE1" s="22"/>
      <c r="MVF1" s="22"/>
      <c r="MVG1" s="22"/>
      <c r="MVH1" s="22"/>
      <c r="MVI1" s="22"/>
      <c r="MVJ1" s="22"/>
      <c r="MVK1" s="22"/>
      <c r="MVL1" s="22"/>
      <c r="MVM1" s="22"/>
      <c r="MVN1" s="22"/>
      <c r="MVO1" s="22"/>
      <c r="MVP1" s="22"/>
      <c r="MVQ1" s="22"/>
      <c r="MVR1" s="22"/>
      <c r="MVS1" s="22"/>
      <c r="MVT1" s="22"/>
      <c r="MVU1" s="22"/>
      <c r="MVV1" s="22"/>
      <c r="MVW1" s="22"/>
      <c r="MVX1" s="22"/>
      <c r="MVY1" s="22"/>
      <c r="MVZ1" s="22"/>
      <c r="MWA1" s="22"/>
      <c r="MWB1" s="22"/>
      <c r="MWC1" s="22"/>
      <c r="MWD1" s="22"/>
      <c r="MWE1" s="22"/>
      <c r="MWF1" s="22"/>
      <c r="MWG1" s="22"/>
      <c r="MWH1" s="22"/>
      <c r="MWI1" s="22"/>
      <c r="MWJ1" s="22"/>
      <c r="MWK1" s="22"/>
      <c r="MWL1" s="22"/>
      <c r="MWM1" s="22"/>
      <c r="MWN1" s="22"/>
      <c r="MWO1" s="22"/>
      <c r="MWP1" s="22"/>
      <c r="MWQ1" s="22"/>
      <c r="MWR1" s="22"/>
      <c r="MWS1" s="22"/>
      <c r="MWT1" s="22"/>
      <c r="MWU1" s="22"/>
      <c r="MWV1" s="22"/>
      <c r="MWW1" s="22"/>
      <c r="MWX1" s="22"/>
      <c r="MWY1" s="22"/>
      <c r="MWZ1" s="22"/>
      <c r="MXA1" s="22"/>
      <c r="MXB1" s="22"/>
      <c r="MXC1" s="22"/>
      <c r="MXD1" s="22"/>
      <c r="MXE1" s="22"/>
      <c r="MXF1" s="22"/>
      <c r="MXG1" s="22"/>
      <c r="MXH1" s="22"/>
      <c r="MXI1" s="22"/>
      <c r="MXJ1" s="22"/>
      <c r="MXK1" s="22"/>
      <c r="MXL1" s="22"/>
      <c r="MXM1" s="22"/>
      <c r="MXN1" s="22"/>
      <c r="MXO1" s="22"/>
      <c r="MXP1" s="22"/>
      <c r="MXQ1" s="22"/>
      <c r="MXR1" s="22"/>
      <c r="MXS1" s="22"/>
      <c r="MXT1" s="22"/>
      <c r="MXU1" s="22"/>
      <c r="MXV1" s="22"/>
      <c r="MXW1" s="22"/>
      <c r="MXX1" s="22"/>
      <c r="MXY1" s="22"/>
      <c r="MXZ1" s="22"/>
      <c r="MYA1" s="22"/>
      <c r="MYB1" s="22"/>
      <c r="MYC1" s="22"/>
      <c r="MYD1" s="22"/>
      <c r="MYE1" s="22"/>
      <c r="MYF1" s="22"/>
      <c r="MYG1" s="22"/>
      <c r="MYH1" s="22"/>
      <c r="MYI1" s="22"/>
      <c r="MYJ1" s="22"/>
      <c r="MYK1" s="22"/>
      <c r="MYL1" s="22"/>
      <c r="MYM1" s="22"/>
      <c r="MYN1" s="22"/>
      <c r="MYO1" s="22"/>
      <c r="MYP1" s="22"/>
      <c r="MYQ1" s="22"/>
      <c r="MYR1" s="22"/>
      <c r="MYS1" s="22"/>
      <c r="MYT1" s="22"/>
      <c r="MYU1" s="22"/>
      <c r="MYV1" s="22"/>
      <c r="MYW1" s="22"/>
      <c r="MYX1" s="22"/>
      <c r="MYY1" s="22"/>
      <c r="MYZ1" s="22"/>
      <c r="MZA1" s="22"/>
      <c r="MZB1" s="22"/>
      <c r="MZC1" s="22"/>
      <c r="MZD1" s="22"/>
      <c r="MZE1" s="22"/>
      <c r="MZF1" s="22"/>
      <c r="MZG1" s="22"/>
      <c r="MZH1" s="22"/>
      <c r="MZI1" s="22"/>
      <c r="MZJ1" s="22"/>
      <c r="MZK1" s="22"/>
      <c r="MZL1" s="22"/>
      <c r="MZM1" s="22"/>
      <c r="MZN1" s="22"/>
      <c r="MZO1" s="22"/>
      <c r="MZP1" s="22"/>
      <c r="MZQ1" s="22"/>
      <c r="MZR1" s="22"/>
      <c r="MZS1" s="22"/>
      <c r="MZT1" s="22"/>
      <c r="MZU1" s="22"/>
      <c r="MZV1" s="22"/>
      <c r="MZW1" s="22"/>
      <c r="MZX1" s="22"/>
      <c r="MZY1" s="22"/>
      <c r="MZZ1" s="22"/>
      <c r="NAA1" s="22"/>
      <c r="NAB1" s="22"/>
      <c r="NAC1" s="22"/>
      <c r="NAD1" s="22"/>
      <c r="NAE1" s="22"/>
      <c r="NAF1" s="22"/>
      <c r="NAG1" s="22"/>
      <c r="NAH1" s="22"/>
      <c r="NAI1" s="22"/>
      <c r="NAJ1" s="22"/>
      <c r="NAK1" s="22"/>
      <c r="NAL1" s="22"/>
      <c r="NAM1" s="22"/>
      <c r="NAN1" s="22"/>
      <c r="NAO1" s="22"/>
      <c r="NAP1" s="22"/>
      <c r="NAQ1" s="22"/>
      <c r="NAR1" s="22"/>
      <c r="NAS1" s="22"/>
      <c r="NAT1" s="22"/>
      <c r="NAU1" s="22"/>
      <c r="NAV1" s="22"/>
      <c r="NAW1" s="22"/>
      <c r="NAX1" s="22"/>
      <c r="NAY1" s="22"/>
      <c r="NAZ1" s="22"/>
      <c r="NBA1" s="22"/>
      <c r="NBB1" s="22"/>
      <c r="NBC1" s="22"/>
      <c r="NBD1" s="22"/>
      <c r="NBE1" s="22"/>
      <c r="NBF1" s="22"/>
      <c r="NBG1" s="22"/>
      <c r="NBH1" s="22"/>
      <c r="NBI1" s="22"/>
      <c r="NBJ1" s="22"/>
      <c r="NBK1" s="22"/>
      <c r="NBL1" s="22"/>
      <c r="NBM1" s="22"/>
      <c r="NBN1" s="22"/>
      <c r="NBO1" s="22"/>
      <c r="NBP1" s="22"/>
      <c r="NBQ1" s="22"/>
      <c r="NBR1" s="22"/>
      <c r="NBS1" s="22"/>
      <c r="NBT1" s="22"/>
      <c r="NBU1" s="22"/>
      <c r="NBV1" s="22"/>
      <c r="NBW1" s="22"/>
      <c r="NBX1" s="22"/>
      <c r="NBY1" s="22"/>
      <c r="NBZ1" s="22"/>
      <c r="NCA1" s="22"/>
      <c r="NCB1" s="22"/>
      <c r="NCC1" s="22"/>
      <c r="NCD1" s="22"/>
      <c r="NCE1" s="22"/>
      <c r="NCF1" s="22"/>
      <c r="NCG1" s="22"/>
      <c r="NCH1" s="22"/>
      <c r="NCI1" s="22"/>
      <c r="NCJ1" s="22"/>
      <c r="NCK1" s="22"/>
      <c r="NCL1" s="22"/>
      <c r="NCM1" s="22"/>
      <c r="NCN1" s="22"/>
      <c r="NCO1" s="22"/>
      <c r="NCP1" s="22"/>
      <c r="NCQ1" s="22"/>
      <c r="NCR1" s="22"/>
      <c r="NCS1" s="22"/>
      <c r="NCT1" s="22"/>
      <c r="NCU1" s="22"/>
      <c r="NCV1" s="22"/>
      <c r="NCW1" s="22"/>
      <c r="NCX1" s="22"/>
      <c r="NCY1" s="22"/>
      <c r="NCZ1" s="22"/>
      <c r="NDA1" s="22"/>
      <c r="NDB1" s="22"/>
      <c r="NDC1" s="22"/>
      <c r="NDD1" s="22"/>
      <c r="NDE1" s="22"/>
      <c r="NDF1" s="22"/>
      <c r="NDG1" s="22"/>
      <c r="NDH1" s="22"/>
      <c r="NDI1" s="22"/>
      <c r="NDJ1" s="22"/>
      <c r="NDK1" s="22"/>
      <c r="NDL1" s="22"/>
      <c r="NDM1" s="22"/>
      <c r="NDN1" s="22"/>
      <c r="NDO1" s="22"/>
      <c r="NDP1" s="22"/>
      <c r="NDQ1" s="22"/>
      <c r="NDR1" s="22"/>
      <c r="NDS1" s="22"/>
      <c r="NDT1" s="22"/>
      <c r="NDU1" s="22"/>
      <c r="NDV1" s="22"/>
      <c r="NDW1" s="22"/>
      <c r="NDX1" s="22"/>
      <c r="NDY1" s="22"/>
      <c r="NDZ1" s="22"/>
      <c r="NEA1" s="22"/>
      <c r="NEB1" s="22"/>
      <c r="NEC1" s="22"/>
      <c r="NED1" s="22"/>
      <c r="NEE1" s="22"/>
      <c r="NEF1" s="22"/>
      <c r="NEG1" s="22"/>
      <c r="NEH1" s="22"/>
      <c r="NEI1" s="22"/>
      <c r="NEJ1" s="22"/>
      <c r="NEK1" s="22"/>
      <c r="NEL1" s="22"/>
      <c r="NEM1" s="22"/>
      <c r="NEN1" s="22"/>
      <c r="NEO1" s="22"/>
      <c r="NEP1" s="22"/>
      <c r="NEQ1" s="22"/>
      <c r="NER1" s="22"/>
      <c r="NES1" s="22"/>
      <c r="NET1" s="22"/>
      <c r="NEU1" s="22"/>
      <c r="NEV1" s="22"/>
      <c r="NEW1" s="22"/>
      <c r="NEX1" s="22"/>
      <c r="NEY1" s="22"/>
      <c r="NEZ1" s="22"/>
      <c r="NFA1" s="22"/>
      <c r="NFB1" s="22"/>
      <c r="NFC1" s="22"/>
      <c r="NFD1" s="22"/>
      <c r="NFE1" s="22"/>
      <c r="NFF1" s="22"/>
      <c r="NFG1" s="22"/>
      <c r="NFH1" s="22"/>
      <c r="NFI1" s="22"/>
      <c r="NFJ1" s="22"/>
      <c r="NFK1" s="22"/>
      <c r="NFL1" s="22"/>
      <c r="NFM1" s="22"/>
      <c r="NFN1" s="22"/>
      <c r="NFO1" s="22"/>
      <c r="NFP1" s="22"/>
      <c r="NFQ1" s="22"/>
      <c r="NFR1" s="22"/>
      <c r="NFS1" s="22"/>
      <c r="NFT1" s="22"/>
      <c r="NFU1" s="22"/>
      <c r="NFV1" s="22"/>
      <c r="NFW1" s="22"/>
      <c r="NFX1" s="22"/>
      <c r="NFY1" s="22"/>
      <c r="NFZ1" s="22"/>
      <c r="NGA1" s="22"/>
      <c r="NGB1" s="22"/>
      <c r="NGC1" s="22"/>
      <c r="NGD1" s="22"/>
      <c r="NGE1" s="22"/>
      <c r="NGF1" s="22"/>
      <c r="NGG1" s="22"/>
      <c r="NGH1" s="22"/>
      <c r="NGI1" s="22"/>
      <c r="NGJ1" s="22"/>
      <c r="NGK1" s="22"/>
      <c r="NGL1" s="22"/>
      <c r="NGM1" s="22"/>
      <c r="NGN1" s="22"/>
      <c r="NGO1" s="22"/>
      <c r="NGP1" s="22"/>
      <c r="NGQ1" s="22"/>
      <c r="NGR1" s="22"/>
      <c r="NGS1" s="22"/>
      <c r="NGT1" s="22"/>
      <c r="NGU1" s="22"/>
      <c r="NGV1" s="22"/>
      <c r="NGW1" s="22"/>
      <c r="NGX1" s="22"/>
      <c r="NGY1" s="22"/>
      <c r="NGZ1" s="22"/>
      <c r="NHA1" s="22"/>
      <c r="NHB1" s="22"/>
      <c r="NHC1" s="22"/>
      <c r="NHD1" s="22"/>
      <c r="NHE1" s="22"/>
      <c r="NHF1" s="22"/>
      <c r="NHG1" s="22"/>
      <c r="NHH1" s="22"/>
      <c r="NHI1" s="22"/>
      <c r="NHJ1" s="22"/>
      <c r="NHK1" s="22"/>
      <c r="NHL1" s="22"/>
      <c r="NHM1" s="22"/>
      <c r="NHN1" s="22"/>
      <c r="NHO1" s="22"/>
      <c r="NHP1" s="22"/>
      <c r="NHQ1" s="22"/>
      <c r="NHR1" s="22"/>
      <c r="NHS1" s="22"/>
      <c r="NHT1" s="22"/>
      <c r="NHU1" s="22"/>
      <c r="NHV1" s="22"/>
      <c r="NHW1" s="22"/>
      <c r="NHX1" s="22"/>
      <c r="NHY1" s="22"/>
      <c r="NHZ1" s="22"/>
      <c r="NIA1" s="22"/>
      <c r="NIB1" s="22"/>
      <c r="NIC1" s="22"/>
      <c r="NID1" s="22"/>
      <c r="NIE1" s="22"/>
      <c r="NIF1" s="22"/>
      <c r="NIG1" s="22"/>
      <c r="NIH1" s="22"/>
      <c r="NII1" s="22"/>
      <c r="NIJ1" s="22"/>
      <c r="NIK1" s="22"/>
      <c r="NIL1" s="22"/>
      <c r="NIM1" s="22"/>
      <c r="NIN1" s="22"/>
      <c r="NIO1" s="22"/>
      <c r="NIP1" s="22"/>
      <c r="NIQ1" s="22"/>
      <c r="NIR1" s="22"/>
      <c r="NIS1" s="22"/>
      <c r="NIT1" s="22"/>
      <c r="NIU1" s="22"/>
      <c r="NIV1" s="22"/>
      <c r="NIW1" s="22"/>
      <c r="NIX1" s="22"/>
      <c r="NIY1" s="22"/>
      <c r="NIZ1" s="22"/>
      <c r="NJA1" s="22"/>
      <c r="NJB1" s="22"/>
      <c r="NJC1" s="22"/>
      <c r="NJD1" s="22"/>
      <c r="NJE1" s="22"/>
      <c r="NJF1" s="22"/>
      <c r="NJG1" s="22"/>
      <c r="NJH1" s="22"/>
      <c r="NJI1" s="22"/>
      <c r="NJJ1" s="22"/>
      <c r="NJK1" s="22"/>
      <c r="NJL1" s="22"/>
      <c r="NJM1" s="22"/>
      <c r="NJN1" s="22"/>
      <c r="NJO1" s="22"/>
      <c r="NJP1" s="22"/>
      <c r="NJQ1" s="22"/>
      <c r="NJR1" s="22"/>
      <c r="NJS1" s="22"/>
      <c r="NJT1" s="22"/>
      <c r="NJU1" s="22"/>
      <c r="NJV1" s="22"/>
      <c r="NJW1" s="22"/>
      <c r="NJX1" s="22"/>
      <c r="NJY1" s="22"/>
      <c r="NJZ1" s="22"/>
      <c r="NKA1" s="22"/>
      <c r="NKB1" s="22"/>
      <c r="NKC1" s="22"/>
      <c r="NKD1" s="22"/>
      <c r="NKE1" s="22"/>
      <c r="NKF1" s="22"/>
      <c r="NKG1" s="22"/>
      <c r="NKH1" s="22"/>
      <c r="NKI1" s="22"/>
      <c r="NKJ1" s="22"/>
      <c r="NKK1" s="22"/>
      <c r="NKL1" s="22"/>
      <c r="NKM1" s="22"/>
      <c r="NKN1" s="22"/>
      <c r="NKO1" s="22"/>
      <c r="NKP1" s="22"/>
      <c r="NKQ1" s="22"/>
      <c r="NKR1" s="22"/>
      <c r="NKS1" s="22"/>
      <c r="NKT1" s="22"/>
      <c r="NKU1" s="22"/>
      <c r="NKV1" s="22"/>
      <c r="NKW1" s="22"/>
      <c r="NKX1" s="22"/>
      <c r="NKY1" s="22"/>
      <c r="NKZ1" s="22"/>
      <c r="NLA1" s="22"/>
      <c r="NLB1" s="22"/>
      <c r="NLC1" s="22"/>
      <c r="NLD1" s="22"/>
      <c r="NLE1" s="22"/>
      <c r="NLF1" s="22"/>
      <c r="NLG1" s="22"/>
      <c r="NLH1" s="22"/>
      <c r="NLI1" s="22"/>
      <c r="NLJ1" s="22"/>
      <c r="NLK1" s="22"/>
      <c r="NLL1" s="22"/>
      <c r="NLM1" s="22"/>
      <c r="NLN1" s="22"/>
      <c r="NLO1" s="22"/>
      <c r="NLP1" s="22"/>
      <c r="NLQ1" s="22"/>
      <c r="NLR1" s="22"/>
      <c r="NLS1" s="22"/>
      <c r="NLT1" s="22"/>
      <c r="NLU1" s="22"/>
      <c r="NLV1" s="22"/>
      <c r="NLW1" s="22"/>
      <c r="NLX1" s="22"/>
      <c r="NLY1" s="22"/>
      <c r="NLZ1" s="22"/>
      <c r="NMA1" s="22"/>
      <c r="NMB1" s="22"/>
      <c r="NMC1" s="22"/>
      <c r="NMD1" s="22"/>
      <c r="NME1" s="22"/>
      <c r="NMF1" s="22"/>
      <c r="NMG1" s="22"/>
      <c r="NMH1" s="22"/>
      <c r="NMI1" s="22"/>
      <c r="NMJ1" s="22"/>
      <c r="NMK1" s="22"/>
      <c r="NML1" s="22"/>
      <c r="NMM1" s="22"/>
      <c r="NMN1" s="22"/>
      <c r="NMO1" s="22"/>
      <c r="NMP1" s="22"/>
      <c r="NMQ1" s="22"/>
      <c r="NMR1" s="22"/>
      <c r="NMS1" s="22"/>
      <c r="NMT1" s="22"/>
      <c r="NMU1" s="22"/>
      <c r="NMV1" s="22"/>
      <c r="NMW1" s="22"/>
      <c r="NMX1" s="22"/>
      <c r="NMY1" s="22"/>
      <c r="NMZ1" s="22"/>
      <c r="NNA1" s="22"/>
      <c r="NNB1" s="22"/>
      <c r="NNC1" s="22"/>
      <c r="NND1" s="22"/>
      <c r="NNE1" s="22"/>
      <c r="NNF1" s="22"/>
      <c r="NNG1" s="22"/>
      <c r="NNH1" s="22"/>
      <c r="NNI1" s="22"/>
      <c r="NNJ1" s="22"/>
      <c r="NNK1" s="22"/>
      <c r="NNL1" s="22"/>
      <c r="NNM1" s="22"/>
      <c r="NNN1" s="22"/>
      <c r="NNO1" s="22"/>
      <c r="NNP1" s="22"/>
      <c r="NNQ1" s="22"/>
      <c r="NNR1" s="22"/>
      <c r="NNS1" s="22"/>
      <c r="NNT1" s="22"/>
      <c r="NNU1" s="22"/>
      <c r="NNV1" s="22"/>
      <c r="NNW1" s="22"/>
      <c r="NNX1" s="22"/>
      <c r="NNY1" s="22"/>
      <c r="NNZ1" s="22"/>
      <c r="NOA1" s="22"/>
      <c r="NOB1" s="22"/>
      <c r="NOC1" s="22"/>
      <c r="NOD1" s="22"/>
      <c r="NOE1" s="22"/>
      <c r="NOF1" s="22"/>
      <c r="NOG1" s="22"/>
      <c r="NOH1" s="22"/>
      <c r="NOI1" s="22"/>
      <c r="NOJ1" s="22"/>
      <c r="NOK1" s="22"/>
      <c r="NOL1" s="22"/>
      <c r="NOM1" s="22"/>
      <c r="NON1" s="22"/>
      <c r="NOO1" s="22"/>
      <c r="NOP1" s="22"/>
      <c r="NOQ1" s="22"/>
      <c r="NOR1" s="22"/>
      <c r="NOS1" s="22"/>
      <c r="NOT1" s="22"/>
      <c r="NOU1" s="22"/>
      <c r="NOV1" s="22"/>
      <c r="NOW1" s="22"/>
      <c r="NOX1" s="22"/>
      <c r="NOY1" s="22"/>
      <c r="NOZ1" s="22"/>
      <c r="NPA1" s="22"/>
      <c r="NPB1" s="22"/>
      <c r="NPC1" s="22"/>
      <c r="NPD1" s="22"/>
      <c r="NPE1" s="22"/>
      <c r="NPF1" s="22"/>
      <c r="NPG1" s="22"/>
      <c r="NPH1" s="22"/>
      <c r="NPI1" s="22"/>
      <c r="NPJ1" s="22"/>
      <c r="NPK1" s="22"/>
      <c r="NPL1" s="22"/>
      <c r="NPM1" s="22"/>
      <c r="NPN1" s="22"/>
      <c r="NPO1" s="22"/>
      <c r="NPP1" s="22"/>
      <c r="NPQ1" s="22"/>
      <c r="NPR1" s="22"/>
      <c r="NPS1" s="22"/>
      <c r="NPT1" s="22"/>
      <c r="NPU1" s="22"/>
      <c r="NPV1" s="22"/>
      <c r="NPW1" s="22"/>
      <c r="NPX1" s="22"/>
      <c r="NPY1" s="22"/>
      <c r="NPZ1" s="22"/>
      <c r="NQA1" s="22"/>
      <c r="NQB1" s="22"/>
      <c r="NQC1" s="22"/>
      <c r="NQD1" s="22"/>
      <c r="NQE1" s="22"/>
      <c r="NQF1" s="22"/>
      <c r="NQG1" s="22"/>
      <c r="NQH1" s="22"/>
      <c r="NQI1" s="22"/>
      <c r="NQJ1" s="22"/>
      <c r="NQK1" s="22"/>
      <c r="NQL1" s="22"/>
      <c r="NQM1" s="22"/>
      <c r="NQN1" s="22"/>
      <c r="NQO1" s="22"/>
      <c r="NQP1" s="22"/>
      <c r="NQQ1" s="22"/>
      <c r="NQR1" s="22"/>
      <c r="NQS1" s="22"/>
      <c r="NQT1" s="22"/>
      <c r="NQU1" s="22"/>
      <c r="NQV1" s="22"/>
      <c r="NQW1" s="22"/>
      <c r="NQX1" s="22"/>
      <c r="NQY1" s="22"/>
      <c r="NQZ1" s="22"/>
      <c r="NRA1" s="22"/>
      <c r="NRB1" s="22"/>
      <c r="NRC1" s="22"/>
      <c r="NRD1" s="22"/>
      <c r="NRE1" s="22"/>
      <c r="NRF1" s="22"/>
      <c r="NRG1" s="22"/>
      <c r="NRH1" s="22"/>
      <c r="NRI1" s="22"/>
      <c r="NRJ1" s="22"/>
      <c r="NRK1" s="22"/>
      <c r="NRL1" s="22"/>
      <c r="NRM1" s="22"/>
      <c r="NRN1" s="22"/>
      <c r="NRO1" s="22"/>
      <c r="NRP1" s="22"/>
      <c r="NRQ1" s="22"/>
      <c r="NRR1" s="22"/>
      <c r="NRS1" s="22"/>
      <c r="NRT1" s="22"/>
      <c r="NRU1" s="22"/>
      <c r="NRV1" s="22"/>
      <c r="NRW1" s="22"/>
      <c r="NRX1" s="22"/>
      <c r="NRY1" s="22"/>
      <c r="NRZ1" s="22"/>
      <c r="NSA1" s="22"/>
      <c r="NSB1" s="22"/>
      <c r="NSC1" s="22"/>
      <c r="NSD1" s="22"/>
      <c r="NSE1" s="22"/>
      <c r="NSF1" s="22"/>
      <c r="NSG1" s="22"/>
      <c r="NSH1" s="22"/>
      <c r="NSI1" s="22"/>
      <c r="NSJ1" s="22"/>
      <c r="NSK1" s="22"/>
      <c r="NSL1" s="22"/>
      <c r="NSM1" s="22"/>
      <c r="NSN1" s="22"/>
      <c r="NSO1" s="22"/>
      <c r="NSP1" s="22"/>
      <c r="NSQ1" s="22"/>
      <c r="NSR1" s="22"/>
      <c r="NSS1" s="22"/>
      <c r="NST1" s="22"/>
      <c r="NSU1" s="22"/>
      <c r="NSV1" s="22"/>
      <c r="NSW1" s="22"/>
      <c r="NSX1" s="22"/>
      <c r="NSY1" s="22"/>
      <c r="NSZ1" s="22"/>
      <c r="NTA1" s="22"/>
      <c r="NTB1" s="22"/>
      <c r="NTC1" s="22"/>
      <c r="NTD1" s="22"/>
      <c r="NTE1" s="22"/>
      <c r="NTF1" s="22"/>
      <c r="NTG1" s="22"/>
      <c r="NTH1" s="22"/>
      <c r="NTI1" s="22"/>
      <c r="NTJ1" s="22"/>
      <c r="NTK1" s="22"/>
      <c r="NTL1" s="22"/>
      <c r="NTM1" s="22"/>
      <c r="NTN1" s="22"/>
      <c r="NTO1" s="22"/>
      <c r="NTP1" s="22"/>
      <c r="NTQ1" s="22"/>
      <c r="NTR1" s="22"/>
      <c r="NTS1" s="22"/>
      <c r="NTT1" s="22"/>
      <c r="NTU1" s="22"/>
      <c r="NTV1" s="22"/>
      <c r="NTW1" s="22"/>
      <c r="NTX1" s="22"/>
      <c r="NTY1" s="22"/>
      <c r="NTZ1" s="22"/>
      <c r="NUA1" s="22"/>
      <c r="NUB1" s="22"/>
      <c r="NUC1" s="22"/>
      <c r="NUD1" s="22"/>
      <c r="NUE1" s="22"/>
      <c r="NUF1" s="22"/>
      <c r="NUG1" s="22"/>
      <c r="NUH1" s="22"/>
      <c r="NUI1" s="22"/>
      <c r="NUJ1" s="22"/>
      <c r="NUK1" s="22"/>
      <c r="NUL1" s="22"/>
      <c r="NUM1" s="22"/>
      <c r="NUN1" s="22"/>
      <c r="NUO1" s="22"/>
      <c r="NUP1" s="22"/>
      <c r="NUQ1" s="22"/>
      <c r="NUR1" s="22"/>
      <c r="NUS1" s="22"/>
      <c r="NUT1" s="22"/>
      <c r="NUU1" s="22"/>
      <c r="NUV1" s="22"/>
      <c r="NUW1" s="22"/>
      <c r="NUX1" s="22"/>
      <c r="NUY1" s="22"/>
      <c r="NUZ1" s="22"/>
      <c r="NVA1" s="22"/>
      <c r="NVB1" s="22"/>
      <c r="NVC1" s="22"/>
      <c r="NVD1" s="22"/>
      <c r="NVE1" s="22"/>
      <c r="NVF1" s="22"/>
      <c r="NVG1" s="22"/>
      <c r="NVH1" s="22"/>
      <c r="NVI1" s="22"/>
      <c r="NVJ1" s="22"/>
      <c r="NVK1" s="22"/>
      <c r="NVL1" s="22"/>
      <c r="NVM1" s="22"/>
      <c r="NVN1" s="22"/>
      <c r="NVO1" s="22"/>
      <c r="NVP1" s="22"/>
      <c r="NVQ1" s="22"/>
      <c r="NVR1" s="22"/>
      <c r="NVS1" s="22"/>
      <c r="NVT1" s="22"/>
      <c r="NVU1" s="22"/>
      <c r="NVV1" s="22"/>
      <c r="NVW1" s="22"/>
      <c r="NVX1" s="22"/>
      <c r="NVY1" s="22"/>
      <c r="NVZ1" s="22"/>
      <c r="NWA1" s="22"/>
      <c r="NWB1" s="22"/>
      <c r="NWC1" s="22"/>
      <c r="NWD1" s="22"/>
      <c r="NWE1" s="22"/>
      <c r="NWF1" s="22"/>
      <c r="NWG1" s="22"/>
      <c r="NWH1" s="22"/>
      <c r="NWI1" s="22"/>
      <c r="NWJ1" s="22"/>
      <c r="NWK1" s="22"/>
      <c r="NWL1" s="22"/>
      <c r="NWM1" s="22"/>
      <c r="NWN1" s="22"/>
      <c r="NWO1" s="22"/>
      <c r="NWP1" s="22"/>
      <c r="NWQ1" s="22"/>
      <c r="NWR1" s="22"/>
      <c r="NWS1" s="22"/>
      <c r="NWT1" s="22"/>
      <c r="NWU1" s="22"/>
      <c r="NWV1" s="22"/>
      <c r="NWW1" s="22"/>
      <c r="NWX1" s="22"/>
      <c r="NWY1" s="22"/>
      <c r="NWZ1" s="22"/>
      <c r="NXA1" s="22"/>
      <c r="NXB1" s="22"/>
      <c r="NXC1" s="22"/>
      <c r="NXD1" s="22"/>
      <c r="NXE1" s="22"/>
      <c r="NXF1" s="22"/>
      <c r="NXG1" s="22"/>
      <c r="NXH1" s="22"/>
      <c r="NXI1" s="22"/>
      <c r="NXJ1" s="22"/>
      <c r="NXK1" s="22"/>
      <c r="NXL1" s="22"/>
      <c r="NXM1" s="22"/>
      <c r="NXN1" s="22"/>
      <c r="NXO1" s="22"/>
      <c r="NXP1" s="22"/>
      <c r="NXQ1" s="22"/>
      <c r="NXR1" s="22"/>
      <c r="NXS1" s="22"/>
      <c r="NXT1" s="22"/>
      <c r="NXU1" s="22"/>
      <c r="NXV1" s="22"/>
      <c r="NXW1" s="22"/>
      <c r="NXX1" s="22"/>
      <c r="NXY1" s="22"/>
      <c r="NXZ1" s="22"/>
      <c r="NYA1" s="22"/>
      <c r="NYB1" s="22"/>
      <c r="NYC1" s="22"/>
      <c r="NYD1" s="22"/>
      <c r="NYE1" s="22"/>
      <c r="NYF1" s="22"/>
      <c r="NYG1" s="22"/>
      <c r="NYH1" s="22"/>
      <c r="NYI1" s="22"/>
      <c r="NYJ1" s="22"/>
      <c r="NYK1" s="22"/>
      <c r="NYL1" s="22"/>
      <c r="NYM1" s="22"/>
      <c r="NYN1" s="22"/>
      <c r="NYO1" s="22"/>
      <c r="NYP1" s="22"/>
      <c r="NYQ1" s="22"/>
      <c r="NYR1" s="22"/>
      <c r="NYS1" s="22"/>
      <c r="NYT1" s="22"/>
      <c r="NYU1" s="22"/>
      <c r="NYV1" s="22"/>
      <c r="NYW1" s="22"/>
      <c r="NYX1" s="22"/>
      <c r="NYY1" s="22"/>
      <c r="NYZ1" s="22"/>
      <c r="NZA1" s="22"/>
      <c r="NZB1" s="22"/>
      <c r="NZC1" s="22"/>
      <c r="NZD1" s="22"/>
      <c r="NZE1" s="22"/>
      <c r="NZF1" s="22"/>
      <c r="NZG1" s="22"/>
      <c r="NZH1" s="22"/>
      <c r="NZI1" s="22"/>
      <c r="NZJ1" s="22"/>
      <c r="NZK1" s="22"/>
      <c r="NZL1" s="22"/>
      <c r="NZM1" s="22"/>
      <c r="NZN1" s="22"/>
      <c r="NZO1" s="22"/>
      <c r="NZP1" s="22"/>
      <c r="NZQ1" s="22"/>
      <c r="NZR1" s="22"/>
      <c r="NZS1" s="22"/>
      <c r="NZT1" s="22"/>
      <c r="NZU1" s="22"/>
      <c r="NZV1" s="22"/>
      <c r="NZW1" s="22"/>
      <c r="NZX1" s="22"/>
      <c r="NZY1" s="22"/>
      <c r="NZZ1" s="22"/>
      <c r="OAA1" s="22"/>
      <c r="OAB1" s="22"/>
      <c r="OAC1" s="22"/>
      <c r="OAD1" s="22"/>
      <c r="OAE1" s="22"/>
      <c r="OAF1" s="22"/>
      <c r="OAG1" s="22"/>
      <c r="OAH1" s="22"/>
      <c r="OAI1" s="22"/>
      <c r="OAJ1" s="22"/>
      <c r="OAK1" s="22"/>
      <c r="OAL1" s="22"/>
      <c r="OAM1" s="22"/>
      <c r="OAN1" s="22"/>
      <c r="OAO1" s="22"/>
      <c r="OAP1" s="22"/>
      <c r="OAQ1" s="22"/>
      <c r="OAR1" s="22"/>
      <c r="OAS1" s="22"/>
      <c r="OAT1" s="22"/>
      <c r="OAU1" s="22"/>
      <c r="OAV1" s="22"/>
      <c r="OAW1" s="22"/>
      <c r="OAX1" s="22"/>
      <c r="OAY1" s="22"/>
      <c r="OAZ1" s="22"/>
      <c r="OBA1" s="22"/>
      <c r="OBB1" s="22"/>
      <c r="OBC1" s="22"/>
      <c r="OBD1" s="22"/>
      <c r="OBE1" s="22"/>
      <c r="OBF1" s="22"/>
      <c r="OBG1" s="22"/>
      <c r="OBH1" s="22"/>
      <c r="OBI1" s="22"/>
      <c r="OBJ1" s="22"/>
      <c r="OBK1" s="22"/>
      <c r="OBL1" s="22"/>
      <c r="OBM1" s="22"/>
      <c r="OBN1" s="22"/>
      <c r="OBO1" s="22"/>
      <c r="OBP1" s="22"/>
      <c r="OBQ1" s="22"/>
      <c r="OBR1" s="22"/>
      <c r="OBS1" s="22"/>
      <c r="OBT1" s="22"/>
      <c r="OBU1" s="22"/>
      <c r="OBV1" s="22"/>
      <c r="OBW1" s="22"/>
      <c r="OBX1" s="22"/>
      <c r="OBY1" s="22"/>
      <c r="OBZ1" s="22"/>
      <c r="OCA1" s="22"/>
      <c r="OCB1" s="22"/>
      <c r="OCC1" s="22"/>
      <c r="OCD1" s="22"/>
      <c r="OCE1" s="22"/>
      <c r="OCF1" s="22"/>
      <c r="OCG1" s="22"/>
      <c r="OCH1" s="22"/>
      <c r="OCI1" s="22"/>
      <c r="OCJ1" s="22"/>
      <c r="OCK1" s="22"/>
      <c r="OCL1" s="22"/>
      <c r="OCM1" s="22"/>
      <c r="OCN1" s="22"/>
      <c r="OCO1" s="22"/>
      <c r="OCP1" s="22"/>
      <c r="OCQ1" s="22"/>
      <c r="OCR1" s="22"/>
      <c r="OCS1" s="22"/>
      <c r="OCT1" s="22"/>
      <c r="OCU1" s="22"/>
      <c r="OCV1" s="22"/>
      <c r="OCW1" s="22"/>
      <c r="OCX1" s="22"/>
      <c r="OCY1" s="22"/>
      <c r="OCZ1" s="22"/>
      <c r="ODA1" s="22"/>
      <c r="ODB1" s="22"/>
      <c r="ODC1" s="22"/>
      <c r="ODD1" s="22"/>
      <c r="ODE1" s="22"/>
      <c r="ODF1" s="22"/>
      <c r="ODG1" s="22"/>
      <c r="ODH1" s="22"/>
      <c r="ODI1" s="22"/>
      <c r="ODJ1" s="22"/>
      <c r="ODK1" s="22"/>
      <c r="ODL1" s="22"/>
      <c r="ODM1" s="22"/>
      <c r="ODN1" s="22"/>
      <c r="ODO1" s="22"/>
      <c r="ODP1" s="22"/>
      <c r="ODQ1" s="22"/>
      <c r="ODR1" s="22"/>
      <c r="ODS1" s="22"/>
      <c r="ODT1" s="22"/>
      <c r="ODU1" s="22"/>
      <c r="ODV1" s="22"/>
      <c r="ODW1" s="22"/>
      <c r="ODX1" s="22"/>
      <c r="ODY1" s="22"/>
      <c r="ODZ1" s="22"/>
      <c r="OEA1" s="22"/>
      <c r="OEB1" s="22"/>
      <c r="OEC1" s="22"/>
      <c r="OED1" s="22"/>
      <c r="OEE1" s="22"/>
      <c r="OEF1" s="22"/>
      <c r="OEG1" s="22"/>
      <c r="OEH1" s="22"/>
      <c r="OEI1" s="22"/>
      <c r="OEJ1" s="22"/>
      <c r="OEK1" s="22"/>
      <c r="OEL1" s="22"/>
      <c r="OEM1" s="22"/>
      <c r="OEN1" s="22"/>
      <c r="OEO1" s="22"/>
      <c r="OEP1" s="22"/>
      <c r="OEQ1" s="22"/>
      <c r="OER1" s="22"/>
      <c r="OES1" s="22"/>
      <c r="OET1" s="22"/>
      <c r="OEU1" s="22"/>
      <c r="OEV1" s="22"/>
      <c r="OEW1" s="22"/>
      <c r="OEX1" s="22"/>
      <c r="OEY1" s="22"/>
      <c r="OEZ1" s="22"/>
      <c r="OFA1" s="22"/>
      <c r="OFB1" s="22"/>
      <c r="OFC1" s="22"/>
      <c r="OFD1" s="22"/>
      <c r="OFE1" s="22"/>
      <c r="OFF1" s="22"/>
      <c r="OFG1" s="22"/>
      <c r="OFH1" s="22"/>
      <c r="OFI1" s="22"/>
      <c r="OFJ1" s="22"/>
      <c r="OFK1" s="22"/>
      <c r="OFL1" s="22"/>
      <c r="OFM1" s="22"/>
      <c r="OFN1" s="22"/>
      <c r="OFO1" s="22"/>
      <c r="OFP1" s="22"/>
      <c r="OFQ1" s="22"/>
      <c r="OFR1" s="22"/>
      <c r="OFS1" s="22"/>
      <c r="OFT1" s="22"/>
      <c r="OFU1" s="22"/>
      <c r="OFV1" s="22"/>
      <c r="OFW1" s="22"/>
      <c r="OFX1" s="22"/>
      <c r="OFY1" s="22"/>
      <c r="OFZ1" s="22"/>
      <c r="OGA1" s="22"/>
      <c r="OGB1" s="22"/>
      <c r="OGC1" s="22"/>
      <c r="OGD1" s="22"/>
      <c r="OGE1" s="22"/>
      <c r="OGF1" s="22"/>
      <c r="OGG1" s="22"/>
      <c r="OGH1" s="22"/>
      <c r="OGI1" s="22"/>
      <c r="OGJ1" s="22"/>
      <c r="OGK1" s="22"/>
      <c r="OGL1" s="22"/>
      <c r="OGM1" s="22"/>
      <c r="OGN1" s="22"/>
      <c r="OGO1" s="22"/>
      <c r="OGP1" s="22"/>
      <c r="OGQ1" s="22"/>
      <c r="OGR1" s="22"/>
      <c r="OGS1" s="22"/>
      <c r="OGT1" s="22"/>
      <c r="OGU1" s="22"/>
      <c r="OGV1" s="22"/>
      <c r="OGW1" s="22"/>
      <c r="OGX1" s="22"/>
      <c r="OGY1" s="22"/>
      <c r="OGZ1" s="22"/>
      <c r="OHA1" s="22"/>
      <c r="OHB1" s="22"/>
      <c r="OHC1" s="22"/>
      <c r="OHD1" s="22"/>
      <c r="OHE1" s="22"/>
      <c r="OHF1" s="22"/>
      <c r="OHG1" s="22"/>
      <c r="OHH1" s="22"/>
      <c r="OHI1" s="22"/>
      <c r="OHJ1" s="22"/>
      <c r="OHK1" s="22"/>
      <c r="OHL1" s="22"/>
      <c r="OHM1" s="22"/>
      <c r="OHN1" s="22"/>
      <c r="OHO1" s="22"/>
      <c r="OHP1" s="22"/>
      <c r="OHQ1" s="22"/>
      <c r="OHR1" s="22"/>
      <c r="OHS1" s="22"/>
      <c r="OHT1" s="22"/>
      <c r="OHU1" s="22"/>
      <c r="OHV1" s="22"/>
      <c r="OHW1" s="22"/>
      <c r="OHX1" s="22"/>
      <c r="OHY1" s="22"/>
      <c r="OHZ1" s="22"/>
      <c r="OIA1" s="22"/>
      <c r="OIB1" s="22"/>
      <c r="OIC1" s="22"/>
      <c r="OID1" s="22"/>
      <c r="OIE1" s="22"/>
      <c r="OIF1" s="22"/>
      <c r="OIG1" s="22"/>
      <c r="OIH1" s="22"/>
      <c r="OII1" s="22"/>
      <c r="OIJ1" s="22"/>
      <c r="OIK1" s="22"/>
      <c r="OIL1" s="22"/>
      <c r="OIM1" s="22"/>
      <c r="OIN1" s="22"/>
      <c r="OIO1" s="22"/>
      <c r="OIP1" s="22"/>
      <c r="OIQ1" s="22"/>
      <c r="OIR1" s="22"/>
      <c r="OIS1" s="22"/>
      <c r="OIT1" s="22"/>
      <c r="OIU1" s="22"/>
      <c r="OIV1" s="22"/>
      <c r="OIW1" s="22"/>
      <c r="OIX1" s="22"/>
      <c r="OIY1" s="22"/>
      <c r="OIZ1" s="22"/>
      <c r="OJA1" s="22"/>
      <c r="OJB1" s="22"/>
      <c r="OJC1" s="22"/>
      <c r="OJD1" s="22"/>
      <c r="OJE1" s="22"/>
      <c r="OJF1" s="22"/>
      <c r="OJG1" s="22"/>
      <c r="OJH1" s="22"/>
      <c r="OJI1" s="22"/>
      <c r="OJJ1" s="22"/>
      <c r="OJK1" s="22"/>
      <c r="OJL1" s="22"/>
      <c r="OJM1" s="22"/>
      <c r="OJN1" s="22"/>
      <c r="OJO1" s="22"/>
      <c r="OJP1" s="22"/>
      <c r="OJQ1" s="22"/>
      <c r="OJR1" s="22"/>
      <c r="OJS1" s="22"/>
      <c r="OJT1" s="22"/>
      <c r="OJU1" s="22"/>
      <c r="OJV1" s="22"/>
      <c r="OJW1" s="22"/>
      <c r="OJX1" s="22"/>
      <c r="OJY1" s="22"/>
      <c r="OJZ1" s="22"/>
      <c r="OKA1" s="22"/>
      <c r="OKB1" s="22"/>
      <c r="OKC1" s="22"/>
      <c r="OKD1" s="22"/>
      <c r="OKE1" s="22"/>
      <c r="OKF1" s="22"/>
      <c r="OKG1" s="22"/>
      <c r="OKH1" s="22"/>
      <c r="OKI1" s="22"/>
      <c r="OKJ1" s="22"/>
      <c r="OKK1" s="22"/>
      <c r="OKL1" s="22"/>
      <c r="OKM1" s="22"/>
      <c r="OKN1" s="22"/>
      <c r="OKO1" s="22"/>
      <c r="OKP1" s="22"/>
      <c r="OKQ1" s="22"/>
      <c r="OKR1" s="22"/>
      <c r="OKS1" s="22"/>
      <c r="OKT1" s="22"/>
      <c r="OKU1" s="22"/>
      <c r="OKV1" s="22"/>
      <c r="OKW1" s="22"/>
      <c r="OKX1" s="22"/>
      <c r="OKY1" s="22"/>
      <c r="OKZ1" s="22"/>
      <c r="OLA1" s="22"/>
      <c r="OLB1" s="22"/>
      <c r="OLC1" s="22"/>
      <c r="OLD1" s="22"/>
      <c r="OLE1" s="22"/>
      <c r="OLF1" s="22"/>
      <c r="OLG1" s="22"/>
      <c r="OLH1" s="22"/>
      <c r="OLI1" s="22"/>
      <c r="OLJ1" s="22"/>
      <c r="OLK1" s="22"/>
      <c r="OLL1" s="22"/>
      <c r="OLM1" s="22"/>
      <c r="OLN1" s="22"/>
      <c r="OLO1" s="22"/>
      <c r="OLP1" s="22"/>
      <c r="OLQ1" s="22"/>
      <c r="OLR1" s="22"/>
      <c r="OLS1" s="22"/>
      <c r="OLT1" s="22"/>
      <c r="OLU1" s="22"/>
      <c r="OLV1" s="22"/>
      <c r="OLW1" s="22"/>
      <c r="OLX1" s="22"/>
      <c r="OLY1" s="22"/>
      <c r="OLZ1" s="22"/>
      <c r="OMA1" s="22"/>
      <c r="OMB1" s="22"/>
      <c r="OMC1" s="22"/>
      <c r="OMD1" s="22"/>
      <c r="OME1" s="22"/>
      <c r="OMF1" s="22"/>
      <c r="OMG1" s="22"/>
      <c r="OMH1" s="22"/>
      <c r="OMI1" s="22"/>
      <c r="OMJ1" s="22"/>
      <c r="OMK1" s="22"/>
      <c r="OML1" s="22"/>
      <c r="OMM1" s="22"/>
      <c r="OMN1" s="22"/>
      <c r="OMO1" s="22"/>
      <c r="OMP1" s="22"/>
      <c r="OMQ1" s="22"/>
      <c r="OMR1" s="22"/>
      <c r="OMS1" s="22"/>
      <c r="OMT1" s="22"/>
      <c r="OMU1" s="22"/>
      <c r="OMV1" s="22"/>
      <c r="OMW1" s="22"/>
      <c r="OMX1" s="22"/>
      <c r="OMY1" s="22"/>
      <c r="OMZ1" s="22"/>
      <c r="ONA1" s="22"/>
      <c r="ONB1" s="22"/>
      <c r="ONC1" s="22"/>
      <c r="OND1" s="22"/>
      <c r="ONE1" s="22"/>
      <c r="ONF1" s="22"/>
      <c r="ONG1" s="22"/>
      <c r="ONH1" s="22"/>
      <c r="ONI1" s="22"/>
      <c r="ONJ1" s="22"/>
      <c r="ONK1" s="22"/>
      <c r="ONL1" s="22"/>
      <c r="ONM1" s="22"/>
      <c r="ONN1" s="22"/>
      <c r="ONO1" s="22"/>
      <c r="ONP1" s="22"/>
      <c r="ONQ1" s="22"/>
      <c r="ONR1" s="22"/>
      <c r="ONS1" s="22"/>
      <c r="ONT1" s="22"/>
      <c r="ONU1" s="22"/>
      <c r="ONV1" s="22"/>
      <c r="ONW1" s="22"/>
      <c r="ONX1" s="22"/>
      <c r="ONY1" s="22"/>
      <c r="ONZ1" s="22"/>
      <c r="OOA1" s="22"/>
      <c r="OOB1" s="22"/>
      <c r="OOC1" s="22"/>
      <c r="OOD1" s="22"/>
      <c r="OOE1" s="22"/>
      <c r="OOF1" s="22"/>
      <c r="OOG1" s="22"/>
      <c r="OOH1" s="22"/>
      <c r="OOI1" s="22"/>
      <c r="OOJ1" s="22"/>
      <c r="OOK1" s="22"/>
      <c r="OOL1" s="22"/>
      <c r="OOM1" s="22"/>
      <c r="OON1" s="22"/>
      <c r="OOO1" s="22"/>
      <c r="OOP1" s="22"/>
      <c r="OOQ1" s="22"/>
      <c r="OOR1" s="22"/>
      <c r="OOS1" s="22"/>
      <c r="OOT1" s="22"/>
      <c r="OOU1" s="22"/>
      <c r="OOV1" s="22"/>
      <c r="OOW1" s="22"/>
      <c r="OOX1" s="22"/>
      <c r="OOY1" s="22"/>
      <c r="OOZ1" s="22"/>
      <c r="OPA1" s="22"/>
      <c r="OPB1" s="22"/>
      <c r="OPC1" s="22"/>
      <c r="OPD1" s="22"/>
      <c r="OPE1" s="22"/>
      <c r="OPF1" s="22"/>
      <c r="OPG1" s="22"/>
      <c r="OPH1" s="22"/>
      <c r="OPI1" s="22"/>
      <c r="OPJ1" s="22"/>
      <c r="OPK1" s="22"/>
      <c r="OPL1" s="22"/>
      <c r="OPM1" s="22"/>
      <c r="OPN1" s="22"/>
      <c r="OPO1" s="22"/>
      <c r="OPP1" s="22"/>
      <c r="OPQ1" s="22"/>
      <c r="OPR1" s="22"/>
      <c r="OPS1" s="22"/>
      <c r="OPT1" s="22"/>
      <c r="OPU1" s="22"/>
      <c r="OPV1" s="22"/>
      <c r="OPW1" s="22"/>
      <c r="OPX1" s="22"/>
      <c r="OPY1" s="22"/>
      <c r="OPZ1" s="22"/>
      <c r="OQA1" s="22"/>
      <c r="OQB1" s="22"/>
      <c r="OQC1" s="22"/>
      <c r="OQD1" s="22"/>
      <c r="OQE1" s="22"/>
      <c r="OQF1" s="22"/>
      <c r="OQG1" s="22"/>
      <c r="OQH1" s="22"/>
      <c r="OQI1" s="22"/>
      <c r="OQJ1" s="22"/>
      <c r="OQK1" s="22"/>
      <c r="OQL1" s="22"/>
      <c r="OQM1" s="22"/>
      <c r="OQN1" s="22"/>
      <c r="OQO1" s="22"/>
      <c r="OQP1" s="22"/>
      <c r="OQQ1" s="22"/>
      <c r="OQR1" s="22"/>
      <c r="OQS1" s="22"/>
      <c r="OQT1" s="22"/>
      <c r="OQU1" s="22"/>
      <c r="OQV1" s="22"/>
      <c r="OQW1" s="22"/>
      <c r="OQX1" s="22"/>
      <c r="OQY1" s="22"/>
      <c r="OQZ1" s="22"/>
      <c r="ORA1" s="22"/>
      <c r="ORB1" s="22"/>
      <c r="ORC1" s="22"/>
      <c r="ORD1" s="22"/>
      <c r="ORE1" s="22"/>
      <c r="ORF1" s="22"/>
      <c r="ORG1" s="22"/>
      <c r="ORH1" s="22"/>
      <c r="ORI1" s="22"/>
      <c r="ORJ1" s="22"/>
      <c r="ORK1" s="22"/>
      <c r="ORL1" s="22"/>
      <c r="ORM1" s="22"/>
      <c r="ORN1" s="22"/>
      <c r="ORO1" s="22"/>
      <c r="ORP1" s="22"/>
      <c r="ORQ1" s="22"/>
      <c r="ORR1" s="22"/>
      <c r="ORS1" s="22"/>
      <c r="ORT1" s="22"/>
      <c r="ORU1" s="22"/>
      <c r="ORV1" s="22"/>
      <c r="ORW1" s="22"/>
      <c r="ORX1" s="22"/>
      <c r="ORY1" s="22"/>
      <c r="ORZ1" s="22"/>
      <c r="OSA1" s="22"/>
      <c r="OSB1" s="22"/>
      <c r="OSC1" s="22"/>
      <c r="OSD1" s="22"/>
      <c r="OSE1" s="22"/>
      <c r="OSF1" s="22"/>
      <c r="OSG1" s="22"/>
      <c r="OSH1" s="22"/>
      <c r="OSI1" s="22"/>
      <c r="OSJ1" s="22"/>
      <c r="OSK1" s="22"/>
      <c r="OSL1" s="22"/>
      <c r="OSM1" s="22"/>
      <c r="OSN1" s="22"/>
      <c r="OSO1" s="22"/>
      <c r="OSP1" s="22"/>
      <c r="OSQ1" s="22"/>
      <c r="OSR1" s="22"/>
      <c r="OSS1" s="22"/>
      <c r="OST1" s="22"/>
      <c r="OSU1" s="22"/>
      <c r="OSV1" s="22"/>
      <c r="OSW1" s="22"/>
      <c r="OSX1" s="22"/>
      <c r="OSY1" s="22"/>
      <c r="OSZ1" s="22"/>
      <c r="OTA1" s="22"/>
      <c r="OTB1" s="22"/>
      <c r="OTC1" s="22"/>
      <c r="OTD1" s="22"/>
      <c r="OTE1" s="22"/>
      <c r="OTF1" s="22"/>
      <c r="OTG1" s="22"/>
      <c r="OTH1" s="22"/>
      <c r="OTI1" s="22"/>
      <c r="OTJ1" s="22"/>
      <c r="OTK1" s="22"/>
      <c r="OTL1" s="22"/>
      <c r="OTM1" s="22"/>
      <c r="OTN1" s="22"/>
      <c r="OTO1" s="22"/>
      <c r="OTP1" s="22"/>
      <c r="OTQ1" s="22"/>
      <c r="OTR1" s="22"/>
      <c r="OTS1" s="22"/>
      <c r="OTT1" s="22"/>
      <c r="OTU1" s="22"/>
      <c r="OTV1" s="22"/>
      <c r="OTW1" s="22"/>
      <c r="OTX1" s="22"/>
      <c r="OTY1" s="22"/>
      <c r="OTZ1" s="22"/>
      <c r="OUA1" s="22"/>
      <c r="OUB1" s="22"/>
      <c r="OUC1" s="22"/>
      <c r="OUD1" s="22"/>
      <c r="OUE1" s="22"/>
      <c r="OUF1" s="22"/>
      <c r="OUG1" s="22"/>
      <c r="OUH1" s="22"/>
      <c r="OUI1" s="22"/>
      <c r="OUJ1" s="22"/>
      <c r="OUK1" s="22"/>
      <c r="OUL1" s="22"/>
      <c r="OUM1" s="22"/>
      <c r="OUN1" s="22"/>
      <c r="OUO1" s="22"/>
      <c r="OUP1" s="22"/>
      <c r="OUQ1" s="22"/>
      <c r="OUR1" s="22"/>
      <c r="OUS1" s="22"/>
      <c r="OUT1" s="22"/>
      <c r="OUU1" s="22"/>
      <c r="OUV1" s="22"/>
      <c r="OUW1" s="22"/>
      <c r="OUX1" s="22"/>
      <c r="OUY1" s="22"/>
      <c r="OUZ1" s="22"/>
      <c r="OVA1" s="22"/>
      <c r="OVB1" s="22"/>
      <c r="OVC1" s="22"/>
      <c r="OVD1" s="22"/>
      <c r="OVE1" s="22"/>
      <c r="OVF1" s="22"/>
      <c r="OVG1" s="22"/>
      <c r="OVH1" s="22"/>
      <c r="OVI1" s="22"/>
      <c r="OVJ1" s="22"/>
      <c r="OVK1" s="22"/>
      <c r="OVL1" s="22"/>
      <c r="OVM1" s="22"/>
      <c r="OVN1" s="22"/>
      <c r="OVO1" s="22"/>
      <c r="OVP1" s="22"/>
      <c r="OVQ1" s="22"/>
      <c r="OVR1" s="22"/>
      <c r="OVS1" s="22"/>
      <c r="OVT1" s="22"/>
      <c r="OVU1" s="22"/>
      <c r="OVV1" s="22"/>
      <c r="OVW1" s="22"/>
      <c r="OVX1" s="22"/>
      <c r="OVY1" s="22"/>
      <c r="OVZ1" s="22"/>
      <c r="OWA1" s="22"/>
      <c r="OWB1" s="22"/>
      <c r="OWC1" s="22"/>
      <c r="OWD1" s="22"/>
      <c r="OWE1" s="22"/>
      <c r="OWF1" s="22"/>
      <c r="OWG1" s="22"/>
      <c r="OWH1" s="22"/>
      <c r="OWI1" s="22"/>
      <c r="OWJ1" s="22"/>
      <c r="OWK1" s="22"/>
      <c r="OWL1" s="22"/>
      <c r="OWM1" s="22"/>
      <c r="OWN1" s="22"/>
      <c r="OWO1" s="22"/>
      <c r="OWP1" s="22"/>
      <c r="OWQ1" s="22"/>
      <c r="OWR1" s="22"/>
      <c r="OWS1" s="22"/>
      <c r="OWT1" s="22"/>
      <c r="OWU1" s="22"/>
      <c r="OWV1" s="22"/>
      <c r="OWW1" s="22"/>
      <c r="OWX1" s="22"/>
      <c r="OWY1" s="22"/>
      <c r="OWZ1" s="22"/>
      <c r="OXA1" s="22"/>
      <c r="OXB1" s="22"/>
      <c r="OXC1" s="22"/>
      <c r="OXD1" s="22"/>
      <c r="OXE1" s="22"/>
      <c r="OXF1" s="22"/>
      <c r="OXG1" s="22"/>
      <c r="OXH1" s="22"/>
      <c r="OXI1" s="22"/>
      <c r="OXJ1" s="22"/>
      <c r="OXK1" s="22"/>
      <c r="OXL1" s="22"/>
      <c r="OXM1" s="22"/>
      <c r="OXN1" s="22"/>
      <c r="OXO1" s="22"/>
      <c r="OXP1" s="22"/>
      <c r="OXQ1" s="22"/>
      <c r="OXR1" s="22"/>
      <c r="OXS1" s="22"/>
      <c r="OXT1" s="22"/>
      <c r="OXU1" s="22"/>
      <c r="OXV1" s="22"/>
      <c r="OXW1" s="22"/>
      <c r="OXX1" s="22"/>
      <c r="OXY1" s="22"/>
      <c r="OXZ1" s="22"/>
      <c r="OYA1" s="22"/>
      <c r="OYB1" s="22"/>
      <c r="OYC1" s="22"/>
      <c r="OYD1" s="22"/>
      <c r="OYE1" s="22"/>
      <c r="OYF1" s="22"/>
      <c r="OYG1" s="22"/>
      <c r="OYH1" s="22"/>
      <c r="OYI1" s="22"/>
      <c r="OYJ1" s="22"/>
      <c r="OYK1" s="22"/>
      <c r="OYL1" s="22"/>
      <c r="OYM1" s="22"/>
      <c r="OYN1" s="22"/>
      <c r="OYO1" s="22"/>
      <c r="OYP1" s="22"/>
      <c r="OYQ1" s="22"/>
      <c r="OYR1" s="22"/>
      <c r="OYS1" s="22"/>
      <c r="OYT1" s="22"/>
      <c r="OYU1" s="22"/>
      <c r="OYV1" s="22"/>
      <c r="OYW1" s="22"/>
      <c r="OYX1" s="22"/>
      <c r="OYY1" s="22"/>
      <c r="OYZ1" s="22"/>
      <c r="OZA1" s="22"/>
      <c r="OZB1" s="22"/>
      <c r="OZC1" s="22"/>
      <c r="OZD1" s="22"/>
      <c r="OZE1" s="22"/>
      <c r="OZF1" s="22"/>
      <c r="OZG1" s="22"/>
      <c r="OZH1" s="22"/>
      <c r="OZI1" s="22"/>
      <c r="OZJ1" s="22"/>
      <c r="OZK1" s="22"/>
      <c r="OZL1" s="22"/>
      <c r="OZM1" s="22"/>
      <c r="OZN1" s="22"/>
      <c r="OZO1" s="22"/>
      <c r="OZP1" s="22"/>
      <c r="OZQ1" s="22"/>
      <c r="OZR1" s="22"/>
      <c r="OZS1" s="22"/>
      <c r="OZT1" s="22"/>
      <c r="OZU1" s="22"/>
      <c r="OZV1" s="22"/>
      <c r="OZW1" s="22"/>
      <c r="OZX1" s="22"/>
      <c r="OZY1" s="22"/>
      <c r="OZZ1" s="22"/>
      <c r="PAA1" s="22"/>
      <c r="PAB1" s="22"/>
      <c r="PAC1" s="22"/>
      <c r="PAD1" s="22"/>
      <c r="PAE1" s="22"/>
      <c r="PAF1" s="22"/>
      <c r="PAG1" s="22"/>
      <c r="PAH1" s="22"/>
      <c r="PAI1" s="22"/>
      <c r="PAJ1" s="22"/>
      <c r="PAK1" s="22"/>
      <c r="PAL1" s="22"/>
      <c r="PAM1" s="22"/>
      <c r="PAN1" s="22"/>
      <c r="PAO1" s="22"/>
      <c r="PAP1" s="22"/>
      <c r="PAQ1" s="22"/>
      <c r="PAR1" s="22"/>
      <c r="PAS1" s="22"/>
      <c r="PAT1" s="22"/>
      <c r="PAU1" s="22"/>
      <c r="PAV1" s="22"/>
      <c r="PAW1" s="22"/>
      <c r="PAX1" s="22"/>
      <c r="PAY1" s="22"/>
      <c r="PAZ1" s="22"/>
      <c r="PBA1" s="22"/>
      <c r="PBB1" s="22"/>
      <c r="PBC1" s="22"/>
      <c r="PBD1" s="22"/>
      <c r="PBE1" s="22"/>
      <c r="PBF1" s="22"/>
      <c r="PBG1" s="22"/>
      <c r="PBH1" s="22"/>
      <c r="PBI1" s="22"/>
      <c r="PBJ1" s="22"/>
      <c r="PBK1" s="22"/>
      <c r="PBL1" s="22"/>
      <c r="PBM1" s="22"/>
      <c r="PBN1" s="22"/>
      <c r="PBO1" s="22"/>
      <c r="PBP1" s="22"/>
      <c r="PBQ1" s="22"/>
      <c r="PBR1" s="22"/>
      <c r="PBS1" s="22"/>
      <c r="PBT1" s="22"/>
      <c r="PBU1" s="22"/>
      <c r="PBV1" s="22"/>
      <c r="PBW1" s="22"/>
      <c r="PBX1" s="22"/>
      <c r="PBY1" s="22"/>
      <c r="PBZ1" s="22"/>
      <c r="PCA1" s="22"/>
      <c r="PCB1" s="22"/>
      <c r="PCC1" s="22"/>
      <c r="PCD1" s="22"/>
      <c r="PCE1" s="22"/>
      <c r="PCF1" s="22"/>
      <c r="PCG1" s="22"/>
      <c r="PCH1" s="22"/>
      <c r="PCI1" s="22"/>
      <c r="PCJ1" s="22"/>
      <c r="PCK1" s="22"/>
      <c r="PCL1" s="22"/>
      <c r="PCM1" s="22"/>
      <c r="PCN1" s="22"/>
      <c r="PCO1" s="22"/>
      <c r="PCP1" s="22"/>
      <c r="PCQ1" s="22"/>
      <c r="PCR1" s="22"/>
      <c r="PCS1" s="22"/>
      <c r="PCT1" s="22"/>
      <c r="PCU1" s="22"/>
      <c r="PCV1" s="22"/>
      <c r="PCW1" s="22"/>
      <c r="PCX1" s="22"/>
      <c r="PCY1" s="22"/>
      <c r="PCZ1" s="22"/>
      <c r="PDA1" s="22"/>
      <c r="PDB1" s="22"/>
      <c r="PDC1" s="22"/>
      <c r="PDD1" s="22"/>
      <c r="PDE1" s="22"/>
      <c r="PDF1" s="22"/>
      <c r="PDG1" s="22"/>
      <c r="PDH1" s="22"/>
      <c r="PDI1" s="22"/>
      <c r="PDJ1" s="22"/>
      <c r="PDK1" s="22"/>
      <c r="PDL1" s="22"/>
      <c r="PDM1" s="22"/>
      <c r="PDN1" s="22"/>
      <c r="PDO1" s="22"/>
      <c r="PDP1" s="22"/>
      <c r="PDQ1" s="22"/>
      <c r="PDR1" s="22"/>
      <c r="PDS1" s="22"/>
      <c r="PDT1" s="22"/>
      <c r="PDU1" s="22"/>
      <c r="PDV1" s="22"/>
      <c r="PDW1" s="22"/>
      <c r="PDX1" s="22"/>
      <c r="PDY1" s="22"/>
      <c r="PDZ1" s="22"/>
      <c r="PEA1" s="22"/>
      <c r="PEB1" s="22"/>
      <c r="PEC1" s="22"/>
      <c r="PED1" s="22"/>
      <c r="PEE1" s="22"/>
      <c r="PEF1" s="22"/>
      <c r="PEG1" s="22"/>
      <c r="PEH1" s="22"/>
      <c r="PEI1" s="22"/>
      <c r="PEJ1" s="22"/>
      <c r="PEK1" s="22"/>
      <c r="PEL1" s="22"/>
      <c r="PEM1" s="22"/>
      <c r="PEN1" s="22"/>
      <c r="PEO1" s="22"/>
      <c r="PEP1" s="22"/>
      <c r="PEQ1" s="22"/>
      <c r="PER1" s="22"/>
      <c r="PES1" s="22"/>
      <c r="PET1" s="22"/>
      <c r="PEU1" s="22"/>
      <c r="PEV1" s="22"/>
      <c r="PEW1" s="22"/>
      <c r="PEX1" s="22"/>
      <c r="PEY1" s="22"/>
      <c r="PEZ1" s="22"/>
      <c r="PFA1" s="22"/>
      <c r="PFB1" s="22"/>
      <c r="PFC1" s="22"/>
      <c r="PFD1" s="22"/>
      <c r="PFE1" s="22"/>
      <c r="PFF1" s="22"/>
      <c r="PFG1" s="22"/>
      <c r="PFH1" s="22"/>
      <c r="PFI1" s="22"/>
      <c r="PFJ1" s="22"/>
      <c r="PFK1" s="22"/>
      <c r="PFL1" s="22"/>
      <c r="PFM1" s="22"/>
      <c r="PFN1" s="22"/>
      <c r="PFO1" s="22"/>
      <c r="PFP1" s="22"/>
      <c r="PFQ1" s="22"/>
      <c r="PFR1" s="22"/>
      <c r="PFS1" s="22"/>
      <c r="PFT1" s="22"/>
      <c r="PFU1" s="22"/>
      <c r="PFV1" s="22"/>
      <c r="PFW1" s="22"/>
      <c r="PFX1" s="22"/>
      <c r="PFY1" s="22"/>
      <c r="PFZ1" s="22"/>
      <c r="PGA1" s="22"/>
      <c r="PGB1" s="22"/>
      <c r="PGC1" s="22"/>
      <c r="PGD1" s="22"/>
      <c r="PGE1" s="22"/>
      <c r="PGF1" s="22"/>
      <c r="PGG1" s="22"/>
      <c r="PGH1" s="22"/>
      <c r="PGI1" s="22"/>
      <c r="PGJ1" s="22"/>
      <c r="PGK1" s="22"/>
      <c r="PGL1" s="22"/>
      <c r="PGM1" s="22"/>
      <c r="PGN1" s="22"/>
      <c r="PGO1" s="22"/>
      <c r="PGP1" s="22"/>
      <c r="PGQ1" s="22"/>
      <c r="PGR1" s="22"/>
      <c r="PGS1" s="22"/>
      <c r="PGT1" s="22"/>
      <c r="PGU1" s="22"/>
      <c r="PGV1" s="22"/>
      <c r="PGW1" s="22"/>
      <c r="PGX1" s="22"/>
      <c r="PGY1" s="22"/>
      <c r="PGZ1" s="22"/>
      <c r="PHA1" s="22"/>
      <c r="PHB1" s="22"/>
      <c r="PHC1" s="22"/>
      <c r="PHD1" s="22"/>
      <c r="PHE1" s="22"/>
      <c r="PHF1" s="22"/>
      <c r="PHG1" s="22"/>
      <c r="PHH1" s="22"/>
      <c r="PHI1" s="22"/>
      <c r="PHJ1" s="22"/>
      <c r="PHK1" s="22"/>
      <c r="PHL1" s="22"/>
      <c r="PHM1" s="22"/>
      <c r="PHN1" s="22"/>
      <c r="PHO1" s="22"/>
      <c r="PHP1" s="22"/>
      <c r="PHQ1" s="22"/>
      <c r="PHR1" s="22"/>
      <c r="PHS1" s="22"/>
      <c r="PHT1" s="22"/>
      <c r="PHU1" s="22"/>
      <c r="PHV1" s="22"/>
      <c r="PHW1" s="22"/>
      <c r="PHX1" s="22"/>
      <c r="PHY1" s="22"/>
      <c r="PHZ1" s="22"/>
      <c r="PIA1" s="22"/>
      <c r="PIB1" s="22"/>
      <c r="PIC1" s="22"/>
      <c r="PID1" s="22"/>
      <c r="PIE1" s="22"/>
      <c r="PIF1" s="22"/>
      <c r="PIG1" s="22"/>
      <c r="PIH1" s="22"/>
      <c r="PII1" s="22"/>
      <c r="PIJ1" s="22"/>
      <c r="PIK1" s="22"/>
      <c r="PIL1" s="22"/>
      <c r="PIM1" s="22"/>
      <c r="PIN1" s="22"/>
      <c r="PIO1" s="22"/>
      <c r="PIP1" s="22"/>
      <c r="PIQ1" s="22"/>
      <c r="PIR1" s="22"/>
      <c r="PIS1" s="22"/>
      <c r="PIT1" s="22"/>
      <c r="PIU1" s="22"/>
      <c r="PIV1" s="22"/>
      <c r="PIW1" s="22"/>
      <c r="PIX1" s="22"/>
      <c r="PIY1" s="22"/>
      <c r="PIZ1" s="22"/>
      <c r="PJA1" s="22"/>
      <c r="PJB1" s="22"/>
      <c r="PJC1" s="22"/>
      <c r="PJD1" s="22"/>
      <c r="PJE1" s="22"/>
      <c r="PJF1" s="22"/>
      <c r="PJG1" s="22"/>
      <c r="PJH1" s="22"/>
      <c r="PJI1" s="22"/>
      <c r="PJJ1" s="22"/>
      <c r="PJK1" s="22"/>
      <c r="PJL1" s="22"/>
      <c r="PJM1" s="22"/>
      <c r="PJN1" s="22"/>
      <c r="PJO1" s="22"/>
      <c r="PJP1" s="22"/>
      <c r="PJQ1" s="22"/>
      <c r="PJR1" s="22"/>
      <c r="PJS1" s="22"/>
      <c r="PJT1" s="22"/>
      <c r="PJU1" s="22"/>
      <c r="PJV1" s="22"/>
      <c r="PJW1" s="22"/>
      <c r="PJX1" s="22"/>
      <c r="PJY1" s="22"/>
      <c r="PJZ1" s="22"/>
      <c r="PKA1" s="22"/>
      <c r="PKB1" s="22"/>
      <c r="PKC1" s="22"/>
      <c r="PKD1" s="22"/>
      <c r="PKE1" s="22"/>
      <c r="PKF1" s="22"/>
      <c r="PKG1" s="22"/>
      <c r="PKH1" s="22"/>
      <c r="PKI1" s="22"/>
      <c r="PKJ1" s="22"/>
      <c r="PKK1" s="22"/>
      <c r="PKL1" s="22"/>
      <c r="PKM1" s="22"/>
      <c r="PKN1" s="22"/>
      <c r="PKO1" s="22"/>
      <c r="PKP1" s="22"/>
      <c r="PKQ1" s="22"/>
      <c r="PKR1" s="22"/>
      <c r="PKS1" s="22"/>
      <c r="PKT1" s="22"/>
      <c r="PKU1" s="22"/>
      <c r="PKV1" s="22"/>
      <c r="PKW1" s="22"/>
      <c r="PKX1" s="22"/>
      <c r="PKY1" s="22"/>
      <c r="PKZ1" s="22"/>
      <c r="PLA1" s="22"/>
      <c r="PLB1" s="22"/>
      <c r="PLC1" s="22"/>
      <c r="PLD1" s="22"/>
      <c r="PLE1" s="22"/>
      <c r="PLF1" s="22"/>
      <c r="PLG1" s="22"/>
      <c r="PLH1" s="22"/>
      <c r="PLI1" s="22"/>
      <c r="PLJ1" s="22"/>
      <c r="PLK1" s="22"/>
      <c r="PLL1" s="22"/>
      <c r="PLM1" s="22"/>
      <c r="PLN1" s="22"/>
      <c r="PLO1" s="22"/>
      <c r="PLP1" s="22"/>
      <c r="PLQ1" s="22"/>
      <c r="PLR1" s="22"/>
      <c r="PLS1" s="22"/>
      <c r="PLT1" s="22"/>
      <c r="PLU1" s="22"/>
      <c r="PLV1" s="22"/>
      <c r="PLW1" s="22"/>
      <c r="PLX1" s="22"/>
      <c r="PLY1" s="22"/>
      <c r="PLZ1" s="22"/>
      <c r="PMA1" s="22"/>
      <c r="PMB1" s="22"/>
      <c r="PMC1" s="22"/>
      <c r="PMD1" s="22"/>
      <c r="PME1" s="22"/>
      <c r="PMF1" s="22"/>
      <c r="PMG1" s="22"/>
      <c r="PMH1" s="22"/>
      <c r="PMI1" s="22"/>
      <c r="PMJ1" s="22"/>
      <c r="PMK1" s="22"/>
      <c r="PML1" s="22"/>
      <c r="PMM1" s="22"/>
      <c r="PMN1" s="22"/>
      <c r="PMO1" s="22"/>
      <c r="PMP1" s="22"/>
      <c r="PMQ1" s="22"/>
      <c r="PMR1" s="22"/>
      <c r="PMS1" s="22"/>
      <c r="PMT1" s="22"/>
      <c r="PMU1" s="22"/>
      <c r="PMV1" s="22"/>
      <c r="PMW1" s="22"/>
      <c r="PMX1" s="22"/>
      <c r="PMY1" s="22"/>
      <c r="PMZ1" s="22"/>
      <c r="PNA1" s="22"/>
      <c r="PNB1" s="22"/>
      <c r="PNC1" s="22"/>
      <c r="PND1" s="22"/>
      <c r="PNE1" s="22"/>
      <c r="PNF1" s="22"/>
      <c r="PNG1" s="22"/>
      <c r="PNH1" s="22"/>
      <c r="PNI1" s="22"/>
      <c r="PNJ1" s="22"/>
      <c r="PNK1" s="22"/>
      <c r="PNL1" s="22"/>
      <c r="PNM1" s="22"/>
      <c r="PNN1" s="22"/>
      <c r="PNO1" s="22"/>
      <c r="PNP1" s="22"/>
      <c r="PNQ1" s="22"/>
      <c r="PNR1" s="22"/>
      <c r="PNS1" s="22"/>
      <c r="PNT1" s="22"/>
      <c r="PNU1" s="22"/>
      <c r="PNV1" s="22"/>
      <c r="PNW1" s="22"/>
      <c r="PNX1" s="22"/>
      <c r="PNY1" s="22"/>
      <c r="PNZ1" s="22"/>
      <c r="POA1" s="22"/>
      <c r="POB1" s="22"/>
      <c r="POC1" s="22"/>
      <c r="POD1" s="22"/>
      <c r="POE1" s="22"/>
      <c r="POF1" s="22"/>
      <c r="POG1" s="22"/>
      <c r="POH1" s="22"/>
      <c r="POI1" s="22"/>
      <c r="POJ1" s="22"/>
      <c r="POK1" s="22"/>
      <c r="POL1" s="22"/>
      <c r="POM1" s="22"/>
      <c r="PON1" s="22"/>
      <c r="POO1" s="22"/>
      <c r="POP1" s="22"/>
      <c r="POQ1" s="22"/>
      <c r="POR1" s="22"/>
      <c r="POS1" s="22"/>
      <c r="POT1" s="22"/>
      <c r="POU1" s="22"/>
      <c r="POV1" s="22"/>
      <c r="POW1" s="22"/>
      <c r="POX1" s="22"/>
      <c r="POY1" s="22"/>
      <c r="POZ1" s="22"/>
      <c r="PPA1" s="22"/>
      <c r="PPB1" s="22"/>
      <c r="PPC1" s="22"/>
      <c r="PPD1" s="22"/>
      <c r="PPE1" s="22"/>
      <c r="PPF1" s="22"/>
      <c r="PPG1" s="22"/>
      <c r="PPH1" s="22"/>
      <c r="PPI1" s="22"/>
      <c r="PPJ1" s="22"/>
      <c r="PPK1" s="22"/>
      <c r="PPL1" s="22"/>
      <c r="PPM1" s="22"/>
      <c r="PPN1" s="22"/>
      <c r="PPO1" s="22"/>
      <c r="PPP1" s="22"/>
      <c r="PPQ1" s="22"/>
      <c r="PPR1" s="22"/>
      <c r="PPS1" s="22"/>
      <c r="PPT1" s="22"/>
      <c r="PPU1" s="22"/>
      <c r="PPV1" s="22"/>
      <c r="PPW1" s="22"/>
      <c r="PPX1" s="22"/>
      <c r="PPY1" s="22"/>
      <c r="PPZ1" s="22"/>
      <c r="PQA1" s="22"/>
      <c r="PQB1" s="22"/>
      <c r="PQC1" s="22"/>
      <c r="PQD1" s="22"/>
      <c r="PQE1" s="22"/>
      <c r="PQF1" s="22"/>
      <c r="PQG1" s="22"/>
      <c r="PQH1" s="22"/>
      <c r="PQI1" s="22"/>
      <c r="PQJ1" s="22"/>
      <c r="PQK1" s="22"/>
      <c r="PQL1" s="22"/>
      <c r="PQM1" s="22"/>
      <c r="PQN1" s="22"/>
      <c r="PQO1" s="22"/>
      <c r="PQP1" s="22"/>
      <c r="PQQ1" s="22"/>
      <c r="PQR1" s="22"/>
      <c r="PQS1" s="22"/>
      <c r="PQT1" s="22"/>
      <c r="PQU1" s="22"/>
      <c r="PQV1" s="22"/>
      <c r="PQW1" s="22"/>
      <c r="PQX1" s="22"/>
      <c r="PQY1" s="22"/>
      <c r="PQZ1" s="22"/>
      <c r="PRA1" s="22"/>
      <c r="PRB1" s="22"/>
      <c r="PRC1" s="22"/>
      <c r="PRD1" s="22"/>
      <c r="PRE1" s="22"/>
      <c r="PRF1" s="22"/>
      <c r="PRG1" s="22"/>
      <c r="PRH1" s="22"/>
      <c r="PRI1" s="22"/>
      <c r="PRJ1" s="22"/>
      <c r="PRK1" s="22"/>
      <c r="PRL1" s="22"/>
      <c r="PRM1" s="22"/>
      <c r="PRN1" s="22"/>
      <c r="PRO1" s="22"/>
      <c r="PRP1" s="22"/>
      <c r="PRQ1" s="22"/>
      <c r="PRR1" s="22"/>
      <c r="PRS1" s="22"/>
      <c r="PRT1" s="22"/>
      <c r="PRU1" s="22"/>
      <c r="PRV1" s="22"/>
      <c r="PRW1" s="22"/>
      <c r="PRX1" s="22"/>
      <c r="PRY1" s="22"/>
      <c r="PRZ1" s="22"/>
      <c r="PSA1" s="22"/>
      <c r="PSB1" s="22"/>
      <c r="PSC1" s="22"/>
      <c r="PSD1" s="22"/>
      <c r="PSE1" s="22"/>
      <c r="PSF1" s="22"/>
      <c r="PSG1" s="22"/>
      <c r="PSH1" s="22"/>
      <c r="PSI1" s="22"/>
      <c r="PSJ1" s="22"/>
      <c r="PSK1" s="22"/>
      <c r="PSL1" s="22"/>
      <c r="PSM1" s="22"/>
      <c r="PSN1" s="22"/>
      <c r="PSO1" s="22"/>
      <c r="PSP1" s="22"/>
      <c r="PSQ1" s="22"/>
      <c r="PSR1" s="22"/>
      <c r="PSS1" s="22"/>
      <c r="PST1" s="22"/>
      <c r="PSU1" s="22"/>
      <c r="PSV1" s="22"/>
      <c r="PSW1" s="22"/>
      <c r="PSX1" s="22"/>
      <c r="PSY1" s="22"/>
      <c r="PSZ1" s="22"/>
      <c r="PTA1" s="22"/>
      <c r="PTB1" s="22"/>
      <c r="PTC1" s="22"/>
      <c r="PTD1" s="22"/>
      <c r="PTE1" s="22"/>
      <c r="PTF1" s="22"/>
      <c r="PTG1" s="22"/>
      <c r="PTH1" s="22"/>
      <c r="PTI1" s="22"/>
      <c r="PTJ1" s="22"/>
      <c r="PTK1" s="22"/>
      <c r="PTL1" s="22"/>
      <c r="PTM1" s="22"/>
      <c r="PTN1" s="22"/>
      <c r="PTO1" s="22"/>
      <c r="PTP1" s="22"/>
      <c r="PTQ1" s="22"/>
      <c r="PTR1" s="22"/>
      <c r="PTS1" s="22"/>
      <c r="PTT1" s="22"/>
      <c r="PTU1" s="22"/>
      <c r="PTV1" s="22"/>
      <c r="PTW1" s="22"/>
      <c r="PTX1" s="22"/>
      <c r="PTY1" s="22"/>
      <c r="PTZ1" s="22"/>
      <c r="PUA1" s="22"/>
      <c r="PUB1" s="22"/>
      <c r="PUC1" s="22"/>
      <c r="PUD1" s="22"/>
      <c r="PUE1" s="22"/>
      <c r="PUF1" s="22"/>
      <c r="PUG1" s="22"/>
      <c r="PUH1" s="22"/>
      <c r="PUI1" s="22"/>
      <c r="PUJ1" s="22"/>
      <c r="PUK1" s="22"/>
      <c r="PUL1" s="22"/>
      <c r="PUM1" s="22"/>
      <c r="PUN1" s="22"/>
      <c r="PUO1" s="22"/>
      <c r="PUP1" s="22"/>
      <c r="PUQ1" s="22"/>
      <c r="PUR1" s="22"/>
      <c r="PUS1" s="22"/>
      <c r="PUT1" s="22"/>
      <c r="PUU1" s="22"/>
      <c r="PUV1" s="22"/>
      <c r="PUW1" s="22"/>
      <c r="PUX1" s="22"/>
      <c r="PUY1" s="22"/>
      <c r="PUZ1" s="22"/>
      <c r="PVA1" s="22"/>
      <c r="PVB1" s="22"/>
      <c r="PVC1" s="22"/>
      <c r="PVD1" s="22"/>
      <c r="PVE1" s="22"/>
      <c r="PVF1" s="22"/>
      <c r="PVG1" s="22"/>
      <c r="PVH1" s="22"/>
      <c r="PVI1" s="22"/>
      <c r="PVJ1" s="22"/>
      <c r="PVK1" s="22"/>
      <c r="PVL1" s="22"/>
      <c r="PVM1" s="22"/>
      <c r="PVN1" s="22"/>
      <c r="PVO1" s="22"/>
      <c r="PVP1" s="22"/>
      <c r="PVQ1" s="22"/>
      <c r="PVR1" s="22"/>
      <c r="PVS1" s="22"/>
      <c r="PVT1" s="22"/>
      <c r="PVU1" s="22"/>
      <c r="PVV1" s="22"/>
      <c r="PVW1" s="22"/>
      <c r="PVX1" s="22"/>
      <c r="PVY1" s="22"/>
      <c r="PVZ1" s="22"/>
      <c r="PWA1" s="22"/>
      <c r="PWB1" s="22"/>
      <c r="PWC1" s="22"/>
      <c r="PWD1" s="22"/>
      <c r="PWE1" s="22"/>
      <c r="PWF1" s="22"/>
      <c r="PWG1" s="22"/>
      <c r="PWH1" s="22"/>
      <c r="PWI1" s="22"/>
      <c r="PWJ1" s="22"/>
      <c r="PWK1" s="22"/>
      <c r="PWL1" s="22"/>
      <c r="PWM1" s="22"/>
      <c r="PWN1" s="22"/>
      <c r="PWO1" s="22"/>
      <c r="PWP1" s="22"/>
      <c r="PWQ1" s="22"/>
      <c r="PWR1" s="22"/>
      <c r="PWS1" s="22"/>
      <c r="PWT1" s="22"/>
      <c r="PWU1" s="22"/>
      <c r="PWV1" s="22"/>
      <c r="PWW1" s="22"/>
      <c r="PWX1" s="22"/>
      <c r="PWY1" s="22"/>
      <c r="PWZ1" s="22"/>
      <c r="PXA1" s="22"/>
      <c r="PXB1" s="22"/>
      <c r="PXC1" s="22"/>
      <c r="PXD1" s="22"/>
      <c r="PXE1" s="22"/>
      <c r="PXF1" s="22"/>
      <c r="PXG1" s="22"/>
      <c r="PXH1" s="22"/>
      <c r="PXI1" s="22"/>
      <c r="PXJ1" s="22"/>
      <c r="PXK1" s="22"/>
      <c r="PXL1" s="22"/>
      <c r="PXM1" s="22"/>
      <c r="PXN1" s="22"/>
      <c r="PXO1" s="22"/>
      <c r="PXP1" s="22"/>
      <c r="PXQ1" s="22"/>
      <c r="PXR1" s="22"/>
      <c r="PXS1" s="22"/>
      <c r="PXT1" s="22"/>
      <c r="PXU1" s="22"/>
      <c r="PXV1" s="22"/>
      <c r="PXW1" s="22"/>
      <c r="PXX1" s="22"/>
      <c r="PXY1" s="22"/>
      <c r="PXZ1" s="22"/>
      <c r="PYA1" s="22"/>
      <c r="PYB1" s="22"/>
      <c r="PYC1" s="22"/>
      <c r="PYD1" s="22"/>
      <c r="PYE1" s="22"/>
      <c r="PYF1" s="22"/>
      <c r="PYG1" s="22"/>
      <c r="PYH1" s="22"/>
      <c r="PYI1" s="22"/>
      <c r="PYJ1" s="22"/>
      <c r="PYK1" s="22"/>
      <c r="PYL1" s="22"/>
      <c r="PYM1" s="22"/>
      <c r="PYN1" s="22"/>
      <c r="PYO1" s="22"/>
      <c r="PYP1" s="22"/>
      <c r="PYQ1" s="22"/>
      <c r="PYR1" s="22"/>
      <c r="PYS1" s="22"/>
      <c r="PYT1" s="22"/>
      <c r="PYU1" s="22"/>
      <c r="PYV1" s="22"/>
      <c r="PYW1" s="22"/>
      <c r="PYX1" s="22"/>
      <c r="PYY1" s="22"/>
      <c r="PYZ1" s="22"/>
      <c r="PZA1" s="22"/>
      <c r="PZB1" s="22"/>
      <c r="PZC1" s="22"/>
      <c r="PZD1" s="22"/>
      <c r="PZE1" s="22"/>
      <c r="PZF1" s="22"/>
      <c r="PZG1" s="22"/>
      <c r="PZH1" s="22"/>
      <c r="PZI1" s="22"/>
      <c r="PZJ1" s="22"/>
      <c r="PZK1" s="22"/>
      <c r="PZL1" s="22"/>
      <c r="PZM1" s="22"/>
      <c r="PZN1" s="22"/>
      <c r="PZO1" s="22"/>
      <c r="PZP1" s="22"/>
      <c r="PZQ1" s="22"/>
      <c r="PZR1" s="22"/>
      <c r="PZS1" s="22"/>
      <c r="PZT1" s="22"/>
      <c r="PZU1" s="22"/>
      <c r="PZV1" s="22"/>
      <c r="PZW1" s="22"/>
      <c r="PZX1" s="22"/>
      <c r="PZY1" s="22"/>
      <c r="PZZ1" s="22"/>
      <c r="QAA1" s="22"/>
      <c r="QAB1" s="22"/>
      <c r="QAC1" s="22"/>
      <c r="QAD1" s="22"/>
      <c r="QAE1" s="22"/>
      <c r="QAF1" s="22"/>
      <c r="QAG1" s="22"/>
      <c r="QAH1" s="22"/>
      <c r="QAI1" s="22"/>
      <c r="QAJ1" s="22"/>
      <c r="QAK1" s="22"/>
      <c r="QAL1" s="22"/>
      <c r="QAM1" s="22"/>
      <c r="QAN1" s="22"/>
      <c r="QAO1" s="22"/>
      <c r="QAP1" s="22"/>
      <c r="QAQ1" s="22"/>
      <c r="QAR1" s="22"/>
      <c r="QAS1" s="22"/>
      <c r="QAT1" s="22"/>
      <c r="QAU1" s="22"/>
      <c r="QAV1" s="22"/>
      <c r="QAW1" s="22"/>
      <c r="QAX1" s="22"/>
      <c r="QAY1" s="22"/>
      <c r="QAZ1" s="22"/>
      <c r="QBA1" s="22"/>
      <c r="QBB1" s="22"/>
      <c r="QBC1" s="22"/>
      <c r="QBD1" s="22"/>
      <c r="QBE1" s="22"/>
      <c r="QBF1" s="22"/>
      <c r="QBG1" s="22"/>
      <c r="QBH1" s="22"/>
      <c r="QBI1" s="22"/>
      <c r="QBJ1" s="22"/>
      <c r="QBK1" s="22"/>
      <c r="QBL1" s="22"/>
      <c r="QBM1" s="22"/>
      <c r="QBN1" s="22"/>
      <c r="QBO1" s="22"/>
      <c r="QBP1" s="22"/>
      <c r="QBQ1" s="22"/>
      <c r="QBR1" s="22"/>
      <c r="QBS1" s="22"/>
      <c r="QBT1" s="22"/>
      <c r="QBU1" s="22"/>
      <c r="QBV1" s="22"/>
      <c r="QBW1" s="22"/>
      <c r="QBX1" s="22"/>
      <c r="QBY1" s="22"/>
      <c r="QBZ1" s="22"/>
      <c r="QCA1" s="22"/>
      <c r="QCB1" s="22"/>
      <c r="QCC1" s="22"/>
      <c r="QCD1" s="22"/>
      <c r="QCE1" s="22"/>
      <c r="QCF1" s="22"/>
      <c r="QCG1" s="22"/>
      <c r="QCH1" s="22"/>
      <c r="QCI1" s="22"/>
      <c r="QCJ1" s="22"/>
      <c r="QCK1" s="22"/>
      <c r="QCL1" s="22"/>
      <c r="QCM1" s="22"/>
      <c r="QCN1" s="22"/>
      <c r="QCO1" s="22"/>
      <c r="QCP1" s="22"/>
      <c r="QCQ1" s="22"/>
      <c r="QCR1" s="22"/>
      <c r="QCS1" s="22"/>
      <c r="QCT1" s="22"/>
      <c r="QCU1" s="22"/>
      <c r="QCV1" s="22"/>
      <c r="QCW1" s="22"/>
      <c r="QCX1" s="22"/>
      <c r="QCY1" s="22"/>
      <c r="QCZ1" s="22"/>
      <c r="QDA1" s="22"/>
      <c r="QDB1" s="22"/>
      <c r="QDC1" s="22"/>
      <c r="QDD1" s="22"/>
      <c r="QDE1" s="22"/>
      <c r="QDF1" s="22"/>
      <c r="QDG1" s="22"/>
      <c r="QDH1" s="22"/>
      <c r="QDI1" s="22"/>
      <c r="QDJ1" s="22"/>
      <c r="QDK1" s="22"/>
      <c r="QDL1" s="22"/>
      <c r="QDM1" s="22"/>
      <c r="QDN1" s="22"/>
      <c r="QDO1" s="22"/>
      <c r="QDP1" s="22"/>
      <c r="QDQ1" s="22"/>
      <c r="QDR1" s="22"/>
      <c r="QDS1" s="22"/>
      <c r="QDT1" s="22"/>
      <c r="QDU1" s="22"/>
      <c r="QDV1" s="22"/>
      <c r="QDW1" s="22"/>
      <c r="QDX1" s="22"/>
      <c r="QDY1" s="22"/>
      <c r="QDZ1" s="22"/>
      <c r="QEA1" s="22"/>
      <c r="QEB1" s="22"/>
      <c r="QEC1" s="22"/>
      <c r="QED1" s="22"/>
      <c r="QEE1" s="22"/>
      <c r="QEF1" s="22"/>
      <c r="QEG1" s="22"/>
      <c r="QEH1" s="22"/>
      <c r="QEI1" s="22"/>
      <c r="QEJ1" s="22"/>
      <c r="QEK1" s="22"/>
      <c r="QEL1" s="22"/>
      <c r="QEM1" s="22"/>
      <c r="QEN1" s="22"/>
      <c r="QEO1" s="22"/>
      <c r="QEP1" s="22"/>
      <c r="QEQ1" s="22"/>
      <c r="QER1" s="22"/>
      <c r="QES1" s="22"/>
      <c r="QET1" s="22"/>
      <c r="QEU1" s="22"/>
      <c r="QEV1" s="22"/>
      <c r="QEW1" s="22"/>
      <c r="QEX1" s="22"/>
      <c r="QEY1" s="22"/>
      <c r="QEZ1" s="22"/>
      <c r="QFA1" s="22"/>
      <c r="QFB1" s="22"/>
      <c r="QFC1" s="22"/>
      <c r="QFD1" s="22"/>
      <c r="QFE1" s="22"/>
      <c r="QFF1" s="22"/>
      <c r="QFG1" s="22"/>
      <c r="QFH1" s="22"/>
      <c r="QFI1" s="22"/>
      <c r="QFJ1" s="22"/>
      <c r="QFK1" s="22"/>
      <c r="QFL1" s="22"/>
      <c r="QFM1" s="22"/>
      <c r="QFN1" s="22"/>
      <c r="QFO1" s="22"/>
      <c r="QFP1" s="22"/>
      <c r="QFQ1" s="22"/>
      <c r="QFR1" s="22"/>
      <c r="QFS1" s="22"/>
      <c r="QFT1" s="22"/>
      <c r="QFU1" s="22"/>
      <c r="QFV1" s="22"/>
      <c r="QFW1" s="22"/>
      <c r="QFX1" s="22"/>
      <c r="QFY1" s="22"/>
      <c r="QFZ1" s="22"/>
      <c r="QGA1" s="22"/>
      <c r="QGB1" s="22"/>
      <c r="QGC1" s="22"/>
      <c r="QGD1" s="22"/>
      <c r="QGE1" s="22"/>
      <c r="QGF1" s="22"/>
      <c r="QGG1" s="22"/>
      <c r="QGH1" s="22"/>
      <c r="QGI1" s="22"/>
      <c r="QGJ1" s="22"/>
      <c r="QGK1" s="22"/>
      <c r="QGL1" s="22"/>
      <c r="QGM1" s="22"/>
      <c r="QGN1" s="22"/>
      <c r="QGO1" s="22"/>
      <c r="QGP1" s="22"/>
      <c r="QGQ1" s="22"/>
      <c r="QGR1" s="22"/>
      <c r="QGS1" s="22"/>
      <c r="QGT1" s="22"/>
      <c r="QGU1" s="22"/>
      <c r="QGV1" s="22"/>
      <c r="QGW1" s="22"/>
      <c r="QGX1" s="22"/>
      <c r="QGY1" s="22"/>
      <c r="QGZ1" s="22"/>
      <c r="QHA1" s="22"/>
      <c r="QHB1" s="22"/>
      <c r="QHC1" s="22"/>
      <c r="QHD1" s="22"/>
      <c r="QHE1" s="22"/>
      <c r="QHF1" s="22"/>
      <c r="QHG1" s="22"/>
      <c r="QHH1" s="22"/>
      <c r="QHI1" s="22"/>
      <c r="QHJ1" s="22"/>
      <c r="QHK1" s="22"/>
      <c r="QHL1" s="22"/>
      <c r="QHM1" s="22"/>
      <c r="QHN1" s="22"/>
      <c r="QHO1" s="22"/>
      <c r="QHP1" s="22"/>
      <c r="QHQ1" s="22"/>
      <c r="QHR1" s="22"/>
      <c r="QHS1" s="22"/>
      <c r="QHT1" s="22"/>
      <c r="QHU1" s="22"/>
      <c r="QHV1" s="22"/>
      <c r="QHW1" s="22"/>
      <c r="QHX1" s="22"/>
      <c r="QHY1" s="22"/>
      <c r="QHZ1" s="22"/>
      <c r="QIA1" s="22"/>
      <c r="QIB1" s="22"/>
      <c r="QIC1" s="22"/>
      <c r="QID1" s="22"/>
      <c r="QIE1" s="22"/>
      <c r="QIF1" s="22"/>
      <c r="QIG1" s="22"/>
      <c r="QIH1" s="22"/>
      <c r="QII1" s="22"/>
      <c r="QIJ1" s="22"/>
      <c r="QIK1" s="22"/>
      <c r="QIL1" s="22"/>
      <c r="QIM1" s="22"/>
      <c r="QIN1" s="22"/>
      <c r="QIO1" s="22"/>
      <c r="QIP1" s="22"/>
      <c r="QIQ1" s="22"/>
      <c r="QIR1" s="22"/>
      <c r="QIS1" s="22"/>
      <c r="QIT1" s="22"/>
      <c r="QIU1" s="22"/>
      <c r="QIV1" s="22"/>
      <c r="QIW1" s="22"/>
      <c r="QIX1" s="22"/>
      <c r="QIY1" s="22"/>
      <c r="QIZ1" s="22"/>
      <c r="QJA1" s="22"/>
      <c r="QJB1" s="22"/>
      <c r="QJC1" s="22"/>
      <c r="QJD1" s="22"/>
      <c r="QJE1" s="22"/>
      <c r="QJF1" s="22"/>
      <c r="QJG1" s="22"/>
      <c r="QJH1" s="22"/>
      <c r="QJI1" s="22"/>
      <c r="QJJ1" s="22"/>
      <c r="QJK1" s="22"/>
      <c r="QJL1" s="22"/>
      <c r="QJM1" s="22"/>
      <c r="QJN1" s="22"/>
      <c r="QJO1" s="22"/>
      <c r="QJP1" s="22"/>
      <c r="QJQ1" s="22"/>
      <c r="QJR1" s="22"/>
      <c r="QJS1" s="22"/>
      <c r="QJT1" s="22"/>
      <c r="QJU1" s="22"/>
      <c r="QJV1" s="22"/>
      <c r="QJW1" s="22"/>
      <c r="QJX1" s="22"/>
      <c r="QJY1" s="22"/>
      <c r="QJZ1" s="22"/>
      <c r="QKA1" s="22"/>
      <c r="QKB1" s="22"/>
      <c r="QKC1" s="22"/>
      <c r="QKD1" s="22"/>
      <c r="QKE1" s="22"/>
      <c r="QKF1" s="22"/>
      <c r="QKG1" s="22"/>
      <c r="QKH1" s="22"/>
      <c r="QKI1" s="22"/>
      <c r="QKJ1" s="22"/>
      <c r="QKK1" s="22"/>
      <c r="QKL1" s="22"/>
      <c r="QKM1" s="22"/>
      <c r="QKN1" s="22"/>
      <c r="QKO1" s="22"/>
      <c r="QKP1" s="22"/>
      <c r="QKQ1" s="22"/>
      <c r="QKR1" s="22"/>
      <c r="QKS1" s="22"/>
      <c r="QKT1" s="22"/>
      <c r="QKU1" s="22"/>
      <c r="QKV1" s="22"/>
      <c r="QKW1" s="22"/>
      <c r="QKX1" s="22"/>
      <c r="QKY1" s="22"/>
      <c r="QKZ1" s="22"/>
      <c r="QLA1" s="22"/>
      <c r="QLB1" s="22"/>
      <c r="QLC1" s="22"/>
      <c r="QLD1" s="22"/>
      <c r="QLE1" s="22"/>
      <c r="QLF1" s="22"/>
      <c r="QLG1" s="22"/>
      <c r="QLH1" s="22"/>
      <c r="QLI1" s="22"/>
      <c r="QLJ1" s="22"/>
      <c r="QLK1" s="22"/>
      <c r="QLL1" s="22"/>
      <c r="QLM1" s="22"/>
      <c r="QLN1" s="22"/>
      <c r="QLO1" s="22"/>
      <c r="QLP1" s="22"/>
      <c r="QLQ1" s="22"/>
      <c r="QLR1" s="22"/>
      <c r="QLS1" s="22"/>
      <c r="QLT1" s="22"/>
      <c r="QLU1" s="22"/>
      <c r="QLV1" s="22"/>
      <c r="QLW1" s="22"/>
      <c r="QLX1" s="22"/>
      <c r="QLY1" s="22"/>
      <c r="QLZ1" s="22"/>
      <c r="QMA1" s="22"/>
      <c r="QMB1" s="22"/>
      <c r="QMC1" s="22"/>
      <c r="QMD1" s="22"/>
      <c r="QME1" s="22"/>
      <c r="QMF1" s="22"/>
      <c r="QMG1" s="22"/>
      <c r="QMH1" s="22"/>
      <c r="QMI1" s="22"/>
      <c r="QMJ1" s="22"/>
      <c r="QMK1" s="22"/>
      <c r="QML1" s="22"/>
      <c r="QMM1" s="22"/>
      <c r="QMN1" s="22"/>
      <c r="QMO1" s="22"/>
      <c r="QMP1" s="22"/>
      <c r="QMQ1" s="22"/>
      <c r="QMR1" s="22"/>
      <c r="QMS1" s="22"/>
      <c r="QMT1" s="22"/>
      <c r="QMU1" s="22"/>
      <c r="QMV1" s="22"/>
      <c r="QMW1" s="22"/>
      <c r="QMX1" s="22"/>
      <c r="QMY1" s="22"/>
      <c r="QMZ1" s="22"/>
      <c r="QNA1" s="22"/>
      <c r="QNB1" s="22"/>
      <c r="QNC1" s="22"/>
      <c r="QND1" s="22"/>
      <c r="QNE1" s="22"/>
      <c r="QNF1" s="22"/>
      <c r="QNG1" s="22"/>
      <c r="QNH1" s="22"/>
      <c r="QNI1" s="22"/>
      <c r="QNJ1" s="22"/>
      <c r="QNK1" s="22"/>
      <c r="QNL1" s="22"/>
      <c r="QNM1" s="22"/>
      <c r="QNN1" s="22"/>
      <c r="QNO1" s="22"/>
      <c r="QNP1" s="22"/>
      <c r="QNQ1" s="22"/>
      <c r="QNR1" s="22"/>
      <c r="QNS1" s="22"/>
      <c r="QNT1" s="22"/>
      <c r="QNU1" s="22"/>
      <c r="QNV1" s="22"/>
      <c r="QNW1" s="22"/>
      <c r="QNX1" s="22"/>
      <c r="QNY1" s="22"/>
      <c r="QNZ1" s="22"/>
      <c r="QOA1" s="22"/>
      <c r="QOB1" s="22"/>
      <c r="QOC1" s="22"/>
      <c r="QOD1" s="22"/>
      <c r="QOE1" s="22"/>
      <c r="QOF1" s="22"/>
      <c r="QOG1" s="22"/>
      <c r="QOH1" s="22"/>
      <c r="QOI1" s="22"/>
      <c r="QOJ1" s="22"/>
      <c r="QOK1" s="22"/>
      <c r="QOL1" s="22"/>
      <c r="QOM1" s="22"/>
      <c r="QON1" s="22"/>
      <c r="QOO1" s="22"/>
      <c r="QOP1" s="22"/>
      <c r="QOQ1" s="22"/>
      <c r="QOR1" s="22"/>
      <c r="QOS1" s="22"/>
      <c r="QOT1" s="22"/>
      <c r="QOU1" s="22"/>
      <c r="QOV1" s="22"/>
      <c r="QOW1" s="22"/>
      <c r="QOX1" s="22"/>
      <c r="QOY1" s="22"/>
      <c r="QOZ1" s="22"/>
      <c r="QPA1" s="22"/>
      <c r="QPB1" s="22"/>
      <c r="QPC1" s="22"/>
      <c r="QPD1" s="22"/>
      <c r="QPE1" s="22"/>
      <c r="QPF1" s="22"/>
      <c r="QPG1" s="22"/>
      <c r="QPH1" s="22"/>
      <c r="QPI1" s="22"/>
      <c r="QPJ1" s="22"/>
      <c r="QPK1" s="22"/>
      <c r="QPL1" s="22"/>
      <c r="QPM1" s="22"/>
      <c r="QPN1" s="22"/>
      <c r="QPO1" s="22"/>
      <c r="QPP1" s="22"/>
      <c r="QPQ1" s="22"/>
      <c r="QPR1" s="22"/>
      <c r="QPS1" s="22"/>
      <c r="QPT1" s="22"/>
      <c r="QPU1" s="22"/>
      <c r="QPV1" s="22"/>
      <c r="QPW1" s="22"/>
      <c r="QPX1" s="22"/>
      <c r="QPY1" s="22"/>
      <c r="QPZ1" s="22"/>
      <c r="QQA1" s="22"/>
      <c r="QQB1" s="22"/>
      <c r="QQC1" s="22"/>
      <c r="QQD1" s="22"/>
      <c r="QQE1" s="22"/>
      <c r="QQF1" s="22"/>
      <c r="QQG1" s="22"/>
      <c r="QQH1" s="22"/>
      <c r="QQI1" s="22"/>
      <c r="QQJ1" s="22"/>
      <c r="QQK1" s="22"/>
      <c r="QQL1" s="22"/>
      <c r="QQM1" s="22"/>
      <c r="QQN1" s="22"/>
      <c r="QQO1" s="22"/>
      <c r="QQP1" s="22"/>
      <c r="QQQ1" s="22"/>
      <c r="QQR1" s="22"/>
      <c r="QQS1" s="22"/>
      <c r="QQT1" s="22"/>
      <c r="QQU1" s="22"/>
      <c r="QQV1" s="22"/>
      <c r="QQW1" s="22"/>
      <c r="QQX1" s="22"/>
      <c r="QQY1" s="22"/>
      <c r="QQZ1" s="22"/>
      <c r="QRA1" s="22"/>
      <c r="QRB1" s="22"/>
      <c r="QRC1" s="22"/>
      <c r="QRD1" s="22"/>
      <c r="QRE1" s="22"/>
      <c r="QRF1" s="22"/>
      <c r="QRG1" s="22"/>
      <c r="QRH1" s="22"/>
      <c r="QRI1" s="22"/>
      <c r="QRJ1" s="22"/>
      <c r="QRK1" s="22"/>
      <c r="QRL1" s="22"/>
      <c r="QRM1" s="22"/>
      <c r="QRN1" s="22"/>
      <c r="QRO1" s="22"/>
      <c r="QRP1" s="22"/>
      <c r="QRQ1" s="22"/>
      <c r="QRR1" s="22"/>
      <c r="QRS1" s="22"/>
      <c r="QRT1" s="22"/>
      <c r="QRU1" s="22"/>
      <c r="QRV1" s="22"/>
      <c r="QRW1" s="22"/>
      <c r="QRX1" s="22"/>
      <c r="QRY1" s="22"/>
      <c r="QRZ1" s="22"/>
      <c r="QSA1" s="22"/>
      <c r="QSB1" s="22"/>
      <c r="QSC1" s="22"/>
      <c r="QSD1" s="22"/>
      <c r="QSE1" s="22"/>
      <c r="QSF1" s="22"/>
      <c r="QSG1" s="22"/>
      <c r="QSH1" s="22"/>
      <c r="QSI1" s="22"/>
      <c r="QSJ1" s="22"/>
      <c r="QSK1" s="22"/>
      <c r="QSL1" s="22"/>
      <c r="QSM1" s="22"/>
      <c r="QSN1" s="22"/>
      <c r="QSO1" s="22"/>
      <c r="QSP1" s="22"/>
      <c r="QSQ1" s="22"/>
      <c r="QSR1" s="22"/>
      <c r="QSS1" s="22"/>
      <c r="QST1" s="22"/>
      <c r="QSU1" s="22"/>
      <c r="QSV1" s="22"/>
      <c r="QSW1" s="22"/>
      <c r="QSX1" s="22"/>
      <c r="QSY1" s="22"/>
      <c r="QSZ1" s="22"/>
      <c r="QTA1" s="22"/>
      <c r="QTB1" s="22"/>
      <c r="QTC1" s="22"/>
      <c r="QTD1" s="22"/>
      <c r="QTE1" s="22"/>
      <c r="QTF1" s="22"/>
      <c r="QTG1" s="22"/>
      <c r="QTH1" s="22"/>
      <c r="QTI1" s="22"/>
      <c r="QTJ1" s="22"/>
      <c r="QTK1" s="22"/>
      <c r="QTL1" s="22"/>
      <c r="QTM1" s="22"/>
      <c r="QTN1" s="22"/>
      <c r="QTO1" s="22"/>
      <c r="QTP1" s="22"/>
      <c r="QTQ1" s="22"/>
      <c r="QTR1" s="22"/>
      <c r="QTS1" s="22"/>
      <c r="QTT1" s="22"/>
      <c r="QTU1" s="22"/>
      <c r="QTV1" s="22"/>
      <c r="QTW1" s="22"/>
      <c r="QTX1" s="22"/>
      <c r="QTY1" s="22"/>
      <c r="QTZ1" s="22"/>
      <c r="QUA1" s="22"/>
      <c r="QUB1" s="22"/>
      <c r="QUC1" s="22"/>
      <c r="QUD1" s="22"/>
      <c r="QUE1" s="22"/>
      <c r="QUF1" s="22"/>
      <c r="QUG1" s="22"/>
      <c r="QUH1" s="22"/>
      <c r="QUI1" s="22"/>
      <c r="QUJ1" s="22"/>
      <c r="QUK1" s="22"/>
      <c r="QUL1" s="22"/>
      <c r="QUM1" s="22"/>
      <c r="QUN1" s="22"/>
      <c r="QUO1" s="22"/>
      <c r="QUP1" s="22"/>
      <c r="QUQ1" s="22"/>
      <c r="QUR1" s="22"/>
      <c r="QUS1" s="22"/>
      <c r="QUT1" s="22"/>
      <c r="QUU1" s="22"/>
      <c r="QUV1" s="22"/>
      <c r="QUW1" s="22"/>
      <c r="QUX1" s="22"/>
      <c r="QUY1" s="22"/>
      <c r="QUZ1" s="22"/>
      <c r="QVA1" s="22"/>
      <c r="QVB1" s="22"/>
      <c r="QVC1" s="22"/>
      <c r="QVD1" s="22"/>
      <c r="QVE1" s="22"/>
      <c r="QVF1" s="22"/>
      <c r="QVG1" s="22"/>
      <c r="QVH1" s="22"/>
      <c r="QVI1" s="22"/>
      <c r="QVJ1" s="22"/>
      <c r="QVK1" s="22"/>
      <c r="QVL1" s="22"/>
      <c r="QVM1" s="22"/>
      <c r="QVN1" s="22"/>
      <c r="QVO1" s="22"/>
      <c r="QVP1" s="22"/>
      <c r="QVQ1" s="22"/>
      <c r="QVR1" s="22"/>
      <c r="QVS1" s="22"/>
      <c r="QVT1" s="22"/>
      <c r="QVU1" s="22"/>
      <c r="QVV1" s="22"/>
      <c r="QVW1" s="22"/>
      <c r="QVX1" s="22"/>
      <c r="QVY1" s="22"/>
      <c r="QVZ1" s="22"/>
      <c r="QWA1" s="22"/>
      <c r="QWB1" s="22"/>
      <c r="QWC1" s="22"/>
      <c r="QWD1" s="22"/>
      <c r="QWE1" s="22"/>
      <c r="QWF1" s="22"/>
      <c r="QWG1" s="22"/>
      <c r="QWH1" s="22"/>
      <c r="QWI1" s="22"/>
      <c r="QWJ1" s="22"/>
      <c r="QWK1" s="22"/>
      <c r="QWL1" s="22"/>
      <c r="QWM1" s="22"/>
      <c r="QWN1" s="22"/>
      <c r="QWO1" s="22"/>
      <c r="QWP1" s="22"/>
      <c r="QWQ1" s="22"/>
      <c r="QWR1" s="22"/>
      <c r="QWS1" s="22"/>
      <c r="QWT1" s="22"/>
      <c r="QWU1" s="22"/>
      <c r="QWV1" s="22"/>
      <c r="QWW1" s="22"/>
      <c r="QWX1" s="22"/>
      <c r="QWY1" s="22"/>
      <c r="QWZ1" s="22"/>
      <c r="QXA1" s="22"/>
      <c r="QXB1" s="22"/>
      <c r="QXC1" s="22"/>
      <c r="QXD1" s="22"/>
      <c r="QXE1" s="22"/>
      <c r="QXF1" s="22"/>
      <c r="QXG1" s="22"/>
      <c r="QXH1" s="22"/>
      <c r="QXI1" s="22"/>
      <c r="QXJ1" s="22"/>
      <c r="QXK1" s="22"/>
      <c r="QXL1" s="22"/>
      <c r="QXM1" s="22"/>
      <c r="QXN1" s="22"/>
      <c r="QXO1" s="22"/>
      <c r="QXP1" s="22"/>
      <c r="QXQ1" s="22"/>
      <c r="QXR1" s="22"/>
      <c r="QXS1" s="22"/>
      <c r="QXT1" s="22"/>
      <c r="QXU1" s="22"/>
      <c r="QXV1" s="22"/>
      <c r="QXW1" s="22"/>
      <c r="QXX1" s="22"/>
      <c r="QXY1" s="22"/>
      <c r="QXZ1" s="22"/>
      <c r="QYA1" s="22"/>
      <c r="QYB1" s="22"/>
      <c r="QYC1" s="22"/>
      <c r="QYD1" s="22"/>
      <c r="QYE1" s="22"/>
      <c r="QYF1" s="22"/>
      <c r="QYG1" s="22"/>
      <c r="QYH1" s="22"/>
      <c r="QYI1" s="22"/>
      <c r="QYJ1" s="22"/>
      <c r="QYK1" s="22"/>
      <c r="QYL1" s="22"/>
      <c r="QYM1" s="22"/>
      <c r="QYN1" s="22"/>
      <c r="QYO1" s="22"/>
      <c r="QYP1" s="22"/>
      <c r="QYQ1" s="22"/>
      <c r="QYR1" s="22"/>
      <c r="QYS1" s="22"/>
      <c r="QYT1" s="22"/>
      <c r="QYU1" s="22"/>
      <c r="QYV1" s="22"/>
      <c r="QYW1" s="22"/>
      <c r="QYX1" s="22"/>
      <c r="QYY1" s="22"/>
      <c r="QYZ1" s="22"/>
      <c r="QZA1" s="22"/>
      <c r="QZB1" s="22"/>
      <c r="QZC1" s="22"/>
      <c r="QZD1" s="22"/>
      <c r="QZE1" s="22"/>
      <c r="QZF1" s="22"/>
      <c r="QZG1" s="22"/>
      <c r="QZH1" s="22"/>
      <c r="QZI1" s="22"/>
      <c r="QZJ1" s="22"/>
      <c r="QZK1" s="22"/>
      <c r="QZL1" s="22"/>
      <c r="QZM1" s="22"/>
      <c r="QZN1" s="22"/>
      <c r="QZO1" s="22"/>
      <c r="QZP1" s="22"/>
      <c r="QZQ1" s="22"/>
      <c r="QZR1" s="22"/>
      <c r="QZS1" s="22"/>
      <c r="QZT1" s="22"/>
      <c r="QZU1" s="22"/>
      <c r="QZV1" s="22"/>
      <c r="QZW1" s="22"/>
      <c r="QZX1" s="22"/>
      <c r="QZY1" s="22"/>
      <c r="QZZ1" s="22"/>
      <c r="RAA1" s="22"/>
      <c r="RAB1" s="22"/>
      <c r="RAC1" s="22"/>
      <c r="RAD1" s="22"/>
      <c r="RAE1" s="22"/>
      <c r="RAF1" s="22"/>
      <c r="RAG1" s="22"/>
      <c r="RAH1" s="22"/>
      <c r="RAI1" s="22"/>
      <c r="RAJ1" s="22"/>
      <c r="RAK1" s="22"/>
      <c r="RAL1" s="22"/>
      <c r="RAM1" s="22"/>
      <c r="RAN1" s="22"/>
      <c r="RAO1" s="22"/>
      <c r="RAP1" s="22"/>
      <c r="RAQ1" s="22"/>
      <c r="RAR1" s="22"/>
      <c r="RAS1" s="22"/>
      <c r="RAT1" s="22"/>
      <c r="RAU1" s="22"/>
      <c r="RAV1" s="22"/>
      <c r="RAW1" s="22"/>
      <c r="RAX1" s="22"/>
      <c r="RAY1" s="22"/>
      <c r="RAZ1" s="22"/>
      <c r="RBA1" s="22"/>
      <c r="RBB1" s="22"/>
      <c r="RBC1" s="22"/>
      <c r="RBD1" s="22"/>
      <c r="RBE1" s="22"/>
      <c r="RBF1" s="22"/>
      <c r="RBG1" s="22"/>
      <c r="RBH1" s="22"/>
      <c r="RBI1" s="22"/>
      <c r="RBJ1" s="22"/>
      <c r="RBK1" s="22"/>
      <c r="RBL1" s="22"/>
      <c r="RBM1" s="22"/>
      <c r="RBN1" s="22"/>
      <c r="RBO1" s="22"/>
      <c r="RBP1" s="22"/>
      <c r="RBQ1" s="22"/>
      <c r="RBR1" s="22"/>
      <c r="RBS1" s="22"/>
      <c r="RBT1" s="22"/>
      <c r="RBU1" s="22"/>
      <c r="RBV1" s="22"/>
      <c r="RBW1" s="22"/>
      <c r="RBX1" s="22"/>
      <c r="RBY1" s="22"/>
      <c r="RBZ1" s="22"/>
      <c r="RCA1" s="22"/>
      <c r="RCB1" s="22"/>
      <c r="RCC1" s="22"/>
      <c r="RCD1" s="22"/>
      <c r="RCE1" s="22"/>
      <c r="RCF1" s="22"/>
      <c r="RCG1" s="22"/>
      <c r="RCH1" s="22"/>
      <c r="RCI1" s="22"/>
      <c r="RCJ1" s="22"/>
      <c r="RCK1" s="22"/>
      <c r="RCL1" s="22"/>
      <c r="RCM1" s="22"/>
      <c r="RCN1" s="22"/>
      <c r="RCO1" s="22"/>
      <c r="RCP1" s="22"/>
      <c r="RCQ1" s="22"/>
      <c r="RCR1" s="22"/>
      <c r="RCS1" s="22"/>
      <c r="RCT1" s="22"/>
      <c r="RCU1" s="22"/>
      <c r="RCV1" s="22"/>
      <c r="RCW1" s="22"/>
      <c r="RCX1" s="22"/>
      <c r="RCY1" s="22"/>
      <c r="RCZ1" s="22"/>
      <c r="RDA1" s="22"/>
      <c r="RDB1" s="22"/>
      <c r="RDC1" s="22"/>
      <c r="RDD1" s="22"/>
      <c r="RDE1" s="22"/>
      <c r="RDF1" s="22"/>
      <c r="RDG1" s="22"/>
      <c r="RDH1" s="22"/>
      <c r="RDI1" s="22"/>
      <c r="RDJ1" s="22"/>
      <c r="RDK1" s="22"/>
      <c r="RDL1" s="22"/>
      <c r="RDM1" s="22"/>
      <c r="RDN1" s="22"/>
      <c r="RDO1" s="22"/>
      <c r="RDP1" s="22"/>
      <c r="RDQ1" s="22"/>
      <c r="RDR1" s="22"/>
      <c r="RDS1" s="22"/>
      <c r="RDT1" s="22"/>
      <c r="RDU1" s="22"/>
      <c r="RDV1" s="22"/>
      <c r="RDW1" s="22"/>
      <c r="RDX1" s="22"/>
      <c r="RDY1" s="22"/>
      <c r="RDZ1" s="22"/>
      <c r="REA1" s="22"/>
      <c r="REB1" s="22"/>
      <c r="REC1" s="22"/>
      <c r="RED1" s="22"/>
      <c r="REE1" s="22"/>
      <c r="REF1" s="22"/>
      <c r="REG1" s="22"/>
      <c r="REH1" s="22"/>
      <c r="REI1" s="22"/>
      <c r="REJ1" s="22"/>
      <c r="REK1" s="22"/>
      <c r="REL1" s="22"/>
      <c r="REM1" s="22"/>
      <c r="REN1" s="22"/>
      <c r="REO1" s="22"/>
      <c r="REP1" s="22"/>
      <c r="REQ1" s="22"/>
      <c r="RER1" s="22"/>
      <c r="RES1" s="22"/>
      <c r="RET1" s="22"/>
      <c r="REU1" s="22"/>
      <c r="REV1" s="22"/>
      <c r="REW1" s="22"/>
      <c r="REX1" s="22"/>
      <c r="REY1" s="22"/>
      <c r="REZ1" s="22"/>
      <c r="RFA1" s="22"/>
      <c r="RFB1" s="22"/>
      <c r="RFC1" s="22"/>
      <c r="RFD1" s="22"/>
      <c r="RFE1" s="22"/>
      <c r="RFF1" s="22"/>
      <c r="RFG1" s="22"/>
      <c r="RFH1" s="22"/>
      <c r="RFI1" s="22"/>
      <c r="RFJ1" s="22"/>
      <c r="RFK1" s="22"/>
      <c r="RFL1" s="22"/>
      <c r="RFM1" s="22"/>
      <c r="RFN1" s="22"/>
      <c r="RFO1" s="22"/>
      <c r="RFP1" s="22"/>
      <c r="RFQ1" s="22"/>
      <c r="RFR1" s="22"/>
      <c r="RFS1" s="22"/>
      <c r="RFT1" s="22"/>
      <c r="RFU1" s="22"/>
      <c r="RFV1" s="22"/>
      <c r="RFW1" s="22"/>
      <c r="RFX1" s="22"/>
      <c r="RFY1" s="22"/>
      <c r="RFZ1" s="22"/>
      <c r="RGA1" s="22"/>
      <c r="RGB1" s="22"/>
      <c r="RGC1" s="22"/>
      <c r="RGD1" s="22"/>
      <c r="RGE1" s="22"/>
      <c r="RGF1" s="22"/>
      <c r="RGG1" s="22"/>
      <c r="RGH1" s="22"/>
      <c r="RGI1" s="22"/>
      <c r="RGJ1" s="22"/>
      <c r="RGK1" s="22"/>
      <c r="RGL1" s="22"/>
      <c r="RGM1" s="22"/>
      <c r="RGN1" s="22"/>
      <c r="RGO1" s="22"/>
      <c r="RGP1" s="22"/>
      <c r="RGQ1" s="22"/>
      <c r="RGR1" s="22"/>
      <c r="RGS1" s="22"/>
      <c r="RGT1" s="22"/>
      <c r="RGU1" s="22"/>
      <c r="RGV1" s="22"/>
      <c r="RGW1" s="22"/>
      <c r="RGX1" s="22"/>
      <c r="RGY1" s="22"/>
      <c r="RGZ1" s="22"/>
      <c r="RHA1" s="22"/>
      <c r="RHB1" s="22"/>
      <c r="RHC1" s="22"/>
      <c r="RHD1" s="22"/>
      <c r="RHE1" s="22"/>
      <c r="RHF1" s="22"/>
      <c r="RHG1" s="22"/>
      <c r="RHH1" s="22"/>
      <c r="RHI1" s="22"/>
      <c r="RHJ1" s="22"/>
      <c r="RHK1" s="22"/>
      <c r="RHL1" s="22"/>
      <c r="RHM1" s="22"/>
      <c r="RHN1" s="22"/>
      <c r="RHO1" s="22"/>
      <c r="RHP1" s="22"/>
      <c r="RHQ1" s="22"/>
      <c r="RHR1" s="22"/>
      <c r="RHS1" s="22"/>
      <c r="RHT1" s="22"/>
      <c r="RHU1" s="22"/>
      <c r="RHV1" s="22"/>
      <c r="RHW1" s="22"/>
      <c r="RHX1" s="22"/>
      <c r="RHY1" s="22"/>
      <c r="RHZ1" s="22"/>
      <c r="RIA1" s="22"/>
      <c r="RIB1" s="22"/>
      <c r="RIC1" s="22"/>
      <c r="RID1" s="22"/>
      <c r="RIE1" s="22"/>
      <c r="RIF1" s="22"/>
      <c r="RIG1" s="22"/>
      <c r="RIH1" s="22"/>
      <c r="RII1" s="22"/>
      <c r="RIJ1" s="22"/>
      <c r="RIK1" s="22"/>
      <c r="RIL1" s="22"/>
      <c r="RIM1" s="22"/>
      <c r="RIN1" s="22"/>
      <c r="RIO1" s="22"/>
      <c r="RIP1" s="22"/>
      <c r="RIQ1" s="22"/>
      <c r="RIR1" s="22"/>
      <c r="RIS1" s="22"/>
      <c r="RIT1" s="22"/>
      <c r="RIU1" s="22"/>
      <c r="RIV1" s="22"/>
      <c r="RIW1" s="22"/>
      <c r="RIX1" s="22"/>
      <c r="RIY1" s="22"/>
      <c r="RIZ1" s="22"/>
      <c r="RJA1" s="22"/>
      <c r="RJB1" s="22"/>
      <c r="RJC1" s="22"/>
      <c r="RJD1" s="22"/>
      <c r="RJE1" s="22"/>
      <c r="RJF1" s="22"/>
      <c r="RJG1" s="22"/>
      <c r="RJH1" s="22"/>
      <c r="RJI1" s="22"/>
      <c r="RJJ1" s="22"/>
      <c r="RJK1" s="22"/>
      <c r="RJL1" s="22"/>
      <c r="RJM1" s="22"/>
      <c r="RJN1" s="22"/>
      <c r="RJO1" s="22"/>
      <c r="RJP1" s="22"/>
      <c r="RJQ1" s="22"/>
      <c r="RJR1" s="22"/>
      <c r="RJS1" s="22"/>
      <c r="RJT1" s="22"/>
      <c r="RJU1" s="22"/>
      <c r="RJV1" s="22"/>
      <c r="RJW1" s="22"/>
      <c r="RJX1" s="22"/>
      <c r="RJY1" s="22"/>
      <c r="RJZ1" s="22"/>
      <c r="RKA1" s="22"/>
      <c r="RKB1" s="22"/>
      <c r="RKC1" s="22"/>
      <c r="RKD1" s="22"/>
      <c r="RKE1" s="22"/>
      <c r="RKF1" s="22"/>
      <c r="RKG1" s="22"/>
      <c r="RKH1" s="22"/>
      <c r="RKI1" s="22"/>
      <c r="RKJ1" s="22"/>
      <c r="RKK1" s="22"/>
      <c r="RKL1" s="22"/>
      <c r="RKM1" s="22"/>
      <c r="RKN1" s="22"/>
      <c r="RKO1" s="22"/>
      <c r="RKP1" s="22"/>
      <c r="RKQ1" s="22"/>
      <c r="RKR1" s="22"/>
      <c r="RKS1" s="22"/>
      <c r="RKT1" s="22"/>
      <c r="RKU1" s="22"/>
      <c r="RKV1" s="22"/>
      <c r="RKW1" s="22"/>
      <c r="RKX1" s="22"/>
      <c r="RKY1" s="22"/>
      <c r="RKZ1" s="22"/>
      <c r="RLA1" s="22"/>
      <c r="RLB1" s="22"/>
      <c r="RLC1" s="22"/>
      <c r="RLD1" s="22"/>
      <c r="RLE1" s="22"/>
      <c r="RLF1" s="22"/>
      <c r="RLG1" s="22"/>
      <c r="RLH1" s="22"/>
      <c r="RLI1" s="22"/>
      <c r="RLJ1" s="22"/>
      <c r="RLK1" s="22"/>
      <c r="RLL1" s="22"/>
      <c r="RLM1" s="22"/>
      <c r="RLN1" s="22"/>
      <c r="RLO1" s="22"/>
      <c r="RLP1" s="22"/>
      <c r="RLQ1" s="22"/>
      <c r="RLR1" s="22"/>
      <c r="RLS1" s="22"/>
      <c r="RLT1" s="22"/>
      <c r="RLU1" s="22"/>
      <c r="RLV1" s="22"/>
      <c r="RLW1" s="22"/>
      <c r="RLX1" s="22"/>
      <c r="RLY1" s="22"/>
      <c r="RLZ1" s="22"/>
      <c r="RMA1" s="22"/>
      <c r="RMB1" s="22"/>
      <c r="RMC1" s="22"/>
      <c r="RMD1" s="22"/>
      <c r="RME1" s="22"/>
      <c r="RMF1" s="22"/>
      <c r="RMG1" s="22"/>
      <c r="RMH1" s="22"/>
      <c r="RMI1" s="22"/>
      <c r="RMJ1" s="22"/>
      <c r="RMK1" s="22"/>
      <c r="RML1" s="22"/>
      <c r="RMM1" s="22"/>
      <c r="RMN1" s="22"/>
      <c r="RMO1" s="22"/>
      <c r="RMP1" s="22"/>
      <c r="RMQ1" s="22"/>
      <c r="RMR1" s="22"/>
      <c r="RMS1" s="22"/>
      <c r="RMT1" s="22"/>
      <c r="RMU1" s="22"/>
      <c r="RMV1" s="22"/>
      <c r="RMW1" s="22"/>
      <c r="RMX1" s="22"/>
      <c r="RMY1" s="22"/>
      <c r="RMZ1" s="22"/>
      <c r="RNA1" s="22"/>
      <c r="RNB1" s="22"/>
      <c r="RNC1" s="22"/>
      <c r="RND1" s="22"/>
      <c r="RNE1" s="22"/>
      <c r="RNF1" s="22"/>
      <c r="RNG1" s="22"/>
      <c r="RNH1" s="22"/>
      <c r="RNI1" s="22"/>
      <c r="RNJ1" s="22"/>
      <c r="RNK1" s="22"/>
      <c r="RNL1" s="22"/>
      <c r="RNM1" s="22"/>
      <c r="RNN1" s="22"/>
      <c r="RNO1" s="22"/>
      <c r="RNP1" s="22"/>
      <c r="RNQ1" s="22"/>
      <c r="RNR1" s="22"/>
      <c r="RNS1" s="22"/>
      <c r="RNT1" s="22"/>
      <c r="RNU1" s="22"/>
      <c r="RNV1" s="22"/>
      <c r="RNW1" s="22"/>
      <c r="RNX1" s="22"/>
      <c r="RNY1" s="22"/>
      <c r="RNZ1" s="22"/>
      <c r="ROA1" s="22"/>
      <c r="ROB1" s="22"/>
      <c r="ROC1" s="22"/>
      <c r="ROD1" s="22"/>
      <c r="ROE1" s="22"/>
      <c r="ROF1" s="22"/>
      <c r="ROG1" s="22"/>
      <c r="ROH1" s="22"/>
      <c r="ROI1" s="22"/>
      <c r="ROJ1" s="22"/>
      <c r="ROK1" s="22"/>
      <c r="ROL1" s="22"/>
      <c r="ROM1" s="22"/>
      <c r="RON1" s="22"/>
      <c r="ROO1" s="22"/>
      <c r="ROP1" s="22"/>
      <c r="ROQ1" s="22"/>
      <c r="ROR1" s="22"/>
      <c r="ROS1" s="22"/>
      <c r="ROT1" s="22"/>
      <c r="ROU1" s="22"/>
      <c r="ROV1" s="22"/>
      <c r="ROW1" s="22"/>
      <c r="ROX1" s="22"/>
      <c r="ROY1" s="22"/>
      <c r="ROZ1" s="22"/>
      <c r="RPA1" s="22"/>
      <c r="RPB1" s="22"/>
      <c r="RPC1" s="22"/>
      <c r="RPD1" s="22"/>
      <c r="RPE1" s="22"/>
      <c r="RPF1" s="22"/>
      <c r="RPG1" s="22"/>
      <c r="RPH1" s="22"/>
      <c r="RPI1" s="22"/>
      <c r="RPJ1" s="22"/>
      <c r="RPK1" s="22"/>
      <c r="RPL1" s="22"/>
      <c r="RPM1" s="22"/>
      <c r="RPN1" s="22"/>
      <c r="RPO1" s="22"/>
      <c r="RPP1" s="22"/>
      <c r="RPQ1" s="22"/>
      <c r="RPR1" s="22"/>
      <c r="RPS1" s="22"/>
      <c r="RPT1" s="22"/>
      <c r="RPU1" s="22"/>
      <c r="RPV1" s="22"/>
      <c r="RPW1" s="22"/>
      <c r="RPX1" s="22"/>
      <c r="RPY1" s="22"/>
      <c r="RPZ1" s="22"/>
      <c r="RQA1" s="22"/>
      <c r="RQB1" s="22"/>
      <c r="RQC1" s="22"/>
      <c r="RQD1" s="22"/>
      <c r="RQE1" s="22"/>
      <c r="RQF1" s="22"/>
      <c r="RQG1" s="22"/>
      <c r="RQH1" s="22"/>
      <c r="RQI1" s="22"/>
      <c r="RQJ1" s="22"/>
      <c r="RQK1" s="22"/>
      <c r="RQL1" s="22"/>
      <c r="RQM1" s="22"/>
      <c r="RQN1" s="22"/>
      <c r="RQO1" s="22"/>
      <c r="RQP1" s="22"/>
      <c r="RQQ1" s="22"/>
      <c r="RQR1" s="22"/>
      <c r="RQS1" s="22"/>
      <c r="RQT1" s="22"/>
      <c r="RQU1" s="22"/>
      <c r="RQV1" s="22"/>
      <c r="RQW1" s="22"/>
      <c r="RQX1" s="22"/>
      <c r="RQY1" s="22"/>
      <c r="RQZ1" s="22"/>
      <c r="RRA1" s="22"/>
      <c r="RRB1" s="22"/>
      <c r="RRC1" s="22"/>
      <c r="RRD1" s="22"/>
      <c r="RRE1" s="22"/>
      <c r="RRF1" s="22"/>
      <c r="RRG1" s="22"/>
      <c r="RRH1" s="22"/>
      <c r="RRI1" s="22"/>
      <c r="RRJ1" s="22"/>
      <c r="RRK1" s="22"/>
      <c r="RRL1" s="22"/>
      <c r="RRM1" s="22"/>
      <c r="RRN1" s="22"/>
      <c r="RRO1" s="22"/>
      <c r="RRP1" s="22"/>
      <c r="RRQ1" s="22"/>
      <c r="RRR1" s="22"/>
      <c r="RRS1" s="22"/>
      <c r="RRT1" s="22"/>
      <c r="RRU1" s="22"/>
      <c r="RRV1" s="22"/>
      <c r="RRW1" s="22"/>
      <c r="RRX1" s="22"/>
      <c r="RRY1" s="22"/>
      <c r="RRZ1" s="22"/>
      <c r="RSA1" s="22"/>
      <c r="RSB1" s="22"/>
      <c r="RSC1" s="22"/>
      <c r="RSD1" s="22"/>
      <c r="RSE1" s="22"/>
      <c r="RSF1" s="22"/>
      <c r="RSG1" s="22"/>
      <c r="RSH1" s="22"/>
      <c r="RSI1" s="22"/>
      <c r="RSJ1" s="22"/>
      <c r="RSK1" s="22"/>
      <c r="RSL1" s="22"/>
      <c r="RSM1" s="22"/>
      <c r="RSN1" s="22"/>
      <c r="RSO1" s="22"/>
      <c r="RSP1" s="22"/>
      <c r="RSQ1" s="22"/>
      <c r="RSR1" s="22"/>
      <c r="RSS1" s="22"/>
      <c r="RST1" s="22"/>
      <c r="RSU1" s="22"/>
      <c r="RSV1" s="22"/>
      <c r="RSW1" s="22"/>
      <c r="RSX1" s="22"/>
      <c r="RSY1" s="22"/>
      <c r="RSZ1" s="22"/>
      <c r="RTA1" s="22"/>
      <c r="RTB1" s="22"/>
      <c r="RTC1" s="22"/>
      <c r="RTD1" s="22"/>
      <c r="RTE1" s="22"/>
      <c r="RTF1" s="22"/>
      <c r="RTG1" s="22"/>
      <c r="RTH1" s="22"/>
      <c r="RTI1" s="22"/>
      <c r="RTJ1" s="22"/>
      <c r="RTK1" s="22"/>
      <c r="RTL1" s="22"/>
      <c r="RTM1" s="22"/>
      <c r="RTN1" s="22"/>
      <c r="RTO1" s="22"/>
      <c r="RTP1" s="22"/>
      <c r="RTQ1" s="22"/>
      <c r="RTR1" s="22"/>
      <c r="RTS1" s="22"/>
      <c r="RTT1" s="22"/>
      <c r="RTU1" s="22"/>
      <c r="RTV1" s="22"/>
      <c r="RTW1" s="22"/>
      <c r="RTX1" s="22"/>
      <c r="RTY1" s="22"/>
      <c r="RTZ1" s="22"/>
      <c r="RUA1" s="22"/>
      <c r="RUB1" s="22"/>
      <c r="RUC1" s="22"/>
      <c r="RUD1" s="22"/>
      <c r="RUE1" s="22"/>
      <c r="RUF1" s="22"/>
      <c r="RUG1" s="22"/>
      <c r="RUH1" s="22"/>
      <c r="RUI1" s="22"/>
      <c r="RUJ1" s="22"/>
      <c r="RUK1" s="22"/>
      <c r="RUL1" s="22"/>
      <c r="RUM1" s="22"/>
      <c r="RUN1" s="22"/>
      <c r="RUO1" s="22"/>
      <c r="RUP1" s="22"/>
      <c r="RUQ1" s="22"/>
      <c r="RUR1" s="22"/>
      <c r="RUS1" s="22"/>
      <c r="RUT1" s="22"/>
      <c r="RUU1" s="22"/>
      <c r="RUV1" s="22"/>
      <c r="RUW1" s="22"/>
      <c r="RUX1" s="22"/>
      <c r="RUY1" s="22"/>
      <c r="RUZ1" s="22"/>
      <c r="RVA1" s="22"/>
      <c r="RVB1" s="22"/>
      <c r="RVC1" s="22"/>
      <c r="RVD1" s="22"/>
      <c r="RVE1" s="22"/>
      <c r="RVF1" s="22"/>
      <c r="RVG1" s="22"/>
      <c r="RVH1" s="22"/>
      <c r="RVI1" s="22"/>
      <c r="RVJ1" s="22"/>
      <c r="RVK1" s="22"/>
      <c r="RVL1" s="22"/>
      <c r="RVM1" s="22"/>
      <c r="RVN1" s="22"/>
      <c r="RVO1" s="22"/>
      <c r="RVP1" s="22"/>
      <c r="RVQ1" s="22"/>
      <c r="RVR1" s="22"/>
      <c r="RVS1" s="22"/>
      <c r="RVT1" s="22"/>
      <c r="RVU1" s="22"/>
      <c r="RVV1" s="22"/>
      <c r="RVW1" s="22"/>
      <c r="RVX1" s="22"/>
      <c r="RVY1" s="22"/>
      <c r="RVZ1" s="22"/>
      <c r="RWA1" s="22"/>
      <c r="RWB1" s="22"/>
      <c r="RWC1" s="22"/>
      <c r="RWD1" s="22"/>
      <c r="RWE1" s="22"/>
      <c r="RWF1" s="22"/>
      <c r="RWG1" s="22"/>
      <c r="RWH1" s="22"/>
      <c r="RWI1" s="22"/>
      <c r="RWJ1" s="22"/>
      <c r="RWK1" s="22"/>
      <c r="RWL1" s="22"/>
      <c r="RWM1" s="22"/>
      <c r="RWN1" s="22"/>
      <c r="RWO1" s="22"/>
      <c r="RWP1" s="22"/>
      <c r="RWQ1" s="22"/>
      <c r="RWR1" s="22"/>
      <c r="RWS1" s="22"/>
      <c r="RWT1" s="22"/>
      <c r="RWU1" s="22"/>
      <c r="RWV1" s="22"/>
      <c r="RWW1" s="22"/>
      <c r="RWX1" s="22"/>
      <c r="RWY1" s="22"/>
      <c r="RWZ1" s="22"/>
      <c r="RXA1" s="22"/>
      <c r="RXB1" s="22"/>
      <c r="RXC1" s="22"/>
      <c r="RXD1" s="22"/>
      <c r="RXE1" s="22"/>
      <c r="RXF1" s="22"/>
      <c r="RXG1" s="22"/>
      <c r="RXH1" s="22"/>
      <c r="RXI1" s="22"/>
      <c r="RXJ1" s="22"/>
      <c r="RXK1" s="22"/>
      <c r="RXL1" s="22"/>
      <c r="RXM1" s="22"/>
      <c r="RXN1" s="22"/>
      <c r="RXO1" s="22"/>
      <c r="RXP1" s="22"/>
      <c r="RXQ1" s="22"/>
      <c r="RXR1" s="22"/>
      <c r="RXS1" s="22"/>
      <c r="RXT1" s="22"/>
      <c r="RXU1" s="22"/>
      <c r="RXV1" s="22"/>
      <c r="RXW1" s="22"/>
      <c r="RXX1" s="22"/>
      <c r="RXY1" s="22"/>
      <c r="RXZ1" s="22"/>
      <c r="RYA1" s="22"/>
      <c r="RYB1" s="22"/>
      <c r="RYC1" s="22"/>
      <c r="RYD1" s="22"/>
      <c r="RYE1" s="22"/>
      <c r="RYF1" s="22"/>
      <c r="RYG1" s="22"/>
      <c r="RYH1" s="22"/>
      <c r="RYI1" s="22"/>
      <c r="RYJ1" s="22"/>
      <c r="RYK1" s="22"/>
      <c r="RYL1" s="22"/>
      <c r="RYM1" s="22"/>
      <c r="RYN1" s="22"/>
      <c r="RYO1" s="22"/>
      <c r="RYP1" s="22"/>
      <c r="RYQ1" s="22"/>
      <c r="RYR1" s="22"/>
      <c r="RYS1" s="22"/>
      <c r="RYT1" s="22"/>
      <c r="RYU1" s="22"/>
      <c r="RYV1" s="22"/>
      <c r="RYW1" s="22"/>
      <c r="RYX1" s="22"/>
      <c r="RYY1" s="22"/>
      <c r="RYZ1" s="22"/>
      <c r="RZA1" s="22"/>
      <c r="RZB1" s="22"/>
      <c r="RZC1" s="22"/>
      <c r="RZD1" s="22"/>
      <c r="RZE1" s="22"/>
      <c r="RZF1" s="22"/>
      <c r="RZG1" s="22"/>
      <c r="RZH1" s="22"/>
      <c r="RZI1" s="22"/>
      <c r="RZJ1" s="22"/>
      <c r="RZK1" s="22"/>
      <c r="RZL1" s="22"/>
      <c r="RZM1" s="22"/>
      <c r="RZN1" s="22"/>
      <c r="RZO1" s="22"/>
      <c r="RZP1" s="22"/>
      <c r="RZQ1" s="22"/>
      <c r="RZR1" s="22"/>
      <c r="RZS1" s="22"/>
      <c r="RZT1" s="22"/>
      <c r="RZU1" s="22"/>
      <c r="RZV1" s="22"/>
      <c r="RZW1" s="22"/>
      <c r="RZX1" s="22"/>
      <c r="RZY1" s="22"/>
      <c r="RZZ1" s="22"/>
      <c r="SAA1" s="22"/>
      <c r="SAB1" s="22"/>
      <c r="SAC1" s="22"/>
      <c r="SAD1" s="22"/>
      <c r="SAE1" s="22"/>
      <c r="SAF1" s="22"/>
      <c r="SAG1" s="22"/>
      <c r="SAH1" s="22"/>
      <c r="SAI1" s="22"/>
      <c r="SAJ1" s="22"/>
      <c r="SAK1" s="22"/>
      <c r="SAL1" s="22"/>
      <c r="SAM1" s="22"/>
      <c r="SAN1" s="22"/>
      <c r="SAO1" s="22"/>
      <c r="SAP1" s="22"/>
      <c r="SAQ1" s="22"/>
      <c r="SAR1" s="22"/>
      <c r="SAS1" s="22"/>
      <c r="SAT1" s="22"/>
      <c r="SAU1" s="22"/>
      <c r="SAV1" s="22"/>
      <c r="SAW1" s="22"/>
      <c r="SAX1" s="22"/>
      <c r="SAY1" s="22"/>
      <c r="SAZ1" s="22"/>
      <c r="SBA1" s="22"/>
      <c r="SBB1" s="22"/>
      <c r="SBC1" s="22"/>
      <c r="SBD1" s="22"/>
      <c r="SBE1" s="22"/>
      <c r="SBF1" s="22"/>
      <c r="SBG1" s="22"/>
      <c r="SBH1" s="22"/>
      <c r="SBI1" s="22"/>
      <c r="SBJ1" s="22"/>
      <c r="SBK1" s="22"/>
      <c r="SBL1" s="22"/>
      <c r="SBM1" s="22"/>
      <c r="SBN1" s="22"/>
      <c r="SBO1" s="22"/>
      <c r="SBP1" s="22"/>
      <c r="SBQ1" s="22"/>
      <c r="SBR1" s="22"/>
      <c r="SBS1" s="22"/>
      <c r="SBT1" s="22"/>
      <c r="SBU1" s="22"/>
      <c r="SBV1" s="22"/>
      <c r="SBW1" s="22"/>
      <c r="SBX1" s="22"/>
      <c r="SBY1" s="22"/>
      <c r="SBZ1" s="22"/>
      <c r="SCA1" s="22"/>
      <c r="SCB1" s="22"/>
      <c r="SCC1" s="22"/>
      <c r="SCD1" s="22"/>
      <c r="SCE1" s="22"/>
      <c r="SCF1" s="22"/>
      <c r="SCG1" s="22"/>
      <c r="SCH1" s="22"/>
      <c r="SCI1" s="22"/>
      <c r="SCJ1" s="22"/>
      <c r="SCK1" s="22"/>
      <c r="SCL1" s="22"/>
      <c r="SCM1" s="22"/>
      <c r="SCN1" s="22"/>
      <c r="SCO1" s="22"/>
      <c r="SCP1" s="22"/>
      <c r="SCQ1" s="22"/>
      <c r="SCR1" s="22"/>
      <c r="SCS1" s="22"/>
      <c r="SCT1" s="22"/>
      <c r="SCU1" s="22"/>
      <c r="SCV1" s="22"/>
      <c r="SCW1" s="22"/>
      <c r="SCX1" s="22"/>
      <c r="SCY1" s="22"/>
      <c r="SCZ1" s="22"/>
      <c r="SDA1" s="22"/>
      <c r="SDB1" s="22"/>
      <c r="SDC1" s="22"/>
      <c r="SDD1" s="22"/>
      <c r="SDE1" s="22"/>
      <c r="SDF1" s="22"/>
      <c r="SDG1" s="22"/>
      <c r="SDH1" s="22"/>
      <c r="SDI1" s="22"/>
      <c r="SDJ1" s="22"/>
      <c r="SDK1" s="22"/>
      <c r="SDL1" s="22"/>
      <c r="SDM1" s="22"/>
      <c r="SDN1" s="22"/>
      <c r="SDO1" s="22"/>
      <c r="SDP1" s="22"/>
      <c r="SDQ1" s="22"/>
      <c r="SDR1" s="22"/>
      <c r="SDS1" s="22"/>
      <c r="SDT1" s="22"/>
      <c r="SDU1" s="22"/>
      <c r="SDV1" s="22"/>
      <c r="SDW1" s="22"/>
      <c r="SDX1" s="22"/>
      <c r="SDY1" s="22"/>
      <c r="SDZ1" s="22"/>
      <c r="SEA1" s="22"/>
      <c r="SEB1" s="22"/>
      <c r="SEC1" s="22"/>
      <c r="SED1" s="22"/>
      <c r="SEE1" s="22"/>
      <c r="SEF1" s="22"/>
      <c r="SEG1" s="22"/>
      <c r="SEH1" s="22"/>
      <c r="SEI1" s="22"/>
      <c r="SEJ1" s="22"/>
      <c r="SEK1" s="22"/>
      <c r="SEL1" s="22"/>
      <c r="SEM1" s="22"/>
      <c r="SEN1" s="22"/>
      <c r="SEO1" s="22"/>
      <c r="SEP1" s="22"/>
      <c r="SEQ1" s="22"/>
      <c r="SER1" s="22"/>
      <c r="SES1" s="22"/>
      <c r="SET1" s="22"/>
      <c r="SEU1" s="22"/>
      <c r="SEV1" s="22"/>
      <c r="SEW1" s="22"/>
      <c r="SEX1" s="22"/>
      <c r="SEY1" s="22"/>
      <c r="SEZ1" s="22"/>
      <c r="SFA1" s="22"/>
      <c r="SFB1" s="22"/>
      <c r="SFC1" s="22"/>
      <c r="SFD1" s="22"/>
      <c r="SFE1" s="22"/>
      <c r="SFF1" s="22"/>
      <c r="SFG1" s="22"/>
      <c r="SFH1" s="22"/>
      <c r="SFI1" s="22"/>
      <c r="SFJ1" s="22"/>
      <c r="SFK1" s="22"/>
      <c r="SFL1" s="22"/>
      <c r="SFM1" s="22"/>
      <c r="SFN1" s="22"/>
      <c r="SFO1" s="22"/>
      <c r="SFP1" s="22"/>
      <c r="SFQ1" s="22"/>
      <c r="SFR1" s="22"/>
      <c r="SFS1" s="22"/>
      <c r="SFT1" s="22"/>
      <c r="SFU1" s="22"/>
      <c r="SFV1" s="22"/>
      <c r="SFW1" s="22"/>
      <c r="SFX1" s="22"/>
      <c r="SFY1" s="22"/>
      <c r="SFZ1" s="22"/>
      <c r="SGA1" s="22"/>
      <c r="SGB1" s="22"/>
      <c r="SGC1" s="22"/>
      <c r="SGD1" s="22"/>
      <c r="SGE1" s="22"/>
      <c r="SGF1" s="22"/>
      <c r="SGG1" s="22"/>
      <c r="SGH1" s="22"/>
      <c r="SGI1" s="22"/>
      <c r="SGJ1" s="22"/>
      <c r="SGK1" s="22"/>
      <c r="SGL1" s="22"/>
      <c r="SGM1" s="22"/>
      <c r="SGN1" s="22"/>
      <c r="SGO1" s="22"/>
      <c r="SGP1" s="22"/>
      <c r="SGQ1" s="22"/>
      <c r="SGR1" s="22"/>
      <c r="SGS1" s="22"/>
      <c r="SGT1" s="22"/>
      <c r="SGU1" s="22"/>
      <c r="SGV1" s="22"/>
      <c r="SGW1" s="22"/>
      <c r="SGX1" s="22"/>
      <c r="SGY1" s="22"/>
      <c r="SGZ1" s="22"/>
      <c r="SHA1" s="22"/>
      <c r="SHB1" s="22"/>
      <c r="SHC1" s="22"/>
      <c r="SHD1" s="22"/>
      <c r="SHE1" s="22"/>
      <c r="SHF1" s="22"/>
      <c r="SHG1" s="22"/>
      <c r="SHH1" s="22"/>
      <c r="SHI1" s="22"/>
      <c r="SHJ1" s="22"/>
      <c r="SHK1" s="22"/>
      <c r="SHL1" s="22"/>
      <c r="SHM1" s="22"/>
      <c r="SHN1" s="22"/>
      <c r="SHO1" s="22"/>
      <c r="SHP1" s="22"/>
      <c r="SHQ1" s="22"/>
      <c r="SHR1" s="22"/>
      <c r="SHS1" s="22"/>
      <c r="SHT1" s="22"/>
      <c r="SHU1" s="22"/>
      <c r="SHV1" s="22"/>
      <c r="SHW1" s="22"/>
      <c r="SHX1" s="22"/>
      <c r="SHY1" s="22"/>
      <c r="SHZ1" s="22"/>
      <c r="SIA1" s="22"/>
      <c r="SIB1" s="22"/>
      <c r="SIC1" s="22"/>
      <c r="SID1" s="22"/>
      <c r="SIE1" s="22"/>
      <c r="SIF1" s="22"/>
      <c r="SIG1" s="22"/>
      <c r="SIH1" s="22"/>
      <c r="SII1" s="22"/>
      <c r="SIJ1" s="22"/>
      <c r="SIK1" s="22"/>
      <c r="SIL1" s="22"/>
      <c r="SIM1" s="22"/>
      <c r="SIN1" s="22"/>
      <c r="SIO1" s="22"/>
      <c r="SIP1" s="22"/>
      <c r="SIQ1" s="22"/>
      <c r="SIR1" s="22"/>
      <c r="SIS1" s="22"/>
      <c r="SIT1" s="22"/>
      <c r="SIU1" s="22"/>
      <c r="SIV1" s="22"/>
      <c r="SIW1" s="22"/>
      <c r="SIX1" s="22"/>
      <c r="SIY1" s="22"/>
      <c r="SIZ1" s="22"/>
      <c r="SJA1" s="22"/>
      <c r="SJB1" s="22"/>
      <c r="SJC1" s="22"/>
      <c r="SJD1" s="22"/>
      <c r="SJE1" s="22"/>
      <c r="SJF1" s="22"/>
      <c r="SJG1" s="22"/>
      <c r="SJH1" s="22"/>
      <c r="SJI1" s="22"/>
      <c r="SJJ1" s="22"/>
      <c r="SJK1" s="22"/>
      <c r="SJL1" s="22"/>
      <c r="SJM1" s="22"/>
      <c r="SJN1" s="22"/>
      <c r="SJO1" s="22"/>
      <c r="SJP1" s="22"/>
      <c r="SJQ1" s="22"/>
      <c r="SJR1" s="22"/>
      <c r="SJS1" s="22"/>
      <c r="SJT1" s="22"/>
      <c r="SJU1" s="22"/>
      <c r="SJV1" s="22"/>
      <c r="SJW1" s="22"/>
      <c r="SJX1" s="22"/>
      <c r="SJY1" s="22"/>
      <c r="SJZ1" s="22"/>
      <c r="SKA1" s="22"/>
      <c r="SKB1" s="22"/>
      <c r="SKC1" s="22"/>
      <c r="SKD1" s="22"/>
      <c r="SKE1" s="22"/>
      <c r="SKF1" s="22"/>
      <c r="SKG1" s="22"/>
      <c r="SKH1" s="22"/>
      <c r="SKI1" s="22"/>
      <c r="SKJ1" s="22"/>
      <c r="SKK1" s="22"/>
      <c r="SKL1" s="22"/>
      <c r="SKM1" s="22"/>
      <c r="SKN1" s="22"/>
      <c r="SKO1" s="22"/>
      <c r="SKP1" s="22"/>
      <c r="SKQ1" s="22"/>
      <c r="SKR1" s="22"/>
      <c r="SKS1" s="22"/>
      <c r="SKT1" s="22"/>
      <c r="SKU1" s="22"/>
      <c r="SKV1" s="22"/>
      <c r="SKW1" s="22"/>
      <c r="SKX1" s="22"/>
      <c r="SKY1" s="22"/>
      <c r="SKZ1" s="22"/>
      <c r="SLA1" s="22"/>
      <c r="SLB1" s="22"/>
      <c r="SLC1" s="22"/>
      <c r="SLD1" s="22"/>
      <c r="SLE1" s="22"/>
      <c r="SLF1" s="22"/>
      <c r="SLG1" s="22"/>
      <c r="SLH1" s="22"/>
      <c r="SLI1" s="22"/>
      <c r="SLJ1" s="22"/>
      <c r="SLK1" s="22"/>
      <c r="SLL1" s="22"/>
      <c r="SLM1" s="22"/>
      <c r="SLN1" s="22"/>
      <c r="SLO1" s="22"/>
      <c r="SLP1" s="22"/>
      <c r="SLQ1" s="22"/>
      <c r="SLR1" s="22"/>
      <c r="SLS1" s="22"/>
      <c r="SLT1" s="22"/>
      <c r="SLU1" s="22"/>
      <c r="SLV1" s="22"/>
      <c r="SLW1" s="22"/>
      <c r="SLX1" s="22"/>
      <c r="SLY1" s="22"/>
      <c r="SLZ1" s="22"/>
      <c r="SMA1" s="22"/>
      <c r="SMB1" s="22"/>
      <c r="SMC1" s="22"/>
      <c r="SMD1" s="22"/>
      <c r="SME1" s="22"/>
      <c r="SMF1" s="22"/>
      <c r="SMG1" s="22"/>
      <c r="SMH1" s="22"/>
      <c r="SMI1" s="22"/>
      <c r="SMJ1" s="22"/>
      <c r="SMK1" s="22"/>
      <c r="SML1" s="22"/>
      <c r="SMM1" s="22"/>
      <c r="SMN1" s="22"/>
      <c r="SMO1" s="22"/>
      <c r="SMP1" s="22"/>
      <c r="SMQ1" s="22"/>
      <c r="SMR1" s="22"/>
      <c r="SMS1" s="22"/>
      <c r="SMT1" s="22"/>
      <c r="SMU1" s="22"/>
      <c r="SMV1" s="22"/>
      <c r="SMW1" s="22"/>
      <c r="SMX1" s="22"/>
      <c r="SMY1" s="22"/>
      <c r="SMZ1" s="22"/>
      <c r="SNA1" s="22"/>
      <c r="SNB1" s="22"/>
      <c r="SNC1" s="22"/>
      <c r="SND1" s="22"/>
      <c r="SNE1" s="22"/>
      <c r="SNF1" s="22"/>
      <c r="SNG1" s="22"/>
      <c r="SNH1" s="22"/>
      <c r="SNI1" s="22"/>
      <c r="SNJ1" s="22"/>
      <c r="SNK1" s="22"/>
      <c r="SNL1" s="22"/>
      <c r="SNM1" s="22"/>
      <c r="SNN1" s="22"/>
      <c r="SNO1" s="22"/>
      <c r="SNP1" s="22"/>
      <c r="SNQ1" s="22"/>
      <c r="SNR1" s="22"/>
      <c r="SNS1" s="22"/>
      <c r="SNT1" s="22"/>
      <c r="SNU1" s="22"/>
      <c r="SNV1" s="22"/>
      <c r="SNW1" s="22"/>
      <c r="SNX1" s="22"/>
      <c r="SNY1" s="22"/>
      <c r="SNZ1" s="22"/>
      <c r="SOA1" s="22"/>
      <c r="SOB1" s="22"/>
      <c r="SOC1" s="22"/>
      <c r="SOD1" s="22"/>
      <c r="SOE1" s="22"/>
      <c r="SOF1" s="22"/>
      <c r="SOG1" s="22"/>
      <c r="SOH1" s="22"/>
      <c r="SOI1" s="22"/>
      <c r="SOJ1" s="22"/>
      <c r="SOK1" s="22"/>
      <c r="SOL1" s="22"/>
      <c r="SOM1" s="22"/>
      <c r="SON1" s="22"/>
      <c r="SOO1" s="22"/>
      <c r="SOP1" s="22"/>
      <c r="SOQ1" s="22"/>
      <c r="SOR1" s="22"/>
      <c r="SOS1" s="22"/>
      <c r="SOT1" s="22"/>
      <c r="SOU1" s="22"/>
      <c r="SOV1" s="22"/>
      <c r="SOW1" s="22"/>
      <c r="SOX1" s="22"/>
      <c r="SOY1" s="22"/>
      <c r="SOZ1" s="22"/>
      <c r="SPA1" s="22"/>
      <c r="SPB1" s="22"/>
      <c r="SPC1" s="22"/>
      <c r="SPD1" s="22"/>
      <c r="SPE1" s="22"/>
      <c r="SPF1" s="22"/>
      <c r="SPG1" s="22"/>
      <c r="SPH1" s="22"/>
      <c r="SPI1" s="22"/>
      <c r="SPJ1" s="22"/>
      <c r="SPK1" s="22"/>
      <c r="SPL1" s="22"/>
      <c r="SPM1" s="22"/>
      <c r="SPN1" s="22"/>
      <c r="SPO1" s="22"/>
      <c r="SPP1" s="22"/>
      <c r="SPQ1" s="22"/>
      <c r="SPR1" s="22"/>
      <c r="SPS1" s="22"/>
      <c r="SPT1" s="22"/>
      <c r="SPU1" s="22"/>
      <c r="SPV1" s="22"/>
      <c r="SPW1" s="22"/>
      <c r="SPX1" s="22"/>
      <c r="SPY1" s="22"/>
      <c r="SPZ1" s="22"/>
      <c r="SQA1" s="22"/>
      <c r="SQB1" s="22"/>
      <c r="SQC1" s="22"/>
      <c r="SQD1" s="22"/>
      <c r="SQE1" s="22"/>
      <c r="SQF1" s="22"/>
      <c r="SQG1" s="22"/>
      <c r="SQH1" s="22"/>
      <c r="SQI1" s="22"/>
      <c r="SQJ1" s="22"/>
      <c r="SQK1" s="22"/>
      <c r="SQL1" s="22"/>
      <c r="SQM1" s="22"/>
      <c r="SQN1" s="22"/>
      <c r="SQO1" s="22"/>
      <c r="SQP1" s="22"/>
      <c r="SQQ1" s="22"/>
      <c r="SQR1" s="22"/>
      <c r="SQS1" s="22"/>
      <c r="SQT1" s="22"/>
      <c r="SQU1" s="22"/>
      <c r="SQV1" s="22"/>
      <c r="SQW1" s="22"/>
      <c r="SQX1" s="22"/>
      <c r="SQY1" s="22"/>
      <c r="SQZ1" s="22"/>
      <c r="SRA1" s="22"/>
      <c r="SRB1" s="22"/>
      <c r="SRC1" s="22"/>
      <c r="SRD1" s="22"/>
      <c r="SRE1" s="22"/>
      <c r="SRF1" s="22"/>
      <c r="SRG1" s="22"/>
      <c r="SRH1" s="22"/>
      <c r="SRI1" s="22"/>
      <c r="SRJ1" s="22"/>
      <c r="SRK1" s="22"/>
      <c r="SRL1" s="22"/>
      <c r="SRM1" s="22"/>
      <c r="SRN1" s="22"/>
      <c r="SRO1" s="22"/>
      <c r="SRP1" s="22"/>
      <c r="SRQ1" s="22"/>
      <c r="SRR1" s="22"/>
      <c r="SRS1" s="22"/>
      <c r="SRT1" s="22"/>
      <c r="SRU1" s="22"/>
      <c r="SRV1" s="22"/>
      <c r="SRW1" s="22"/>
      <c r="SRX1" s="22"/>
      <c r="SRY1" s="22"/>
      <c r="SRZ1" s="22"/>
      <c r="SSA1" s="22"/>
      <c r="SSB1" s="22"/>
      <c r="SSC1" s="22"/>
      <c r="SSD1" s="22"/>
      <c r="SSE1" s="22"/>
      <c r="SSF1" s="22"/>
      <c r="SSG1" s="22"/>
      <c r="SSH1" s="22"/>
      <c r="SSI1" s="22"/>
      <c r="SSJ1" s="22"/>
      <c r="SSK1" s="22"/>
      <c r="SSL1" s="22"/>
      <c r="SSM1" s="22"/>
      <c r="SSN1" s="22"/>
      <c r="SSO1" s="22"/>
      <c r="SSP1" s="22"/>
      <c r="SSQ1" s="22"/>
      <c r="SSR1" s="22"/>
      <c r="SSS1" s="22"/>
      <c r="SST1" s="22"/>
      <c r="SSU1" s="22"/>
      <c r="SSV1" s="22"/>
      <c r="SSW1" s="22"/>
      <c r="SSX1" s="22"/>
      <c r="SSY1" s="22"/>
      <c r="SSZ1" s="22"/>
      <c r="STA1" s="22"/>
      <c r="STB1" s="22"/>
      <c r="STC1" s="22"/>
      <c r="STD1" s="22"/>
      <c r="STE1" s="22"/>
      <c r="STF1" s="22"/>
      <c r="STG1" s="22"/>
      <c r="STH1" s="22"/>
      <c r="STI1" s="22"/>
      <c r="STJ1" s="22"/>
      <c r="STK1" s="22"/>
      <c r="STL1" s="22"/>
      <c r="STM1" s="22"/>
      <c r="STN1" s="22"/>
      <c r="STO1" s="22"/>
      <c r="STP1" s="22"/>
      <c r="STQ1" s="22"/>
      <c r="STR1" s="22"/>
      <c r="STS1" s="22"/>
      <c r="STT1" s="22"/>
      <c r="STU1" s="22"/>
      <c r="STV1" s="22"/>
      <c r="STW1" s="22"/>
      <c r="STX1" s="22"/>
      <c r="STY1" s="22"/>
      <c r="STZ1" s="22"/>
      <c r="SUA1" s="22"/>
      <c r="SUB1" s="22"/>
      <c r="SUC1" s="22"/>
      <c r="SUD1" s="22"/>
      <c r="SUE1" s="22"/>
      <c r="SUF1" s="22"/>
      <c r="SUG1" s="22"/>
      <c r="SUH1" s="22"/>
      <c r="SUI1" s="22"/>
      <c r="SUJ1" s="22"/>
      <c r="SUK1" s="22"/>
      <c r="SUL1" s="22"/>
      <c r="SUM1" s="22"/>
      <c r="SUN1" s="22"/>
      <c r="SUO1" s="22"/>
      <c r="SUP1" s="22"/>
      <c r="SUQ1" s="22"/>
      <c r="SUR1" s="22"/>
      <c r="SUS1" s="22"/>
      <c r="SUT1" s="22"/>
      <c r="SUU1" s="22"/>
      <c r="SUV1" s="22"/>
      <c r="SUW1" s="22"/>
      <c r="SUX1" s="22"/>
      <c r="SUY1" s="22"/>
      <c r="SUZ1" s="22"/>
      <c r="SVA1" s="22"/>
      <c r="SVB1" s="22"/>
      <c r="SVC1" s="22"/>
      <c r="SVD1" s="22"/>
      <c r="SVE1" s="22"/>
      <c r="SVF1" s="22"/>
      <c r="SVG1" s="22"/>
      <c r="SVH1" s="22"/>
      <c r="SVI1" s="22"/>
      <c r="SVJ1" s="22"/>
      <c r="SVK1" s="22"/>
      <c r="SVL1" s="22"/>
      <c r="SVM1" s="22"/>
      <c r="SVN1" s="22"/>
      <c r="SVO1" s="22"/>
      <c r="SVP1" s="22"/>
      <c r="SVQ1" s="22"/>
      <c r="SVR1" s="22"/>
      <c r="SVS1" s="22"/>
      <c r="SVT1" s="22"/>
      <c r="SVU1" s="22"/>
      <c r="SVV1" s="22"/>
      <c r="SVW1" s="22"/>
      <c r="SVX1" s="22"/>
      <c r="SVY1" s="22"/>
      <c r="SVZ1" s="22"/>
      <c r="SWA1" s="22"/>
      <c r="SWB1" s="22"/>
      <c r="SWC1" s="22"/>
      <c r="SWD1" s="22"/>
      <c r="SWE1" s="22"/>
      <c r="SWF1" s="22"/>
      <c r="SWG1" s="22"/>
      <c r="SWH1" s="22"/>
      <c r="SWI1" s="22"/>
      <c r="SWJ1" s="22"/>
      <c r="SWK1" s="22"/>
      <c r="SWL1" s="22"/>
      <c r="SWM1" s="22"/>
      <c r="SWN1" s="22"/>
      <c r="SWO1" s="22"/>
      <c r="SWP1" s="22"/>
      <c r="SWQ1" s="22"/>
      <c r="SWR1" s="22"/>
      <c r="SWS1" s="22"/>
      <c r="SWT1" s="22"/>
      <c r="SWU1" s="22"/>
      <c r="SWV1" s="22"/>
      <c r="SWW1" s="22"/>
      <c r="SWX1" s="22"/>
      <c r="SWY1" s="22"/>
      <c r="SWZ1" s="22"/>
      <c r="SXA1" s="22"/>
      <c r="SXB1" s="22"/>
      <c r="SXC1" s="22"/>
      <c r="SXD1" s="22"/>
      <c r="SXE1" s="22"/>
      <c r="SXF1" s="22"/>
      <c r="SXG1" s="22"/>
      <c r="SXH1" s="22"/>
      <c r="SXI1" s="22"/>
      <c r="SXJ1" s="22"/>
      <c r="SXK1" s="22"/>
      <c r="SXL1" s="22"/>
      <c r="SXM1" s="22"/>
      <c r="SXN1" s="22"/>
      <c r="SXO1" s="22"/>
      <c r="SXP1" s="22"/>
      <c r="SXQ1" s="22"/>
      <c r="SXR1" s="22"/>
      <c r="SXS1" s="22"/>
      <c r="SXT1" s="22"/>
      <c r="SXU1" s="22"/>
      <c r="SXV1" s="22"/>
      <c r="SXW1" s="22"/>
      <c r="SXX1" s="22"/>
      <c r="SXY1" s="22"/>
      <c r="SXZ1" s="22"/>
      <c r="SYA1" s="22"/>
      <c r="SYB1" s="22"/>
      <c r="SYC1" s="22"/>
      <c r="SYD1" s="22"/>
      <c r="SYE1" s="22"/>
      <c r="SYF1" s="22"/>
      <c r="SYG1" s="22"/>
      <c r="SYH1" s="22"/>
      <c r="SYI1" s="22"/>
      <c r="SYJ1" s="22"/>
      <c r="SYK1" s="22"/>
      <c r="SYL1" s="22"/>
      <c r="SYM1" s="22"/>
      <c r="SYN1" s="22"/>
      <c r="SYO1" s="22"/>
      <c r="SYP1" s="22"/>
      <c r="SYQ1" s="22"/>
      <c r="SYR1" s="22"/>
      <c r="SYS1" s="22"/>
      <c r="SYT1" s="22"/>
      <c r="SYU1" s="22"/>
      <c r="SYV1" s="22"/>
      <c r="SYW1" s="22"/>
      <c r="SYX1" s="22"/>
      <c r="SYY1" s="22"/>
      <c r="SYZ1" s="22"/>
      <c r="SZA1" s="22"/>
      <c r="SZB1" s="22"/>
      <c r="SZC1" s="22"/>
      <c r="SZD1" s="22"/>
      <c r="SZE1" s="22"/>
      <c r="SZF1" s="22"/>
      <c r="SZG1" s="22"/>
      <c r="SZH1" s="22"/>
      <c r="SZI1" s="22"/>
      <c r="SZJ1" s="22"/>
      <c r="SZK1" s="22"/>
      <c r="SZL1" s="22"/>
      <c r="SZM1" s="22"/>
      <c r="SZN1" s="22"/>
      <c r="SZO1" s="22"/>
      <c r="SZP1" s="22"/>
      <c r="SZQ1" s="22"/>
      <c r="SZR1" s="22"/>
      <c r="SZS1" s="22"/>
      <c r="SZT1" s="22"/>
      <c r="SZU1" s="22"/>
      <c r="SZV1" s="22"/>
      <c r="SZW1" s="22"/>
      <c r="SZX1" s="22"/>
      <c r="SZY1" s="22"/>
      <c r="SZZ1" s="22"/>
      <c r="TAA1" s="22"/>
      <c r="TAB1" s="22"/>
      <c r="TAC1" s="22"/>
      <c r="TAD1" s="22"/>
      <c r="TAE1" s="22"/>
      <c r="TAF1" s="22"/>
      <c r="TAG1" s="22"/>
      <c r="TAH1" s="22"/>
      <c r="TAI1" s="22"/>
      <c r="TAJ1" s="22"/>
      <c r="TAK1" s="22"/>
      <c r="TAL1" s="22"/>
      <c r="TAM1" s="22"/>
      <c r="TAN1" s="22"/>
      <c r="TAO1" s="22"/>
      <c r="TAP1" s="22"/>
      <c r="TAQ1" s="22"/>
      <c r="TAR1" s="22"/>
      <c r="TAS1" s="22"/>
      <c r="TAT1" s="22"/>
      <c r="TAU1" s="22"/>
      <c r="TAV1" s="22"/>
      <c r="TAW1" s="22"/>
      <c r="TAX1" s="22"/>
      <c r="TAY1" s="22"/>
      <c r="TAZ1" s="22"/>
      <c r="TBA1" s="22"/>
      <c r="TBB1" s="22"/>
      <c r="TBC1" s="22"/>
      <c r="TBD1" s="22"/>
      <c r="TBE1" s="22"/>
      <c r="TBF1" s="22"/>
      <c r="TBG1" s="22"/>
      <c r="TBH1" s="22"/>
      <c r="TBI1" s="22"/>
      <c r="TBJ1" s="22"/>
      <c r="TBK1" s="22"/>
      <c r="TBL1" s="22"/>
      <c r="TBM1" s="22"/>
      <c r="TBN1" s="22"/>
      <c r="TBO1" s="22"/>
      <c r="TBP1" s="22"/>
      <c r="TBQ1" s="22"/>
      <c r="TBR1" s="22"/>
      <c r="TBS1" s="22"/>
      <c r="TBT1" s="22"/>
      <c r="TBU1" s="22"/>
      <c r="TBV1" s="22"/>
      <c r="TBW1" s="22"/>
      <c r="TBX1" s="22"/>
      <c r="TBY1" s="22"/>
      <c r="TBZ1" s="22"/>
      <c r="TCA1" s="22"/>
      <c r="TCB1" s="22"/>
      <c r="TCC1" s="22"/>
      <c r="TCD1" s="22"/>
      <c r="TCE1" s="22"/>
      <c r="TCF1" s="22"/>
      <c r="TCG1" s="22"/>
      <c r="TCH1" s="22"/>
      <c r="TCI1" s="22"/>
      <c r="TCJ1" s="22"/>
      <c r="TCK1" s="22"/>
      <c r="TCL1" s="22"/>
      <c r="TCM1" s="22"/>
      <c r="TCN1" s="22"/>
      <c r="TCO1" s="22"/>
      <c r="TCP1" s="22"/>
      <c r="TCQ1" s="22"/>
      <c r="TCR1" s="22"/>
      <c r="TCS1" s="22"/>
      <c r="TCT1" s="22"/>
      <c r="TCU1" s="22"/>
      <c r="TCV1" s="22"/>
      <c r="TCW1" s="22"/>
      <c r="TCX1" s="22"/>
      <c r="TCY1" s="22"/>
      <c r="TCZ1" s="22"/>
      <c r="TDA1" s="22"/>
      <c r="TDB1" s="22"/>
      <c r="TDC1" s="22"/>
      <c r="TDD1" s="22"/>
      <c r="TDE1" s="22"/>
      <c r="TDF1" s="22"/>
      <c r="TDG1" s="22"/>
      <c r="TDH1" s="22"/>
      <c r="TDI1" s="22"/>
      <c r="TDJ1" s="22"/>
      <c r="TDK1" s="22"/>
      <c r="TDL1" s="22"/>
      <c r="TDM1" s="22"/>
      <c r="TDN1" s="22"/>
      <c r="TDO1" s="22"/>
      <c r="TDP1" s="22"/>
      <c r="TDQ1" s="22"/>
      <c r="TDR1" s="22"/>
      <c r="TDS1" s="22"/>
      <c r="TDT1" s="22"/>
      <c r="TDU1" s="22"/>
      <c r="TDV1" s="22"/>
      <c r="TDW1" s="22"/>
      <c r="TDX1" s="22"/>
      <c r="TDY1" s="22"/>
      <c r="TDZ1" s="22"/>
      <c r="TEA1" s="22"/>
      <c r="TEB1" s="22"/>
      <c r="TEC1" s="22"/>
      <c r="TED1" s="22"/>
      <c r="TEE1" s="22"/>
      <c r="TEF1" s="22"/>
      <c r="TEG1" s="22"/>
      <c r="TEH1" s="22"/>
      <c r="TEI1" s="22"/>
      <c r="TEJ1" s="22"/>
      <c r="TEK1" s="22"/>
      <c r="TEL1" s="22"/>
      <c r="TEM1" s="22"/>
      <c r="TEN1" s="22"/>
      <c r="TEO1" s="22"/>
      <c r="TEP1" s="22"/>
      <c r="TEQ1" s="22"/>
      <c r="TER1" s="22"/>
      <c r="TES1" s="22"/>
      <c r="TET1" s="22"/>
      <c r="TEU1" s="22"/>
      <c r="TEV1" s="22"/>
      <c r="TEW1" s="22"/>
      <c r="TEX1" s="22"/>
      <c r="TEY1" s="22"/>
      <c r="TEZ1" s="22"/>
      <c r="TFA1" s="22"/>
      <c r="TFB1" s="22"/>
      <c r="TFC1" s="22"/>
      <c r="TFD1" s="22"/>
      <c r="TFE1" s="22"/>
      <c r="TFF1" s="22"/>
      <c r="TFG1" s="22"/>
      <c r="TFH1" s="22"/>
      <c r="TFI1" s="22"/>
      <c r="TFJ1" s="22"/>
      <c r="TFK1" s="22"/>
      <c r="TFL1" s="22"/>
      <c r="TFM1" s="22"/>
      <c r="TFN1" s="22"/>
      <c r="TFO1" s="22"/>
      <c r="TFP1" s="22"/>
      <c r="TFQ1" s="22"/>
      <c r="TFR1" s="22"/>
      <c r="TFS1" s="22"/>
      <c r="TFT1" s="22"/>
      <c r="TFU1" s="22"/>
      <c r="TFV1" s="22"/>
      <c r="TFW1" s="22"/>
      <c r="TFX1" s="22"/>
      <c r="TFY1" s="22"/>
      <c r="TFZ1" s="22"/>
      <c r="TGA1" s="22"/>
      <c r="TGB1" s="22"/>
      <c r="TGC1" s="22"/>
      <c r="TGD1" s="22"/>
      <c r="TGE1" s="22"/>
      <c r="TGF1" s="22"/>
      <c r="TGG1" s="22"/>
      <c r="TGH1" s="22"/>
      <c r="TGI1" s="22"/>
      <c r="TGJ1" s="22"/>
      <c r="TGK1" s="22"/>
      <c r="TGL1" s="22"/>
      <c r="TGM1" s="22"/>
      <c r="TGN1" s="22"/>
      <c r="TGO1" s="22"/>
      <c r="TGP1" s="22"/>
      <c r="TGQ1" s="22"/>
      <c r="TGR1" s="22"/>
      <c r="TGS1" s="22"/>
      <c r="TGT1" s="22"/>
      <c r="TGU1" s="22"/>
      <c r="TGV1" s="22"/>
      <c r="TGW1" s="22"/>
      <c r="TGX1" s="22"/>
      <c r="TGY1" s="22"/>
      <c r="TGZ1" s="22"/>
      <c r="THA1" s="22"/>
      <c r="THB1" s="22"/>
      <c r="THC1" s="22"/>
      <c r="THD1" s="22"/>
      <c r="THE1" s="22"/>
      <c r="THF1" s="22"/>
      <c r="THG1" s="22"/>
      <c r="THH1" s="22"/>
      <c r="THI1" s="22"/>
      <c r="THJ1" s="22"/>
      <c r="THK1" s="22"/>
      <c r="THL1" s="22"/>
      <c r="THM1" s="22"/>
      <c r="THN1" s="22"/>
      <c r="THO1" s="22"/>
      <c r="THP1" s="22"/>
      <c r="THQ1" s="22"/>
      <c r="THR1" s="22"/>
      <c r="THS1" s="22"/>
      <c r="THT1" s="22"/>
      <c r="THU1" s="22"/>
      <c r="THV1" s="22"/>
      <c r="THW1" s="22"/>
      <c r="THX1" s="22"/>
      <c r="THY1" s="22"/>
      <c r="THZ1" s="22"/>
      <c r="TIA1" s="22"/>
      <c r="TIB1" s="22"/>
      <c r="TIC1" s="22"/>
      <c r="TID1" s="22"/>
      <c r="TIE1" s="22"/>
      <c r="TIF1" s="22"/>
      <c r="TIG1" s="22"/>
      <c r="TIH1" s="22"/>
      <c r="TII1" s="22"/>
      <c r="TIJ1" s="22"/>
      <c r="TIK1" s="22"/>
      <c r="TIL1" s="22"/>
      <c r="TIM1" s="22"/>
      <c r="TIN1" s="22"/>
      <c r="TIO1" s="22"/>
      <c r="TIP1" s="22"/>
      <c r="TIQ1" s="22"/>
      <c r="TIR1" s="22"/>
      <c r="TIS1" s="22"/>
      <c r="TIT1" s="22"/>
      <c r="TIU1" s="22"/>
      <c r="TIV1" s="22"/>
      <c r="TIW1" s="22"/>
      <c r="TIX1" s="22"/>
      <c r="TIY1" s="22"/>
      <c r="TIZ1" s="22"/>
      <c r="TJA1" s="22"/>
      <c r="TJB1" s="22"/>
      <c r="TJC1" s="22"/>
      <c r="TJD1" s="22"/>
      <c r="TJE1" s="22"/>
      <c r="TJF1" s="22"/>
      <c r="TJG1" s="22"/>
      <c r="TJH1" s="22"/>
      <c r="TJI1" s="22"/>
      <c r="TJJ1" s="22"/>
      <c r="TJK1" s="22"/>
      <c r="TJL1" s="22"/>
      <c r="TJM1" s="22"/>
      <c r="TJN1" s="22"/>
      <c r="TJO1" s="22"/>
      <c r="TJP1" s="22"/>
      <c r="TJQ1" s="22"/>
      <c r="TJR1" s="22"/>
      <c r="TJS1" s="22"/>
      <c r="TJT1" s="22"/>
      <c r="TJU1" s="22"/>
      <c r="TJV1" s="22"/>
      <c r="TJW1" s="22"/>
      <c r="TJX1" s="22"/>
      <c r="TJY1" s="22"/>
      <c r="TJZ1" s="22"/>
      <c r="TKA1" s="22"/>
      <c r="TKB1" s="22"/>
      <c r="TKC1" s="22"/>
      <c r="TKD1" s="22"/>
      <c r="TKE1" s="22"/>
      <c r="TKF1" s="22"/>
      <c r="TKG1" s="22"/>
      <c r="TKH1" s="22"/>
      <c r="TKI1" s="22"/>
      <c r="TKJ1" s="22"/>
      <c r="TKK1" s="22"/>
      <c r="TKL1" s="22"/>
      <c r="TKM1" s="22"/>
      <c r="TKN1" s="22"/>
      <c r="TKO1" s="22"/>
      <c r="TKP1" s="22"/>
      <c r="TKQ1" s="22"/>
      <c r="TKR1" s="22"/>
      <c r="TKS1" s="22"/>
      <c r="TKT1" s="22"/>
      <c r="TKU1" s="22"/>
      <c r="TKV1" s="22"/>
      <c r="TKW1" s="22"/>
      <c r="TKX1" s="22"/>
      <c r="TKY1" s="22"/>
      <c r="TKZ1" s="22"/>
      <c r="TLA1" s="22"/>
      <c r="TLB1" s="22"/>
      <c r="TLC1" s="22"/>
      <c r="TLD1" s="22"/>
      <c r="TLE1" s="22"/>
      <c r="TLF1" s="22"/>
      <c r="TLG1" s="22"/>
      <c r="TLH1" s="22"/>
      <c r="TLI1" s="22"/>
      <c r="TLJ1" s="22"/>
      <c r="TLK1" s="22"/>
      <c r="TLL1" s="22"/>
      <c r="TLM1" s="22"/>
      <c r="TLN1" s="22"/>
      <c r="TLO1" s="22"/>
      <c r="TLP1" s="22"/>
      <c r="TLQ1" s="22"/>
      <c r="TLR1" s="22"/>
      <c r="TLS1" s="22"/>
      <c r="TLT1" s="22"/>
      <c r="TLU1" s="22"/>
      <c r="TLV1" s="22"/>
      <c r="TLW1" s="22"/>
      <c r="TLX1" s="22"/>
      <c r="TLY1" s="22"/>
      <c r="TLZ1" s="22"/>
      <c r="TMA1" s="22"/>
      <c r="TMB1" s="22"/>
      <c r="TMC1" s="22"/>
      <c r="TMD1" s="22"/>
      <c r="TME1" s="22"/>
      <c r="TMF1" s="22"/>
      <c r="TMG1" s="22"/>
      <c r="TMH1" s="22"/>
      <c r="TMI1" s="22"/>
      <c r="TMJ1" s="22"/>
      <c r="TMK1" s="22"/>
      <c r="TML1" s="22"/>
      <c r="TMM1" s="22"/>
      <c r="TMN1" s="22"/>
      <c r="TMO1" s="22"/>
      <c r="TMP1" s="22"/>
      <c r="TMQ1" s="22"/>
      <c r="TMR1" s="22"/>
      <c r="TMS1" s="22"/>
      <c r="TMT1" s="22"/>
      <c r="TMU1" s="22"/>
      <c r="TMV1" s="22"/>
      <c r="TMW1" s="22"/>
      <c r="TMX1" s="22"/>
      <c r="TMY1" s="22"/>
      <c r="TMZ1" s="22"/>
      <c r="TNA1" s="22"/>
      <c r="TNB1" s="22"/>
      <c r="TNC1" s="22"/>
      <c r="TND1" s="22"/>
      <c r="TNE1" s="22"/>
      <c r="TNF1" s="22"/>
      <c r="TNG1" s="22"/>
      <c r="TNH1" s="22"/>
      <c r="TNI1" s="22"/>
      <c r="TNJ1" s="22"/>
      <c r="TNK1" s="22"/>
      <c r="TNL1" s="22"/>
      <c r="TNM1" s="22"/>
      <c r="TNN1" s="22"/>
      <c r="TNO1" s="22"/>
      <c r="TNP1" s="22"/>
      <c r="TNQ1" s="22"/>
      <c r="TNR1" s="22"/>
      <c r="TNS1" s="22"/>
      <c r="TNT1" s="22"/>
      <c r="TNU1" s="22"/>
      <c r="TNV1" s="22"/>
      <c r="TNW1" s="22"/>
      <c r="TNX1" s="22"/>
      <c r="TNY1" s="22"/>
      <c r="TNZ1" s="22"/>
      <c r="TOA1" s="22"/>
      <c r="TOB1" s="22"/>
      <c r="TOC1" s="22"/>
      <c r="TOD1" s="22"/>
      <c r="TOE1" s="22"/>
      <c r="TOF1" s="22"/>
      <c r="TOG1" s="22"/>
      <c r="TOH1" s="22"/>
      <c r="TOI1" s="22"/>
      <c r="TOJ1" s="22"/>
      <c r="TOK1" s="22"/>
      <c r="TOL1" s="22"/>
      <c r="TOM1" s="22"/>
      <c r="TON1" s="22"/>
      <c r="TOO1" s="22"/>
      <c r="TOP1" s="22"/>
      <c r="TOQ1" s="22"/>
      <c r="TOR1" s="22"/>
      <c r="TOS1" s="22"/>
      <c r="TOT1" s="22"/>
      <c r="TOU1" s="22"/>
      <c r="TOV1" s="22"/>
      <c r="TOW1" s="22"/>
      <c r="TOX1" s="22"/>
      <c r="TOY1" s="22"/>
      <c r="TOZ1" s="22"/>
      <c r="TPA1" s="22"/>
      <c r="TPB1" s="22"/>
      <c r="TPC1" s="22"/>
      <c r="TPD1" s="22"/>
      <c r="TPE1" s="22"/>
      <c r="TPF1" s="22"/>
      <c r="TPG1" s="22"/>
      <c r="TPH1" s="22"/>
      <c r="TPI1" s="22"/>
      <c r="TPJ1" s="22"/>
      <c r="TPK1" s="22"/>
      <c r="TPL1" s="22"/>
      <c r="TPM1" s="22"/>
      <c r="TPN1" s="22"/>
      <c r="TPO1" s="22"/>
      <c r="TPP1" s="22"/>
      <c r="TPQ1" s="22"/>
      <c r="TPR1" s="22"/>
      <c r="TPS1" s="22"/>
      <c r="TPT1" s="22"/>
      <c r="TPU1" s="22"/>
      <c r="TPV1" s="22"/>
      <c r="TPW1" s="22"/>
      <c r="TPX1" s="22"/>
      <c r="TPY1" s="22"/>
      <c r="TPZ1" s="22"/>
      <c r="TQA1" s="22"/>
      <c r="TQB1" s="22"/>
      <c r="TQC1" s="22"/>
      <c r="TQD1" s="22"/>
      <c r="TQE1" s="22"/>
      <c r="TQF1" s="22"/>
      <c r="TQG1" s="22"/>
      <c r="TQH1" s="22"/>
      <c r="TQI1" s="22"/>
      <c r="TQJ1" s="22"/>
      <c r="TQK1" s="22"/>
      <c r="TQL1" s="22"/>
      <c r="TQM1" s="22"/>
      <c r="TQN1" s="22"/>
      <c r="TQO1" s="22"/>
      <c r="TQP1" s="22"/>
      <c r="TQQ1" s="22"/>
      <c r="TQR1" s="22"/>
      <c r="TQS1" s="22"/>
      <c r="TQT1" s="22"/>
      <c r="TQU1" s="22"/>
      <c r="TQV1" s="22"/>
      <c r="TQW1" s="22"/>
      <c r="TQX1" s="22"/>
      <c r="TQY1" s="22"/>
      <c r="TQZ1" s="22"/>
      <c r="TRA1" s="22"/>
      <c r="TRB1" s="22"/>
      <c r="TRC1" s="22"/>
      <c r="TRD1" s="22"/>
      <c r="TRE1" s="22"/>
      <c r="TRF1" s="22"/>
      <c r="TRG1" s="22"/>
      <c r="TRH1" s="22"/>
      <c r="TRI1" s="22"/>
      <c r="TRJ1" s="22"/>
      <c r="TRK1" s="22"/>
      <c r="TRL1" s="22"/>
      <c r="TRM1" s="22"/>
      <c r="TRN1" s="22"/>
      <c r="TRO1" s="22"/>
      <c r="TRP1" s="22"/>
      <c r="TRQ1" s="22"/>
      <c r="TRR1" s="22"/>
      <c r="TRS1" s="22"/>
      <c r="TRT1" s="22"/>
      <c r="TRU1" s="22"/>
      <c r="TRV1" s="22"/>
      <c r="TRW1" s="22"/>
      <c r="TRX1" s="22"/>
      <c r="TRY1" s="22"/>
      <c r="TRZ1" s="22"/>
      <c r="TSA1" s="22"/>
      <c r="TSB1" s="22"/>
      <c r="TSC1" s="22"/>
      <c r="TSD1" s="22"/>
      <c r="TSE1" s="22"/>
      <c r="TSF1" s="22"/>
      <c r="TSG1" s="22"/>
      <c r="TSH1" s="22"/>
      <c r="TSI1" s="22"/>
      <c r="TSJ1" s="22"/>
      <c r="TSK1" s="22"/>
      <c r="TSL1" s="22"/>
      <c r="TSM1" s="22"/>
      <c r="TSN1" s="22"/>
      <c r="TSO1" s="22"/>
      <c r="TSP1" s="22"/>
      <c r="TSQ1" s="22"/>
      <c r="TSR1" s="22"/>
      <c r="TSS1" s="22"/>
      <c r="TST1" s="22"/>
      <c r="TSU1" s="22"/>
      <c r="TSV1" s="22"/>
      <c r="TSW1" s="22"/>
      <c r="TSX1" s="22"/>
      <c r="TSY1" s="22"/>
      <c r="TSZ1" s="22"/>
      <c r="TTA1" s="22"/>
      <c r="TTB1" s="22"/>
      <c r="TTC1" s="22"/>
      <c r="TTD1" s="22"/>
      <c r="TTE1" s="22"/>
      <c r="TTF1" s="22"/>
      <c r="TTG1" s="22"/>
      <c r="TTH1" s="22"/>
      <c r="TTI1" s="22"/>
      <c r="TTJ1" s="22"/>
      <c r="TTK1" s="22"/>
      <c r="TTL1" s="22"/>
      <c r="TTM1" s="22"/>
      <c r="TTN1" s="22"/>
      <c r="TTO1" s="22"/>
      <c r="TTP1" s="22"/>
      <c r="TTQ1" s="22"/>
      <c r="TTR1" s="22"/>
      <c r="TTS1" s="22"/>
      <c r="TTT1" s="22"/>
      <c r="TTU1" s="22"/>
      <c r="TTV1" s="22"/>
      <c r="TTW1" s="22"/>
      <c r="TTX1" s="22"/>
      <c r="TTY1" s="22"/>
      <c r="TTZ1" s="22"/>
      <c r="TUA1" s="22"/>
      <c r="TUB1" s="22"/>
      <c r="TUC1" s="22"/>
      <c r="TUD1" s="22"/>
      <c r="TUE1" s="22"/>
      <c r="TUF1" s="22"/>
      <c r="TUG1" s="22"/>
      <c r="TUH1" s="22"/>
      <c r="TUI1" s="22"/>
      <c r="TUJ1" s="22"/>
      <c r="TUK1" s="22"/>
      <c r="TUL1" s="22"/>
      <c r="TUM1" s="22"/>
      <c r="TUN1" s="22"/>
      <c r="TUO1" s="22"/>
      <c r="TUP1" s="22"/>
      <c r="TUQ1" s="22"/>
      <c r="TUR1" s="22"/>
      <c r="TUS1" s="22"/>
      <c r="TUT1" s="22"/>
      <c r="TUU1" s="22"/>
      <c r="TUV1" s="22"/>
      <c r="TUW1" s="22"/>
      <c r="TUX1" s="22"/>
      <c r="TUY1" s="22"/>
      <c r="TUZ1" s="22"/>
      <c r="TVA1" s="22"/>
      <c r="TVB1" s="22"/>
      <c r="TVC1" s="22"/>
      <c r="TVD1" s="22"/>
      <c r="TVE1" s="22"/>
      <c r="TVF1" s="22"/>
      <c r="TVG1" s="22"/>
      <c r="TVH1" s="22"/>
      <c r="TVI1" s="22"/>
      <c r="TVJ1" s="22"/>
      <c r="TVK1" s="22"/>
      <c r="TVL1" s="22"/>
      <c r="TVM1" s="22"/>
      <c r="TVN1" s="22"/>
      <c r="TVO1" s="22"/>
      <c r="TVP1" s="22"/>
      <c r="TVQ1" s="22"/>
      <c r="TVR1" s="22"/>
      <c r="TVS1" s="22"/>
      <c r="TVT1" s="22"/>
      <c r="TVU1" s="22"/>
      <c r="TVV1" s="22"/>
      <c r="TVW1" s="22"/>
      <c r="TVX1" s="22"/>
      <c r="TVY1" s="22"/>
      <c r="TVZ1" s="22"/>
      <c r="TWA1" s="22"/>
      <c r="TWB1" s="22"/>
      <c r="TWC1" s="22"/>
      <c r="TWD1" s="22"/>
      <c r="TWE1" s="22"/>
      <c r="TWF1" s="22"/>
      <c r="TWG1" s="22"/>
      <c r="TWH1" s="22"/>
      <c r="TWI1" s="22"/>
      <c r="TWJ1" s="22"/>
      <c r="TWK1" s="22"/>
      <c r="TWL1" s="22"/>
      <c r="TWM1" s="22"/>
      <c r="TWN1" s="22"/>
      <c r="TWO1" s="22"/>
      <c r="TWP1" s="22"/>
      <c r="TWQ1" s="22"/>
      <c r="TWR1" s="22"/>
      <c r="TWS1" s="22"/>
      <c r="TWT1" s="22"/>
      <c r="TWU1" s="22"/>
      <c r="TWV1" s="22"/>
      <c r="TWW1" s="22"/>
      <c r="TWX1" s="22"/>
      <c r="TWY1" s="22"/>
      <c r="TWZ1" s="22"/>
      <c r="TXA1" s="22"/>
      <c r="TXB1" s="22"/>
      <c r="TXC1" s="22"/>
      <c r="TXD1" s="22"/>
      <c r="TXE1" s="22"/>
      <c r="TXF1" s="22"/>
      <c r="TXG1" s="22"/>
      <c r="TXH1" s="22"/>
      <c r="TXI1" s="22"/>
      <c r="TXJ1" s="22"/>
      <c r="TXK1" s="22"/>
      <c r="TXL1" s="22"/>
      <c r="TXM1" s="22"/>
      <c r="TXN1" s="22"/>
      <c r="TXO1" s="22"/>
      <c r="TXP1" s="22"/>
      <c r="TXQ1" s="22"/>
      <c r="TXR1" s="22"/>
      <c r="TXS1" s="22"/>
      <c r="TXT1" s="22"/>
      <c r="TXU1" s="22"/>
      <c r="TXV1" s="22"/>
      <c r="TXW1" s="22"/>
      <c r="TXX1" s="22"/>
      <c r="TXY1" s="22"/>
      <c r="TXZ1" s="22"/>
      <c r="TYA1" s="22"/>
      <c r="TYB1" s="22"/>
      <c r="TYC1" s="22"/>
      <c r="TYD1" s="22"/>
      <c r="TYE1" s="22"/>
      <c r="TYF1" s="22"/>
      <c r="TYG1" s="22"/>
      <c r="TYH1" s="22"/>
      <c r="TYI1" s="22"/>
      <c r="TYJ1" s="22"/>
      <c r="TYK1" s="22"/>
      <c r="TYL1" s="22"/>
      <c r="TYM1" s="22"/>
      <c r="TYN1" s="22"/>
      <c r="TYO1" s="22"/>
      <c r="TYP1" s="22"/>
      <c r="TYQ1" s="22"/>
      <c r="TYR1" s="22"/>
      <c r="TYS1" s="22"/>
      <c r="TYT1" s="22"/>
      <c r="TYU1" s="22"/>
      <c r="TYV1" s="22"/>
      <c r="TYW1" s="22"/>
      <c r="TYX1" s="22"/>
      <c r="TYY1" s="22"/>
      <c r="TYZ1" s="22"/>
      <c r="TZA1" s="22"/>
      <c r="TZB1" s="22"/>
      <c r="TZC1" s="22"/>
      <c r="TZD1" s="22"/>
      <c r="TZE1" s="22"/>
      <c r="TZF1" s="22"/>
      <c r="TZG1" s="22"/>
      <c r="TZH1" s="22"/>
      <c r="TZI1" s="22"/>
      <c r="TZJ1" s="22"/>
      <c r="TZK1" s="22"/>
      <c r="TZL1" s="22"/>
      <c r="TZM1" s="22"/>
      <c r="TZN1" s="22"/>
      <c r="TZO1" s="22"/>
      <c r="TZP1" s="22"/>
      <c r="TZQ1" s="22"/>
      <c r="TZR1" s="22"/>
      <c r="TZS1" s="22"/>
      <c r="TZT1" s="22"/>
      <c r="TZU1" s="22"/>
      <c r="TZV1" s="22"/>
      <c r="TZW1" s="22"/>
      <c r="TZX1" s="22"/>
      <c r="TZY1" s="22"/>
      <c r="TZZ1" s="22"/>
      <c r="UAA1" s="22"/>
      <c r="UAB1" s="22"/>
      <c r="UAC1" s="22"/>
      <c r="UAD1" s="22"/>
      <c r="UAE1" s="22"/>
      <c r="UAF1" s="22"/>
      <c r="UAG1" s="22"/>
      <c r="UAH1" s="22"/>
      <c r="UAI1" s="22"/>
      <c r="UAJ1" s="22"/>
      <c r="UAK1" s="22"/>
      <c r="UAL1" s="22"/>
      <c r="UAM1" s="22"/>
      <c r="UAN1" s="22"/>
      <c r="UAO1" s="22"/>
      <c r="UAP1" s="22"/>
      <c r="UAQ1" s="22"/>
      <c r="UAR1" s="22"/>
      <c r="UAS1" s="22"/>
      <c r="UAT1" s="22"/>
      <c r="UAU1" s="22"/>
      <c r="UAV1" s="22"/>
      <c r="UAW1" s="22"/>
      <c r="UAX1" s="22"/>
      <c r="UAY1" s="22"/>
      <c r="UAZ1" s="22"/>
      <c r="UBA1" s="22"/>
      <c r="UBB1" s="22"/>
      <c r="UBC1" s="22"/>
      <c r="UBD1" s="22"/>
      <c r="UBE1" s="22"/>
      <c r="UBF1" s="22"/>
      <c r="UBG1" s="22"/>
      <c r="UBH1" s="22"/>
      <c r="UBI1" s="22"/>
      <c r="UBJ1" s="22"/>
      <c r="UBK1" s="22"/>
      <c r="UBL1" s="22"/>
      <c r="UBM1" s="22"/>
      <c r="UBN1" s="22"/>
      <c r="UBO1" s="22"/>
      <c r="UBP1" s="22"/>
      <c r="UBQ1" s="22"/>
      <c r="UBR1" s="22"/>
      <c r="UBS1" s="22"/>
      <c r="UBT1" s="22"/>
      <c r="UBU1" s="22"/>
      <c r="UBV1" s="22"/>
      <c r="UBW1" s="22"/>
      <c r="UBX1" s="22"/>
      <c r="UBY1" s="22"/>
      <c r="UBZ1" s="22"/>
      <c r="UCA1" s="22"/>
      <c r="UCB1" s="22"/>
      <c r="UCC1" s="22"/>
      <c r="UCD1" s="22"/>
      <c r="UCE1" s="22"/>
      <c r="UCF1" s="22"/>
      <c r="UCG1" s="22"/>
      <c r="UCH1" s="22"/>
      <c r="UCI1" s="22"/>
      <c r="UCJ1" s="22"/>
      <c r="UCK1" s="22"/>
      <c r="UCL1" s="22"/>
      <c r="UCM1" s="22"/>
      <c r="UCN1" s="22"/>
      <c r="UCO1" s="22"/>
      <c r="UCP1" s="22"/>
      <c r="UCQ1" s="22"/>
      <c r="UCR1" s="22"/>
      <c r="UCS1" s="22"/>
      <c r="UCT1" s="22"/>
      <c r="UCU1" s="22"/>
      <c r="UCV1" s="22"/>
      <c r="UCW1" s="22"/>
      <c r="UCX1" s="22"/>
      <c r="UCY1" s="22"/>
      <c r="UCZ1" s="22"/>
      <c r="UDA1" s="22"/>
      <c r="UDB1" s="22"/>
      <c r="UDC1" s="22"/>
      <c r="UDD1" s="22"/>
      <c r="UDE1" s="22"/>
      <c r="UDF1" s="22"/>
      <c r="UDG1" s="22"/>
      <c r="UDH1" s="22"/>
      <c r="UDI1" s="22"/>
      <c r="UDJ1" s="22"/>
      <c r="UDK1" s="22"/>
      <c r="UDL1" s="22"/>
      <c r="UDM1" s="22"/>
      <c r="UDN1" s="22"/>
      <c r="UDO1" s="22"/>
      <c r="UDP1" s="22"/>
      <c r="UDQ1" s="22"/>
      <c r="UDR1" s="22"/>
      <c r="UDS1" s="22"/>
      <c r="UDT1" s="22"/>
      <c r="UDU1" s="22"/>
      <c r="UDV1" s="22"/>
      <c r="UDW1" s="22"/>
      <c r="UDX1" s="22"/>
      <c r="UDY1" s="22"/>
      <c r="UDZ1" s="22"/>
      <c r="UEA1" s="22"/>
      <c r="UEB1" s="22"/>
      <c r="UEC1" s="22"/>
      <c r="UED1" s="22"/>
      <c r="UEE1" s="22"/>
      <c r="UEF1" s="22"/>
      <c r="UEG1" s="22"/>
      <c r="UEH1" s="22"/>
      <c r="UEI1" s="22"/>
      <c r="UEJ1" s="22"/>
      <c r="UEK1" s="22"/>
      <c r="UEL1" s="22"/>
      <c r="UEM1" s="22"/>
      <c r="UEN1" s="22"/>
      <c r="UEO1" s="22"/>
      <c r="UEP1" s="22"/>
      <c r="UEQ1" s="22"/>
      <c r="UER1" s="22"/>
      <c r="UES1" s="22"/>
      <c r="UET1" s="22"/>
      <c r="UEU1" s="22"/>
      <c r="UEV1" s="22"/>
      <c r="UEW1" s="22"/>
      <c r="UEX1" s="22"/>
      <c r="UEY1" s="22"/>
      <c r="UEZ1" s="22"/>
      <c r="UFA1" s="22"/>
      <c r="UFB1" s="22"/>
      <c r="UFC1" s="22"/>
      <c r="UFD1" s="22"/>
      <c r="UFE1" s="22"/>
      <c r="UFF1" s="22"/>
      <c r="UFG1" s="22"/>
      <c r="UFH1" s="22"/>
      <c r="UFI1" s="22"/>
      <c r="UFJ1" s="22"/>
      <c r="UFK1" s="22"/>
      <c r="UFL1" s="22"/>
      <c r="UFM1" s="22"/>
      <c r="UFN1" s="22"/>
      <c r="UFO1" s="22"/>
      <c r="UFP1" s="22"/>
      <c r="UFQ1" s="22"/>
      <c r="UFR1" s="22"/>
      <c r="UFS1" s="22"/>
      <c r="UFT1" s="22"/>
      <c r="UFU1" s="22"/>
      <c r="UFV1" s="22"/>
      <c r="UFW1" s="22"/>
      <c r="UFX1" s="22"/>
      <c r="UFY1" s="22"/>
      <c r="UFZ1" s="22"/>
      <c r="UGA1" s="22"/>
      <c r="UGB1" s="22"/>
      <c r="UGC1" s="22"/>
      <c r="UGD1" s="22"/>
      <c r="UGE1" s="22"/>
      <c r="UGF1" s="22"/>
      <c r="UGG1" s="22"/>
      <c r="UGH1" s="22"/>
      <c r="UGI1" s="22"/>
      <c r="UGJ1" s="22"/>
      <c r="UGK1" s="22"/>
      <c r="UGL1" s="22"/>
      <c r="UGM1" s="22"/>
      <c r="UGN1" s="22"/>
      <c r="UGO1" s="22"/>
      <c r="UGP1" s="22"/>
      <c r="UGQ1" s="22"/>
      <c r="UGR1" s="22"/>
      <c r="UGS1" s="22"/>
      <c r="UGT1" s="22"/>
      <c r="UGU1" s="22"/>
      <c r="UGV1" s="22"/>
      <c r="UGW1" s="22"/>
      <c r="UGX1" s="22"/>
      <c r="UGY1" s="22"/>
      <c r="UGZ1" s="22"/>
      <c r="UHA1" s="22"/>
      <c r="UHB1" s="22"/>
      <c r="UHC1" s="22"/>
      <c r="UHD1" s="22"/>
      <c r="UHE1" s="22"/>
      <c r="UHF1" s="22"/>
      <c r="UHG1" s="22"/>
      <c r="UHH1" s="22"/>
      <c r="UHI1" s="22"/>
      <c r="UHJ1" s="22"/>
      <c r="UHK1" s="22"/>
      <c r="UHL1" s="22"/>
      <c r="UHM1" s="22"/>
      <c r="UHN1" s="22"/>
      <c r="UHO1" s="22"/>
      <c r="UHP1" s="22"/>
      <c r="UHQ1" s="22"/>
      <c r="UHR1" s="22"/>
      <c r="UHS1" s="22"/>
      <c r="UHT1" s="22"/>
      <c r="UHU1" s="22"/>
      <c r="UHV1" s="22"/>
      <c r="UHW1" s="22"/>
      <c r="UHX1" s="22"/>
      <c r="UHY1" s="22"/>
      <c r="UHZ1" s="22"/>
      <c r="UIA1" s="22"/>
      <c r="UIB1" s="22"/>
      <c r="UIC1" s="22"/>
      <c r="UID1" s="22"/>
      <c r="UIE1" s="22"/>
      <c r="UIF1" s="22"/>
      <c r="UIG1" s="22"/>
      <c r="UIH1" s="22"/>
      <c r="UII1" s="22"/>
      <c r="UIJ1" s="22"/>
      <c r="UIK1" s="22"/>
      <c r="UIL1" s="22"/>
      <c r="UIM1" s="22"/>
      <c r="UIN1" s="22"/>
      <c r="UIO1" s="22"/>
      <c r="UIP1" s="22"/>
      <c r="UIQ1" s="22"/>
      <c r="UIR1" s="22"/>
      <c r="UIS1" s="22"/>
      <c r="UIT1" s="22"/>
      <c r="UIU1" s="22"/>
      <c r="UIV1" s="22"/>
      <c r="UIW1" s="22"/>
      <c r="UIX1" s="22"/>
      <c r="UIY1" s="22"/>
      <c r="UIZ1" s="22"/>
      <c r="UJA1" s="22"/>
      <c r="UJB1" s="22"/>
      <c r="UJC1" s="22"/>
      <c r="UJD1" s="22"/>
      <c r="UJE1" s="22"/>
      <c r="UJF1" s="22"/>
      <c r="UJG1" s="22"/>
      <c r="UJH1" s="22"/>
      <c r="UJI1" s="22"/>
      <c r="UJJ1" s="22"/>
      <c r="UJK1" s="22"/>
      <c r="UJL1" s="22"/>
      <c r="UJM1" s="22"/>
      <c r="UJN1" s="22"/>
      <c r="UJO1" s="22"/>
      <c r="UJP1" s="22"/>
      <c r="UJQ1" s="22"/>
      <c r="UJR1" s="22"/>
      <c r="UJS1" s="22"/>
      <c r="UJT1" s="22"/>
      <c r="UJU1" s="22"/>
      <c r="UJV1" s="22"/>
      <c r="UJW1" s="22"/>
      <c r="UJX1" s="22"/>
      <c r="UJY1" s="22"/>
      <c r="UJZ1" s="22"/>
      <c r="UKA1" s="22"/>
      <c r="UKB1" s="22"/>
      <c r="UKC1" s="22"/>
      <c r="UKD1" s="22"/>
      <c r="UKE1" s="22"/>
      <c r="UKF1" s="22"/>
      <c r="UKG1" s="22"/>
      <c r="UKH1" s="22"/>
      <c r="UKI1" s="22"/>
      <c r="UKJ1" s="22"/>
      <c r="UKK1" s="22"/>
      <c r="UKL1" s="22"/>
      <c r="UKM1" s="22"/>
      <c r="UKN1" s="22"/>
      <c r="UKO1" s="22"/>
      <c r="UKP1" s="22"/>
      <c r="UKQ1" s="22"/>
      <c r="UKR1" s="22"/>
      <c r="UKS1" s="22"/>
      <c r="UKT1" s="22"/>
      <c r="UKU1" s="22"/>
      <c r="UKV1" s="22"/>
      <c r="UKW1" s="22"/>
      <c r="UKX1" s="22"/>
      <c r="UKY1" s="22"/>
      <c r="UKZ1" s="22"/>
      <c r="ULA1" s="22"/>
      <c r="ULB1" s="22"/>
      <c r="ULC1" s="22"/>
      <c r="ULD1" s="22"/>
      <c r="ULE1" s="22"/>
      <c r="ULF1" s="22"/>
      <c r="ULG1" s="22"/>
      <c r="ULH1" s="22"/>
      <c r="ULI1" s="22"/>
      <c r="ULJ1" s="22"/>
      <c r="ULK1" s="22"/>
      <c r="ULL1" s="22"/>
      <c r="ULM1" s="22"/>
      <c r="ULN1" s="22"/>
      <c r="ULO1" s="22"/>
      <c r="ULP1" s="22"/>
      <c r="ULQ1" s="22"/>
      <c r="ULR1" s="22"/>
      <c r="ULS1" s="22"/>
      <c r="ULT1" s="22"/>
      <c r="ULU1" s="22"/>
      <c r="ULV1" s="22"/>
      <c r="ULW1" s="22"/>
      <c r="ULX1" s="22"/>
      <c r="ULY1" s="22"/>
      <c r="ULZ1" s="22"/>
      <c r="UMA1" s="22"/>
      <c r="UMB1" s="22"/>
      <c r="UMC1" s="22"/>
      <c r="UMD1" s="22"/>
      <c r="UME1" s="22"/>
      <c r="UMF1" s="22"/>
      <c r="UMG1" s="22"/>
      <c r="UMH1" s="22"/>
      <c r="UMI1" s="22"/>
      <c r="UMJ1" s="22"/>
      <c r="UMK1" s="22"/>
      <c r="UML1" s="22"/>
      <c r="UMM1" s="22"/>
      <c r="UMN1" s="22"/>
      <c r="UMO1" s="22"/>
      <c r="UMP1" s="22"/>
      <c r="UMQ1" s="22"/>
      <c r="UMR1" s="22"/>
      <c r="UMS1" s="22"/>
      <c r="UMT1" s="22"/>
      <c r="UMU1" s="22"/>
      <c r="UMV1" s="22"/>
      <c r="UMW1" s="22"/>
      <c r="UMX1" s="22"/>
      <c r="UMY1" s="22"/>
      <c r="UMZ1" s="22"/>
      <c r="UNA1" s="22"/>
      <c r="UNB1" s="22"/>
      <c r="UNC1" s="22"/>
      <c r="UND1" s="22"/>
      <c r="UNE1" s="22"/>
      <c r="UNF1" s="22"/>
      <c r="UNG1" s="22"/>
      <c r="UNH1" s="22"/>
      <c r="UNI1" s="22"/>
      <c r="UNJ1" s="22"/>
      <c r="UNK1" s="22"/>
      <c r="UNL1" s="22"/>
      <c r="UNM1" s="22"/>
      <c r="UNN1" s="22"/>
      <c r="UNO1" s="22"/>
      <c r="UNP1" s="22"/>
      <c r="UNQ1" s="22"/>
      <c r="UNR1" s="22"/>
      <c r="UNS1" s="22"/>
      <c r="UNT1" s="22"/>
      <c r="UNU1" s="22"/>
      <c r="UNV1" s="22"/>
      <c r="UNW1" s="22"/>
      <c r="UNX1" s="22"/>
      <c r="UNY1" s="22"/>
      <c r="UNZ1" s="22"/>
      <c r="UOA1" s="22"/>
      <c r="UOB1" s="22"/>
      <c r="UOC1" s="22"/>
      <c r="UOD1" s="22"/>
      <c r="UOE1" s="22"/>
      <c r="UOF1" s="22"/>
      <c r="UOG1" s="22"/>
      <c r="UOH1" s="22"/>
      <c r="UOI1" s="22"/>
      <c r="UOJ1" s="22"/>
      <c r="UOK1" s="22"/>
      <c r="UOL1" s="22"/>
      <c r="UOM1" s="22"/>
      <c r="UON1" s="22"/>
      <c r="UOO1" s="22"/>
      <c r="UOP1" s="22"/>
      <c r="UOQ1" s="22"/>
      <c r="UOR1" s="22"/>
      <c r="UOS1" s="22"/>
      <c r="UOT1" s="22"/>
      <c r="UOU1" s="22"/>
      <c r="UOV1" s="22"/>
      <c r="UOW1" s="22"/>
      <c r="UOX1" s="22"/>
      <c r="UOY1" s="22"/>
      <c r="UOZ1" s="22"/>
      <c r="UPA1" s="22"/>
      <c r="UPB1" s="22"/>
      <c r="UPC1" s="22"/>
      <c r="UPD1" s="22"/>
      <c r="UPE1" s="22"/>
      <c r="UPF1" s="22"/>
      <c r="UPG1" s="22"/>
      <c r="UPH1" s="22"/>
      <c r="UPI1" s="22"/>
      <c r="UPJ1" s="22"/>
      <c r="UPK1" s="22"/>
      <c r="UPL1" s="22"/>
      <c r="UPM1" s="22"/>
      <c r="UPN1" s="22"/>
      <c r="UPO1" s="22"/>
      <c r="UPP1" s="22"/>
      <c r="UPQ1" s="22"/>
      <c r="UPR1" s="22"/>
      <c r="UPS1" s="22"/>
      <c r="UPT1" s="22"/>
      <c r="UPU1" s="22"/>
      <c r="UPV1" s="22"/>
      <c r="UPW1" s="22"/>
      <c r="UPX1" s="22"/>
      <c r="UPY1" s="22"/>
      <c r="UPZ1" s="22"/>
      <c r="UQA1" s="22"/>
      <c r="UQB1" s="22"/>
      <c r="UQC1" s="22"/>
      <c r="UQD1" s="22"/>
      <c r="UQE1" s="22"/>
      <c r="UQF1" s="22"/>
      <c r="UQG1" s="22"/>
      <c r="UQH1" s="22"/>
      <c r="UQI1" s="22"/>
      <c r="UQJ1" s="22"/>
      <c r="UQK1" s="22"/>
      <c r="UQL1" s="22"/>
      <c r="UQM1" s="22"/>
      <c r="UQN1" s="22"/>
      <c r="UQO1" s="22"/>
      <c r="UQP1" s="22"/>
      <c r="UQQ1" s="22"/>
      <c r="UQR1" s="22"/>
      <c r="UQS1" s="22"/>
      <c r="UQT1" s="22"/>
      <c r="UQU1" s="22"/>
      <c r="UQV1" s="22"/>
      <c r="UQW1" s="22"/>
      <c r="UQX1" s="22"/>
      <c r="UQY1" s="22"/>
      <c r="UQZ1" s="22"/>
      <c r="URA1" s="22"/>
      <c r="URB1" s="22"/>
      <c r="URC1" s="22"/>
      <c r="URD1" s="22"/>
      <c r="URE1" s="22"/>
      <c r="URF1" s="22"/>
      <c r="URG1" s="22"/>
      <c r="URH1" s="22"/>
      <c r="URI1" s="22"/>
      <c r="URJ1" s="22"/>
      <c r="URK1" s="22"/>
      <c r="URL1" s="22"/>
      <c r="URM1" s="22"/>
      <c r="URN1" s="22"/>
      <c r="URO1" s="22"/>
      <c r="URP1" s="22"/>
      <c r="URQ1" s="22"/>
      <c r="URR1" s="22"/>
      <c r="URS1" s="22"/>
      <c r="URT1" s="22"/>
      <c r="URU1" s="22"/>
      <c r="URV1" s="22"/>
      <c r="URW1" s="22"/>
      <c r="URX1" s="22"/>
      <c r="URY1" s="22"/>
      <c r="URZ1" s="22"/>
      <c r="USA1" s="22"/>
      <c r="USB1" s="22"/>
      <c r="USC1" s="22"/>
      <c r="USD1" s="22"/>
      <c r="USE1" s="22"/>
      <c r="USF1" s="22"/>
      <c r="USG1" s="22"/>
      <c r="USH1" s="22"/>
      <c r="USI1" s="22"/>
      <c r="USJ1" s="22"/>
      <c r="USK1" s="22"/>
      <c r="USL1" s="22"/>
      <c r="USM1" s="22"/>
      <c r="USN1" s="22"/>
      <c r="USO1" s="22"/>
      <c r="USP1" s="22"/>
      <c r="USQ1" s="22"/>
      <c r="USR1" s="22"/>
      <c r="USS1" s="22"/>
      <c r="UST1" s="22"/>
      <c r="USU1" s="22"/>
      <c r="USV1" s="22"/>
      <c r="USW1" s="22"/>
      <c r="USX1" s="22"/>
      <c r="USY1" s="22"/>
      <c r="USZ1" s="22"/>
      <c r="UTA1" s="22"/>
      <c r="UTB1" s="22"/>
      <c r="UTC1" s="22"/>
      <c r="UTD1" s="22"/>
      <c r="UTE1" s="22"/>
      <c r="UTF1" s="22"/>
      <c r="UTG1" s="22"/>
      <c r="UTH1" s="22"/>
      <c r="UTI1" s="22"/>
      <c r="UTJ1" s="22"/>
      <c r="UTK1" s="22"/>
      <c r="UTL1" s="22"/>
      <c r="UTM1" s="22"/>
      <c r="UTN1" s="22"/>
      <c r="UTO1" s="22"/>
      <c r="UTP1" s="22"/>
      <c r="UTQ1" s="22"/>
      <c r="UTR1" s="22"/>
      <c r="UTS1" s="22"/>
      <c r="UTT1" s="22"/>
      <c r="UTU1" s="22"/>
      <c r="UTV1" s="22"/>
      <c r="UTW1" s="22"/>
      <c r="UTX1" s="22"/>
      <c r="UTY1" s="22"/>
      <c r="UTZ1" s="22"/>
      <c r="UUA1" s="22"/>
      <c r="UUB1" s="22"/>
      <c r="UUC1" s="22"/>
      <c r="UUD1" s="22"/>
      <c r="UUE1" s="22"/>
      <c r="UUF1" s="22"/>
      <c r="UUG1" s="22"/>
      <c r="UUH1" s="22"/>
      <c r="UUI1" s="22"/>
      <c r="UUJ1" s="22"/>
      <c r="UUK1" s="22"/>
      <c r="UUL1" s="22"/>
      <c r="UUM1" s="22"/>
      <c r="UUN1" s="22"/>
      <c r="UUO1" s="22"/>
      <c r="UUP1" s="22"/>
      <c r="UUQ1" s="22"/>
      <c r="UUR1" s="22"/>
      <c r="UUS1" s="22"/>
      <c r="UUT1" s="22"/>
      <c r="UUU1" s="22"/>
      <c r="UUV1" s="22"/>
      <c r="UUW1" s="22"/>
      <c r="UUX1" s="22"/>
      <c r="UUY1" s="22"/>
      <c r="UUZ1" s="22"/>
      <c r="UVA1" s="22"/>
      <c r="UVB1" s="22"/>
      <c r="UVC1" s="22"/>
      <c r="UVD1" s="22"/>
      <c r="UVE1" s="22"/>
      <c r="UVF1" s="22"/>
      <c r="UVG1" s="22"/>
      <c r="UVH1" s="22"/>
      <c r="UVI1" s="22"/>
      <c r="UVJ1" s="22"/>
      <c r="UVK1" s="22"/>
      <c r="UVL1" s="22"/>
      <c r="UVM1" s="22"/>
      <c r="UVN1" s="22"/>
      <c r="UVO1" s="22"/>
      <c r="UVP1" s="22"/>
      <c r="UVQ1" s="22"/>
      <c r="UVR1" s="22"/>
      <c r="UVS1" s="22"/>
      <c r="UVT1" s="22"/>
      <c r="UVU1" s="22"/>
      <c r="UVV1" s="22"/>
      <c r="UVW1" s="22"/>
      <c r="UVX1" s="22"/>
      <c r="UVY1" s="22"/>
      <c r="UVZ1" s="22"/>
      <c r="UWA1" s="22"/>
      <c r="UWB1" s="22"/>
      <c r="UWC1" s="22"/>
      <c r="UWD1" s="22"/>
      <c r="UWE1" s="22"/>
      <c r="UWF1" s="22"/>
      <c r="UWG1" s="22"/>
      <c r="UWH1" s="22"/>
      <c r="UWI1" s="22"/>
      <c r="UWJ1" s="22"/>
      <c r="UWK1" s="22"/>
      <c r="UWL1" s="22"/>
      <c r="UWM1" s="22"/>
      <c r="UWN1" s="22"/>
      <c r="UWO1" s="22"/>
      <c r="UWP1" s="22"/>
      <c r="UWQ1" s="22"/>
      <c r="UWR1" s="22"/>
      <c r="UWS1" s="22"/>
      <c r="UWT1" s="22"/>
      <c r="UWU1" s="22"/>
      <c r="UWV1" s="22"/>
      <c r="UWW1" s="22"/>
      <c r="UWX1" s="22"/>
      <c r="UWY1" s="22"/>
      <c r="UWZ1" s="22"/>
      <c r="UXA1" s="22"/>
      <c r="UXB1" s="22"/>
      <c r="UXC1" s="22"/>
      <c r="UXD1" s="22"/>
      <c r="UXE1" s="22"/>
      <c r="UXF1" s="22"/>
      <c r="UXG1" s="22"/>
      <c r="UXH1" s="22"/>
      <c r="UXI1" s="22"/>
      <c r="UXJ1" s="22"/>
      <c r="UXK1" s="22"/>
      <c r="UXL1" s="22"/>
      <c r="UXM1" s="22"/>
      <c r="UXN1" s="22"/>
      <c r="UXO1" s="22"/>
      <c r="UXP1" s="22"/>
      <c r="UXQ1" s="22"/>
      <c r="UXR1" s="22"/>
      <c r="UXS1" s="22"/>
      <c r="UXT1" s="22"/>
      <c r="UXU1" s="22"/>
      <c r="UXV1" s="22"/>
      <c r="UXW1" s="22"/>
      <c r="UXX1" s="22"/>
      <c r="UXY1" s="22"/>
      <c r="UXZ1" s="22"/>
      <c r="UYA1" s="22"/>
      <c r="UYB1" s="22"/>
      <c r="UYC1" s="22"/>
      <c r="UYD1" s="22"/>
      <c r="UYE1" s="22"/>
      <c r="UYF1" s="22"/>
      <c r="UYG1" s="22"/>
      <c r="UYH1" s="22"/>
      <c r="UYI1" s="22"/>
      <c r="UYJ1" s="22"/>
      <c r="UYK1" s="22"/>
      <c r="UYL1" s="22"/>
      <c r="UYM1" s="22"/>
      <c r="UYN1" s="22"/>
      <c r="UYO1" s="22"/>
      <c r="UYP1" s="22"/>
      <c r="UYQ1" s="22"/>
      <c r="UYR1" s="22"/>
      <c r="UYS1" s="22"/>
      <c r="UYT1" s="22"/>
      <c r="UYU1" s="22"/>
      <c r="UYV1" s="22"/>
      <c r="UYW1" s="22"/>
      <c r="UYX1" s="22"/>
      <c r="UYY1" s="22"/>
      <c r="UYZ1" s="22"/>
      <c r="UZA1" s="22"/>
      <c r="UZB1" s="22"/>
      <c r="UZC1" s="22"/>
      <c r="UZD1" s="22"/>
      <c r="UZE1" s="22"/>
      <c r="UZF1" s="22"/>
      <c r="UZG1" s="22"/>
      <c r="UZH1" s="22"/>
      <c r="UZI1" s="22"/>
      <c r="UZJ1" s="22"/>
      <c r="UZK1" s="22"/>
      <c r="UZL1" s="22"/>
      <c r="UZM1" s="22"/>
      <c r="UZN1" s="22"/>
      <c r="UZO1" s="22"/>
      <c r="UZP1" s="22"/>
      <c r="UZQ1" s="22"/>
      <c r="UZR1" s="22"/>
      <c r="UZS1" s="22"/>
      <c r="UZT1" s="22"/>
      <c r="UZU1" s="22"/>
      <c r="UZV1" s="22"/>
      <c r="UZW1" s="22"/>
      <c r="UZX1" s="22"/>
      <c r="UZY1" s="22"/>
      <c r="UZZ1" s="22"/>
      <c r="VAA1" s="22"/>
      <c r="VAB1" s="22"/>
      <c r="VAC1" s="22"/>
      <c r="VAD1" s="22"/>
      <c r="VAE1" s="22"/>
      <c r="VAF1" s="22"/>
      <c r="VAG1" s="22"/>
      <c r="VAH1" s="22"/>
      <c r="VAI1" s="22"/>
      <c r="VAJ1" s="22"/>
      <c r="VAK1" s="22"/>
      <c r="VAL1" s="22"/>
      <c r="VAM1" s="22"/>
      <c r="VAN1" s="22"/>
      <c r="VAO1" s="22"/>
      <c r="VAP1" s="22"/>
      <c r="VAQ1" s="22"/>
      <c r="VAR1" s="22"/>
      <c r="VAS1" s="22"/>
      <c r="VAT1" s="22"/>
      <c r="VAU1" s="22"/>
      <c r="VAV1" s="22"/>
      <c r="VAW1" s="22"/>
      <c r="VAX1" s="22"/>
      <c r="VAY1" s="22"/>
      <c r="VAZ1" s="22"/>
      <c r="VBA1" s="22"/>
      <c r="VBB1" s="22"/>
      <c r="VBC1" s="22"/>
      <c r="VBD1" s="22"/>
      <c r="VBE1" s="22"/>
      <c r="VBF1" s="22"/>
      <c r="VBG1" s="22"/>
      <c r="VBH1" s="22"/>
      <c r="VBI1" s="22"/>
      <c r="VBJ1" s="22"/>
      <c r="VBK1" s="22"/>
      <c r="VBL1" s="22"/>
      <c r="VBM1" s="22"/>
      <c r="VBN1" s="22"/>
      <c r="VBO1" s="22"/>
      <c r="VBP1" s="22"/>
      <c r="VBQ1" s="22"/>
      <c r="VBR1" s="22"/>
      <c r="VBS1" s="22"/>
      <c r="VBT1" s="22"/>
      <c r="VBU1" s="22"/>
      <c r="VBV1" s="22"/>
      <c r="VBW1" s="22"/>
      <c r="VBX1" s="22"/>
      <c r="VBY1" s="22"/>
      <c r="VBZ1" s="22"/>
      <c r="VCA1" s="22"/>
      <c r="VCB1" s="22"/>
      <c r="VCC1" s="22"/>
      <c r="VCD1" s="22"/>
      <c r="VCE1" s="22"/>
      <c r="VCF1" s="22"/>
      <c r="VCG1" s="22"/>
      <c r="VCH1" s="22"/>
      <c r="VCI1" s="22"/>
      <c r="VCJ1" s="22"/>
      <c r="VCK1" s="22"/>
      <c r="VCL1" s="22"/>
      <c r="VCM1" s="22"/>
      <c r="VCN1" s="22"/>
      <c r="VCO1" s="22"/>
      <c r="VCP1" s="22"/>
      <c r="VCQ1" s="22"/>
      <c r="VCR1" s="22"/>
      <c r="VCS1" s="22"/>
      <c r="VCT1" s="22"/>
      <c r="VCU1" s="22"/>
      <c r="VCV1" s="22"/>
      <c r="VCW1" s="22"/>
      <c r="VCX1" s="22"/>
      <c r="VCY1" s="22"/>
      <c r="VCZ1" s="22"/>
      <c r="VDA1" s="22"/>
      <c r="VDB1" s="22"/>
      <c r="VDC1" s="22"/>
      <c r="VDD1" s="22"/>
      <c r="VDE1" s="22"/>
      <c r="VDF1" s="22"/>
      <c r="VDG1" s="22"/>
      <c r="VDH1" s="22"/>
      <c r="VDI1" s="22"/>
      <c r="VDJ1" s="22"/>
      <c r="VDK1" s="22"/>
      <c r="VDL1" s="22"/>
      <c r="VDM1" s="22"/>
      <c r="VDN1" s="22"/>
      <c r="VDO1" s="22"/>
      <c r="VDP1" s="22"/>
      <c r="VDQ1" s="22"/>
      <c r="VDR1" s="22"/>
      <c r="VDS1" s="22"/>
      <c r="VDT1" s="22"/>
      <c r="VDU1" s="22"/>
      <c r="VDV1" s="22"/>
      <c r="VDW1" s="22"/>
      <c r="VDX1" s="22"/>
      <c r="VDY1" s="22"/>
      <c r="VDZ1" s="22"/>
      <c r="VEA1" s="22"/>
      <c r="VEB1" s="22"/>
      <c r="VEC1" s="22"/>
      <c r="VED1" s="22"/>
      <c r="VEE1" s="22"/>
      <c r="VEF1" s="22"/>
      <c r="VEG1" s="22"/>
      <c r="VEH1" s="22"/>
      <c r="VEI1" s="22"/>
      <c r="VEJ1" s="22"/>
      <c r="VEK1" s="22"/>
      <c r="VEL1" s="22"/>
      <c r="VEM1" s="22"/>
      <c r="VEN1" s="22"/>
      <c r="VEO1" s="22"/>
      <c r="VEP1" s="22"/>
      <c r="VEQ1" s="22"/>
      <c r="VER1" s="22"/>
      <c r="VES1" s="22"/>
      <c r="VET1" s="22"/>
      <c r="VEU1" s="22"/>
      <c r="VEV1" s="22"/>
      <c r="VEW1" s="22"/>
      <c r="VEX1" s="22"/>
      <c r="VEY1" s="22"/>
      <c r="VEZ1" s="22"/>
      <c r="VFA1" s="22"/>
      <c r="VFB1" s="22"/>
      <c r="VFC1" s="22"/>
      <c r="VFD1" s="22"/>
      <c r="VFE1" s="22"/>
      <c r="VFF1" s="22"/>
      <c r="VFG1" s="22"/>
      <c r="VFH1" s="22"/>
      <c r="VFI1" s="22"/>
      <c r="VFJ1" s="22"/>
      <c r="VFK1" s="22"/>
      <c r="VFL1" s="22"/>
      <c r="VFM1" s="22"/>
      <c r="VFN1" s="22"/>
      <c r="VFO1" s="22"/>
      <c r="VFP1" s="22"/>
      <c r="VFQ1" s="22"/>
      <c r="VFR1" s="22"/>
      <c r="VFS1" s="22"/>
      <c r="VFT1" s="22"/>
      <c r="VFU1" s="22"/>
      <c r="VFV1" s="22"/>
      <c r="VFW1" s="22"/>
      <c r="VFX1" s="22"/>
      <c r="VFY1" s="22"/>
      <c r="VFZ1" s="22"/>
      <c r="VGA1" s="22"/>
      <c r="VGB1" s="22"/>
      <c r="VGC1" s="22"/>
      <c r="VGD1" s="22"/>
      <c r="VGE1" s="22"/>
      <c r="VGF1" s="22"/>
      <c r="VGG1" s="22"/>
      <c r="VGH1" s="22"/>
      <c r="VGI1" s="22"/>
      <c r="VGJ1" s="22"/>
      <c r="VGK1" s="22"/>
      <c r="VGL1" s="22"/>
      <c r="VGM1" s="22"/>
      <c r="VGN1" s="22"/>
      <c r="VGO1" s="22"/>
      <c r="VGP1" s="22"/>
      <c r="VGQ1" s="22"/>
      <c r="VGR1" s="22"/>
      <c r="VGS1" s="22"/>
      <c r="VGT1" s="22"/>
      <c r="VGU1" s="22"/>
      <c r="VGV1" s="22"/>
      <c r="VGW1" s="22"/>
      <c r="VGX1" s="22"/>
      <c r="VGY1" s="22"/>
      <c r="VGZ1" s="22"/>
      <c r="VHA1" s="22"/>
      <c r="VHB1" s="22"/>
      <c r="VHC1" s="22"/>
      <c r="VHD1" s="22"/>
      <c r="VHE1" s="22"/>
      <c r="VHF1" s="22"/>
      <c r="VHG1" s="22"/>
      <c r="VHH1" s="22"/>
      <c r="VHI1" s="22"/>
      <c r="VHJ1" s="22"/>
      <c r="VHK1" s="22"/>
      <c r="VHL1" s="22"/>
      <c r="VHM1" s="22"/>
      <c r="VHN1" s="22"/>
      <c r="VHO1" s="22"/>
      <c r="VHP1" s="22"/>
      <c r="VHQ1" s="22"/>
      <c r="VHR1" s="22"/>
      <c r="VHS1" s="22"/>
      <c r="VHT1" s="22"/>
      <c r="VHU1" s="22"/>
      <c r="VHV1" s="22"/>
      <c r="VHW1" s="22"/>
      <c r="VHX1" s="22"/>
      <c r="VHY1" s="22"/>
      <c r="VHZ1" s="22"/>
      <c r="VIA1" s="22"/>
      <c r="VIB1" s="22"/>
      <c r="VIC1" s="22"/>
      <c r="VID1" s="22"/>
      <c r="VIE1" s="22"/>
      <c r="VIF1" s="22"/>
      <c r="VIG1" s="22"/>
      <c r="VIH1" s="22"/>
      <c r="VII1" s="22"/>
      <c r="VIJ1" s="22"/>
      <c r="VIK1" s="22"/>
      <c r="VIL1" s="22"/>
      <c r="VIM1" s="22"/>
      <c r="VIN1" s="22"/>
      <c r="VIO1" s="22"/>
      <c r="VIP1" s="22"/>
      <c r="VIQ1" s="22"/>
      <c r="VIR1" s="22"/>
      <c r="VIS1" s="22"/>
      <c r="VIT1" s="22"/>
      <c r="VIU1" s="22"/>
      <c r="VIV1" s="22"/>
      <c r="VIW1" s="22"/>
      <c r="VIX1" s="22"/>
      <c r="VIY1" s="22"/>
      <c r="VIZ1" s="22"/>
      <c r="VJA1" s="22"/>
      <c r="VJB1" s="22"/>
      <c r="VJC1" s="22"/>
      <c r="VJD1" s="22"/>
      <c r="VJE1" s="22"/>
      <c r="VJF1" s="22"/>
      <c r="VJG1" s="22"/>
      <c r="VJH1" s="22"/>
      <c r="VJI1" s="22"/>
      <c r="VJJ1" s="22"/>
      <c r="VJK1" s="22"/>
      <c r="VJL1" s="22"/>
      <c r="VJM1" s="22"/>
      <c r="VJN1" s="22"/>
      <c r="VJO1" s="22"/>
      <c r="VJP1" s="22"/>
      <c r="VJQ1" s="22"/>
      <c r="VJR1" s="22"/>
      <c r="VJS1" s="22"/>
      <c r="VJT1" s="22"/>
      <c r="VJU1" s="22"/>
      <c r="VJV1" s="22"/>
      <c r="VJW1" s="22"/>
      <c r="VJX1" s="22"/>
      <c r="VJY1" s="22"/>
      <c r="VJZ1" s="22"/>
      <c r="VKA1" s="22"/>
      <c r="VKB1" s="22"/>
      <c r="VKC1" s="22"/>
      <c r="VKD1" s="22"/>
      <c r="VKE1" s="22"/>
      <c r="VKF1" s="22"/>
      <c r="VKG1" s="22"/>
      <c r="VKH1" s="22"/>
      <c r="VKI1" s="22"/>
      <c r="VKJ1" s="22"/>
      <c r="VKK1" s="22"/>
      <c r="VKL1" s="22"/>
      <c r="VKM1" s="22"/>
      <c r="VKN1" s="22"/>
      <c r="VKO1" s="22"/>
      <c r="VKP1" s="22"/>
      <c r="VKQ1" s="22"/>
      <c r="VKR1" s="22"/>
      <c r="VKS1" s="22"/>
      <c r="VKT1" s="22"/>
      <c r="VKU1" s="22"/>
      <c r="VKV1" s="22"/>
      <c r="VKW1" s="22"/>
      <c r="VKX1" s="22"/>
      <c r="VKY1" s="22"/>
      <c r="VKZ1" s="22"/>
      <c r="VLA1" s="22"/>
      <c r="VLB1" s="22"/>
      <c r="VLC1" s="22"/>
      <c r="VLD1" s="22"/>
      <c r="VLE1" s="22"/>
      <c r="VLF1" s="22"/>
      <c r="VLG1" s="22"/>
      <c r="VLH1" s="22"/>
      <c r="VLI1" s="22"/>
      <c r="VLJ1" s="22"/>
      <c r="VLK1" s="22"/>
      <c r="VLL1" s="22"/>
      <c r="VLM1" s="22"/>
      <c r="VLN1" s="22"/>
      <c r="VLO1" s="22"/>
      <c r="VLP1" s="22"/>
      <c r="VLQ1" s="22"/>
      <c r="VLR1" s="22"/>
      <c r="VLS1" s="22"/>
      <c r="VLT1" s="22"/>
      <c r="VLU1" s="22"/>
      <c r="VLV1" s="22"/>
      <c r="VLW1" s="22"/>
      <c r="VLX1" s="22"/>
      <c r="VLY1" s="22"/>
      <c r="VLZ1" s="22"/>
      <c r="VMA1" s="22"/>
      <c r="VMB1" s="22"/>
      <c r="VMC1" s="22"/>
      <c r="VMD1" s="22"/>
      <c r="VME1" s="22"/>
      <c r="VMF1" s="22"/>
      <c r="VMG1" s="22"/>
      <c r="VMH1" s="22"/>
      <c r="VMI1" s="22"/>
      <c r="VMJ1" s="22"/>
      <c r="VMK1" s="22"/>
      <c r="VML1" s="22"/>
      <c r="VMM1" s="22"/>
      <c r="VMN1" s="22"/>
      <c r="VMO1" s="22"/>
      <c r="VMP1" s="22"/>
      <c r="VMQ1" s="22"/>
      <c r="VMR1" s="22"/>
      <c r="VMS1" s="22"/>
      <c r="VMT1" s="22"/>
      <c r="VMU1" s="22"/>
      <c r="VMV1" s="22"/>
      <c r="VMW1" s="22"/>
      <c r="VMX1" s="22"/>
      <c r="VMY1" s="22"/>
      <c r="VMZ1" s="22"/>
      <c r="VNA1" s="22"/>
      <c r="VNB1" s="22"/>
      <c r="VNC1" s="22"/>
      <c r="VND1" s="22"/>
      <c r="VNE1" s="22"/>
      <c r="VNF1" s="22"/>
      <c r="VNG1" s="22"/>
      <c r="VNH1" s="22"/>
      <c r="VNI1" s="22"/>
      <c r="VNJ1" s="22"/>
      <c r="VNK1" s="22"/>
      <c r="VNL1" s="22"/>
      <c r="VNM1" s="22"/>
      <c r="VNN1" s="22"/>
      <c r="VNO1" s="22"/>
      <c r="VNP1" s="22"/>
      <c r="VNQ1" s="22"/>
      <c r="VNR1" s="22"/>
      <c r="VNS1" s="22"/>
      <c r="VNT1" s="22"/>
      <c r="VNU1" s="22"/>
      <c r="VNV1" s="22"/>
      <c r="VNW1" s="22"/>
      <c r="VNX1" s="22"/>
      <c r="VNY1" s="22"/>
      <c r="VNZ1" s="22"/>
      <c r="VOA1" s="22"/>
      <c r="VOB1" s="22"/>
      <c r="VOC1" s="22"/>
      <c r="VOD1" s="22"/>
      <c r="VOE1" s="22"/>
      <c r="VOF1" s="22"/>
      <c r="VOG1" s="22"/>
      <c r="VOH1" s="22"/>
      <c r="VOI1" s="22"/>
      <c r="VOJ1" s="22"/>
      <c r="VOK1" s="22"/>
      <c r="VOL1" s="22"/>
      <c r="VOM1" s="22"/>
      <c r="VON1" s="22"/>
      <c r="VOO1" s="22"/>
      <c r="VOP1" s="22"/>
      <c r="VOQ1" s="22"/>
      <c r="VOR1" s="22"/>
      <c r="VOS1" s="22"/>
      <c r="VOT1" s="22"/>
      <c r="VOU1" s="22"/>
      <c r="VOV1" s="22"/>
      <c r="VOW1" s="22"/>
      <c r="VOX1" s="22"/>
      <c r="VOY1" s="22"/>
      <c r="VOZ1" s="22"/>
      <c r="VPA1" s="22"/>
      <c r="VPB1" s="22"/>
      <c r="VPC1" s="22"/>
      <c r="VPD1" s="22"/>
      <c r="VPE1" s="22"/>
      <c r="VPF1" s="22"/>
      <c r="VPG1" s="22"/>
      <c r="VPH1" s="22"/>
      <c r="VPI1" s="22"/>
      <c r="VPJ1" s="22"/>
      <c r="VPK1" s="22"/>
      <c r="VPL1" s="22"/>
      <c r="VPM1" s="22"/>
      <c r="VPN1" s="22"/>
      <c r="VPO1" s="22"/>
      <c r="VPP1" s="22"/>
      <c r="VPQ1" s="22"/>
      <c r="VPR1" s="22"/>
      <c r="VPS1" s="22"/>
      <c r="VPT1" s="22"/>
      <c r="VPU1" s="22"/>
      <c r="VPV1" s="22"/>
      <c r="VPW1" s="22"/>
      <c r="VPX1" s="22"/>
      <c r="VPY1" s="22"/>
      <c r="VPZ1" s="22"/>
      <c r="VQA1" s="22"/>
      <c r="VQB1" s="22"/>
      <c r="VQC1" s="22"/>
      <c r="VQD1" s="22"/>
      <c r="VQE1" s="22"/>
      <c r="VQF1" s="22"/>
      <c r="VQG1" s="22"/>
      <c r="VQH1" s="22"/>
      <c r="VQI1" s="22"/>
      <c r="VQJ1" s="22"/>
      <c r="VQK1" s="22"/>
      <c r="VQL1" s="22"/>
      <c r="VQM1" s="22"/>
      <c r="VQN1" s="22"/>
      <c r="VQO1" s="22"/>
      <c r="VQP1" s="22"/>
      <c r="VQQ1" s="22"/>
      <c r="VQR1" s="22"/>
      <c r="VQS1" s="22"/>
      <c r="VQT1" s="22"/>
      <c r="VQU1" s="22"/>
      <c r="VQV1" s="22"/>
      <c r="VQW1" s="22"/>
      <c r="VQX1" s="22"/>
      <c r="VQY1" s="22"/>
      <c r="VQZ1" s="22"/>
      <c r="VRA1" s="22"/>
      <c r="VRB1" s="22"/>
      <c r="VRC1" s="22"/>
      <c r="VRD1" s="22"/>
      <c r="VRE1" s="22"/>
      <c r="VRF1" s="22"/>
      <c r="VRG1" s="22"/>
      <c r="VRH1" s="22"/>
      <c r="VRI1" s="22"/>
      <c r="VRJ1" s="22"/>
      <c r="VRK1" s="22"/>
      <c r="VRL1" s="22"/>
      <c r="VRM1" s="22"/>
      <c r="VRN1" s="22"/>
      <c r="VRO1" s="22"/>
      <c r="VRP1" s="22"/>
      <c r="VRQ1" s="22"/>
      <c r="VRR1" s="22"/>
      <c r="VRS1" s="22"/>
      <c r="VRT1" s="22"/>
      <c r="VRU1" s="22"/>
      <c r="VRV1" s="22"/>
      <c r="VRW1" s="22"/>
      <c r="VRX1" s="22"/>
      <c r="VRY1" s="22"/>
      <c r="VRZ1" s="22"/>
      <c r="VSA1" s="22"/>
      <c r="VSB1" s="22"/>
      <c r="VSC1" s="22"/>
      <c r="VSD1" s="22"/>
      <c r="VSE1" s="22"/>
      <c r="VSF1" s="22"/>
      <c r="VSG1" s="22"/>
      <c r="VSH1" s="22"/>
      <c r="VSI1" s="22"/>
      <c r="VSJ1" s="22"/>
      <c r="VSK1" s="22"/>
      <c r="VSL1" s="22"/>
      <c r="VSM1" s="22"/>
      <c r="VSN1" s="22"/>
      <c r="VSO1" s="22"/>
      <c r="VSP1" s="22"/>
      <c r="VSQ1" s="22"/>
      <c r="VSR1" s="22"/>
      <c r="VSS1" s="22"/>
      <c r="VST1" s="22"/>
      <c r="VSU1" s="22"/>
      <c r="VSV1" s="22"/>
      <c r="VSW1" s="22"/>
      <c r="VSX1" s="22"/>
      <c r="VSY1" s="22"/>
      <c r="VSZ1" s="22"/>
      <c r="VTA1" s="22"/>
      <c r="VTB1" s="22"/>
      <c r="VTC1" s="22"/>
      <c r="VTD1" s="22"/>
      <c r="VTE1" s="22"/>
      <c r="VTF1" s="22"/>
      <c r="VTG1" s="22"/>
      <c r="VTH1" s="22"/>
      <c r="VTI1" s="22"/>
      <c r="VTJ1" s="22"/>
      <c r="VTK1" s="22"/>
      <c r="VTL1" s="22"/>
      <c r="VTM1" s="22"/>
      <c r="VTN1" s="22"/>
      <c r="VTO1" s="22"/>
      <c r="VTP1" s="22"/>
      <c r="VTQ1" s="22"/>
      <c r="VTR1" s="22"/>
      <c r="VTS1" s="22"/>
      <c r="VTT1" s="22"/>
      <c r="VTU1" s="22"/>
      <c r="VTV1" s="22"/>
      <c r="VTW1" s="22"/>
      <c r="VTX1" s="22"/>
      <c r="VTY1" s="22"/>
      <c r="VTZ1" s="22"/>
      <c r="VUA1" s="22"/>
      <c r="VUB1" s="22"/>
      <c r="VUC1" s="22"/>
      <c r="VUD1" s="22"/>
      <c r="VUE1" s="22"/>
      <c r="VUF1" s="22"/>
      <c r="VUG1" s="22"/>
      <c r="VUH1" s="22"/>
      <c r="VUI1" s="22"/>
      <c r="VUJ1" s="22"/>
      <c r="VUK1" s="22"/>
      <c r="VUL1" s="22"/>
      <c r="VUM1" s="22"/>
      <c r="VUN1" s="22"/>
      <c r="VUO1" s="22"/>
      <c r="VUP1" s="22"/>
      <c r="VUQ1" s="22"/>
      <c r="VUR1" s="22"/>
      <c r="VUS1" s="22"/>
      <c r="VUT1" s="22"/>
      <c r="VUU1" s="22"/>
      <c r="VUV1" s="22"/>
      <c r="VUW1" s="22"/>
      <c r="VUX1" s="22"/>
      <c r="VUY1" s="22"/>
      <c r="VUZ1" s="22"/>
      <c r="VVA1" s="22"/>
      <c r="VVB1" s="22"/>
      <c r="VVC1" s="22"/>
      <c r="VVD1" s="22"/>
      <c r="VVE1" s="22"/>
      <c r="VVF1" s="22"/>
      <c r="VVG1" s="22"/>
      <c r="VVH1" s="22"/>
      <c r="VVI1" s="22"/>
      <c r="VVJ1" s="22"/>
      <c r="VVK1" s="22"/>
      <c r="VVL1" s="22"/>
      <c r="VVM1" s="22"/>
      <c r="VVN1" s="22"/>
      <c r="VVO1" s="22"/>
      <c r="VVP1" s="22"/>
      <c r="VVQ1" s="22"/>
      <c r="VVR1" s="22"/>
      <c r="VVS1" s="22"/>
      <c r="VVT1" s="22"/>
      <c r="VVU1" s="22"/>
      <c r="VVV1" s="22"/>
      <c r="VVW1" s="22"/>
      <c r="VVX1" s="22"/>
      <c r="VVY1" s="22"/>
      <c r="VVZ1" s="22"/>
      <c r="VWA1" s="22"/>
      <c r="VWB1" s="22"/>
      <c r="VWC1" s="22"/>
      <c r="VWD1" s="22"/>
      <c r="VWE1" s="22"/>
      <c r="VWF1" s="22"/>
      <c r="VWG1" s="22"/>
      <c r="VWH1" s="22"/>
      <c r="VWI1" s="22"/>
      <c r="VWJ1" s="22"/>
      <c r="VWK1" s="22"/>
      <c r="VWL1" s="22"/>
      <c r="VWM1" s="22"/>
      <c r="VWN1" s="22"/>
      <c r="VWO1" s="22"/>
      <c r="VWP1" s="22"/>
      <c r="VWQ1" s="22"/>
      <c r="VWR1" s="22"/>
      <c r="VWS1" s="22"/>
      <c r="VWT1" s="22"/>
      <c r="VWU1" s="22"/>
      <c r="VWV1" s="22"/>
      <c r="VWW1" s="22"/>
      <c r="VWX1" s="22"/>
      <c r="VWY1" s="22"/>
      <c r="VWZ1" s="22"/>
      <c r="VXA1" s="22"/>
      <c r="VXB1" s="22"/>
      <c r="VXC1" s="22"/>
      <c r="VXD1" s="22"/>
      <c r="VXE1" s="22"/>
      <c r="VXF1" s="22"/>
      <c r="VXG1" s="22"/>
      <c r="VXH1" s="22"/>
      <c r="VXI1" s="22"/>
      <c r="VXJ1" s="22"/>
      <c r="VXK1" s="22"/>
      <c r="VXL1" s="22"/>
      <c r="VXM1" s="22"/>
      <c r="VXN1" s="22"/>
      <c r="VXO1" s="22"/>
      <c r="VXP1" s="22"/>
      <c r="VXQ1" s="22"/>
      <c r="VXR1" s="22"/>
      <c r="VXS1" s="22"/>
      <c r="VXT1" s="22"/>
      <c r="VXU1" s="22"/>
      <c r="VXV1" s="22"/>
      <c r="VXW1" s="22"/>
      <c r="VXX1" s="22"/>
      <c r="VXY1" s="22"/>
      <c r="VXZ1" s="22"/>
      <c r="VYA1" s="22"/>
      <c r="VYB1" s="22"/>
      <c r="VYC1" s="22"/>
      <c r="VYD1" s="22"/>
      <c r="VYE1" s="22"/>
      <c r="VYF1" s="22"/>
      <c r="VYG1" s="22"/>
      <c r="VYH1" s="22"/>
      <c r="VYI1" s="22"/>
      <c r="VYJ1" s="22"/>
      <c r="VYK1" s="22"/>
      <c r="VYL1" s="22"/>
      <c r="VYM1" s="22"/>
      <c r="VYN1" s="22"/>
      <c r="VYO1" s="22"/>
      <c r="VYP1" s="22"/>
      <c r="VYQ1" s="22"/>
      <c r="VYR1" s="22"/>
      <c r="VYS1" s="22"/>
      <c r="VYT1" s="22"/>
      <c r="VYU1" s="22"/>
      <c r="VYV1" s="22"/>
      <c r="VYW1" s="22"/>
      <c r="VYX1" s="22"/>
      <c r="VYY1" s="22"/>
      <c r="VYZ1" s="22"/>
      <c r="VZA1" s="22"/>
      <c r="VZB1" s="22"/>
      <c r="VZC1" s="22"/>
      <c r="VZD1" s="22"/>
      <c r="VZE1" s="22"/>
      <c r="VZF1" s="22"/>
      <c r="VZG1" s="22"/>
      <c r="VZH1" s="22"/>
      <c r="VZI1" s="22"/>
      <c r="VZJ1" s="22"/>
      <c r="VZK1" s="22"/>
      <c r="VZL1" s="22"/>
      <c r="VZM1" s="22"/>
      <c r="VZN1" s="22"/>
      <c r="VZO1" s="22"/>
      <c r="VZP1" s="22"/>
      <c r="VZQ1" s="22"/>
      <c r="VZR1" s="22"/>
      <c r="VZS1" s="22"/>
      <c r="VZT1" s="22"/>
      <c r="VZU1" s="22"/>
      <c r="VZV1" s="22"/>
      <c r="VZW1" s="22"/>
      <c r="VZX1" s="22"/>
      <c r="VZY1" s="22"/>
      <c r="VZZ1" s="22"/>
      <c r="WAA1" s="22"/>
      <c r="WAB1" s="22"/>
      <c r="WAC1" s="22"/>
      <c r="WAD1" s="22"/>
      <c r="WAE1" s="22"/>
      <c r="WAF1" s="22"/>
      <c r="WAG1" s="22"/>
      <c r="WAH1" s="22"/>
      <c r="WAI1" s="22"/>
      <c r="WAJ1" s="22"/>
      <c r="WAK1" s="22"/>
      <c r="WAL1" s="22"/>
      <c r="WAM1" s="22"/>
      <c r="WAN1" s="22"/>
      <c r="WAO1" s="22"/>
      <c r="WAP1" s="22"/>
      <c r="WAQ1" s="22"/>
      <c r="WAR1" s="22"/>
      <c r="WAS1" s="22"/>
      <c r="WAT1" s="22"/>
      <c r="WAU1" s="22"/>
      <c r="WAV1" s="22"/>
      <c r="WAW1" s="22"/>
      <c r="WAX1" s="22"/>
      <c r="WAY1" s="22"/>
      <c r="WAZ1" s="22"/>
      <c r="WBA1" s="22"/>
      <c r="WBB1" s="22"/>
      <c r="WBC1" s="22"/>
      <c r="WBD1" s="22"/>
      <c r="WBE1" s="22"/>
      <c r="WBF1" s="22"/>
      <c r="WBG1" s="22"/>
      <c r="WBH1" s="22"/>
      <c r="WBI1" s="22"/>
      <c r="WBJ1" s="22"/>
      <c r="WBK1" s="22"/>
      <c r="WBL1" s="22"/>
      <c r="WBM1" s="22"/>
      <c r="WBN1" s="22"/>
      <c r="WBO1" s="22"/>
      <c r="WBP1" s="22"/>
      <c r="WBQ1" s="22"/>
      <c r="WBR1" s="22"/>
      <c r="WBS1" s="22"/>
      <c r="WBT1" s="22"/>
      <c r="WBU1" s="22"/>
      <c r="WBV1" s="22"/>
      <c r="WBW1" s="22"/>
      <c r="WBX1" s="22"/>
      <c r="WBY1" s="22"/>
      <c r="WBZ1" s="22"/>
      <c r="WCA1" s="22"/>
      <c r="WCB1" s="22"/>
      <c r="WCC1" s="22"/>
      <c r="WCD1" s="22"/>
      <c r="WCE1" s="22"/>
      <c r="WCF1" s="22"/>
      <c r="WCG1" s="22"/>
      <c r="WCH1" s="22"/>
      <c r="WCI1" s="22"/>
      <c r="WCJ1" s="22"/>
      <c r="WCK1" s="22"/>
      <c r="WCL1" s="22"/>
      <c r="WCM1" s="22"/>
      <c r="WCN1" s="22"/>
      <c r="WCO1" s="22"/>
      <c r="WCP1" s="22"/>
      <c r="WCQ1" s="22"/>
      <c r="WCR1" s="22"/>
      <c r="WCS1" s="22"/>
      <c r="WCT1" s="22"/>
      <c r="WCU1" s="22"/>
      <c r="WCV1" s="22"/>
      <c r="WCW1" s="22"/>
      <c r="WCX1" s="22"/>
      <c r="WCY1" s="22"/>
      <c r="WCZ1" s="22"/>
      <c r="WDA1" s="22"/>
      <c r="WDB1" s="22"/>
      <c r="WDC1" s="22"/>
      <c r="WDD1" s="22"/>
      <c r="WDE1" s="22"/>
      <c r="WDF1" s="22"/>
      <c r="WDG1" s="22"/>
      <c r="WDH1" s="22"/>
      <c r="WDI1" s="22"/>
      <c r="WDJ1" s="22"/>
      <c r="WDK1" s="22"/>
      <c r="WDL1" s="22"/>
      <c r="WDM1" s="22"/>
      <c r="WDN1" s="22"/>
      <c r="WDO1" s="22"/>
      <c r="WDP1" s="22"/>
      <c r="WDQ1" s="22"/>
      <c r="WDR1" s="22"/>
      <c r="WDS1" s="22"/>
      <c r="WDT1" s="22"/>
      <c r="WDU1" s="22"/>
      <c r="WDV1" s="22"/>
      <c r="WDW1" s="22"/>
      <c r="WDX1" s="22"/>
      <c r="WDY1" s="22"/>
      <c r="WDZ1" s="22"/>
      <c r="WEA1" s="22"/>
      <c r="WEB1" s="22"/>
      <c r="WEC1" s="22"/>
      <c r="WED1" s="22"/>
      <c r="WEE1" s="22"/>
      <c r="WEF1" s="22"/>
      <c r="WEG1" s="22"/>
      <c r="WEH1" s="22"/>
      <c r="WEI1" s="22"/>
      <c r="WEJ1" s="22"/>
      <c r="WEK1" s="22"/>
      <c r="WEL1" s="22"/>
      <c r="WEM1" s="22"/>
      <c r="WEN1" s="22"/>
      <c r="WEO1" s="22"/>
      <c r="WEP1" s="22"/>
      <c r="WEQ1" s="22"/>
      <c r="WER1" s="22"/>
      <c r="WES1" s="22"/>
      <c r="WET1" s="22"/>
      <c r="WEU1" s="22"/>
      <c r="WEV1" s="22"/>
      <c r="WEW1" s="22"/>
      <c r="WEX1" s="22"/>
      <c r="WEY1" s="22"/>
      <c r="WEZ1" s="22"/>
      <c r="WFA1" s="22"/>
      <c r="WFB1" s="22"/>
      <c r="WFC1" s="22"/>
      <c r="WFD1" s="22"/>
      <c r="WFE1" s="22"/>
      <c r="WFF1" s="22"/>
      <c r="WFG1" s="22"/>
      <c r="WFH1" s="22"/>
      <c r="WFI1" s="22"/>
      <c r="WFJ1" s="22"/>
      <c r="WFK1" s="22"/>
      <c r="WFL1" s="22"/>
      <c r="WFM1" s="22"/>
      <c r="WFN1" s="22"/>
      <c r="WFO1" s="22"/>
      <c r="WFP1" s="22"/>
      <c r="WFQ1" s="22"/>
      <c r="WFR1" s="22"/>
      <c r="WFS1" s="22"/>
      <c r="WFT1" s="22"/>
      <c r="WFU1" s="22"/>
      <c r="WFV1" s="22"/>
      <c r="WFW1" s="22"/>
      <c r="WFX1" s="22"/>
      <c r="WFY1" s="22"/>
      <c r="WFZ1" s="22"/>
      <c r="WGA1" s="22"/>
      <c r="WGB1" s="22"/>
      <c r="WGC1" s="22"/>
      <c r="WGD1" s="22"/>
      <c r="WGE1" s="22"/>
      <c r="WGF1" s="22"/>
      <c r="WGG1" s="22"/>
      <c r="WGH1" s="22"/>
      <c r="WGI1" s="22"/>
      <c r="WGJ1" s="22"/>
      <c r="WGK1" s="22"/>
      <c r="WGL1" s="22"/>
      <c r="WGM1" s="22"/>
      <c r="WGN1" s="22"/>
      <c r="WGO1" s="22"/>
      <c r="WGP1" s="22"/>
      <c r="WGQ1" s="22"/>
      <c r="WGR1" s="22"/>
      <c r="WGS1" s="22"/>
      <c r="WGT1" s="22"/>
      <c r="WGU1" s="22"/>
      <c r="WGV1" s="22"/>
      <c r="WGW1" s="22"/>
      <c r="WGX1" s="22"/>
      <c r="WGY1" s="22"/>
      <c r="WGZ1" s="22"/>
      <c r="WHA1" s="22"/>
      <c r="WHB1" s="22"/>
      <c r="WHC1" s="22"/>
      <c r="WHD1" s="22"/>
      <c r="WHE1" s="22"/>
      <c r="WHF1" s="22"/>
      <c r="WHG1" s="22"/>
      <c r="WHH1" s="22"/>
      <c r="WHI1" s="22"/>
      <c r="WHJ1" s="22"/>
      <c r="WHK1" s="22"/>
      <c r="WHL1" s="22"/>
      <c r="WHM1" s="22"/>
      <c r="WHN1" s="22"/>
      <c r="WHO1" s="22"/>
      <c r="WHP1" s="22"/>
      <c r="WHQ1" s="22"/>
      <c r="WHR1" s="22"/>
      <c r="WHS1" s="22"/>
      <c r="WHT1" s="22"/>
      <c r="WHU1" s="22"/>
      <c r="WHV1" s="22"/>
      <c r="WHW1" s="22"/>
      <c r="WHX1" s="22"/>
      <c r="WHY1" s="22"/>
      <c r="WHZ1" s="22"/>
      <c r="WIA1" s="22"/>
      <c r="WIB1" s="22"/>
      <c r="WIC1" s="22"/>
      <c r="WID1" s="22"/>
      <c r="WIE1" s="22"/>
      <c r="WIF1" s="22"/>
      <c r="WIG1" s="22"/>
      <c r="WIH1" s="22"/>
      <c r="WII1" s="22"/>
      <c r="WIJ1" s="22"/>
      <c r="WIK1" s="22"/>
      <c r="WIL1" s="22"/>
      <c r="WIM1" s="22"/>
      <c r="WIN1" s="22"/>
      <c r="WIO1" s="22"/>
      <c r="WIP1" s="22"/>
      <c r="WIQ1" s="22"/>
      <c r="WIR1" s="22"/>
      <c r="WIS1" s="22"/>
      <c r="WIT1" s="22"/>
      <c r="WIU1" s="22"/>
      <c r="WIV1" s="22"/>
      <c r="WIW1" s="22"/>
      <c r="WIX1" s="22"/>
      <c r="WIY1" s="22"/>
      <c r="WIZ1" s="22"/>
      <c r="WJA1" s="22"/>
      <c r="WJB1" s="22"/>
      <c r="WJC1" s="22"/>
      <c r="WJD1" s="22"/>
      <c r="WJE1" s="22"/>
      <c r="WJF1" s="22"/>
      <c r="WJG1" s="22"/>
      <c r="WJH1" s="22"/>
      <c r="WJI1" s="22"/>
      <c r="WJJ1" s="22"/>
      <c r="WJK1" s="22"/>
      <c r="WJL1" s="22"/>
      <c r="WJM1" s="22"/>
      <c r="WJN1" s="22"/>
      <c r="WJO1" s="22"/>
      <c r="WJP1" s="22"/>
      <c r="WJQ1" s="22"/>
      <c r="WJR1" s="22"/>
      <c r="WJS1" s="22"/>
      <c r="WJT1" s="22"/>
      <c r="WJU1" s="22"/>
      <c r="WJV1" s="22"/>
      <c r="WJW1" s="22"/>
      <c r="WJX1" s="22"/>
      <c r="WJY1" s="22"/>
      <c r="WJZ1" s="22"/>
      <c r="WKA1" s="22"/>
      <c r="WKB1" s="22"/>
      <c r="WKC1" s="22"/>
      <c r="WKD1" s="22"/>
      <c r="WKE1" s="22"/>
      <c r="WKF1" s="22"/>
      <c r="WKG1" s="22"/>
      <c r="WKH1" s="22"/>
      <c r="WKI1" s="22"/>
      <c r="WKJ1" s="22"/>
      <c r="WKK1" s="22"/>
      <c r="WKL1" s="22"/>
      <c r="WKM1" s="22"/>
      <c r="WKN1" s="22"/>
      <c r="WKO1" s="22"/>
      <c r="WKP1" s="22"/>
      <c r="WKQ1" s="22"/>
      <c r="WKR1" s="22"/>
      <c r="WKS1" s="22"/>
      <c r="WKT1" s="22"/>
      <c r="WKU1" s="22"/>
      <c r="WKV1" s="22"/>
      <c r="WKW1" s="22"/>
      <c r="WKX1" s="22"/>
      <c r="WKY1" s="22"/>
      <c r="WKZ1" s="22"/>
      <c r="WLA1" s="22"/>
      <c r="WLB1" s="22"/>
      <c r="WLC1" s="22"/>
      <c r="WLD1" s="22"/>
      <c r="WLE1" s="22"/>
      <c r="WLF1" s="22"/>
      <c r="WLG1" s="22"/>
      <c r="WLH1" s="22"/>
      <c r="WLI1" s="22"/>
      <c r="WLJ1" s="22"/>
      <c r="WLK1" s="22"/>
      <c r="WLL1" s="22"/>
      <c r="WLM1" s="22"/>
      <c r="WLN1" s="22"/>
      <c r="WLO1" s="22"/>
      <c r="WLP1" s="22"/>
      <c r="WLQ1" s="22"/>
      <c r="WLR1" s="22"/>
      <c r="WLS1" s="22"/>
      <c r="WLT1" s="22"/>
      <c r="WLU1" s="22"/>
      <c r="WLV1" s="22"/>
      <c r="WLW1" s="22"/>
      <c r="WLX1" s="22"/>
      <c r="WLY1" s="22"/>
      <c r="WLZ1" s="22"/>
      <c r="WMA1" s="22"/>
      <c r="WMB1" s="22"/>
      <c r="WMC1" s="22"/>
      <c r="WMD1" s="22"/>
      <c r="WME1" s="22"/>
      <c r="WMF1" s="22"/>
      <c r="WMG1" s="22"/>
      <c r="WMH1" s="22"/>
      <c r="WMI1" s="22"/>
      <c r="WMJ1" s="22"/>
      <c r="WMK1" s="22"/>
      <c r="WML1" s="22"/>
      <c r="WMM1" s="22"/>
      <c r="WMN1" s="22"/>
      <c r="WMO1" s="22"/>
      <c r="WMP1" s="22"/>
      <c r="WMQ1" s="22"/>
      <c r="WMR1" s="22"/>
      <c r="WMS1" s="22"/>
      <c r="WMT1" s="22"/>
      <c r="WMU1" s="22"/>
      <c r="WMV1" s="22"/>
      <c r="WMW1" s="22"/>
      <c r="WMX1" s="22"/>
      <c r="WMY1" s="22"/>
      <c r="WMZ1" s="22"/>
      <c r="WNA1" s="22"/>
      <c r="WNB1" s="22"/>
      <c r="WNC1" s="22"/>
      <c r="WND1" s="22"/>
      <c r="WNE1" s="22"/>
      <c r="WNF1" s="22"/>
      <c r="WNG1" s="22"/>
      <c r="WNH1" s="22"/>
      <c r="WNI1" s="22"/>
      <c r="WNJ1" s="22"/>
      <c r="WNK1" s="22"/>
      <c r="WNL1" s="22"/>
      <c r="WNM1" s="22"/>
      <c r="WNN1" s="22"/>
      <c r="WNO1" s="22"/>
      <c r="WNP1" s="22"/>
      <c r="WNQ1" s="22"/>
      <c r="WNR1" s="22"/>
      <c r="WNS1" s="22"/>
      <c r="WNT1" s="22"/>
      <c r="WNU1" s="22"/>
      <c r="WNV1" s="22"/>
      <c r="WNW1" s="22"/>
      <c r="WNX1" s="22"/>
      <c r="WNY1" s="22"/>
      <c r="WNZ1" s="22"/>
      <c r="WOA1" s="22"/>
      <c r="WOB1" s="22"/>
      <c r="WOC1" s="22"/>
      <c r="WOD1" s="22"/>
      <c r="WOE1" s="22"/>
      <c r="WOF1" s="22"/>
      <c r="WOG1" s="22"/>
      <c r="WOH1" s="22"/>
      <c r="WOI1" s="22"/>
      <c r="WOJ1" s="22"/>
      <c r="WOK1" s="22"/>
      <c r="WOL1" s="22"/>
      <c r="WOM1" s="22"/>
      <c r="WON1" s="22"/>
      <c r="WOO1" s="22"/>
      <c r="WOP1" s="22"/>
      <c r="WOQ1" s="22"/>
      <c r="WOR1" s="22"/>
      <c r="WOS1" s="22"/>
      <c r="WOT1" s="22"/>
      <c r="WOU1" s="22"/>
      <c r="WOV1" s="22"/>
      <c r="WOW1" s="22"/>
      <c r="WOX1" s="22"/>
      <c r="WOY1" s="22"/>
      <c r="WOZ1" s="22"/>
      <c r="WPA1" s="22"/>
      <c r="WPB1" s="22"/>
      <c r="WPC1" s="22"/>
      <c r="WPD1" s="22"/>
      <c r="WPE1" s="22"/>
      <c r="WPF1" s="22"/>
      <c r="WPG1" s="22"/>
      <c r="WPH1" s="22"/>
      <c r="WPI1" s="22"/>
      <c r="WPJ1" s="22"/>
      <c r="WPK1" s="22"/>
      <c r="WPL1" s="22"/>
      <c r="WPM1" s="22"/>
      <c r="WPN1" s="22"/>
      <c r="WPO1" s="22"/>
      <c r="WPP1" s="22"/>
      <c r="WPQ1" s="22"/>
      <c r="WPR1" s="22"/>
      <c r="WPS1" s="22"/>
      <c r="WPT1" s="22"/>
      <c r="WPU1" s="22"/>
      <c r="WPV1" s="22"/>
      <c r="WPW1" s="22"/>
      <c r="WPX1" s="22"/>
      <c r="WPY1" s="22"/>
      <c r="WPZ1" s="22"/>
      <c r="WQA1" s="22"/>
      <c r="WQB1" s="22"/>
      <c r="WQC1" s="22"/>
      <c r="WQD1" s="22"/>
      <c r="WQE1" s="22"/>
      <c r="WQF1" s="22"/>
      <c r="WQG1" s="22"/>
      <c r="WQH1" s="22"/>
      <c r="WQI1" s="22"/>
      <c r="WQJ1" s="22"/>
      <c r="WQK1" s="22"/>
      <c r="WQL1" s="22"/>
      <c r="WQM1" s="22"/>
      <c r="WQN1" s="22"/>
      <c r="WQO1" s="22"/>
      <c r="WQP1" s="22"/>
      <c r="WQQ1" s="22"/>
      <c r="WQR1" s="22"/>
      <c r="WQS1" s="22"/>
      <c r="WQT1" s="22"/>
      <c r="WQU1" s="22"/>
      <c r="WQV1" s="22"/>
      <c r="WQW1" s="22"/>
      <c r="WQX1" s="22"/>
      <c r="WQY1" s="22"/>
      <c r="WQZ1" s="22"/>
      <c r="WRA1" s="22"/>
      <c r="WRB1" s="22"/>
      <c r="WRC1" s="22"/>
      <c r="WRD1" s="22"/>
      <c r="WRE1" s="22"/>
      <c r="WRF1" s="22"/>
      <c r="WRG1" s="22"/>
      <c r="WRH1" s="22"/>
      <c r="WRI1" s="22"/>
      <c r="WRJ1" s="22"/>
      <c r="WRK1" s="22"/>
      <c r="WRL1" s="22"/>
      <c r="WRM1" s="22"/>
      <c r="WRN1" s="22"/>
      <c r="WRO1" s="22"/>
      <c r="WRP1" s="22"/>
      <c r="WRQ1" s="22"/>
      <c r="WRR1" s="22"/>
      <c r="WRS1" s="22"/>
      <c r="WRT1" s="22"/>
      <c r="WRU1" s="22"/>
      <c r="WRV1" s="22"/>
      <c r="WRW1" s="22"/>
      <c r="WRX1" s="22"/>
      <c r="WRY1" s="22"/>
      <c r="WRZ1" s="22"/>
      <c r="WSA1" s="22"/>
      <c r="WSB1" s="22"/>
      <c r="WSC1" s="22"/>
      <c r="WSD1" s="22"/>
      <c r="WSE1" s="22"/>
      <c r="WSF1" s="22"/>
      <c r="WSG1" s="22"/>
      <c r="WSH1" s="22"/>
      <c r="WSI1" s="22"/>
      <c r="WSJ1" s="22"/>
      <c r="WSK1" s="22"/>
      <c r="WSL1" s="22"/>
      <c r="WSM1" s="22"/>
      <c r="WSN1" s="22"/>
      <c r="WSO1" s="22"/>
      <c r="WSP1" s="22"/>
      <c r="WSQ1" s="22"/>
      <c r="WSR1" s="22"/>
      <c r="WSS1" s="22"/>
      <c r="WST1" s="22"/>
      <c r="WSU1" s="22"/>
      <c r="WSV1" s="22"/>
      <c r="WSW1" s="22"/>
      <c r="WSX1" s="22"/>
      <c r="WSY1" s="22"/>
      <c r="WSZ1" s="22"/>
      <c r="WTA1" s="22"/>
      <c r="WTB1" s="22"/>
      <c r="WTC1" s="22"/>
      <c r="WTD1" s="22"/>
      <c r="WTE1" s="22"/>
      <c r="WTF1" s="22"/>
      <c r="WTG1" s="22"/>
      <c r="WTH1" s="22"/>
      <c r="WTI1" s="22"/>
      <c r="WTJ1" s="22"/>
      <c r="WTK1" s="22"/>
      <c r="WTL1" s="22"/>
      <c r="WTM1" s="22"/>
      <c r="WTN1" s="22"/>
      <c r="WTO1" s="22"/>
      <c r="WTP1" s="22"/>
      <c r="WTQ1" s="22"/>
      <c r="WTR1" s="22"/>
      <c r="WTS1" s="22"/>
      <c r="WTT1" s="22"/>
      <c r="WTU1" s="22"/>
      <c r="WTV1" s="22"/>
      <c r="WTW1" s="22"/>
      <c r="WTX1" s="22"/>
      <c r="WTY1" s="22"/>
      <c r="WTZ1" s="22"/>
      <c r="WUA1" s="22"/>
      <c r="WUB1" s="22"/>
      <c r="WUC1" s="22"/>
      <c r="WUD1" s="22"/>
      <c r="WUE1" s="22"/>
      <c r="WUF1" s="22"/>
      <c r="WUG1" s="22"/>
      <c r="WUH1" s="22"/>
      <c r="WUI1" s="22"/>
      <c r="WUJ1" s="22"/>
      <c r="WUK1" s="22"/>
      <c r="WUL1" s="22"/>
      <c r="WUM1" s="22"/>
      <c r="WUN1" s="22"/>
      <c r="WUO1" s="22"/>
      <c r="WUP1" s="22"/>
      <c r="WUQ1" s="22"/>
      <c r="WUR1" s="22"/>
      <c r="WUS1" s="22"/>
      <c r="WUT1" s="22"/>
      <c r="WUU1" s="22"/>
      <c r="WUV1" s="22"/>
      <c r="WUW1" s="22"/>
      <c r="WUX1" s="22"/>
      <c r="WUY1" s="22"/>
      <c r="WUZ1" s="22"/>
      <c r="WVA1" s="22"/>
      <c r="WVB1" s="22"/>
      <c r="WVC1" s="22"/>
      <c r="WVD1" s="22"/>
      <c r="WVE1" s="22"/>
      <c r="WVF1" s="22"/>
      <c r="WVG1" s="22"/>
      <c r="WVH1" s="22"/>
      <c r="WVI1" s="22"/>
      <c r="WVJ1" s="22"/>
      <c r="WVK1" s="22"/>
      <c r="WVL1" s="22"/>
      <c r="WVM1" s="22"/>
      <c r="WVN1" s="22"/>
      <c r="WVO1" s="22"/>
      <c r="WVP1" s="22"/>
      <c r="WVQ1" s="22"/>
      <c r="WVR1" s="22"/>
      <c r="WVS1" s="22"/>
      <c r="WVT1" s="22"/>
      <c r="WVU1" s="22"/>
      <c r="WVV1" s="22"/>
      <c r="WVW1" s="22"/>
      <c r="WVX1" s="22"/>
      <c r="WVY1" s="22"/>
      <c r="WVZ1" s="22"/>
      <c r="WWA1" s="22"/>
      <c r="WWB1" s="22"/>
      <c r="WWC1" s="22"/>
      <c r="WWD1" s="22"/>
      <c r="WWE1" s="22"/>
      <c r="WWF1" s="22"/>
      <c r="WWG1" s="22"/>
      <c r="WWH1" s="22"/>
      <c r="WWI1" s="22"/>
      <c r="WWJ1" s="22"/>
      <c r="WWK1" s="22"/>
      <c r="WWL1" s="22"/>
      <c r="WWM1" s="22"/>
      <c r="WWN1" s="22"/>
      <c r="WWO1" s="22"/>
      <c r="WWP1" s="22"/>
      <c r="WWQ1" s="22"/>
      <c r="WWR1" s="22"/>
      <c r="WWS1" s="22"/>
      <c r="WWT1" s="22"/>
      <c r="WWU1" s="22"/>
      <c r="WWV1" s="22"/>
      <c r="WWW1" s="22"/>
      <c r="WWX1" s="22"/>
      <c r="WWY1" s="22"/>
      <c r="WWZ1" s="22"/>
      <c r="WXA1" s="22"/>
      <c r="WXB1" s="22"/>
      <c r="WXC1" s="22"/>
      <c r="WXD1" s="22"/>
      <c r="WXE1" s="22"/>
      <c r="WXF1" s="22"/>
      <c r="WXG1" s="22"/>
      <c r="WXH1" s="22"/>
      <c r="WXI1" s="22"/>
      <c r="WXJ1" s="22"/>
      <c r="WXK1" s="22"/>
      <c r="WXL1" s="22"/>
      <c r="WXM1" s="22"/>
      <c r="WXN1" s="22"/>
      <c r="WXO1" s="22"/>
      <c r="WXP1" s="22"/>
      <c r="WXQ1" s="22"/>
      <c r="WXR1" s="22"/>
      <c r="WXS1" s="22"/>
      <c r="WXT1" s="22"/>
      <c r="WXU1" s="22"/>
      <c r="WXV1" s="22"/>
      <c r="WXW1" s="22"/>
      <c r="WXX1" s="22"/>
      <c r="WXY1" s="22"/>
      <c r="WXZ1" s="22"/>
      <c r="WYA1" s="22"/>
      <c r="WYB1" s="22"/>
      <c r="WYC1" s="22"/>
      <c r="WYD1" s="22"/>
      <c r="WYE1" s="22"/>
      <c r="WYF1" s="22"/>
      <c r="WYG1" s="22"/>
      <c r="WYH1" s="22"/>
      <c r="WYI1" s="22"/>
      <c r="WYJ1" s="22"/>
      <c r="WYK1" s="22"/>
      <c r="WYL1" s="22"/>
      <c r="WYM1" s="22"/>
      <c r="WYN1" s="22"/>
      <c r="WYO1" s="22"/>
      <c r="WYP1" s="22"/>
      <c r="WYQ1" s="22"/>
      <c r="WYR1" s="22"/>
      <c r="WYS1" s="22"/>
      <c r="WYT1" s="22"/>
      <c r="WYU1" s="22"/>
      <c r="WYV1" s="22"/>
      <c r="WYW1" s="22"/>
      <c r="WYX1" s="22"/>
      <c r="WYY1" s="22"/>
      <c r="WYZ1" s="22"/>
      <c r="WZA1" s="22"/>
      <c r="WZB1" s="22"/>
      <c r="WZC1" s="22"/>
      <c r="WZD1" s="22"/>
      <c r="WZE1" s="22"/>
      <c r="WZF1" s="22"/>
      <c r="WZG1" s="22"/>
      <c r="WZH1" s="22"/>
      <c r="WZI1" s="22"/>
      <c r="WZJ1" s="22"/>
      <c r="WZK1" s="22"/>
      <c r="WZL1" s="22"/>
      <c r="WZM1" s="22"/>
      <c r="WZN1" s="22"/>
      <c r="WZO1" s="22"/>
      <c r="WZP1" s="22"/>
      <c r="WZQ1" s="22"/>
      <c r="WZR1" s="22"/>
      <c r="WZS1" s="22"/>
      <c r="WZT1" s="22"/>
      <c r="WZU1" s="22"/>
      <c r="WZV1" s="22"/>
      <c r="WZW1" s="22"/>
      <c r="WZX1" s="22"/>
      <c r="WZY1" s="22"/>
      <c r="WZZ1" s="22"/>
      <c r="XAA1" s="22"/>
      <c r="XAB1" s="22"/>
      <c r="XAC1" s="22"/>
      <c r="XAD1" s="22"/>
      <c r="XAE1" s="22"/>
      <c r="XAF1" s="22"/>
      <c r="XAG1" s="22"/>
      <c r="XAH1" s="22"/>
      <c r="XAI1" s="22"/>
      <c r="XAJ1" s="22"/>
      <c r="XAK1" s="22"/>
      <c r="XAL1" s="22"/>
      <c r="XAM1" s="22"/>
      <c r="XAN1" s="22"/>
      <c r="XAO1" s="22"/>
      <c r="XAP1" s="22"/>
      <c r="XAQ1" s="22"/>
      <c r="XAR1" s="22"/>
      <c r="XAS1" s="22"/>
      <c r="XAT1" s="22"/>
      <c r="XAU1" s="22"/>
      <c r="XAV1" s="22"/>
      <c r="XAW1" s="22"/>
      <c r="XAX1" s="22"/>
      <c r="XAY1" s="22"/>
      <c r="XAZ1" s="22"/>
      <c r="XBA1" s="22"/>
      <c r="XBB1" s="22"/>
      <c r="XBC1" s="22"/>
      <c r="XBD1" s="22"/>
      <c r="XBE1" s="22"/>
      <c r="XBF1" s="22"/>
      <c r="XBG1" s="22"/>
      <c r="XBH1" s="22"/>
      <c r="XBI1" s="22"/>
      <c r="XBJ1" s="22"/>
      <c r="XBK1" s="22"/>
      <c r="XBL1" s="22"/>
      <c r="XBM1" s="22"/>
      <c r="XBN1" s="22"/>
      <c r="XBO1" s="22"/>
      <c r="XBP1" s="22"/>
      <c r="XBQ1" s="22"/>
      <c r="XBR1" s="22"/>
      <c r="XBS1" s="22"/>
      <c r="XBT1" s="22"/>
      <c r="XBU1" s="22"/>
      <c r="XBV1" s="22"/>
      <c r="XBW1" s="22"/>
      <c r="XBX1" s="22"/>
      <c r="XBY1" s="22"/>
      <c r="XBZ1" s="22"/>
      <c r="XCA1" s="22"/>
      <c r="XCB1" s="22"/>
      <c r="XCC1" s="22"/>
      <c r="XCD1" s="22"/>
      <c r="XCE1" s="22"/>
      <c r="XCF1" s="22"/>
      <c r="XCG1" s="22"/>
      <c r="XCH1" s="22"/>
      <c r="XCI1" s="22"/>
      <c r="XCJ1" s="22"/>
      <c r="XCK1" s="22"/>
      <c r="XCL1" s="22"/>
      <c r="XCM1" s="22"/>
      <c r="XCN1" s="22"/>
      <c r="XCO1" s="22"/>
      <c r="XCP1" s="22"/>
      <c r="XCQ1" s="22"/>
      <c r="XCR1" s="22"/>
      <c r="XCS1" s="22"/>
      <c r="XCT1" s="22"/>
      <c r="XCU1" s="22"/>
      <c r="XCV1" s="22"/>
      <c r="XCW1" s="22"/>
      <c r="XCX1" s="22"/>
      <c r="XCY1" s="22"/>
      <c r="XCZ1" s="22"/>
      <c r="XDA1" s="22"/>
      <c r="XDB1" s="22"/>
      <c r="XDC1" s="22"/>
      <c r="XDD1" s="22"/>
      <c r="XDE1" s="22"/>
      <c r="XDF1" s="22"/>
      <c r="XDG1" s="22"/>
      <c r="XDH1" s="22"/>
      <c r="XDI1" s="22"/>
      <c r="XDJ1" s="22"/>
      <c r="XDK1" s="22"/>
      <c r="XDL1" s="22"/>
      <c r="XDM1" s="22"/>
      <c r="XDN1" s="22"/>
      <c r="XDO1" s="22"/>
      <c r="XDP1" s="22"/>
      <c r="XDQ1" s="22"/>
      <c r="XDR1" s="22"/>
      <c r="XDS1" s="22"/>
      <c r="XDT1" s="22"/>
      <c r="XDU1" s="22"/>
      <c r="XDV1" s="22"/>
      <c r="XDW1" s="22"/>
      <c r="XDX1" s="22"/>
      <c r="XDY1" s="22"/>
      <c r="XDZ1" s="22"/>
      <c r="XEA1" s="22"/>
      <c r="XEB1" s="22"/>
      <c r="XEC1" s="22"/>
      <c r="XED1" s="22"/>
      <c r="XEE1" s="22"/>
      <c r="XEF1" s="22"/>
      <c r="XEG1" s="22"/>
      <c r="XEH1" s="22"/>
      <c r="XEI1" s="22"/>
      <c r="XEJ1" s="22"/>
      <c r="XEK1" s="22"/>
      <c r="XEL1" s="22"/>
      <c r="XEM1" s="22"/>
      <c r="XEN1" s="22"/>
      <c r="XEO1" s="22"/>
      <c r="XEP1" s="22"/>
      <c r="XEQ1" s="22"/>
      <c r="XER1" s="22"/>
      <c r="XES1" s="22"/>
      <c r="XET1" s="22"/>
      <c r="XEU1" s="22"/>
      <c r="XEV1" s="22"/>
      <c r="XEW1" s="22"/>
      <c r="XEX1" s="22"/>
      <c r="XEY1" s="22"/>
      <c r="XEZ1" s="22"/>
      <c r="XFA1" s="22"/>
      <c r="XFB1" s="22"/>
    </row>
    <row r="2" spans="1:16382" s="26" customFormat="1" ht="5.25" customHeight="1" x14ac:dyDescent="0.25">
      <c r="A2" s="24"/>
      <c r="B2" s="25"/>
      <c r="C2" s="24"/>
      <c r="D2" s="24"/>
      <c r="E2" s="24"/>
      <c r="F2" s="24"/>
      <c r="G2" s="24"/>
      <c r="H2" s="24"/>
      <c r="I2" s="24"/>
      <c r="J2" s="24"/>
      <c r="K2" s="24"/>
      <c r="L2" s="24"/>
      <c r="M2" s="24"/>
      <c r="N2" s="24"/>
      <c r="O2" s="24"/>
      <c r="P2" s="24"/>
      <c r="Q2" s="24"/>
      <c r="R2" s="24"/>
      <c r="S2" s="24"/>
      <c r="T2" s="24"/>
      <c r="U2" s="24"/>
      <c r="V2" s="24"/>
      <c r="W2" s="24"/>
      <c r="X2" s="24"/>
      <c r="Y2" s="24"/>
      <c r="Z2" s="24"/>
      <c r="AA2" s="24"/>
      <c r="AB2" s="24"/>
      <c r="AC2" s="24"/>
      <c r="AD2" s="24"/>
    </row>
    <row r="3" spans="1:16382" x14ac:dyDescent="0.25">
      <c r="D3" s="110"/>
      <c r="E3" s="110"/>
      <c r="F3" s="110"/>
      <c r="G3" s="110"/>
      <c r="H3" s="110"/>
      <c r="I3" s="110"/>
      <c r="N3" s="27"/>
      <c r="R3" s="27"/>
    </row>
    <row r="4" spans="1:16382" ht="15.75" customHeight="1" x14ac:dyDescent="0.25">
      <c r="D4" s="110"/>
      <c r="E4" s="110"/>
      <c r="F4" s="110"/>
      <c r="G4" s="110"/>
      <c r="H4" s="110"/>
      <c r="I4" s="110"/>
    </row>
    <row r="5" spans="1:16382" ht="17.25" customHeight="1" x14ac:dyDescent="0.25">
      <c r="B5" s="28"/>
      <c r="C5" s="28"/>
      <c r="D5" s="29"/>
      <c r="E5" s="30" t="s">
        <v>11</v>
      </c>
      <c r="F5" s="31" t="s">
        <v>11</v>
      </c>
      <c r="G5" s="31" t="s">
        <v>11</v>
      </c>
      <c r="H5" s="31" t="s">
        <v>11</v>
      </c>
      <c r="I5" s="30" t="s">
        <v>12</v>
      </c>
      <c r="J5" s="31" t="s">
        <v>12</v>
      </c>
      <c r="K5" s="31" t="s">
        <v>12</v>
      </c>
      <c r="L5" s="31" t="s">
        <v>12</v>
      </c>
      <c r="M5" s="31" t="s">
        <v>13</v>
      </c>
      <c r="N5" s="31" t="s">
        <v>13</v>
      </c>
      <c r="O5" s="31" t="s">
        <v>13</v>
      </c>
      <c r="P5" s="31" t="s">
        <v>13</v>
      </c>
      <c r="Q5" s="31" t="s">
        <v>14</v>
      </c>
      <c r="R5" s="31" t="s">
        <v>14</v>
      </c>
      <c r="S5" s="31" t="s">
        <v>14</v>
      </c>
      <c r="T5" s="31" t="s">
        <v>14</v>
      </c>
      <c r="U5" s="31" t="s">
        <v>15</v>
      </c>
      <c r="V5" s="31" t="s">
        <v>15</v>
      </c>
      <c r="W5" s="31" t="s">
        <v>15</v>
      </c>
      <c r="X5" s="31" t="s">
        <v>15</v>
      </c>
      <c r="Y5" s="31" t="s">
        <v>16</v>
      </c>
      <c r="Z5" s="31" t="s">
        <v>16</v>
      </c>
      <c r="AA5" s="31" t="s">
        <v>16</v>
      </c>
      <c r="AB5" s="31" t="s">
        <v>16</v>
      </c>
      <c r="AC5" s="28"/>
    </row>
    <row r="6" spans="1:16382" ht="11.25" customHeight="1" x14ac:dyDescent="0.25">
      <c r="B6" s="28"/>
      <c r="C6" s="28"/>
      <c r="D6" s="29"/>
      <c r="E6" s="30"/>
      <c r="F6" s="31"/>
      <c r="G6" s="31"/>
      <c r="H6" s="31"/>
      <c r="I6" s="30"/>
      <c r="J6" s="111"/>
      <c r="K6" s="111"/>
      <c r="L6" s="31"/>
      <c r="M6" s="31"/>
      <c r="N6" s="31"/>
      <c r="O6" s="31"/>
      <c r="P6" s="31"/>
      <c r="Q6" s="31"/>
      <c r="R6" s="31"/>
      <c r="S6" s="31"/>
      <c r="T6" s="31"/>
      <c r="U6" s="31"/>
      <c r="V6" s="31"/>
      <c r="W6" s="31"/>
      <c r="X6" s="31"/>
      <c r="Y6" s="31"/>
      <c r="Z6" s="31"/>
      <c r="AA6" s="31"/>
      <c r="AB6" s="31"/>
      <c r="AC6" s="28"/>
    </row>
    <row r="7" spans="1:16382" ht="36.75" customHeight="1" x14ac:dyDescent="0.3">
      <c r="B7" s="32"/>
      <c r="C7" s="33"/>
      <c r="D7" s="34"/>
      <c r="E7" s="112" t="s">
        <v>11</v>
      </c>
      <c r="F7" s="112"/>
      <c r="G7" s="112"/>
      <c r="H7" s="112"/>
      <c r="I7" s="113" t="s">
        <v>12</v>
      </c>
      <c r="J7" s="113"/>
      <c r="K7" s="113"/>
      <c r="L7" s="113"/>
      <c r="M7" s="113" t="s">
        <v>13</v>
      </c>
      <c r="N7" s="113"/>
      <c r="O7" s="113"/>
      <c r="P7" s="113"/>
      <c r="Q7" s="113" t="s">
        <v>14</v>
      </c>
      <c r="R7" s="113"/>
      <c r="S7" s="113"/>
      <c r="T7" s="113"/>
      <c r="U7" s="113" t="s">
        <v>15</v>
      </c>
      <c r="V7" s="113"/>
      <c r="W7" s="113"/>
      <c r="X7" s="113"/>
      <c r="Y7" s="113" t="s">
        <v>16</v>
      </c>
      <c r="Z7" s="113"/>
      <c r="AA7" s="113"/>
      <c r="AB7" s="113"/>
      <c r="AC7" s="35"/>
    </row>
    <row r="8" spans="1:16382" ht="11.25" customHeight="1" x14ac:dyDescent="0.25">
      <c r="B8" s="36"/>
      <c r="C8" s="114"/>
      <c r="D8" s="114"/>
      <c r="E8" s="115" t="s">
        <v>26</v>
      </c>
      <c r="F8" s="115"/>
      <c r="G8" s="115"/>
      <c r="H8" s="115"/>
      <c r="I8" s="115" t="s">
        <v>26</v>
      </c>
      <c r="J8" s="115"/>
      <c r="K8" s="115"/>
      <c r="L8" s="115"/>
      <c r="M8" s="115" t="s">
        <v>26</v>
      </c>
      <c r="N8" s="115"/>
      <c r="O8" s="115"/>
      <c r="P8" s="115"/>
      <c r="Q8" s="115" t="s">
        <v>26</v>
      </c>
      <c r="R8" s="115"/>
      <c r="S8" s="115"/>
      <c r="T8" s="115"/>
      <c r="U8" s="115" t="s">
        <v>26</v>
      </c>
      <c r="V8" s="115"/>
      <c r="W8" s="115"/>
      <c r="X8" s="115"/>
      <c r="Y8" s="115" t="s">
        <v>26</v>
      </c>
      <c r="Z8" s="115"/>
      <c r="AA8" s="115"/>
      <c r="AB8" s="115"/>
      <c r="AC8" s="35"/>
    </row>
    <row r="9" spans="1:16382" ht="11.25" customHeight="1" x14ac:dyDescent="0.25">
      <c r="B9" s="36"/>
      <c r="C9" s="37"/>
      <c r="D9" s="37"/>
      <c r="E9" s="38"/>
      <c r="F9" s="38"/>
      <c r="G9" s="38"/>
      <c r="H9" s="38"/>
      <c r="I9" s="38"/>
      <c r="J9" s="38"/>
      <c r="K9" s="38"/>
      <c r="L9" s="38"/>
      <c r="M9" s="38"/>
      <c r="N9" s="38"/>
      <c r="O9" s="38"/>
      <c r="P9" s="38"/>
      <c r="Q9" s="38"/>
      <c r="R9" s="38"/>
      <c r="S9" s="38"/>
      <c r="T9" s="38"/>
      <c r="U9" s="38"/>
      <c r="V9" s="38"/>
      <c r="W9" s="38"/>
      <c r="X9" s="38"/>
      <c r="Y9" s="38"/>
      <c r="Z9" s="38"/>
      <c r="AA9" s="38"/>
      <c r="AB9" s="38"/>
      <c r="AC9" s="35"/>
    </row>
    <row r="10" spans="1:16382" ht="30.75" customHeight="1" x14ac:dyDescent="0.25">
      <c r="B10" s="39"/>
      <c r="C10" s="40" t="s">
        <v>17</v>
      </c>
      <c r="D10" s="41"/>
      <c r="E10" s="42"/>
      <c r="F10" s="117">
        <v>136.03</v>
      </c>
      <c r="G10" s="117"/>
      <c r="H10" s="43"/>
      <c r="I10" s="43"/>
      <c r="J10" s="117">
        <v>32</v>
      </c>
      <c r="K10" s="117"/>
      <c r="L10" s="43"/>
      <c r="M10" s="43"/>
      <c r="N10" s="117">
        <v>165.3</v>
      </c>
      <c r="O10" s="117"/>
      <c r="P10" s="43"/>
      <c r="Q10" s="43"/>
      <c r="R10" s="117">
        <v>0</v>
      </c>
      <c r="S10" s="117"/>
      <c r="T10" s="43"/>
      <c r="U10" s="43"/>
      <c r="V10" s="117">
        <v>0</v>
      </c>
      <c r="W10" s="117"/>
      <c r="X10" s="43"/>
      <c r="Y10" s="43"/>
      <c r="Z10" s="117">
        <v>0</v>
      </c>
      <c r="AA10" s="117"/>
      <c r="AB10" s="44"/>
      <c r="AC10" s="39"/>
    </row>
    <row r="11" spans="1:16382" ht="30.75" customHeight="1" x14ac:dyDescent="0.25">
      <c r="B11" s="39"/>
      <c r="C11" s="45" t="s">
        <v>18</v>
      </c>
      <c r="D11" s="41"/>
      <c r="E11" s="42"/>
      <c r="F11" s="116">
        <v>2706.8566999999998</v>
      </c>
      <c r="G11" s="116"/>
      <c r="H11" s="46"/>
      <c r="I11" s="46"/>
      <c r="J11" s="116">
        <v>206.6756</v>
      </c>
      <c r="K11" s="116"/>
      <c r="L11" s="46"/>
      <c r="M11" s="46"/>
      <c r="N11" s="116">
        <v>1391.5451</v>
      </c>
      <c r="O11" s="116"/>
      <c r="P11" s="46"/>
      <c r="Q11" s="46"/>
      <c r="R11" s="116">
        <v>50</v>
      </c>
      <c r="S11" s="116"/>
      <c r="T11" s="46"/>
      <c r="U11" s="46"/>
      <c r="V11" s="116">
        <v>1044</v>
      </c>
      <c r="W11" s="116"/>
      <c r="X11" s="46"/>
      <c r="Y11" s="46"/>
      <c r="Z11" s="116">
        <v>197</v>
      </c>
      <c r="AA11" s="116"/>
      <c r="AB11" s="44"/>
      <c r="AC11" s="39"/>
    </row>
    <row r="12" spans="1:16382" ht="30.75" customHeight="1" x14ac:dyDescent="0.25">
      <c r="B12" s="39"/>
      <c r="C12" s="45" t="s">
        <v>19</v>
      </c>
      <c r="D12" s="41"/>
      <c r="E12" s="42"/>
      <c r="F12" s="119">
        <v>0.94974613912882788</v>
      </c>
      <c r="G12" s="119"/>
      <c r="H12" s="47"/>
      <c r="I12" s="47"/>
      <c r="J12" s="119">
        <v>0.8451679830613773</v>
      </c>
      <c r="K12" s="119"/>
      <c r="L12" s="47"/>
      <c r="M12" s="47"/>
      <c r="N12" s="119">
        <v>0.88121118029160539</v>
      </c>
      <c r="O12" s="119"/>
      <c r="P12" s="47"/>
      <c r="Q12" s="47"/>
      <c r="R12" s="119">
        <v>1</v>
      </c>
      <c r="S12" s="119"/>
      <c r="T12" s="47"/>
      <c r="U12" s="47"/>
      <c r="V12" s="119">
        <v>1</v>
      </c>
      <c r="W12" s="119"/>
      <c r="X12" s="47"/>
      <c r="Y12" s="47"/>
      <c r="Z12" s="119">
        <v>1</v>
      </c>
      <c r="AA12" s="119"/>
      <c r="AB12" s="44"/>
      <c r="AC12" s="39"/>
    </row>
    <row r="13" spans="1:16382" ht="30.75" customHeight="1" x14ac:dyDescent="0.25">
      <c r="B13" s="39"/>
      <c r="C13" s="45" t="s">
        <v>20</v>
      </c>
      <c r="D13" s="48"/>
      <c r="E13" s="42"/>
      <c r="F13" s="118">
        <v>2570.8266999999996</v>
      </c>
      <c r="G13" s="118"/>
      <c r="H13" s="49"/>
      <c r="I13" s="49"/>
      <c r="J13" s="118">
        <v>174.6756</v>
      </c>
      <c r="K13" s="118"/>
      <c r="L13" s="49"/>
      <c r="M13" s="49"/>
      <c r="N13" s="118">
        <v>1226.2451000000001</v>
      </c>
      <c r="O13" s="118"/>
      <c r="P13" s="49"/>
      <c r="Q13" s="49"/>
      <c r="R13" s="118">
        <v>50</v>
      </c>
      <c r="S13" s="118"/>
      <c r="T13" s="49"/>
      <c r="U13" s="49"/>
      <c r="V13" s="118">
        <v>1044</v>
      </c>
      <c r="W13" s="118"/>
      <c r="X13" s="49"/>
      <c r="Y13" s="49"/>
      <c r="Z13" s="118">
        <v>197</v>
      </c>
      <c r="AA13" s="118"/>
      <c r="AB13" s="44"/>
      <c r="AC13" s="39"/>
    </row>
    <row r="14" spans="1:16382" ht="58.5" customHeight="1" x14ac:dyDescent="0.25">
      <c r="B14" s="39"/>
      <c r="C14" s="120"/>
      <c r="D14" s="120"/>
      <c r="E14" s="121">
        <v>5.0253860871172118E-2</v>
      </c>
      <c r="F14" s="121"/>
      <c r="G14" s="121"/>
      <c r="H14" s="121"/>
      <c r="I14" s="50"/>
      <c r="J14" s="51">
        <v>0.1548320169386227</v>
      </c>
      <c r="K14" s="52"/>
      <c r="L14" s="50"/>
      <c r="M14" s="50"/>
      <c r="N14" s="50">
        <v>0.11878881970839461</v>
      </c>
      <c r="O14" s="50"/>
      <c r="P14" s="50"/>
      <c r="Q14" s="50"/>
      <c r="R14" s="50">
        <v>0</v>
      </c>
      <c r="S14" s="50"/>
      <c r="T14" s="50"/>
      <c r="U14" s="50"/>
      <c r="V14" s="50"/>
      <c r="W14" s="50"/>
      <c r="X14" s="50"/>
      <c r="Y14" s="50"/>
      <c r="Z14" s="50">
        <v>0</v>
      </c>
      <c r="AA14" s="50"/>
      <c r="AB14" s="44"/>
      <c r="AC14" s="53"/>
    </row>
    <row r="15" spans="1:16382" ht="18" customHeight="1" x14ac:dyDescent="0.25">
      <c r="B15" s="36"/>
      <c r="C15" s="122"/>
      <c r="D15" s="122"/>
      <c r="E15" s="123" t="s">
        <v>27</v>
      </c>
      <c r="F15" s="123"/>
      <c r="G15" s="123"/>
      <c r="H15" s="123"/>
      <c r="I15" s="123" t="s">
        <v>28</v>
      </c>
      <c r="J15" s="123"/>
      <c r="K15" s="123"/>
      <c r="L15" s="123"/>
      <c r="M15" s="123" t="s">
        <v>27</v>
      </c>
      <c r="N15" s="123"/>
      <c r="O15" s="123"/>
      <c r="P15" s="123"/>
      <c r="Q15" s="123" t="s">
        <v>27</v>
      </c>
      <c r="R15" s="123"/>
      <c r="S15" s="123"/>
      <c r="T15" s="123"/>
      <c r="U15" s="123" t="s">
        <v>27</v>
      </c>
      <c r="V15" s="123"/>
      <c r="W15" s="123"/>
      <c r="X15" s="123"/>
      <c r="Y15" s="123" t="s">
        <v>27</v>
      </c>
      <c r="Z15" s="123"/>
      <c r="AA15" s="123"/>
      <c r="AB15" s="123"/>
      <c r="AC15" s="35"/>
    </row>
    <row r="16" spans="1:16382" ht="12.75" customHeight="1" x14ac:dyDescent="0.25">
      <c r="B16" s="36"/>
      <c r="C16" s="114"/>
      <c r="D16" s="114"/>
      <c r="E16" s="124"/>
      <c r="F16" s="124"/>
      <c r="G16" s="124"/>
      <c r="H16" s="124"/>
      <c r="I16" s="124"/>
      <c r="J16" s="124"/>
      <c r="K16" s="124"/>
      <c r="L16" s="124"/>
      <c r="M16" s="124"/>
      <c r="N16" s="124"/>
      <c r="O16" s="124"/>
      <c r="P16" s="124"/>
      <c r="Q16" s="124"/>
      <c r="R16" s="124"/>
      <c r="S16" s="124"/>
      <c r="T16" s="124"/>
      <c r="U16" s="124"/>
      <c r="V16" s="124"/>
      <c r="W16" s="124"/>
      <c r="X16" s="124"/>
      <c r="Y16" s="124"/>
      <c r="Z16" s="124"/>
      <c r="AA16" s="124"/>
      <c r="AB16" s="124"/>
      <c r="AC16" s="35"/>
    </row>
    <row r="17" spans="2:29" ht="18" customHeight="1" x14ac:dyDescent="0.25">
      <c r="B17" s="36"/>
      <c r="C17" s="37"/>
      <c r="D17" s="37"/>
      <c r="E17" s="54"/>
      <c r="F17" s="54"/>
      <c r="G17" s="54"/>
      <c r="H17" s="54"/>
      <c r="I17" s="54"/>
      <c r="J17" s="54"/>
      <c r="K17" s="54"/>
      <c r="L17" s="54"/>
      <c r="M17" s="54"/>
      <c r="N17" s="54"/>
      <c r="O17" s="54"/>
      <c r="P17" s="54"/>
      <c r="Q17" s="54"/>
      <c r="R17" s="54"/>
      <c r="S17" s="54"/>
      <c r="T17" s="54"/>
      <c r="U17" s="54"/>
      <c r="V17" s="54"/>
      <c r="W17" s="54"/>
      <c r="X17" s="54"/>
      <c r="Y17" s="54"/>
      <c r="Z17" s="54"/>
      <c r="AA17" s="54"/>
      <c r="AB17" s="54"/>
      <c r="AC17" s="35"/>
    </row>
    <row r="18" spans="2:29" s="59" customFormat="1" ht="18" customHeight="1" x14ac:dyDescent="0.25">
      <c r="B18" s="55"/>
      <c r="C18" s="56"/>
      <c r="D18" s="56"/>
      <c r="E18" s="57"/>
      <c r="F18" s="57"/>
      <c r="G18" s="57"/>
      <c r="H18" s="57"/>
      <c r="I18" s="57"/>
      <c r="J18" s="57"/>
      <c r="K18" s="57"/>
      <c r="L18" s="57"/>
      <c r="M18" s="57"/>
      <c r="N18" s="57"/>
      <c r="O18" s="57"/>
      <c r="P18" s="57"/>
      <c r="Q18" s="57"/>
      <c r="R18" s="57"/>
      <c r="S18" s="57"/>
      <c r="T18" s="57"/>
      <c r="U18" s="57"/>
      <c r="V18" s="57"/>
      <c r="W18" s="57"/>
      <c r="X18" s="57"/>
      <c r="Y18" s="57"/>
      <c r="Z18" s="57"/>
      <c r="AA18" s="57"/>
      <c r="AB18" s="57"/>
      <c r="AC18" s="58"/>
    </row>
    <row r="19" spans="2:29" ht="18" customHeight="1" x14ac:dyDescent="0.25">
      <c r="B19" s="36"/>
      <c r="C19" s="37"/>
      <c r="D19" s="37"/>
      <c r="E19" s="54"/>
      <c r="F19" s="54"/>
      <c r="G19" s="54"/>
      <c r="H19" s="54"/>
      <c r="I19" s="54"/>
      <c r="J19" s="54"/>
      <c r="K19" s="54"/>
      <c r="L19" s="54"/>
      <c r="M19" s="54"/>
      <c r="N19" s="54"/>
      <c r="O19" s="54"/>
      <c r="P19" s="54"/>
      <c r="Q19" s="54"/>
      <c r="R19" s="54"/>
      <c r="S19" s="54"/>
      <c r="T19" s="54"/>
      <c r="U19" s="54"/>
      <c r="V19" s="54"/>
      <c r="W19" s="54"/>
      <c r="X19" s="54"/>
      <c r="Y19" s="54"/>
      <c r="Z19" s="54"/>
      <c r="AA19" s="54"/>
      <c r="AB19" s="54"/>
      <c r="AC19" s="35"/>
    </row>
    <row r="20" spans="2:29" ht="18" customHeight="1" x14ac:dyDescent="0.25">
      <c r="B20" s="36"/>
      <c r="C20" s="37"/>
      <c r="D20" s="37"/>
      <c r="E20" s="54"/>
      <c r="F20" s="54"/>
      <c r="G20" s="54"/>
      <c r="H20" s="54"/>
      <c r="I20" s="54"/>
      <c r="J20" s="54"/>
      <c r="K20" s="54"/>
      <c r="L20" s="54"/>
      <c r="M20" s="54"/>
      <c r="N20" s="54"/>
      <c r="O20" s="54"/>
      <c r="P20" s="54"/>
      <c r="Q20" s="54"/>
      <c r="R20" s="54"/>
      <c r="S20" s="54"/>
      <c r="T20" s="54"/>
      <c r="U20" s="54"/>
      <c r="V20" s="54"/>
      <c r="W20" s="54"/>
      <c r="X20" s="54"/>
      <c r="Y20" s="54"/>
      <c r="Z20" s="54"/>
      <c r="AA20" s="54"/>
      <c r="AB20" s="54"/>
      <c r="AC20" s="35"/>
    </row>
    <row r="21" spans="2:29" ht="18" customHeight="1" x14ac:dyDescent="0.25">
      <c r="B21" s="36"/>
      <c r="C21" s="37"/>
      <c r="D21" s="37"/>
      <c r="E21" s="54"/>
      <c r="F21" s="54"/>
      <c r="G21" s="54"/>
      <c r="H21" s="54"/>
      <c r="I21" s="54"/>
      <c r="J21" s="54"/>
      <c r="K21" s="54"/>
      <c r="L21" s="54"/>
      <c r="M21" s="54"/>
      <c r="N21" s="54"/>
      <c r="O21" s="54"/>
      <c r="P21" s="54"/>
      <c r="Q21" s="54"/>
      <c r="R21" s="54"/>
      <c r="S21" s="54"/>
      <c r="T21" s="54"/>
      <c r="U21" s="54"/>
      <c r="V21" s="54"/>
      <c r="W21" s="54"/>
      <c r="X21" s="54"/>
      <c r="Y21" s="54"/>
      <c r="Z21" s="54"/>
      <c r="AA21" s="54"/>
      <c r="AB21" s="54"/>
      <c r="AC21" s="35"/>
    </row>
    <row r="22" spans="2:29" ht="18" customHeight="1" x14ac:dyDescent="0.25">
      <c r="B22" s="36"/>
      <c r="C22" s="37"/>
      <c r="D22" s="37"/>
      <c r="E22" s="54"/>
      <c r="F22" s="54"/>
      <c r="G22" s="54"/>
      <c r="H22" s="54"/>
      <c r="I22" s="54"/>
      <c r="J22" s="54"/>
      <c r="K22" s="54"/>
      <c r="L22" s="54"/>
      <c r="M22" s="54"/>
      <c r="N22" s="54"/>
      <c r="O22" s="54"/>
      <c r="P22" s="54"/>
      <c r="Q22" s="54"/>
      <c r="R22" s="54"/>
      <c r="S22" s="54"/>
      <c r="T22" s="54"/>
      <c r="U22" s="54"/>
      <c r="V22" s="54"/>
      <c r="W22" s="54"/>
      <c r="X22" s="54"/>
      <c r="Y22" s="54"/>
      <c r="Z22" s="54"/>
      <c r="AA22" s="54"/>
      <c r="AB22" s="54"/>
      <c r="AC22" s="35"/>
    </row>
    <row r="23" spans="2:29" ht="18" customHeight="1" x14ac:dyDescent="0.25">
      <c r="B23" s="60"/>
      <c r="C23" s="61"/>
      <c r="D23" s="61"/>
      <c r="E23" s="62"/>
      <c r="F23" s="135"/>
      <c r="G23" s="135"/>
      <c r="H23" s="135"/>
      <c r="I23" s="135"/>
      <c r="J23" s="135"/>
      <c r="K23" s="135"/>
      <c r="L23" s="135"/>
      <c r="M23" s="135"/>
      <c r="N23" s="135"/>
      <c r="O23" s="135"/>
      <c r="P23" s="135"/>
      <c r="Q23" s="135"/>
      <c r="R23" s="135"/>
      <c r="S23" s="135"/>
      <c r="T23" s="135"/>
      <c r="U23" s="135"/>
      <c r="V23" s="131"/>
      <c r="W23" s="131"/>
      <c r="X23" s="131"/>
      <c r="Y23" s="131"/>
      <c r="Z23" s="131"/>
      <c r="AA23" s="131"/>
      <c r="AB23" s="62"/>
      <c r="AC23" s="28"/>
    </row>
    <row r="24" spans="2:29" ht="30.75" customHeight="1" x14ac:dyDescent="0.25">
      <c r="B24" s="63"/>
      <c r="C24" s="132" t="s">
        <v>27</v>
      </c>
      <c r="D24" s="132"/>
      <c r="E24" s="133">
        <v>6</v>
      </c>
      <c r="F24" s="133"/>
      <c r="G24" s="133"/>
      <c r="H24" s="133"/>
      <c r="I24" s="133"/>
      <c r="J24" s="133" t="s">
        <v>27</v>
      </c>
      <c r="K24" s="133"/>
      <c r="L24" s="133"/>
      <c r="M24" s="133"/>
      <c r="N24" s="133"/>
      <c r="O24" s="133"/>
      <c r="P24" s="132" t="s">
        <v>27</v>
      </c>
      <c r="Q24" s="132"/>
      <c r="R24" s="132"/>
      <c r="S24" s="132"/>
      <c r="T24" s="132"/>
      <c r="U24" s="132"/>
      <c r="V24" s="132"/>
      <c r="W24" s="132"/>
      <c r="X24" s="134" t="s">
        <v>27</v>
      </c>
      <c r="Y24" s="134"/>
      <c r="Z24" s="134" t="s">
        <v>27</v>
      </c>
      <c r="AA24" s="134"/>
      <c r="AB24" s="64"/>
      <c r="AC24" s="65"/>
    </row>
    <row r="25" spans="2:29" ht="27" customHeight="1" x14ac:dyDescent="0.25">
      <c r="B25" s="66" t="s">
        <v>27</v>
      </c>
      <c r="C25" s="125">
        <v>43110</v>
      </c>
      <c r="D25" s="126"/>
      <c r="E25" s="127" t="s">
        <v>21</v>
      </c>
      <c r="F25" s="127"/>
      <c r="G25" s="127"/>
      <c r="H25" s="127"/>
      <c r="I25" s="127"/>
      <c r="J25" s="128" t="s">
        <v>22</v>
      </c>
      <c r="K25" s="128"/>
      <c r="L25" s="128"/>
      <c r="M25" s="128"/>
      <c r="N25" s="128"/>
      <c r="O25" s="128"/>
      <c r="P25" s="127" t="s">
        <v>23</v>
      </c>
      <c r="Q25" s="127"/>
      <c r="R25" s="127"/>
      <c r="S25" s="127"/>
      <c r="T25" s="127"/>
      <c r="U25" s="127"/>
      <c r="V25" s="127"/>
      <c r="W25" s="127"/>
      <c r="X25" s="129">
        <v>155.66999999999999</v>
      </c>
      <c r="Y25" s="129"/>
      <c r="Z25" s="129">
        <v>0</v>
      </c>
      <c r="AA25" s="130"/>
      <c r="AB25" s="67"/>
      <c r="AC25" s="65"/>
    </row>
    <row r="26" spans="2:29" ht="27" customHeight="1" x14ac:dyDescent="0.25">
      <c r="B26" s="68" t="s">
        <v>27</v>
      </c>
      <c r="C26" s="125">
        <v>43125</v>
      </c>
      <c r="D26" s="126"/>
      <c r="E26" s="127" t="s">
        <v>21</v>
      </c>
      <c r="F26" s="127"/>
      <c r="G26" s="127"/>
      <c r="H26" s="127"/>
      <c r="I26" s="127"/>
      <c r="J26" s="128" t="s">
        <v>22</v>
      </c>
      <c r="K26" s="128"/>
      <c r="L26" s="128"/>
      <c r="M26" s="128"/>
      <c r="N26" s="128"/>
      <c r="O26" s="128"/>
      <c r="P26" s="127" t="s">
        <v>23</v>
      </c>
      <c r="Q26" s="127"/>
      <c r="R26" s="127"/>
      <c r="S26" s="127"/>
      <c r="T26" s="127"/>
      <c r="U26" s="127"/>
      <c r="V26" s="127">
        <v>87.61</v>
      </c>
      <c r="W26" s="127"/>
      <c r="X26" s="129">
        <v>87.61</v>
      </c>
      <c r="Y26" s="129"/>
      <c r="Z26" s="129">
        <v>0</v>
      </c>
      <c r="AA26" s="130"/>
      <c r="AB26" s="67"/>
      <c r="AC26" s="65"/>
    </row>
    <row r="27" spans="2:29" ht="27" customHeight="1" x14ac:dyDescent="0.25">
      <c r="B27" s="68" t="s">
        <v>27</v>
      </c>
      <c r="C27" s="125">
        <v>43169</v>
      </c>
      <c r="D27" s="126"/>
      <c r="E27" s="127" t="s">
        <v>24</v>
      </c>
      <c r="F27" s="127"/>
      <c r="G27" s="127"/>
      <c r="H27" s="127"/>
      <c r="I27" s="127"/>
      <c r="J27" s="128" t="s">
        <v>22</v>
      </c>
      <c r="K27" s="128"/>
      <c r="L27" s="128"/>
      <c r="M27" s="128"/>
      <c r="N27" s="128"/>
      <c r="O27" s="128"/>
      <c r="P27" s="127" t="s">
        <v>23</v>
      </c>
      <c r="Q27" s="127"/>
      <c r="R27" s="127"/>
      <c r="S27" s="127"/>
      <c r="T27" s="127"/>
      <c r="U27" s="127"/>
      <c r="V27" s="127">
        <v>27.32</v>
      </c>
      <c r="W27" s="127"/>
      <c r="X27" s="129">
        <v>27.32</v>
      </c>
      <c r="Y27" s="129"/>
      <c r="Z27" s="129">
        <v>0</v>
      </c>
      <c r="AA27" s="130"/>
      <c r="AB27" s="67"/>
      <c r="AC27" s="65"/>
    </row>
    <row r="28" spans="2:29" ht="27" customHeight="1" x14ac:dyDescent="0.25">
      <c r="B28" s="68" t="s">
        <v>27</v>
      </c>
      <c r="C28" s="125">
        <v>43152</v>
      </c>
      <c r="D28" s="126"/>
      <c r="E28" s="127" t="s">
        <v>25</v>
      </c>
      <c r="F28" s="127"/>
      <c r="G28" s="127"/>
      <c r="H28" s="127"/>
      <c r="I28" s="127"/>
      <c r="J28" s="128" t="s">
        <v>22</v>
      </c>
      <c r="K28" s="128"/>
      <c r="L28" s="128"/>
      <c r="M28" s="128"/>
      <c r="N28" s="128"/>
      <c r="O28" s="128"/>
      <c r="P28" s="127" t="s">
        <v>23</v>
      </c>
      <c r="Q28" s="127"/>
      <c r="R28" s="127"/>
      <c r="S28" s="127"/>
      <c r="T28" s="127"/>
      <c r="U28" s="127"/>
      <c r="V28" s="127">
        <v>2.4</v>
      </c>
      <c r="W28" s="127"/>
      <c r="X28" s="129">
        <v>2.4</v>
      </c>
      <c r="Y28" s="129"/>
      <c r="Z28" s="129">
        <v>0</v>
      </c>
      <c r="AA28" s="130"/>
      <c r="AB28" s="67"/>
      <c r="AC28" s="65"/>
    </row>
    <row r="29" spans="2:29" ht="27" customHeight="1" x14ac:dyDescent="0.25">
      <c r="B29" s="68" t="s">
        <v>27</v>
      </c>
      <c r="C29" s="125">
        <v>43161</v>
      </c>
      <c r="D29" s="126"/>
      <c r="E29" s="127" t="s">
        <v>25</v>
      </c>
      <c r="F29" s="127"/>
      <c r="G29" s="127"/>
      <c r="H29" s="127"/>
      <c r="I29" s="127"/>
      <c r="J29" s="128" t="s">
        <v>22</v>
      </c>
      <c r="K29" s="128"/>
      <c r="L29" s="128"/>
      <c r="M29" s="128"/>
      <c r="N29" s="128"/>
      <c r="O29" s="128"/>
      <c r="P29" s="127" t="s">
        <v>23</v>
      </c>
      <c r="Q29" s="127"/>
      <c r="R29" s="127"/>
      <c r="S29" s="127"/>
      <c r="T29" s="127"/>
      <c r="U29" s="127"/>
      <c r="V29" s="127">
        <v>2.4</v>
      </c>
      <c r="W29" s="127"/>
      <c r="X29" s="129">
        <v>2.4</v>
      </c>
      <c r="Y29" s="129"/>
      <c r="Z29" s="129">
        <v>0</v>
      </c>
      <c r="AA29" s="130"/>
      <c r="AB29" s="67"/>
      <c r="AC29" s="65"/>
    </row>
    <row r="30" spans="2:29" ht="27" customHeight="1" x14ac:dyDescent="0.25">
      <c r="B30" s="66" t="s">
        <v>27</v>
      </c>
      <c r="C30" s="125">
        <v>43201</v>
      </c>
      <c r="D30" s="126"/>
      <c r="E30" s="127" t="s">
        <v>25</v>
      </c>
      <c r="F30" s="127"/>
      <c r="G30" s="127"/>
      <c r="H30" s="127"/>
      <c r="I30" s="127"/>
      <c r="J30" s="128" t="s">
        <v>22</v>
      </c>
      <c r="K30" s="128"/>
      <c r="L30" s="128"/>
      <c r="M30" s="128"/>
      <c r="N30" s="128"/>
      <c r="O30" s="128"/>
      <c r="P30" s="127" t="s">
        <v>31</v>
      </c>
      <c r="Q30" s="127"/>
      <c r="R30" s="127"/>
      <c r="S30" s="127"/>
      <c r="T30" s="127"/>
      <c r="U30" s="127"/>
      <c r="V30" s="127">
        <v>20.5</v>
      </c>
      <c r="W30" s="127"/>
      <c r="X30" s="129">
        <v>20.5</v>
      </c>
      <c r="Y30" s="129"/>
      <c r="Z30" s="129">
        <v>0</v>
      </c>
      <c r="AA30" s="130"/>
      <c r="AB30" s="67"/>
      <c r="AC30" s="28"/>
    </row>
    <row r="31" spans="2:29" ht="27" customHeight="1" x14ac:dyDescent="0.25">
      <c r="B31" s="66" t="s">
        <v>27</v>
      </c>
      <c r="C31" s="125">
        <v>43329</v>
      </c>
      <c r="D31" s="126"/>
      <c r="E31" s="127" t="s">
        <v>25</v>
      </c>
      <c r="F31" s="127"/>
      <c r="G31" s="127"/>
      <c r="H31" s="127"/>
      <c r="I31" s="127"/>
      <c r="J31" s="128" t="s">
        <v>22</v>
      </c>
      <c r="K31" s="128"/>
      <c r="L31" s="128"/>
      <c r="M31" s="128"/>
      <c r="N31" s="128"/>
      <c r="O31" s="128"/>
      <c r="P31" s="127" t="s">
        <v>23</v>
      </c>
      <c r="Q31" s="127"/>
      <c r="R31" s="127"/>
      <c r="S31" s="127"/>
      <c r="T31" s="127"/>
      <c r="U31" s="127"/>
      <c r="V31" s="127">
        <v>2.4</v>
      </c>
      <c r="W31" s="127"/>
      <c r="X31" s="129">
        <v>2.4</v>
      </c>
      <c r="Y31" s="129"/>
      <c r="Z31" s="129">
        <v>0</v>
      </c>
      <c r="AA31" s="130"/>
      <c r="AB31" s="67"/>
      <c r="AC31" s="28"/>
    </row>
    <row r="32" spans="2:29" ht="27" customHeight="1" x14ac:dyDescent="0.25">
      <c r="B32" s="66" t="s">
        <v>27</v>
      </c>
      <c r="C32" s="125">
        <v>43341</v>
      </c>
      <c r="D32" s="126"/>
      <c r="E32" s="127" t="s">
        <v>25</v>
      </c>
      <c r="F32" s="127"/>
      <c r="G32" s="127"/>
      <c r="H32" s="127"/>
      <c r="I32" s="127"/>
      <c r="J32" s="128" t="s">
        <v>22</v>
      </c>
      <c r="K32" s="128"/>
      <c r="L32" s="128"/>
      <c r="M32" s="128"/>
      <c r="N32" s="128"/>
      <c r="O32" s="128"/>
      <c r="P32" s="127" t="s">
        <v>23</v>
      </c>
      <c r="Q32" s="127"/>
      <c r="R32" s="127"/>
      <c r="S32" s="127"/>
      <c r="T32" s="127"/>
      <c r="U32" s="127"/>
      <c r="V32" s="127">
        <v>1.8</v>
      </c>
      <c r="W32" s="127"/>
      <c r="X32" s="129">
        <v>1.8</v>
      </c>
      <c r="Y32" s="129"/>
      <c r="Z32" s="129">
        <v>0</v>
      </c>
      <c r="AA32" s="130"/>
      <c r="AB32" s="67"/>
      <c r="AC32" s="28"/>
    </row>
    <row r="33" spans="2:29" ht="27" customHeight="1" x14ac:dyDescent="0.25">
      <c r="B33" s="66" t="s">
        <v>27</v>
      </c>
      <c r="C33" s="125">
        <v>43223</v>
      </c>
      <c r="D33" s="126"/>
      <c r="E33" s="127" t="s">
        <v>25</v>
      </c>
      <c r="F33" s="127"/>
      <c r="G33" s="127"/>
      <c r="H33" s="127"/>
      <c r="I33" s="127"/>
      <c r="J33" s="128" t="s">
        <v>22</v>
      </c>
      <c r="K33" s="128"/>
      <c r="L33" s="128"/>
      <c r="M33" s="128"/>
      <c r="N33" s="128"/>
      <c r="O33" s="128"/>
      <c r="P33" s="127" t="s">
        <v>23</v>
      </c>
      <c r="Q33" s="127"/>
      <c r="R33" s="127"/>
      <c r="S33" s="127"/>
      <c r="T33" s="127"/>
      <c r="U33" s="127"/>
      <c r="V33" s="127">
        <v>12.69</v>
      </c>
      <c r="W33" s="127"/>
      <c r="X33" s="129">
        <v>12.69</v>
      </c>
      <c r="Y33" s="129"/>
      <c r="Z33" s="129">
        <v>0</v>
      </c>
      <c r="AA33" s="130"/>
      <c r="AB33" s="67"/>
      <c r="AC33" s="28"/>
    </row>
    <row r="34" spans="2:29" x14ac:dyDescent="0.25">
      <c r="B34" s="28"/>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c r="AB34" s="28"/>
      <c r="AC34" s="28"/>
    </row>
    <row r="36" spans="2:29" x14ac:dyDescent="0.25">
      <c r="C36" s="136">
        <v>6</v>
      </c>
      <c r="D36" s="136"/>
      <c r="E36" s="137">
        <v>5</v>
      </c>
      <c r="F36" s="137"/>
      <c r="G36" s="137"/>
      <c r="H36" s="137"/>
      <c r="I36" s="137"/>
      <c r="J36" s="136">
        <v>1</v>
      </c>
      <c r="K36" s="136"/>
      <c r="L36" s="136"/>
      <c r="M36" s="136"/>
      <c r="N36" s="136"/>
      <c r="O36" s="136"/>
      <c r="P36" s="136">
        <v>2</v>
      </c>
      <c r="Q36" s="136"/>
      <c r="R36" s="136"/>
      <c r="S36" s="136"/>
      <c r="T36" s="136"/>
      <c r="U36" s="136"/>
      <c r="V36" s="136"/>
      <c r="W36" s="136"/>
      <c r="X36" s="136">
        <v>3</v>
      </c>
      <c r="Y36" s="136"/>
      <c r="Z36" s="136">
        <v>4</v>
      </c>
      <c r="AA36" s="136"/>
    </row>
  </sheetData>
  <sheetProtection selectLockedCells="1" selectUnlockedCells="1"/>
  <dataConsolidate/>
  <mergeCells count="134">
    <mergeCell ref="C36:D36"/>
    <mergeCell ref="E36:I36"/>
    <mergeCell ref="J36:O36"/>
    <mergeCell ref="P36:W36"/>
    <mergeCell ref="X36:Y36"/>
    <mergeCell ref="Z36:AA36"/>
    <mergeCell ref="C34:D34"/>
    <mergeCell ref="E34:I34"/>
    <mergeCell ref="J34:O34"/>
    <mergeCell ref="P34:W34"/>
    <mergeCell ref="X34:Y34"/>
    <mergeCell ref="Z34:AA34"/>
    <mergeCell ref="C33:D33"/>
    <mergeCell ref="E33:I33"/>
    <mergeCell ref="J33:O33"/>
    <mergeCell ref="P33:W33"/>
    <mergeCell ref="X33:Y33"/>
    <mergeCell ref="Z33:AA33"/>
    <mergeCell ref="C32:D32"/>
    <mergeCell ref="E32:I32"/>
    <mergeCell ref="J32:O32"/>
    <mergeCell ref="P32:W32"/>
    <mergeCell ref="X32:Y32"/>
    <mergeCell ref="Z32:AA32"/>
    <mergeCell ref="C31:D31"/>
    <mergeCell ref="E31:I31"/>
    <mergeCell ref="J31:O31"/>
    <mergeCell ref="P31:W31"/>
    <mergeCell ref="X31:Y31"/>
    <mergeCell ref="Z31:AA31"/>
    <mergeCell ref="C30:D30"/>
    <mergeCell ref="E30:I30"/>
    <mergeCell ref="J30:O30"/>
    <mergeCell ref="P30:W30"/>
    <mergeCell ref="X30:Y30"/>
    <mergeCell ref="Z30:AA30"/>
    <mergeCell ref="C29:D29"/>
    <mergeCell ref="E29:I29"/>
    <mergeCell ref="J29:O29"/>
    <mergeCell ref="P29:W29"/>
    <mergeCell ref="X29:Y29"/>
    <mergeCell ref="Z29:AA29"/>
    <mergeCell ref="C28:D28"/>
    <mergeCell ref="E28:I28"/>
    <mergeCell ref="J28:O28"/>
    <mergeCell ref="P28:W28"/>
    <mergeCell ref="X28:Y28"/>
    <mergeCell ref="Z28:AA28"/>
    <mergeCell ref="C27:D27"/>
    <mergeCell ref="E27:I27"/>
    <mergeCell ref="J27:O27"/>
    <mergeCell ref="P27:W27"/>
    <mergeCell ref="X27:Y27"/>
    <mergeCell ref="Z27:AA27"/>
    <mergeCell ref="C26:D26"/>
    <mergeCell ref="E26:I26"/>
    <mergeCell ref="J26:O26"/>
    <mergeCell ref="P26:W26"/>
    <mergeCell ref="X26:Y26"/>
    <mergeCell ref="Z26:AA26"/>
    <mergeCell ref="C25:D25"/>
    <mergeCell ref="E25:I25"/>
    <mergeCell ref="J25:O25"/>
    <mergeCell ref="P25:W25"/>
    <mergeCell ref="X25:Y25"/>
    <mergeCell ref="Z25:AA25"/>
    <mergeCell ref="Z23:AA23"/>
    <mergeCell ref="C24:D24"/>
    <mergeCell ref="E24:I24"/>
    <mergeCell ref="J24:O24"/>
    <mergeCell ref="P24:W24"/>
    <mergeCell ref="X24:Y24"/>
    <mergeCell ref="Z24:AA24"/>
    <mergeCell ref="F23:G23"/>
    <mergeCell ref="H23:K23"/>
    <mergeCell ref="L23:P23"/>
    <mergeCell ref="Q23:U23"/>
    <mergeCell ref="V23:W23"/>
    <mergeCell ref="X23:Y23"/>
    <mergeCell ref="Q15:T15"/>
    <mergeCell ref="U15:X15"/>
    <mergeCell ref="Y15:AB15"/>
    <mergeCell ref="C16:D16"/>
    <mergeCell ref="E16:H16"/>
    <mergeCell ref="I16:L16"/>
    <mergeCell ref="M16:P16"/>
    <mergeCell ref="Q16:T16"/>
    <mergeCell ref="U16:X16"/>
    <mergeCell ref="Y16:AB16"/>
    <mergeCell ref="C14:D14"/>
    <mergeCell ref="E14:H14"/>
    <mergeCell ref="C15:D15"/>
    <mergeCell ref="E15:H15"/>
    <mergeCell ref="I15:L15"/>
    <mergeCell ref="M15:P15"/>
    <mergeCell ref="F13:G13"/>
    <mergeCell ref="J13:K13"/>
    <mergeCell ref="N13:O13"/>
    <mergeCell ref="R13:S13"/>
    <mergeCell ref="V13:W13"/>
    <mergeCell ref="Z13:AA13"/>
    <mergeCell ref="F12:G12"/>
    <mergeCell ref="J12:K12"/>
    <mergeCell ref="N12:O12"/>
    <mergeCell ref="R12:S12"/>
    <mergeCell ref="V12:W12"/>
    <mergeCell ref="Z12:AA12"/>
    <mergeCell ref="F11:G11"/>
    <mergeCell ref="J11:K11"/>
    <mergeCell ref="N11:O11"/>
    <mergeCell ref="R11:S11"/>
    <mergeCell ref="V11:W11"/>
    <mergeCell ref="Z11:AA11"/>
    <mergeCell ref="F10:G10"/>
    <mergeCell ref="J10:K10"/>
    <mergeCell ref="N10:O10"/>
    <mergeCell ref="R10:S10"/>
    <mergeCell ref="V10:W10"/>
    <mergeCell ref="Z10:AA10"/>
    <mergeCell ref="D3:I4"/>
    <mergeCell ref="J6:K6"/>
    <mergeCell ref="E7:H7"/>
    <mergeCell ref="I7:L7"/>
    <mergeCell ref="M7:P7"/>
    <mergeCell ref="Q7:T7"/>
    <mergeCell ref="U7:X7"/>
    <mergeCell ref="Y7:AB7"/>
    <mergeCell ref="C8:D8"/>
    <mergeCell ref="E8:H8"/>
    <mergeCell ref="I8:L8"/>
    <mergeCell ref="M8:P8"/>
    <mergeCell ref="Q8:T8"/>
    <mergeCell ref="U8:X8"/>
    <mergeCell ref="Y8:AB8"/>
  </mergeCells>
  <conditionalFormatting sqref="E7:AB9 E6:J6 L6:AB6">
    <cfRule type="expression" dxfId="5503" priority="6">
      <formula>E$5=valSelOption</formula>
    </cfRule>
  </conditionalFormatting>
  <conditionalFormatting sqref="E10:AB14">
    <cfRule type="expression" dxfId="5502" priority="5">
      <formula>E$5=valSelOption</formula>
    </cfRule>
  </conditionalFormatting>
  <conditionalFormatting sqref="E15:AB15">
    <cfRule type="expression" dxfId="5501" priority="4">
      <formula>E$5=valSelOption</formula>
    </cfRule>
  </conditionalFormatting>
  <conditionalFormatting sqref="E16:AB16">
    <cfRule type="expression" dxfId="5500" priority="3">
      <formula>E$5=valSelOption</formula>
    </cfRule>
  </conditionalFormatting>
  <conditionalFormatting sqref="C25:AB33">
    <cfRule type="expression" dxfId="5499" priority="1">
      <formula>ROW(C25)=valRowGrid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27</xdr:col>
                    <xdr:colOff>9525</xdr:colOff>
                    <xdr:row>23</xdr:row>
                    <xdr:rowOff>0</xdr:rowOff>
                  </from>
                  <to>
                    <xdr:col>27</xdr:col>
                    <xdr:colOff>447675</xdr:colOff>
                    <xdr:row>32</xdr:row>
                    <xdr:rowOff>152400</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25</xdr:col>
                    <xdr:colOff>104775</xdr:colOff>
                    <xdr:row>0</xdr:row>
                    <xdr:rowOff>152400</xdr:rowOff>
                  </from>
                  <to>
                    <xdr:col>28</xdr:col>
                    <xdr:colOff>190500</xdr:colOff>
                    <xdr:row>0</xdr:row>
                    <xdr:rowOff>447675</xdr:rowOff>
                  </to>
                </anchor>
              </controlPr>
            </control>
          </mc:Choice>
        </mc:AlternateContent>
        <mc:AlternateContent xmlns:mc="http://schemas.openxmlformats.org/markup-compatibility/2006">
          <mc:Choice Requires="x14">
            <control shapeId="2051" r:id="rId6" name="Option Button 3">
              <controlPr defaultSize="0" autoFill="0" autoLine="0" autoPict="0" macro="[2]!PivotTableSort2">
                <anchor moveWithCells="1">
                  <from>
                    <xdr:col>9</xdr:col>
                    <xdr:colOff>133350</xdr:colOff>
                    <xdr:row>23</xdr:row>
                    <xdr:rowOff>85725</xdr:rowOff>
                  </from>
                  <to>
                    <xdr:col>9</xdr:col>
                    <xdr:colOff>438150</xdr:colOff>
                    <xdr:row>23</xdr:row>
                    <xdr:rowOff>323850</xdr:rowOff>
                  </to>
                </anchor>
              </controlPr>
            </control>
          </mc:Choice>
        </mc:AlternateContent>
        <mc:AlternateContent xmlns:mc="http://schemas.openxmlformats.org/markup-compatibility/2006">
          <mc:Choice Requires="x14">
            <control shapeId="2052" r:id="rId7" name="Option Button 4">
              <controlPr defaultSize="0" autoFill="0" autoLine="0" autoPict="0">
                <anchor moveWithCells="1">
                  <from>
                    <xdr:col>15</xdr:col>
                    <xdr:colOff>76200</xdr:colOff>
                    <xdr:row>23</xdr:row>
                    <xdr:rowOff>85725</xdr:rowOff>
                  </from>
                  <to>
                    <xdr:col>15</xdr:col>
                    <xdr:colOff>381000</xdr:colOff>
                    <xdr:row>23</xdr:row>
                    <xdr:rowOff>323850</xdr:rowOff>
                  </to>
                </anchor>
              </controlPr>
            </control>
          </mc:Choice>
        </mc:AlternateContent>
        <mc:AlternateContent xmlns:mc="http://schemas.openxmlformats.org/markup-compatibility/2006">
          <mc:Choice Requires="x14">
            <control shapeId="2053" r:id="rId8" name="Option Button 5">
              <controlPr defaultSize="0" autoFill="0" autoLine="0" autoPict="0">
                <anchor moveWithCells="1">
                  <from>
                    <xdr:col>22</xdr:col>
                    <xdr:colOff>504825</xdr:colOff>
                    <xdr:row>23</xdr:row>
                    <xdr:rowOff>85725</xdr:rowOff>
                  </from>
                  <to>
                    <xdr:col>23</xdr:col>
                    <xdr:colOff>276225</xdr:colOff>
                    <xdr:row>23</xdr:row>
                    <xdr:rowOff>323850</xdr:rowOff>
                  </to>
                </anchor>
              </controlPr>
            </control>
          </mc:Choice>
        </mc:AlternateContent>
        <mc:AlternateContent xmlns:mc="http://schemas.openxmlformats.org/markup-compatibility/2006">
          <mc:Choice Requires="x14">
            <control shapeId="2054" r:id="rId9" name="Option Button 6">
              <controlPr defaultSize="0" autoFill="0" autoLine="0" autoPict="0">
                <anchor moveWithCells="1">
                  <from>
                    <xdr:col>24</xdr:col>
                    <xdr:colOff>409575</xdr:colOff>
                    <xdr:row>23</xdr:row>
                    <xdr:rowOff>85725</xdr:rowOff>
                  </from>
                  <to>
                    <xdr:col>25</xdr:col>
                    <xdr:colOff>257175</xdr:colOff>
                    <xdr:row>23</xdr:row>
                    <xdr:rowOff>323850</xdr:rowOff>
                  </to>
                </anchor>
              </controlPr>
            </control>
          </mc:Choice>
        </mc:AlternateContent>
        <mc:AlternateContent xmlns:mc="http://schemas.openxmlformats.org/markup-compatibility/2006">
          <mc:Choice Requires="x14">
            <control shapeId="2055" r:id="rId10" name="Option Button 7">
              <controlPr defaultSize="0" autoFill="0" autoLine="0" autoPict="0">
                <anchor moveWithCells="1">
                  <from>
                    <xdr:col>4</xdr:col>
                    <xdr:colOff>28575</xdr:colOff>
                    <xdr:row>23</xdr:row>
                    <xdr:rowOff>85725</xdr:rowOff>
                  </from>
                  <to>
                    <xdr:col>4</xdr:col>
                    <xdr:colOff>333375</xdr:colOff>
                    <xdr:row>23</xdr:row>
                    <xdr:rowOff>323850</xdr:rowOff>
                  </to>
                </anchor>
              </controlPr>
            </control>
          </mc:Choice>
        </mc:AlternateContent>
        <mc:AlternateContent xmlns:mc="http://schemas.openxmlformats.org/markup-compatibility/2006">
          <mc:Choice Requires="x14">
            <control shapeId="2056" r:id="rId11" name="Option Button 8">
              <controlPr defaultSize="0" autoFill="0" autoLine="0" autoPict="0">
                <anchor moveWithCells="1">
                  <from>
                    <xdr:col>2</xdr:col>
                    <xdr:colOff>66675</xdr:colOff>
                    <xdr:row>23</xdr:row>
                    <xdr:rowOff>85725</xdr:rowOff>
                  </from>
                  <to>
                    <xdr:col>2</xdr:col>
                    <xdr:colOff>381000</xdr:colOff>
                    <xdr:row>23</xdr:row>
                    <xdr:rowOff>323850</xdr:rowOff>
                  </to>
                </anchor>
              </controlPr>
            </control>
          </mc:Choice>
        </mc:AlternateContent>
        <mc:AlternateContent xmlns:mc="http://schemas.openxmlformats.org/markup-compatibility/2006">
          <mc:Choice Requires="x14">
            <control shapeId="2057" r:id="rId12" name="List Box 9">
              <controlPr defaultSize="0" autoLine="0" autoPict="0">
                <anchor moveWithCells="1">
                  <from>
                    <xdr:col>4</xdr:col>
                    <xdr:colOff>38100</xdr:colOff>
                    <xdr:row>20</xdr:row>
                    <xdr:rowOff>114300</xdr:rowOff>
                  </from>
                  <to>
                    <xdr:col>7</xdr:col>
                    <xdr:colOff>38100</xdr:colOff>
                    <xdr:row>21</xdr:row>
                    <xdr:rowOff>190500</xdr:rowOff>
                  </to>
                </anchor>
              </controlPr>
            </control>
          </mc:Choice>
        </mc:AlternateContent>
        <mc:AlternateContent xmlns:mc="http://schemas.openxmlformats.org/markup-compatibility/2006">
          <mc:Choice Requires="x14">
            <control shapeId="2058" r:id="rId13" name="Drop Down 10">
              <controlPr defaultSize="0" autoLine="0" autoPict="0">
                <anchor moveWithCells="1">
                  <from>
                    <xdr:col>9</xdr:col>
                    <xdr:colOff>514350</xdr:colOff>
                    <xdr:row>20</xdr:row>
                    <xdr:rowOff>85725</xdr:rowOff>
                  </from>
                  <to>
                    <xdr:col>13</xdr:col>
                    <xdr:colOff>142875</xdr:colOff>
                    <xdr:row>21</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781C8F-936A-42A4-B36A-2672A81027F5}">
            <xm:f>AND(C$36='\\negocios\canales tradicionales\Medicion Financiera\SVR_MEDFIN\PROYECTOS\CUENTAS CAPITAL HUMANO\[Mockup.xlsm]Data'!#REF!)</xm:f>
            <x14:dxf>
              <fill>
                <patternFill>
                  <bgColor theme="0" tint="-4.9989318521683403E-2"/>
                </patternFill>
              </fill>
            </x14:dxf>
          </x14:cfRule>
          <xm:sqref>C25:AB33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opLeftCell="A7" zoomScale="115" zoomScaleNormal="115" workbookViewId="0">
      <selection activeCell="N2" sqref="N2"/>
    </sheetView>
  </sheetViews>
  <sheetFormatPr baseColWidth="10" defaultRowHeight="12.75" x14ac:dyDescent="0.2"/>
  <cols>
    <col min="1" max="1" width="1.42578125" style="2" customWidth="1"/>
    <col min="2" max="13" width="11.42578125" style="2"/>
    <col min="14" max="14" width="19.85546875" style="2" customWidth="1"/>
    <col min="15" max="256" width="11.42578125" style="2"/>
    <col min="257" max="257" width="1.42578125" style="2" customWidth="1"/>
    <col min="258" max="269" width="11.42578125" style="2"/>
    <col min="270" max="270" width="19.85546875" style="2" customWidth="1"/>
    <col min="271" max="512" width="11.42578125" style="2"/>
    <col min="513" max="513" width="1.42578125" style="2" customWidth="1"/>
    <col min="514" max="525" width="11.42578125" style="2"/>
    <col min="526" max="526" width="19.85546875" style="2" customWidth="1"/>
    <col min="527" max="768" width="11.42578125" style="2"/>
    <col min="769" max="769" width="1.42578125" style="2" customWidth="1"/>
    <col min="770" max="781" width="11.42578125" style="2"/>
    <col min="782" max="782" width="19.85546875" style="2" customWidth="1"/>
    <col min="783" max="1024" width="11.42578125" style="2"/>
    <col min="1025" max="1025" width="1.42578125" style="2" customWidth="1"/>
    <col min="1026" max="1037" width="11.42578125" style="2"/>
    <col min="1038" max="1038" width="19.85546875" style="2" customWidth="1"/>
    <col min="1039" max="1280" width="11.42578125" style="2"/>
    <col min="1281" max="1281" width="1.42578125" style="2" customWidth="1"/>
    <col min="1282" max="1293" width="11.42578125" style="2"/>
    <col min="1294" max="1294" width="19.85546875" style="2" customWidth="1"/>
    <col min="1295" max="1536" width="11.42578125" style="2"/>
    <col min="1537" max="1537" width="1.42578125" style="2" customWidth="1"/>
    <col min="1538" max="1549" width="11.42578125" style="2"/>
    <col min="1550" max="1550" width="19.85546875" style="2" customWidth="1"/>
    <col min="1551" max="1792" width="11.42578125" style="2"/>
    <col min="1793" max="1793" width="1.42578125" style="2" customWidth="1"/>
    <col min="1794" max="1805" width="11.42578125" style="2"/>
    <col min="1806" max="1806" width="19.85546875" style="2" customWidth="1"/>
    <col min="1807" max="2048" width="11.42578125" style="2"/>
    <col min="2049" max="2049" width="1.42578125" style="2" customWidth="1"/>
    <col min="2050" max="2061" width="11.42578125" style="2"/>
    <col min="2062" max="2062" width="19.85546875" style="2" customWidth="1"/>
    <col min="2063" max="2304" width="11.42578125" style="2"/>
    <col min="2305" max="2305" width="1.42578125" style="2" customWidth="1"/>
    <col min="2306" max="2317" width="11.42578125" style="2"/>
    <col min="2318" max="2318" width="19.85546875" style="2" customWidth="1"/>
    <col min="2319" max="2560" width="11.42578125" style="2"/>
    <col min="2561" max="2561" width="1.42578125" style="2" customWidth="1"/>
    <col min="2562" max="2573" width="11.42578125" style="2"/>
    <col min="2574" max="2574" width="19.85546875" style="2" customWidth="1"/>
    <col min="2575" max="2816" width="11.42578125" style="2"/>
    <col min="2817" max="2817" width="1.42578125" style="2" customWidth="1"/>
    <col min="2818" max="2829" width="11.42578125" style="2"/>
    <col min="2830" max="2830" width="19.85546875" style="2" customWidth="1"/>
    <col min="2831" max="3072" width="11.42578125" style="2"/>
    <col min="3073" max="3073" width="1.42578125" style="2" customWidth="1"/>
    <col min="3074" max="3085" width="11.42578125" style="2"/>
    <col min="3086" max="3086" width="19.85546875" style="2" customWidth="1"/>
    <col min="3087" max="3328" width="11.42578125" style="2"/>
    <col min="3329" max="3329" width="1.42578125" style="2" customWidth="1"/>
    <col min="3330" max="3341" width="11.42578125" style="2"/>
    <col min="3342" max="3342" width="19.85546875" style="2" customWidth="1"/>
    <col min="3343" max="3584" width="11.42578125" style="2"/>
    <col min="3585" max="3585" width="1.42578125" style="2" customWidth="1"/>
    <col min="3586" max="3597" width="11.42578125" style="2"/>
    <col min="3598" max="3598" width="19.85546875" style="2" customWidth="1"/>
    <col min="3599" max="3840" width="11.42578125" style="2"/>
    <col min="3841" max="3841" width="1.42578125" style="2" customWidth="1"/>
    <col min="3842" max="3853" width="11.42578125" style="2"/>
    <col min="3854" max="3854" width="19.85546875" style="2" customWidth="1"/>
    <col min="3855" max="4096" width="11.42578125" style="2"/>
    <col min="4097" max="4097" width="1.42578125" style="2" customWidth="1"/>
    <col min="4098" max="4109" width="11.42578125" style="2"/>
    <col min="4110" max="4110" width="19.85546875" style="2" customWidth="1"/>
    <col min="4111" max="4352" width="11.42578125" style="2"/>
    <col min="4353" max="4353" width="1.42578125" style="2" customWidth="1"/>
    <col min="4354" max="4365" width="11.42578125" style="2"/>
    <col min="4366" max="4366" width="19.85546875" style="2" customWidth="1"/>
    <col min="4367" max="4608" width="11.42578125" style="2"/>
    <col min="4609" max="4609" width="1.42578125" style="2" customWidth="1"/>
    <col min="4610" max="4621" width="11.42578125" style="2"/>
    <col min="4622" max="4622" width="19.85546875" style="2" customWidth="1"/>
    <col min="4623" max="4864" width="11.42578125" style="2"/>
    <col min="4865" max="4865" width="1.42578125" style="2" customWidth="1"/>
    <col min="4866" max="4877" width="11.42578125" style="2"/>
    <col min="4878" max="4878" width="19.85546875" style="2" customWidth="1"/>
    <col min="4879" max="5120" width="11.42578125" style="2"/>
    <col min="5121" max="5121" width="1.42578125" style="2" customWidth="1"/>
    <col min="5122" max="5133" width="11.42578125" style="2"/>
    <col min="5134" max="5134" width="19.85546875" style="2" customWidth="1"/>
    <col min="5135" max="5376" width="11.42578125" style="2"/>
    <col min="5377" max="5377" width="1.42578125" style="2" customWidth="1"/>
    <col min="5378" max="5389" width="11.42578125" style="2"/>
    <col min="5390" max="5390" width="19.85546875" style="2" customWidth="1"/>
    <col min="5391" max="5632" width="11.42578125" style="2"/>
    <col min="5633" max="5633" width="1.42578125" style="2" customWidth="1"/>
    <col min="5634" max="5645" width="11.42578125" style="2"/>
    <col min="5646" max="5646" width="19.85546875" style="2" customWidth="1"/>
    <col min="5647" max="5888" width="11.42578125" style="2"/>
    <col min="5889" max="5889" width="1.42578125" style="2" customWidth="1"/>
    <col min="5890" max="5901" width="11.42578125" style="2"/>
    <col min="5902" max="5902" width="19.85546875" style="2" customWidth="1"/>
    <col min="5903" max="6144" width="11.42578125" style="2"/>
    <col min="6145" max="6145" width="1.42578125" style="2" customWidth="1"/>
    <col min="6146" max="6157" width="11.42578125" style="2"/>
    <col min="6158" max="6158" width="19.85546875" style="2" customWidth="1"/>
    <col min="6159" max="6400" width="11.42578125" style="2"/>
    <col min="6401" max="6401" width="1.42578125" style="2" customWidth="1"/>
    <col min="6402" max="6413" width="11.42578125" style="2"/>
    <col min="6414" max="6414" width="19.85546875" style="2" customWidth="1"/>
    <col min="6415" max="6656" width="11.42578125" style="2"/>
    <col min="6657" max="6657" width="1.42578125" style="2" customWidth="1"/>
    <col min="6658" max="6669" width="11.42578125" style="2"/>
    <col min="6670" max="6670" width="19.85546875" style="2" customWidth="1"/>
    <col min="6671" max="6912" width="11.42578125" style="2"/>
    <col min="6913" max="6913" width="1.42578125" style="2" customWidth="1"/>
    <col min="6914" max="6925" width="11.42578125" style="2"/>
    <col min="6926" max="6926" width="19.85546875" style="2" customWidth="1"/>
    <col min="6927" max="7168" width="11.42578125" style="2"/>
    <col min="7169" max="7169" width="1.42578125" style="2" customWidth="1"/>
    <col min="7170" max="7181" width="11.42578125" style="2"/>
    <col min="7182" max="7182" width="19.85546875" style="2" customWidth="1"/>
    <col min="7183" max="7424" width="11.42578125" style="2"/>
    <col min="7425" max="7425" width="1.42578125" style="2" customWidth="1"/>
    <col min="7426" max="7437" width="11.42578125" style="2"/>
    <col min="7438" max="7438" width="19.85546875" style="2" customWidth="1"/>
    <col min="7439" max="7680" width="11.42578125" style="2"/>
    <col min="7681" max="7681" width="1.42578125" style="2" customWidth="1"/>
    <col min="7682" max="7693" width="11.42578125" style="2"/>
    <col min="7694" max="7694" width="19.85546875" style="2" customWidth="1"/>
    <col min="7695" max="7936" width="11.42578125" style="2"/>
    <col min="7937" max="7937" width="1.42578125" style="2" customWidth="1"/>
    <col min="7938" max="7949" width="11.42578125" style="2"/>
    <col min="7950" max="7950" width="19.85546875" style="2" customWidth="1"/>
    <col min="7951" max="8192" width="11.42578125" style="2"/>
    <col min="8193" max="8193" width="1.42578125" style="2" customWidth="1"/>
    <col min="8194" max="8205" width="11.42578125" style="2"/>
    <col min="8206" max="8206" width="19.85546875" style="2" customWidth="1"/>
    <col min="8207" max="8448" width="11.42578125" style="2"/>
    <col min="8449" max="8449" width="1.42578125" style="2" customWidth="1"/>
    <col min="8450" max="8461" width="11.42578125" style="2"/>
    <col min="8462" max="8462" width="19.85546875" style="2" customWidth="1"/>
    <col min="8463" max="8704" width="11.42578125" style="2"/>
    <col min="8705" max="8705" width="1.42578125" style="2" customWidth="1"/>
    <col min="8706" max="8717" width="11.42578125" style="2"/>
    <col min="8718" max="8718" width="19.85546875" style="2" customWidth="1"/>
    <col min="8719" max="8960" width="11.42578125" style="2"/>
    <col min="8961" max="8961" width="1.42578125" style="2" customWidth="1"/>
    <col min="8962" max="8973" width="11.42578125" style="2"/>
    <col min="8974" max="8974" width="19.85546875" style="2" customWidth="1"/>
    <col min="8975" max="9216" width="11.42578125" style="2"/>
    <col min="9217" max="9217" width="1.42578125" style="2" customWidth="1"/>
    <col min="9218" max="9229" width="11.42578125" style="2"/>
    <col min="9230" max="9230" width="19.85546875" style="2" customWidth="1"/>
    <col min="9231" max="9472" width="11.42578125" style="2"/>
    <col min="9473" max="9473" width="1.42578125" style="2" customWidth="1"/>
    <col min="9474" max="9485" width="11.42578125" style="2"/>
    <col min="9486" max="9486" width="19.85546875" style="2" customWidth="1"/>
    <col min="9487" max="9728" width="11.42578125" style="2"/>
    <col min="9729" max="9729" width="1.42578125" style="2" customWidth="1"/>
    <col min="9730" max="9741" width="11.42578125" style="2"/>
    <col min="9742" max="9742" width="19.85546875" style="2" customWidth="1"/>
    <col min="9743" max="9984" width="11.42578125" style="2"/>
    <col min="9985" max="9985" width="1.42578125" style="2" customWidth="1"/>
    <col min="9986" max="9997" width="11.42578125" style="2"/>
    <col min="9998" max="9998" width="19.85546875" style="2" customWidth="1"/>
    <col min="9999" max="10240" width="11.42578125" style="2"/>
    <col min="10241" max="10241" width="1.42578125" style="2" customWidth="1"/>
    <col min="10242" max="10253" width="11.42578125" style="2"/>
    <col min="10254" max="10254" width="19.85546875" style="2" customWidth="1"/>
    <col min="10255" max="10496" width="11.42578125" style="2"/>
    <col min="10497" max="10497" width="1.42578125" style="2" customWidth="1"/>
    <col min="10498" max="10509" width="11.42578125" style="2"/>
    <col min="10510" max="10510" width="19.85546875" style="2" customWidth="1"/>
    <col min="10511" max="10752" width="11.42578125" style="2"/>
    <col min="10753" max="10753" width="1.42578125" style="2" customWidth="1"/>
    <col min="10754" max="10765" width="11.42578125" style="2"/>
    <col min="10766" max="10766" width="19.85546875" style="2" customWidth="1"/>
    <col min="10767" max="11008" width="11.42578125" style="2"/>
    <col min="11009" max="11009" width="1.42578125" style="2" customWidth="1"/>
    <col min="11010" max="11021" width="11.42578125" style="2"/>
    <col min="11022" max="11022" width="19.85546875" style="2" customWidth="1"/>
    <col min="11023" max="11264" width="11.42578125" style="2"/>
    <col min="11265" max="11265" width="1.42578125" style="2" customWidth="1"/>
    <col min="11266" max="11277" width="11.42578125" style="2"/>
    <col min="11278" max="11278" width="19.85546875" style="2" customWidth="1"/>
    <col min="11279" max="11520" width="11.42578125" style="2"/>
    <col min="11521" max="11521" width="1.42578125" style="2" customWidth="1"/>
    <col min="11522" max="11533" width="11.42578125" style="2"/>
    <col min="11534" max="11534" width="19.85546875" style="2" customWidth="1"/>
    <col min="11535" max="11776" width="11.42578125" style="2"/>
    <col min="11777" max="11777" width="1.42578125" style="2" customWidth="1"/>
    <col min="11778" max="11789" width="11.42578125" style="2"/>
    <col min="11790" max="11790" width="19.85546875" style="2" customWidth="1"/>
    <col min="11791" max="12032" width="11.42578125" style="2"/>
    <col min="12033" max="12033" width="1.42578125" style="2" customWidth="1"/>
    <col min="12034" max="12045" width="11.42578125" style="2"/>
    <col min="12046" max="12046" width="19.85546875" style="2" customWidth="1"/>
    <col min="12047" max="12288" width="11.42578125" style="2"/>
    <col min="12289" max="12289" width="1.42578125" style="2" customWidth="1"/>
    <col min="12290" max="12301" width="11.42578125" style="2"/>
    <col min="12302" max="12302" width="19.85546875" style="2" customWidth="1"/>
    <col min="12303" max="12544" width="11.42578125" style="2"/>
    <col min="12545" max="12545" width="1.42578125" style="2" customWidth="1"/>
    <col min="12546" max="12557" width="11.42578125" style="2"/>
    <col min="12558" max="12558" width="19.85546875" style="2" customWidth="1"/>
    <col min="12559" max="12800" width="11.42578125" style="2"/>
    <col min="12801" max="12801" width="1.42578125" style="2" customWidth="1"/>
    <col min="12802" max="12813" width="11.42578125" style="2"/>
    <col min="12814" max="12814" width="19.85546875" style="2" customWidth="1"/>
    <col min="12815" max="13056" width="11.42578125" style="2"/>
    <col min="13057" max="13057" width="1.42578125" style="2" customWidth="1"/>
    <col min="13058" max="13069" width="11.42578125" style="2"/>
    <col min="13070" max="13070" width="19.85546875" style="2" customWidth="1"/>
    <col min="13071" max="13312" width="11.42578125" style="2"/>
    <col min="13313" max="13313" width="1.42578125" style="2" customWidth="1"/>
    <col min="13314" max="13325" width="11.42578125" style="2"/>
    <col min="13326" max="13326" width="19.85546875" style="2" customWidth="1"/>
    <col min="13327" max="13568" width="11.42578125" style="2"/>
    <col min="13569" max="13569" width="1.42578125" style="2" customWidth="1"/>
    <col min="13570" max="13581" width="11.42578125" style="2"/>
    <col min="13582" max="13582" width="19.85546875" style="2" customWidth="1"/>
    <col min="13583" max="13824" width="11.42578125" style="2"/>
    <col min="13825" max="13825" width="1.42578125" style="2" customWidth="1"/>
    <col min="13826" max="13837" width="11.42578125" style="2"/>
    <col min="13838" max="13838" width="19.85546875" style="2" customWidth="1"/>
    <col min="13839" max="14080" width="11.42578125" style="2"/>
    <col min="14081" max="14081" width="1.42578125" style="2" customWidth="1"/>
    <col min="14082" max="14093" width="11.42578125" style="2"/>
    <col min="14094" max="14094" width="19.85546875" style="2" customWidth="1"/>
    <col min="14095" max="14336" width="11.42578125" style="2"/>
    <col min="14337" max="14337" width="1.42578125" style="2" customWidth="1"/>
    <col min="14338" max="14349" width="11.42578125" style="2"/>
    <col min="14350" max="14350" width="19.85546875" style="2" customWidth="1"/>
    <col min="14351" max="14592" width="11.42578125" style="2"/>
    <col min="14593" max="14593" width="1.42578125" style="2" customWidth="1"/>
    <col min="14594" max="14605" width="11.42578125" style="2"/>
    <col min="14606" max="14606" width="19.85546875" style="2" customWidth="1"/>
    <col min="14607" max="14848" width="11.42578125" style="2"/>
    <col min="14849" max="14849" width="1.42578125" style="2" customWidth="1"/>
    <col min="14850" max="14861" width="11.42578125" style="2"/>
    <col min="14862" max="14862" width="19.85546875" style="2" customWidth="1"/>
    <col min="14863" max="15104" width="11.42578125" style="2"/>
    <col min="15105" max="15105" width="1.42578125" style="2" customWidth="1"/>
    <col min="15106" max="15117" width="11.42578125" style="2"/>
    <col min="15118" max="15118" width="19.85546875" style="2" customWidth="1"/>
    <col min="15119" max="15360" width="11.42578125" style="2"/>
    <col min="15361" max="15361" width="1.42578125" style="2" customWidth="1"/>
    <col min="15362" max="15373" width="11.42578125" style="2"/>
    <col min="15374" max="15374" width="19.85546875" style="2" customWidth="1"/>
    <col min="15375" max="15616" width="11.42578125" style="2"/>
    <col min="15617" max="15617" width="1.42578125" style="2" customWidth="1"/>
    <col min="15618" max="15629" width="11.42578125" style="2"/>
    <col min="15630" max="15630" width="19.85546875" style="2" customWidth="1"/>
    <col min="15631" max="15872" width="11.42578125" style="2"/>
    <col min="15873" max="15873" width="1.42578125" style="2" customWidth="1"/>
    <col min="15874" max="15885" width="11.42578125" style="2"/>
    <col min="15886" max="15886" width="19.85546875" style="2" customWidth="1"/>
    <col min="15887" max="16128" width="11.42578125" style="2"/>
    <col min="16129" max="16129" width="1.42578125" style="2" customWidth="1"/>
    <col min="16130" max="16141" width="11.42578125" style="2"/>
    <col min="16142" max="16142" width="19.85546875" style="2" customWidth="1"/>
    <col min="16143" max="16384" width="11.42578125" style="2"/>
  </cols>
  <sheetData>
    <row r="2" spans="2:14" ht="32.25" customHeight="1" x14ac:dyDescent="0.25">
      <c r="B2" s="1" t="s">
        <v>0</v>
      </c>
      <c r="M2" s="3" t="s">
        <v>1</v>
      </c>
      <c r="N2" s="4">
        <f ca="1">VALUE(INFO("RELEASE"))</f>
        <v>15</v>
      </c>
    </row>
    <row r="3" spans="2:14" ht="26.25" customHeight="1" x14ac:dyDescent="0.2">
      <c r="B3" s="5" t="s">
        <v>2</v>
      </c>
      <c r="C3" s="6"/>
    </row>
    <row r="4" spans="2:14" ht="14.25" x14ac:dyDescent="0.2">
      <c r="B4" s="7" t="s">
        <v>3</v>
      </c>
    </row>
    <row r="5" spans="2:14" ht="14.25" x14ac:dyDescent="0.2">
      <c r="B5" s="7" t="s">
        <v>4</v>
      </c>
    </row>
    <row r="6" spans="2:14" ht="14.25" x14ac:dyDescent="0.2">
      <c r="B6" s="8"/>
    </row>
    <row r="7" spans="2:14" ht="14.25" x14ac:dyDescent="0.2">
      <c r="B7" s="9" t="str">
        <f ca="1">"Su versión actual de Microsoft Office Excel es "&amp;IF(VALUE(INFO("RELEASE"))&gt;=12,"2007","97-2003")</f>
        <v>Su versión actual de Microsoft Office Excel es 2007</v>
      </c>
    </row>
    <row r="8" spans="2:14" ht="14.25" x14ac:dyDescent="0.2">
      <c r="B8" s="9"/>
    </row>
    <row r="9" spans="2:14" ht="14.25" x14ac:dyDescent="0.2">
      <c r="B9" s="139" t="s">
        <v>5</v>
      </c>
      <c r="C9" s="140"/>
      <c r="D9" s="140"/>
      <c r="E9" s="140"/>
      <c r="F9" s="140"/>
      <c r="G9" s="140"/>
      <c r="H9" s="141"/>
      <c r="I9" s="139" t="s">
        <v>6</v>
      </c>
      <c r="J9" s="140"/>
      <c r="K9" s="140"/>
      <c r="L9" s="140"/>
      <c r="M9" s="140"/>
      <c r="N9" s="140"/>
    </row>
    <row r="10" spans="2:14" ht="10.5" customHeight="1" x14ac:dyDescent="0.2">
      <c r="B10" s="10"/>
      <c r="C10" s="11"/>
      <c r="D10" s="11"/>
      <c r="E10" s="11"/>
      <c r="F10" s="11"/>
      <c r="G10" s="11"/>
      <c r="H10" s="11"/>
      <c r="I10" s="12"/>
      <c r="J10" s="13"/>
      <c r="K10" s="11"/>
      <c r="L10" s="11"/>
      <c r="M10" s="11"/>
      <c r="N10" s="14"/>
    </row>
    <row r="11" spans="2:14" ht="14.25" x14ac:dyDescent="0.2">
      <c r="B11" s="15" t="s">
        <v>7</v>
      </c>
      <c r="C11" s="11"/>
      <c r="D11" s="11"/>
      <c r="E11" s="11"/>
      <c r="F11" s="11"/>
      <c r="G11" s="11"/>
      <c r="H11" s="11"/>
      <c r="I11" s="15" t="s">
        <v>8</v>
      </c>
      <c r="J11" s="11"/>
      <c r="K11" s="11"/>
      <c r="L11" s="11"/>
      <c r="M11" s="11"/>
      <c r="N11" s="14"/>
    </row>
    <row r="12" spans="2:14" ht="14.25" x14ac:dyDescent="0.2">
      <c r="B12" s="15" t="s">
        <v>9</v>
      </c>
      <c r="C12" s="11"/>
      <c r="D12" s="11"/>
      <c r="E12" s="11"/>
      <c r="F12" s="11"/>
      <c r="G12" s="11"/>
      <c r="H12" s="11"/>
      <c r="I12" s="15" t="s">
        <v>10</v>
      </c>
      <c r="J12" s="11"/>
      <c r="K12" s="16"/>
      <c r="L12" s="11"/>
      <c r="M12" s="11"/>
      <c r="N12" s="14"/>
    </row>
    <row r="13" spans="2:14" x14ac:dyDescent="0.2">
      <c r="B13" s="17"/>
      <c r="C13" s="11"/>
      <c r="D13" s="11"/>
      <c r="E13" s="11"/>
      <c r="F13" s="11"/>
      <c r="G13" s="11"/>
      <c r="H13" s="11"/>
      <c r="I13" s="17"/>
      <c r="J13" s="11"/>
      <c r="K13" s="11"/>
      <c r="L13" s="11"/>
      <c r="M13" s="11"/>
      <c r="N13" s="14"/>
    </row>
    <row r="14" spans="2:14" x14ac:dyDescent="0.2">
      <c r="B14" s="17"/>
      <c r="C14" s="11"/>
      <c r="D14" s="11"/>
      <c r="E14" s="11"/>
      <c r="F14" s="11"/>
      <c r="G14" s="11"/>
      <c r="H14" s="11"/>
      <c r="I14" s="17"/>
      <c r="J14" s="11"/>
      <c r="K14" s="11"/>
      <c r="L14" s="11"/>
      <c r="M14" s="11"/>
      <c r="N14" s="14"/>
    </row>
    <row r="15" spans="2:14" x14ac:dyDescent="0.2">
      <c r="B15" s="17"/>
      <c r="C15" s="11"/>
      <c r="D15" s="11"/>
      <c r="E15" s="11"/>
      <c r="F15" s="11"/>
      <c r="G15" s="11"/>
      <c r="H15" s="11"/>
      <c r="I15" s="17"/>
      <c r="J15" s="11"/>
      <c r="K15" s="11"/>
      <c r="L15" s="11"/>
      <c r="M15" s="11"/>
      <c r="N15" s="14"/>
    </row>
    <row r="16" spans="2:14" x14ac:dyDescent="0.2">
      <c r="B16" s="17"/>
      <c r="C16" s="11"/>
      <c r="D16" s="11"/>
      <c r="E16" s="11"/>
      <c r="F16" s="11"/>
      <c r="G16" s="11"/>
      <c r="H16" s="11"/>
      <c r="I16" s="17"/>
      <c r="J16" s="11"/>
      <c r="K16" s="11"/>
      <c r="L16" s="11"/>
      <c r="M16" s="11"/>
      <c r="N16" s="14"/>
    </row>
    <row r="17" spans="2:14" x14ac:dyDescent="0.2">
      <c r="B17" s="17"/>
      <c r="C17" s="11"/>
      <c r="D17" s="11"/>
      <c r="E17" s="11"/>
      <c r="F17" s="11"/>
      <c r="G17" s="11"/>
      <c r="H17" s="11"/>
      <c r="I17" s="17"/>
      <c r="J17" s="11"/>
      <c r="K17" s="11"/>
      <c r="L17" s="11"/>
      <c r="M17" s="11"/>
      <c r="N17" s="14"/>
    </row>
    <row r="18" spans="2:14" x14ac:dyDescent="0.2">
      <c r="B18" s="17"/>
      <c r="C18" s="11"/>
      <c r="D18" s="11"/>
      <c r="E18" s="11"/>
      <c r="F18" s="11"/>
      <c r="G18" s="11"/>
      <c r="H18" s="11"/>
      <c r="I18" s="17"/>
      <c r="J18" s="11"/>
      <c r="K18" s="11"/>
      <c r="L18" s="11"/>
      <c r="M18" s="11"/>
      <c r="N18" s="14"/>
    </row>
    <row r="19" spans="2:14" x14ac:dyDescent="0.2">
      <c r="B19" s="17"/>
      <c r="C19" s="11"/>
      <c r="D19" s="11"/>
      <c r="E19" s="11"/>
      <c r="F19" s="11"/>
      <c r="G19" s="11"/>
      <c r="H19" s="11"/>
      <c r="I19" s="17"/>
      <c r="J19" s="11"/>
      <c r="K19" s="11"/>
      <c r="L19" s="11"/>
      <c r="M19" s="11"/>
      <c r="N19" s="14"/>
    </row>
    <row r="20" spans="2:14" x14ac:dyDescent="0.2">
      <c r="B20" s="17"/>
      <c r="C20" s="11"/>
      <c r="D20" s="11"/>
      <c r="E20" s="11"/>
      <c r="F20" s="11"/>
      <c r="G20" s="11"/>
      <c r="H20" s="11"/>
      <c r="I20" s="17"/>
      <c r="J20" s="11"/>
      <c r="K20" s="11"/>
      <c r="L20" s="11"/>
      <c r="M20" s="11"/>
      <c r="N20" s="14"/>
    </row>
    <row r="21" spans="2:14" x14ac:dyDescent="0.2">
      <c r="B21" s="17"/>
      <c r="C21" s="11"/>
      <c r="D21" s="11"/>
      <c r="E21" s="11"/>
      <c r="F21" s="11"/>
      <c r="G21" s="11"/>
      <c r="H21" s="11"/>
      <c r="I21" s="17"/>
      <c r="J21" s="11"/>
      <c r="K21" s="11"/>
      <c r="L21" s="11"/>
      <c r="M21" s="11"/>
      <c r="N21" s="14"/>
    </row>
    <row r="22" spans="2:14" x14ac:dyDescent="0.2">
      <c r="B22" s="17"/>
      <c r="C22" s="11"/>
      <c r="D22" s="11"/>
      <c r="E22" s="11"/>
      <c r="F22" s="11"/>
      <c r="G22" s="11"/>
      <c r="H22" s="11"/>
      <c r="I22" s="17"/>
      <c r="J22" s="11"/>
      <c r="K22" s="11"/>
      <c r="L22" s="11"/>
      <c r="M22" s="11"/>
      <c r="N22" s="14"/>
    </row>
    <row r="23" spans="2:14" x14ac:dyDescent="0.2">
      <c r="B23" s="17"/>
      <c r="C23" s="11"/>
      <c r="D23" s="11"/>
      <c r="E23" s="11"/>
      <c r="F23" s="11"/>
      <c r="G23" s="11"/>
      <c r="H23" s="11"/>
      <c r="I23" s="17"/>
      <c r="J23" s="11"/>
      <c r="K23" s="11"/>
      <c r="L23" s="11"/>
      <c r="M23" s="11"/>
      <c r="N23" s="14"/>
    </row>
    <row r="24" spans="2:14" x14ac:dyDescent="0.2">
      <c r="B24" s="17"/>
      <c r="C24" s="11"/>
      <c r="D24" s="11"/>
      <c r="E24" s="11"/>
      <c r="F24" s="11"/>
      <c r="G24" s="11"/>
      <c r="H24" s="11"/>
      <c r="I24" s="17"/>
      <c r="J24" s="11"/>
      <c r="K24" s="11"/>
      <c r="L24" s="11"/>
      <c r="M24" s="11"/>
      <c r="N24" s="14"/>
    </row>
    <row r="25" spans="2:14" x14ac:dyDescent="0.2">
      <c r="B25" s="17"/>
      <c r="C25" s="11"/>
      <c r="D25" s="11"/>
      <c r="E25" s="11"/>
      <c r="F25" s="11"/>
      <c r="G25" s="11"/>
      <c r="H25" s="11"/>
      <c r="I25" s="17"/>
      <c r="J25" s="11"/>
      <c r="K25" s="11"/>
      <c r="L25" s="11"/>
      <c r="M25" s="11"/>
      <c r="N25" s="14"/>
    </row>
    <row r="26" spans="2:14" x14ac:dyDescent="0.2">
      <c r="B26" s="17"/>
      <c r="C26" s="11"/>
      <c r="D26" s="11"/>
      <c r="E26" s="11"/>
      <c r="F26" s="11"/>
      <c r="G26" s="11"/>
      <c r="H26" s="11"/>
      <c r="I26" s="17"/>
      <c r="J26" s="11"/>
      <c r="K26" s="11"/>
      <c r="L26" s="11"/>
      <c r="M26" s="11"/>
      <c r="N26" s="14"/>
    </row>
    <row r="27" spans="2:14" x14ac:dyDescent="0.2">
      <c r="B27" s="17"/>
      <c r="C27" s="11"/>
      <c r="D27" s="11"/>
      <c r="E27" s="11"/>
      <c r="F27" s="11"/>
      <c r="G27" s="11"/>
      <c r="H27" s="11"/>
      <c r="I27" s="17"/>
      <c r="J27" s="11"/>
      <c r="K27" s="11"/>
      <c r="L27" s="11"/>
      <c r="M27" s="11"/>
      <c r="N27" s="14"/>
    </row>
    <row r="28" spans="2:14" x14ac:dyDescent="0.2">
      <c r="B28" s="17"/>
      <c r="C28" s="11"/>
      <c r="D28" s="11"/>
      <c r="E28" s="11"/>
      <c r="F28" s="11"/>
      <c r="G28" s="11"/>
      <c r="H28" s="11"/>
      <c r="I28" s="17"/>
      <c r="J28" s="11"/>
      <c r="K28" s="11"/>
      <c r="L28" s="11"/>
      <c r="M28" s="11"/>
      <c r="N28" s="14"/>
    </row>
    <row r="29" spans="2:14" x14ac:dyDescent="0.2">
      <c r="B29" s="17"/>
      <c r="C29" s="11"/>
      <c r="D29" s="11"/>
      <c r="E29" s="11"/>
      <c r="F29" s="11"/>
      <c r="G29" s="11"/>
      <c r="H29" s="11"/>
      <c r="I29" s="17"/>
      <c r="J29" s="11"/>
      <c r="K29" s="11"/>
      <c r="L29" s="11"/>
      <c r="M29" s="11"/>
      <c r="N29" s="14"/>
    </row>
    <row r="30" spans="2:14" x14ac:dyDescent="0.2">
      <c r="B30" s="17"/>
      <c r="C30" s="11"/>
      <c r="D30" s="11"/>
      <c r="E30" s="11"/>
      <c r="F30" s="11"/>
      <c r="G30" s="11"/>
      <c r="H30" s="11"/>
      <c r="I30" s="17"/>
      <c r="J30" s="11"/>
      <c r="K30" s="11"/>
      <c r="L30" s="11"/>
      <c r="M30" s="11"/>
      <c r="N30" s="14"/>
    </row>
    <row r="31" spans="2:14" x14ac:dyDescent="0.2">
      <c r="B31" s="17"/>
      <c r="C31" s="11"/>
      <c r="D31" s="11"/>
      <c r="E31" s="11"/>
      <c r="F31" s="11"/>
      <c r="G31" s="11"/>
      <c r="H31" s="11"/>
      <c r="I31" s="17"/>
      <c r="J31" s="11"/>
      <c r="K31" s="11"/>
      <c r="L31" s="11"/>
      <c r="M31" s="11"/>
      <c r="N31" s="14"/>
    </row>
    <row r="32" spans="2:14" x14ac:dyDescent="0.2">
      <c r="B32" s="17"/>
      <c r="C32" s="11"/>
      <c r="D32" s="11"/>
      <c r="E32" s="11"/>
      <c r="F32" s="11"/>
      <c r="G32" s="11"/>
      <c r="H32" s="11"/>
      <c r="I32" s="17"/>
      <c r="J32" s="11"/>
      <c r="K32" s="11"/>
      <c r="L32" s="11"/>
      <c r="M32" s="11"/>
      <c r="N32" s="14"/>
    </row>
    <row r="33" spans="2:14" x14ac:dyDescent="0.2">
      <c r="B33" s="17"/>
      <c r="C33" s="11"/>
      <c r="D33" s="11"/>
      <c r="E33" s="11"/>
      <c r="F33" s="11"/>
      <c r="G33" s="11"/>
      <c r="H33" s="11"/>
      <c r="I33" s="17"/>
      <c r="J33" s="11"/>
      <c r="K33" s="11"/>
      <c r="L33" s="11"/>
      <c r="M33" s="11"/>
      <c r="N33" s="14"/>
    </row>
    <row r="34" spans="2:14" x14ac:dyDescent="0.2">
      <c r="B34" s="17"/>
      <c r="C34" s="11"/>
      <c r="D34" s="11"/>
      <c r="E34" s="11"/>
      <c r="F34" s="11"/>
      <c r="G34" s="11"/>
      <c r="H34" s="11"/>
      <c r="I34" s="17"/>
      <c r="J34" s="11"/>
      <c r="K34" s="11"/>
      <c r="L34" s="11"/>
      <c r="M34" s="11"/>
      <c r="N34" s="14"/>
    </row>
    <row r="35" spans="2:14" x14ac:dyDescent="0.2">
      <c r="B35" s="17"/>
      <c r="C35" s="11"/>
      <c r="D35" s="11"/>
      <c r="E35" s="11"/>
      <c r="F35" s="11"/>
      <c r="G35" s="11"/>
      <c r="H35" s="11"/>
      <c r="I35" s="17"/>
      <c r="J35" s="11"/>
      <c r="K35" s="11"/>
      <c r="L35" s="11"/>
      <c r="M35" s="11"/>
      <c r="N35" s="14"/>
    </row>
    <row r="36" spans="2:14" x14ac:dyDescent="0.2">
      <c r="B36" s="17"/>
      <c r="C36" s="11"/>
      <c r="D36" s="11"/>
      <c r="E36" s="11"/>
      <c r="F36" s="11"/>
      <c r="G36" s="11"/>
      <c r="H36" s="11"/>
      <c r="I36" s="17"/>
      <c r="J36" s="11"/>
      <c r="K36" s="11"/>
      <c r="L36" s="11"/>
      <c r="M36" s="11"/>
      <c r="N36" s="14"/>
    </row>
    <row r="37" spans="2:14" x14ac:dyDescent="0.2">
      <c r="B37" s="17"/>
      <c r="C37" s="11"/>
      <c r="D37" s="11"/>
      <c r="E37" s="11"/>
      <c r="F37" s="11"/>
      <c r="G37" s="11"/>
      <c r="H37" s="11"/>
      <c r="I37" s="17"/>
      <c r="J37" s="11"/>
      <c r="K37" s="11"/>
      <c r="L37" s="11"/>
      <c r="M37" s="11"/>
      <c r="N37" s="14"/>
    </row>
    <row r="38" spans="2:14" x14ac:dyDescent="0.2">
      <c r="B38" s="17"/>
      <c r="C38" s="11"/>
      <c r="D38" s="11"/>
      <c r="E38" s="11"/>
      <c r="F38" s="11"/>
      <c r="G38" s="11"/>
      <c r="H38" s="11"/>
      <c r="I38" s="17"/>
      <c r="J38" s="11"/>
      <c r="K38" s="11"/>
      <c r="L38" s="11"/>
      <c r="M38" s="11"/>
      <c r="N38" s="14"/>
    </row>
    <row r="39" spans="2:14" x14ac:dyDescent="0.2">
      <c r="B39" s="18"/>
      <c r="C39" s="19"/>
      <c r="D39" s="19"/>
      <c r="E39" s="19"/>
      <c r="F39" s="19"/>
      <c r="G39" s="19"/>
      <c r="H39" s="19"/>
      <c r="I39" s="18"/>
      <c r="J39" s="19"/>
      <c r="K39" s="19"/>
      <c r="L39" s="19"/>
      <c r="M39" s="19"/>
      <c r="N39" s="20"/>
    </row>
  </sheetData>
  <sheetProtection password="CF7A" sheet="1" objects="1" scenarios="1" selectLockedCells="1" selectUnlockedCells="1"/>
  <mergeCells count="2">
    <mergeCell ref="B9:H9"/>
    <mergeCell ref="I9:N9"/>
  </mergeCells>
  <conditionalFormatting sqref="B9:H9">
    <cfRule type="expression" dxfId="5497" priority="2" stopIfTrue="1">
      <formula>AND($N$2=12)</formula>
    </cfRule>
  </conditionalFormatting>
  <conditionalFormatting sqref="I9:N9">
    <cfRule type="expression" dxfId="5496" priority="1" stopIfTrue="1">
      <formula>AND($N$2&lt;12)</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Y32"/>
  <sheetViews>
    <sheetView showGridLines="0" zoomScale="85" zoomScaleNormal="85" workbookViewId="0">
      <selection activeCell="B25" sqref="B25:E25"/>
    </sheetView>
  </sheetViews>
  <sheetFormatPr baseColWidth="10" defaultColWidth="3.7109375" defaultRowHeight="15" x14ac:dyDescent="0.25"/>
  <cols>
    <col min="1" max="1" width="2" customWidth="1"/>
    <col min="2" max="3" width="3.5703125" customWidth="1"/>
    <col min="4" max="4" width="5.140625" customWidth="1"/>
    <col min="5" max="5" width="3.5703125" customWidth="1"/>
    <col min="6" max="6" width="3.7109375" customWidth="1"/>
    <col min="11" max="11" width="5" customWidth="1"/>
    <col min="12" max="12" width="3.85546875" customWidth="1"/>
    <col min="16" max="16" width="3.7109375" customWidth="1"/>
    <col min="20" max="20" width="5.140625" customWidth="1"/>
    <col min="28" max="33" width="0" hidden="1" customWidth="1"/>
    <col min="36" max="40" width="3.7109375" customWidth="1"/>
    <col min="42" max="42" width="4" bestFit="1" customWidth="1"/>
    <col min="44" max="44" width="4" bestFit="1" customWidth="1"/>
    <col min="50" max="50" width="0.42578125" customWidth="1"/>
    <col min="51" max="51" width="4" customWidth="1"/>
  </cols>
  <sheetData>
    <row r="1" spans="1:5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row>
    <row r="2" spans="1:51" ht="15" customHeight="1" x14ac:dyDescent="0.3">
      <c r="A2" s="72"/>
      <c r="B2" s="72"/>
      <c r="C2" s="72"/>
      <c r="D2" s="72"/>
      <c r="E2" s="72"/>
      <c r="F2" s="72"/>
      <c r="G2" s="72"/>
      <c r="H2" s="72"/>
      <c r="I2" s="72"/>
      <c r="J2" s="72"/>
      <c r="K2" s="72"/>
      <c r="L2" s="72"/>
      <c r="M2" s="72"/>
      <c r="N2" s="72"/>
      <c r="O2" s="72"/>
      <c r="P2" s="72"/>
      <c r="Q2" s="72"/>
      <c r="R2" s="72"/>
      <c r="S2" s="72"/>
      <c r="T2" s="72"/>
      <c r="U2" s="72"/>
      <c r="V2" s="72"/>
      <c r="W2" s="72"/>
      <c r="X2" s="72"/>
      <c r="Y2" s="72"/>
      <c r="Z2" s="72"/>
      <c r="AA2" s="73"/>
      <c r="AB2" s="72"/>
      <c r="AC2" s="72"/>
      <c r="AD2" s="72"/>
      <c r="AE2" s="72"/>
      <c r="AF2" s="74" t="s">
        <v>30</v>
      </c>
      <c r="AG2" s="72"/>
      <c r="AH2" s="72"/>
      <c r="AI2" s="72"/>
      <c r="AJ2" s="103" t="s">
        <v>641</v>
      </c>
      <c r="AK2" s="72"/>
      <c r="AL2" s="72"/>
      <c r="AM2" s="72"/>
      <c r="AN2" s="72"/>
      <c r="AO2" s="72"/>
      <c r="AP2" s="72"/>
      <c r="AQ2" s="72"/>
      <c r="AR2" s="72"/>
      <c r="AS2" s="72"/>
      <c r="AT2" s="103" t="s">
        <v>633</v>
      </c>
      <c r="AU2" s="72"/>
      <c r="AV2" s="72"/>
      <c r="AW2" s="72"/>
      <c r="AX2" s="72"/>
      <c r="AY2" s="72"/>
    </row>
    <row r="3" spans="1:51" ht="18.75" x14ac:dyDescent="0.3">
      <c r="A3" s="72"/>
      <c r="B3" s="72"/>
      <c r="C3" s="72"/>
      <c r="D3" s="72"/>
      <c r="E3" s="72"/>
      <c r="F3" s="72"/>
      <c r="G3" s="72"/>
      <c r="H3" s="72"/>
      <c r="I3" s="72"/>
      <c r="J3" s="72"/>
      <c r="K3" s="72"/>
      <c r="L3" s="72"/>
      <c r="M3" s="72"/>
      <c r="N3" s="72"/>
      <c r="O3" s="72"/>
      <c r="P3" s="72"/>
      <c r="Q3" s="72"/>
      <c r="R3" s="72"/>
      <c r="S3" s="72"/>
      <c r="T3" s="72"/>
      <c r="U3" s="72"/>
      <c r="V3" s="72"/>
      <c r="W3" s="72"/>
      <c r="X3" s="72"/>
      <c r="Y3" s="72"/>
      <c r="Z3" s="72"/>
      <c r="AA3" s="72"/>
      <c r="AB3" s="72"/>
      <c r="AC3" s="72"/>
      <c r="AD3" s="72"/>
      <c r="AE3" s="72"/>
      <c r="AF3" s="72"/>
      <c r="AG3" s="72"/>
      <c r="AH3" s="72"/>
      <c r="AI3" s="72"/>
      <c r="AJ3" s="103" t="s">
        <v>640</v>
      </c>
      <c r="AK3" s="72"/>
      <c r="AL3" s="72"/>
      <c r="AM3" s="72"/>
      <c r="AN3" s="72"/>
      <c r="AO3" s="72"/>
      <c r="AP3" s="72"/>
      <c r="AQ3" s="72"/>
      <c r="AR3" s="72"/>
      <c r="AS3" s="72"/>
      <c r="AT3" s="72"/>
      <c r="AU3" s="72"/>
      <c r="AV3" s="72"/>
      <c r="AW3" s="72"/>
      <c r="AX3" s="72"/>
      <c r="AY3" s="72"/>
    </row>
    <row r="4" spans="1:51" ht="9.75" customHeight="1" x14ac:dyDescent="0.25"/>
    <row r="8" spans="1:51" ht="18.75" x14ac:dyDescent="0.3">
      <c r="G8" s="144" t="s">
        <v>11</v>
      </c>
      <c r="H8" s="144"/>
      <c r="I8" s="144"/>
      <c r="J8" s="144"/>
      <c r="K8" s="144"/>
      <c r="L8" s="107"/>
      <c r="M8" s="144" t="s">
        <v>12</v>
      </c>
      <c r="N8" s="144"/>
      <c r="O8" s="144"/>
      <c r="P8" s="144"/>
      <c r="Q8" s="144"/>
      <c r="R8" s="107"/>
      <c r="S8" s="144" t="s">
        <v>13</v>
      </c>
      <c r="T8" s="144"/>
      <c r="U8" s="144"/>
      <c r="V8" s="144"/>
      <c r="W8" s="144"/>
      <c r="X8" s="107"/>
      <c r="Y8" s="144" t="s">
        <v>639</v>
      </c>
      <c r="Z8" s="144"/>
      <c r="AA8" s="144"/>
      <c r="AB8" s="144"/>
      <c r="AC8" s="144"/>
      <c r="AD8" s="144"/>
      <c r="AE8" s="144"/>
      <c r="AF8" s="144"/>
      <c r="AG8" s="144"/>
      <c r="AH8" s="144"/>
      <c r="AI8" s="144"/>
      <c r="AJ8" s="107"/>
      <c r="AK8" s="144" t="s">
        <v>15</v>
      </c>
      <c r="AL8" s="144"/>
      <c r="AM8" s="144"/>
      <c r="AN8" s="144"/>
      <c r="AO8" s="144"/>
      <c r="AQ8" s="107" t="s">
        <v>16</v>
      </c>
      <c r="AR8" s="107"/>
      <c r="AS8" s="107"/>
      <c r="AT8" s="107"/>
      <c r="AU8" s="107"/>
      <c r="AV8" s="107"/>
    </row>
    <row r="10" spans="1:51" ht="18.75" x14ac:dyDescent="0.3">
      <c r="C10" s="102" t="s">
        <v>17</v>
      </c>
      <c r="G10" s="142">
        <f>GETPIVOTDATA("Suma de Balance",Tabla!$J$6,"Descripcion","HORAS EXTRAS")</f>
        <v>44529.229999999996</v>
      </c>
      <c r="H10" s="142"/>
      <c r="I10" s="142"/>
      <c r="J10" s="142"/>
      <c r="K10" s="142"/>
      <c r="L10" s="108"/>
      <c r="M10" s="142">
        <f>GETPIVOTDATA("Suma de Balance",Tabla!$J$6,"Descripcion","ALIMENTACIÓN")</f>
        <v>10818.300000000001</v>
      </c>
      <c r="N10" s="142"/>
      <c r="O10" s="142"/>
      <c r="P10" s="142"/>
      <c r="Q10" s="142"/>
      <c r="R10" s="108"/>
      <c r="S10" s="142">
        <f>GETPIVOTDATA("Suma de Balance",Tabla!$J$6,"Descripcion","VIATICOS")</f>
        <v>10660.680000000002</v>
      </c>
      <c r="T10" s="142"/>
      <c r="U10" s="142"/>
      <c r="V10" s="142"/>
      <c r="W10" s="142"/>
      <c r="X10" s="108"/>
      <c r="Y10" s="142">
        <f>GETPIVOTDATA("Suma de Balance",Tabla!$J$6,"Descripcion","RECONOCIMIENTO ")</f>
        <v>39.639999999999979</v>
      </c>
      <c r="Z10" s="142"/>
      <c r="AA10" s="142"/>
      <c r="AB10" s="142"/>
      <c r="AC10" s="142"/>
      <c r="AD10" s="142"/>
      <c r="AE10" s="142"/>
      <c r="AF10" s="142"/>
      <c r="AG10" s="142"/>
      <c r="AH10" s="142"/>
      <c r="AI10" s="142"/>
      <c r="AJ10" s="108"/>
      <c r="AK10" s="142">
        <f>GETPIVOTDATA("Suma de Balance",Tabla!$J$6,"Descripcion","CELEBRACIONES ")</f>
        <v>9098.8600000000024</v>
      </c>
      <c r="AL10" s="142"/>
      <c r="AM10" s="142"/>
      <c r="AN10" s="142"/>
      <c r="AO10" s="142"/>
      <c r="AQ10" s="108"/>
      <c r="AR10" s="142">
        <f>GETPIVOTDATA("Suma de Balance",Tabla!$J$6,"Descripcion","BRINDIS DE PARTICIPACIÓN")</f>
        <v>0</v>
      </c>
      <c r="AS10" s="142"/>
      <c r="AT10" s="142"/>
      <c r="AU10" s="142"/>
    </row>
    <row r="11" spans="1:51" ht="9" customHeight="1" x14ac:dyDescent="0.3">
      <c r="C11" s="102"/>
    </row>
    <row r="12" spans="1:51" ht="18.75" x14ac:dyDescent="0.3">
      <c r="C12" s="102" t="s">
        <v>18</v>
      </c>
      <c r="G12" s="142">
        <f>GETPIVOTDATA("Suma de Plan",Tabla!$J$6,"Descripcion","HORAS EXTRAS")</f>
        <v>249052.18210000003</v>
      </c>
      <c r="H12" s="142"/>
      <c r="I12" s="142"/>
      <c r="J12" s="142"/>
      <c r="K12" s="142"/>
      <c r="L12" s="108"/>
      <c r="M12" s="142">
        <f>GETPIVOTDATA("Suma de Plan",Tabla!$J$6,"Descripcion","ALIMENTACIÓN")</f>
        <v>46615.708099999989</v>
      </c>
      <c r="N12" s="142"/>
      <c r="O12" s="142"/>
      <c r="P12" s="142"/>
      <c r="Q12" s="142"/>
      <c r="R12" s="108"/>
      <c r="S12" s="142">
        <f>GETPIVOTDATA("Suma de Plan",Tabla!$J$6,"Descripcion","VIATICOS")</f>
        <v>34176.158800000019</v>
      </c>
      <c r="T12" s="142"/>
      <c r="U12" s="142"/>
      <c r="V12" s="142"/>
      <c r="W12" s="142"/>
      <c r="X12" s="108"/>
      <c r="Y12" s="142">
        <f>GETPIVOTDATA("Suma de Plan",Tabla!$J$6,"Descripcion","RECONOCIMIENTO ")</f>
        <v>4770</v>
      </c>
      <c r="Z12" s="142"/>
      <c r="AA12" s="142"/>
      <c r="AB12" s="142"/>
      <c r="AC12" s="142"/>
      <c r="AD12" s="142"/>
      <c r="AE12" s="142"/>
      <c r="AF12" s="142"/>
      <c r="AG12" s="142"/>
      <c r="AH12" s="142"/>
      <c r="AI12" s="142"/>
      <c r="AJ12" s="108"/>
      <c r="AK12" s="142">
        <f>GETPIVOTDATA("Suma de Plan",Tabla!$J$6,"Descripcion","CELEBRACIONES ")</f>
        <v>46512</v>
      </c>
      <c r="AL12" s="142"/>
      <c r="AM12" s="142"/>
      <c r="AN12" s="142"/>
      <c r="AO12" s="142"/>
      <c r="AQ12" s="108"/>
      <c r="AR12" s="142">
        <f>GETPIVOTDATA("Suma de Plan",Tabla!$J$6,"Descripcion","BRINDIS DE PARTICIPACIÓN")</f>
        <v>8814</v>
      </c>
      <c r="AS12" s="142"/>
      <c r="AT12" s="142"/>
      <c r="AU12" s="142"/>
    </row>
    <row r="13" spans="1:51" ht="9" customHeight="1" x14ac:dyDescent="0.3">
      <c r="C13" s="102"/>
    </row>
    <row r="14" spans="1:51" ht="18.75" x14ac:dyDescent="0.3">
      <c r="C14" s="102" t="s">
        <v>19</v>
      </c>
      <c r="G14" s="143">
        <f>G16/G12</f>
        <v>0.821205220429988</v>
      </c>
      <c r="H14" s="143"/>
      <c r="I14" s="143"/>
      <c r="J14" s="143"/>
      <c r="K14" s="143"/>
      <c r="L14" s="109"/>
      <c r="M14" s="143">
        <f>M16/M12</f>
        <v>0.76792586789001271</v>
      </c>
      <c r="N14" s="143"/>
      <c r="O14" s="143"/>
      <c r="P14" s="143"/>
      <c r="Q14" s="143"/>
      <c r="R14" s="109"/>
      <c r="S14" s="143">
        <f>S16/S12</f>
        <v>0.68806675839767006</v>
      </c>
      <c r="T14" s="143"/>
      <c r="U14" s="143"/>
      <c r="V14" s="143"/>
      <c r="W14" s="143"/>
      <c r="X14" s="109"/>
      <c r="Y14" s="143">
        <f>Y16/Y12</f>
        <v>0.9916897274633123</v>
      </c>
      <c r="Z14" s="143"/>
      <c r="AA14" s="143"/>
      <c r="AB14" s="143"/>
      <c r="AC14" s="143"/>
      <c r="AD14" s="143"/>
      <c r="AE14" s="143"/>
      <c r="AF14" s="143"/>
      <c r="AG14" s="143"/>
      <c r="AH14" s="143"/>
      <c r="AI14" s="143"/>
      <c r="AJ14" s="109"/>
      <c r="AK14" s="143">
        <f>AK16/AK12</f>
        <v>0.80437607499140007</v>
      </c>
      <c r="AL14" s="143"/>
      <c r="AM14" s="143"/>
      <c r="AN14" s="143"/>
      <c r="AO14" s="143"/>
      <c r="AQ14" s="109"/>
      <c r="AR14" s="143">
        <f>AR16/AR12</f>
        <v>1</v>
      </c>
      <c r="AS14" s="143"/>
      <c r="AT14" s="143"/>
      <c r="AU14" s="143"/>
    </row>
    <row r="15" spans="1:51" ht="9" customHeight="1" x14ac:dyDescent="0.3">
      <c r="C15" s="102"/>
    </row>
    <row r="16" spans="1:51" ht="18.75" x14ac:dyDescent="0.3">
      <c r="C16" s="102" t="s">
        <v>20</v>
      </c>
      <c r="G16" s="142">
        <f>G12-G10</f>
        <v>204522.95210000005</v>
      </c>
      <c r="H16" s="142"/>
      <c r="I16" s="142"/>
      <c r="J16" s="142"/>
      <c r="K16" s="142"/>
      <c r="L16" s="108"/>
      <c r="M16" s="142">
        <f>M12-M10</f>
        <v>35797.408099999986</v>
      </c>
      <c r="N16" s="142"/>
      <c r="O16" s="142"/>
      <c r="P16" s="142"/>
      <c r="Q16" s="142"/>
      <c r="R16" s="108"/>
      <c r="S16" s="142">
        <f>S12-S10</f>
        <v>23515.478800000019</v>
      </c>
      <c r="T16" s="142"/>
      <c r="U16" s="142"/>
      <c r="V16" s="142"/>
      <c r="W16" s="142"/>
      <c r="X16" s="108"/>
      <c r="Y16" s="142">
        <f>Y12-Y10</f>
        <v>4730.3599999999997</v>
      </c>
      <c r="Z16" s="142"/>
      <c r="AA16" s="142"/>
      <c r="AB16" s="142"/>
      <c r="AC16" s="142"/>
      <c r="AD16" s="142"/>
      <c r="AE16" s="142"/>
      <c r="AF16" s="142"/>
      <c r="AG16" s="142"/>
      <c r="AH16" s="142"/>
      <c r="AI16" s="142"/>
      <c r="AJ16" s="108"/>
      <c r="AK16" s="142">
        <f>AK12-AK10</f>
        <v>37413.14</v>
      </c>
      <c r="AL16" s="142"/>
      <c r="AM16" s="142"/>
      <c r="AN16" s="142"/>
      <c r="AO16" s="142"/>
      <c r="AQ16" s="108"/>
      <c r="AR16" s="142">
        <f>AR12-AR10</f>
        <v>8814</v>
      </c>
      <c r="AS16" s="142"/>
      <c r="AT16" s="142"/>
      <c r="AU16" s="142"/>
    </row>
    <row r="17" spans="2:51" ht="9" customHeight="1" x14ac:dyDescent="0.3">
      <c r="C17" s="102"/>
    </row>
    <row r="18" spans="2:51" ht="15" customHeight="1" x14ac:dyDescent="0.3">
      <c r="C18" s="102"/>
    </row>
    <row r="19" spans="2:51" ht="15" customHeight="1" x14ac:dyDescent="0.3">
      <c r="C19" s="102"/>
    </row>
    <row r="20" spans="2:51" ht="15" customHeight="1" x14ac:dyDescent="0.3">
      <c r="C20" s="102"/>
    </row>
    <row r="22" spans="2:51" ht="15.75" thickBot="1" x14ac:dyDescent="0.3"/>
    <row r="23" spans="2:51" ht="10.5" customHeight="1" x14ac:dyDescent="0.25">
      <c r="B23" s="81"/>
      <c r="C23" s="76"/>
      <c r="D23" s="76"/>
      <c r="E23" s="77"/>
      <c r="F23" s="81"/>
      <c r="G23" s="76"/>
      <c r="H23" s="76"/>
      <c r="I23" s="76"/>
      <c r="J23" s="76"/>
      <c r="K23" s="76"/>
      <c r="L23" s="76"/>
      <c r="M23" s="76"/>
      <c r="N23" s="77"/>
      <c r="O23" s="81"/>
      <c r="P23" s="76"/>
      <c r="Q23" s="76"/>
      <c r="R23" s="76"/>
      <c r="S23" s="76"/>
      <c r="T23" s="76"/>
      <c r="U23" s="76"/>
      <c r="V23" s="76"/>
      <c r="W23" s="76"/>
      <c r="X23" s="76"/>
      <c r="Y23" s="77"/>
      <c r="Z23" s="81"/>
      <c r="AA23" s="76"/>
      <c r="AB23" s="76"/>
      <c r="AC23" s="76"/>
      <c r="AD23" s="76"/>
      <c r="AE23" s="76"/>
      <c r="AF23" s="76"/>
      <c r="AG23" s="76"/>
      <c r="AH23" s="76"/>
      <c r="AI23" s="76"/>
      <c r="AJ23" s="76"/>
      <c r="AK23" s="76"/>
      <c r="AL23" s="76"/>
      <c r="AM23" s="76"/>
      <c r="AN23" s="76"/>
      <c r="AO23" s="77"/>
      <c r="AP23" s="81"/>
      <c r="AQ23" s="76"/>
      <c r="AR23" s="76"/>
      <c r="AS23" s="77"/>
      <c r="AT23" s="145" t="s">
        <v>385</v>
      </c>
      <c r="AU23" s="146"/>
      <c r="AV23" s="146"/>
      <c r="AW23" s="147"/>
      <c r="AX23" s="79"/>
      <c r="AY23" s="79"/>
    </row>
    <row r="24" spans="2:51" ht="19.5" thickBot="1" x14ac:dyDescent="0.3">
      <c r="B24" s="151" t="s">
        <v>386</v>
      </c>
      <c r="C24" s="152"/>
      <c r="D24" s="152"/>
      <c r="E24" s="153"/>
      <c r="F24" s="151" t="s">
        <v>118</v>
      </c>
      <c r="G24" s="152"/>
      <c r="H24" s="152"/>
      <c r="I24" s="152"/>
      <c r="J24" s="152"/>
      <c r="K24" s="152"/>
      <c r="L24" s="152"/>
      <c r="M24" s="152"/>
      <c r="N24" s="153"/>
      <c r="O24" s="151" t="s">
        <v>119</v>
      </c>
      <c r="P24" s="152"/>
      <c r="Q24" s="152"/>
      <c r="R24" s="152"/>
      <c r="S24" s="152"/>
      <c r="T24" s="152"/>
      <c r="U24" s="152"/>
      <c r="V24" s="152"/>
      <c r="W24" s="152"/>
      <c r="X24" s="152"/>
      <c r="Y24" s="153"/>
      <c r="Z24" s="151" t="s">
        <v>120</v>
      </c>
      <c r="AA24" s="152"/>
      <c r="AB24" s="152"/>
      <c r="AC24" s="152"/>
      <c r="AD24" s="152"/>
      <c r="AE24" s="152"/>
      <c r="AF24" s="152"/>
      <c r="AG24" s="152"/>
      <c r="AH24" s="152"/>
      <c r="AI24" s="152"/>
      <c r="AJ24" s="152"/>
      <c r="AK24" s="152"/>
      <c r="AL24" s="152"/>
      <c r="AM24" s="152"/>
      <c r="AN24" s="152"/>
      <c r="AO24" s="153"/>
      <c r="AP24" s="151" t="s">
        <v>384</v>
      </c>
      <c r="AQ24" s="152"/>
      <c r="AR24" s="152"/>
      <c r="AS24" s="153"/>
      <c r="AT24" s="148"/>
      <c r="AU24" s="149"/>
      <c r="AV24" s="149"/>
      <c r="AW24" s="150"/>
      <c r="AX24" s="80"/>
      <c r="AY24" s="79"/>
    </row>
    <row r="25" spans="2:51" ht="19.5" customHeight="1" x14ac:dyDescent="0.25">
      <c r="B25" s="162">
        <f>INDEX(Tabla!B7:$B$1048576,Data!$C$3)</f>
        <v>43467</v>
      </c>
      <c r="C25" s="163"/>
      <c r="D25" s="163"/>
      <c r="E25" s="163"/>
      <c r="F25" s="82" t="str">
        <f>PROPER(IF(INDEX(Tabla!C7:$C$1048576,Data!$C$3)=0,"-",INDEX(Tabla!C7:$C$1048576,Data!$C$3)))</f>
        <v>Administracion De Sucursales</v>
      </c>
      <c r="G25" s="83"/>
      <c r="H25" s="83"/>
      <c r="I25" s="83"/>
      <c r="J25" s="83"/>
      <c r="K25" s="84"/>
      <c r="L25" s="83"/>
      <c r="M25" s="84"/>
      <c r="N25" s="84"/>
      <c r="O25" s="82" t="str">
        <f>PROPER(IF(INDEX(Tabla!D7:$D$1048576,Data!$C$3)=0,"-",INDEX(Tabla!D7:$D$1048576,Data!$C$3)))</f>
        <v>Alimentacion De Empleados Cta Nueva</v>
      </c>
      <c r="P25" s="84"/>
      <c r="Q25" s="83"/>
      <c r="R25" s="84"/>
      <c r="S25" s="83"/>
      <c r="T25" s="83"/>
      <c r="U25" s="83"/>
      <c r="V25" s="83"/>
      <c r="W25" s="84"/>
      <c r="X25" s="94"/>
      <c r="Y25" s="95"/>
      <c r="Z25" s="83" t="str">
        <f>PROPER(IF(INDEX(Tabla!E7:$E$1048576,Data!$C$3)=0,"-",INDEX(Tabla!E7:$E$1048576,Data!$C$3)))</f>
        <v>Transacciones Del Dia 01/02/2019Spyral - Gestion Administrativa</v>
      </c>
      <c r="AA25" s="84"/>
      <c r="AB25" s="83"/>
      <c r="AC25" s="84"/>
      <c r="AD25" s="84"/>
      <c r="AE25" s="84"/>
      <c r="AF25" s="84"/>
      <c r="AG25" s="84"/>
      <c r="AH25" s="84"/>
      <c r="AI25" s="84"/>
      <c r="AJ25" s="84"/>
      <c r="AK25" s="94"/>
      <c r="AL25" s="85"/>
      <c r="AM25" s="85"/>
      <c r="AN25" s="94"/>
      <c r="AO25" s="95"/>
      <c r="AP25" s="156">
        <f>IF(INDEX(Tabla!F7:$F$1048576,Data!$C$3)=0,"-",INDEX(Tabla!F7:$F$1048576,Data!$C$3))</f>
        <v>16</v>
      </c>
      <c r="AQ25" s="156"/>
      <c r="AR25" s="156"/>
      <c r="AS25" s="157"/>
      <c r="AT25" s="156" t="str">
        <f>IF(INDEX(Tabla!G7:$G$1048576,Data!$C$3)=0,"0",INDEX(Tabla!G7:$G$1048576,Data!$C$3))</f>
        <v>0</v>
      </c>
      <c r="AU25" s="156"/>
      <c r="AV25" s="156"/>
      <c r="AW25" s="157"/>
      <c r="AX25" s="75"/>
    </row>
    <row r="26" spans="2:51" ht="19.5" customHeight="1" x14ac:dyDescent="0.25">
      <c r="B26" s="164">
        <f>IF(INDEX(Tabla!B8:$B$1048576,Data!$C$3)=0,"-",INDEX(Tabla!B8:$B$1048576,Data!$C$3))</f>
        <v>43467</v>
      </c>
      <c r="C26" s="165"/>
      <c r="D26" s="165"/>
      <c r="E26" s="165"/>
      <c r="F26" s="86" t="str">
        <f>PROPER(IF(INDEX(Tabla!C8:$C$1048576,Data!$C$3)=0,"-",INDEX(Tabla!C8:$C$1048576,Data!$C$3)))</f>
        <v>Administracion De Sucursales</v>
      </c>
      <c r="G26" s="87"/>
      <c r="H26" s="87"/>
      <c r="I26" s="87"/>
      <c r="J26" s="87"/>
      <c r="K26" s="88"/>
      <c r="L26" s="87"/>
      <c r="M26" s="88"/>
      <c r="N26" s="88"/>
      <c r="O26" s="86" t="str">
        <f>PROPER(IF(INDEX(Tabla!D8:$D$1048576,Data!$C$3)=0,"-",INDEX(Tabla!D8:$D$1048576,Data!$C$3)))</f>
        <v>Nc Alimentacion De Empleados Nva</v>
      </c>
      <c r="P26" s="88"/>
      <c r="Q26" s="87"/>
      <c r="R26" s="88"/>
      <c r="S26" s="87"/>
      <c r="T26" s="87"/>
      <c r="U26" s="87"/>
      <c r="V26" s="87"/>
      <c r="W26" s="88"/>
      <c r="X26" s="96"/>
      <c r="Y26" s="97"/>
      <c r="Z26" s="87" t="str">
        <f>PROPER(IF(INDEX(Tabla!E8:$E$1048576,Data!$C$3)=0,"-",INDEX(Tabla!E8:$E$1048576,Data!$C$3)))</f>
        <v>Transacciones Del Dia 01/02/2019Spyral - Gestion Administrativa</v>
      </c>
      <c r="AA26" s="88"/>
      <c r="AB26" s="87"/>
      <c r="AC26" s="88"/>
      <c r="AD26" s="88"/>
      <c r="AE26" s="88"/>
      <c r="AF26" s="88"/>
      <c r="AG26" s="88"/>
      <c r="AH26" s="88"/>
      <c r="AI26" s="88"/>
      <c r="AJ26" s="88"/>
      <c r="AK26" s="96"/>
      <c r="AL26" s="89"/>
      <c r="AM26" s="89"/>
      <c r="AN26" s="96"/>
      <c r="AO26" s="97"/>
      <c r="AP26" s="158">
        <f>IF(INDEX(Tabla!F8:$F$1048576,Data!$C$3)=0,"-",INDEX(Tabla!F8:$F$1048576,Data!$C$3))</f>
        <v>80</v>
      </c>
      <c r="AQ26" s="158"/>
      <c r="AR26" s="158"/>
      <c r="AS26" s="159"/>
      <c r="AT26" s="158" t="str">
        <f>IF(INDEX(Tabla!G8:$G$1048576,Data!$C$3)=0,"0",INDEX(Tabla!G8:$G$1048576,Data!$C$3))</f>
        <v>0</v>
      </c>
      <c r="AU26" s="158"/>
      <c r="AV26" s="158"/>
      <c r="AW26" s="159"/>
      <c r="AX26" s="75"/>
    </row>
    <row r="27" spans="2:51" ht="19.5" customHeight="1" x14ac:dyDescent="0.25">
      <c r="B27" s="164">
        <f>IF(INDEX(Tabla!B9:$B$1048576,Data!$C$3)=0,"-",INDEX(Tabla!B9:$B$1048576,Data!$C$3))</f>
        <v>43467</v>
      </c>
      <c r="C27" s="165"/>
      <c r="D27" s="165"/>
      <c r="E27" s="165"/>
      <c r="F27" s="86" t="str">
        <f>PROPER(IF(INDEX(Tabla!C9:$C$1048576,Data!$C$3)=0,"-",INDEX(Tabla!C9:$C$1048576,Data!$C$3)))</f>
        <v>Administracion De Sucursales</v>
      </c>
      <c r="G27" s="87"/>
      <c r="H27" s="87"/>
      <c r="I27" s="87"/>
      <c r="J27" s="87"/>
      <c r="K27" s="88"/>
      <c r="L27" s="87"/>
      <c r="M27" s="88"/>
      <c r="N27" s="88"/>
      <c r="O27" s="86" t="str">
        <f>PROPER(IF(INDEX(Tabla!D9:$D$1048576,Data!$C$3)=0,"-",INDEX(Tabla!D9:$D$1048576,Data!$C$3)))</f>
        <v>Otros Egresos 18</v>
      </c>
      <c r="P27" s="88"/>
      <c r="Q27" s="87"/>
      <c r="R27" s="88"/>
      <c r="S27" s="87"/>
      <c r="T27" s="87"/>
      <c r="U27" s="87"/>
      <c r="V27" s="87"/>
      <c r="W27" s="88"/>
      <c r="X27" s="96"/>
      <c r="Y27" s="97"/>
      <c r="Z27" s="87" t="str">
        <f>PROPER(IF(INDEX(Tabla!E9:$E$1048576,Data!$C$3)=0,"-",INDEX(Tabla!E9:$E$1048576,Data!$C$3)))</f>
        <v>Otros Egresos 1.P.O (Or:196/Des:196 Trn:86 Perf:300086 Cau: 18</v>
      </c>
      <c r="AA27" s="88"/>
      <c r="AB27" s="87"/>
      <c r="AC27" s="88"/>
      <c r="AD27" s="88"/>
      <c r="AE27" s="88"/>
      <c r="AF27" s="88"/>
      <c r="AG27" s="88"/>
      <c r="AH27" s="88"/>
      <c r="AI27" s="88"/>
      <c r="AJ27" s="88"/>
      <c r="AK27" s="96"/>
      <c r="AL27" s="89"/>
      <c r="AM27" s="89"/>
      <c r="AN27" s="96"/>
      <c r="AO27" s="97"/>
      <c r="AP27" s="158">
        <f>IF(INDEX(Tabla!F9:$F$1048576,Data!$C$3)=0,"-",INDEX(Tabla!F9:$F$1048576,Data!$C$3))</f>
        <v>3.6</v>
      </c>
      <c r="AQ27" s="158"/>
      <c r="AR27" s="158"/>
      <c r="AS27" s="159"/>
      <c r="AT27" s="158" t="str">
        <f>IF(INDEX(Tabla!G9:$G$1048576,Data!$C$3)=0,"0",INDEX(Tabla!G9:$G$1048576,Data!$C$3))</f>
        <v>0</v>
      </c>
      <c r="AU27" s="158"/>
      <c r="AV27" s="158"/>
      <c r="AW27" s="159"/>
      <c r="AX27" s="75"/>
    </row>
    <row r="28" spans="2:51" ht="19.5" customHeight="1" x14ac:dyDescent="0.25">
      <c r="B28" s="164">
        <f>IF(INDEX(Tabla!B10:$B$1048576,Data!$C$3)=0,"-",INDEX(Tabla!B10:$B$1048576,Data!$C$3))</f>
        <v>43467</v>
      </c>
      <c r="C28" s="165"/>
      <c r="D28" s="165"/>
      <c r="E28" s="165"/>
      <c r="F28" s="86" t="str">
        <f>PROPER(IF(INDEX(Tabla!C10:$C$1048576,Data!$C$3)=0,"-",INDEX(Tabla!C10:$C$1048576,Data!$C$3)))</f>
        <v>Administracion De Sucursales</v>
      </c>
      <c r="G28" s="87"/>
      <c r="H28" s="87"/>
      <c r="I28" s="87"/>
      <c r="J28" s="87"/>
      <c r="K28" s="88"/>
      <c r="L28" s="87"/>
      <c r="M28" s="88"/>
      <c r="N28" s="88"/>
      <c r="O28" s="86" t="str">
        <f>PROPER(IF(INDEX(Tabla!D10:$D$1048576,Data!$C$3)=0,"-",INDEX(Tabla!D10:$D$1048576,Data!$C$3)))</f>
        <v>Viaticos</v>
      </c>
      <c r="P28" s="88"/>
      <c r="Q28" s="87"/>
      <c r="R28" s="88"/>
      <c r="S28" s="87"/>
      <c r="T28" s="87"/>
      <c r="U28" s="87"/>
      <c r="V28" s="87"/>
      <c r="W28" s="88"/>
      <c r="X28" s="96"/>
      <c r="Y28" s="97"/>
      <c r="Z28" s="87" t="str">
        <f>PROPER(IF(INDEX(Tabla!E10:$E$1048576,Data!$C$3)=0,"-",INDEX(Tabla!E10:$E$1048576,Data!$C$3)))</f>
        <v>Transacciones Del Dia 01/02/2019Spyral - Gestion Administrativa</v>
      </c>
      <c r="AA28" s="88"/>
      <c r="AB28" s="87"/>
      <c r="AC28" s="88"/>
      <c r="AD28" s="88"/>
      <c r="AE28" s="88"/>
      <c r="AF28" s="88"/>
      <c r="AG28" s="88"/>
      <c r="AH28" s="88"/>
      <c r="AI28" s="88"/>
      <c r="AJ28" s="88"/>
      <c r="AK28" s="96"/>
      <c r="AL28" s="89"/>
      <c r="AM28" s="89"/>
      <c r="AN28" s="96"/>
      <c r="AO28" s="97"/>
      <c r="AP28" s="158">
        <f>IF(INDEX(Tabla!F10:$F$1048576,Data!$C$3)=0,"-",INDEX(Tabla!F10:$F$1048576,Data!$C$3))</f>
        <v>242</v>
      </c>
      <c r="AQ28" s="158"/>
      <c r="AR28" s="158"/>
      <c r="AS28" s="159"/>
      <c r="AT28" s="158" t="str">
        <f>IF(INDEX(Tabla!G10:$G$1048576,Data!$C$3)=0,"0",INDEX(Tabla!G10:$G$1048576,Data!$C$3))</f>
        <v>0</v>
      </c>
      <c r="AU28" s="158"/>
      <c r="AV28" s="158"/>
      <c r="AW28" s="159"/>
      <c r="AX28" s="75"/>
    </row>
    <row r="29" spans="2:51" ht="19.5" customHeight="1" thickBot="1" x14ac:dyDescent="0.3">
      <c r="B29" s="154">
        <f>IF(INDEX(Tabla!B11:$B$1048576,Data!$C$3)=0,"-",INDEX(Tabla!B11:$B$1048576,Data!$C$3))</f>
        <v>43467</v>
      </c>
      <c r="C29" s="155"/>
      <c r="D29" s="155"/>
      <c r="E29" s="155"/>
      <c r="F29" s="90" t="str">
        <f>PROPER(IF(INDEX(Tabla!C11:$C$1048576,Data!$C$3)=0,"-",INDEX(Tabla!C11:$C$1048576,Data!$C$3)))</f>
        <v>Banca De Consumo</v>
      </c>
      <c r="G29" s="91"/>
      <c r="H29" s="91"/>
      <c r="I29" s="91"/>
      <c r="J29" s="91"/>
      <c r="K29" s="92"/>
      <c r="L29" s="91"/>
      <c r="M29" s="92"/>
      <c r="N29" s="92"/>
      <c r="O29" s="90" t="str">
        <f>PROPER(IF(INDEX(Tabla!D11:$D$1048576,Data!$C$3)=0,"-",INDEX(Tabla!D11:$D$1048576,Data!$C$3)))</f>
        <v>Viaticos</v>
      </c>
      <c r="P29" s="92"/>
      <c r="Q29" s="91"/>
      <c r="R29" s="92"/>
      <c r="S29" s="91"/>
      <c r="T29" s="91"/>
      <c r="U29" s="91"/>
      <c r="V29" s="91"/>
      <c r="W29" s="92"/>
      <c r="X29" s="98"/>
      <c r="Y29" s="99"/>
      <c r="Z29" s="91" t="str">
        <f>PROPER(IF(INDEX(Tabla!E11:$E$1048576,Data!$C$3)=0,"-",INDEX(Tabla!E11:$E$1048576,Data!$C$3)))</f>
        <v>Transacciones Del Dia 01/02/2019Spyral - Gestion Administrativa</v>
      </c>
      <c r="AA29" s="92"/>
      <c r="AB29" s="91"/>
      <c r="AC29" s="92"/>
      <c r="AD29" s="92"/>
      <c r="AE29" s="92"/>
      <c r="AF29" s="92"/>
      <c r="AG29" s="92"/>
      <c r="AH29" s="92"/>
      <c r="AI29" s="92"/>
      <c r="AJ29" s="92"/>
      <c r="AK29" s="98"/>
      <c r="AL29" s="93"/>
      <c r="AM29" s="93"/>
      <c r="AN29" s="98"/>
      <c r="AO29" s="99"/>
      <c r="AP29" s="160">
        <f>IF(INDEX(Tabla!F11:$F$1048576,Data!$C$3)=0,"-",INDEX(Tabla!F11:$F$1048576,Data!$C$3))</f>
        <v>190</v>
      </c>
      <c r="AQ29" s="160"/>
      <c r="AR29" s="160"/>
      <c r="AS29" s="161"/>
      <c r="AT29" s="160" t="str">
        <f>IF(INDEX(Tabla!G11:$G$1048576,Data!$C$3)=0,"0",INDEX(Tabla!G11:$G$1048576,Data!$C$3))</f>
        <v>0</v>
      </c>
      <c r="AU29" s="160"/>
      <c r="AV29" s="160"/>
      <c r="AW29" s="161"/>
      <c r="AX29" s="75"/>
    </row>
    <row r="30" spans="2:51" x14ac:dyDescent="0.25">
      <c r="B30" s="78"/>
      <c r="C30" s="78"/>
      <c r="D30" s="78"/>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row>
    <row r="31" spans="2:51" x14ac:dyDescent="0.25">
      <c r="B31" s="78"/>
      <c r="C31" s="78"/>
      <c r="D31" s="78"/>
      <c r="E31" s="78"/>
      <c r="F31" s="78"/>
      <c r="G31" s="78"/>
      <c r="H31" s="78"/>
      <c r="I31" s="78"/>
      <c r="J31" s="78"/>
      <c r="K31" s="78"/>
      <c r="L31" s="78"/>
      <c r="M31" s="78"/>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row>
    <row r="32" spans="2:51" x14ac:dyDescent="0.25">
      <c r="B32" s="78"/>
      <c r="C32" s="78"/>
      <c r="D32" s="78"/>
      <c r="E32" s="78"/>
      <c r="F32" s="78"/>
      <c r="G32" s="78"/>
      <c r="H32" s="78"/>
      <c r="I32" s="78"/>
      <c r="J32" s="78"/>
      <c r="K32" s="78"/>
      <c r="L32" s="78"/>
      <c r="M32" s="78"/>
      <c r="N32" s="78"/>
      <c r="O32" s="78"/>
      <c r="P32" s="78"/>
      <c r="Q32" s="78"/>
      <c r="R32" s="78"/>
      <c r="S32" s="78"/>
      <c r="T32" s="78"/>
      <c r="U32" s="78"/>
      <c r="V32" s="78"/>
      <c r="W32" s="78"/>
      <c r="X32" s="78"/>
      <c r="Y32" s="78"/>
      <c r="Z32" s="78"/>
      <c r="AA32" s="78"/>
      <c r="AB32" s="78"/>
      <c r="AC32" s="78"/>
      <c r="AD32" s="78"/>
      <c r="AE32" s="78"/>
      <c r="AF32" s="78"/>
      <c r="AG32" s="78"/>
      <c r="AH32" s="78"/>
      <c r="AI32" s="78"/>
      <c r="AJ32" s="78"/>
      <c r="AK32" s="78"/>
      <c r="AL32" s="78"/>
      <c r="AM32" s="78"/>
      <c r="AN32" s="78"/>
      <c r="AO32" s="78"/>
      <c r="AP32" s="78"/>
      <c r="AQ32" s="78"/>
      <c r="AR32" s="78"/>
      <c r="AS32" s="78"/>
      <c r="AT32" s="78"/>
      <c r="AU32" s="78"/>
      <c r="AV32" s="78"/>
      <c r="AW32" s="78"/>
      <c r="AX32" s="78"/>
      <c r="AY32" s="78"/>
    </row>
  </sheetData>
  <mergeCells count="50">
    <mergeCell ref="B24:E24"/>
    <mergeCell ref="B25:E25"/>
    <mergeCell ref="B26:E26"/>
    <mergeCell ref="B27:E27"/>
    <mergeCell ref="B28:E28"/>
    <mergeCell ref="B29:E29"/>
    <mergeCell ref="AT25:AW25"/>
    <mergeCell ref="AT26:AW26"/>
    <mergeCell ref="AT27:AW27"/>
    <mergeCell ref="AT28:AW28"/>
    <mergeCell ref="AT29:AW29"/>
    <mergeCell ref="AP25:AS25"/>
    <mergeCell ref="AP26:AS26"/>
    <mergeCell ref="AP27:AS27"/>
    <mergeCell ref="AP28:AS28"/>
    <mergeCell ref="AP29:AS29"/>
    <mergeCell ref="Y8:AI8"/>
    <mergeCell ref="G8:K8"/>
    <mergeCell ref="AT23:AW24"/>
    <mergeCell ref="F24:N24"/>
    <mergeCell ref="O24:Y24"/>
    <mergeCell ref="AP24:AS24"/>
    <mergeCell ref="Z24:AO24"/>
    <mergeCell ref="G10:K10"/>
    <mergeCell ref="G12:K12"/>
    <mergeCell ref="G14:K14"/>
    <mergeCell ref="G16:K16"/>
    <mergeCell ref="M8:Q8"/>
    <mergeCell ref="M10:Q10"/>
    <mergeCell ref="M12:Q12"/>
    <mergeCell ref="M14:Q14"/>
    <mergeCell ref="M16:Q16"/>
    <mergeCell ref="S8:W8"/>
    <mergeCell ref="S10:W10"/>
    <mergeCell ref="S12:W12"/>
    <mergeCell ref="S14:W14"/>
    <mergeCell ref="S16:W16"/>
    <mergeCell ref="AK8:AO8"/>
    <mergeCell ref="AK10:AO10"/>
    <mergeCell ref="AK12:AO12"/>
    <mergeCell ref="AK14:AO14"/>
    <mergeCell ref="AK16:AO16"/>
    <mergeCell ref="AR10:AU10"/>
    <mergeCell ref="AR12:AU12"/>
    <mergeCell ref="AR14:AU14"/>
    <mergeCell ref="AR16:AU16"/>
    <mergeCell ref="Y10:AI10"/>
    <mergeCell ref="Y12:AI12"/>
    <mergeCell ref="Y14:AI14"/>
    <mergeCell ref="Y16:AI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ListaAños">
              <controlPr defaultSize="0" autoLine="0" autoPict="0">
                <anchor moveWithCells="1">
                  <from>
                    <xdr:col>46</xdr:col>
                    <xdr:colOff>114300</xdr:colOff>
                    <xdr:row>0</xdr:row>
                    <xdr:rowOff>180975</xdr:rowOff>
                  </from>
                  <to>
                    <xdr:col>50</xdr:col>
                    <xdr:colOff>209550</xdr:colOff>
                    <xdr:row>2</xdr:row>
                    <xdr:rowOff>0</xdr:rowOff>
                  </to>
                </anchor>
              </controlPr>
            </control>
          </mc:Choice>
        </mc:AlternateContent>
        <mc:AlternateContent xmlns:mc="http://schemas.openxmlformats.org/markup-compatibility/2006">
          <mc:Choice Requires="x14">
            <control shapeId="3075" r:id="rId5" name="ListaMeses">
              <controlPr defaultSize="0" autoLine="0" autoPict="0">
                <anchor moveWithCells="1">
                  <from>
                    <xdr:col>43</xdr:col>
                    <xdr:colOff>142875</xdr:colOff>
                    <xdr:row>21</xdr:row>
                    <xdr:rowOff>85725</xdr:rowOff>
                  </from>
                  <to>
                    <xdr:col>49</xdr:col>
                    <xdr:colOff>0</xdr:colOff>
                    <xdr:row>22</xdr:row>
                    <xdr:rowOff>76200</xdr:rowOff>
                  </to>
                </anchor>
              </controlPr>
            </control>
          </mc:Choice>
        </mc:AlternateContent>
        <mc:AlternateContent xmlns:mc="http://schemas.openxmlformats.org/markup-compatibility/2006">
          <mc:Choice Requires="x14">
            <control shapeId="3076" r:id="rId6" name="BarraSeleccion">
              <controlPr defaultSize="0" autoPict="0">
                <anchor moveWithCells="1">
                  <from>
                    <xdr:col>49</xdr:col>
                    <xdr:colOff>9525</xdr:colOff>
                    <xdr:row>22</xdr:row>
                    <xdr:rowOff>133350</xdr:rowOff>
                  </from>
                  <to>
                    <xdr:col>50</xdr:col>
                    <xdr:colOff>257175</xdr:colOff>
                    <xdr:row>29</xdr:row>
                    <xdr:rowOff>0</xdr:rowOff>
                  </to>
                </anchor>
              </controlPr>
            </control>
          </mc:Choice>
        </mc:AlternateContent>
        <mc:AlternateContent xmlns:mc="http://schemas.openxmlformats.org/markup-compatibility/2006">
          <mc:Choice Requires="x14">
            <control shapeId="3077" r:id="rId7" name="Button 5">
              <controlPr defaultSize="0" print="0" autoFill="0" autoPict="0">
                <anchor moveWithCells="1" sizeWithCells="1">
                  <from>
                    <xdr:col>1</xdr:col>
                    <xdr:colOff>104775</xdr:colOff>
                    <xdr:row>29</xdr:row>
                    <xdr:rowOff>85725</xdr:rowOff>
                  </from>
                  <to>
                    <xdr:col>5</xdr:col>
                    <xdr:colOff>152400</xdr:colOff>
                    <xdr:row>31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6"/>
  <sheetViews>
    <sheetView workbookViewId="0">
      <selection activeCell="G13" sqref="G13"/>
    </sheetView>
  </sheetViews>
  <sheetFormatPr baseColWidth="10" defaultRowHeight="15" x14ac:dyDescent="0.25"/>
  <cols>
    <col min="2" max="2" width="20.140625" customWidth="1"/>
  </cols>
  <sheetData>
    <row r="1" spans="1:8" ht="97.5" customHeight="1" x14ac:dyDescent="0.25">
      <c r="A1" s="166" t="s">
        <v>12</v>
      </c>
      <c r="B1" s="166"/>
      <c r="C1" s="167" t="s">
        <v>39</v>
      </c>
      <c r="D1" s="167"/>
      <c r="E1" s="167"/>
      <c r="F1" s="167"/>
      <c r="G1" s="167"/>
      <c r="H1" s="167"/>
    </row>
    <row r="2" spans="1:8" ht="69.75" customHeight="1" x14ac:dyDescent="0.25">
      <c r="A2" s="166" t="s">
        <v>13</v>
      </c>
      <c r="B2" s="166" t="s">
        <v>38</v>
      </c>
      <c r="C2" s="168" t="s">
        <v>37</v>
      </c>
      <c r="D2" s="168"/>
      <c r="E2" s="168"/>
      <c r="F2" s="168"/>
      <c r="G2" s="168"/>
      <c r="H2" s="168"/>
    </row>
    <row r="3" spans="1:8" ht="40.5" customHeight="1" x14ac:dyDescent="0.25">
      <c r="A3" s="166" t="s">
        <v>14</v>
      </c>
      <c r="B3" s="166" t="s">
        <v>36</v>
      </c>
      <c r="C3" s="167" t="s">
        <v>35</v>
      </c>
      <c r="D3" s="167"/>
      <c r="E3" s="167"/>
      <c r="F3" s="167"/>
      <c r="G3" s="167"/>
      <c r="H3" s="167"/>
    </row>
    <row r="4" spans="1:8" ht="30.75" customHeight="1" x14ac:dyDescent="0.25">
      <c r="A4" s="166" t="s">
        <v>15</v>
      </c>
      <c r="B4" s="166"/>
      <c r="C4" s="167" t="s">
        <v>34</v>
      </c>
      <c r="D4" s="167"/>
      <c r="E4" s="167"/>
      <c r="F4" s="167"/>
      <c r="G4" s="167"/>
      <c r="H4" s="167"/>
    </row>
    <row r="5" spans="1:8" ht="15.75" customHeight="1" x14ac:dyDescent="0.25">
      <c r="A5" s="166" t="s">
        <v>16</v>
      </c>
      <c r="B5" s="166" t="s">
        <v>33</v>
      </c>
      <c r="C5" s="167" t="s">
        <v>32</v>
      </c>
      <c r="D5" s="167"/>
      <c r="E5" s="167"/>
      <c r="F5" s="167"/>
      <c r="G5" s="167"/>
      <c r="H5" s="167"/>
    </row>
    <row r="6" spans="1:8" ht="41.25" customHeight="1" x14ac:dyDescent="0.25">
      <c r="A6" s="166" t="s">
        <v>11</v>
      </c>
      <c r="B6" s="166"/>
      <c r="C6" s="167"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67"/>
      <c r="E6" s="167"/>
      <c r="F6" s="167"/>
      <c r="G6" s="167"/>
      <c r="H6" s="167"/>
    </row>
  </sheetData>
  <mergeCells count="12">
    <mergeCell ref="A5:B5"/>
    <mergeCell ref="C5:H5"/>
    <mergeCell ref="A4:B4"/>
    <mergeCell ref="C4:H4"/>
    <mergeCell ref="A6:B6"/>
    <mergeCell ref="C6:H6"/>
    <mergeCell ref="A1:B1"/>
    <mergeCell ref="C1:H1"/>
    <mergeCell ref="A2:B2"/>
    <mergeCell ref="C2:H2"/>
    <mergeCell ref="A3:B3"/>
    <mergeCell ref="C3:H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2:L9"/>
  <sheetViews>
    <sheetView zoomScale="85" zoomScaleNormal="85" workbookViewId="0">
      <selection activeCell="G26" sqref="G26"/>
    </sheetView>
  </sheetViews>
  <sheetFormatPr baseColWidth="10" defaultRowHeight="15" x14ac:dyDescent="0.25"/>
  <cols>
    <col min="1" max="1" width="3.5703125" customWidth="1"/>
    <col min="2" max="2" width="12.7109375" bestFit="1" customWidth="1"/>
    <col min="7" max="7" width="12.5703125" bestFit="1" customWidth="1"/>
    <col min="8" max="8" width="13.42578125" bestFit="1" customWidth="1"/>
    <col min="9" max="9" width="11.28515625" bestFit="1" customWidth="1"/>
    <col min="10" max="10" width="17.140625" bestFit="1" customWidth="1"/>
    <col min="11" max="11" width="14.28515625" bestFit="1" customWidth="1"/>
    <col min="12" max="12" width="20.42578125" bestFit="1" customWidth="1"/>
  </cols>
  <sheetData>
    <row r="2" spans="2:12" x14ac:dyDescent="0.25">
      <c r="B2" t="s">
        <v>387</v>
      </c>
      <c r="C2">
        <f>EVEN(10+COUNT(Tabla!B:B))</f>
        <v>7486</v>
      </c>
      <c r="F2" s="104"/>
      <c r="G2" s="104" t="s">
        <v>11</v>
      </c>
      <c r="H2" s="104" t="s">
        <v>12</v>
      </c>
      <c r="I2" s="104" t="s">
        <v>13</v>
      </c>
      <c r="J2" s="104" t="s">
        <v>14</v>
      </c>
      <c r="K2" s="104" t="s">
        <v>15</v>
      </c>
      <c r="L2" s="104" t="s">
        <v>16</v>
      </c>
    </row>
    <row r="3" spans="2:12" x14ac:dyDescent="0.25">
      <c r="B3" t="s">
        <v>388</v>
      </c>
      <c r="C3">
        <v>1</v>
      </c>
      <c r="F3" s="104" t="s">
        <v>636</v>
      </c>
      <c r="G3" s="106">
        <f>Dashboard!G14</f>
        <v>0.821205220429988</v>
      </c>
      <c r="H3" s="105">
        <f>Dashboard!M14</f>
        <v>0.76792586789001271</v>
      </c>
      <c r="I3" s="105">
        <f>Dashboard!S14</f>
        <v>0.68806675839767006</v>
      </c>
      <c r="J3" s="105">
        <f>Dashboard!AK14</f>
        <v>0.80437607499140007</v>
      </c>
      <c r="K3" s="104"/>
      <c r="L3" s="104"/>
    </row>
    <row r="4" spans="2:12" x14ac:dyDescent="0.25">
      <c r="B4" t="s">
        <v>633</v>
      </c>
      <c r="C4">
        <v>3</v>
      </c>
      <c r="F4" s="104" t="s">
        <v>637</v>
      </c>
      <c r="G4" s="104"/>
      <c r="H4" s="104"/>
      <c r="I4" s="104"/>
      <c r="J4" s="104"/>
      <c r="K4" s="104"/>
      <c r="L4" s="104"/>
    </row>
    <row r="5" spans="2:12" x14ac:dyDescent="0.25">
      <c r="B5" t="s">
        <v>634</v>
      </c>
      <c r="C5">
        <v>13</v>
      </c>
      <c r="F5" s="104" t="s">
        <v>638</v>
      </c>
      <c r="G5" s="104"/>
      <c r="H5" s="104"/>
      <c r="I5" s="104"/>
      <c r="J5" s="104"/>
      <c r="K5" s="104"/>
      <c r="L5" s="104"/>
    </row>
    <row r="6" spans="2:12" x14ac:dyDescent="0.25">
      <c r="B6" t="s">
        <v>645</v>
      </c>
      <c r="C6">
        <f>5+COUNTA(Tabla!O:O)</f>
        <v>8</v>
      </c>
    </row>
    <row r="7" spans="2:12" x14ac:dyDescent="0.25">
      <c r="B7" t="s">
        <v>644</v>
      </c>
      <c r="C7">
        <f>5+COUNTA(Tabla!R:R)</f>
        <v>18</v>
      </c>
    </row>
    <row r="8" spans="2:12" x14ac:dyDescent="0.25">
      <c r="B8" t="s">
        <v>647</v>
      </c>
      <c r="C8">
        <f>COUNTA(Tabla!O:O)</f>
        <v>3</v>
      </c>
    </row>
    <row r="9" spans="2:12" x14ac:dyDescent="0.25">
      <c r="B9" t="s">
        <v>646</v>
      </c>
      <c r="C9">
        <f>COUNTA(Tabla!R:R)</f>
        <v>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2:S7482"/>
  <sheetViews>
    <sheetView tabSelected="1" topLeftCell="D10" zoomScale="85" zoomScaleNormal="85" workbookViewId="0">
      <selection activeCell="Q16" sqref="Q16"/>
    </sheetView>
  </sheetViews>
  <sheetFormatPr baseColWidth="10" defaultRowHeight="15" x14ac:dyDescent="0.25"/>
  <cols>
    <col min="2" max="2" width="11.7109375" customWidth="1"/>
    <col min="3" max="3" width="16.28515625" customWidth="1"/>
    <col min="4" max="4" width="20.5703125" customWidth="1"/>
    <col min="5" max="5" width="22.7109375" customWidth="1"/>
    <col min="6" max="7" width="11.5703125" bestFit="1" customWidth="1"/>
    <col min="10" max="10" width="25.42578125" bestFit="1" customWidth="1"/>
    <col min="11" max="11" width="15.85546875" customWidth="1"/>
    <col min="12" max="12" width="12.85546875" bestFit="1" customWidth="1"/>
    <col min="15" max="15" width="14.42578125" bestFit="1" customWidth="1"/>
    <col min="18" max="18" width="17.7109375" bestFit="1" customWidth="1"/>
  </cols>
  <sheetData>
    <row r="2" spans="2:19" x14ac:dyDescent="0.25">
      <c r="B2" s="69" t="s">
        <v>29</v>
      </c>
      <c r="C2" t="s">
        <v>41</v>
      </c>
    </row>
    <row r="3" spans="2:19" x14ac:dyDescent="0.25">
      <c r="B3" s="69" t="s">
        <v>30</v>
      </c>
      <c r="C3" t="s">
        <v>41</v>
      </c>
      <c r="J3" s="69" t="s">
        <v>29</v>
      </c>
      <c r="K3" t="s">
        <v>41</v>
      </c>
    </row>
    <row r="4" spans="2:19" x14ac:dyDescent="0.25">
      <c r="B4" s="69" t="s">
        <v>40</v>
      </c>
      <c r="C4" t="s">
        <v>41</v>
      </c>
      <c r="J4" s="69" t="s">
        <v>40</v>
      </c>
      <c r="K4" t="s">
        <v>41</v>
      </c>
    </row>
    <row r="6" spans="2:19" x14ac:dyDescent="0.25">
      <c r="B6" s="69" t="s">
        <v>42</v>
      </c>
      <c r="C6" s="69" t="s">
        <v>118</v>
      </c>
      <c r="D6" s="69" t="s">
        <v>119</v>
      </c>
      <c r="E6" s="69" t="s">
        <v>120</v>
      </c>
      <c r="F6" s="69" t="s">
        <v>384</v>
      </c>
      <c r="G6" s="69" t="s">
        <v>385</v>
      </c>
      <c r="J6" s="69" t="s">
        <v>42</v>
      </c>
      <c r="K6" t="s">
        <v>395</v>
      </c>
      <c r="L6" t="s">
        <v>394</v>
      </c>
      <c r="O6" t="s">
        <v>635</v>
      </c>
      <c r="R6" t="s">
        <v>643</v>
      </c>
      <c r="S6" t="s">
        <v>642</v>
      </c>
    </row>
    <row r="7" spans="2:19" x14ac:dyDescent="0.25">
      <c r="B7" s="70">
        <v>43467</v>
      </c>
      <c r="C7" t="s">
        <v>25</v>
      </c>
      <c r="D7" t="s">
        <v>79</v>
      </c>
      <c r="E7" t="s">
        <v>121</v>
      </c>
      <c r="F7" s="71">
        <v>16</v>
      </c>
      <c r="G7" s="71">
        <v>0</v>
      </c>
      <c r="J7" s="100" t="s">
        <v>389</v>
      </c>
      <c r="K7" s="101">
        <v>10818.300000000001</v>
      </c>
      <c r="L7" s="101">
        <v>46615.708099999989</v>
      </c>
      <c r="O7">
        <v>2018</v>
      </c>
      <c r="R7" t="s">
        <v>396</v>
      </c>
      <c r="S7">
        <v>1</v>
      </c>
    </row>
    <row r="8" spans="2:19" x14ac:dyDescent="0.25">
      <c r="B8" s="70">
        <v>43467</v>
      </c>
      <c r="C8" t="s">
        <v>25</v>
      </c>
      <c r="D8" t="s">
        <v>80</v>
      </c>
      <c r="E8" t="s">
        <v>121</v>
      </c>
      <c r="F8" s="71">
        <v>80</v>
      </c>
      <c r="G8" s="71">
        <v>0</v>
      </c>
      <c r="J8" s="100" t="s">
        <v>390</v>
      </c>
      <c r="K8" s="101"/>
      <c r="L8" s="101">
        <v>8814</v>
      </c>
      <c r="O8">
        <v>2019</v>
      </c>
      <c r="R8" t="s">
        <v>397</v>
      </c>
      <c r="S8">
        <v>2</v>
      </c>
    </row>
    <row r="9" spans="2:19" x14ac:dyDescent="0.25">
      <c r="B9" s="70">
        <v>43467</v>
      </c>
      <c r="C9" t="s">
        <v>25</v>
      </c>
      <c r="D9" t="s">
        <v>81</v>
      </c>
      <c r="E9" t="s">
        <v>122</v>
      </c>
      <c r="F9" s="71">
        <v>3.6</v>
      </c>
      <c r="G9" s="71">
        <v>0</v>
      </c>
      <c r="J9" s="100" t="s">
        <v>391</v>
      </c>
      <c r="K9" s="101">
        <v>9098.8600000000024</v>
      </c>
      <c r="L9" s="101">
        <v>46512</v>
      </c>
      <c r="R9" t="s">
        <v>398</v>
      </c>
      <c r="S9">
        <v>3</v>
      </c>
    </row>
    <row r="10" spans="2:19" x14ac:dyDescent="0.25">
      <c r="B10" s="70">
        <v>43467</v>
      </c>
      <c r="C10" t="s">
        <v>25</v>
      </c>
      <c r="D10" t="s">
        <v>82</v>
      </c>
      <c r="E10" t="s">
        <v>121</v>
      </c>
      <c r="F10" s="71">
        <v>242</v>
      </c>
      <c r="G10" s="71">
        <v>0</v>
      </c>
      <c r="J10" s="100" t="s">
        <v>392</v>
      </c>
      <c r="K10" s="101">
        <v>44529.229999999996</v>
      </c>
      <c r="L10" s="101">
        <v>249052.18210000003</v>
      </c>
      <c r="R10" t="s">
        <v>399</v>
      </c>
      <c r="S10">
        <v>4</v>
      </c>
    </row>
    <row r="11" spans="2:19" x14ac:dyDescent="0.25">
      <c r="B11" s="70">
        <v>43467</v>
      </c>
      <c r="C11" t="s">
        <v>43</v>
      </c>
      <c r="D11" t="s">
        <v>82</v>
      </c>
      <c r="E11" t="s">
        <v>121</v>
      </c>
      <c r="F11" s="71">
        <v>190</v>
      </c>
      <c r="G11" s="71">
        <v>0</v>
      </c>
      <c r="J11" s="100" t="s">
        <v>393</v>
      </c>
      <c r="K11" s="101">
        <v>39.639999999999979</v>
      </c>
      <c r="L11" s="101">
        <v>4770</v>
      </c>
      <c r="R11" t="s">
        <v>400</v>
      </c>
      <c r="S11">
        <v>5</v>
      </c>
    </row>
    <row r="12" spans="2:19" x14ac:dyDescent="0.25">
      <c r="B12" s="70">
        <v>43467</v>
      </c>
      <c r="C12" t="s">
        <v>44</v>
      </c>
      <c r="D12" t="s">
        <v>82</v>
      </c>
      <c r="E12" t="s">
        <v>121</v>
      </c>
      <c r="F12" s="71">
        <v>31.5</v>
      </c>
      <c r="G12" s="71">
        <v>0</v>
      </c>
      <c r="J12" s="100" t="s">
        <v>82</v>
      </c>
      <c r="K12" s="101">
        <v>10660.680000000002</v>
      </c>
      <c r="L12" s="101">
        <v>34176.158800000019</v>
      </c>
      <c r="R12" t="s">
        <v>401</v>
      </c>
      <c r="S12">
        <v>6</v>
      </c>
    </row>
    <row r="13" spans="2:19" x14ac:dyDescent="0.25">
      <c r="B13" s="70">
        <v>43467</v>
      </c>
      <c r="C13" t="s">
        <v>21</v>
      </c>
      <c r="D13" t="s">
        <v>79</v>
      </c>
      <c r="E13" t="s">
        <v>121</v>
      </c>
      <c r="F13" s="71">
        <v>8</v>
      </c>
      <c r="G13" s="71">
        <v>0</v>
      </c>
      <c r="R13" t="s">
        <v>402</v>
      </c>
      <c r="S13">
        <v>7</v>
      </c>
    </row>
    <row r="14" spans="2:19" x14ac:dyDescent="0.25">
      <c r="B14" s="70">
        <v>43467</v>
      </c>
      <c r="C14" t="s">
        <v>21</v>
      </c>
      <c r="D14" t="s">
        <v>79</v>
      </c>
      <c r="E14" t="s">
        <v>121</v>
      </c>
      <c r="F14" s="71">
        <v>16</v>
      </c>
      <c r="G14" s="71">
        <v>0</v>
      </c>
      <c r="R14" t="s">
        <v>403</v>
      </c>
      <c r="S14">
        <v>8</v>
      </c>
    </row>
    <row r="15" spans="2:19" x14ac:dyDescent="0.25">
      <c r="B15" s="70">
        <v>43467</v>
      </c>
      <c r="C15" t="s">
        <v>21</v>
      </c>
      <c r="D15" t="s">
        <v>79</v>
      </c>
      <c r="E15" t="s">
        <v>121</v>
      </c>
      <c r="F15" s="71">
        <v>24</v>
      </c>
      <c r="G15" s="71">
        <v>0</v>
      </c>
      <c r="R15" t="s">
        <v>404</v>
      </c>
      <c r="S15">
        <v>9</v>
      </c>
    </row>
    <row r="16" spans="2:19" x14ac:dyDescent="0.25">
      <c r="B16" s="70">
        <v>43467</v>
      </c>
      <c r="C16" t="s">
        <v>21</v>
      </c>
      <c r="D16" t="s">
        <v>79</v>
      </c>
      <c r="E16" t="s">
        <v>121</v>
      </c>
      <c r="F16" s="71">
        <v>32</v>
      </c>
      <c r="G16" s="71">
        <v>0</v>
      </c>
      <c r="R16" t="s">
        <v>405</v>
      </c>
      <c r="S16">
        <v>10</v>
      </c>
    </row>
    <row r="17" spans="2:19" x14ac:dyDescent="0.25">
      <c r="B17" s="70">
        <v>43467</v>
      </c>
      <c r="C17" t="s">
        <v>21</v>
      </c>
      <c r="D17" t="s">
        <v>79</v>
      </c>
      <c r="E17" t="s">
        <v>121</v>
      </c>
      <c r="F17" s="71">
        <v>88</v>
      </c>
      <c r="G17" s="71">
        <v>0</v>
      </c>
      <c r="R17" t="s">
        <v>406</v>
      </c>
      <c r="S17">
        <v>11</v>
      </c>
    </row>
    <row r="18" spans="2:19" x14ac:dyDescent="0.25">
      <c r="B18" s="70">
        <v>43467</v>
      </c>
      <c r="C18" t="s">
        <v>21</v>
      </c>
      <c r="D18" t="s">
        <v>82</v>
      </c>
      <c r="E18" t="s">
        <v>121</v>
      </c>
      <c r="F18" s="71">
        <v>77</v>
      </c>
      <c r="G18" s="71">
        <v>0</v>
      </c>
      <c r="R18" t="s">
        <v>407</v>
      </c>
      <c r="S18">
        <v>12</v>
      </c>
    </row>
    <row r="19" spans="2:19" x14ac:dyDescent="0.25">
      <c r="B19" s="70">
        <v>43467</v>
      </c>
      <c r="C19" t="s">
        <v>21</v>
      </c>
      <c r="D19" t="s">
        <v>82</v>
      </c>
      <c r="E19" t="s">
        <v>121</v>
      </c>
      <c r="F19" s="71">
        <v>242</v>
      </c>
      <c r="G19" s="71">
        <v>0</v>
      </c>
    </row>
    <row r="20" spans="2:19" x14ac:dyDescent="0.25">
      <c r="B20" s="70">
        <v>43467</v>
      </c>
      <c r="C20" t="s">
        <v>45</v>
      </c>
      <c r="D20" t="s">
        <v>79</v>
      </c>
      <c r="E20" t="s">
        <v>121</v>
      </c>
      <c r="F20" s="71">
        <v>28.5</v>
      </c>
      <c r="G20" s="71">
        <v>0</v>
      </c>
    </row>
    <row r="21" spans="2:19" x14ac:dyDescent="0.25">
      <c r="B21" s="70">
        <v>43467</v>
      </c>
      <c r="C21" t="s">
        <v>24</v>
      </c>
      <c r="D21" t="s">
        <v>79</v>
      </c>
      <c r="E21" t="s">
        <v>121</v>
      </c>
      <c r="F21" s="71">
        <v>8</v>
      </c>
      <c r="G21" s="71">
        <v>0</v>
      </c>
    </row>
    <row r="22" spans="2:19" x14ac:dyDescent="0.25">
      <c r="B22" s="70">
        <v>43467</v>
      </c>
      <c r="C22" t="s">
        <v>24</v>
      </c>
      <c r="D22" t="s">
        <v>82</v>
      </c>
      <c r="E22" t="s">
        <v>121</v>
      </c>
      <c r="F22" s="71">
        <v>126.5</v>
      </c>
      <c r="G22" s="71">
        <v>0</v>
      </c>
    </row>
    <row r="23" spans="2:19" x14ac:dyDescent="0.25">
      <c r="B23" s="70">
        <v>43468</v>
      </c>
      <c r="C23" t="s">
        <v>25</v>
      </c>
      <c r="D23" t="s">
        <v>79</v>
      </c>
      <c r="E23" t="s">
        <v>123</v>
      </c>
      <c r="F23" s="71">
        <v>8</v>
      </c>
      <c r="G23" s="71">
        <v>0</v>
      </c>
    </row>
    <row r="24" spans="2:19" x14ac:dyDescent="0.25">
      <c r="B24" s="70">
        <v>43468</v>
      </c>
      <c r="C24" t="s">
        <v>25</v>
      </c>
      <c r="D24" t="s">
        <v>83</v>
      </c>
      <c r="E24" t="s">
        <v>123</v>
      </c>
      <c r="F24" s="71">
        <v>17.11</v>
      </c>
      <c r="G24" s="71">
        <v>0</v>
      </c>
    </row>
    <row r="25" spans="2:19" x14ac:dyDescent="0.25">
      <c r="B25" s="70">
        <v>43468</v>
      </c>
      <c r="C25" t="s">
        <v>25</v>
      </c>
      <c r="D25" t="s">
        <v>83</v>
      </c>
      <c r="E25" t="s">
        <v>123</v>
      </c>
      <c r="F25" s="71">
        <v>45</v>
      </c>
      <c r="G25" s="71">
        <v>0</v>
      </c>
    </row>
    <row r="26" spans="2:19" x14ac:dyDescent="0.25">
      <c r="B26" s="70">
        <v>43468</v>
      </c>
      <c r="C26" t="s">
        <v>25</v>
      </c>
      <c r="D26" t="s">
        <v>83</v>
      </c>
      <c r="E26" t="s">
        <v>123</v>
      </c>
      <c r="F26" s="71">
        <v>52.99</v>
      </c>
      <c r="G26" s="71">
        <v>0</v>
      </c>
    </row>
    <row r="27" spans="2:19" x14ac:dyDescent="0.25">
      <c r="B27" s="70">
        <v>43468</v>
      </c>
      <c r="C27" t="s">
        <v>25</v>
      </c>
      <c r="D27" t="s">
        <v>80</v>
      </c>
      <c r="E27" t="s">
        <v>123</v>
      </c>
      <c r="F27" s="71">
        <v>45.02</v>
      </c>
      <c r="G27" s="71">
        <v>0</v>
      </c>
    </row>
    <row r="28" spans="2:19" x14ac:dyDescent="0.25">
      <c r="B28" s="70">
        <v>43468</v>
      </c>
      <c r="C28" t="s">
        <v>25</v>
      </c>
      <c r="D28" t="s">
        <v>80</v>
      </c>
      <c r="E28" t="s">
        <v>123</v>
      </c>
      <c r="F28" s="71">
        <v>115.45</v>
      </c>
      <c r="G28" s="71">
        <v>0</v>
      </c>
    </row>
    <row r="29" spans="2:19" x14ac:dyDescent="0.25">
      <c r="B29" s="70">
        <v>43468</v>
      </c>
      <c r="C29" t="s">
        <v>25</v>
      </c>
      <c r="D29" t="s">
        <v>81</v>
      </c>
      <c r="E29" t="s">
        <v>124</v>
      </c>
      <c r="F29" s="71">
        <v>14</v>
      </c>
      <c r="G29" s="71">
        <v>0</v>
      </c>
    </row>
    <row r="30" spans="2:19" x14ac:dyDescent="0.25">
      <c r="B30" s="70">
        <v>43468</v>
      </c>
      <c r="C30" t="s">
        <v>25</v>
      </c>
      <c r="D30" t="s">
        <v>81</v>
      </c>
      <c r="E30" t="s">
        <v>125</v>
      </c>
      <c r="F30" s="71">
        <v>15</v>
      </c>
      <c r="G30" s="71">
        <v>0</v>
      </c>
    </row>
    <row r="31" spans="2:19" x14ac:dyDescent="0.25">
      <c r="B31" s="70">
        <v>43468</v>
      </c>
      <c r="C31" t="s">
        <v>46</v>
      </c>
      <c r="D31" t="s">
        <v>82</v>
      </c>
      <c r="E31" t="s">
        <v>123</v>
      </c>
      <c r="F31" s="71">
        <v>10</v>
      </c>
      <c r="G31" s="71">
        <v>0</v>
      </c>
    </row>
    <row r="32" spans="2:19" x14ac:dyDescent="0.25">
      <c r="B32" s="70">
        <v>43468</v>
      </c>
      <c r="C32" t="s">
        <v>47</v>
      </c>
      <c r="D32" t="s">
        <v>80</v>
      </c>
      <c r="E32" t="s">
        <v>123</v>
      </c>
      <c r="F32" s="71">
        <v>113.39</v>
      </c>
      <c r="G32" s="71">
        <v>0</v>
      </c>
    </row>
    <row r="33" spans="2:7" x14ac:dyDescent="0.25">
      <c r="B33" s="70">
        <v>43468</v>
      </c>
      <c r="C33" t="s">
        <v>21</v>
      </c>
      <c r="D33" t="s">
        <v>79</v>
      </c>
      <c r="E33" t="s">
        <v>123</v>
      </c>
      <c r="F33" s="71">
        <v>8</v>
      </c>
      <c r="G33" s="71">
        <v>0</v>
      </c>
    </row>
    <row r="34" spans="2:7" x14ac:dyDescent="0.25">
      <c r="B34" s="70">
        <v>43468</v>
      </c>
      <c r="C34" t="s">
        <v>21</v>
      </c>
      <c r="D34" t="s">
        <v>79</v>
      </c>
      <c r="E34" t="s">
        <v>123</v>
      </c>
      <c r="F34" s="71">
        <v>24</v>
      </c>
      <c r="G34" s="71">
        <v>0</v>
      </c>
    </row>
    <row r="35" spans="2:7" x14ac:dyDescent="0.25">
      <c r="B35" s="70">
        <v>43468</v>
      </c>
      <c r="C35" t="s">
        <v>21</v>
      </c>
      <c r="D35" t="s">
        <v>79</v>
      </c>
      <c r="E35" t="s">
        <v>123</v>
      </c>
      <c r="F35" s="71">
        <v>56</v>
      </c>
      <c r="G35" s="71">
        <v>0</v>
      </c>
    </row>
    <row r="36" spans="2:7" x14ac:dyDescent="0.25">
      <c r="B36" s="70">
        <v>43468</v>
      </c>
      <c r="C36" t="s">
        <v>21</v>
      </c>
      <c r="D36" t="s">
        <v>82</v>
      </c>
      <c r="E36" t="s">
        <v>123</v>
      </c>
      <c r="F36" s="71">
        <v>139.19999999999999</v>
      </c>
      <c r="G36" s="71">
        <v>0</v>
      </c>
    </row>
    <row r="37" spans="2:7" x14ac:dyDescent="0.25">
      <c r="B37" s="70">
        <v>43468</v>
      </c>
      <c r="C37" t="s">
        <v>48</v>
      </c>
      <c r="D37" t="s">
        <v>83</v>
      </c>
      <c r="E37" t="s">
        <v>123</v>
      </c>
      <c r="F37" s="71">
        <v>30</v>
      </c>
      <c r="G37" s="71">
        <v>0</v>
      </c>
    </row>
    <row r="38" spans="2:7" x14ac:dyDescent="0.25">
      <c r="B38" s="70">
        <v>43468</v>
      </c>
      <c r="C38" t="s">
        <v>48</v>
      </c>
      <c r="D38" t="s">
        <v>84</v>
      </c>
      <c r="E38" t="s">
        <v>123</v>
      </c>
      <c r="F38" s="71">
        <v>150</v>
      </c>
      <c r="G38" s="71">
        <v>0</v>
      </c>
    </row>
    <row r="39" spans="2:7" x14ac:dyDescent="0.25">
      <c r="B39" s="70">
        <v>43468</v>
      </c>
      <c r="C39" t="s">
        <v>49</v>
      </c>
      <c r="D39" t="s">
        <v>82</v>
      </c>
      <c r="E39" t="s">
        <v>123</v>
      </c>
      <c r="F39" s="71">
        <v>24</v>
      </c>
      <c r="G39" s="71">
        <v>0</v>
      </c>
    </row>
    <row r="40" spans="2:7" x14ac:dyDescent="0.25">
      <c r="B40" s="70">
        <v>43468</v>
      </c>
      <c r="C40" t="s">
        <v>49</v>
      </c>
      <c r="D40" t="s">
        <v>84</v>
      </c>
      <c r="E40" t="s">
        <v>123</v>
      </c>
      <c r="F40" s="71">
        <v>150</v>
      </c>
      <c r="G40" s="71">
        <v>0</v>
      </c>
    </row>
    <row r="41" spans="2:7" x14ac:dyDescent="0.25">
      <c r="B41" s="70">
        <v>43468</v>
      </c>
      <c r="C41" t="s">
        <v>50</v>
      </c>
      <c r="D41" t="s">
        <v>84</v>
      </c>
      <c r="E41" t="s">
        <v>123</v>
      </c>
      <c r="F41" s="71">
        <v>2100</v>
      </c>
      <c r="G41" s="71">
        <v>0</v>
      </c>
    </row>
    <row r="42" spans="2:7" x14ac:dyDescent="0.25">
      <c r="B42" s="70">
        <v>43468</v>
      </c>
      <c r="C42" t="s">
        <v>24</v>
      </c>
      <c r="D42" t="s">
        <v>79</v>
      </c>
      <c r="E42" t="s">
        <v>123</v>
      </c>
      <c r="F42" s="71">
        <v>8</v>
      </c>
      <c r="G42" s="71">
        <v>0</v>
      </c>
    </row>
    <row r="43" spans="2:7" x14ac:dyDescent="0.25">
      <c r="B43" s="70">
        <v>43469</v>
      </c>
      <c r="C43" t="s">
        <v>25</v>
      </c>
      <c r="D43" t="s">
        <v>85</v>
      </c>
      <c r="E43" t="s">
        <v>126</v>
      </c>
      <c r="F43" s="71">
        <v>15.95</v>
      </c>
      <c r="G43" s="71">
        <v>0</v>
      </c>
    </row>
    <row r="44" spans="2:7" x14ac:dyDescent="0.25">
      <c r="B44" s="70">
        <v>43469</v>
      </c>
      <c r="C44" t="s">
        <v>25</v>
      </c>
      <c r="D44" t="s">
        <v>83</v>
      </c>
      <c r="E44" t="s">
        <v>126</v>
      </c>
      <c r="F44" s="71">
        <v>18.600000000000001</v>
      </c>
      <c r="G44" s="71">
        <v>0</v>
      </c>
    </row>
    <row r="45" spans="2:7" x14ac:dyDescent="0.25">
      <c r="B45" s="70">
        <v>43469</v>
      </c>
      <c r="C45" t="s">
        <v>25</v>
      </c>
      <c r="D45" t="s">
        <v>81</v>
      </c>
      <c r="E45" t="s">
        <v>127</v>
      </c>
      <c r="F45" s="71">
        <v>1.1000000000000001</v>
      </c>
      <c r="G45" s="71">
        <v>0</v>
      </c>
    </row>
    <row r="46" spans="2:7" x14ac:dyDescent="0.25">
      <c r="B46" s="70">
        <v>43469</v>
      </c>
      <c r="C46" t="s">
        <v>25</v>
      </c>
      <c r="D46" t="s">
        <v>81</v>
      </c>
      <c r="E46" t="s">
        <v>128</v>
      </c>
      <c r="F46" s="71">
        <v>2.4</v>
      </c>
      <c r="G46" s="71">
        <v>0</v>
      </c>
    </row>
    <row r="47" spans="2:7" x14ac:dyDescent="0.25">
      <c r="B47" s="70">
        <v>43469</v>
      </c>
      <c r="C47" t="s">
        <v>46</v>
      </c>
      <c r="D47" t="s">
        <v>84</v>
      </c>
      <c r="E47" t="s">
        <v>126</v>
      </c>
      <c r="F47" s="71">
        <v>4.5999999999999996</v>
      </c>
      <c r="G47" s="71">
        <v>0</v>
      </c>
    </row>
    <row r="48" spans="2:7" x14ac:dyDescent="0.25">
      <c r="B48" s="70">
        <v>43469</v>
      </c>
      <c r="C48" t="s">
        <v>51</v>
      </c>
      <c r="D48" t="s">
        <v>82</v>
      </c>
      <c r="E48" t="s">
        <v>126</v>
      </c>
      <c r="F48" s="71">
        <v>82.6</v>
      </c>
      <c r="G48" s="71">
        <v>0</v>
      </c>
    </row>
    <row r="49" spans="2:7" x14ac:dyDescent="0.25">
      <c r="B49" s="70">
        <v>43469</v>
      </c>
      <c r="C49" t="s">
        <v>21</v>
      </c>
      <c r="D49" t="s">
        <v>79</v>
      </c>
      <c r="E49" t="s">
        <v>126</v>
      </c>
      <c r="F49" s="71">
        <v>8</v>
      </c>
      <c r="G49" s="71">
        <v>0</v>
      </c>
    </row>
    <row r="50" spans="2:7" x14ac:dyDescent="0.25">
      <c r="B50" s="70">
        <v>43469</v>
      </c>
      <c r="C50" t="s">
        <v>21</v>
      </c>
      <c r="D50" t="s">
        <v>79</v>
      </c>
      <c r="E50" t="s">
        <v>126</v>
      </c>
      <c r="F50" s="71">
        <v>16</v>
      </c>
      <c r="G50" s="71">
        <v>0</v>
      </c>
    </row>
    <row r="51" spans="2:7" x14ac:dyDescent="0.25">
      <c r="B51" s="70">
        <v>43469</v>
      </c>
      <c r="C51" t="s">
        <v>21</v>
      </c>
      <c r="D51" t="s">
        <v>79</v>
      </c>
      <c r="E51" t="s">
        <v>126</v>
      </c>
      <c r="F51" s="71">
        <v>24</v>
      </c>
      <c r="G51" s="71">
        <v>0</v>
      </c>
    </row>
    <row r="52" spans="2:7" x14ac:dyDescent="0.25">
      <c r="B52" s="70">
        <v>43469</v>
      </c>
      <c r="C52" t="s">
        <v>21</v>
      </c>
      <c r="D52" t="s">
        <v>79</v>
      </c>
      <c r="E52" t="s">
        <v>126</v>
      </c>
      <c r="F52" s="71">
        <v>32</v>
      </c>
      <c r="G52" s="71">
        <v>0</v>
      </c>
    </row>
    <row r="53" spans="2:7" x14ac:dyDescent="0.25">
      <c r="B53" s="70">
        <v>43469</v>
      </c>
      <c r="C53" t="s">
        <v>21</v>
      </c>
      <c r="D53" t="s">
        <v>79</v>
      </c>
      <c r="E53" t="s">
        <v>126</v>
      </c>
      <c r="F53" s="71">
        <v>64</v>
      </c>
      <c r="G53" s="71">
        <v>0</v>
      </c>
    </row>
    <row r="54" spans="2:7" x14ac:dyDescent="0.25">
      <c r="B54" s="70">
        <v>43469</v>
      </c>
      <c r="C54" t="s">
        <v>49</v>
      </c>
      <c r="D54" t="s">
        <v>82</v>
      </c>
      <c r="E54" t="s">
        <v>126</v>
      </c>
      <c r="F54" s="71">
        <v>24</v>
      </c>
      <c r="G54" s="71">
        <v>0</v>
      </c>
    </row>
    <row r="55" spans="2:7" x14ac:dyDescent="0.25">
      <c r="B55" s="70">
        <v>43469</v>
      </c>
      <c r="C55" t="s">
        <v>50</v>
      </c>
      <c r="D55" t="s">
        <v>85</v>
      </c>
      <c r="E55" t="s">
        <v>126</v>
      </c>
      <c r="F55" s="71">
        <v>8.8000000000000007</v>
      </c>
      <c r="G55" s="71">
        <v>0</v>
      </c>
    </row>
    <row r="56" spans="2:7" x14ac:dyDescent="0.25">
      <c r="B56" s="70">
        <v>43469</v>
      </c>
      <c r="C56" t="s">
        <v>52</v>
      </c>
      <c r="D56" t="s">
        <v>82</v>
      </c>
      <c r="E56" t="s">
        <v>126</v>
      </c>
      <c r="F56" s="71">
        <v>24</v>
      </c>
      <c r="G56" s="71">
        <v>0</v>
      </c>
    </row>
    <row r="57" spans="2:7" x14ac:dyDescent="0.25">
      <c r="B57" s="70">
        <v>43469</v>
      </c>
      <c r="C57" t="s">
        <v>53</v>
      </c>
      <c r="D57" t="s">
        <v>85</v>
      </c>
      <c r="E57" t="s">
        <v>126</v>
      </c>
      <c r="F57" s="71">
        <v>297.89</v>
      </c>
      <c r="G57" s="71">
        <v>0</v>
      </c>
    </row>
    <row r="58" spans="2:7" x14ac:dyDescent="0.25">
      <c r="B58" s="70">
        <v>43469</v>
      </c>
      <c r="C58" t="s">
        <v>24</v>
      </c>
      <c r="D58" t="s">
        <v>79</v>
      </c>
      <c r="E58" t="s">
        <v>126</v>
      </c>
      <c r="F58" s="71">
        <v>8</v>
      </c>
      <c r="G58" s="71">
        <v>0</v>
      </c>
    </row>
    <row r="59" spans="2:7" x14ac:dyDescent="0.25">
      <c r="B59" s="70">
        <v>43470</v>
      </c>
      <c r="C59" t="s">
        <v>25</v>
      </c>
      <c r="D59" t="s">
        <v>85</v>
      </c>
      <c r="E59" t="s">
        <v>129</v>
      </c>
      <c r="F59" s="71">
        <v>58.85</v>
      </c>
      <c r="G59" s="71">
        <v>0</v>
      </c>
    </row>
    <row r="60" spans="2:7" x14ac:dyDescent="0.25">
      <c r="B60" s="70">
        <v>43470</v>
      </c>
      <c r="C60" t="s">
        <v>25</v>
      </c>
      <c r="D60" t="s">
        <v>81</v>
      </c>
      <c r="E60" t="s">
        <v>124</v>
      </c>
      <c r="F60" s="71">
        <v>70</v>
      </c>
      <c r="G60" s="71">
        <v>0</v>
      </c>
    </row>
    <row r="61" spans="2:7" x14ac:dyDescent="0.25">
      <c r="B61" s="70">
        <v>43470</v>
      </c>
      <c r="C61" t="s">
        <v>21</v>
      </c>
      <c r="D61" t="s">
        <v>79</v>
      </c>
      <c r="E61" t="s">
        <v>129</v>
      </c>
      <c r="F61" s="71">
        <v>8</v>
      </c>
      <c r="G61" s="71">
        <v>0</v>
      </c>
    </row>
    <row r="62" spans="2:7" x14ac:dyDescent="0.25">
      <c r="B62" s="70">
        <v>43470</v>
      </c>
      <c r="C62" t="s">
        <v>21</v>
      </c>
      <c r="D62" t="s">
        <v>79</v>
      </c>
      <c r="E62" t="s">
        <v>129</v>
      </c>
      <c r="F62" s="71">
        <v>32</v>
      </c>
      <c r="G62" s="71">
        <v>0</v>
      </c>
    </row>
    <row r="63" spans="2:7" x14ac:dyDescent="0.25">
      <c r="B63" s="70">
        <v>43470</v>
      </c>
      <c r="C63" t="s">
        <v>21</v>
      </c>
      <c r="D63" t="s">
        <v>79</v>
      </c>
      <c r="E63" t="s">
        <v>129</v>
      </c>
      <c r="F63" s="71">
        <v>72</v>
      </c>
      <c r="G63" s="71">
        <v>0</v>
      </c>
    </row>
    <row r="64" spans="2:7" x14ac:dyDescent="0.25">
      <c r="B64" s="70">
        <v>43470</v>
      </c>
      <c r="C64" t="s">
        <v>24</v>
      </c>
      <c r="D64" t="s">
        <v>79</v>
      </c>
      <c r="E64" t="s">
        <v>129</v>
      </c>
      <c r="F64" s="71">
        <v>8</v>
      </c>
      <c r="G64" s="71">
        <v>0</v>
      </c>
    </row>
    <row r="65" spans="2:7" x14ac:dyDescent="0.25">
      <c r="B65" s="70">
        <v>43472</v>
      </c>
      <c r="C65" t="s">
        <v>25</v>
      </c>
      <c r="D65" t="s">
        <v>83</v>
      </c>
      <c r="E65" t="s">
        <v>130</v>
      </c>
      <c r="F65" s="71">
        <v>117.49</v>
      </c>
      <c r="G65" s="71">
        <v>0</v>
      </c>
    </row>
    <row r="66" spans="2:7" x14ac:dyDescent="0.25">
      <c r="B66" s="70">
        <v>43472</v>
      </c>
      <c r="C66" t="s">
        <v>25</v>
      </c>
      <c r="D66" t="s">
        <v>80</v>
      </c>
      <c r="E66" t="s">
        <v>130</v>
      </c>
      <c r="F66" s="71">
        <v>64.95</v>
      </c>
      <c r="G66" s="71">
        <v>0</v>
      </c>
    </row>
    <row r="67" spans="2:7" x14ac:dyDescent="0.25">
      <c r="B67" s="70">
        <v>43472</v>
      </c>
      <c r="C67" t="s">
        <v>25</v>
      </c>
      <c r="D67" t="s">
        <v>81</v>
      </c>
      <c r="E67" t="s">
        <v>131</v>
      </c>
      <c r="F67" s="71">
        <v>9.65</v>
      </c>
      <c r="G67" s="71">
        <v>0</v>
      </c>
    </row>
    <row r="68" spans="2:7" x14ac:dyDescent="0.25">
      <c r="B68" s="70">
        <v>43472</v>
      </c>
      <c r="C68" t="s">
        <v>25</v>
      </c>
      <c r="D68" t="s">
        <v>81</v>
      </c>
      <c r="E68" t="s">
        <v>132</v>
      </c>
      <c r="F68" s="71">
        <v>1.8</v>
      </c>
      <c r="G68" s="71">
        <v>0</v>
      </c>
    </row>
    <row r="69" spans="2:7" x14ac:dyDescent="0.25">
      <c r="B69" s="70">
        <v>43472</v>
      </c>
      <c r="C69" t="s">
        <v>25</v>
      </c>
      <c r="D69" t="s">
        <v>81</v>
      </c>
      <c r="E69" t="s">
        <v>127</v>
      </c>
      <c r="F69" s="71">
        <v>2.4</v>
      </c>
      <c r="G69" s="71">
        <v>0</v>
      </c>
    </row>
    <row r="70" spans="2:7" x14ac:dyDescent="0.25">
      <c r="B70" s="70">
        <v>43472</v>
      </c>
      <c r="C70" t="s">
        <v>25</v>
      </c>
      <c r="D70" t="s">
        <v>81</v>
      </c>
      <c r="E70" t="s">
        <v>133</v>
      </c>
      <c r="F70" s="71">
        <v>6.6</v>
      </c>
      <c r="G70" s="71">
        <v>0</v>
      </c>
    </row>
    <row r="71" spans="2:7" x14ac:dyDescent="0.25">
      <c r="B71" s="70">
        <v>43472</v>
      </c>
      <c r="C71" t="s">
        <v>51</v>
      </c>
      <c r="D71" t="s">
        <v>82</v>
      </c>
      <c r="E71" t="s">
        <v>130</v>
      </c>
      <c r="F71" s="71">
        <v>87</v>
      </c>
      <c r="G71" s="71">
        <v>0</v>
      </c>
    </row>
    <row r="72" spans="2:7" x14ac:dyDescent="0.25">
      <c r="B72" s="70">
        <v>43472</v>
      </c>
      <c r="C72" t="s">
        <v>21</v>
      </c>
      <c r="D72" t="s">
        <v>79</v>
      </c>
      <c r="E72" t="s">
        <v>130</v>
      </c>
      <c r="F72" s="71">
        <v>16</v>
      </c>
      <c r="G72" s="71">
        <v>0</v>
      </c>
    </row>
    <row r="73" spans="2:7" x14ac:dyDescent="0.25">
      <c r="B73" s="70">
        <v>43472</v>
      </c>
      <c r="C73" t="s">
        <v>21</v>
      </c>
      <c r="D73" t="s">
        <v>79</v>
      </c>
      <c r="E73" t="s">
        <v>130</v>
      </c>
      <c r="F73" s="71">
        <v>40</v>
      </c>
      <c r="G73" s="71">
        <v>0</v>
      </c>
    </row>
    <row r="74" spans="2:7" x14ac:dyDescent="0.25">
      <c r="B74" s="70">
        <v>43472</v>
      </c>
      <c r="C74" t="s">
        <v>53</v>
      </c>
      <c r="D74" t="s">
        <v>82</v>
      </c>
      <c r="E74" t="s">
        <v>130</v>
      </c>
      <c r="F74" s="71">
        <v>407</v>
      </c>
      <c r="G74" s="71">
        <v>0</v>
      </c>
    </row>
    <row r="75" spans="2:7" x14ac:dyDescent="0.25">
      <c r="B75" s="70">
        <v>43473</v>
      </c>
      <c r="C75" t="s">
        <v>25</v>
      </c>
      <c r="D75" t="s">
        <v>86</v>
      </c>
      <c r="E75" t="s">
        <v>134</v>
      </c>
      <c r="F75" s="71">
        <v>0</v>
      </c>
      <c r="G75" s="71">
        <v>220</v>
      </c>
    </row>
    <row r="76" spans="2:7" x14ac:dyDescent="0.25">
      <c r="B76" s="70">
        <v>43473</v>
      </c>
      <c r="C76" t="s">
        <v>25</v>
      </c>
      <c r="D76" t="s">
        <v>81</v>
      </c>
      <c r="E76" t="s">
        <v>135</v>
      </c>
      <c r="F76" s="71">
        <v>2.4</v>
      </c>
      <c r="G76" s="71">
        <v>0</v>
      </c>
    </row>
    <row r="77" spans="2:7" x14ac:dyDescent="0.25">
      <c r="B77" s="70">
        <v>43473</v>
      </c>
      <c r="C77" t="s">
        <v>25</v>
      </c>
      <c r="D77" t="s">
        <v>81</v>
      </c>
      <c r="E77" t="s">
        <v>132</v>
      </c>
      <c r="F77" s="71">
        <v>1.8</v>
      </c>
      <c r="G77" s="71">
        <v>0</v>
      </c>
    </row>
    <row r="78" spans="2:7" x14ac:dyDescent="0.25">
      <c r="B78" s="70">
        <v>43473</v>
      </c>
      <c r="C78" t="s">
        <v>46</v>
      </c>
      <c r="D78" t="s">
        <v>79</v>
      </c>
      <c r="E78" t="s">
        <v>134</v>
      </c>
      <c r="F78" s="71">
        <v>77.97</v>
      </c>
      <c r="G78" s="71">
        <v>0</v>
      </c>
    </row>
    <row r="79" spans="2:7" x14ac:dyDescent="0.25">
      <c r="B79" s="70">
        <v>43473</v>
      </c>
      <c r="C79" t="s">
        <v>46</v>
      </c>
      <c r="D79" t="s">
        <v>85</v>
      </c>
      <c r="E79" t="s">
        <v>134</v>
      </c>
      <c r="F79" s="71">
        <v>25.95</v>
      </c>
      <c r="G79" s="71">
        <v>0</v>
      </c>
    </row>
    <row r="80" spans="2:7" x14ac:dyDescent="0.25">
      <c r="B80" s="70">
        <v>43473</v>
      </c>
      <c r="C80" t="s">
        <v>43</v>
      </c>
      <c r="D80" t="s">
        <v>82</v>
      </c>
      <c r="E80" t="s">
        <v>134</v>
      </c>
      <c r="F80" s="71">
        <v>220</v>
      </c>
      <c r="G80" s="71">
        <v>0</v>
      </c>
    </row>
    <row r="81" spans="2:7" x14ac:dyDescent="0.25">
      <c r="B81" s="70">
        <v>43473</v>
      </c>
      <c r="C81" t="s">
        <v>21</v>
      </c>
      <c r="D81" t="s">
        <v>79</v>
      </c>
      <c r="E81" t="s">
        <v>134</v>
      </c>
      <c r="F81" s="71">
        <v>8</v>
      </c>
      <c r="G81" s="71">
        <v>0</v>
      </c>
    </row>
    <row r="82" spans="2:7" x14ac:dyDescent="0.25">
      <c r="B82" s="70">
        <v>43473</v>
      </c>
      <c r="C82" t="s">
        <v>21</v>
      </c>
      <c r="D82" t="s">
        <v>79</v>
      </c>
      <c r="E82" t="s">
        <v>134</v>
      </c>
      <c r="F82" s="71">
        <v>16</v>
      </c>
      <c r="G82" s="71">
        <v>0</v>
      </c>
    </row>
    <row r="83" spans="2:7" x14ac:dyDescent="0.25">
      <c r="B83" s="70">
        <v>43473</v>
      </c>
      <c r="C83" t="s">
        <v>21</v>
      </c>
      <c r="D83" t="s">
        <v>79</v>
      </c>
      <c r="E83" t="s">
        <v>134</v>
      </c>
      <c r="F83" s="71">
        <v>56</v>
      </c>
      <c r="G83" s="71">
        <v>0</v>
      </c>
    </row>
    <row r="84" spans="2:7" x14ac:dyDescent="0.25">
      <c r="B84" s="70">
        <v>43473</v>
      </c>
      <c r="C84" t="s">
        <v>45</v>
      </c>
      <c r="D84" t="s">
        <v>82</v>
      </c>
      <c r="E84" t="s">
        <v>134</v>
      </c>
      <c r="F84" s="71">
        <v>246.2</v>
      </c>
      <c r="G84" s="71">
        <v>0</v>
      </c>
    </row>
    <row r="85" spans="2:7" x14ac:dyDescent="0.25">
      <c r="B85" s="70">
        <v>43475</v>
      </c>
      <c r="C85" t="s">
        <v>25</v>
      </c>
      <c r="D85" t="s">
        <v>80</v>
      </c>
      <c r="E85" t="s">
        <v>136</v>
      </c>
      <c r="F85" s="71">
        <v>10.199999999999999</v>
      </c>
      <c r="G85" s="71">
        <v>0</v>
      </c>
    </row>
    <row r="86" spans="2:7" x14ac:dyDescent="0.25">
      <c r="B86" s="70">
        <v>43475</v>
      </c>
      <c r="C86" t="s">
        <v>25</v>
      </c>
      <c r="D86" t="s">
        <v>80</v>
      </c>
      <c r="E86" t="s">
        <v>136</v>
      </c>
      <c r="F86" s="71">
        <v>64.95</v>
      </c>
      <c r="G86" s="71">
        <v>0</v>
      </c>
    </row>
    <row r="87" spans="2:7" x14ac:dyDescent="0.25">
      <c r="B87" s="70">
        <v>43475</v>
      </c>
      <c r="C87" t="s">
        <v>25</v>
      </c>
      <c r="D87" t="s">
        <v>87</v>
      </c>
      <c r="E87" t="s">
        <v>136</v>
      </c>
      <c r="F87" s="71">
        <v>25.95</v>
      </c>
      <c r="G87" s="71">
        <v>0</v>
      </c>
    </row>
    <row r="88" spans="2:7" x14ac:dyDescent="0.25">
      <c r="B88" s="70">
        <v>43475</v>
      </c>
      <c r="C88" t="s">
        <v>25</v>
      </c>
      <c r="D88" t="s">
        <v>87</v>
      </c>
      <c r="E88" t="s">
        <v>136</v>
      </c>
      <c r="F88" s="71">
        <v>33</v>
      </c>
      <c r="G88" s="71">
        <v>0</v>
      </c>
    </row>
    <row r="89" spans="2:7" x14ac:dyDescent="0.25">
      <c r="B89" s="70">
        <v>43475</v>
      </c>
      <c r="C89" t="s">
        <v>25</v>
      </c>
      <c r="D89" t="s">
        <v>87</v>
      </c>
      <c r="E89" t="s">
        <v>136</v>
      </c>
      <c r="F89" s="71">
        <v>42.92</v>
      </c>
      <c r="G89" s="71">
        <v>0</v>
      </c>
    </row>
    <row r="90" spans="2:7" x14ac:dyDescent="0.25">
      <c r="B90" s="70">
        <v>43475</v>
      </c>
      <c r="C90" t="s">
        <v>25</v>
      </c>
      <c r="D90" t="s">
        <v>87</v>
      </c>
      <c r="E90" t="s">
        <v>136</v>
      </c>
      <c r="F90" s="71">
        <v>51.8</v>
      </c>
      <c r="G90" s="71">
        <v>0</v>
      </c>
    </row>
    <row r="91" spans="2:7" x14ac:dyDescent="0.25">
      <c r="B91" s="70">
        <v>43475</v>
      </c>
      <c r="C91" t="s">
        <v>25</v>
      </c>
      <c r="D91" t="s">
        <v>81</v>
      </c>
      <c r="E91" t="s">
        <v>137</v>
      </c>
      <c r="F91" s="71">
        <v>18.75</v>
      </c>
      <c r="G91" s="71">
        <v>0</v>
      </c>
    </row>
    <row r="92" spans="2:7" x14ac:dyDescent="0.25">
      <c r="B92" s="70">
        <v>43475</v>
      </c>
      <c r="C92" t="s">
        <v>25</v>
      </c>
      <c r="D92" t="s">
        <v>81</v>
      </c>
      <c r="E92" t="s">
        <v>138</v>
      </c>
      <c r="F92" s="71">
        <v>6.85</v>
      </c>
      <c r="G92" s="71">
        <v>0</v>
      </c>
    </row>
    <row r="93" spans="2:7" x14ac:dyDescent="0.25">
      <c r="B93" s="70">
        <v>43475</v>
      </c>
      <c r="C93" t="s">
        <v>25</v>
      </c>
      <c r="D93" t="s">
        <v>81</v>
      </c>
      <c r="E93" t="s">
        <v>139</v>
      </c>
      <c r="F93" s="71">
        <v>1.8</v>
      </c>
      <c r="G93" s="71">
        <v>0</v>
      </c>
    </row>
    <row r="94" spans="2:7" x14ac:dyDescent="0.25">
      <c r="B94" s="70">
        <v>43475</v>
      </c>
      <c r="C94" t="s">
        <v>25</v>
      </c>
      <c r="D94" t="s">
        <v>81</v>
      </c>
      <c r="E94" t="s">
        <v>140</v>
      </c>
      <c r="F94" s="71">
        <v>3</v>
      </c>
      <c r="G94" s="71">
        <v>0</v>
      </c>
    </row>
    <row r="95" spans="2:7" x14ac:dyDescent="0.25">
      <c r="B95" s="70">
        <v>43475</v>
      </c>
      <c r="C95" t="s">
        <v>25</v>
      </c>
      <c r="D95" t="s">
        <v>88</v>
      </c>
      <c r="E95" t="s">
        <v>141</v>
      </c>
      <c r="F95" s="71">
        <v>35.520000000000003</v>
      </c>
      <c r="G95" s="71">
        <v>0</v>
      </c>
    </row>
    <row r="96" spans="2:7" x14ac:dyDescent="0.25">
      <c r="B96" s="70">
        <v>43475</v>
      </c>
      <c r="C96" t="s">
        <v>25</v>
      </c>
      <c r="D96" t="s">
        <v>88</v>
      </c>
      <c r="E96" t="s">
        <v>141</v>
      </c>
      <c r="F96" s="71">
        <v>45.08</v>
      </c>
      <c r="G96" s="71">
        <v>0</v>
      </c>
    </row>
    <row r="97" spans="2:7" x14ac:dyDescent="0.25">
      <c r="B97" s="70">
        <v>43475</v>
      </c>
      <c r="C97" t="s">
        <v>25</v>
      </c>
      <c r="D97" t="s">
        <v>88</v>
      </c>
      <c r="E97" t="s">
        <v>141</v>
      </c>
      <c r="F97" s="71">
        <v>61.08</v>
      </c>
      <c r="G97" s="71">
        <v>0</v>
      </c>
    </row>
    <row r="98" spans="2:7" x14ac:dyDescent="0.25">
      <c r="B98" s="70">
        <v>43475</v>
      </c>
      <c r="C98" t="s">
        <v>25</v>
      </c>
      <c r="D98" t="s">
        <v>88</v>
      </c>
      <c r="E98" t="s">
        <v>141</v>
      </c>
      <c r="F98" s="71">
        <v>61.93</v>
      </c>
      <c r="G98" s="71">
        <v>0</v>
      </c>
    </row>
    <row r="99" spans="2:7" x14ac:dyDescent="0.25">
      <c r="B99" s="70">
        <v>43475</v>
      </c>
      <c r="C99" t="s">
        <v>54</v>
      </c>
      <c r="D99" t="s">
        <v>88</v>
      </c>
      <c r="E99" t="s">
        <v>141</v>
      </c>
      <c r="F99" s="71">
        <v>2823.18</v>
      </c>
      <c r="G99" s="71">
        <v>0</v>
      </c>
    </row>
    <row r="100" spans="2:7" x14ac:dyDescent="0.25">
      <c r="B100" s="70">
        <v>43475</v>
      </c>
      <c r="C100" t="s">
        <v>46</v>
      </c>
      <c r="D100" t="s">
        <v>88</v>
      </c>
      <c r="E100" t="s">
        <v>141</v>
      </c>
      <c r="F100" s="71">
        <v>164.7</v>
      </c>
      <c r="G100" s="71">
        <v>0</v>
      </c>
    </row>
    <row r="101" spans="2:7" x14ac:dyDescent="0.25">
      <c r="B101" s="70">
        <v>43475</v>
      </c>
      <c r="C101" t="s">
        <v>46</v>
      </c>
      <c r="D101" t="s">
        <v>82</v>
      </c>
      <c r="E101" t="s">
        <v>136</v>
      </c>
      <c r="F101" s="71">
        <v>27</v>
      </c>
      <c r="G101" s="71">
        <v>0</v>
      </c>
    </row>
    <row r="102" spans="2:7" x14ac:dyDescent="0.25">
      <c r="B102" s="70">
        <v>43475</v>
      </c>
      <c r="C102" t="s">
        <v>21</v>
      </c>
      <c r="D102" t="s">
        <v>79</v>
      </c>
      <c r="E102" t="s">
        <v>136</v>
      </c>
      <c r="F102" s="71">
        <v>8</v>
      </c>
      <c r="G102" s="71">
        <v>0</v>
      </c>
    </row>
    <row r="103" spans="2:7" x14ac:dyDescent="0.25">
      <c r="B103" s="70">
        <v>43475</v>
      </c>
      <c r="C103" t="s">
        <v>21</v>
      </c>
      <c r="D103" t="s">
        <v>79</v>
      </c>
      <c r="E103" t="s">
        <v>136</v>
      </c>
      <c r="F103" s="71">
        <v>24</v>
      </c>
      <c r="G103" s="71">
        <v>0</v>
      </c>
    </row>
    <row r="104" spans="2:7" x14ac:dyDescent="0.25">
      <c r="B104" s="70">
        <v>43475</v>
      </c>
      <c r="C104" t="s">
        <v>21</v>
      </c>
      <c r="D104" t="s">
        <v>79</v>
      </c>
      <c r="E104" t="s">
        <v>136</v>
      </c>
      <c r="F104" s="71">
        <v>56</v>
      </c>
      <c r="G104" s="71">
        <v>0</v>
      </c>
    </row>
    <row r="105" spans="2:7" x14ac:dyDescent="0.25">
      <c r="B105" s="70">
        <v>43475</v>
      </c>
      <c r="C105" t="s">
        <v>21</v>
      </c>
      <c r="D105" t="s">
        <v>88</v>
      </c>
      <c r="E105" t="s">
        <v>141</v>
      </c>
      <c r="F105" s="71">
        <v>13.14</v>
      </c>
      <c r="G105" s="71">
        <v>0</v>
      </c>
    </row>
    <row r="106" spans="2:7" x14ac:dyDescent="0.25">
      <c r="B106" s="70">
        <v>43475</v>
      </c>
      <c r="C106" t="s">
        <v>21</v>
      </c>
      <c r="D106" t="s">
        <v>88</v>
      </c>
      <c r="E106" t="s">
        <v>141</v>
      </c>
      <c r="F106" s="71">
        <v>17.62</v>
      </c>
      <c r="G106" s="71">
        <v>0</v>
      </c>
    </row>
    <row r="107" spans="2:7" x14ac:dyDescent="0.25">
      <c r="B107" s="70">
        <v>43475</v>
      </c>
      <c r="C107" t="s">
        <v>21</v>
      </c>
      <c r="D107" t="s">
        <v>88</v>
      </c>
      <c r="E107" t="s">
        <v>141</v>
      </c>
      <c r="F107" s="71">
        <v>18.510000000000002</v>
      </c>
      <c r="G107" s="71">
        <v>0</v>
      </c>
    </row>
    <row r="108" spans="2:7" x14ac:dyDescent="0.25">
      <c r="B108" s="70">
        <v>43475</v>
      </c>
      <c r="C108" t="s">
        <v>21</v>
      </c>
      <c r="D108" t="s">
        <v>88</v>
      </c>
      <c r="E108" t="s">
        <v>141</v>
      </c>
      <c r="F108" s="71">
        <v>27.34</v>
      </c>
      <c r="G108" s="71">
        <v>0</v>
      </c>
    </row>
    <row r="109" spans="2:7" x14ac:dyDescent="0.25">
      <c r="B109" s="70">
        <v>43475</v>
      </c>
      <c r="C109" t="s">
        <v>21</v>
      </c>
      <c r="D109" t="s">
        <v>88</v>
      </c>
      <c r="E109" t="s">
        <v>141</v>
      </c>
      <c r="F109" s="71">
        <v>35.85</v>
      </c>
      <c r="G109" s="71">
        <v>0</v>
      </c>
    </row>
    <row r="110" spans="2:7" x14ac:dyDescent="0.25">
      <c r="B110" s="70">
        <v>43475</v>
      </c>
      <c r="C110" t="s">
        <v>21</v>
      </c>
      <c r="D110" t="s">
        <v>88</v>
      </c>
      <c r="E110" t="s">
        <v>141</v>
      </c>
      <c r="F110" s="71">
        <v>37.47</v>
      </c>
      <c r="G110" s="71">
        <v>0</v>
      </c>
    </row>
    <row r="111" spans="2:7" x14ac:dyDescent="0.25">
      <c r="B111" s="70">
        <v>43475</v>
      </c>
      <c r="C111" t="s">
        <v>21</v>
      </c>
      <c r="D111" t="s">
        <v>88</v>
      </c>
      <c r="E111" t="s">
        <v>141</v>
      </c>
      <c r="F111" s="71">
        <v>77.209999999999994</v>
      </c>
      <c r="G111" s="71">
        <v>0</v>
      </c>
    </row>
    <row r="112" spans="2:7" x14ac:dyDescent="0.25">
      <c r="B112" s="70">
        <v>43475</v>
      </c>
      <c r="C112" t="s">
        <v>21</v>
      </c>
      <c r="D112" t="s">
        <v>88</v>
      </c>
      <c r="E112" t="s">
        <v>141</v>
      </c>
      <c r="F112" s="71">
        <v>159.55000000000001</v>
      </c>
      <c r="G112" s="71">
        <v>0</v>
      </c>
    </row>
    <row r="113" spans="2:7" x14ac:dyDescent="0.25">
      <c r="B113" s="70">
        <v>43475</v>
      </c>
      <c r="C113" t="s">
        <v>21</v>
      </c>
      <c r="D113" t="s">
        <v>88</v>
      </c>
      <c r="E113" t="s">
        <v>141</v>
      </c>
      <c r="F113" s="71">
        <v>254.22</v>
      </c>
      <c r="G113" s="71">
        <v>0</v>
      </c>
    </row>
    <row r="114" spans="2:7" x14ac:dyDescent="0.25">
      <c r="B114" s="70">
        <v>43475</v>
      </c>
      <c r="C114" t="s">
        <v>21</v>
      </c>
      <c r="D114" t="s">
        <v>88</v>
      </c>
      <c r="E114" t="s">
        <v>141</v>
      </c>
      <c r="F114" s="71">
        <v>303.73</v>
      </c>
      <c r="G114" s="71">
        <v>0</v>
      </c>
    </row>
    <row r="115" spans="2:7" x14ac:dyDescent="0.25">
      <c r="B115" s="70">
        <v>43475</v>
      </c>
      <c r="C115" t="s">
        <v>21</v>
      </c>
      <c r="D115" t="s">
        <v>88</v>
      </c>
      <c r="E115" t="s">
        <v>141</v>
      </c>
      <c r="F115" s="71">
        <v>384.96</v>
      </c>
      <c r="G115" s="71">
        <v>0</v>
      </c>
    </row>
    <row r="116" spans="2:7" x14ac:dyDescent="0.25">
      <c r="B116" s="70">
        <v>43475</v>
      </c>
      <c r="C116" t="s">
        <v>21</v>
      </c>
      <c r="D116" t="s">
        <v>88</v>
      </c>
      <c r="E116" t="s">
        <v>141</v>
      </c>
      <c r="F116" s="71">
        <v>386.75</v>
      </c>
      <c r="G116" s="71">
        <v>0</v>
      </c>
    </row>
    <row r="117" spans="2:7" x14ac:dyDescent="0.25">
      <c r="B117" s="70">
        <v>43475</v>
      </c>
      <c r="C117" t="s">
        <v>21</v>
      </c>
      <c r="D117" t="s">
        <v>88</v>
      </c>
      <c r="E117" t="s">
        <v>141</v>
      </c>
      <c r="F117" s="71">
        <v>449.4</v>
      </c>
      <c r="G117" s="71">
        <v>0</v>
      </c>
    </row>
    <row r="118" spans="2:7" x14ac:dyDescent="0.25">
      <c r="B118" s="70">
        <v>43475</v>
      </c>
      <c r="C118" t="s">
        <v>21</v>
      </c>
      <c r="D118" t="s">
        <v>88</v>
      </c>
      <c r="E118" t="s">
        <v>141</v>
      </c>
      <c r="F118" s="71">
        <v>458.67</v>
      </c>
      <c r="G118" s="71">
        <v>0</v>
      </c>
    </row>
    <row r="119" spans="2:7" x14ac:dyDescent="0.25">
      <c r="B119" s="70">
        <v>43475</v>
      </c>
      <c r="C119" t="s">
        <v>21</v>
      </c>
      <c r="D119" t="s">
        <v>88</v>
      </c>
      <c r="E119" t="s">
        <v>141</v>
      </c>
      <c r="F119" s="71">
        <v>481.58</v>
      </c>
      <c r="G119" s="71">
        <v>0</v>
      </c>
    </row>
    <row r="120" spans="2:7" x14ac:dyDescent="0.25">
      <c r="B120" s="70">
        <v>43475</v>
      </c>
      <c r="C120" t="s">
        <v>21</v>
      </c>
      <c r="D120" t="s">
        <v>88</v>
      </c>
      <c r="E120" t="s">
        <v>141</v>
      </c>
      <c r="F120" s="71">
        <v>514.46</v>
      </c>
      <c r="G120" s="71">
        <v>0</v>
      </c>
    </row>
    <row r="121" spans="2:7" x14ac:dyDescent="0.25">
      <c r="B121" s="70">
        <v>43475</v>
      </c>
      <c r="C121" t="s">
        <v>21</v>
      </c>
      <c r="D121" t="s">
        <v>88</v>
      </c>
      <c r="E121" t="s">
        <v>141</v>
      </c>
      <c r="F121" s="71">
        <v>527.12</v>
      </c>
      <c r="G121" s="71">
        <v>0</v>
      </c>
    </row>
    <row r="122" spans="2:7" x14ac:dyDescent="0.25">
      <c r="B122" s="70">
        <v>43475</v>
      </c>
      <c r="C122" t="s">
        <v>21</v>
      </c>
      <c r="D122" t="s">
        <v>88</v>
      </c>
      <c r="E122" t="s">
        <v>141</v>
      </c>
      <c r="F122" s="71">
        <v>543.25</v>
      </c>
      <c r="G122" s="71">
        <v>0</v>
      </c>
    </row>
    <row r="123" spans="2:7" x14ac:dyDescent="0.25">
      <c r="B123" s="70">
        <v>43475</v>
      </c>
      <c r="C123" t="s">
        <v>21</v>
      </c>
      <c r="D123" t="s">
        <v>88</v>
      </c>
      <c r="E123" t="s">
        <v>141</v>
      </c>
      <c r="F123" s="71">
        <v>558.33000000000004</v>
      </c>
      <c r="G123" s="71">
        <v>0</v>
      </c>
    </row>
    <row r="124" spans="2:7" x14ac:dyDescent="0.25">
      <c r="B124" s="70">
        <v>43475</v>
      </c>
      <c r="C124" t="s">
        <v>21</v>
      </c>
      <c r="D124" t="s">
        <v>88</v>
      </c>
      <c r="E124" t="s">
        <v>141</v>
      </c>
      <c r="F124" s="71">
        <v>567.08000000000004</v>
      </c>
      <c r="G124" s="71">
        <v>0</v>
      </c>
    </row>
    <row r="125" spans="2:7" x14ac:dyDescent="0.25">
      <c r="B125" s="70">
        <v>43475</v>
      </c>
      <c r="C125" t="s">
        <v>21</v>
      </c>
      <c r="D125" t="s">
        <v>88</v>
      </c>
      <c r="E125" t="s">
        <v>141</v>
      </c>
      <c r="F125" s="71">
        <v>627.95000000000005</v>
      </c>
      <c r="G125" s="71">
        <v>0</v>
      </c>
    </row>
    <row r="126" spans="2:7" x14ac:dyDescent="0.25">
      <c r="B126" s="70">
        <v>43475</v>
      </c>
      <c r="C126" t="s">
        <v>21</v>
      </c>
      <c r="D126" t="s">
        <v>88</v>
      </c>
      <c r="E126" t="s">
        <v>141</v>
      </c>
      <c r="F126" s="71">
        <v>723.12</v>
      </c>
      <c r="G126" s="71">
        <v>0</v>
      </c>
    </row>
    <row r="127" spans="2:7" x14ac:dyDescent="0.25">
      <c r="B127" s="70">
        <v>43475</v>
      </c>
      <c r="C127" t="s">
        <v>21</v>
      </c>
      <c r="D127" t="s">
        <v>88</v>
      </c>
      <c r="E127" t="s">
        <v>141</v>
      </c>
      <c r="F127" s="71">
        <v>733.55</v>
      </c>
      <c r="G127" s="71">
        <v>0</v>
      </c>
    </row>
    <row r="128" spans="2:7" x14ac:dyDescent="0.25">
      <c r="B128" s="70">
        <v>43475</v>
      </c>
      <c r="C128" t="s">
        <v>21</v>
      </c>
      <c r="D128" t="s">
        <v>88</v>
      </c>
      <c r="E128" t="s">
        <v>141</v>
      </c>
      <c r="F128" s="71">
        <v>792.61</v>
      </c>
      <c r="G128" s="71">
        <v>0</v>
      </c>
    </row>
    <row r="129" spans="2:7" x14ac:dyDescent="0.25">
      <c r="B129" s="70">
        <v>43475</v>
      </c>
      <c r="C129" t="s">
        <v>21</v>
      </c>
      <c r="D129" t="s">
        <v>88</v>
      </c>
      <c r="E129" t="s">
        <v>141</v>
      </c>
      <c r="F129" s="71">
        <v>1011.2</v>
      </c>
      <c r="G129" s="71">
        <v>0</v>
      </c>
    </row>
    <row r="130" spans="2:7" x14ac:dyDescent="0.25">
      <c r="B130" s="70">
        <v>43475</v>
      </c>
      <c r="C130" t="s">
        <v>21</v>
      </c>
      <c r="D130" t="s">
        <v>88</v>
      </c>
      <c r="E130" t="s">
        <v>141</v>
      </c>
      <c r="F130" s="71">
        <v>1342.37</v>
      </c>
      <c r="G130" s="71">
        <v>0</v>
      </c>
    </row>
    <row r="131" spans="2:7" x14ac:dyDescent="0.25">
      <c r="B131" s="70">
        <v>43475</v>
      </c>
      <c r="C131" t="s">
        <v>21</v>
      </c>
      <c r="D131" t="s">
        <v>88</v>
      </c>
      <c r="E131" t="s">
        <v>141</v>
      </c>
      <c r="F131" s="71">
        <v>1470.44</v>
      </c>
      <c r="G131" s="71">
        <v>0</v>
      </c>
    </row>
    <row r="132" spans="2:7" x14ac:dyDescent="0.25">
      <c r="B132" s="70">
        <v>43475</v>
      </c>
      <c r="C132" t="s">
        <v>48</v>
      </c>
      <c r="D132" t="s">
        <v>83</v>
      </c>
      <c r="E132" t="s">
        <v>136</v>
      </c>
      <c r="F132" s="71">
        <v>67.95</v>
      </c>
      <c r="G132" s="71">
        <v>0</v>
      </c>
    </row>
    <row r="133" spans="2:7" x14ac:dyDescent="0.25">
      <c r="B133" s="70">
        <v>43475</v>
      </c>
      <c r="C133" t="s">
        <v>55</v>
      </c>
      <c r="D133" t="s">
        <v>88</v>
      </c>
      <c r="E133" t="s">
        <v>141</v>
      </c>
      <c r="F133" s="71">
        <v>273.02999999999997</v>
      </c>
      <c r="G133" s="71">
        <v>0</v>
      </c>
    </row>
    <row r="134" spans="2:7" x14ac:dyDescent="0.25">
      <c r="B134" s="70">
        <v>43475</v>
      </c>
      <c r="C134" t="s">
        <v>49</v>
      </c>
      <c r="D134" t="s">
        <v>88</v>
      </c>
      <c r="E134" t="s">
        <v>141</v>
      </c>
      <c r="F134" s="71">
        <v>123.45</v>
      </c>
      <c r="G134" s="71">
        <v>0</v>
      </c>
    </row>
    <row r="135" spans="2:7" x14ac:dyDescent="0.25">
      <c r="B135" s="70">
        <v>43475</v>
      </c>
      <c r="C135" t="s">
        <v>49</v>
      </c>
      <c r="D135" t="s">
        <v>82</v>
      </c>
      <c r="E135" t="s">
        <v>136</v>
      </c>
      <c r="F135" s="71">
        <v>95.9</v>
      </c>
      <c r="G135" s="71">
        <v>0</v>
      </c>
    </row>
    <row r="136" spans="2:7" x14ac:dyDescent="0.25">
      <c r="B136" s="70">
        <v>43475</v>
      </c>
      <c r="C136" t="s">
        <v>50</v>
      </c>
      <c r="D136" t="s">
        <v>88</v>
      </c>
      <c r="E136" t="s">
        <v>141</v>
      </c>
      <c r="F136" s="71">
        <v>673.32</v>
      </c>
      <c r="G136" s="71">
        <v>0</v>
      </c>
    </row>
    <row r="137" spans="2:7" x14ac:dyDescent="0.25">
      <c r="B137" s="70">
        <v>43475</v>
      </c>
      <c r="C137" t="s">
        <v>52</v>
      </c>
      <c r="D137" t="s">
        <v>88</v>
      </c>
      <c r="E137" t="s">
        <v>141</v>
      </c>
      <c r="F137" s="71">
        <v>68.19</v>
      </c>
      <c r="G137" s="71">
        <v>0</v>
      </c>
    </row>
    <row r="138" spans="2:7" x14ac:dyDescent="0.25">
      <c r="B138" s="70">
        <v>43475</v>
      </c>
      <c r="C138" t="s">
        <v>53</v>
      </c>
      <c r="D138" t="s">
        <v>88</v>
      </c>
      <c r="E138" t="s">
        <v>141</v>
      </c>
      <c r="F138" s="71">
        <v>39.43</v>
      </c>
      <c r="G138" s="71">
        <v>0</v>
      </c>
    </row>
    <row r="139" spans="2:7" x14ac:dyDescent="0.25">
      <c r="B139" s="70">
        <v>43475</v>
      </c>
      <c r="C139" t="s">
        <v>24</v>
      </c>
      <c r="D139" t="s">
        <v>79</v>
      </c>
      <c r="E139" t="s">
        <v>136</v>
      </c>
      <c r="F139" s="71">
        <v>8</v>
      </c>
      <c r="G139" s="71">
        <v>0</v>
      </c>
    </row>
    <row r="140" spans="2:7" x14ac:dyDescent="0.25">
      <c r="B140" s="70">
        <v>43475</v>
      </c>
      <c r="C140" t="s">
        <v>24</v>
      </c>
      <c r="D140" t="s">
        <v>79</v>
      </c>
      <c r="E140" t="s">
        <v>136</v>
      </c>
      <c r="F140" s="71">
        <v>16</v>
      </c>
      <c r="G140" s="71">
        <v>0</v>
      </c>
    </row>
    <row r="141" spans="2:7" x14ac:dyDescent="0.25">
      <c r="B141" s="70">
        <v>43475</v>
      </c>
      <c r="C141" t="s">
        <v>24</v>
      </c>
      <c r="D141" t="s">
        <v>88</v>
      </c>
      <c r="E141" t="s">
        <v>141</v>
      </c>
      <c r="F141" s="71">
        <v>12.8</v>
      </c>
      <c r="G141" s="71">
        <v>0</v>
      </c>
    </row>
    <row r="142" spans="2:7" x14ac:dyDescent="0.25">
      <c r="B142" s="70">
        <v>43475</v>
      </c>
      <c r="C142" t="s">
        <v>24</v>
      </c>
      <c r="D142" t="s">
        <v>88</v>
      </c>
      <c r="E142" t="s">
        <v>141</v>
      </c>
      <c r="F142" s="71">
        <v>18.760000000000002</v>
      </c>
      <c r="G142" s="71">
        <v>0</v>
      </c>
    </row>
    <row r="143" spans="2:7" x14ac:dyDescent="0.25">
      <c r="B143" s="70">
        <v>43475</v>
      </c>
      <c r="C143" t="s">
        <v>24</v>
      </c>
      <c r="D143" t="s">
        <v>88</v>
      </c>
      <c r="E143" t="s">
        <v>141</v>
      </c>
      <c r="F143" s="71">
        <v>19.25</v>
      </c>
      <c r="G143" s="71">
        <v>0</v>
      </c>
    </row>
    <row r="144" spans="2:7" x14ac:dyDescent="0.25">
      <c r="B144" s="70">
        <v>43475</v>
      </c>
      <c r="C144" t="s">
        <v>24</v>
      </c>
      <c r="D144" t="s">
        <v>88</v>
      </c>
      <c r="E144" t="s">
        <v>141</v>
      </c>
      <c r="F144" s="71">
        <v>30.67</v>
      </c>
      <c r="G144" s="71">
        <v>0</v>
      </c>
    </row>
    <row r="145" spans="2:7" x14ac:dyDescent="0.25">
      <c r="B145" s="70">
        <v>43475</v>
      </c>
      <c r="C145" t="s">
        <v>24</v>
      </c>
      <c r="D145" t="s">
        <v>88</v>
      </c>
      <c r="E145" t="s">
        <v>141</v>
      </c>
      <c r="F145" s="71">
        <v>34.21</v>
      </c>
      <c r="G145" s="71">
        <v>0</v>
      </c>
    </row>
    <row r="146" spans="2:7" x14ac:dyDescent="0.25">
      <c r="B146" s="70">
        <v>43475</v>
      </c>
      <c r="C146" t="s">
        <v>24</v>
      </c>
      <c r="D146" t="s">
        <v>88</v>
      </c>
      <c r="E146" t="s">
        <v>141</v>
      </c>
      <c r="F146" s="71">
        <v>34.229999999999997</v>
      </c>
      <c r="G146" s="71">
        <v>0</v>
      </c>
    </row>
    <row r="147" spans="2:7" x14ac:dyDescent="0.25">
      <c r="B147" s="70">
        <v>43475</v>
      </c>
      <c r="C147" t="s">
        <v>24</v>
      </c>
      <c r="D147" t="s">
        <v>88</v>
      </c>
      <c r="E147" t="s">
        <v>141</v>
      </c>
      <c r="F147" s="71">
        <v>40.99</v>
      </c>
      <c r="G147" s="71">
        <v>0</v>
      </c>
    </row>
    <row r="148" spans="2:7" x14ac:dyDescent="0.25">
      <c r="B148" s="70">
        <v>43475</v>
      </c>
      <c r="C148" t="s">
        <v>24</v>
      </c>
      <c r="D148" t="s">
        <v>88</v>
      </c>
      <c r="E148" t="s">
        <v>141</v>
      </c>
      <c r="F148" s="71">
        <v>50.62</v>
      </c>
      <c r="G148" s="71">
        <v>0</v>
      </c>
    </row>
    <row r="149" spans="2:7" x14ac:dyDescent="0.25">
      <c r="B149" s="70">
        <v>43475</v>
      </c>
      <c r="C149" t="s">
        <v>24</v>
      </c>
      <c r="D149" t="s">
        <v>88</v>
      </c>
      <c r="E149" t="s">
        <v>141</v>
      </c>
      <c r="F149" s="71">
        <v>52.04</v>
      </c>
      <c r="G149" s="71">
        <v>0</v>
      </c>
    </row>
    <row r="150" spans="2:7" x14ac:dyDescent="0.25">
      <c r="B150" s="70">
        <v>43475</v>
      </c>
      <c r="C150" t="s">
        <v>24</v>
      </c>
      <c r="D150" t="s">
        <v>88</v>
      </c>
      <c r="E150" t="s">
        <v>141</v>
      </c>
      <c r="F150" s="71">
        <v>108.28</v>
      </c>
      <c r="G150" s="71">
        <v>0</v>
      </c>
    </row>
    <row r="151" spans="2:7" x14ac:dyDescent="0.25">
      <c r="B151" s="70">
        <v>43476</v>
      </c>
      <c r="C151" t="s">
        <v>25</v>
      </c>
      <c r="D151" t="s">
        <v>79</v>
      </c>
      <c r="E151" t="s">
        <v>142</v>
      </c>
      <c r="F151" s="71">
        <v>8</v>
      </c>
      <c r="G151" s="71">
        <v>0</v>
      </c>
    </row>
    <row r="152" spans="2:7" x14ac:dyDescent="0.25">
      <c r="B152" s="70">
        <v>43476</v>
      </c>
      <c r="C152" t="s">
        <v>25</v>
      </c>
      <c r="D152" t="s">
        <v>81</v>
      </c>
      <c r="E152" t="s">
        <v>137</v>
      </c>
      <c r="F152" s="71">
        <v>18.75</v>
      </c>
      <c r="G152" s="71">
        <v>0</v>
      </c>
    </row>
    <row r="153" spans="2:7" x14ac:dyDescent="0.25">
      <c r="B153" s="70">
        <v>43476</v>
      </c>
      <c r="C153" t="s">
        <v>25</v>
      </c>
      <c r="D153" t="s">
        <v>81</v>
      </c>
      <c r="E153" t="s">
        <v>135</v>
      </c>
      <c r="F153" s="71">
        <v>3</v>
      </c>
      <c r="G153" s="71">
        <v>0</v>
      </c>
    </row>
    <row r="154" spans="2:7" x14ac:dyDescent="0.25">
      <c r="B154" s="70">
        <v>43476</v>
      </c>
      <c r="C154" t="s">
        <v>56</v>
      </c>
      <c r="D154" t="s">
        <v>82</v>
      </c>
      <c r="E154" t="s">
        <v>142</v>
      </c>
      <c r="F154" s="71">
        <v>138</v>
      </c>
      <c r="G154" s="71">
        <v>0</v>
      </c>
    </row>
    <row r="155" spans="2:7" x14ac:dyDescent="0.25">
      <c r="B155" s="70">
        <v>43476</v>
      </c>
      <c r="C155" t="s">
        <v>57</v>
      </c>
      <c r="D155" t="s">
        <v>79</v>
      </c>
      <c r="E155" t="s">
        <v>142</v>
      </c>
      <c r="F155" s="71">
        <v>86.16</v>
      </c>
      <c r="G155" s="71">
        <v>0</v>
      </c>
    </row>
    <row r="156" spans="2:7" x14ac:dyDescent="0.25">
      <c r="B156" s="70">
        <v>43476</v>
      </c>
      <c r="C156" t="s">
        <v>21</v>
      </c>
      <c r="D156" t="s">
        <v>79</v>
      </c>
      <c r="E156" t="s">
        <v>142</v>
      </c>
      <c r="F156" s="71">
        <v>8</v>
      </c>
      <c r="G156" s="71">
        <v>0</v>
      </c>
    </row>
    <row r="157" spans="2:7" x14ac:dyDescent="0.25">
      <c r="B157" s="70">
        <v>43476</v>
      </c>
      <c r="C157" t="s">
        <v>21</v>
      </c>
      <c r="D157" t="s">
        <v>79</v>
      </c>
      <c r="E157" t="s">
        <v>142</v>
      </c>
      <c r="F157" s="71">
        <v>16</v>
      </c>
      <c r="G157" s="71">
        <v>0</v>
      </c>
    </row>
    <row r="158" spans="2:7" x14ac:dyDescent="0.25">
      <c r="B158" s="70">
        <v>43476</v>
      </c>
      <c r="C158" t="s">
        <v>21</v>
      </c>
      <c r="D158" t="s">
        <v>82</v>
      </c>
      <c r="E158" t="s">
        <v>142</v>
      </c>
      <c r="F158" s="71">
        <v>59.3</v>
      </c>
      <c r="G158" s="71">
        <v>0</v>
      </c>
    </row>
    <row r="159" spans="2:7" x14ac:dyDescent="0.25">
      <c r="B159" s="70">
        <v>43476</v>
      </c>
      <c r="C159" t="s">
        <v>48</v>
      </c>
      <c r="D159" t="s">
        <v>82</v>
      </c>
      <c r="E159" t="s">
        <v>142</v>
      </c>
      <c r="F159" s="71">
        <v>29.4</v>
      </c>
      <c r="G159" s="71">
        <v>0</v>
      </c>
    </row>
    <row r="160" spans="2:7" x14ac:dyDescent="0.25">
      <c r="B160" s="70">
        <v>43476</v>
      </c>
      <c r="C160" t="s">
        <v>45</v>
      </c>
      <c r="D160" t="s">
        <v>82</v>
      </c>
      <c r="E160" t="s">
        <v>142</v>
      </c>
      <c r="F160" s="71">
        <v>11.5</v>
      </c>
      <c r="G160" s="71">
        <v>0</v>
      </c>
    </row>
    <row r="161" spans="2:7" x14ac:dyDescent="0.25">
      <c r="B161" s="70">
        <v>43476</v>
      </c>
      <c r="C161" t="s">
        <v>49</v>
      </c>
      <c r="D161" t="s">
        <v>82</v>
      </c>
      <c r="E161" t="s">
        <v>142</v>
      </c>
      <c r="F161" s="71">
        <v>24</v>
      </c>
      <c r="G161" s="71">
        <v>0</v>
      </c>
    </row>
    <row r="162" spans="2:7" x14ac:dyDescent="0.25">
      <c r="B162" s="70">
        <v>43476</v>
      </c>
      <c r="C162" t="s">
        <v>58</v>
      </c>
      <c r="D162" t="s">
        <v>84</v>
      </c>
      <c r="E162" t="s">
        <v>142</v>
      </c>
      <c r="F162" s="71">
        <v>25</v>
      </c>
      <c r="G162" s="71">
        <v>0</v>
      </c>
    </row>
    <row r="163" spans="2:7" x14ac:dyDescent="0.25">
      <c r="B163" s="70">
        <v>43476</v>
      </c>
      <c r="C163" t="s">
        <v>24</v>
      </c>
      <c r="D163" t="s">
        <v>79</v>
      </c>
      <c r="E163" t="s">
        <v>142</v>
      </c>
      <c r="F163" s="71">
        <v>8</v>
      </c>
      <c r="G163" s="71">
        <v>0</v>
      </c>
    </row>
    <row r="164" spans="2:7" x14ac:dyDescent="0.25">
      <c r="B164" s="70">
        <v>43476</v>
      </c>
      <c r="C164" t="s">
        <v>24</v>
      </c>
      <c r="D164" t="s">
        <v>79</v>
      </c>
      <c r="E164" t="s">
        <v>142</v>
      </c>
      <c r="F164" s="71">
        <v>16</v>
      </c>
      <c r="G164" s="71">
        <v>0</v>
      </c>
    </row>
    <row r="165" spans="2:7" x14ac:dyDescent="0.25">
      <c r="B165" s="70">
        <v>43476</v>
      </c>
      <c r="C165" t="s">
        <v>24</v>
      </c>
      <c r="D165" t="s">
        <v>79</v>
      </c>
      <c r="E165" t="s">
        <v>142</v>
      </c>
      <c r="F165" s="71">
        <v>24</v>
      </c>
      <c r="G165" s="71">
        <v>0</v>
      </c>
    </row>
    <row r="166" spans="2:7" x14ac:dyDescent="0.25">
      <c r="B166" s="70">
        <v>43479</v>
      </c>
      <c r="C166" t="s">
        <v>25</v>
      </c>
      <c r="D166" t="s">
        <v>80</v>
      </c>
      <c r="E166" t="s">
        <v>143</v>
      </c>
      <c r="F166" s="71">
        <v>38.340000000000003</v>
      </c>
      <c r="G166" s="71">
        <v>0</v>
      </c>
    </row>
    <row r="167" spans="2:7" x14ac:dyDescent="0.25">
      <c r="B167" s="70">
        <v>43479</v>
      </c>
      <c r="C167" t="s">
        <v>25</v>
      </c>
      <c r="D167" t="s">
        <v>87</v>
      </c>
      <c r="E167" t="s">
        <v>143</v>
      </c>
      <c r="F167" s="71">
        <v>36.950000000000003</v>
      </c>
      <c r="G167" s="71">
        <v>0</v>
      </c>
    </row>
    <row r="168" spans="2:7" x14ac:dyDescent="0.25">
      <c r="B168" s="70">
        <v>43479</v>
      </c>
      <c r="C168" t="s">
        <v>25</v>
      </c>
      <c r="D168" t="s">
        <v>81</v>
      </c>
      <c r="E168" t="s">
        <v>144</v>
      </c>
      <c r="F168" s="71">
        <v>14.9</v>
      </c>
      <c r="G168" s="71">
        <v>0</v>
      </c>
    </row>
    <row r="169" spans="2:7" x14ac:dyDescent="0.25">
      <c r="B169" s="70">
        <v>43479</v>
      </c>
      <c r="C169" t="s">
        <v>25</v>
      </c>
      <c r="D169" t="s">
        <v>81</v>
      </c>
      <c r="E169" t="s">
        <v>139</v>
      </c>
      <c r="F169" s="71">
        <v>1.8</v>
      </c>
      <c r="G169" s="71">
        <v>0</v>
      </c>
    </row>
    <row r="170" spans="2:7" x14ac:dyDescent="0.25">
      <c r="B170" s="70">
        <v>43479</v>
      </c>
      <c r="C170" t="s">
        <v>46</v>
      </c>
      <c r="D170" t="s">
        <v>84</v>
      </c>
      <c r="E170" t="s">
        <v>143</v>
      </c>
      <c r="F170" s="71">
        <v>20</v>
      </c>
      <c r="G170" s="71">
        <v>0</v>
      </c>
    </row>
    <row r="171" spans="2:7" x14ac:dyDescent="0.25">
      <c r="B171" s="70">
        <v>43479</v>
      </c>
      <c r="C171" t="s">
        <v>59</v>
      </c>
      <c r="D171" t="s">
        <v>82</v>
      </c>
      <c r="E171" t="s">
        <v>143</v>
      </c>
      <c r="F171" s="71">
        <v>62.73</v>
      </c>
      <c r="G171" s="71">
        <v>0</v>
      </c>
    </row>
    <row r="172" spans="2:7" x14ac:dyDescent="0.25">
      <c r="B172" s="70">
        <v>43479</v>
      </c>
      <c r="C172" t="s">
        <v>59</v>
      </c>
      <c r="D172" t="s">
        <v>84</v>
      </c>
      <c r="E172" t="s">
        <v>143</v>
      </c>
      <c r="F172" s="71">
        <v>649.29999999999995</v>
      </c>
      <c r="G172" s="71">
        <v>0</v>
      </c>
    </row>
    <row r="173" spans="2:7" x14ac:dyDescent="0.25">
      <c r="B173" s="70">
        <v>43479</v>
      </c>
      <c r="C173" t="s">
        <v>57</v>
      </c>
      <c r="D173" t="s">
        <v>80</v>
      </c>
      <c r="E173" t="s">
        <v>143</v>
      </c>
      <c r="F173" s="71">
        <v>89.6</v>
      </c>
      <c r="G173" s="71">
        <v>0</v>
      </c>
    </row>
    <row r="174" spans="2:7" x14ac:dyDescent="0.25">
      <c r="B174" s="70">
        <v>43479</v>
      </c>
      <c r="C174" t="s">
        <v>21</v>
      </c>
      <c r="D174" t="s">
        <v>79</v>
      </c>
      <c r="E174" t="s">
        <v>143</v>
      </c>
      <c r="F174" s="71">
        <v>8</v>
      </c>
      <c r="G174" s="71">
        <v>0</v>
      </c>
    </row>
    <row r="175" spans="2:7" x14ac:dyDescent="0.25">
      <c r="B175" s="70">
        <v>43479</v>
      </c>
      <c r="C175" t="s">
        <v>21</v>
      </c>
      <c r="D175" t="s">
        <v>79</v>
      </c>
      <c r="E175" t="s">
        <v>143</v>
      </c>
      <c r="F175" s="71">
        <v>24</v>
      </c>
      <c r="G175" s="71">
        <v>0</v>
      </c>
    </row>
    <row r="176" spans="2:7" x14ac:dyDescent="0.25">
      <c r="B176" s="70">
        <v>43479</v>
      </c>
      <c r="C176" t="s">
        <v>21</v>
      </c>
      <c r="D176" t="s">
        <v>79</v>
      </c>
      <c r="E176" t="s">
        <v>143</v>
      </c>
      <c r="F176" s="71">
        <v>32</v>
      </c>
      <c r="G176" s="71">
        <v>0</v>
      </c>
    </row>
    <row r="177" spans="2:7" x14ac:dyDescent="0.25">
      <c r="B177" s="70">
        <v>43479</v>
      </c>
      <c r="C177" t="s">
        <v>50</v>
      </c>
      <c r="D177" t="s">
        <v>82</v>
      </c>
      <c r="E177" t="s">
        <v>143</v>
      </c>
      <c r="F177" s="71">
        <v>43.86</v>
      </c>
      <c r="G177" s="71">
        <v>0</v>
      </c>
    </row>
    <row r="178" spans="2:7" x14ac:dyDescent="0.25">
      <c r="B178" s="70">
        <v>43480</v>
      </c>
      <c r="C178" t="s">
        <v>25</v>
      </c>
      <c r="D178" t="s">
        <v>82</v>
      </c>
      <c r="E178" t="s">
        <v>145</v>
      </c>
      <c r="F178" s="71">
        <v>52</v>
      </c>
      <c r="G178" s="71">
        <v>0</v>
      </c>
    </row>
    <row r="179" spans="2:7" x14ac:dyDescent="0.25">
      <c r="B179" s="70">
        <v>43480</v>
      </c>
      <c r="C179" t="s">
        <v>51</v>
      </c>
      <c r="D179" t="s">
        <v>82</v>
      </c>
      <c r="E179" t="s">
        <v>145</v>
      </c>
      <c r="F179" s="71">
        <v>181.33</v>
      </c>
      <c r="G179" s="71">
        <v>0</v>
      </c>
    </row>
    <row r="180" spans="2:7" x14ac:dyDescent="0.25">
      <c r="B180" s="70">
        <v>43480</v>
      </c>
      <c r="C180" t="s">
        <v>21</v>
      </c>
      <c r="D180" t="s">
        <v>79</v>
      </c>
      <c r="E180" t="s">
        <v>145</v>
      </c>
      <c r="F180" s="71">
        <v>8</v>
      </c>
      <c r="G180" s="71">
        <v>0</v>
      </c>
    </row>
    <row r="181" spans="2:7" x14ac:dyDescent="0.25">
      <c r="B181" s="70">
        <v>43480</v>
      </c>
      <c r="C181" t="s">
        <v>21</v>
      </c>
      <c r="D181" t="s">
        <v>79</v>
      </c>
      <c r="E181" t="s">
        <v>145</v>
      </c>
      <c r="F181" s="71">
        <v>16</v>
      </c>
      <c r="G181" s="71">
        <v>0</v>
      </c>
    </row>
    <row r="182" spans="2:7" x14ac:dyDescent="0.25">
      <c r="B182" s="70">
        <v>43480</v>
      </c>
      <c r="C182" t="s">
        <v>21</v>
      </c>
      <c r="D182" t="s">
        <v>79</v>
      </c>
      <c r="E182" t="s">
        <v>145</v>
      </c>
      <c r="F182" s="71">
        <v>24</v>
      </c>
      <c r="G182" s="71">
        <v>0</v>
      </c>
    </row>
    <row r="183" spans="2:7" x14ac:dyDescent="0.25">
      <c r="B183" s="70">
        <v>43480</v>
      </c>
      <c r="C183" t="s">
        <v>21</v>
      </c>
      <c r="D183" t="s">
        <v>79</v>
      </c>
      <c r="E183" t="s">
        <v>145</v>
      </c>
      <c r="F183" s="71">
        <v>32</v>
      </c>
      <c r="G183" s="71">
        <v>0</v>
      </c>
    </row>
    <row r="184" spans="2:7" x14ac:dyDescent="0.25">
      <c r="B184" s="70">
        <v>43480</v>
      </c>
      <c r="C184" t="s">
        <v>21</v>
      </c>
      <c r="D184" t="s">
        <v>82</v>
      </c>
      <c r="E184" t="s">
        <v>145</v>
      </c>
      <c r="F184" s="71">
        <v>88</v>
      </c>
      <c r="G184" s="71">
        <v>0</v>
      </c>
    </row>
    <row r="185" spans="2:7" x14ac:dyDescent="0.25">
      <c r="B185" s="70">
        <v>43480</v>
      </c>
      <c r="C185" t="s">
        <v>21</v>
      </c>
      <c r="D185" t="s">
        <v>82</v>
      </c>
      <c r="E185" t="s">
        <v>145</v>
      </c>
      <c r="F185" s="71">
        <v>98</v>
      </c>
      <c r="G185" s="71">
        <v>0</v>
      </c>
    </row>
    <row r="186" spans="2:7" x14ac:dyDescent="0.25">
      <c r="B186" s="70">
        <v>43480</v>
      </c>
      <c r="C186" t="s">
        <v>50</v>
      </c>
      <c r="D186" t="s">
        <v>79</v>
      </c>
      <c r="E186" t="s">
        <v>145</v>
      </c>
      <c r="F186" s="71">
        <v>20</v>
      </c>
      <c r="G186" s="71">
        <v>0</v>
      </c>
    </row>
    <row r="187" spans="2:7" x14ac:dyDescent="0.25">
      <c r="B187" s="70">
        <v>43480</v>
      </c>
      <c r="C187" t="s">
        <v>50</v>
      </c>
      <c r="D187" t="s">
        <v>82</v>
      </c>
      <c r="E187" t="s">
        <v>145</v>
      </c>
      <c r="F187" s="71">
        <v>20.9</v>
      </c>
      <c r="G187" s="71">
        <v>0</v>
      </c>
    </row>
    <row r="188" spans="2:7" x14ac:dyDescent="0.25">
      <c r="B188" s="70">
        <v>43480</v>
      </c>
      <c r="C188" t="s">
        <v>58</v>
      </c>
      <c r="D188" t="s">
        <v>82</v>
      </c>
      <c r="E188" t="s">
        <v>145</v>
      </c>
      <c r="F188" s="71">
        <v>24</v>
      </c>
      <c r="G188" s="71">
        <v>0</v>
      </c>
    </row>
    <row r="189" spans="2:7" x14ac:dyDescent="0.25">
      <c r="B189" s="70">
        <v>43480</v>
      </c>
      <c r="C189" t="s">
        <v>24</v>
      </c>
      <c r="D189" t="s">
        <v>79</v>
      </c>
      <c r="E189" t="s">
        <v>145</v>
      </c>
      <c r="F189" s="71">
        <v>8</v>
      </c>
      <c r="G189" s="71">
        <v>0</v>
      </c>
    </row>
    <row r="190" spans="2:7" x14ac:dyDescent="0.25">
      <c r="B190" s="70">
        <v>43481</v>
      </c>
      <c r="C190" t="s">
        <v>25</v>
      </c>
      <c r="D190" t="s">
        <v>80</v>
      </c>
      <c r="E190" t="s">
        <v>146</v>
      </c>
      <c r="F190" s="71">
        <v>104</v>
      </c>
      <c r="G190" s="71">
        <v>0</v>
      </c>
    </row>
    <row r="191" spans="2:7" x14ac:dyDescent="0.25">
      <c r="B191" s="70">
        <v>43481</v>
      </c>
      <c r="C191" t="s">
        <v>25</v>
      </c>
      <c r="D191" t="s">
        <v>87</v>
      </c>
      <c r="E191" t="s">
        <v>146</v>
      </c>
      <c r="F191" s="71">
        <v>15.95</v>
      </c>
      <c r="G191" s="71">
        <v>0</v>
      </c>
    </row>
    <row r="192" spans="2:7" x14ac:dyDescent="0.25">
      <c r="B192" s="70">
        <v>43481</v>
      </c>
      <c r="C192" t="s">
        <v>25</v>
      </c>
      <c r="D192" t="s">
        <v>87</v>
      </c>
      <c r="E192" t="s">
        <v>146</v>
      </c>
      <c r="F192" s="71">
        <v>16.59</v>
      </c>
      <c r="G192" s="71">
        <v>0</v>
      </c>
    </row>
    <row r="193" spans="2:7" x14ac:dyDescent="0.25">
      <c r="B193" s="70">
        <v>43481</v>
      </c>
      <c r="C193" t="s">
        <v>25</v>
      </c>
      <c r="D193" t="s">
        <v>87</v>
      </c>
      <c r="E193" t="s">
        <v>146</v>
      </c>
      <c r="F193" s="71">
        <v>17.55</v>
      </c>
      <c r="G193" s="71">
        <v>0</v>
      </c>
    </row>
    <row r="194" spans="2:7" x14ac:dyDescent="0.25">
      <c r="B194" s="70">
        <v>43481</v>
      </c>
      <c r="C194" t="s">
        <v>25</v>
      </c>
      <c r="D194" t="s">
        <v>81</v>
      </c>
      <c r="E194" t="s">
        <v>147</v>
      </c>
      <c r="F194" s="71">
        <v>3</v>
      </c>
      <c r="G194" s="71">
        <v>0</v>
      </c>
    </row>
    <row r="195" spans="2:7" x14ac:dyDescent="0.25">
      <c r="B195" s="70">
        <v>43481</v>
      </c>
      <c r="C195" t="s">
        <v>25</v>
      </c>
      <c r="D195" t="s">
        <v>82</v>
      </c>
      <c r="E195" t="s">
        <v>146</v>
      </c>
      <c r="F195" s="71">
        <v>19.489999999999998</v>
      </c>
      <c r="G195" s="71">
        <v>0</v>
      </c>
    </row>
    <row r="196" spans="2:7" x14ac:dyDescent="0.25">
      <c r="B196" s="70">
        <v>43481</v>
      </c>
      <c r="C196" t="s">
        <v>21</v>
      </c>
      <c r="D196" t="s">
        <v>79</v>
      </c>
      <c r="E196" t="s">
        <v>146</v>
      </c>
      <c r="F196" s="71">
        <v>8</v>
      </c>
      <c r="G196" s="71">
        <v>0</v>
      </c>
    </row>
    <row r="197" spans="2:7" x14ac:dyDescent="0.25">
      <c r="B197" s="70">
        <v>43481</v>
      </c>
      <c r="C197" t="s">
        <v>21</v>
      </c>
      <c r="D197" t="s">
        <v>79</v>
      </c>
      <c r="E197" t="s">
        <v>146</v>
      </c>
      <c r="F197" s="71">
        <v>16</v>
      </c>
      <c r="G197" s="71">
        <v>0</v>
      </c>
    </row>
    <row r="198" spans="2:7" x14ac:dyDescent="0.25">
      <c r="B198" s="70">
        <v>43481</v>
      </c>
      <c r="C198" t="s">
        <v>21</v>
      </c>
      <c r="D198" t="s">
        <v>79</v>
      </c>
      <c r="E198" t="s">
        <v>146</v>
      </c>
      <c r="F198" s="71">
        <v>56</v>
      </c>
      <c r="G198" s="71">
        <v>0</v>
      </c>
    </row>
    <row r="199" spans="2:7" x14ac:dyDescent="0.25">
      <c r="B199" s="70">
        <v>43481</v>
      </c>
      <c r="C199" t="s">
        <v>21</v>
      </c>
      <c r="D199" t="s">
        <v>79</v>
      </c>
      <c r="E199" t="s">
        <v>146</v>
      </c>
      <c r="F199" s="71">
        <v>64</v>
      </c>
      <c r="G199" s="71">
        <v>0</v>
      </c>
    </row>
    <row r="200" spans="2:7" x14ac:dyDescent="0.25">
      <c r="B200" s="70">
        <v>43481</v>
      </c>
      <c r="C200" t="s">
        <v>52</v>
      </c>
      <c r="D200" t="s">
        <v>79</v>
      </c>
      <c r="E200" t="s">
        <v>146</v>
      </c>
      <c r="F200" s="71">
        <v>16</v>
      </c>
      <c r="G200" s="71">
        <v>0</v>
      </c>
    </row>
    <row r="201" spans="2:7" x14ac:dyDescent="0.25">
      <c r="B201" s="70">
        <v>43481</v>
      </c>
      <c r="C201" t="s">
        <v>24</v>
      </c>
      <c r="D201" t="s">
        <v>79</v>
      </c>
      <c r="E201" t="s">
        <v>146</v>
      </c>
      <c r="F201" s="71">
        <v>8</v>
      </c>
      <c r="G201" s="71">
        <v>0</v>
      </c>
    </row>
    <row r="202" spans="2:7" x14ac:dyDescent="0.25">
      <c r="B202" s="70">
        <v>43482</v>
      </c>
      <c r="C202" t="s">
        <v>25</v>
      </c>
      <c r="D202" t="s">
        <v>81</v>
      </c>
      <c r="E202" t="s">
        <v>148</v>
      </c>
      <c r="F202" s="71">
        <v>18</v>
      </c>
      <c r="G202" s="71">
        <v>0</v>
      </c>
    </row>
    <row r="203" spans="2:7" x14ac:dyDescent="0.25">
      <c r="B203" s="70">
        <v>43482</v>
      </c>
      <c r="C203" t="s">
        <v>25</v>
      </c>
      <c r="D203" t="s">
        <v>81</v>
      </c>
      <c r="E203" t="s">
        <v>149</v>
      </c>
      <c r="F203" s="71">
        <v>3</v>
      </c>
      <c r="G203" s="71">
        <v>0</v>
      </c>
    </row>
    <row r="204" spans="2:7" x14ac:dyDescent="0.25">
      <c r="B204" s="70">
        <v>43482</v>
      </c>
      <c r="C204" t="s">
        <v>25</v>
      </c>
      <c r="D204" t="s">
        <v>81</v>
      </c>
      <c r="E204" t="s">
        <v>150</v>
      </c>
      <c r="F204" s="71">
        <v>14</v>
      </c>
      <c r="G204" s="71">
        <v>0</v>
      </c>
    </row>
    <row r="205" spans="2:7" x14ac:dyDescent="0.25">
      <c r="B205" s="70">
        <v>43482</v>
      </c>
      <c r="C205" t="s">
        <v>25</v>
      </c>
      <c r="D205" t="s">
        <v>81</v>
      </c>
      <c r="E205" t="s">
        <v>132</v>
      </c>
      <c r="F205" s="71">
        <v>1.8</v>
      </c>
      <c r="G205" s="71">
        <v>0</v>
      </c>
    </row>
    <row r="206" spans="2:7" x14ac:dyDescent="0.25">
      <c r="B206" s="70">
        <v>43482</v>
      </c>
      <c r="C206" t="s">
        <v>25</v>
      </c>
      <c r="D206" t="s">
        <v>81</v>
      </c>
      <c r="E206" t="s">
        <v>128</v>
      </c>
      <c r="F206" s="71">
        <v>2.7</v>
      </c>
      <c r="G206" s="71">
        <v>0</v>
      </c>
    </row>
    <row r="207" spans="2:7" x14ac:dyDescent="0.25">
      <c r="B207" s="70">
        <v>43482</v>
      </c>
      <c r="C207" t="s">
        <v>59</v>
      </c>
      <c r="D207" t="s">
        <v>82</v>
      </c>
      <c r="E207" t="s">
        <v>151</v>
      </c>
      <c r="F207" s="71">
        <v>225.46</v>
      </c>
      <c r="G207" s="71">
        <v>0</v>
      </c>
    </row>
    <row r="208" spans="2:7" x14ac:dyDescent="0.25">
      <c r="B208" s="70">
        <v>43482</v>
      </c>
      <c r="C208" t="s">
        <v>21</v>
      </c>
      <c r="D208" t="s">
        <v>79</v>
      </c>
      <c r="E208" t="s">
        <v>151</v>
      </c>
      <c r="F208" s="71">
        <v>24</v>
      </c>
      <c r="G208" s="71">
        <v>0</v>
      </c>
    </row>
    <row r="209" spans="2:7" x14ac:dyDescent="0.25">
      <c r="B209" s="70">
        <v>43482</v>
      </c>
      <c r="C209" t="s">
        <v>48</v>
      </c>
      <c r="D209" t="s">
        <v>79</v>
      </c>
      <c r="E209" t="s">
        <v>151</v>
      </c>
      <c r="F209" s="71">
        <v>40</v>
      </c>
      <c r="G209" s="71">
        <v>0</v>
      </c>
    </row>
    <row r="210" spans="2:7" x14ac:dyDescent="0.25">
      <c r="B210" s="70">
        <v>43482</v>
      </c>
      <c r="C210" t="s">
        <v>48</v>
      </c>
      <c r="D210" t="s">
        <v>82</v>
      </c>
      <c r="E210" t="s">
        <v>151</v>
      </c>
      <c r="F210" s="71">
        <v>16</v>
      </c>
      <c r="G210" s="71">
        <v>0</v>
      </c>
    </row>
    <row r="211" spans="2:7" x14ac:dyDescent="0.25">
      <c r="B211" s="70">
        <v>43482</v>
      </c>
      <c r="C211" t="s">
        <v>50</v>
      </c>
      <c r="D211" t="s">
        <v>82</v>
      </c>
      <c r="E211" t="s">
        <v>151</v>
      </c>
      <c r="F211" s="71">
        <v>10.07</v>
      </c>
      <c r="G211" s="71">
        <v>0</v>
      </c>
    </row>
    <row r="212" spans="2:7" x14ac:dyDescent="0.25">
      <c r="B212" s="70">
        <v>43483</v>
      </c>
      <c r="C212" t="s">
        <v>25</v>
      </c>
      <c r="D212" t="s">
        <v>87</v>
      </c>
      <c r="E212" t="s">
        <v>152</v>
      </c>
      <c r="F212" s="71">
        <v>21.2</v>
      </c>
      <c r="G212" s="71">
        <v>0</v>
      </c>
    </row>
    <row r="213" spans="2:7" x14ac:dyDescent="0.25">
      <c r="B213" s="70">
        <v>43483</v>
      </c>
      <c r="C213" t="s">
        <v>25</v>
      </c>
      <c r="D213" t="s">
        <v>87</v>
      </c>
      <c r="E213" t="s">
        <v>152</v>
      </c>
      <c r="F213" s="71">
        <v>41.2</v>
      </c>
      <c r="G213" s="71">
        <v>0</v>
      </c>
    </row>
    <row r="214" spans="2:7" x14ac:dyDescent="0.25">
      <c r="B214" s="70">
        <v>43483</v>
      </c>
      <c r="C214" t="s">
        <v>25</v>
      </c>
      <c r="D214" t="s">
        <v>87</v>
      </c>
      <c r="E214" t="s">
        <v>152</v>
      </c>
      <c r="F214" s="71">
        <v>85.13</v>
      </c>
      <c r="G214" s="71">
        <v>0</v>
      </c>
    </row>
    <row r="215" spans="2:7" x14ac:dyDescent="0.25">
      <c r="B215" s="70">
        <v>43483</v>
      </c>
      <c r="C215" t="s">
        <v>25</v>
      </c>
      <c r="D215" t="s">
        <v>81</v>
      </c>
      <c r="E215" t="s">
        <v>147</v>
      </c>
      <c r="F215" s="71">
        <v>3</v>
      </c>
      <c r="G215" s="71">
        <v>0</v>
      </c>
    </row>
    <row r="216" spans="2:7" x14ac:dyDescent="0.25">
      <c r="B216" s="70">
        <v>43483</v>
      </c>
      <c r="C216" t="s">
        <v>25</v>
      </c>
      <c r="D216" t="s">
        <v>81</v>
      </c>
      <c r="E216" t="s">
        <v>153</v>
      </c>
      <c r="F216" s="71">
        <v>10.6</v>
      </c>
      <c r="G216" s="71">
        <v>0</v>
      </c>
    </row>
    <row r="217" spans="2:7" x14ac:dyDescent="0.25">
      <c r="B217" s="70">
        <v>43483</v>
      </c>
      <c r="C217" t="s">
        <v>25</v>
      </c>
      <c r="D217" t="s">
        <v>81</v>
      </c>
      <c r="E217" t="s">
        <v>139</v>
      </c>
      <c r="F217" s="71">
        <v>4.75</v>
      </c>
      <c r="G217" s="71">
        <v>0</v>
      </c>
    </row>
    <row r="218" spans="2:7" x14ac:dyDescent="0.25">
      <c r="B218" s="70">
        <v>43483</v>
      </c>
      <c r="C218" t="s">
        <v>25</v>
      </c>
      <c r="D218" t="s">
        <v>81</v>
      </c>
      <c r="E218" t="s">
        <v>154</v>
      </c>
      <c r="F218" s="71">
        <v>12</v>
      </c>
      <c r="G218" s="71">
        <v>0</v>
      </c>
    </row>
    <row r="219" spans="2:7" x14ac:dyDescent="0.25">
      <c r="B219" s="70">
        <v>43483</v>
      </c>
      <c r="C219" t="s">
        <v>25</v>
      </c>
      <c r="D219" t="s">
        <v>81</v>
      </c>
      <c r="E219" t="s">
        <v>155</v>
      </c>
      <c r="F219" s="71">
        <v>0.3</v>
      </c>
      <c r="G219" s="71">
        <v>0</v>
      </c>
    </row>
    <row r="220" spans="2:7" x14ac:dyDescent="0.25">
      <c r="B220" s="70">
        <v>43483</v>
      </c>
      <c r="C220" t="s">
        <v>25</v>
      </c>
      <c r="D220" t="s">
        <v>81</v>
      </c>
      <c r="E220" t="s">
        <v>128</v>
      </c>
      <c r="F220" s="71">
        <v>3.5</v>
      </c>
      <c r="G220" s="71">
        <v>0</v>
      </c>
    </row>
    <row r="221" spans="2:7" x14ac:dyDescent="0.25">
      <c r="B221" s="70">
        <v>43483</v>
      </c>
      <c r="C221" t="s">
        <v>25</v>
      </c>
      <c r="D221" t="s">
        <v>82</v>
      </c>
      <c r="E221" t="s">
        <v>152</v>
      </c>
      <c r="F221" s="71">
        <v>130</v>
      </c>
      <c r="G221" s="71">
        <v>0</v>
      </c>
    </row>
    <row r="222" spans="2:7" x14ac:dyDescent="0.25">
      <c r="B222" s="70">
        <v>43483</v>
      </c>
      <c r="C222" t="s">
        <v>46</v>
      </c>
      <c r="D222" t="s">
        <v>82</v>
      </c>
      <c r="E222" t="s">
        <v>152</v>
      </c>
      <c r="F222" s="71">
        <v>102.06</v>
      </c>
      <c r="G222" s="71">
        <v>0</v>
      </c>
    </row>
    <row r="223" spans="2:7" x14ac:dyDescent="0.25">
      <c r="B223" s="70">
        <v>43483</v>
      </c>
      <c r="C223" t="s">
        <v>59</v>
      </c>
      <c r="D223" t="s">
        <v>82</v>
      </c>
      <c r="E223" t="s">
        <v>152</v>
      </c>
      <c r="F223" s="71">
        <v>419.77</v>
      </c>
      <c r="G223" s="71">
        <v>0</v>
      </c>
    </row>
    <row r="224" spans="2:7" x14ac:dyDescent="0.25">
      <c r="B224" s="70">
        <v>43483</v>
      </c>
      <c r="C224" t="s">
        <v>51</v>
      </c>
      <c r="D224" t="s">
        <v>82</v>
      </c>
      <c r="E224" t="s">
        <v>152</v>
      </c>
      <c r="F224" s="71">
        <v>98.86</v>
      </c>
      <c r="G224" s="71">
        <v>0</v>
      </c>
    </row>
    <row r="225" spans="2:7" x14ac:dyDescent="0.25">
      <c r="B225" s="70">
        <v>43483</v>
      </c>
      <c r="C225" t="s">
        <v>21</v>
      </c>
      <c r="D225" t="s">
        <v>79</v>
      </c>
      <c r="E225" t="s">
        <v>152</v>
      </c>
      <c r="F225" s="71">
        <v>8</v>
      </c>
      <c r="G225" s="71">
        <v>0</v>
      </c>
    </row>
    <row r="226" spans="2:7" x14ac:dyDescent="0.25">
      <c r="B226" s="70">
        <v>43483</v>
      </c>
      <c r="C226" t="s">
        <v>21</v>
      </c>
      <c r="D226" t="s">
        <v>79</v>
      </c>
      <c r="E226" t="s">
        <v>152</v>
      </c>
      <c r="F226" s="71">
        <v>16</v>
      </c>
      <c r="G226" s="71">
        <v>0</v>
      </c>
    </row>
    <row r="227" spans="2:7" x14ac:dyDescent="0.25">
      <c r="B227" s="70">
        <v>43483</v>
      </c>
      <c r="C227" t="s">
        <v>21</v>
      </c>
      <c r="D227" t="s">
        <v>79</v>
      </c>
      <c r="E227" t="s">
        <v>152</v>
      </c>
      <c r="F227" s="71">
        <v>32</v>
      </c>
      <c r="G227" s="71">
        <v>0</v>
      </c>
    </row>
    <row r="228" spans="2:7" x14ac:dyDescent="0.25">
      <c r="B228" s="70">
        <v>43483</v>
      </c>
      <c r="C228" t="s">
        <v>21</v>
      </c>
      <c r="D228" t="s">
        <v>79</v>
      </c>
      <c r="E228" t="s">
        <v>152</v>
      </c>
      <c r="F228" s="71">
        <v>48</v>
      </c>
      <c r="G228" s="71">
        <v>0</v>
      </c>
    </row>
    <row r="229" spans="2:7" x14ac:dyDescent="0.25">
      <c r="B229" s="70">
        <v>43483</v>
      </c>
      <c r="C229" t="s">
        <v>55</v>
      </c>
      <c r="D229" t="s">
        <v>83</v>
      </c>
      <c r="E229" t="s">
        <v>152</v>
      </c>
      <c r="F229" s="71">
        <v>53.73</v>
      </c>
      <c r="G229" s="71">
        <v>0</v>
      </c>
    </row>
    <row r="230" spans="2:7" x14ac:dyDescent="0.25">
      <c r="B230" s="70">
        <v>43483</v>
      </c>
      <c r="C230" t="s">
        <v>52</v>
      </c>
      <c r="D230" t="s">
        <v>79</v>
      </c>
      <c r="E230" t="s">
        <v>152</v>
      </c>
      <c r="F230" s="71">
        <v>10</v>
      </c>
      <c r="G230" s="71">
        <v>0</v>
      </c>
    </row>
    <row r="231" spans="2:7" x14ac:dyDescent="0.25">
      <c r="B231" s="70">
        <v>43483</v>
      </c>
      <c r="C231" t="s">
        <v>52</v>
      </c>
      <c r="D231" t="s">
        <v>82</v>
      </c>
      <c r="E231" t="s">
        <v>152</v>
      </c>
      <c r="F231" s="71">
        <v>12</v>
      </c>
      <c r="G231" s="71">
        <v>0</v>
      </c>
    </row>
    <row r="232" spans="2:7" x14ac:dyDescent="0.25">
      <c r="B232" s="70">
        <v>43483</v>
      </c>
      <c r="C232" t="s">
        <v>58</v>
      </c>
      <c r="D232" t="s">
        <v>82</v>
      </c>
      <c r="E232" t="s">
        <v>152</v>
      </c>
      <c r="F232" s="71">
        <v>20</v>
      </c>
      <c r="G232" s="71">
        <v>0</v>
      </c>
    </row>
    <row r="233" spans="2:7" x14ac:dyDescent="0.25">
      <c r="B233" s="70">
        <v>43483</v>
      </c>
      <c r="C233" t="s">
        <v>53</v>
      </c>
      <c r="D233" t="s">
        <v>82</v>
      </c>
      <c r="E233" t="s">
        <v>152</v>
      </c>
      <c r="F233" s="71">
        <v>256.42</v>
      </c>
      <c r="G233" s="71">
        <v>0</v>
      </c>
    </row>
    <row r="234" spans="2:7" x14ac:dyDescent="0.25">
      <c r="B234" s="70">
        <v>43483</v>
      </c>
      <c r="C234" t="s">
        <v>60</v>
      </c>
      <c r="D234" t="s">
        <v>80</v>
      </c>
      <c r="E234" t="s">
        <v>152</v>
      </c>
      <c r="F234" s="71">
        <v>325.32</v>
      </c>
      <c r="G234" s="71">
        <v>0</v>
      </c>
    </row>
    <row r="235" spans="2:7" x14ac:dyDescent="0.25">
      <c r="B235" s="70">
        <v>43484</v>
      </c>
      <c r="C235" t="s">
        <v>54</v>
      </c>
      <c r="D235" t="s">
        <v>86</v>
      </c>
      <c r="E235" t="s">
        <v>156</v>
      </c>
      <c r="F235" s="71">
        <v>603.04999999999995</v>
      </c>
      <c r="G235" s="71">
        <v>0</v>
      </c>
    </row>
    <row r="236" spans="2:7" x14ac:dyDescent="0.25">
      <c r="B236" s="70">
        <v>43484</v>
      </c>
      <c r="C236" t="s">
        <v>46</v>
      </c>
      <c r="D236" t="s">
        <v>86</v>
      </c>
      <c r="E236" t="s">
        <v>156</v>
      </c>
      <c r="F236" s="71">
        <v>269.14999999999998</v>
      </c>
      <c r="G236" s="71">
        <v>0</v>
      </c>
    </row>
    <row r="237" spans="2:7" x14ac:dyDescent="0.25">
      <c r="B237" s="70">
        <v>43484</v>
      </c>
      <c r="C237" t="s">
        <v>57</v>
      </c>
      <c r="D237" t="s">
        <v>86</v>
      </c>
      <c r="E237" t="s">
        <v>156</v>
      </c>
      <c r="F237" s="71">
        <v>23.85</v>
      </c>
      <c r="G237" s="71">
        <v>0</v>
      </c>
    </row>
    <row r="238" spans="2:7" x14ac:dyDescent="0.25">
      <c r="B238" s="70">
        <v>43484</v>
      </c>
      <c r="C238" t="s">
        <v>44</v>
      </c>
      <c r="D238" t="s">
        <v>86</v>
      </c>
      <c r="E238" t="s">
        <v>156</v>
      </c>
      <c r="F238" s="71">
        <v>63.75</v>
      </c>
      <c r="G238" s="71">
        <v>0</v>
      </c>
    </row>
    <row r="239" spans="2:7" x14ac:dyDescent="0.25">
      <c r="B239" s="70">
        <v>43484</v>
      </c>
      <c r="C239" t="s">
        <v>60</v>
      </c>
      <c r="D239" t="s">
        <v>86</v>
      </c>
      <c r="E239" t="s">
        <v>156</v>
      </c>
      <c r="F239" s="71">
        <v>442</v>
      </c>
      <c r="G239" s="71">
        <v>0</v>
      </c>
    </row>
    <row r="240" spans="2:7" x14ac:dyDescent="0.25">
      <c r="B240" s="70">
        <v>43484</v>
      </c>
      <c r="C240" t="s">
        <v>61</v>
      </c>
      <c r="D240" t="s">
        <v>86</v>
      </c>
      <c r="E240" t="s">
        <v>156</v>
      </c>
      <c r="F240" s="71">
        <v>532.04999999999995</v>
      </c>
      <c r="G240" s="71">
        <v>0</v>
      </c>
    </row>
    <row r="241" spans="2:7" x14ac:dyDescent="0.25">
      <c r="B241" s="70">
        <v>43484</v>
      </c>
      <c r="C241" t="s">
        <v>62</v>
      </c>
      <c r="D241" t="s">
        <v>86</v>
      </c>
      <c r="E241" t="s">
        <v>156</v>
      </c>
      <c r="F241" s="71">
        <v>77.650000000000006</v>
      </c>
      <c r="G241" s="71">
        <v>0</v>
      </c>
    </row>
    <row r="242" spans="2:7" x14ac:dyDescent="0.25">
      <c r="B242" s="70">
        <v>43486</v>
      </c>
      <c r="C242" t="s">
        <v>25</v>
      </c>
      <c r="D242" t="s">
        <v>79</v>
      </c>
      <c r="E242" t="s">
        <v>157</v>
      </c>
      <c r="F242" s="71">
        <v>8</v>
      </c>
      <c r="G242" s="71">
        <v>0</v>
      </c>
    </row>
    <row r="243" spans="2:7" x14ac:dyDescent="0.25">
      <c r="B243" s="70">
        <v>43486</v>
      </c>
      <c r="C243" t="s">
        <v>25</v>
      </c>
      <c r="D243" t="s">
        <v>79</v>
      </c>
      <c r="E243" t="s">
        <v>157</v>
      </c>
      <c r="F243" s="71">
        <v>16</v>
      </c>
      <c r="G243" s="71">
        <v>0</v>
      </c>
    </row>
    <row r="244" spans="2:7" x14ac:dyDescent="0.25">
      <c r="B244" s="70">
        <v>43486</v>
      </c>
      <c r="C244" t="s">
        <v>25</v>
      </c>
      <c r="D244" t="s">
        <v>81</v>
      </c>
      <c r="E244" t="s">
        <v>138</v>
      </c>
      <c r="F244" s="71">
        <v>4.5</v>
      </c>
      <c r="G244" s="71">
        <v>0</v>
      </c>
    </row>
    <row r="245" spans="2:7" x14ac:dyDescent="0.25">
      <c r="B245" s="70">
        <v>43486</v>
      </c>
      <c r="C245" t="s">
        <v>25</v>
      </c>
      <c r="D245" t="s">
        <v>81</v>
      </c>
      <c r="E245" t="s">
        <v>158</v>
      </c>
      <c r="F245" s="71">
        <v>2.25</v>
      </c>
      <c r="G245" s="71">
        <v>0</v>
      </c>
    </row>
    <row r="246" spans="2:7" x14ac:dyDescent="0.25">
      <c r="B246" s="70">
        <v>43486</v>
      </c>
      <c r="C246" t="s">
        <v>21</v>
      </c>
      <c r="D246" t="s">
        <v>79</v>
      </c>
      <c r="E246" t="s">
        <v>157</v>
      </c>
      <c r="F246" s="71">
        <v>8</v>
      </c>
      <c r="G246" s="71">
        <v>0</v>
      </c>
    </row>
    <row r="247" spans="2:7" x14ac:dyDescent="0.25">
      <c r="B247" s="70">
        <v>43486</v>
      </c>
      <c r="C247" t="s">
        <v>21</v>
      </c>
      <c r="D247" t="s">
        <v>79</v>
      </c>
      <c r="E247" t="s">
        <v>157</v>
      </c>
      <c r="F247" s="71">
        <v>16</v>
      </c>
      <c r="G247" s="71">
        <v>0</v>
      </c>
    </row>
    <row r="248" spans="2:7" x14ac:dyDescent="0.25">
      <c r="B248" s="70">
        <v>43486</v>
      </c>
      <c r="C248" t="s">
        <v>21</v>
      </c>
      <c r="D248" t="s">
        <v>79</v>
      </c>
      <c r="E248" t="s">
        <v>157</v>
      </c>
      <c r="F248" s="71">
        <v>24</v>
      </c>
      <c r="G248" s="71">
        <v>0</v>
      </c>
    </row>
    <row r="249" spans="2:7" x14ac:dyDescent="0.25">
      <c r="B249" s="70">
        <v>43486</v>
      </c>
      <c r="C249" t="s">
        <v>21</v>
      </c>
      <c r="D249" t="s">
        <v>79</v>
      </c>
      <c r="E249" t="s">
        <v>157</v>
      </c>
      <c r="F249" s="71">
        <v>32</v>
      </c>
      <c r="G249" s="71">
        <v>0</v>
      </c>
    </row>
    <row r="250" spans="2:7" x14ac:dyDescent="0.25">
      <c r="B250" s="70">
        <v>43486</v>
      </c>
      <c r="C250" t="s">
        <v>21</v>
      </c>
      <c r="D250" t="s">
        <v>79</v>
      </c>
      <c r="E250" t="s">
        <v>157</v>
      </c>
      <c r="F250" s="71">
        <v>80</v>
      </c>
      <c r="G250" s="71">
        <v>0</v>
      </c>
    </row>
    <row r="251" spans="2:7" x14ac:dyDescent="0.25">
      <c r="B251" s="70">
        <v>43486</v>
      </c>
      <c r="C251" t="s">
        <v>21</v>
      </c>
      <c r="D251" t="s">
        <v>79</v>
      </c>
      <c r="E251" t="s">
        <v>157</v>
      </c>
      <c r="F251" s="71">
        <v>88</v>
      </c>
      <c r="G251" s="71">
        <v>0</v>
      </c>
    </row>
    <row r="252" spans="2:7" x14ac:dyDescent="0.25">
      <c r="B252" s="70">
        <v>43486</v>
      </c>
      <c r="C252" t="s">
        <v>50</v>
      </c>
      <c r="D252" t="s">
        <v>82</v>
      </c>
      <c r="E252" t="s">
        <v>157</v>
      </c>
      <c r="F252" s="71">
        <v>88.61</v>
      </c>
      <c r="G252" s="71">
        <v>0</v>
      </c>
    </row>
    <row r="253" spans="2:7" x14ac:dyDescent="0.25">
      <c r="B253" s="70">
        <v>43486</v>
      </c>
      <c r="C253" t="s">
        <v>63</v>
      </c>
      <c r="D253" t="s">
        <v>79</v>
      </c>
      <c r="E253" t="s">
        <v>157</v>
      </c>
      <c r="F253" s="71">
        <v>98.88</v>
      </c>
      <c r="G253" s="71">
        <v>0</v>
      </c>
    </row>
    <row r="254" spans="2:7" x14ac:dyDescent="0.25">
      <c r="B254" s="70">
        <v>43486</v>
      </c>
      <c r="C254" t="s">
        <v>24</v>
      </c>
      <c r="D254" t="s">
        <v>79</v>
      </c>
      <c r="E254" t="s">
        <v>157</v>
      </c>
      <c r="F254" s="71">
        <v>8</v>
      </c>
      <c r="G254" s="71">
        <v>0</v>
      </c>
    </row>
    <row r="255" spans="2:7" x14ac:dyDescent="0.25">
      <c r="B255" s="70">
        <v>43486</v>
      </c>
      <c r="C255" t="s">
        <v>24</v>
      </c>
      <c r="D255" t="s">
        <v>79</v>
      </c>
      <c r="E255" t="s">
        <v>157</v>
      </c>
      <c r="F255" s="71">
        <v>16</v>
      </c>
      <c r="G255" s="71">
        <v>0</v>
      </c>
    </row>
    <row r="256" spans="2:7" x14ac:dyDescent="0.25">
      <c r="B256" s="70">
        <v>43487</v>
      </c>
      <c r="C256" t="s">
        <v>25</v>
      </c>
      <c r="D256" t="s">
        <v>87</v>
      </c>
      <c r="E256" t="s">
        <v>159</v>
      </c>
      <c r="F256" s="71">
        <v>20.8</v>
      </c>
      <c r="G256" s="71">
        <v>0</v>
      </c>
    </row>
    <row r="257" spans="2:7" x14ac:dyDescent="0.25">
      <c r="B257" s="70">
        <v>43487</v>
      </c>
      <c r="C257" t="s">
        <v>25</v>
      </c>
      <c r="D257" t="s">
        <v>87</v>
      </c>
      <c r="E257" t="s">
        <v>159</v>
      </c>
      <c r="F257" s="71">
        <v>38.520000000000003</v>
      </c>
      <c r="G257" s="71">
        <v>0</v>
      </c>
    </row>
    <row r="258" spans="2:7" x14ac:dyDescent="0.25">
      <c r="B258" s="70">
        <v>43487</v>
      </c>
      <c r="C258" t="s">
        <v>46</v>
      </c>
      <c r="D258" t="s">
        <v>82</v>
      </c>
      <c r="E258" t="s">
        <v>159</v>
      </c>
      <c r="F258" s="71">
        <v>10</v>
      </c>
      <c r="G258" s="71">
        <v>0</v>
      </c>
    </row>
    <row r="259" spans="2:7" x14ac:dyDescent="0.25">
      <c r="B259" s="70">
        <v>43487</v>
      </c>
      <c r="C259" t="s">
        <v>59</v>
      </c>
      <c r="D259" t="s">
        <v>80</v>
      </c>
      <c r="E259" t="s">
        <v>159</v>
      </c>
      <c r="F259" s="71">
        <v>45.75</v>
      </c>
      <c r="G259" s="71">
        <v>0</v>
      </c>
    </row>
    <row r="260" spans="2:7" x14ac:dyDescent="0.25">
      <c r="B260" s="70">
        <v>43487</v>
      </c>
      <c r="C260" t="s">
        <v>59</v>
      </c>
      <c r="D260" t="s">
        <v>82</v>
      </c>
      <c r="E260" t="s">
        <v>159</v>
      </c>
      <c r="F260" s="71">
        <v>170</v>
      </c>
      <c r="G260" s="71">
        <v>0</v>
      </c>
    </row>
    <row r="261" spans="2:7" x14ac:dyDescent="0.25">
      <c r="B261" s="70">
        <v>43487</v>
      </c>
      <c r="C261" t="s">
        <v>47</v>
      </c>
      <c r="D261" t="s">
        <v>80</v>
      </c>
      <c r="E261" t="s">
        <v>159</v>
      </c>
      <c r="F261" s="71">
        <v>50.36</v>
      </c>
      <c r="G261" s="71">
        <v>0</v>
      </c>
    </row>
    <row r="262" spans="2:7" x14ac:dyDescent="0.25">
      <c r="B262" s="70">
        <v>43487</v>
      </c>
      <c r="C262" t="s">
        <v>47</v>
      </c>
      <c r="D262" t="s">
        <v>86</v>
      </c>
      <c r="E262" t="s">
        <v>159</v>
      </c>
      <c r="F262" s="71">
        <v>367.45</v>
      </c>
      <c r="G262" s="71">
        <v>0</v>
      </c>
    </row>
    <row r="263" spans="2:7" x14ac:dyDescent="0.25">
      <c r="B263" s="70">
        <v>43487</v>
      </c>
      <c r="C263" t="s">
        <v>21</v>
      </c>
      <c r="D263" t="s">
        <v>79</v>
      </c>
      <c r="E263" t="s">
        <v>159</v>
      </c>
      <c r="F263" s="71">
        <v>8</v>
      </c>
      <c r="G263" s="71">
        <v>0</v>
      </c>
    </row>
    <row r="264" spans="2:7" x14ac:dyDescent="0.25">
      <c r="B264" s="70">
        <v>43487</v>
      </c>
      <c r="C264" t="s">
        <v>21</v>
      </c>
      <c r="D264" t="s">
        <v>79</v>
      </c>
      <c r="E264" t="s">
        <v>159</v>
      </c>
      <c r="F264" s="71">
        <v>16</v>
      </c>
      <c r="G264" s="71">
        <v>0</v>
      </c>
    </row>
    <row r="265" spans="2:7" x14ac:dyDescent="0.25">
      <c r="B265" s="70">
        <v>43487</v>
      </c>
      <c r="C265" t="s">
        <v>21</v>
      </c>
      <c r="D265" t="s">
        <v>79</v>
      </c>
      <c r="E265" t="s">
        <v>159</v>
      </c>
      <c r="F265" s="71">
        <v>24</v>
      </c>
      <c r="G265" s="71">
        <v>0</v>
      </c>
    </row>
    <row r="266" spans="2:7" x14ac:dyDescent="0.25">
      <c r="B266" s="70">
        <v>43487</v>
      </c>
      <c r="C266" t="s">
        <v>21</v>
      </c>
      <c r="D266" t="s">
        <v>79</v>
      </c>
      <c r="E266" t="s">
        <v>159</v>
      </c>
      <c r="F266" s="71">
        <v>56</v>
      </c>
      <c r="G266" s="71">
        <v>0</v>
      </c>
    </row>
    <row r="267" spans="2:7" x14ac:dyDescent="0.25">
      <c r="B267" s="70">
        <v>43487</v>
      </c>
      <c r="C267" t="s">
        <v>21</v>
      </c>
      <c r="D267" t="s">
        <v>79</v>
      </c>
      <c r="E267" t="s">
        <v>159</v>
      </c>
      <c r="F267" s="71">
        <v>80</v>
      </c>
      <c r="G267" s="71">
        <v>0</v>
      </c>
    </row>
    <row r="268" spans="2:7" x14ac:dyDescent="0.25">
      <c r="B268" s="70">
        <v>43487</v>
      </c>
      <c r="C268" t="s">
        <v>48</v>
      </c>
      <c r="D268" t="s">
        <v>82</v>
      </c>
      <c r="E268" t="s">
        <v>159</v>
      </c>
      <c r="F268" s="71">
        <v>85</v>
      </c>
      <c r="G268" s="71">
        <v>0</v>
      </c>
    </row>
    <row r="269" spans="2:7" x14ac:dyDescent="0.25">
      <c r="B269" s="70">
        <v>43487</v>
      </c>
      <c r="C269" t="s">
        <v>50</v>
      </c>
      <c r="D269" t="s">
        <v>83</v>
      </c>
      <c r="E269" t="s">
        <v>159</v>
      </c>
      <c r="F269" s="71">
        <v>125</v>
      </c>
      <c r="G269" s="71">
        <v>0</v>
      </c>
    </row>
    <row r="270" spans="2:7" x14ac:dyDescent="0.25">
      <c r="B270" s="70">
        <v>43487</v>
      </c>
      <c r="C270" t="s">
        <v>24</v>
      </c>
      <c r="D270" t="s">
        <v>79</v>
      </c>
      <c r="E270" t="s">
        <v>159</v>
      </c>
      <c r="F270" s="71">
        <v>8</v>
      </c>
      <c r="G270" s="71">
        <v>0</v>
      </c>
    </row>
    <row r="271" spans="2:7" x14ac:dyDescent="0.25">
      <c r="B271" s="70">
        <v>43487</v>
      </c>
      <c r="C271" t="s">
        <v>60</v>
      </c>
      <c r="D271" t="s">
        <v>80</v>
      </c>
      <c r="E271" t="s">
        <v>159</v>
      </c>
      <c r="F271" s="71">
        <v>103.6</v>
      </c>
      <c r="G271" s="71">
        <v>0</v>
      </c>
    </row>
    <row r="272" spans="2:7" x14ac:dyDescent="0.25">
      <c r="B272" s="70">
        <v>43488</v>
      </c>
      <c r="C272" t="s">
        <v>25</v>
      </c>
      <c r="D272" t="s">
        <v>87</v>
      </c>
      <c r="E272" t="s">
        <v>160</v>
      </c>
      <c r="F272" s="71">
        <v>0</v>
      </c>
      <c r="G272" s="71">
        <v>16.59</v>
      </c>
    </row>
    <row r="273" spans="2:7" x14ac:dyDescent="0.25">
      <c r="B273" s="70">
        <v>43488</v>
      </c>
      <c r="C273" t="s">
        <v>25</v>
      </c>
      <c r="D273" t="s">
        <v>87</v>
      </c>
      <c r="E273" t="s">
        <v>160</v>
      </c>
      <c r="F273" s="71">
        <v>16.59</v>
      </c>
      <c r="G273" s="71">
        <v>0</v>
      </c>
    </row>
    <row r="274" spans="2:7" x14ac:dyDescent="0.25">
      <c r="B274" s="70">
        <v>43488</v>
      </c>
      <c r="C274" t="s">
        <v>25</v>
      </c>
      <c r="D274" t="s">
        <v>81</v>
      </c>
      <c r="E274" t="s">
        <v>154</v>
      </c>
      <c r="F274" s="71">
        <v>4.5</v>
      </c>
      <c r="G274" s="71">
        <v>0</v>
      </c>
    </row>
    <row r="275" spans="2:7" x14ac:dyDescent="0.25">
      <c r="B275" s="70">
        <v>43488</v>
      </c>
      <c r="C275" t="s">
        <v>21</v>
      </c>
      <c r="D275" t="s">
        <v>79</v>
      </c>
      <c r="E275" t="s">
        <v>160</v>
      </c>
      <c r="F275" s="71">
        <v>48</v>
      </c>
      <c r="G275" s="71">
        <v>0</v>
      </c>
    </row>
    <row r="276" spans="2:7" x14ac:dyDescent="0.25">
      <c r="B276" s="70">
        <v>43489</v>
      </c>
      <c r="C276" t="s">
        <v>25</v>
      </c>
      <c r="D276" t="s">
        <v>81</v>
      </c>
      <c r="E276" t="s">
        <v>161</v>
      </c>
      <c r="F276" s="71">
        <v>17.399999999999999</v>
      </c>
      <c r="G276" s="71">
        <v>0</v>
      </c>
    </row>
    <row r="277" spans="2:7" x14ac:dyDescent="0.25">
      <c r="B277" s="70">
        <v>43489</v>
      </c>
      <c r="C277" t="s">
        <v>25</v>
      </c>
      <c r="D277" t="s">
        <v>82</v>
      </c>
      <c r="E277" t="s">
        <v>162</v>
      </c>
      <c r="F277" s="71">
        <v>6.3</v>
      </c>
      <c r="G277" s="71">
        <v>0</v>
      </c>
    </row>
    <row r="278" spans="2:7" x14ac:dyDescent="0.25">
      <c r="B278" s="70">
        <v>43489</v>
      </c>
      <c r="C278" t="s">
        <v>25</v>
      </c>
      <c r="D278" t="s">
        <v>82</v>
      </c>
      <c r="E278" t="s">
        <v>162</v>
      </c>
      <c r="F278" s="71">
        <v>19</v>
      </c>
      <c r="G278" s="71">
        <v>0</v>
      </c>
    </row>
    <row r="279" spans="2:7" x14ac:dyDescent="0.25">
      <c r="B279" s="70">
        <v>43489</v>
      </c>
      <c r="C279" t="s">
        <v>46</v>
      </c>
      <c r="D279" t="s">
        <v>82</v>
      </c>
      <c r="E279" t="s">
        <v>162</v>
      </c>
      <c r="F279" s="71">
        <v>64</v>
      </c>
      <c r="G279" s="71">
        <v>0</v>
      </c>
    </row>
    <row r="280" spans="2:7" x14ac:dyDescent="0.25">
      <c r="B280" s="70">
        <v>43489</v>
      </c>
      <c r="C280" t="s">
        <v>21</v>
      </c>
      <c r="D280" t="s">
        <v>79</v>
      </c>
      <c r="E280" t="s">
        <v>162</v>
      </c>
      <c r="F280" s="71">
        <v>16</v>
      </c>
      <c r="G280" s="71">
        <v>0</v>
      </c>
    </row>
    <row r="281" spans="2:7" x14ac:dyDescent="0.25">
      <c r="B281" s="70">
        <v>43489</v>
      </c>
      <c r="C281" t="s">
        <v>50</v>
      </c>
      <c r="D281" t="s">
        <v>82</v>
      </c>
      <c r="E281" t="s">
        <v>162</v>
      </c>
      <c r="F281" s="71">
        <v>21.1</v>
      </c>
      <c r="G281" s="71">
        <v>0</v>
      </c>
    </row>
    <row r="282" spans="2:7" x14ac:dyDescent="0.25">
      <c r="B282" s="70">
        <v>43490</v>
      </c>
      <c r="C282" t="s">
        <v>25</v>
      </c>
      <c r="D282" t="s">
        <v>83</v>
      </c>
      <c r="E282" t="s">
        <v>163</v>
      </c>
      <c r="F282" s="71">
        <v>9.7799999999999994</v>
      </c>
      <c r="G282" s="71">
        <v>0</v>
      </c>
    </row>
    <row r="283" spans="2:7" x14ac:dyDescent="0.25">
      <c r="B283" s="70">
        <v>43490</v>
      </c>
      <c r="C283" t="s">
        <v>25</v>
      </c>
      <c r="D283" t="s">
        <v>87</v>
      </c>
      <c r="E283" t="s">
        <v>163</v>
      </c>
      <c r="F283" s="71">
        <v>0</v>
      </c>
      <c r="G283" s="71">
        <v>0.17</v>
      </c>
    </row>
    <row r="284" spans="2:7" x14ac:dyDescent="0.25">
      <c r="B284" s="70">
        <v>43490</v>
      </c>
      <c r="C284" t="s">
        <v>25</v>
      </c>
      <c r="D284" t="s">
        <v>87</v>
      </c>
      <c r="E284" t="s">
        <v>163</v>
      </c>
      <c r="F284" s="71">
        <v>15.95</v>
      </c>
      <c r="G284" s="71">
        <v>0</v>
      </c>
    </row>
    <row r="285" spans="2:7" x14ac:dyDescent="0.25">
      <c r="B285" s="70">
        <v>43490</v>
      </c>
      <c r="C285" t="s">
        <v>25</v>
      </c>
      <c r="D285" t="s">
        <v>87</v>
      </c>
      <c r="E285" t="s">
        <v>163</v>
      </c>
      <c r="F285" s="71">
        <v>40.92</v>
      </c>
      <c r="G285" s="71">
        <v>0</v>
      </c>
    </row>
    <row r="286" spans="2:7" x14ac:dyDescent="0.25">
      <c r="B286" s="70">
        <v>43490</v>
      </c>
      <c r="C286" t="s">
        <v>25</v>
      </c>
      <c r="D286" t="s">
        <v>87</v>
      </c>
      <c r="E286" t="s">
        <v>163</v>
      </c>
      <c r="F286" s="71">
        <v>48</v>
      </c>
      <c r="G286" s="71">
        <v>0</v>
      </c>
    </row>
    <row r="287" spans="2:7" x14ac:dyDescent="0.25">
      <c r="B287" s="70">
        <v>43490</v>
      </c>
      <c r="C287" t="s">
        <v>25</v>
      </c>
      <c r="D287" t="s">
        <v>81</v>
      </c>
      <c r="E287" t="s">
        <v>164</v>
      </c>
      <c r="F287" s="71">
        <v>36</v>
      </c>
      <c r="G287" s="71">
        <v>0</v>
      </c>
    </row>
    <row r="288" spans="2:7" x14ac:dyDescent="0.25">
      <c r="B288" s="70">
        <v>43490</v>
      </c>
      <c r="C288" t="s">
        <v>25</v>
      </c>
      <c r="D288" t="s">
        <v>89</v>
      </c>
      <c r="E288" t="s">
        <v>165</v>
      </c>
      <c r="F288" s="71">
        <v>36.82</v>
      </c>
      <c r="G288" s="71">
        <v>0</v>
      </c>
    </row>
    <row r="289" spans="2:7" x14ac:dyDescent="0.25">
      <c r="B289" s="70">
        <v>43490</v>
      </c>
      <c r="C289" t="s">
        <v>25</v>
      </c>
      <c r="D289" t="s">
        <v>89</v>
      </c>
      <c r="E289" t="s">
        <v>165</v>
      </c>
      <c r="F289" s="71">
        <v>43.5</v>
      </c>
      <c r="G289" s="71">
        <v>0</v>
      </c>
    </row>
    <row r="290" spans="2:7" x14ac:dyDescent="0.25">
      <c r="B290" s="70">
        <v>43490</v>
      </c>
      <c r="C290" t="s">
        <v>25</v>
      </c>
      <c r="D290" t="s">
        <v>89</v>
      </c>
      <c r="E290" t="s">
        <v>165</v>
      </c>
      <c r="F290" s="71">
        <v>47.61</v>
      </c>
      <c r="G290" s="71">
        <v>0</v>
      </c>
    </row>
    <row r="291" spans="2:7" x14ac:dyDescent="0.25">
      <c r="B291" s="70">
        <v>43490</v>
      </c>
      <c r="C291" t="s">
        <v>25</v>
      </c>
      <c r="D291" t="s">
        <v>89</v>
      </c>
      <c r="E291" t="s">
        <v>165</v>
      </c>
      <c r="F291" s="71">
        <v>147.4</v>
      </c>
      <c r="G291" s="71">
        <v>0</v>
      </c>
    </row>
    <row r="292" spans="2:7" x14ac:dyDescent="0.25">
      <c r="B292" s="70">
        <v>43490</v>
      </c>
      <c r="C292" t="s">
        <v>25</v>
      </c>
      <c r="D292" t="s">
        <v>82</v>
      </c>
      <c r="E292" t="s">
        <v>163</v>
      </c>
      <c r="F292" s="71">
        <v>19</v>
      </c>
      <c r="G292" s="71">
        <v>0</v>
      </c>
    </row>
    <row r="293" spans="2:7" x14ac:dyDescent="0.25">
      <c r="B293" s="70">
        <v>43490</v>
      </c>
      <c r="C293" t="s">
        <v>54</v>
      </c>
      <c r="D293" t="s">
        <v>89</v>
      </c>
      <c r="E293" t="s">
        <v>165</v>
      </c>
      <c r="F293" s="71">
        <v>838</v>
      </c>
      <c r="G293" s="71">
        <v>0</v>
      </c>
    </row>
    <row r="294" spans="2:7" x14ac:dyDescent="0.25">
      <c r="B294" s="70">
        <v>43490</v>
      </c>
      <c r="C294" t="s">
        <v>51</v>
      </c>
      <c r="D294" t="s">
        <v>82</v>
      </c>
      <c r="E294" t="s">
        <v>163</v>
      </c>
      <c r="F294" s="71">
        <v>112.22</v>
      </c>
      <c r="G294" s="71">
        <v>0</v>
      </c>
    </row>
    <row r="295" spans="2:7" x14ac:dyDescent="0.25">
      <c r="B295" s="70">
        <v>43490</v>
      </c>
      <c r="C295" t="s">
        <v>21</v>
      </c>
      <c r="D295" t="s">
        <v>79</v>
      </c>
      <c r="E295" t="s">
        <v>163</v>
      </c>
      <c r="F295" s="71">
        <v>8</v>
      </c>
      <c r="G295" s="71">
        <v>0</v>
      </c>
    </row>
    <row r="296" spans="2:7" x14ac:dyDescent="0.25">
      <c r="B296" s="70">
        <v>43490</v>
      </c>
      <c r="C296" t="s">
        <v>21</v>
      </c>
      <c r="D296" t="s">
        <v>89</v>
      </c>
      <c r="E296" t="s">
        <v>165</v>
      </c>
      <c r="F296" s="71">
        <v>13.04</v>
      </c>
      <c r="G296" s="71">
        <v>0</v>
      </c>
    </row>
    <row r="297" spans="2:7" x14ac:dyDescent="0.25">
      <c r="B297" s="70">
        <v>43490</v>
      </c>
      <c r="C297" t="s">
        <v>21</v>
      </c>
      <c r="D297" t="s">
        <v>89</v>
      </c>
      <c r="E297" t="s">
        <v>165</v>
      </c>
      <c r="F297" s="71">
        <v>13.8</v>
      </c>
      <c r="G297" s="71">
        <v>0</v>
      </c>
    </row>
    <row r="298" spans="2:7" x14ac:dyDescent="0.25">
      <c r="B298" s="70">
        <v>43490</v>
      </c>
      <c r="C298" t="s">
        <v>21</v>
      </c>
      <c r="D298" t="s">
        <v>89</v>
      </c>
      <c r="E298" t="s">
        <v>165</v>
      </c>
      <c r="F298" s="71">
        <v>14.86</v>
      </c>
      <c r="G298" s="71">
        <v>0</v>
      </c>
    </row>
    <row r="299" spans="2:7" x14ac:dyDescent="0.25">
      <c r="B299" s="70">
        <v>43490</v>
      </c>
      <c r="C299" t="s">
        <v>21</v>
      </c>
      <c r="D299" t="s">
        <v>89</v>
      </c>
      <c r="E299" t="s">
        <v>165</v>
      </c>
      <c r="F299" s="71">
        <v>17.45</v>
      </c>
      <c r="G299" s="71">
        <v>0</v>
      </c>
    </row>
    <row r="300" spans="2:7" x14ac:dyDescent="0.25">
      <c r="B300" s="70">
        <v>43490</v>
      </c>
      <c r="C300" t="s">
        <v>21</v>
      </c>
      <c r="D300" t="s">
        <v>89</v>
      </c>
      <c r="E300" t="s">
        <v>165</v>
      </c>
      <c r="F300" s="71">
        <v>23.89</v>
      </c>
      <c r="G300" s="71">
        <v>0</v>
      </c>
    </row>
    <row r="301" spans="2:7" x14ac:dyDescent="0.25">
      <c r="B301" s="70">
        <v>43490</v>
      </c>
      <c r="C301" t="s">
        <v>21</v>
      </c>
      <c r="D301" t="s">
        <v>89</v>
      </c>
      <c r="E301" t="s">
        <v>165</v>
      </c>
      <c r="F301" s="71">
        <v>24.81</v>
      </c>
      <c r="G301" s="71">
        <v>0</v>
      </c>
    </row>
    <row r="302" spans="2:7" x14ac:dyDescent="0.25">
      <c r="B302" s="70">
        <v>43490</v>
      </c>
      <c r="C302" t="s">
        <v>21</v>
      </c>
      <c r="D302" t="s">
        <v>89</v>
      </c>
      <c r="E302" t="s">
        <v>165</v>
      </c>
      <c r="F302" s="71">
        <v>26.33</v>
      </c>
      <c r="G302" s="71">
        <v>0</v>
      </c>
    </row>
    <row r="303" spans="2:7" x14ac:dyDescent="0.25">
      <c r="B303" s="70">
        <v>43490</v>
      </c>
      <c r="C303" t="s">
        <v>21</v>
      </c>
      <c r="D303" t="s">
        <v>89</v>
      </c>
      <c r="E303" t="s">
        <v>165</v>
      </c>
      <c r="F303" s="71">
        <v>27.34</v>
      </c>
      <c r="G303" s="71">
        <v>0</v>
      </c>
    </row>
    <row r="304" spans="2:7" x14ac:dyDescent="0.25">
      <c r="B304" s="70">
        <v>43490</v>
      </c>
      <c r="C304" t="s">
        <v>21</v>
      </c>
      <c r="D304" t="s">
        <v>89</v>
      </c>
      <c r="E304" t="s">
        <v>165</v>
      </c>
      <c r="F304" s="71">
        <v>27.71</v>
      </c>
      <c r="G304" s="71">
        <v>0</v>
      </c>
    </row>
    <row r="305" spans="2:7" x14ac:dyDescent="0.25">
      <c r="B305" s="70">
        <v>43490</v>
      </c>
      <c r="C305" t="s">
        <v>21</v>
      </c>
      <c r="D305" t="s">
        <v>89</v>
      </c>
      <c r="E305" t="s">
        <v>165</v>
      </c>
      <c r="F305" s="71">
        <v>34.630000000000003</v>
      </c>
      <c r="G305" s="71">
        <v>0</v>
      </c>
    </row>
    <row r="306" spans="2:7" x14ac:dyDescent="0.25">
      <c r="B306" s="70">
        <v>43490</v>
      </c>
      <c r="C306" t="s">
        <v>21</v>
      </c>
      <c r="D306" t="s">
        <v>89</v>
      </c>
      <c r="E306" t="s">
        <v>165</v>
      </c>
      <c r="F306" s="71">
        <v>37.36</v>
      </c>
      <c r="G306" s="71">
        <v>0</v>
      </c>
    </row>
    <row r="307" spans="2:7" x14ac:dyDescent="0.25">
      <c r="B307" s="70">
        <v>43490</v>
      </c>
      <c r="C307" t="s">
        <v>21</v>
      </c>
      <c r="D307" t="s">
        <v>89</v>
      </c>
      <c r="E307" t="s">
        <v>165</v>
      </c>
      <c r="F307" s="71">
        <v>38.42</v>
      </c>
      <c r="G307" s="71">
        <v>0</v>
      </c>
    </row>
    <row r="308" spans="2:7" x14ac:dyDescent="0.25">
      <c r="B308" s="70">
        <v>43490</v>
      </c>
      <c r="C308" t="s">
        <v>21</v>
      </c>
      <c r="D308" t="s">
        <v>89</v>
      </c>
      <c r="E308" t="s">
        <v>165</v>
      </c>
      <c r="F308" s="71">
        <v>39.33</v>
      </c>
      <c r="G308" s="71">
        <v>0</v>
      </c>
    </row>
    <row r="309" spans="2:7" x14ac:dyDescent="0.25">
      <c r="B309" s="70">
        <v>43490</v>
      </c>
      <c r="C309" t="s">
        <v>21</v>
      </c>
      <c r="D309" t="s">
        <v>89</v>
      </c>
      <c r="E309" t="s">
        <v>165</v>
      </c>
      <c r="F309" s="71">
        <v>41.31</v>
      </c>
      <c r="G309" s="71">
        <v>0</v>
      </c>
    </row>
    <row r="310" spans="2:7" x14ac:dyDescent="0.25">
      <c r="B310" s="70">
        <v>43490</v>
      </c>
      <c r="C310" t="s">
        <v>21</v>
      </c>
      <c r="D310" t="s">
        <v>89</v>
      </c>
      <c r="E310" t="s">
        <v>165</v>
      </c>
      <c r="F310" s="71">
        <v>44.6</v>
      </c>
      <c r="G310" s="71">
        <v>0</v>
      </c>
    </row>
    <row r="311" spans="2:7" x14ac:dyDescent="0.25">
      <c r="B311" s="70">
        <v>43490</v>
      </c>
      <c r="C311" t="s">
        <v>21</v>
      </c>
      <c r="D311" t="s">
        <v>89</v>
      </c>
      <c r="E311" t="s">
        <v>165</v>
      </c>
      <c r="F311" s="71">
        <v>50.37</v>
      </c>
      <c r="G311" s="71">
        <v>0</v>
      </c>
    </row>
    <row r="312" spans="2:7" x14ac:dyDescent="0.25">
      <c r="B312" s="70">
        <v>43490</v>
      </c>
      <c r="C312" t="s">
        <v>21</v>
      </c>
      <c r="D312" t="s">
        <v>89</v>
      </c>
      <c r="E312" t="s">
        <v>165</v>
      </c>
      <c r="F312" s="71">
        <v>65.680000000000007</v>
      </c>
      <c r="G312" s="71">
        <v>0</v>
      </c>
    </row>
    <row r="313" spans="2:7" x14ac:dyDescent="0.25">
      <c r="B313" s="70">
        <v>43490</v>
      </c>
      <c r="C313" t="s">
        <v>21</v>
      </c>
      <c r="D313" t="s">
        <v>89</v>
      </c>
      <c r="E313" t="s">
        <v>165</v>
      </c>
      <c r="F313" s="71">
        <v>80.37</v>
      </c>
      <c r="G313" s="71">
        <v>0</v>
      </c>
    </row>
    <row r="314" spans="2:7" x14ac:dyDescent="0.25">
      <c r="B314" s="70">
        <v>43490</v>
      </c>
      <c r="C314" t="s">
        <v>21</v>
      </c>
      <c r="D314" t="s">
        <v>89</v>
      </c>
      <c r="E314" t="s">
        <v>165</v>
      </c>
      <c r="F314" s="71">
        <v>83.6</v>
      </c>
      <c r="G314" s="71">
        <v>0</v>
      </c>
    </row>
    <row r="315" spans="2:7" x14ac:dyDescent="0.25">
      <c r="B315" s="70">
        <v>43490</v>
      </c>
      <c r="C315" t="s">
        <v>21</v>
      </c>
      <c r="D315" t="s">
        <v>89</v>
      </c>
      <c r="E315" t="s">
        <v>165</v>
      </c>
      <c r="F315" s="71">
        <v>87.46</v>
      </c>
      <c r="G315" s="71">
        <v>0</v>
      </c>
    </row>
    <row r="316" spans="2:7" x14ac:dyDescent="0.25">
      <c r="B316" s="70">
        <v>43490</v>
      </c>
      <c r="C316" t="s">
        <v>21</v>
      </c>
      <c r="D316" t="s">
        <v>89</v>
      </c>
      <c r="E316" t="s">
        <v>165</v>
      </c>
      <c r="F316" s="71">
        <v>95.48</v>
      </c>
      <c r="G316" s="71">
        <v>0</v>
      </c>
    </row>
    <row r="317" spans="2:7" x14ac:dyDescent="0.25">
      <c r="B317" s="70">
        <v>43490</v>
      </c>
      <c r="C317" t="s">
        <v>21</v>
      </c>
      <c r="D317" t="s">
        <v>89</v>
      </c>
      <c r="E317" t="s">
        <v>165</v>
      </c>
      <c r="F317" s="71">
        <v>96.22</v>
      </c>
      <c r="G317" s="71">
        <v>0</v>
      </c>
    </row>
    <row r="318" spans="2:7" x14ac:dyDescent="0.25">
      <c r="B318" s="70">
        <v>43490</v>
      </c>
      <c r="C318" t="s">
        <v>21</v>
      </c>
      <c r="D318" t="s">
        <v>89</v>
      </c>
      <c r="E318" t="s">
        <v>165</v>
      </c>
      <c r="F318" s="71">
        <v>100.79</v>
      </c>
      <c r="G318" s="71">
        <v>0</v>
      </c>
    </row>
    <row r="319" spans="2:7" x14ac:dyDescent="0.25">
      <c r="B319" s="70">
        <v>43490</v>
      </c>
      <c r="C319" t="s">
        <v>21</v>
      </c>
      <c r="D319" t="s">
        <v>89</v>
      </c>
      <c r="E319" t="s">
        <v>165</v>
      </c>
      <c r="F319" s="71">
        <v>103.76</v>
      </c>
      <c r="G319" s="71">
        <v>0</v>
      </c>
    </row>
    <row r="320" spans="2:7" x14ac:dyDescent="0.25">
      <c r="B320" s="70">
        <v>43490</v>
      </c>
      <c r="C320" t="s">
        <v>21</v>
      </c>
      <c r="D320" t="s">
        <v>89</v>
      </c>
      <c r="E320" t="s">
        <v>165</v>
      </c>
      <c r="F320" s="71">
        <v>103.86</v>
      </c>
      <c r="G320" s="71">
        <v>0</v>
      </c>
    </row>
    <row r="321" spans="2:7" x14ac:dyDescent="0.25">
      <c r="B321" s="70">
        <v>43490</v>
      </c>
      <c r="C321" t="s">
        <v>21</v>
      </c>
      <c r="D321" t="s">
        <v>89</v>
      </c>
      <c r="E321" t="s">
        <v>165</v>
      </c>
      <c r="F321" s="71">
        <v>112.16</v>
      </c>
      <c r="G321" s="71">
        <v>0</v>
      </c>
    </row>
    <row r="322" spans="2:7" x14ac:dyDescent="0.25">
      <c r="B322" s="70">
        <v>43490</v>
      </c>
      <c r="C322" t="s">
        <v>21</v>
      </c>
      <c r="D322" t="s">
        <v>89</v>
      </c>
      <c r="E322" t="s">
        <v>165</v>
      </c>
      <c r="F322" s="71">
        <v>134.93</v>
      </c>
      <c r="G322" s="71">
        <v>0</v>
      </c>
    </row>
    <row r="323" spans="2:7" x14ac:dyDescent="0.25">
      <c r="B323" s="70">
        <v>43490</v>
      </c>
      <c r="C323" t="s">
        <v>21</v>
      </c>
      <c r="D323" t="s">
        <v>89</v>
      </c>
      <c r="E323" t="s">
        <v>165</v>
      </c>
      <c r="F323" s="71">
        <v>173.16</v>
      </c>
      <c r="G323" s="71">
        <v>0</v>
      </c>
    </row>
    <row r="324" spans="2:7" x14ac:dyDescent="0.25">
      <c r="B324" s="70">
        <v>43490</v>
      </c>
      <c r="C324" t="s">
        <v>21</v>
      </c>
      <c r="D324" t="s">
        <v>89</v>
      </c>
      <c r="E324" t="s">
        <v>165</v>
      </c>
      <c r="F324" s="71">
        <v>246.08</v>
      </c>
      <c r="G324" s="71">
        <v>0</v>
      </c>
    </row>
    <row r="325" spans="2:7" x14ac:dyDescent="0.25">
      <c r="B325" s="70">
        <v>43490</v>
      </c>
      <c r="C325" t="s">
        <v>21</v>
      </c>
      <c r="D325" t="s">
        <v>89</v>
      </c>
      <c r="E325" t="s">
        <v>165</v>
      </c>
      <c r="F325" s="71">
        <v>256.69</v>
      </c>
      <c r="G325" s="71">
        <v>0</v>
      </c>
    </row>
    <row r="326" spans="2:7" x14ac:dyDescent="0.25">
      <c r="B326" s="70">
        <v>43490</v>
      </c>
      <c r="C326" t="s">
        <v>21</v>
      </c>
      <c r="D326" t="s">
        <v>89</v>
      </c>
      <c r="E326" t="s">
        <v>165</v>
      </c>
      <c r="F326" s="71">
        <v>263.83999999999997</v>
      </c>
      <c r="G326" s="71">
        <v>0</v>
      </c>
    </row>
    <row r="327" spans="2:7" x14ac:dyDescent="0.25">
      <c r="B327" s="70">
        <v>43490</v>
      </c>
      <c r="C327" t="s">
        <v>21</v>
      </c>
      <c r="D327" t="s">
        <v>89</v>
      </c>
      <c r="E327" t="s">
        <v>165</v>
      </c>
      <c r="F327" s="71">
        <v>296.87</v>
      </c>
      <c r="G327" s="71">
        <v>0</v>
      </c>
    </row>
    <row r="328" spans="2:7" x14ac:dyDescent="0.25">
      <c r="B328" s="70">
        <v>43490</v>
      </c>
      <c r="C328" t="s">
        <v>21</v>
      </c>
      <c r="D328" t="s">
        <v>89</v>
      </c>
      <c r="E328" t="s">
        <v>165</v>
      </c>
      <c r="F328" s="71">
        <v>351.07</v>
      </c>
      <c r="G328" s="71">
        <v>0</v>
      </c>
    </row>
    <row r="329" spans="2:7" x14ac:dyDescent="0.25">
      <c r="B329" s="70">
        <v>43490</v>
      </c>
      <c r="C329" t="s">
        <v>21</v>
      </c>
      <c r="D329" t="s">
        <v>89</v>
      </c>
      <c r="E329" t="s">
        <v>165</v>
      </c>
      <c r="F329" s="71">
        <v>358.78</v>
      </c>
      <c r="G329" s="71">
        <v>0</v>
      </c>
    </row>
    <row r="330" spans="2:7" x14ac:dyDescent="0.25">
      <c r="B330" s="70">
        <v>43490</v>
      </c>
      <c r="C330" t="s">
        <v>21</v>
      </c>
      <c r="D330" t="s">
        <v>89</v>
      </c>
      <c r="E330" t="s">
        <v>165</v>
      </c>
      <c r="F330" s="71">
        <v>397.34</v>
      </c>
      <c r="G330" s="71">
        <v>0</v>
      </c>
    </row>
    <row r="331" spans="2:7" x14ac:dyDescent="0.25">
      <c r="B331" s="70">
        <v>43490</v>
      </c>
      <c r="C331" t="s">
        <v>21</v>
      </c>
      <c r="D331" t="s">
        <v>89</v>
      </c>
      <c r="E331" t="s">
        <v>165</v>
      </c>
      <c r="F331" s="71">
        <v>412.97</v>
      </c>
      <c r="G331" s="71">
        <v>0</v>
      </c>
    </row>
    <row r="332" spans="2:7" x14ac:dyDescent="0.25">
      <c r="B332" s="70">
        <v>43490</v>
      </c>
      <c r="C332" t="s">
        <v>21</v>
      </c>
      <c r="D332" t="s">
        <v>89</v>
      </c>
      <c r="E332" t="s">
        <v>165</v>
      </c>
      <c r="F332" s="71">
        <v>414.52</v>
      </c>
      <c r="G332" s="71">
        <v>0</v>
      </c>
    </row>
    <row r="333" spans="2:7" x14ac:dyDescent="0.25">
      <c r="B333" s="70">
        <v>43490</v>
      </c>
      <c r="C333" t="s">
        <v>21</v>
      </c>
      <c r="D333" t="s">
        <v>89</v>
      </c>
      <c r="E333" t="s">
        <v>165</v>
      </c>
      <c r="F333" s="71">
        <v>455.83</v>
      </c>
      <c r="G333" s="71">
        <v>0</v>
      </c>
    </row>
    <row r="334" spans="2:7" x14ac:dyDescent="0.25">
      <c r="B334" s="70">
        <v>43490</v>
      </c>
      <c r="C334" t="s">
        <v>21</v>
      </c>
      <c r="D334" t="s">
        <v>89</v>
      </c>
      <c r="E334" t="s">
        <v>165</v>
      </c>
      <c r="F334" s="71">
        <v>456.75</v>
      </c>
      <c r="G334" s="71">
        <v>0</v>
      </c>
    </row>
    <row r="335" spans="2:7" x14ac:dyDescent="0.25">
      <c r="B335" s="70">
        <v>43490</v>
      </c>
      <c r="C335" t="s">
        <v>21</v>
      </c>
      <c r="D335" t="s">
        <v>89</v>
      </c>
      <c r="E335" t="s">
        <v>165</v>
      </c>
      <c r="F335" s="71">
        <v>544.92999999999995</v>
      </c>
      <c r="G335" s="71">
        <v>0</v>
      </c>
    </row>
    <row r="336" spans="2:7" x14ac:dyDescent="0.25">
      <c r="B336" s="70">
        <v>43490</v>
      </c>
      <c r="C336" t="s">
        <v>21</v>
      </c>
      <c r="D336" t="s">
        <v>89</v>
      </c>
      <c r="E336" t="s">
        <v>165</v>
      </c>
      <c r="F336" s="71">
        <v>665.62</v>
      </c>
      <c r="G336" s="71">
        <v>0</v>
      </c>
    </row>
    <row r="337" spans="2:7" x14ac:dyDescent="0.25">
      <c r="B337" s="70">
        <v>43490</v>
      </c>
      <c r="C337" t="s">
        <v>21</v>
      </c>
      <c r="D337" t="s">
        <v>89</v>
      </c>
      <c r="E337" t="s">
        <v>165</v>
      </c>
      <c r="F337" s="71">
        <v>947.29</v>
      </c>
      <c r="G337" s="71">
        <v>0</v>
      </c>
    </row>
    <row r="338" spans="2:7" x14ac:dyDescent="0.25">
      <c r="B338" s="70">
        <v>43490</v>
      </c>
      <c r="C338" t="s">
        <v>21</v>
      </c>
      <c r="D338" t="s">
        <v>89</v>
      </c>
      <c r="E338" t="s">
        <v>165</v>
      </c>
      <c r="F338" s="71">
        <v>1046.49</v>
      </c>
      <c r="G338" s="71">
        <v>0</v>
      </c>
    </row>
    <row r="339" spans="2:7" x14ac:dyDescent="0.25">
      <c r="B339" s="70">
        <v>43490</v>
      </c>
      <c r="C339" t="s">
        <v>21</v>
      </c>
      <c r="D339" t="s">
        <v>89</v>
      </c>
      <c r="E339" t="s">
        <v>165</v>
      </c>
      <c r="F339" s="71">
        <v>1065.3599999999999</v>
      </c>
      <c r="G339" s="71">
        <v>0</v>
      </c>
    </row>
    <row r="340" spans="2:7" x14ac:dyDescent="0.25">
      <c r="B340" s="70">
        <v>43490</v>
      </c>
      <c r="C340" t="s">
        <v>21</v>
      </c>
      <c r="D340" t="s">
        <v>89</v>
      </c>
      <c r="E340" t="s">
        <v>165</v>
      </c>
      <c r="F340" s="71">
        <v>1172.44</v>
      </c>
      <c r="G340" s="71">
        <v>0</v>
      </c>
    </row>
    <row r="341" spans="2:7" x14ac:dyDescent="0.25">
      <c r="B341" s="70">
        <v>43490</v>
      </c>
      <c r="C341" t="s">
        <v>48</v>
      </c>
      <c r="D341" t="s">
        <v>89</v>
      </c>
      <c r="E341" t="s">
        <v>165</v>
      </c>
      <c r="F341" s="71">
        <v>616.58000000000004</v>
      </c>
      <c r="G341" s="71">
        <v>0</v>
      </c>
    </row>
    <row r="342" spans="2:7" x14ac:dyDescent="0.25">
      <c r="B342" s="70">
        <v>43490</v>
      </c>
      <c r="C342" t="s">
        <v>55</v>
      </c>
      <c r="D342" t="s">
        <v>89</v>
      </c>
      <c r="E342" t="s">
        <v>165</v>
      </c>
      <c r="F342" s="71">
        <v>26.43</v>
      </c>
      <c r="G342" s="71">
        <v>0</v>
      </c>
    </row>
    <row r="343" spans="2:7" x14ac:dyDescent="0.25">
      <c r="B343" s="70">
        <v>43490</v>
      </c>
      <c r="C343" t="s">
        <v>50</v>
      </c>
      <c r="D343" t="s">
        <v>89</v>
      </c>
      <c r="E343" t="s">
        <v>165</v>
      </c>
      <c r="F343" s="71">
        <v>151.41</v>
      </c>
      <c r="G343" s="71">
        <v>0</v>
      </c>
    </row>
    <row r="344" spans="2:7" x14ac:dyDescent="0.25">
      <c r="B344" s="70">
        <v>43490</v>
      </c>
      <c r="C344" t="s">
        <v>50</v>
      </c>
      <c r="D344" t="s">
        <v>82</v>
      </c>
      <c r="E344" t="s">
        <v>163</v>
      </c>
      <c r="F344" s="71">
        <v>6.25</v>
      </c>
      <c r="G344" s="71">
        <v>0</v>
      </c>
    </row>
    <row r="345" spans="2:7" x14ac:dyDescent="0.25">
      <c r="B345" s="70">
        <v>43490</v>
      </c>
      <c r="C345" t="s">
        <v>52</v>
      </c>
      <c r="D345" t="s">
        <v>89</v>
      </c>
      <c r="E345" t="s">
        <v>165</v>
      </c>
      <c r="F345" s="71">
        <v>105.16</v>
      </c>
      <c r="G345" s="71">
        <v>0</v>
      </c>
    </row>
    <row r="346" spans="2:7" x14ac:dyDescent="0.25">
      <c r="B346" s="70">
        <v>43490</v>
      </c>
      <c r="C346" t="s">
        <v>24</v>
      </c>
      <c r="D346" t="s">
        <v>89</v>
      </c>
      <c r="E346" t="s">
        <v>165</v>
      </c>
      <c r="F346" s="71">
        <v>6.74</v>
      </c>
      <c r="G346" s="71">
        <v>0</v>
      </c>
    </row>
    <row r="347" spans="2:7" x14ac:dyDescent="0.25">
      <c r="B347" s="70">
        <v>43490</v>
      </c>
      <c r="C347" t="s">
        <v>24</v>
      </c>
      <c r="D347" t="s">
        <v>89</v>
      </c>
      <c r="E347" t="s">
        <v>165</v>
      </c>
      <c r="F347" s="71">
        <v>26.94</v>
      </c>
      <c r="G347" s="71">
        <v>0</v>
      </c>
    </row>
    <row r="348" spans="2:7" x14ac:dyDescent="0.25">
      <c r="B348" s="70">
        <v>43490</v>
      </c>
      <c r="C348" t="s">
        <v>24</v>
      </c>
      <c r="D348" t="s">
        <v>89</v>
      </c>
      <c r="E348" t="s">
        <v>165</v>
      </c>
      <c r="F348" s="71">
        <v>29.42</v>
      </c>
      <c r="G348" s="71">
        <v>0</v>
      </c>
    </row>
    <row r="349" spans="2:7" x14ac:dyDescent="0.25">
      <c r="B349" s="70">
        <v>43490</v>
      </c>
      <c r="C349" t="s">
        <v>24</v>
      </c>
      <c r="D349" t="s">
        <v>89</v>
      </c>
      <c r="E349" t="s">
        <v>165</v>
      </c>
      <c r="F349" s="71">
        <v>57.39</v>
      </c>
      <c r="G349" s="71">
        <v>0</v>
      </c>
    </row>
    <row r="350" spans="2:7" x14ac:dyDescent="0.25">
      <c r="B350" s="70">
        <v>43490</v>
      </c>
      <c r="C350" t="s">
        <v>24</v>
      </c>
      <c r="D350" t="s">
        <v>89</v>
      </c>
      <c r="E350" t="s">
        <v>165</v>
      </c>
      <c r="F350" s="71">
        <v>77.290000000000006</v>
      </c>
      <c r="G350" s="71">
        <v>0</v>
      </c>
    </row>
    <row r="351" spans="2:7" x14ac:dyDescent="0.25">
      <c r="B351" s="70">
        <v>43493</v>
      </c>
      <c r="C351" t="s">
        <v>25</v>
      </c>
      <c r="D351" t="s">
        <v>80</v>
      </c>
      <c r="E351" t="s">
        <v>166</v>
      </c>
      <c r="F351" s="71">
        <v>23.99</v>
      </c>
      <c r="G351" s="71">
        <v>0</v>
      </c>
    </row>
    <row r="352" spans="2:7" x14ac:dyDescent="0.25">
      <c r="B352" s="70">
        <v>43493</v>
      </c>
      <c r="C352" t="s">
        <v>25</v>
      </c>
      <c r="D352" t="s">
        <v>87</v>
      </c>
      <c r="E352" t="s">
        <v>166</v>
      </c>
      <c r="F352" s="71">
        <v>48</v>
      </c>
      <c r="G352" s="71">
        <v>0</v>
      </c>
    </row>
    <row r="353" spans="2:7" x14ac:dyDescent="0.25">
      <c r="B353" s="70">
        <v>43493</v>
      </c>
      <c r="C353" t="s">
        <v>25</v>
      </c>
      <c r="D353" t="s">
        <v>87</v>
      </c>
      <c r="E353" t="s">
        <v>166</v>
      </c>
      <c r="F353" s="71">
        <v>78</v>
      </c>
      <c r="G353" s="71">
        <v>0</v>
      </c>
    </row>
    <row r="354" spans="2:7" x14ac:dyDescent="0.25">
      <c r="B354" s="70">
        <v>43493</v>
      </c>
      <c r="C354" t="s">
        <v>25</v>
      </c>
      <c r="D354" t="s">
        <v>87</v>
      </c>
      <c r="E354" t="s">
        <v>166</v>
      </c>
      <c r="F354" s="71">
        <v>236.39</v>
      </c>
      <c r="G354" s="71">
        <v>0</v>
      </c>
    </row>
    <row r="355" spans="2:7" x14ac:dyDescent="0.25">
      <c r="B355" s="70">
        <v>43493</v>
      </c>
      <c r="C355" t="s">
        <v>25</v>
      </c>
      <c r="D355" t="s">
        <v>81</v>
      </c>
      <c r="E355" t="s">
        <v>135</v>
      </c>
      <c r="F355" s="71">
        <v>5.25</v>
      </c>
      <c r="G355" s="71">
        <v>0</v>
      </c>
    </row>
    <row r="356" spans="2:7" x14ac:dyDescent="0.25">
      <c r="B356" s="70">
        <v>43493</v>
      </c>
      <c r="C356" t="s">
        <v>25</v>
      </c>
      <c r="D356" t="s">
        <v>81</v>
      </c>
      <c r="E356" t="s">
        <v>127</v>
      </c>
      <c r="F356" s="71">
        <v>3</v>
      </c>
      <c r="G356" s="71">
        <v>0</v>
      </c>
    </row>
    <row r="357" spans="2:7" x14ac:dyDescent="0.25">
      <c r="B357" s="70">
        <v>43493</v>
      </c>
      <c r="C357" t="s">
        <v>56</v>
      </c>
      <c r="D357" t="s">
        <v>82</v>
      </c>
      <c r="E357" t="s">
        <v>166</v>
      </c>
      <c r="F357" s="71">
        <v>87.75</v>
      </c>
      <c r="G357" s="71">
        <v>0</v>
      </c>
    </row>
    <row r="358" spans="2:7" x14ac:dyDescent="0.25">
      <c r="B358" s="70">
        <v>43493</v>
      </c>
      <c r="C358" t="s">
        <v>48</v>
      </c>
      <c r="D358" t="s">
        <v>83</v>
      </c>
      <c r="E358" t="s">
        <v>166</v>
      </c>
      <c r="F358" s="71">
        <v>49.1</v>
      </c>
      <c r="G358" s="71">
        <v>0</v>
      </c>
    </row>
    <row r="359" spans="2:7" x14ac:dyDescent="0.25">
      <c r="B359" s="70">
        <v>43493</v>
      </c>
      <c r="C359" t="s">
        <v>48</v>
      </c>
      <c r="D359" t="s">
        <v>80</v>
      </c>
      <c r="E359" t="s">
        <v>166</v>
      </c>
      <c r="F359" s="71">
        <v>58.5</v>
      </c>
      <c r="G359" s="71">
        <v>0</v>
      </c>
    </row>
    <row r="360" spans="2:7" x14ac:dyDescent="0.25">
      <c r="B360" s="70">
        <v>43493</v>
      </c>
      <c r="C360" t="s">
        <v>48</v>
      </c>
      <c r="D360" t="s">
        <v>87</v>
      </c>
      <c r="E360" t="s">
        <v>166</v>
      </c>
      <c r="F360" s="71">
        <v>131.35</v>
      </c>
      <c r="G360" s="71">
        <v>0</v>
      </c>
    </row>
    <row r="361" spans="2:7" x14ac:dyDescent="0.25">
      <c r="B361" s="70">
        <v>43494</v>
      </c>
      <c r="C361" t="s">
        <v>25</v>
      </c>
      <c r="D361" t="s">
        <v>87</v>
      </c>
      <c r="E361" t="s">
        <v>167</v>
      </c>
      <c r="F361" s="71">
        <v>27.08</v>
      </c>
      <c r="G361" s="71">
        <v>0</v>
      </c>
    </row>
    <row r="362" spans="2:7" x14ac:dyDescent="0.25">
      <c r="B362" s="70">
        <v>43494</v>
      </c>
      <c r="C362" t="s">
        <v>25</v>
      </c>
      <c r="D362" t="s">
        <v>81</v>
      </c>
      <c r="E362" t="s">
        <v>168</v>
      </c>
      <c r="F362" s="71">
        <v>22.5</v>
      </c>
      <c r="G362" s="71">
        <v>0</v>
      </c>
    </row>
    <row r="363" spans="2:7" x14ac:dyDescent="0.25">
      <c r="B363" s="70">
        <v>43494</v>
      </c>
      <c r="C363" t="s">
        <v>25</v>
      </c>
      <c r="D363" t="s">
        <v>81</v>
      </c>
      <c r="E363" t="s">
        <v>164</v>
      </c>
      <c r="F363" s="71">
        <v>11.5</v>
      </c>
      <c r="G363" s="71">
        <v>0</v>
      </c>
    </row>
    <row r="364" spans="2:7" x14ac:dyDescent="0.25">
      <c r="B364" s="70">
        <v>43494</v>
      </c>
      <c r="C364" t="s">
        <v>25</v>
      </c>
      <c r="D364" t="s">
        <v>81</v>
      </c>
      <c r="E364" t="s">
        <v>169</v>
      </c>
      <c r="F364" s="71">
        <v>14.7</v>
      </c>
      <c r="G364" s="71">
        <v>0</v>
      </c>
    </row>
    <row r="365" spans="2:7" x14ac:dyDescent="0.25">
      <c r="B365" s="70">
        <v>43494</v>
      </c>
      <c r="C365" t="s">
        <v>25</v>
      </c>
      <c r="D365" t="s">
        <v>81</v>
      </c>
      <c r="E365" t="s">
        <v>155</v>
      </c>
      <c r="F365" s="71">
        <v>3</v>
      </c>
      <c r="G365" s="71">
        <v>0</v>
      </c>
    </row>
    <row r="366" spans="2:7" x14ac:dyDescent="0.25">
      <c r="B366" s="70">
        <v>43494</v>
      </c>
      <c r="C366" t="s">
        <v>46</v>
      </c>
      <c r="D366" t="s">
        <v>82</v>
      </c>
      <c r="E366" t="s">
        <v>167</v>
      </c>
      <c r="F366" s="71">
        <v>12.3</v>
      </c>
      <c r="G366" s="71">
        <v>0</v>
      </c>
    </row>
    <row r="367" spans="2:7" x14ac:dyDescent="0.25">
      <c r="B367" s="70">
        <v>43494</v>
      </c>
      <c r="C367" t="s">
        <v>44</v>
      </c>
      <c r="D367" t="s">
        <v>79</v>
      </c>
      <c r="E367" t="s">
        <v>167</v>
      </c>
      <c r="F367" s="71">
        <v>34.24</v>
      </c>
      <c r="G367" s="71">
        <v>0</v>
      </c>
    </row>
    <row r="368" spans="2:7" x14ac:dyDescent="0.25">
      <c r="B368" s="70">
        <v>43494</v>
      </c>
      <c r="C368" t="s">
        <v>48</v>
      </c>
      <c r="D368" t="s">
        <v>90</v>
      </c>
      <c r="E368" t="s">
        <v>170</v>
      </c>
      <c r="F368" s="71">
        <v>48000</v>
      </c>
      <c r="G368" s="71">
        <v>0</v>
      </c>
    </row>
    <row r="369" spans="2:7" x14ac:dyDescent="0.25">
      <c r="B369" s="70">
        <v>43494</v>
      </c>
      <c r="C369" t="s">
        <v>55</v>
      </c>
      <c r="D369" t="s">
        <v>85</v>
      </c>
      <c r="E369" t="s">
        <v>167</v>
      </c>
      <c r="F369" s="71">
        <v>141.36000000000001</v>
      </c>
      <c r="G369" s="71">
        <v>0</v>
      </c>
    </row>
    <row r="370" spans="2:7" x14ac:dyDescent="0.25">
      <c r="B370" s="70">
        <v>43494</v>
      </c>
      <c r="C370" t="s">
        <v>50</v>
      </c>
      <c r="D370" t="s">
        <v>87</v>
      </c>
      <c r="E370" t="s">
        <v>167</v>
      </c>
      <c r="F370" s="71">
        <v>182.15</v>
      </c>
      <c r="G370" s="71">
        <v>0</v>
      </c>
    </row>
    <row r="371" spans="2:7" x14ac:dyDescent="0.25">
      <c r="B371" s="70">
        <v>43495</v>
      </c>
      <c r="C371" t="s">
        <v>25</v>
      </c>
      <c r="D371" t="s">
        <v>87</v>
      </c>
      <c r="E371" t="s">
        <v>171</v>
      </c>
      <c r="F371" s="71">
        <v>354.12</v>
      </c>
      <c r="G371" s="71">
        <v>0</v>
      </c>
    </row>
    <row r="372" spans="2:7" x14ac:dyDescent="0.25">
      <c r="B372" s="70">
        <v>43495</v>
      </c>
      <c r="C372" t="s">
        <v>25</v>
      </c>
      <c r="D372" t="s">
        <v>81</v>
      </c>
      <c r="E372" t="s">
        <v>148</v>
      </c>
      <c r="F372" s="71">
        <v>9</v>
      </c>
      <c r="G372" s="71">
        <v>0</v>
      </c>
    </row>
    <row r="373" spans="2:7" x14ac:dyDescent="0.25">
      <c r="B373" s="70">
        <v>43495</v>
      </c>
      <c r="C373" t="s">
        <v>25</v>
      </c>
      <c r="D373" t="s">
        <v>81</v>
      </c>
      <c r="E373" t="s">
        <v>172</v>
      </c>
      <c r="F373" s="71">
        <v>5</v>
      </c>
      <c r="G373" s="71">
        <v>0</v>
      </c>
    </row>
    <row r="374" spans="2:7" x14ac:dyDescent="0.25">
      <c r="B374" s="70">
        <v>43495</v>
      </c>
      <c r="C374" t="s">
        <v>25</v>
      </c>
      <c r="D374" t="s">
        <v>81</v>
      </c>
      <c r="E374" t="s">
        <v>138</v>
      </c>
      <c r="F374" s="71">
        <v>9.1999999999999993</v>
      </c>
      <c r="G374" s="71">
        <v>0</v>
      </c>
    </row>
    <row r="375" spans="2:7" x14ac:dyDescent="0.25">
      <c r="B375" s="70">
        <v>43495</v>
      </c>
      <c r="C375" t="s">
        <v>46</v>
      </c>
      <c r="D375" t="s">
        <v>79</v>
      </c>
      <c r="E375" t="s">
        <v>171</v>
      </c>
      <c r="F375" s="71">
        <v>75.48</v>
      </c>
      <c r="G375" s="71">
        <v>0</v>
      </c>
    </row>
    <row r="376" spans="2:7" x14ac:dyDescent="0.25">
      <c r="B376" s="70">
        <v>43495</v>
      </c>
      <c r="C376" t="s">
        <v>46</v>
      </c>
      <c r="D376" t="s">
        <v>85</v>
      </c>
      <c r="E376" t="s">
        <v>171</v>
      </c>
      <c r="F376" s="71">
        <v>25.95</v>
      </c>
      <c r="G376" s="71">
        <v>0</v>
      </c>
    </row>
    <row r="377" spans="2:7" x14ac:dyDescent="0.25">
      <c r="B377" s="70">
        <v>43495</v>
      </c>
      <c r="C377" t="s">
        <v>46</v>
      </c>
      <c r="D377" t="s">
        <v>82</v>
      </c>
      <c r="E377" t="s">
        <v>171</v>
      </c>
      <c r="F377" s="71">
        <v>51.5</v>
      </c>
      <c r="G377" s="71">
        <v>0</v>
      </c>
    </row>
    <row r="378" spans="2:7" x14ac:dyDescent="0.25">
      <c r="B378" s="70">
        <v>43495</v>
      </c>
      <c r="C378" t="s">
        <v>57</v>
      </c>
      <c r="D378" t="s">
        <v>80</v>
      </c>
      <c r="E378" t="s">
        <v>171</v>
      </c>
      <c r="F378" s="71">
        <v>31.5</v>
      </c>
      <c r="G378" s="71">
        <v>0</v>
      </c>
    </row>
    <row r="379" spans="2:7" x14ac:dyDescent="0.25">
      <c r="B379" s="70">
        <v>43495</v>
      </c>
      <c r="C379" t="s">
        <v>21</v>
      </c>
      <c r="D379" t="s">
        <v>79</v>
      </c>
      <c r="E379" t="s">
        <v>171</v>
      </c>
      <c r="F379" s="71">
        <v>8</v>
      </c>
      <c r="G379" s="71">
        <v>0</v>
      </c>
    </row>
    <row r="380" spans="2:7" x14ac:dyDescent="0.25">
      <c r="B380" s="70">
        <v>43495</v>
      </c>
      <c r="C380" t="s">
        <v>21</v>
      </c>
      <c r="D380" t="s">
        <v>79</v>
      </c>
      <c r="E380" t="s">
        <v>171</v>
      </c>
      <c r="F380" s="71">
        <v>48</v>
      </c>
      <c r="G380" s="71">
        <v>0</v>
      </c>
    </row>
    <row r="381" spans="2:7" x14ac:dyDescent="0.25">
      <c r="B381" s="70">
        <v>43496</v>
      </c>
      <c r="C381" t="s">
        <v>25</v>
      </c>
      <c r="D381" t="s">
        <v>81</v>
      </c>
      <c r="E381" t="s">
        <v>173</v>
      </c>
      <c r="F381" s="71">
        <v>9.1999999999999993</v>
      </c>
      <c r="G381" s="71">
        <v>0</v>
      </c>
    </row>
    <row r="382" spans="2:7" x14ac:dyDescent="0.25">
      <c r="B382" s="70">
        <v>43496</v>
      </c>
      <c r="C382" t="s">
        <v>25</v>
      </c>
      <c r="D382" t="s">
        <v>81</v>
      </c>
      <c r="E382" t="s">
        <v>124</v>
      </c>
      <c r="F382" s="71">
        <v>14</v>
      </c>
      <c r="G382" s="71">
        <v>0</v>
      </c>
    </row>
    <row r="383" spans="2:7" x14ac:dyDescent="0.25">
      <c r="B383" s="70">
        <v>43496</v>
      </c>
      <c r="C383" t="s">
        <v>25</v>
      </c>
      <c r="D383" t="s">
        <v>81</v>
      </c>
      <c r="E383" t="s">
        <v>153</v>
      </c>
      <c r="F383" s="71">
        <v>6.5</v>
      </c>
      <c r="G383" s="71">
        <v>0</v>
      </c>
    </row>
    <row r="384" spans="2:7" x14ac:dyDescent="0.25">
      <c r="B384" s="70">
        <v>43496</v>
      </c>
      <c r="C384" t="s">
        <v>25</v>
      </c>
      <c r="D384" t="s">
        <v>81</v>
      </c>
      <c r="E384" t="s">
        <v>128</v>
      </c>
      <c r="F384" s="71">
        <v>3</v>
      </c>
      <c r="G384" s="71">
        <v>0</v>
      </c>
    </row>
    <row r="385" spans="2:7" x14ac:dyDescent="0.25">
      <c r="B385" s="70">
        <v>43496</v>
      </c>
      <c r="C385" t="s">
        <v>21</v>
      </c>
      <c r="D385" t="s">
        <v>79</v>
      </c>
      <c r="E385" t="s">
        <v>174</v>
      </c>
      <c r="F385" s="71">
        <v>16</v>
      </c>
      <c r="G385" s="71">
        <v>0</v>
      </c>
    </row>
    <row r="386" spans="2:7" x14ac:dyDescent="0.25">
      <c r="B386" s="70">
        <v>43496</v>
      </c>
      <c r="C386" t="s">
        <v>50</v>
      </c>
      <c r="D386" t="s">
        <v>85</v>
      </c>
      <c r="E386" t="s">
        <v>174</v>
      </c>
      <c r="F386" s="71">
        <v>47.99</v>
      </c>
      <c r="G386" s="71">
        <v>0</v>
      </c>
    </row>
    <row r="387" spans="2:7" x14ac:dyDescent="0.25">
      <c r="B387" s="70">
        <v>43496</v>
      </c>
      <c r="C387" t="s">
        <v>24</v>
      </c>
      <c r="D387" t="s">
        <v>79</v>
      </c>
      <c r="E387" t="s">
        <v>174</v>
      </c>
      <c r="F387" s="71">
        <v>8</v>
      </c>
      <c r="G387" s="71">
        <v>0</v>
      </c>
    </row>
    <row r="388" spans="2:7" x14ac:dyDescent="0.25">
      <c r="B388" s="70">
        <v>43497</v>
      </c>
      <c r="C388" t="s">
        <v>25</v>
      </c>
      <c r="D388" t="s">
        <v>80</v>
      </c>
      <c r="E388" t="s">
        <v>175</v>
      </c>
      <c r="F388" s="71">
        <v>104</v>
      </c>
      <c r="G388" s="71">
        <v>0</v>
      </c>
    </row>
    <row r="389" spans="2:7" x14ac:dyDescent="0.25">
      <c r="B389" s="70">
        <v>43497</v>
      </c>
      <c r="C389" t="s">
        <v>25</v>
      </c>
      <c r="D389" t="s">
        <v>87</v>
      </c>
      <c r="E389" t="s">
        <v>175</v>
      </c>
      <c r="F389" s="71">
        <v>13.5</v>
      </c>
      <c r="G389" s="71">
        <v>0</v>
      </c>
    </row>
    <row r="390" spans="2:7" x14ac:dyDescent="0.25">
      <c r="B390" s="70">
        <v>43497</v>
      </c>
      <c r="C390" t="s">
        <v>25</v>
      </c>
      <c r="D390" t="s">
        <v>87</v>
      </c>
      <c r="E390" t="s">
        <v>175</v>
      </c>
      <c r="F390" s="71">
        <v>18.600000000000001</v>
      </c>
      <c r="G390" s="71">
        <v>0</v>
      </c>
    </row>
    <row r="391" spans="2:7" x14ac:dyDescent="0.25">
      <c r="B391" s="70">
        <v>43497</v>
      </c>
      <c r="C391" t="s">
        <v>25</v>
      </c>
      <c r="D391" t="s">
        <v>87</v>
      </c>
      <c r="E391" t="s">
        <v>175</v>
      </c>
      <c r="F391" s="71">
        <v>102.77</v>
      </c>
      <c r="G391" s="71">
        <v>0</v>
      </c>
    </row>
    <row r="392" spans="2:7" x14ac:dyDescent="0.25">
      <c r="B392" s="70">
        <v>43497</v>
      </c>
      <c r="C392" t="s">
        <v>25</v>
      </c>
      <c r="D392" t="s">
        <v>81</v>
      </c>
      <c r="E392" t="s">
        <v>176</v>
      </c>
      <c r="F392" s="71">
        <v>31.3</v>
      </c>
      <c r="G392" s="71">
        <v>0</v>
      </c>
    </row>
    <row r="393" spans="2:7" x14ac:dyDescent="0.25">
      <c r="B393" s="70">
        <v>43497</v>
      </c>
      <c r="C393" t="s">
        <v>25</v>
      </c>
      <c r="D393" t="s">
        <v>81</v>
      </c>
      <c r="E393" t="s">
        <v>150</v>
      </c>
      <c r="F393" s="71">
        <v>7</v>
      </c>
      <c r="G393" s="71">
        <v>0</v>
      </c>
    </row>
    <row r="394" spans="2:7" x14ac:dyDescent="0.25">
      <c r="B394" s="70">
        <v>43497</v>
      </c>
      <c r="C394" t="s">
        <v>25</v>
      </c>
      <c r="D394" t="s">
        <v>81</v>
      </c>
      <c r="E394" t="s">
        <v>128</v>
      </c>
      <c r="F394" s="71">
        <v>3</v>
      </c>
      <c r="G394" s="71">
        <v>0</v>
      </c>
    </row>
    <row r="395" spans="2:7" x14ac:dyDescent="0.25">
      <c r="B395" s="70">
        <v>43497</v>
      </c>
      <c r="C395" t="s">
        <v>25</v>
      </c>
      <c r="D395" t="s">
        <v>82</v>
      </c>
      <c r="E395" t="s">
        <v>175</v>
      </c>
      <c r="F395" s="71">
        <v>110.5</v>
      </c>
      <c r="G395" s="71">
        <v>0</v>
      </c>
    </row>
    <row r="396" spans="2:7" x14ac:dyDescent="0.25">
      <c r="B396" s="70">
        <v>43497</v>
      </c>
      <c r="C396" t="s">
        <v>56</v>
      </c>
      <c r="D396" t="s">
        <v>82</v>
      </c>
      <c r="E396" t="s">
        <v>175</v>
      </c>
      <c r="F396" s="71">
        <v>30</v>
      </c>
      <c r="G396" s="71">
        <v>0</v>
      </c>
    </row>
    <row r="397" spans="2:7" x14ac:dyDescent="0.25">
      <c r="B397" s="70">
        <v>43497</v>
      </c>
      <c r="C397" t="s">
        <v>57</v>
      </c>
      <c r="D397" t="s">
        <v>80</v>
      </c>
      <c r="E397" t="s">
        <v>175</v>
      </c>
      <c r="F397" s="71">
        <v>39</v>
      </c>
      <c r="G397" s="71">
        <v>0</v>
      </c>
    </row>
    <row r="398" spans="2:7" x14ac:dyDescent="0.25">
      <c r="B398" s="70">
        <v>43497</v>
      </c>
      <c r="C398" t="s">
        <v>21</v>
      </c>
      <c r="D398" t="s">
        <v>79</v>
      </c>
      <c r="E398" t="s">
        <v>175</v>
      </c>
      <c r="F398" s="71">
        <v>8</v>
      </c>
      <c r="G398" s="71">
        <v>0</v>
      </c>
    </row>
    <row r="399" spans="2:7" x14ac:dyDescent="0.25">
      <c r="B399" s="70">
        <v>43497</v>
      </c>
      <c r="C399" t="s">
        <v>21</v>
      </c>
      <c r="D399" t="s">
        <v>79</v>
      </c>
      <c r="E399" t="s">
        <v>175</v>
      </c>
      <c r="F399" s="71">
        <v>16</v>
      </c>
      <c r="G399" s="71">
        <v>0</v>
      </c>
    </row>
    <row r="400" spans="2:7" x14ac:dyDescent="0.25">
      <c r="B400" s="70">
        <v>43497</v>
      </c>
      <c r="C400" t="s">
        <v>21</v>
      </c>
      <c r="D400" t="s">
        <v>79</v>
      </c>
      <c r="E400" t="s">
        <v>175</v>
      </c>
      <c r="F400" s="71">
        <v>24</v>
      </c>
      <c r="G400" s="71">
        <v>0</v>
      </c>
    </row>
    <row r="401" spans="2:7" x14ac:dyDescent="0.25">
      <c r="B401" s="70">
        <v>43497</v>
      </c>
      <c r="C401" t="s">
        <v>21</v>
      </c>
      <c r="D401" t="s">
        <v>79</v>
      </c>
      <c r="E401" t="s">
        <v>175</v>
      </c>
      <c r="F401" s="71">
        <v>40</v>
      </c>
      <c r="G401" s="71">
        <v>0</v>
      </c>
    </row>
    <row r="402" spans="2:7" x14ac:dyDescent="0.25">
      <c r="B402" s="70">
        <v>43497</v>
      </c>
      <c r="C402" t="s">
        <v>21</v>
      </c>
      <c r="D402" t="s">
        <v>79</v>
      </c>
      <c r="E402" t="s">
        <v>175</v>
      </c>
      <c r="F402" s="71">
        <v>72</v>
      </c>
      <c r="G402" s="71">
        <v>0</v>
      </c>
    </row>
    <row r="403" spans="2:7" x14ac:dyDescent="0.25">
      <c r="B403" s="70">
        <v>43497</v>
      </c>
      <c r="C403" t="s">
        <v>21</v>
      </c>
      <c r="D403" t="s">
        <v>82</v>
      </c>
      <c r="E403" t="s">
        <v>175</v>
      </c>
      <c r="F403" s="71">
        <v>18</v>
      </c>
      <c r="G403" s="71">
        <v>0</v>
      </c>
    </row>
    <row r="404" spans="2:7" x14ac:dyDescent="0.25">
      <c r="B404" s="70">
        <v>43497</v>
      </c>
      <c r="C404" t="s">
        <v>21</v>
      </c>
      <c r="D404" t="s">
        <v>82</v>
      </c>
      <c r="E404" t="s">
        <v>175</v>
      </c>
      <c r="F404" s="71">
        <v>126</v>
      </c>
      <c r="G404" s="71">
        <v>0</v>
      </c>
    </row>
    <row r="405" spans="2:7" x14ac:dyDescent="0.25">
      <c r="B405" s="70">
        <v>43497</v>
      </c>
      <c r="C405" t="s">
        <v>64</v>
      </c>
      <c r="D405" t="s">
        <v>82</v>
      </c>
      <c r="E405" t="s">
        <v>175</v>
      </c>
      <c r="F405" s="71">
        <v>5</v>
      </c>
      <c r="G405" s="71">
        <v>0</v>
      </c>
    </row>
    <row r="406" spans="2:7" x14ac:dyDescent="0.25">
      <c r="B406" s="70">
        <v>43497</v>
      </c>
      <c r="C406" t="s">
        <v>45</v>
      </c>
      <c r="D406" t="s">
        <v>85</v>
      </c>
      <c r="E406" t="s">
        <v>175</v>
      </c>
      <c r="F406" s="71">
        <v>66.900000000000006</v>
      </c>
      <c r="G406" s="71">
        <v>0</v>
      </c>
    </row>
    <row r="407" spans="2:7" x14ac:dyDescent="0.25">
      <c r="B407" s="70">
        <v>43497</v>
      </c>
      <c r="C407" t="s">
        <v>50</v>
      </c>
      <c r="D407" t="s">
        <v>85</v>
      </c>
      <c r="E407" t="s">
        <v>175</v>
      </c>
      <c r="F407" s="71">
        <v>113.89</v>
      </c>
      <c r="G407" s="71">
        <v>0</v>
      </c>
    </row>
    <row r="408" spans="2:7" x14ac:dyDescent="0.25">
      <c r="B408" s="70">
        <v>43497</v>
      </c>
      <c r="C408" t="s">
        <v>50</v>
      </c>
      <c r="D408" t="s">
        <v>83</v>
      </c>
      <c r="E408" t="s">
        <v>175</v>
      </c>
      <c r="F408" s="71">
        <v>25</v>
      </c>
      <c r="G408" s="71">
        <v>0</v>
      </c>
    </row>
    <row r="409" spans="2:7" x14ac:dyDescent="0.25">
      <c r="B409" s="70">
        <v>43497</v>
      </c>
      <c r="C409" t="s">
        <v>24</v>
      </c>
      <c r="D409" t="s">
        <v>79</v>
      </c>
      <c r="E409" t="s">
        <v>175</v>
      </c>
      <c r="F409" s="71">
        <v>8</v>
      </c>
      <c r="G409" s="71">
        <v>0</v>
      </c>
    </row>
    <row r="410" spans="2:7" x14ac:dyDescent="0.25">
      <c r="B410" s="70">
        <v>43498</v>
      </c>
      <c r="C410" t="s">
        <v>25</v>
      </c>
      <c r="D410" t="s">
        <v>85</v>
      </c>
      <c r="E410" t="s">
        <v>177</v>
      </c>
      <c r="F410" s="71">
        <v>30</v>
      </c>
      <c r="G410" s="71">
        <v>0</v>
      </c>
    </row>
    <row r="411" spans="2:7" x14ac:dyDescent="0.25">
      <c r="B411" s="70">
        <v>43498</v>
      </c>
      <c r="C411" t="s">
        <v>25</v>
      </c>
      <c r="D411" t="s">
        <v>81</v>
      </c>
      <c r="E411" t="s">
        <v>178</v>
      </c>
      <c r="F411" s="71">
        <v>9.75</v>
      </c>
      <c r="G411" s="71">
        <v>0</v>
      </c>
    </row>
    <row r="412" spans="2:7" x14ac:dyDescent="0.25">
      <c r="B412" s="70">
        <v>43498</v>
      </c>
      <c r="C412" t="s">
        <v>25</v>
      </c>
      <c r="D412" t="s">
        <v>81</v>
      </c>
      <c r="E412" t="s">
        <v>179</v>
      </c>
      <c r="F412" s="71">
        <v>2.25</v>
      </c>
      <c r="G412" s="71">
        <v>0</v>
      </c>
    </row>
    <row r="413" spans="2:7" x14ac:dyDescent="0.25">
      <c r="B413" s="70">
        <v>43498</v>
      </c>
      <c r="C413" t="s">
        <v>56</v>
      </c>
      <c r="D413" t="s">
        <v>82</v>
      </c>
      <c r="E413" t="s">
        <v>177</v>
      </c>
      <c r="F413" s="71">
        <v>40</v>
      </c>
      <c r="G413" s="71">
        <v>0</v>
      </c>
    </row>
    <row r="414" spans="2:7" x14ac:dyDescent="0.25">
      <c r="B414" s="70">
        <v>43498</v>
      </c>
      <c r="C414" t="s">
        <v>48</v>
      </c>
      <c r="D414" t="s">
        <v>91</v>
      </c>
      <c r="E414" t="s">
        <v>177</v>
      </c>
      <c r="F414" s="71">
        <v>13570</v>
      </c>
      <c r="G414" s="71">
        <v>0</v>
      </c>
    </row>
    <row r="415" spans="2:7" x14ac:dyDescent="0.25">
      <c r="B415" s="70">
        <v>43498</v>
      </c>
      <c r="C415" t="s">
        <v>45</v>
      </c>
      <c r="D415" t="s">
        <v>85</v>
      </c>
      <c r="E415" t="s">
        <v>177</v>
      </c>
      <c r="F415" s="71">
        <v>25</v>
      </c>
      <c r="G415" s="71">
        <v>0</v>
      </c>
    </row>
    <row r="416" spans="2:7" x14ac:dyDescent="0.25">
      <c r="B416" s="70">
        <v>43498</v>
      </c>
      <c r="C416" t="s">
        <v>50</v>
      </c>
      <c r="D416" t="s">
        <v>82</v>
      </c>
      <c r="E416" t="s">
        <v>177</v>
      </c>
      <c r="F416" s="71">
        <v>37.14</v>
      </c>
      <c r="G416" s="71">
        <v>0</v>
      </c>
    </row>
    <row r="417" spans="2:7" x14ac:dyDescent="0.25">
      <c r="B417" s="70">
        <v>43500</v>
      </c>
      <c r="C417" t="s">
        <v>25</v>
      </c>
      <c r="D417" t="s">
        <v>86</v>
      </c>
      <c r="E417" t="s">
        <v>180</v>
      </c>
      <c r="F417" s="71">
        <v>0</v>
      </c>
      <c r="G417" s="71">
        <v>183.93</v>
      </c>
    </row>
    <row r="418" spans="2:7" x14ac:dyDescent="0.25">
      <c r="B418" s="70">
        <v>43500</v>
      </c>
      <c r="C418" t="s">
        <v>25</v>
      </c>
      <c r="D418" t="s">
        <v>81</v>
      </c>
      <c r="E418" t="s">
        <v>153</v>
      </c>
      <c r="F418" s="71">
        <v>6.4</v>
      </c>
      <c r="G418" s="71">
        <v>0</v>
      </c>
    </row>
    <row r="419" spans="2:7" x14ac:dyDescent="0.25">
      <c r="B419" s="70">
        <v>43500</v>
      </c>
      <c r="C419" t="s">
        <v>25</v>
      </c>
      <c r="D419" t="s">
        <v>81</v>
      </c>
      <c r="E419" t="s">
        <v>131</v>
      </c>
      <c r="F419" s="71">
        <v>2.4</v>
      </c>
      <c r="G419" s="71">
        <v>0</v>
      </c>
    </row>
    <row r="420" spans="2:7" x14ac:dyDescent="0.25">
      <c r="B420" s="70">
        <v>43500</v>
      </c>
      <c r="C420" t="s">
        <v>25</v>
      </c>
      <c r="D420" t="s">
        <v>81</v>
      </c>
      <c r="E420" t="s">
        <v>181</v>
      </c>
      <c r="F420" s="71">
        <v>6.4</v>
      </c>
      <c r="G420" s="71">
        <v>0</v>
      </c>
    </row>
    <row r="421" spans="2:7" x14ac:dyDescent="0.25">
      <c r="B421" s="70">
        <v>43500</v>
      </c>
      <c r="C421" t="s">
        <v>25</v>
      </c>
      <c r="D421" t="s">
        <v>82</v>
      </c>
      <c r="E421" t="s">
        <v>180</v>
      </c>
      <c r="F421" s="71">
        <v>183.93</v>
      </c>
      <c r="G421" s="71">
        <v>0</v>
      </c>
    </row>
    <row r="422" spans="2:7" x14ac:dyDescent="0.25">
      <c r="B422" s="70">
        <v>43500</v>
      </c>
      <c r="C422" t="s">
        <v>25</v>
      </c>
      <c r="D422" t="s">
        <v>82</v>
      </c>
      <c r="E422" t="s">
        <v>180</v>
      </c>
      <c r="F422" s="71">
        <v>536.4</v>
      </c>
      <c r="G422" s="71">
        <v>0</v>
      </c>
    </row>
    <row r="423" spans="2:7" x14ac:dyDescent="0.25">
      <c r="B423" s="70">
        <v>43500</v>
      </c>
      <c r="C423" t="s">
        <v>54</v>
      </c>
      <c r="D423" t="s">
        <v>92</v>
      </c>
      <c r="E423" t="s">
        <v>182</v>
      </c>
      <c r="F423" s="71">
        <v>4.68</v>
      </c>
      <c r="G423" s="71">
        <v>0</v>
      </c>
    </row>
    <row r="424" spans="2:7" x14ac:dyDescent="0.25">
      <c r="B424" s="70">
        <v>43500</v>
      </c>
      <c r="C424" t="s">
        <v>51</v>
      </c>
      <c r="D424" t="s">
        <v>82</v>
      </c>
      <c r="E424" t="s">
        <v>180</v>
      </c>
      <c r="F424" s="71">
        <v>117.85</v>
      </c>
      <c r="G424" s="71">
        <v>0</v>
      </c>
    </row>
    <row r="425" spans="2:7" x14ac:dyDescent="0.25">
      <c r="B425" s="70">
        <v>43500</v>
      </c>
      <c r="C425" t="s">
        <v>43</v>
      </c>
      <c r="D425" t="s">
        <v>84</v>
      </c>
      <c r="E425" t="s">
        <v>180</v>
      </c>
      <c r="F425" s="71">
        <v>303.89999999999998</v>
      </c>
      <c r="G425" s="71">
        <v>0</v>
      </c>
    </row>
    <row r="426" spans="2:7" x14ac:dyDescent="0.25">
      <c r="B426" s="70">
        <v>43500</v>
      </c>
      <c r="C426" t="s">
        <v>21</v>
      </c>
      <c r="D426" t="s">
        <v>79</v>
      </c>
      <c r="E426" t="s">
        <v>180</v>
      </c>
      <c r="F426" s="71">
        <v>8</v>
      </c>
      <c r="G426" s="71">
        <v>0</v>
      </c>
    </row>
    <row r="427" spans="2:7" x14ac:dyDescent="0.25">
      <c r="B427" s="70">
        <v>43500</v>
      </c>
      <c r="C427" t="s">
        <v>21</v>
      </c>
      <c r="D427" t="s">
        <v>79</v>
      </c>
      <c r="E427" t="s">
        <v>180</v>
      </c>
      <c r="F427" s="71">
        <v>16</v>
      </c>
      <c r="G427" s="71">
        <v>0</v>
      </c>
    </row>
    <row r="428" spans="2:7" x14ac:dyDescent="0.25">
      <c r="B428" s="70">
        <v>43500</v>
      </c>
      <c r="C428" t="s">
        <v>21</v>
      </c>
      <c r="D428" t="s">
        <v>79</v>
      </c>
      <c r="E428" t="s">
        <v>180</v>
      </c>
      <c r="F428" s="71">
        <v>24</v>
      </c>
      <c r="G428" s="71">
        <v>0</v>
      </c>
    </row>
    <row r="429" spans="2:7" x14ac:dyDescent="0.25">
      <c r="B429" s="70">
        <v>43500</v>
      </c>
      <c r="C429" t="s">
        <v>21</v>
      </c>
      <c r="D429" t="s">
        <v>79</v>
      </c>
      <c r="E429" t="s">
        <v>180</v>
      </c>
      <c r="F429" s="71">
        <v>32</v>
      </c>
      <c r="G429" s="71">
        <v>0</v>
      </c>
    </row>
    <row r="430" spans="2:7" x14ac:dyDescent="0.25">
      <c r="B430" s="70">
        <v>43500</v>
      </c>
      <c r="C430" t="s">
        <v>21</v>
      </c>
      <c r="D430" t="s">
        <v>79</v>
      </c>
      <c r="E430" t="s">
        <v>180</v>
      </c>
      <c r="F430" s="71">
        <v>80</v>
      </c>
      <c r="G430" s="71">
        <v>0</v>
      </c>
    </row>
    <row r="431" spans="2:7" x14ac:dyDescent="0.25">
      <c r="B431" s="70">
        <v>43500</v>
      </c>
      <c r="C431" t="s">
        <v>21</v>
      </c>
      <c r="D431" t="s">
        <v>79</v>
      </c>
      <c r="E431" t="s">
        <v>180</v>
      </c>
      <c r="F431" s="71">
        <v>96</v>
      </c>
      <c r="G431" s="71">
        <v>0</v>
      </c>
    </row>
    <row r="432" spans="2:7" x14ac:dyDescent="0.25">
      <c r="B432" s="70">
        <v>43500</v>
      </c>
      <c r="C432" t="s">
        <v>48</v>
      </c>
      <c r="D432" t="s">
        <v>84</v>
      </c>
      <c r="E432" t="s">
        <v>180</v>
      </c>
      <c r="F432" s="71">
        <v>150</v>
      </c>
      <c r="G432" s="71">
        <v>0</v>
      </c>
    </row>
    <row r="433" spans="2:7" x14ac:dyDescent="0.25">
      <c r="B433" s="70">
        <v>43500</v>
      </c>
      <c r="C433" t="s">
        <v>49</v>
      </c>
      <c r="D433" t="s">
        <v>84</v>
      </c>
      <c r="E433" t="s">
        <v>180</v>
      </c>
      <c r="F433">
        <v>150</v>
      </c>
      <c r="G433" s="71">
        <v>0</v>
      </c>
    </row>
    <row r="434" spans="2:7" x14ac:dyDescent="0.25">
      <c r="B434" s="70">
        <v>43500</v>
      </c>
      <c r="C434" t="s">
        <v>50</v>
      </c>
      <c r="D434" t="s">
        <v>84</v>
      </c>
      <c r="E434" t="s">
        <v>180</v>
      </c>
      <c r="F434" s="71">
        <v>2250</v>
      </c>
      <c r="G434" s="71">
        <v>0</v>
      </c>
    </row>
    <row r="435" spans="2:7" x14ac:dyDescent="0.25">
      <c r="B435" s="70">
        <v>43500</v>
      </c>
      <c r="C435" t="s">
        <v>60</v>
      </c>
      <c r="D435" t="s">
        <v>79</v>
      </c>
      <c r="E435" t="s">
        <v>180</v>
      </c>
      <c r="F435" s="71">
        <v>23.99</v>
      </c>
      <c r="G435" s="71">
        <v>0</v>
      </c>
    </row>
    <row r="436" spans="2:7" x14ac:dyDescent="0.25">
      <c r="B436" s="70">
        <v>43501</v>
      </c>
      <c r="C436" t="s">
        <v>25</v>
      </c>
      <c r="D436" t="s">
        <v>85</v>
      </c>
      <c r="E436" t="s">
        <v>183</v>
      </c>
      <c r="F436" s="71">
        <v>18</v>
      </c>
      <c r="G436" s="71">
        <v>0</v>
      </c>
    </row>
    <row r="437" spans="2:7" x14ac:dyDescent="0.25">
      <c r="B437" s="70">
        <v>43501</v>
      </c>
      <c r="C437" t="s">
        <v>25</v>
      </c>
      <c r="D437" t="s">
        <v>87</v>
      </c>
      <c r="E437" t="s">
        <v>183</v>
      </c>
      <c r="F437" s="71">
        <v>15.95</v>
      </c>
      <c r="G437" s="71">
        <v>0</v>
      </c>
    </row>
    <row r="438" spans="2:7" x14ac:dyDescent="0.25">
      <c r="B438" s="70">
        <v>43501</v>
      </c>
      <c r="C438" t="s">
        <v>25</v>
      </c>
      <c r="D438" t="s">
        <v>87</v>
      </c>
      <c r="E438" t="s">
        <v>183</v>
      </c>
      <c r="F438" s="71">
        <v>23.98</v>
      </c>
      <c r="G438" s="71">
        <v>0</v>
      </c>
    </row>
    <row r="439" spans="2:7" x14ac:dyDescent="0.25">
      <c r="B439" s="70">
        <v>43501</v>
      </c>
      <c r="C439" t="s">
        <v>25</v>
      </c>
      <c r="D439" t="s">
        <v>87</v>
      </c>
      <c r="E439" t="s">
        <v>183</v>
      </c>
      <c r="F439" s="71">
        <v>32.61</v>
      </c>
      <c r="G439" s="71">
        <v>0</v>
      </c>
    </row>
    <row r="440" spans="2:7" x14ac:dyDescent="0.25">
      <c r="B440" s="70">
        <v>43501</v>
      </c>
      <c r="C440" t="s">
        <v>25</v>
      </c>
      <c r="D440" t="s">
        <v>87</v>
      </c>
      <c r="E440" t="s">
        <v>183</v>
      </c>
      <c r="F440" s="71">
        <v>37.520000000000003</v>
      </c>
      <c r="G440" s="71">
        <v>0</v>
      </c>
    </row>
    <row r="441" spans="2:7" x14ac:dyDescent="0.25">
      <c r="B441" s="70">
        <v>43501</v>
      </c>
      <c r="C441" t="s">
        <v>25</v>
      </c>
      <c r="D441" t="s">
        <v>87</v>
      </c>
      <c r="E441" t="s">
        <v>183</v>
      </c>
      <c r="F441" s="71">
        <v>44.99</v>
      </c>
      <c r="G441" s="71">
        <v>0</v>
      </c>
    </row>
    <row r="442" spans="2:7" x14ac:dyDescent="0.25">
      <c r="B442" s="70">
        <v>43501</v>
      </c>
      <c r="C442" t="s">
        <v>25</v>
      </c>
      <c r="D442" t="s">
        <v>87</v>
      </c>
      <c r="E442" t="s">
        <v>183</v>
      </c>
      <c r="F442" s="71">
        <v>66.55</v>
      </c>
      <c r="G442" s="71">
        <v>0</v>
      </c>
    </row>
    <row r="443" spans="2:7" x14ac:dyDescent="0.25">
      <c r="B443" s="70">
        <v>43501</v>
      </c>
      <c r="C443" t="s">
        <v>25</v>
      </c>
      <c r="D443" t="s">
        <v>87</v>
      </c>
      <c r="E443" t="s">
        <v>183</v>
      </c>
      <c r="F443" s="71">
        <v>79.86</v>
      </c>
      <c r="G443" s="71">
        <v>0</v>
      </c>
    </row>
    <row r="444" spans="2:7" x14ac:dyDescent="0.25">
      <c r="B444" s="70">
        <v>43501</v>
      </c>
      <c r="C444" t="s">
        <v>25</v>
      </c>
      <c r="D444" t="s">
        <v>81</v>
      </c>
      <c r="E444" t="s">
        <v>153</v>
      </c>
      <c r="F444" s="71">
        <v>6.4</v>
      </c>
      <c r="G444" s="71">
        <v>0</v>
      </c>
    </row>
    <row r="445" spans="2:7" x14ac:dyDescent="0.25">
      <c r="B445" s="70">
        <v>43501</v>
      </c>
      <c r="C445" t="s">
        <v>25</v>
      </c>
      <c r="D445" t="s">
        <v>81</v>
      </c>
      <c r="E445" t="s">
        <v>164</v>
      </c>
      <c r="F445" s="71">
        <v>18</v>
      </c>
      <c r="G445" s="71">
        <v>0</v>
      </c>
    </row>
    <row r="446" spans="2:7" x14ac:dyDescent="0.25">
      <c r="B446" s="70">
        <v>43501</v>
      </c>
      <c r="C446" t="s">
        <v>25</v>
      </c>
      <c r="D446" t="s">
        <v>82</v>
      </c>
      <c r="E446" t="s">
        <v>183</v>
      </c>
      <c r="F446" s="71">
        <v>46.4</v>
      </c>
      <c r="G446" s="71">
        <v>0</v>
      </c>
    </row>
    <row r="447" spans="2:7" x14ac:dyDescent="0.25">
      <c r="B447" s="70">
        <v>43501</v>
      </c>
      <c r="C447" t="s">
        <v>25</v>
      </c>
      <c r="D447" t="s">
        <v>82</v>
      </c>
      <c r="E447" t="s">
        <v>183</v>
      </c>
      <c r="F447" s="71">
        <v>359.78</v>
      </c>
      <c r="G447" s="71">
        <v>0</v>
      </c>
    </row>
    <row r="448" spans="2:7" x14ac:dyDescent="0.25">
      <c r="B448" s="70">
        <v>43501</v>
      </c>
      <c r="C448" t="s">
        <v>59</v>
      </c>
      <c r="D448" t="s">
        <v>82</v>
      </c>
      <c r="E448" t="s">
        <v>183</v>
      </c>
      <c r="F448" s="71">
        <v>175.85</v>
      </c>
      <c r="G448" s="71">
        <v>0</v>
      </c>
    </row>
    <row r="449" spans="2:7" x14ac:dyDescent="0.25">
      <c r="B449" s="70">
        <v>43501</v>
      </c>
      <c r="C449" t="s">
        <v>57</v>
      </c>
      <c r="D449" t="s">
        <v>80</v>
      </c>
      <c r="E449" t="s">
        <v>183</v>
      </c>
      <c r="F449" s="71">
        <v>27.75</v>
      </c>
      <c r="G449" s="71">
        <v>0</v>
      </c>
    </row>
    <row r="450" spans="2:7" x14ac:dyDescent="0.25">
      <c r="B450" s="70">
        <v>43501</v>
      </c>
      <c r="C450" t="s">
        <v>21</v>
      </c>
      <c r="D450" t="s">
        <v>93</v>
      </c>
      <c r="E450" t="s">
        <v>183</v>
      </c>
      <c r="F450" s="71">
        <v>8</v>
      </c>
      <c r="G450" s="71">
        <v>0</v>
      </c>
    </row>
    <row r="451" spans="2:7" x14ac:dyDescent="0.25">
      <c r="B451" s="70">
        <v>43501</v>
      </c>
      <c r="C451" t="s">
        <v>21</v>
      </c>
      <c r="D451" t="s">
        <v>79</v>
      </c>
      <c r="E451" t="s">
        <v>183</v>
      </c>
      <c r="F451" s="71">
        <v>24</v>
      </c>
      <c r="G451" s="71">
        <v>0</v>
      </c>
    </row>
    <row r="452" spans="2:7" x14ac:dyDescent="0.25">
      <c r="B452" s="70">
        <v>43501</v>
      </c>
      <c r="C452" t="s">
        <v>21</v>
      </c>
      <c r="D452" t="s">
        <v>79</v>
      </c>
      <c r="E452" t="s">
        <v>183</v>
      </c>
      <c r="F452" s="71">
        <v>32</v>
      </c>
      <c r="G452" s="71">
        <v>0</v>
      </c>
    </row>
    <row r="453" spans="2:7" x14ac:dyDescent="0.25">
      <c r="B453" s="70">
        <v>43501</v>
      </c>
      <c r="C453" t="s">
        <v>48</v>
      </c>
      <c r="D453" t="s">
        <v>87</v>
      </c>
      <c r="E453" t="s">
        <v>183</v>
      </c>
      <c r="F453" s="71">
        <v>29.96</v>
      </c>
      <c r="G453" s="71">
        <v>0</v>
      </c>
    </row>
    <row r="454" spans="2:7" x14ac:dyDescent="0.25">
      <c r="B454" s="70">
        <v>43501</v>
      </c>
      <c r="C454" t="s">
        <v>45</v>
      </c>
      <c r="D454" t="s">
        <v>82</v>
      </c>
      <c r="E454" t="s">
        <v>183</v>
      </c>
      <c r="F454" s="71">
        <v>42</v>
      </c>
      <c r="G454" s="71">
        <v>0</v>
      </c>
    </row>
    <row r="455" spans="2:7" x14ac:dyDescent="0.25">
      <c r="B455" s="70">
        <v>43501</v>
      </c>
      <c r="C455" t="s">
        <v>53</v>
      </c>
      <c r="D455" t="s">
        <v>85</v>
      </c>
      <c r="E455" t="s">
        <v>183</v>
      </c>
      <c r="F455" s="71">
        <v>262.48</v>
      </c>
      <c r="G455" s="71">
        <v>0</v>
      </c>
    </row>
    <row r="456" spans="2:7" x14ac:dyDescent="0.25">
      <c r="B456" s="70">
        <v>43502</v>
      </c>
      <c r="C456" t="s">
        <v>25</v>
      </c>
      <c r="D456" t="s">
        <v>81</v>
      </c>
      <c r="E456" t="s">
        <v>154</v>
      </c>
      <c r="F456" s="71">
        <v>2.25</v>
      </c>
      <c r="G456" s="71">
        <v>0</v>
      </c>
    </row>
    <row r="457" spans="2:7" x14ac:dyDescent="0.25">
      <c r="B457" s="70">
        <v>43502</v>
      </c>
      <c r="C457" t="s">
        <v>25</v>
      </c>
      <c r="D457" t="s">
        <v>82</v>
      </c>
      <c r="E457" t="s">
        <v>184</v>
      </c>
      <c r="F457" s="71">
        <v>25</v>
      </c>
      <c r="G457" s="71">
        <v>0</v>
      </c>
    </row>
    <row r="458" spans="2:7" x14ac:dyDescent="0.25">
      <c r="B458" s="70">
        <v>43502</v>
      </c>
      <c r="C458" t="s">
        <v>51</v>
      </c>
      <c r="D458" t="s">
        <v>82</v>
      </c>
      <c r="E458" t="s">
        <v>184</v>
      </c>
      <c r="F458" s="71">
        <v>334.41</v>
      </c>
      <c r="G458" s="71">
        <v>0</v>
      </c>
    </row>
    <row r="459" spans="2:7" x14ac:dyDescent="0.25">
      <c r="B459" s="70">
        <v>43502</v>
      </c>
      <c r="C459" t="s">
        <v>21</v>
      </c>
      <c r="D459" t="s">
        <v>79</v>
      </c>
      <c r="E459" t="s">
        <v>184</v>
      </c>
      <c r="F459" s="71">
        <v>16</v>
      </c>
      <c r="G459" s="71">
        <v>0</v>
      </c>
    </row>
    <row r="460" spans="2:7" x14ac:dyDescent="0.25">
      <c r="B460" s="70">
        <v>43502</v>
      </c>
      <c r="C460" t="s">
        <v>50</v>
      </c>
      <c r="D460" t="s">
        <v>82</v>
      </c>
      <c r="E460" t="s">
        <v>184</v>
      </c>
      <c r="F460" s="71">
        <v>10.57</v>
      </c>
      <c r="G460" s="71">
        <v>0</v>
      </c>
    </row>
    <row r="461" spans="2:7" x14ac:dyDescent="0.25">
      <c r="B461" s="70">
        <v>43503</v>
      </c>
      <c r="C461" t="s">
        <v>25</v>
      </c>
      <c r="D461" t="s">
        <v>83</v>
      </c>
      <c r="E461" t="s">
        <v>185</v>
      </c>
      <c r="F461" s="71">
        <v>32.1</v>
      </c>
      <c r="G461" s="71">
        <v>0</v>
      </c>
    </row>
    <row r="462" spans="2:7" x14ac:dyDescent="0.25">
      <c r="B462" s="70">
        <v>43503</v>
      </c>
      <c r="C462" t="s">
        <v>25</v>
      </c>
      <c r="D462" t="s">
        <v>87</v>
      </c>
      <c r="E462" t="s">
        <v>185</v>
      </c>
      <c r="F462" s="71">
        <v>17.07</v>
      </c>
      <c r="G462" s="71">
        <v>0</v>
      </c>
    </row>
    <row r="463" spans="2:7" x14ac:dyDescent="0.25">
      <c r="B463" s="70">
        <v>43503</v>
      </c>
      <c r="C463" t="s">
        <v>25</v>
      </c>
      <c r="D463" t="s">
        <v>87</v>
      </c>
      <c r="E463" t="s">
        <v>185</v>
      </c>
      <c r="F463" s="71">
        <v>18</v>
      </c>
      <c r="G463" s="71">
        <v>0</v>
      </c>
    </row>
    <row r="464" spans="2:7" x14ac:dyDescent="0.25">
      <c r="B464" s="70">
        <v>43503</v>
      </c>
      <c r="C464" t="s">
        <v>25</v>
      </c>
      <c r="D464" t="s">
        <v>87</v>
      </c>
      <c r="E464" t="s">
        <v>185</v>
      </c>
      <c r="F464" s="71">
        <v>31.13</v>
      </c>
      <c r="G464" s="71">
        <v>0</v>
      </c>
    </row>
    <row r="465" spans="2:7" x14ac:dyDescent="0.25">
      <c r="B465" s="70">
        <v>43503</v>
      </c>
      <c r="C465" t="s">
        <v>25</v>
      </c>
      <c r="D465" t="s">
        <v>87</v>
      </c>
      <c r="E465" t="s">
        <v>185</v>
      </c>
      <c r="F465" s="71">
        <v>49.11</v>
      </c>
      <c r="G465" s="71">
        <v>0</v>
      </c>
    </row>
    <row r="466" spans="2:7" x14ac:dyDescent="0.25">
      <c r="B466" s="70">
        <v>43503</v>
      </c>
      <c r="C466" t="s">
        <v>25</v>
      </c>
      <c r="D466" t="s">
        <v>87</v>
      </c>
      <c r="E466" t="s">
        <v>185</v>
      </c>
      <c r="F466" s="71">
        <v>66.849999999999994</v>
      </c>
      <c r="G466" s="71">
        <v>0</v>
      </c>
    </row>
    <row r="467" spans="2:7" x14ac:dyDescent="0.25">
      <c r="B467" s="70">
        <v>43503</v>
      </c>
      <c r="C467" t="s">
        <v>25</v>
      </c>
      <c r="D467" t="s">
        <v>87</v>
      </c>
      <c r="E467" t="s">
        <v>185</v>
      </c>
      <c r="F467" s="71">
        <v>101.68</v>
      </c>
      <c r="G467" s="71">
        <v>0</v>
      </c>
    </row>
    <row r="468" spans="2:7" x14ac:dyDescent="0.25">
      <c r="B468" s="70">
        <v>43503</v>
      </c>
      <c r="C468" t="s">
        <v>25</v>
      </c>
      <c r="D468" t="s">
        <v>86</v>
      </c>
      <c r="E468" t="s">
        <v>185</v>
      </c>
      <c r="F468" s="71">
        <v>28</v>
      </c>
      <c r="G468" s="71">
        <v>0</v>
      </c>
    </row>
    <row r="469" spans="2:7" x14ac:dyDescent="0.25">
      <c r="B469" s="70">
        <v>43503</v>
      </c>
      <c r="C469" t="s">
        <v>25</v>
      </c>
      <c r="D469" t="s">
        <v>81</v>
      </c>
      <c r="E469" t="s">
        <v>155</v>
      </c>
      <c r="F469" s="71">
        <v>2.4</v>
      </c>
      <c r="G469" s="71">
        <v>0</v>
      </c>
    </row>
    <row r="470" spans="2:7" x14ac:dyDescent="0.25">
      <c r="B470" s="70">
        <v>43503</v>
      </c>
      <c r="C470" t="s">
        <v>21</v>
      </c>
      <c r="D470" t="s">
        <v>79</v>
      </c>
      <c r="E470" t="s">
        <v>185</v>
      </c>
      <c r="F470" s="71">
        <v>8</v>
      </c>
      <c r="G470" s="71">
        <v>0</v>
      </c>
    </row>
    <row r="471" spans="2:7" x14ac:dyDescent="0.25">
      <c r="B471" s="70">
        <v>43503</v>
      </c>
      <c r="C471" t="s">
        <v>21</v>
      </c>
      <c r="D471" t="s">
        <v>79</v>
      </c>
      <c r="E471" t="s">
        <v>185</v>
      </c>
      <c r="F471" s="71">
        <v>16</v>
      </c>
      <c r="G471" s="71">
        <v>0</v>
      </c>
    </row>
    <row r="472" spans="2:7" x14ac:dyDescent="0.25">
      <c r="B472" s="70">
        <v>43503</v>
      </c>
      <c r="C472" t="s">
        <v>21</v>
      </c>
      <c r="D472" t="s">
        <v>79</v>
      </c>
      <c r="E472" t="s">
        <v>185</v>
      </c>
      <c r="F472" s="71">
        <v>64</v>
      </c>
      <c r="G472" s="71">
        <v>0</v>
      </c>
    </row>
    <row r="473" spans="2:7" x14ac:dyDescent="0.25">
      <c r="B473" s="70">
        <v>43503</v>
      </c>
      <c r="C473" t="s">
        <v>45</v>
      </c>
      <c r="D473" t="s">
        <v>86</v>
      </c>
      <c r="E473" t="s">
        <v>185</v>
      </c>
      <c r="F473" s="71">
        <v>517.79</v>
      </c>
      <c r="G473" s="71">
        <v>0</v>
      </c>
    </row>
    <row r="474" spans="2:7" x14ac:dyDescent="0.25">
      <c r="B474" s="70">
        <v>43503</v>
      </c>
      <c r="C474" t="s">
        <v>49</v>
      </c>
      <c r="D474" t="s">
        <v>82</v>
      </c>
      <c r="E474" t="s">
        <v>185</v>
      </c>
      <c r="F474" s="71">
        <v>77</v>
      </c>
      <c r="G474" s="71">
        <v>0</v>
      </c>
    </row>
    <row r="475" spans="2:7" x14ac:dyDescent="0.25">
      <c r="B475" s="70">
        <v>43503</v>
      </c>
      <c r="C475" t="s">
        <v>24</v>
      </c>
      <c r="D475" t="s">
        <v>79</v>
      </c>
      <c r="E475" t="s">
        <v>185</v>
      </c>
      <c r="F475" s="71">
        <v>8</v>
      </c>
      <c r="G475" s="71">
        <v>0</v>
      </c>
    </row>
    <row r="476" spans="2:7" x14ac:dyDescent="0.25">
      <c r="B476" s="70">
        <v>43504</v>
      </c>
      <c r="C476" t="s">
        <v>25</v>
      </c>
      <c r="D476" t="s">
        <v>85</v>
      </c>
      <c r="E476" t="s">
        <v>186</v>
      </c>
      <c r="F476" s="71">
        <v>17</v>
      </c>
      <c r="G476" s="71">
        <v>0</v>
      </c>
    </row>
    <row r="477" spans="2:7" x14ac:dyDescent="0.25">
      <c r="B477" s="70">
        <v>43504</v>
      </c>
      <c r="C477" t="s">
        <v>25</v>
      </c>
      <c r="D477" t="s">
        <v>85</v>
      </c>
      <c r="E477" t="s">
        <v>186</v>
      </c>
      <c r="F477" s="71">
        <v>22.27</v>
      </c>
      <c r="G477" s="71">
        <v>0</v>
      </c>
    </row>
    <row r="478" spans="2:7" x14ac:dyDescent="0.25">
      <c r="B478" s="70">
        <v>43504</v>
      </c>
      <c r="C478" t="s">
        <v>25</v>
      </c>
      <c r="D478" t="s">
        <v>81</v>
      </c>
      <c r="E478" t="s">
        <v>148</v>
      </c>
      <c r="F478" s="71">
        <v>2.25</v>
      </c>
      <c r="G478" s="71">
        <v>0</v>
      </c>
    </row>
    <row r="479" spans="2:7" x14ac:dyDescent="0.25">
      <c r="B479" s="70">
        <v>43504</v>
      </c>
      <c r="C479" t="s">
        <v>25</v>
      </c>
      <c r="D479" t="s">
        <v>81</v>
      </c>
      <c r="E479" t="s">
        <v>140</v>
      </c>
      <c r="F479" s="71">
        <v>2.4</v>
      </c>
      <c r="G479" s="71">
        <v>0</v>
      </c>
    </row>
    <row r="480" spans="2:7" x14ac:dyDescent="0.25">
      <c r="B480" s="70">
        <v>43504</v>
      </c>
      <c r="C480" t="s">
        <v>25</v>
      </c>
      <c r="D480" t="s">
        <v>81</v>
      </c>
      <c r="E480" t="s">
        <v>187</v>
      </c>
      <c r="F480" s="71">
        <v>7.2</v>
      </c>
      <c r="G480" s="71">
        <v>0</v>
      </c>
    </row>
    <row r="481" spans="2:7" x14ac:dyDescent="0.25">
      <c r="B481" s="70">
        <v>43504</v>
      </c>
      <c r="C481" t="s">
        <v>46</v>
      </c>
      <c r="D481" t="s">
        <v>82</v>
      </c>
      <c r="E481" t="s">
        <v>186</v>
      </c>
      <c r="F481" s="71">
        <v>14.3</v>
      </c>
      <c r="G481" s="71">
        <v>0</v>
      </c>
    </row>
    <row r="482" spans="2:7" x14ac:dyDescent="0.25">
      <c r="B482" s="70">
        <v>43504</v>
      </c>
      <c r="C482" t="s">
        <v>59</v>
      </c>
      <c r="D482" t="s">
        <v>82</v>
      </c>
      <c r="E482" t="s">
        <v>186</v>
      </c>
      <c r="F482" s="71">
        <v>39</v>
      </c>
      <c r="G482" s="71">
        <v>0</v>
      </c>
    </row>
    <row r="483" spans="2:7" x14ac:dyDescent="0.25">
      <c r="B483" s="70">
        <v>43504</v>
      </c>
      <c r="C483" t="s">
        <v>47</v>
      </c>
      <c r="D483" t="s">
        <v>82</v>
      </c>
      <c r="E483" t="s">
        <v>186</v>
      </c>
      <c r="F483" s="71">
        <v>22</v>
      </c>
      <c r="G483" s="71">
        <v>0</v>
      </c>
    </row>
    <row r="484" spans="2:7" x14ac:dyDescent="0.25">
      <c r="B484" s="70">
        <v>43504</v>
      </c>
      <c r="C484" t="s">
        <v>51</v>
      </c>
      <c r="D484" t="s">
        <v>82</v>
      </c>
      <c r="E484" t="s">
        <v>186</v>
      </c>
      <c r="F484" s="71">
        <v>47.6</v>
      </c>
      <c r="G484" s="71">
        <v>0</v>
      </c>
    </row>
    <row r="485" spans="2:7" x14ac:dyDescent="0.25">
      <c r="B485" s="70">
        <v>43504</v>
      </c>
      <c r="C485" t="s">
        <v>57</v>
      </c>
      <c r="D485" t="s">
        <v>80</v>
      </c>
      <c r="E485" t="s">
        <v>186</v>
      </c>
      <c r="F485" s="71">
        <v>158.94999999999999</v>
      </c>
      <c r="G485" s="71">
        <v>0</v>
      </c>
    </row>
    <row r="486" spans="2:7" x14ac:dyDescent="0.25">
      <c r="B486" s="70">
        <v>43504</v>
      </c>
      <c r="C486" t="s">
        <v>21</v>
      </c>
      <c r="D486" t="s">
        <v>79</v>
      </c>
      <c r="E486" t="s">
        <v>186</v>
      </c>
      <c r="F486" s="71">
        <v>8</v>
      </c>
      <c r="G486" s="71">
        <v>0</v>
      </c>
    </row>
    <row r="487" spans="2:7" x14ac:dyDescent="0.25">
      <c r="B487" s="70">
        <v>43504</v>
      </c>
      <c r="C487" t="s">
        <v>21</v>
      </c>
      <c r="D487" t="s">
        <v>79</v>
      </c>
      <c r="E487" t="s">
        <v>186</v>
      </c>
      <c r="F487" s="71">
        <v>16</v>
      </c>
      <c r="G487" s="71">
        <v>0</v>
      </c>
    </row>
    <row r="488" spans="2:7" x14ac:dyDescent="0.25">
      <c r="B488" s="70">
        <v>43504</v>
      </c>
      <c r="C488" t="s">
        <v>21</v>
      </c>
      <c r="D488" t="s">
        <v>79</v>
      </c>
      <c r="E488" t="s">
        <v>186</v>
      </c>
      <c r="F488" s="71">
        <v>24</v>
      </c>
      <c r="G488" s="71">
        <v>0</v>
      </c>
    </row>
    <row r="489" spans="2:7" x14ac:dyDescent="0.25">
      <c r="B489" s="70">
        <v>43504</v>
      </c>
      <c r="C489" t="s">
        <v>21</v>
      </c>
      <c r="D489" t="s">
        <v>79</v>
      </c>
      <c r="E489" t="s">
        <v>186</v>
      </c>
      <c r="F489" s="71">
        <v>32</v>
      </c>
      <c r="G489" s="71">
        <v>0</v>
      </c>
    </row>
    <row r="490" spans="2:7" x14ac:dyDescent="0.25">
      <c r="B490" s="70">
        <v>43504</v>
      </c>
      <c r="C490" t="s">
        <v>21</v>
      </c>
      <c r="D490" t="s">
        <v>79</v>
      </c>
      <c r="E490" t="s">
        <v>186</v>
      </c>
      <c r="F490" s="71">
        <v>40</v>
      </c>
      <c r="G490" s="71">
        <v>0</v>
      </c>
    </row>
    <row r="491" spans="2:7" x14ac:dyDescent="0.25">
      <c r="B491" s="70">
        <v>43504</v>
      </c>
      <c r="C491" t="s">
        <v>21</v>
      </c>
      <c r="D491" t="s">
        <v>79</v>
      </c>
      <c r="E491" t="s">
        <v>186</v>
      </c>
      <c r="F491" s="71">
        <v>72</v>
      </c>
      <c r="G491" s="71">
        <v>0</v>
      </c>
    </row>
    <row r="492" spans="2:7" x14ac:dyDescent="0.25">
      <c r="B492" s="70">
        <v>43504</v>
      </c>
      <c r="C492" t="s">
        <v>21</v>
      </c>
      <c r="D492" t="s">
        <v>82</v>
      </c>
      <c r="E492" t="s">
        <v>186</v>
      </c>
      <c r="F492" s="71">
        <v>139.19999999999999</v>
      </c>
      <c r="G492" s="71">
        <v>0</v>
      </c>
    </row>
    <row r="493" spans="2:7" x14ac:dyDescent="0.25">
      <c r="B493" s="70">
        <v>43504</v>
      </c>
      <c r="C493" t="s">
        <v>48</v>
      </c>
      <c r="D493" t="s">
        <v>79</v>
      </c>
      <c r="E493" t="s">
        <v>186</v>
      </c>
      <c r="F493" s="71">
        <v>574.17999999999995</v>
      </c>
      <c r="G493" s="71">
        <v>0</v>
      </c>
    </row>
    <row r="494" spans="2:7" x14ac:dyDescent="0.25">
      <c r="B494" s="70">
        <v>43504</v>
      </c>
      <c r="C494" t="s">
        <v>49</v>
      </c>
      <c r="D494" t="s">
        <v>85</v>
      </c>
      <c r="E494" t="s">
        <v>186</v>
      </c>
      <c r="F494" s="71">
        <v>36</v>
      </c>
      <c r="G494" s="71">
        <v>0</v>
      </c>
    </row>
    <row r="495" spans="2:7" x14ac:dyDescent="0.25">
      <c r="B495" s="70">
        <v>43504</v>
      </c>
      <c r="C495" t="s">
        <v>49</v>
      </c>
      <c r="D495" t="s">
        <v>82</v>
      </c>
      <c r="E495" t="s">
        <v>186</v>
      </c>
      <c r="F495" s="71">
        <v>24</v>
      </c>
      <c r="G495" s="71">
        <v>0</v>
      </c>
    </row>
    <row r="496" spans="2:7" x14ac:dyDescent="0.25">
      <c r="B496" s="70">
        <v>43504</v>
      </c>
      <c r="C496" t="s">
        <v>50</v>
      </c>
      <c r="D496" t="s">
        <v>79</v>
      </c>
      <c r="E496" t="s">
        <v>186</v>
      </c>
      <c r="F496" s="71">
        <v>10</v>
      </c>
      <c r="G496" s="71">
        <v>0</v>
      </c>
    </row>
    <row r="497" spans="2:7" x14ac:dyDescent="0.25">
      <c r="B497" s="70">
        <v>43504</v>
      </c>
      <c r="C497" t="s">
        <v>50</v>
      </c>
      <c r="D497" t="s">
        <v>82</v>
      </c>
      <c r="E497" t="s">
        <v>186</v>
      </c>
      <c r="F497" s="71">
        <v>20.51</v>
      </c>
      <c r="G497" s="71">
        <v>0</v>
      </c>
    </row>
    <row r="498" spans="2:7" x14ac:dyDescent="0.25">
      <c r="B498" s="70">
        <v>43504</v>
      </c>
      <c r="C498" t="s">
        <v>52</v>
      </c>
      <c r="D498" t="s">
        <v>82</v>
      </c>
      <c r="E498" t="s">
        <v>186</v>
      </c>
      <c r="F498" s="71">
        <v>8</v>
      </c>
      <c r="G498" s="71">
        <v>0</v>
      </c>
    </row>
    <row r="499" spans="2:7" x14ac:dyDescent="0.25">
      <c r="B499" s="70">
        <v>43504</v>
      </c>
      <c r="C499" t="s">
        <v>58</v>
      </c>
      <c r="D499" t="s">
        <v>82</v>
      </c>
      <c r="E499" t="s">
        <v>186</v>
      </c>
      <c r="F499" s="71">
        <v>10</v>
      </c>
      <c r="G499" s="71">
        <v>0</v>
      </c>
    </row>
    <row r="500" spans="2:7" x14ac:dyDescent="0.25">
      <c r="B500" s="70">
        <v>43504</v>
      </c>
      <c r="C500" t="s">
        <v>63</v>
      </c>
      <c r="D500" t="s">
        <v>80</v>
      </c>
      <c r="E500" t="s">
        <v>186</v>
      </c>
      <c r="F500" s="71">
        <v>45.13</v>
      </c>
      <c r="G500" s="71">
        <v>0</v>
      </c>
    </row>
    <row r="501" spans="2:7" x14ac:dyDescent="0.25">
      <c r="B501" s="70">
        <v>43504</v>
      </c>
      <c r="C501" t="s">
        <v>65</v>
      </c>
      <c r="D501" t="s">
        <v>85</v>
      </c>
      <c r="E501" t="s">
        <v>186</v>
      </c>
      <c r="F501" s="71">
        <v>30</v>
      </c>
      <c r="G501" s="71">
        <v>0</v>
      </c>
    </row>
    <row r="502" spans="2:7" x14ac:dyDescent="0.25">
      <c r="B502" s="70">
        <v>43504</v>
      </c>
      <c r="C502" t="s">
        <v>24</v>
      </c>
      <c r="D502" t="s">
        <v>79</v>
      </c>
      <c r="E502" t="s">
        <v>186</v>
      </c>
      <c r="F502" s="71">
        <v>8</v>
      </c>
      <c r="G502" s="71">
        <v>0</v>
      </c>
    </row>
    <row r="503" spans="2:7" x14ac:dyDescent="0.25">
      <c r="B503" s="70">
        <v>43505</v>
      </c>
      <c r="C503" t="s">
        <v>25</v>
      </c>
      <c r="D503" t="s">
        <v>94</v>
      </c>
      <c r="E503" t="s">
        <v>188</v>
      </c>
      <c r="F503" s="71">
        <v>42.78</v>
      </c>
      <c r="G503" s="71">
        <v>0</v>
      </c>
    </row>
    <row r="504" spans="2:7" x14ac:dyDescent="0.25">
      <c r="B504" s="70">
        <v>43505</v>
      </c>
      <c r="C504" t="s">
        <v>25</v>
      </c>
      <c r="D504" t="s">
        <v>94</v>
      </c>
      <c r="E504" t="s">
        <v>188</v>
      </c>
      <c r="F504" s="71">
        <v>43.11</v>
      </c>
      <c r="G504" s="71">
        <v>0</v>
      </c>
    </row>
    <row r="505" spans="2:7" x14ac:dyDescent="0.25">
      <c r="B505" s="70">
        <v>43505</v>
      </c>
      <c r="C505" t="s">
        <v>25</v>
      </c>
      <c r="D505" t="s">
        <v>94</v>
      </c>
      <c r="E505" t="s">
        <v>188</v>
      </c>
      <c r="F505" s="71">
        <v>43.5</v>
      </c>
      <c r="G505" s="71">
        <v>0</v>
      </c>
    </row>
    <row r="506" spans="2:7" x14ac:dyDescent="0.25">
      <c r="B506" s="70">
        <v>43505</v>
      </c>
      <c r="C506" t="s">
        <v>25</v>
      </c>
      <c r="D506" t="s">
        <v>94</v>
      </c>
      <c r="E506" t="s">
        <v>188</v>
      </c>
      <c r="F506" s="71">
        <v>44.01</v>
      </c>
      <c r="G506" s="71">
        <v>0</v>
      </c>
    </row>
    <row r="507" spans="2:7" x14ac:dyDescent="0.25">
      <c r="B507" s="70">
        <v>43505</v>
      </c>
      <c r="C507" t="s">
        <v>25</v>
      </c>
      <c r="D507" t="s">
        <v>94</v>
      </c>
      <c r="E507" t="s">
        <v>188</v>
      </c>
      <c r="F507" s="71">
        <v>61</v>
      </c>
      <c r="G507" s="71">
        <v>0</v>
      </c>
    </row>
    <row r="508" spans="2:7" x14ac:dyDescent="0.25">
      <c r="B508" s="70">
        <v>43505</v>
      </c>
      <c r="C508" t="s">
        <v>25</v>
      </c>
      <c r="D508" t="s">
        <v>94</v>
      </c>
      <c r="E508" t="s">
        <v>188</v>
      </c>
      <c r="F508" s="71">
        <v>66.95</v>
      </c>
      <c r="G508" s="71">
        <v>0</v>
      </c>
    </row>
    <row r="509" spans="2:7" x14ac:dyDescent="0.25">
      <c r="B509" s="70">
        <v>43505</v>
      </c>
      <c r="C509" t="s">
        <v>25</v>
      </c>
      <c r="D509" t="s">
        <v>94</v>
      </c>
      <c r="E509" t="s">
        <v>188</v>
      </c>
      <c r="F509" s="71">
        <v>77.08</v>
      </c>
      <c r="G509" s="71">
        <v>0</v>
      </c>
    </row>
    <row r="510" spans="2:7" x14ac:dyDescent="0.25">
      <c r="B510" s="70">
        <v>43505</v>
      </c>
      <c r="C510" t="s">
        <v>25</v>
      </c>
      <c r="D510" t="s">
        <v>94</v>
      </c>
      <c r="E510" t="s">
        <v>188</v>
      </c>
      <c r="F510" s="71">
        <v>110.17</v>
      </c>
      <c r="G510" s="71">
        <v>0</v>
      </c>
    </row>
    <row r="511" spans="2:7" x14ac:dyDescent="0.25">
      <c r="B511" s="70">
        <v>43505</v>
      </c>
      <c r="C511" t="s">
        <v>25</v>
      </c>
      <c r="D511" t="s">
        <v>94</v>
      </c>
      <c r="E511" t="s">
        <v>188</v>
      </c>
      <c r="F511" s="71">
        <v>111.83</v>
      </c>
      <c r="G511" s="71">
        <v>0</v>
      </c>
    </row>
    <row r="512" spans="2:7" x14ac:dyDescent="0.25">
      <c r="B512" s="70">
        <v>43505</v>
      </c>
      <c r="C512" t="s">
        <v>54</v>
      </c>
      <c r="D512" t="s">
        <v>94</v>
      </c>
      <c r="E512" t="s">
        <v>188</v>
      </c>
      <c r="F512" s="71">
        <v>5620.07</v>
      </c>
      <c r="G512" s="71">
        <v>0</v>
      </c>
    </row>
    <row r="513" spans="2:7" x14ac:dyDescent="0.25">
      <c r="B513" s="70">
        <v>43505</v>
      </c>
      <c r="C513" t="s">
        <v>46</v>
      </c>
      <c r="D513" t="s">
        <v>94</v>
      </c>
      <c r="E513" t="s">
        <v>188</v>
      </c>
      <c r="F513" s="71">
        <v>150.58000000000001</v>
      </c>
      <c r="G513" s="71">
        <v>0</v>
      </c>
    </row>
    <row r="514" spans="2:7" x14ac:dyDescent="0.25">
      <c r="B514" s="70">
        <v>43505</v>
      </c>
      <c r="C514" t="s">
        <v>21</v>
      </c>
      <c r="D514" t="s">
        <v>94</v>
      </c>
      <c r="E514" t="s">
        <v>188</v>
      </c>
      <c r="F514" s="71">
        <v>16.690000000000001</v>
      </c>
      <c r="G514" s="71">
        <v>0</v>
      </c>
    </row>
    <row r="515" spans="2:7" x14ac:dyDescent="0.25">
      <c r="B515" s="70">
        <v>43505</v>
      </c>
      <c r="C515" t="s">
        <v>21</v>
      </c>
      <c r="D515" t="s">
        <v>94</v>
      </c>
      <c r="E515" t="s">
        <v>188</v>
      </c>
      <c r="F515" s="71">
        <v>22.42</v>
      </c>
      <c r="G515" s="71">
        <v>0</v>
      </c>
    </row>
    <row r="516" spans="2:7" x14ac:dyDescent="0.25">
      <c r="B516" s="70">
        <v>43505</v>
      </c>
      <c r="C516" t="s">
        <v>21</v>
      </c>
      <c r="D516" t="s">
        <v>94</v>
      </c>
      <c r="E516" t="s">
        <v>188</v>
      </c>
      <c r="F516" s="71">
        <v>39.020000000000003</v>
      </c>
      <c r="G516" s="71">
        <v>0</v>
      </c>
    </row>
    <row r="517" spans="2:7" x14ac:dyDescent="0.25">
      <c r="B517" s="70">
        <v>43505</v>
      </c>
      <c r="C517" t="s">
        <v>21</v>
      </c>
      <c r="D517" t="s">
        <v>94</v>
      </c>
      <c r="E517" t="s">
        <v>188</v>
      </c>
      <c r="F517" s="71">
        <v>84.8</v>
      </c>
      <c r="G517" s="71">
        <v>0</v>
      </c>
    </row>
    <row r="518" spans="2:7" x14ac:dyDescent="0.25">
      <c r="B518" s="70">
        <v>43505</v>
      </c>
      <c r="C518" t="s">
        <v>21</v>
      </c>
      <c r="D518" t="s">
        <v>94</v>
      </c>
      <c r="E518" t="s">
        <v>188</v>
      </c>
      <c r="F518" s="71">
        <v>85.49</v>
      </c>
      <c r="G518" s="71">
        <v>0</v>
      </c>
    </row>
    <row r="519" spans="2:7" x14ac:dyDescent="0.25">
      <c r="B519" s="70">
        <v>43505</v>
      </c>
      <c r="C519" t="s">
        <v>21</v>
      </c>
      <c r="D519" t="s">
        <v>94</v>
      </c>
      <c r="E519" t="s">
        <v>188</v>
      </c>
      <c r="F519" s="71">
        <v>123.44</v>
      </c>
      <c r="G519" s="71">
        <v>0</v>
      </c>
    </row>
    <row r="520" spans="2:7" x14ac:dyDescent="0.25">
      <c r="B520" s="70">
        <v>43505</v>
      </c>
      <c r="C520" t="s">
        <v>21</v>
      </c>
      <c r="D520" t="s">
        <v>94</v>
      </c>
      <c r="E520" t="s">
        <v>188</v>
      </c>
      <c r="F520" s="71">
        <v>200.77</v>
      </c>
      <c r="G520" s="71">
        <v>0</v>
      </c>
    </row>
    <row r="521" spans="2:7" x14ac:dyDescent="0.25">
      <c r="B521" s="70">
        <v>43505</v>
      </c>
      <c r="C521" t="s">
        <v>21</v>
      </c>
      <c r="D521" t="s">
        <v>94</v>
      </c>
      <c r="E521" t="s">
        <v>188</v>
      </c>
      <c r="F521" s="71">
        <v>209.59</v>
      </c>
      <c r="G521" s="71">
        <v>0</v>
      </c>
    </row>
    <row r="522" spans="2:7" x14ac:dyDescent="0.25">
      <c r="B522" s="70">
        <v>43505</v>
      </c>
      <c r="C522" t="s">
        <v>21</v>
      </c>
      <c r="D522" t="s">
        <v>94</v>
      </c>
      <c r="E522" t="s">
        <v>188</v>
      </c>
      <c r="F522" s="71">
        <v>212.88</v>
      </c>
      <c r="G522" s="71">
        <v>0</v>
      </c>
    </row>
    <row r="523" spans="2:7" x14ac:dyDescent="0.25">
      <c r="B523" s="70">
        <v>43505</v>
      </c>
      <c r="C523" t="s">
        <v>21</v>
      </c>
      <c r="D523" t="s">
        <v>94</v>
      </c>
      <c r="E523" t="s">
        <v>188</v>
      </c>
      <c r="F523" s="71">
        <v>219.83</v>
      </c>
      <c r="G523" s="71">
        <v>0</v>
      </c>
    </row>
    <row r="524" spans="2:7" x14ac:dyDescent="0.25">
      <c r="B524" s="70">
        <v>43505</v>
      </c>
      <c r="C524" t="s">
        <v>21</v>
      </c>
      <c r="D524" t="s">
        <v>94</v>
      </c>
      <c r="E524" t="s">
        <v>188</v>
      </c>
      <c r="F524" s="71">
        <v>264.37</v>
      </c>
      <c r="G524" s="71">
        <v>0</v>
      </c>
    </row>
    <row r="525" spans="2:7" x14ac:dyDescent="0.25">
      <c r="B525" s="70">
        <v>43505</v>
      </c>
      <c r="C525" t="s">
        <v>21</v>
      </c>
      <c r="D525" t="s">
        <v>94</v>
      </c>
      <c r="E525" t="s">
        <v>188</v>
      </c>
      <c r="F525" s="71">
        <v>295.97000000000003</v>
      </c>
      <c r="G525" s="71">
        <v>0</v>
      </c>
    </row>
    <row r="526" spans="2:7" x14ac:dyDescent="0.25">
      <c r="B526" s="70">
        <v>43505</v>
      </c>
      <c r="C526" t="s">
        <v>21</v>
      </c>
      <c r="D526" t="s">
        <v>94</v>
      </c>
      <c r="E526" t="s">
        <v>188</v>
      </c>
      <c r="F526" s="71">
        <v>307.33999999999997</v>
      </c>
      <c r="G526" s="71">
        <v>0</v>
      </c>
    </row>
    <row r="527" spans="2:7" x14ac:dyDescent="0.25">
      <c r="B527" s="70">
        <v>43505</v>
      </c>
      <c r="C527" t="s">
        <v>21</v>
      </c>
      <c r="D527" t="s">
        <v>94</v>
      </c>
      <c r="E527" t="s">
        <v>188</v>
      </c>
      <c r="F527" s="71">
        <v>387.82</v>
      </c>
      <c r="G527" s="71">
        <v>0</v>
      </c>
    </row>
    <row r="528" spans="2:7" x14ac:dyDescent="0.25">
      <c r="B528" s="70">
        <v>43505</v>
      </c>
      <c r="C528" t="s">
        <v>21</v>
      </c>
      <c r="D528" t="s">
        <v>94</v>
      </c>
      <c r="E528" t="s">
        <v>188</v>
      </c>
      <c r="F528" s="71">
        <v>411.2</v>
      </c>
      <c r="G528" s="71">
        <v>0</v>
      </c>
    </row>
    <row r="529" spans="2:7" x14ac:dyDescent="0.25">
      <c r="B529" s="70">
        <v>43505</v>
      </c>
      <c r="C529" t="s">
        <v>21</v>
      </c>
      <c r="D529" t="s">
        <v>94</v>
      </c>
      <c r="E529" t="s">
        <v>188</v>
      </c>
      <c r="F529" s="71">
        <v>414.19</v>
      </c>
      <c r="G529" s="71">
        <v>0</v>
      </c>
    </row>
    <row r="530" spans="2:7" x14ac:dyDescent="0.25">
      <c r="B530" s="70">
        <v>43505</v>
      </c>
      <c r="C530" t="s">
        <v>21</v>
      </c>
      <c r="D530" t="s">
        <v>94</v>
      </c>
      <c r="E530" t="s">
        <v>188</v>
      </c>
      <c r="F530" s="71">
        <v>478.22</v>
      </c>
      <c r="G530" s="71">
        <v>0</v>
      </c>
    </row>
    <row r="531" spans="2:7" x14ac:dyDescent="0.25">
      <c r="B531" s="70">
        <v>43505</v>
      </c>
      <c r="C531" t="s">
        <v>21</v>
      </c>
      <c r="D531" t="s">
        <v>94</v>
      </c>
      <c r="E531" t="s">
        <v>188</v>
      </c>
      <c r="F531" s="71">
        <v>714.31</v>
      </c>
      <c r="G531" s="71">
        <v>0</v>
      </c>
    </row>
    <row r="532" spans="2:7" x14ac:dyDescent="0.25">
      <c r="B532" s="70">
        <v>43505</v>
      </c>
      <c r="C532" t="s">
        <v>21</v>
      </c>
      <c r="D532" t="s">
        <v>94</v>
      </c>
      <c r="E532" t="s">
        <v>188</v>
      </c>
      <c r="F532" s="71">
        <v>725.25</v>
      </c>
      <c r="G532" s="71">
        <v>0</v>
      </c>
    </row>
    <row r="533" spans="2:7" x14ac:dyDescent="0.25">
      <c r="B533" s="70">
        <v>43505</v>
      </c>
      <c r="C533" t="s">
        <v>21</v>
      </c>
      <c r="D533" t="s">
        <v>94</v>
      </c>
      <c r="E533" t="s">
        <v>188</v>
      </c>
      <c r="F533" s="71">
        <v>812.98</v>
      </c>
      <c r="G533" s="71">
        <v>0</v>
      </c>
    </row>
    <row r="534" spans="2:7" x14ac:dyDescent="0.25">
      <c r="B534" s="70">
        <v>43505</v>
      </c>
      <c r="C534" t="s">
        <v>21</v>
      </c>
      <c r="D534" t="s">
        <v>94</v>
      </c>
      <c r="E534" t="s">
        <v>188</v>
      </c>
      <c r="F534" s="71">
        <v>859.78</v>
      </c>
      <c r="G534" s="71">
        <v>0</v>
      </c>
    </row>
    <row r="535" spans="2:7" x14ac:dyDescent="0.25">
      <c r="B535" s="70">
        <v>43505</v>
      </c>
      <c r="C535" t="s">
        <v>21</v>
      </c>
      <c r="D535" t="s">
        <v>94</v>
      </c>
      <c r="E535" t="s">
        <v>188</v>
      </c>
      <c r="F535" s="71">
        <v>969.56</v>
      </c>
      <c r="G535" s="71">
        <v>0</v>
      </c>
    </row>
    <row r="536" spans="2:7" x14ac:dyDescent="0.25">
      <c r="B536" s="70">
        <v>43505</v>
      </c>
      <c r="C536" t="s">
        <v>21</v>
      </c>
      <c r="D536" t="s">
        <v>94</v>
      </c>
      <c r="E536" t="s">
        <v>188</v>
      </c>
      <c r="F536" s="71">
        <v>983.14</v>
      </c>
      <c r="G536" s="71">
        <v>0</v>
      </c>
    </row>
    <row r="537" spans="2:7" x14ac:dyDescent="0.25">
      <c r="B537" s="70">
        <v>43505</v>
      </c>
      <c r="C537" t="s">
        <v>48</v>
      </c>
      <c r="D537" t="s">
        <v>94</v>
      </c>
      <c r="E537" t="s">
        <v>188</v>
      </c>
      <c r="F537" s="71">
        <v>111.49</v>
      </c>
      <c r="G537" s="71">
        <v>0</v>
      </c>
    </row>
    <row r="538" spans="2:7" x14ac:dyDescent="0.25">
      <c r="B538" s="70">
        <v>43505</v>
      </c>
      <c r="C538" t="s">
        <v>55</v>
      </c>
      <c r="D538" t="s">
        <v>94</v>
      </c>
      <c r="E538" t="s">
        <v>188</v>
      </c>
      <c r="F538" s="71">
        <v>51.85</v>
      </c>
      <c r="G538" s="71">
        <v>0</v>
      </c>
    </row>
    <row r="539" spans="2:7" x14ac:dyDescent="0.25">
      <c r="B539" s="70">
        <v>43505</v>
      </c>
      <c r="C539" t="s">
        <v>49</v>
      </c>
      <c r="D539" t="s">
        <v>94</v>
      </c>
      <c r="E539" t="s">
        <v>188</v>
      </c>
      <c r="F539" s="71">
        <v>1127.55</v>
      </c>
      <c r="G539" s="71">
        <v>0</v>
      </c>
    </row>
    <row r="540" spans="2:7" x14ac:dyDescent="0.25">
      <c r="B540" s="70">
        <v>43505</v>
      </c>
      <c r="C540" t="s">
        <v>50</v>
      </c>
      <c r="D540" t="s">
        <v>94</v>
      </c>
      <c r="E540" t="s">
        <v>188</v>
      </c>
      <c r="F540" s="71">
        <v>506.95</v>
      </c>
      <c r="G540" s="71">
        <v>0</v>
      </c>
    </row>
    <row r="541" spans="2:7" x14ac:dyDescent="0.25">
      <c r="B541" s="70">
        <v>43505</v>
      </c>
      <c r="C541" t="s">
        <v>50</v>
      </c>
      <c r="D541" t="s">
        <v>82</v>
      </c>
      <c r="E541" t="s">
        <v>189</v>
      </c>
      <c r="F541" s="71">
        <v>154.85</v>
      </c>
      <c r="G541" s="71">
        <v>0</v>
      </c>
    </row>
    <row r="542" spans="2:7" x14ac:dyDescent="0.25">
      <c r="B542" s="70">
        <v>43505</v>
      </c>
      <c r="C542" t="s">
        <v>52</v>
      </c>
      <c r="D542" t="s">
        <v>94</v>
      </c>
      <c r="E542" t="s">
        <v>188</v>
      </c>
      <c r="F542" s="71">
        <v>318.22000000000003</v>
      </c>
      <c r="G542" s="71">
        <v>0</v>
      </c>
    </row>
    <row r="543" spans="2:7" x14ac:dyDescent="0.25">
      <c r="B543" s="70">
        <v>43505</v>
      </c>
      <c r="C543" t="s">
        <v>53</v>
      </c>
      <c r="D543" t="s">
        <v>94</v>
      </c>
      <c r="E543" t="s">
        <v>188</v>
      </c>
      <c r="F543" s="71">
        <v>271.64999999999998</v>
      </c>
      <c r="G543" s="71">
        <v>0</v>
      </c>
    </row>
    <row r="544" spans="2:7" x14ac:dyDescent="0.25">
      <c r="B544" s="70">
        <v>43505</v>
      </c>
      <c r="C544" t="s">
        <v>24</v>
      </c>
      <c r="D544" t="s">
        <v>94</v>
      </c>
      <c r="E544" t="s">
        <v>188</v>
      </c>
      <c r="F544" s="71">
        <v>18.420000000000002</v>
      </c>
      <c r="G544" s="71">
        <v>0</v>
      </c>
    </row>
    <row r="545" spans="2:7" x14ac:dyDescent="0.25">
      <c r="B545" s="70">
        <v>43505</v>
      </c>
      <c r="C545" t="s">
        <v>24</v>
      </c>
      <c r="D545" t="s">
        <v>94</v>
      </c>
      <c r="E545" t="s">
        <v>188</v>
      </c>
      <c r="F545" s="71">
        <v>23.25</v>
      </c>
      <c r="G545" s="71">
        <v>0</v>
      </c>
    </row>
    <row r="546" spans="2:7" x14ac:dyDescent="0.25">
      <c r="B546" s="70">
        <v>43505</v>
      </c>
      <c r="C546" t="s">
        <v>24</v>
      </c>
      <c r="D546" t="s">
        <v>94</v>
      </c>
      <c r="E546" t="s">
        <v>188</v>
      </c>
      <c r="F546" s="71">
        <v>24.4</v>
      </c>
      <c r="G546" s="71">
        <v>0</v>
      </c>
    </row>
    <row r="547" spans="2:7" x14ac:dyDescent="0.25">
      <c r="B547" s="70">
        <v>43505</v>
      </c>
      <c r="C547" t="s">
        <v>24</v>
      </c>
      <c r="D547" t="s">
        <v>94</v>
      </c>
      <c r="E547" t="s">
        <v>188</v>
      </c>
      <c r="F547" s="71">
        <v>25.26</v>
      </c>
      <c r="G547" s="71">
        <v>0</v>
      </c>
    </row>
    <row r="548" spans="2:7" x14ac:dyDescent="0.25">
      <c r="B548" s="70">
        <v>43505</v>
      </c>
      <c r="C548" t="s">
        <v>24</v>
      </c>
      <c r="D548" t="s">
        <v>94</v>
      </c>
      <c r="E548" t="s">
        <v>188</v>
      </c>
      <c r="F548" s="71">
        <v>27.18</v>
      </c>
      <c r="G548" s="71">
        <v>0</v>
      </c>
    </row>
    <row r="549" spans="2:7" x14ac:dyDescent="0.25">
      <c r="B549" s="70">
        <v>43505</v>
      </c>
      <c r="C549" t="s">
        <v>24</v>
      </c>
      <c r="D549" t="s">
        <v>94</v>
      </c>
      <c r="E549" t="s">
        <v>188</v>
      </c>
      <c r="F549" s="71">
        <v>28.99</v>
      </c>
      <c r="G549" s="71">
        <v>0</v>
      </c>
    </row>
    <row r="550" spans="2:7" x14ac:dyDescent="0.25">
      <c r="B550" s="70">
        <v>43505</v>
      </c>
      <c r="C550" t="s">
        <v>24</v>
      </c>
      <c r="D550" t="s">
        <v>94</v>
      </c>
      <c r="E550" t="s">
        <v>188</v>
      </c>
      <c r="F550" s="71">
        <v>36.630000000000003</v>
      </c>
      <c r="G550" s="71">
        <v>0</v>
      </c>
    </row>
    <row r="551" spans="2:7" x14ac:dyDescent="0.25">
      <c r="B551" s="70">
        <v>43505</v>
      </c>
      <c r="C551" t="s">
        <v>24</v>
      </c>
      <c r="D551" t="s">
        <v>94</v>
      </c>
      <c r="E551" t="s">
        <v>188</v>
      </c>
      <c r="F551" s="71">
        <v>51.37</v>
      </c>
      <c r="G551" s="71">
        <v>0</v>
      </c>
    </row>
    <row r="552" spans="2:7" x14ac:dyDescent="0.25">
      <c r="B552" s="70">
        <v>43505</v>
      </c>
      <c r="C552" t="s">
        <v>24</v>
      </c>
      <c r="D552" t="s">
        <v>94</v>
      </c>
      <c r="E552" t="s">
        <v>188</v>
      </c>
      <c r="F552" s="71">
        <v>77.61</v>
      </c>
      <c r="G552" s="71">
        <v>0</v>
      </c>
    </row>
    <row r="553" spans="2:7" x14ac:dyDescent="0.25">
      <c r="B553" s="70">
        <v>43505</v>
      </c>
      <c r="C553" t="s">
        <v>24</v>
      </c>
      <c r="D553" t="s">
        <v>94</v>
      </c>
      <c r="E553" t="s">
        <v>188</v>
      </c>
      <c r="F553" s="71">
        <v>90.79</v>
      </c>
      <c r="G553" s="71">
        <v>0</v>
      </c>
    </row>
    <row r="554" spans="2:7" x14ac:dyDescent="0.25">
      <c r="B554" s="70">
        <v>43505</v>
      </c>
      <c r="C554" t="s">
        <v>24</v>
      </c>
      <c r="D554" t="s">
        <v>94</v>
      </c>
      <c r="E554" t="s">
        <v>188</v>
      </c>
      <c r="F554" s="71">
        <v>114.95</v>
      </c>
      <c r="G554" s="71">
        <v>0</v>
      </c>
    </row>
    <row r="555" spans="2:7" x14ac:dyDescent="0.25">
      <c r="B555" s="70">
        <v>43505</v>
      </c>
      <c r="C555" t="s">
        <v>60</v>
      </c>
      <c r="D555" t="s">
        <v>85</v>
      </c>
      <c r="E555" t="s">
        <v>189</v>
      </c>
      <c r="F555" s="71">
        <v>20.100000000000001</v>
      </c>
      <c r="G555" s="71">
        <v>0</v>
      </c>
    </row>
    <row r="556" spans="2:7" x14ac:dyDescent="0.25">
      <c r="B556" s="70">
        <v>43507</v>
      </c>
      <c r="C556" t="s">
        <v>25</v>
      </c>
      <c r="D556" t="s">
        <v>81</v>
      </c>
      <c r="E556" t="s">
        <v>164</v>
      </c>
      <c r="F556" s="71">
        <v>18</v>
      </c>
      <c r="G556" s="71">
        <v>0</v>
      </c>
    </row>
    <row r="557" spans="2:7" x14ac:dyDescent="0.25">
      <c r="B557" s="70">
        <v>43507</v>
      </c>
      <c r="C557" t="s">
        <v>25</v>
      </c>
      <c r="D557" t="s">
        <v>81</v>
      </c>
      <c r="E557" t="s">
        <v>154</v>
      </c>
      <c r="F557" s="71">
        <v>4.5</v>
      </c>
      <c r="G557" s="71">
        <v>0</v>
      </c>
    </row>
    <row r="558" spans="2:7" x14ac:dyDescent="0.25">
      <c r="B558" s="70">
        <v>43507</v>
      </c>
      <c r="C558" t="s">
        <v>21</v>
      </c>
      <c r="D558" t="s">
        <v>79</v>
      </c>
      <c r="E558" t="s">
        <v>190</v>
      </c>
      <c r="F558" s="71">
        <v>8</v>
      </c>
      <c r="G558" s="71">
        <v>0</v>
      </c>
    </row>
    <row r="559" spans="2:7" x14ac:dyDescent="0.25">
      <c r="B559" s="70">
        <v>43507</v>
      </c>
      <c r="C559" t="s">
        <v>21</v>
      </c>
      <c r="D559" t="s">
        <v>79</v>
      </c>
      <c r="E559" t="s">
        <v>190</v>
      </c>
      <c r="F559" s="71">
        <v>32</v>
      </c>
      <c r="G559" s="71">
        <v>0</v>
      </c>
    </row>
    <row r="560" spans="2:7" x14ac:dyDescent="0.25">
      <c r="B560" s="70">
        <v>43507</v>
      </c>
      <c r="C560" t="s">
        <v>48</v>
      </c>
      <c r="D560" t="s">
        <v>84</v>
      </c>
      <c r="E560" t="s">
        <v>190</v>
      </c>
      <c r="F560" s="71">
        <v>1050.5999999999999</v>
      </c>
      <c r="G560" s="71">
        <v>0</v>
      </c>
    </row>
    <row r="561" spans="2:7" x14ac:dyDescent="0.25">
      <c r="B561" s="70">
        <v>43507</v>
      </c>
      <c r="C561" t="s">
        <v>45</v>
      </c>
      <c r="D561" t="s">
        <v>82</v>
      </c>
      <c r="E561" t="s">
        <v>190</v>
      </c>
      <c r="F561" s="71">
        <v>12.9</v>
      </c>
      <c r="G561" s="71">
        <v>0</v>
      </c>
    </row>
    <row r="562" spans="2:7" x14ac:dyDescent="0.25">
      <c r="B562" s="70">
        <v>43507</v>
      </c>
      <c r="C562" t="s">
        <v>24</v>
      </c>
      <c r="D562" t="s">
        <v>79</v>
      </c>
      <c r="E562" t="s">
        <v>190</v>
      </c>
      <c r="F562" s="71">
        <v>8</v>
      </c>
      <c r="G562" s="71">
        <v>0</v>
      </c>
    </row>
    <row r="563" spans="2:7" x14ac:dyDescent="0.25">
      <c r="B563" s="70">
        <v>43508</v>
      </c>
      <c r="C563" t="s">
        <v>25</v>
      </c>
      <c r="D563" t="s">
        <v>81</v>
      </c>
      <c r="E563" t="s">
        <v>191</v>
      </c>
      <c r="F563" s="71">
        <v>22</v>
      </c>
      <c r="G563" s="71">
        <v>0</v>
      </c>
    </row>
    <row r="564" spans="2:7" x14ac:dyDescent="0.25">
      <c r="B564" s="70">
        <v>43508</v>
      </c>
      <c r="C564" t="s">
        <v>25</v>
      </c>
      <c r="D564" t="s">
        <v>81</v>
      </c>
      <c r="E564" t="s">
        <v>128</v>
      </c>
      <c r="F564" s="71">
        <v>3</v>
      </c>
      <c r="G564" s="71">
        <v>0</v>
      </c>
    </row>
    <row r="565" spans="2:7" x14ac:dyDescent="0.25">
      <c r="B565" s="70">
        <v>43508</v>
      </c>
      <c r="C565" t="s">
        <v>59</v>
      </c>
      <c r="D565" t="s">
        <v>82</v>
      </c>
      <c r="E565" t="s">
        <v>192</v>
      </c>
      <c r="F565" s="71">
        <v>91.18</v>
      </c>
      <c r="G565" s="71">
        <v>0</v>
      </c>
    </row>
    <row r="566" spans="2:7" x14ac:dyDescent="0.25">
      <c r="B566" s="70">
        <v>43508</v>
      </c>
      <c r="C566" t="s">
        <v>52</v>
      </c>
      <c r="D566" t="s">
        <v>82</v>
      </c>
      <c r="E566" t="s">
        <v>192</v>
      </c>
      <c r="F566" s="71">
        <v>24</v>
      </c>
      <c r="G566" s="71">
        <v>0</v>
      </c>
    </row>
    <row r="567" spans="2:7" x14ac:dyDescent="0.25">
      <c r="B567" s="70">
        <v>43509</v>
      </c>
      <c r="C567" t="s">
        <v>25</v>
      </c>
      <c r="D567" t="s">
        <v>79</v>
      </c>
      <c r="E567" t="s">
        <v>193</v>
      </c>
      <c r="F567" s="71">
        <v>16</v>
      </c>
      <c r="G567" s="71">
        <v>0</v>
      </c>
    </row>
    <row r="568" spans="2:7" x14ac:dyDescent="0.25">
      <c r="B568" s="70">
        <v>43509</v>
      </c>
      <c r="C568" t="s">
        <v>25</v>
      </c>
      <c r="D568" t="s">
        <v>85</v>
      </c>
      <c r="E568" t="s">
        <v>193</v>
      </c>
      <c r="F568" s="71">
        <v>18</v>
      </c>
      <c r="G568" s="71">
        <v>0</v>
      </c>
    </row>
    <row r="569" spans="2:7" x14ac:dyDescent="0.25">
      <c r="B569" s="70">
        <v>43509</v>
      </c>
      <c r="C569" t="s">
        <v>25</v>
      </c>
      <c r="D569" t="s">
        <v>80</v>
      </c>
      <c r="E569" t="s">
        <v>193</v>
      </c>
      <c r="F569" s="71">
        <v>83.24</v>
      </c>
      <c r="G569" s="71">
        <v>0</v>
      </c>
    </row>
    <row r="570" spans="2:7" x14ac:dyDescent="0.25">
      <c r="B570" s="70">
        <v>43509</v>
      </c>
      <c r="C570" t="s">
        <v>25</v>
      </c>
      <c r="D570" t="s">
        <v>87</v>
      </c>
      <c r="E570" t="s">
        <v>193</v>
      </c>
      <c r="F570" s="71">
        <v>23.4</v>
      </c>
      <c r="G570" s="71">
        <v>0</v>
      </c>
    </row>
    <row r="571" spans="2:7" x14ac:dyDescent="0.25">
      <c r="B571" s="70">
        <v>43509</v>
      </c>
      <c r="C571" t="s">
        <v>25</v>
      </c>
      <c r="D571" t="s">
        <v>87</v>
      </c>
      <c r="E571" t="s">
        <v>193</v>
      </c>
      <c r="F571" s="71">
        <v>23.55</v>
      </c>
      <c r="G571" s="71">
        <v>0</v>
      </c>
    </row>
    <row r="572" spans="2:7" x14ac:dyDescent="0.25">
      <c r="B572" s="70">
        <v>43509</v>
      </c>
      <c r="C572" t="s">
        <v>25</v>
      </c>
      <c r="D572" t="s">
        <v>87</v>
      </c>
      <c r="E572" t="s">
        <v>193</v>
      </c>
      <c r="F572" s="71">
        <v>43.39</v>
      </c>
      <c r="G572" s="71">
        <v>0</v>
      </c>
    </row>
    <row r="573" spans="2:7" x14ac:dyDescent="0.25">
      <c r="B573" s="70">
        <v>43509</v>
      </c>
      <c r="C573" t="s">
        <v>25</v>
      </c>
      <c r="D573" t="s">
        <v>87</v>
      </c>
      <c r="E573" t="s">
        <v>193</v>
      </c>
      <c r="F573" s="71">
        <v>66.099999999999994</v>
      </c>
      <c r="G573" s="71">
        <v>0</v>
      </c>
    </row>
    <row r="574" spans="2:7" x14ac:dyDescent="0.25">
      <c r="B574" s="70">
        <v>43509</v>
      </c>
      <c r="C574" t="s">
        <v>25</v>
      </c>
      <c r="D574" t="s">
        <v>87</v>
      </c>
      <c r="E574" t="s">
        <v>193</v>
      </c>
      <c r="F574" s="71">
        <v>81.83</v>
      </c>
      <c r="G574" s="71">
        <v>0</v>
      </c>
    </row>
    <row r="575" spans="2:7" x14ac:dyDescent="0.25">
      <c r="B575" s="70">
        <v>43509</v>
      </c>
      <c r="C575" t="s">
        <v>25</v>
      </c>
      <c r="D575" t="s">
        <v>87</v>
      </c>
      <c r="E575" t="s">
        <v>193</v>
      </c>
      <c r="F575" s="71">
        <v>104.61</v>
      </c>
      <c r="G575" s="71">
        <v>0</v>
      </c>
    </row>
    <row r="576" spans="2:7" x14ac:dyDescent="0.25">
      <c r="B576" s="70">
        <v>43509</v>
      </c>
      <c r="C576" t="s">
        <v>25</v>
      </c>
      <c r="D576" t="s">
        <v>87</v>
      </c>
      <c r="E576" t="s">
        <v>193</v>
      </c>
      <c r="F576" s="71">
        <v>250</v>
      </c>
      <c r="G576" s="71">
        <v>0</v>
      </c>
    </row>
    <row r="577" spans="2:7" x14ac:dyDescent="0.25">
      <c r="B577" s="70">
        <v>43509</v>
      </c>
      <c r="C577" t="s">
        <v>25</v>
      </c>
      <c r="D577" t="s">
        <v>81</v>
      </c>
      <c r="E577" t="s">
        <v>194</v>
      </c>
      <c r="F577" s="71">
        <v>7.35</v>
      </c>
      <c r="G577" s="71">
        <v>0</v>
      </c>
    </row>
    <row r="578" spans="2:7" x14ac:dyDescent="0.25">
      <c r="B578" s="70">
        <v>43509</v>
      </c>
      <c r="C578" t="s">
        <v>25</v>
      </c>
      <c r="D578" t="s">
        <v>81</v>
      </c>
      <c r="E578" t="s">
        <v>135</v>
      </c>
      <c r="F578" s="71">
        <v>2.4</v>
      </c>
      <c r="G578" s="71">
        <v>0</v>
      </c>
    </row>
    <row r="579" spans="2:7" x14ac:dyDescent="0.25">
      <c r="B579" s="70">
        <v>43509</v>
      </c>
      <c r="C579" t="s">
        <v>25</v>
      </c>
      <c r="D579" t="s">
        <v>81</v>
      </c>
      <c r="E579" t="s">
        <v>195</v>
      </c>
      <c r="F579" s="71">
        <v>9</v>
      </c>
      <c r="G579" s="71">
        <v>0</v>
      </c>
    </row>
    <row r="580" spans="2:7" x14ac:dyDescent="0.25">
      <c r="B580" s="70">
        <v>43509</v>
      </c>
      <c r="C580" t="s">
        <v>25</v>
      </c>
      <c r="D580" t="s">
        <v>81</v>
      </c>
      <c r="E580" t="s">
        <v>191</v>
      </c>
      <c r="F580" s="71">
        <v>22</v>
      </c>
      <c r="G580" s="71">
        <v>0</v>
      </c>
    </row>
    <row r="581" spans="2:7" x14ac:dyDescent="0.25">
      <c r="B581" s="70">
        <v>43509</v>
      </c>
      <c r="C581" t="s">
        <v>25</v>
      </c>
      <c r="D581" t="s">
        <v>81</v>
      </c>
      <c r="E581" t="s">
        <v>187</v>
      </c>
      <c r="F581" s="71">
        <v>2.25</v>
      </c>
      <c r="G581" s="71">
        <v>0</v>
      </c>
    </row>
    <row r="582" spans="2:7" x14ac:dyDescent="0.25">
      <c r="B582" s="70">
        <v>43509</v>
      </c>
      <c r="C582" t="s">
        <v>25</v>
      </c>
      <c r="D582" t="s">
        <v>81</v>
      </c>
      <c r="E582" t="s">
        <v>196</v>
      </c>
      <c r="F582" s="71">
        <v>9.1999999999999993</v>
      </c>
      <c r="G582" s="71">
        <v>0</v>
      </c>
    </row>
    <row r="583" spans="2:7" x14ac:dyDescent="0.25">
      <c r="B583" s="70">
        <v>43509</v>
      </c>
      <c r="C583" t="s">
        <v>25</v>
      </c>
      <c r="D583" t="s">
        <v>82</v>
      </c>
      <c r="E583" t="s">
        <v>193</v>
      </c>
      <c r="F583" s="71">
        <v>12</v>
      </c>
      <c r="G583" s="71">
        <v>0</v>
      </c>
    </row>
    <row r="584" spans="2:7" x14ac:dyDescent="0.25">
      <c r="B584" s="70">
        <v>43509</v>
      </c>
      <c r="C584" t="s">
        <v>46</v>
      </c>
      <c r="D584" t="s">
        <v>82</v>
      </c>
      <c r="E584" t="s">
        <v>193</v>
      </c>
      <c r="F584" s="71">
        <v>20</v>
      </c>
      <c r="G584" s="71">
        <v>0</v>
      </c>
    </row>
    <row r="585" spans="2:7" x14ac:dyDescent="0.25">
      <c r="B585" s="70">
        <v>43509</v>
      </c>
      <c r="C585" t="s">
        <v>59</v>
      </c>
      <c r="D585" t="s">
        <v>80</v>
      </c>
      <c r="E585" t="s">
        <v>193</v>
      </c>
      <c r="F585" s="71">
        <v>158.47999999999999</v>
      </c>
      <c r="G585" s="71">
        <v>0</v>
      </c>
    </row>
    <row r="586" spans="2:7" x14ac:dyDescent="0.25">
      <c r="B586" s="70">
        <v>43509</v>
      </c>
      <c r="C586" t="s">
        <v>47</v>
      </c>
      <c r="D586" t="s">
        <v>80</v>
      </c>
      <c r="E586" t="s">
        <v>193</v>
      </c>
      <c r="F586" s="71">
        <v>144.99</v>
      </c>
      <c r="G586" s="71">
        <v>0</v>
      </c>
    </row>
    <row r="587" spans="2:7" x14ac:dyDescent="0.25">
      <c r="B587" s="70">
        <v>43509</v>
      </c>
      <c r="C587" t="s">
        <v>47</v>
      </c>
      <c r="D587" t="s">
        <v>86</v>
      </c>
      <c r="E587" t="s">
        <v>193</v>
      </c>
      <c r="F587" s="71">
        <v>16.05</v>
      </c>
      <c r="G587" s="71">
        <v>0</v>
      </c>
    </row>
    <row r="588" spans="2:7" x14ac:dyDescent="0.25">
      <c r="B588" s="70">
        <v>43509</v>
      </c>
      <c r="C588" t="s">
        <v>21</v>
      </c>
      <c r="D588" t="s">
        <v>79</v>
      </c>
      <c r="E588" t="s">
        <v>193</v>
      </c>
      <c r="F588" s="71">
        <v>8</v>
      </c>
      <c r="G588" s="71">
        <v>0</v>
      </c>
    </row>
    <row r="589" spans="2:7" x14ac:dyDescent="0.25">
      <c r="B589" s="70">
        <v>43509</v>
      </c>
      <c r="C589" t="s">
        <v>21</v>
      </c>
      <c r="D589" t="s">
        <v>79</v>
      </c>
      <c r="E589" t="s">
        <v>193</v>
      </c>
      <c r="F589" s="71">
        <v>24</v>
      </c>
      <c r="G589" s="71">
        <v>0</v>
      </c>
    </row>
    <row r="590" spans="2:7" x14ac:dyDescent="0.25">
      <c r="B590" s="70">
        <v>43509</v>
      </c>
      <c r="C590" t="s">
        <v>21</v>
      </c>
      <c r="D590" t="s">
        <v>79</v>
      </c>
      <c r="E590" t="s">
        <v>193</v>
      </c>
      <c r="F590" s="71">
        <v>32</v>
      </c>
      <c r="G590" s="71">
        <v>0</v>
      </c>
    </row>
    <row r="591" spans="2:7" x14ac:dyDescent="0.25">
      <c r="B591" s="70">
        <v>43509</v>
      </c>
      <c r="C591" t="s">
        <v>21</v>
      </c>
      <c r="D591" t="s">
        <v>79</v>
      </c>
      <c r="E591" t="s">
        <v>193</v>
      </c>
      <c r="F591" s="71">
        <v>40</v>
      </c>
      <c r="G591" s="71">
        <v>0</v>
      </c>
    </row>
    <row r="592" spans="2:7" x14ac:dyDescent="0.25">
      <c r="B592" s="70">
        <v>43509</v>
      </c>
      <c r="C592" t="s">
        <v>21</v>
      </c>
      <c r="D592" t="s">
        <v>79</v>
      </c>
      <c r="E592" t="s">
        <v>193</v>
      </c>
      <c r="F592" s="71">
        <v>48</v>
      </c>
      <c r="G592" s="71">
        <v>0</v>
      </c>
    </row>
    <row r="593" spans="2:7" x14ac:dyDescent="0.25">
      <c r="B593" s="70">
        <v>43509</v>
      </c>
      <c r="C593" t="s">
        <v>66</v>
      </c>
      <c r="D593" t="s">
        <v>79</v>
      </c>
      <c r="E593" t="s">
        <v>193</v>
      </c>
      <c r="F593" s="71">
        <v>299</v>
      </c>
      <c r="G593" s="71">
        <v>0</v>
      </c>
    </row>
    <row r="594" spans="2:7" x14ac:dyDescent="0.25">
      <c r="B594" s="70">
        <v>43509</v>
      </c>
      <c r="C594" t="s">
        <v>45</v>
      </c>
      <c r="D594" t="s">
        <v>82</v>
      </c>
      <c r="E594" t="s">
        <v>193</v>
      </c>
      <c r="F594" s="71">
        <v>128</v>
      </c>
      <c r="G594" s="71">
        <v>0</v>
      </c>
    </row>
    <row r="595" spans="2:7" x14ac:dyDescent="0.25">
      <c r="B595" s="70">
        <v>43509</v>
      </c>
      <c r="C595" t="s">
        <v>49</v>
      </c>
      <c r="D595" t="s">
        <v>91</v>
      </c>
      <c r="E595" t="s">
        <v>193</v>
      </c>
      <c r="F595" s="71">
        <v>100</v>
      </c>
      <c r="G595" s="71">
        <v>0</v>
      </c>
    </row>
    <row r="596" spans="2:7" x14ac:dyDescent="0.25">
      <c r="B596" s="70">
        <v>43509</v>
      </c>
      <c r="C596" t="s">
        <v>24</v>
      </c>
      <c r="D596" t="s">
        <v>79</v>
      </c>
      <c r="E596" t="s">
        <v>193</v>
      </c>
      <c r="F596" s="71">
        <v>8</v>
      </c>
      <c r="G596" s="71">
        <v>0</v>
      </c>
    </row>
    <row r="597" spans="2:7" x14ac:dyDescent="0.25">
      <c r="B597" s="70">
        <v>43510</v>
      </c>
      <c r="C597" t="s">
        <v>25</v>
      </c>
      <c r="D597" t="s">
        <v>81</v>
      </c>
      <c r="E597" t="s">
        <v>197</v>
      </c>
      <c r="F597" s="71">
        <v>11.3</v>
      </c>
      <c r="G597" s="71">
        <v>0</v>
      </c>
    </row>
    <row r="598" spans="2:7" x14ac:dyDescent="0.25">
      <c r="B598" s="70">
        <v>43510</v>
      </c>
      <c r="C598" t="s">
        <v>25</v>
      </c>
      <c r="D598" t="s">
        <v>81</v>
      </c>
      <c r="E598" t="s">
        <v>172</v>
      </c>
      <c r="F598" s="71">
        <v>7.45</v>
      </c>
      <c r="G598" s="71">
        <v>0</v>
      </c>
    </row>
    <row r="599" spans="2:7" x14ac:dyDescent="0.25">
      <c r="B599" s="70">
        <v>43510</v>
      </c>
      <c r="C599" t="s">
        <v>25</v>
      </c>
      <c r="D599" t="s">
        <v>81</v>
      </c>
      <c r="E599" t="s">
        <v>198</v>
      </c>
      <c r="F599" s="71">
        <v>9.1999999999999993</v>
      </c>
      <c r="G599" s="71">
        <v>0</v>
      </c>
    </row>
    <row r="600" spans="2:7" x14ac:dyDescent="0.25">
      <c r="B600" s="70">
        <v>43510</v>
      </c>
      <c r="C600" t="s">
        <v>25</v>
      </c>
      <c r="D600" t="s">
        <v>81</v>
      </c>
      <c r="E600" t="s">
        <v>158</v>
      </c>
      <c r="F600" s="71">
        <v>7.35</v>
      </c>
      <c r="G600" s="71">
        <v>0</v>
      </c>
    </row>
    <row r="601" spans="2:7" x14ac:dyDescent="0.25">
      <c r="B601" s="70">
        <v>43510</v>
      </c>
      <c r="C601" t="s">
        <v>25</v>
      </c>
      <c r="D601" t="s">
        <v>81</v>
      </c>
      <c r="E601" t="s">
        <v>199</v>
      </c>
      <c r="F601" s="71">
        <v>6.4</v>
      </c>
      <c r="G601" s="71">
        <v>0</v>
      </c>
    </row>
    <row r="602" spans="2:7" x14ac:dyDescent="0.25">
      <c r="B602" s="70">
        <v>43510</v>
      </c>
      <c r="C602" t="s">
        <v>21</v>
      </c>
      <c r="D602" t="s">
        <v>79</v>
      </c>
      <c r="E602" t="s">
        <v>200</v>
      </c>
      <c r="F602" s="71">
        <v>8</v>
      </c>
      <c r="G602" s="71">
        <v>0</v>
      </c>
    </row>
    <row r="603" spans="2:7" x14ac:dyDescent="0.25">
      <c r="B603" s="70">
        <v>43510</v>
      </c>
      <c r="C603" t="s">
        <v>58</v>
      </c>
      <c r="D603" t="s">
        <v>82</v>
      </c>
      <c r="E603" t="s">
        <v>200</v>
      </c>
      <c r="F603" s="71">
        <v>10</v>
      </c>
      <c r="G603" s="71">
        <v>0</v>
      </c>
    </row>
    <row r="604" spans="2:7" x14ac:dyDescent="0.25">
      <c r="B604" s="70">
        <v>43510</v>
      </c>
      <c r="C604" t="s">
        <v>53</v>
      </c>
      <c r="D604" t="s">
        <v>82</v>
      </c>
      <c r="E604" t="s">
        <v>200</v>
      </c>
      <c r="F604" s="71">
        <v>5</v>
      </c>
      <c r="G604" s="71">
        <v>0</v>
      </c>
    </row>
    <row r="605" spans="2:7" x14ac:dyDescent="0.25">
      <c r="B605" s="70">
        <v>43511</v>
      </c>
      <c r="C605" t="s">
        <v>25</v>
      </c>
      <c r="D605" t="s">
        <v>79</v>
      </c>
      <c r="E605" t="s">
        <v>201</v>
      </c>
      <c r="F605" s="71">
        <v>24</v>
      </c>
      <c r="G605" s="71">
        <v>0</v>
      </c>
    </row>
    <row r="606" spans="2:7" x14ac:dyDescent="0.25">
      <c r="B606" s="70">
        <v>43511</v>
      </c>
      <c r="C606" t="s">
        <v>25</v>
      </c>
      <c r="D606" t="s">
        <v>80</v>
      </c>
      <c r="E606" t="s">
        <v>201</v>
      </c>
      <c r="F606" s="71">
        <v>25.25</v>
      </c>
      <c r="G606" s="71">
        <v>0</v>
      </c>
    </row>
    <row r="607" spans="2:7" x14ac:dyDescent="0.25">
      <c r="B607" s="70">
        <v>43511</v>
      </c>
      <c r="C607" t="s">
        <v>25</v>
      </c>
      <c r="D607" t="s">
        <v>80</v>
      </c>
      <c r="E607" t="s">
        <v>201</v>
      </c>
      <c r="F607" s="71">
        <v>56.18</v>
      </c>
      <c r="G607" s="71">
        <v>0</v>
      </c>
    </row>
    <row r="608" spans="2:7" x14ac:dyDescent="0.25">
      <c r="B608" s="70">
        <v>43511</v>
      </c>
      <c r="C608" t="s">
        <v>25</v>
      </c>
      <c r="D608" t="s">
        <v>87</v>
      </c>
      <c r="E608" t="s">
        <v>201</v>
      </c>
      <c r="F608" s="71">
        <v>23.78</v>
      </c>
      <c r="G608" s="71">
        <v>0</v>
      </c>
    </row>
    <row r="609" spans="2:7" x14ac:dyDescent="0.25">
      <c r="B609" s="70">
        <v>43511</v>
      </c>
      <c r="C609" t="s">
        <v>25</v>
      </c>
      <c r="D609" t="s">
        <v>87</v>
      </c>
      <c r="E609" t="s">
        <v>201</v>
      </c>
      <c r="F609" s="71">
        <v>38.64</v>
      </c>
      <c r="G609" s="71">
        <v>0</v>
      </c>
    </row>
    <row r="610" spans="2:7" x14ac:dyDescent="0.25">
      <c r="B610" s="70">
        <v>43511</v>
      </c>
      <c r="C610" t="s">
        <v>25</v>
      </c>
      <c r="D610" t="s">
        <v>87</v>
      </c>
      <c r="E610" t="s">
        <v>201</v>
      </c>
      <c r="F610" s="71">
        <v>46.18</v>
      </c>
      <c r="G610" s="71">
        <v>0</v>
      </c>
    </row>
    <row r="611" spans="2:7" x14ac:dyDescent="0.25">
      <c r="B611" s="70">
        <v>43511</v>
      </c>
      <c r="C611" t="s">
        <v>25</v>
      </c>
      <c r="D611" t="s">
        <v>87</v>
      </c>
      <c r="E611" t="s">
        <v>201</v>
      </c>
      <c r="F611" s="71">
        <v>142.96</v>
      </c>
      <c r="G611" s="71">
        <v>0</v>
      </c>
    </row>
    <row r="612" spans="2:7" x14ac:dyDescent="0.25">
      <c r="B612" s="70">
        <v>43511</v>
      </c>
      <c r="C612" t="s">
        <v>25</v>
      </c>
      <c r="D612" t="s">
        <v>81</v>
      </c>
      <c r="E612" t="s">
        <v>122</v>
      </c>
      <c r="F612" s="71">
        <v>7.35</v>
      </c>
      <c r="G612" s="71">
        <v>0</v>
      </c>
    </row>
    <row r="613" spans="2:7" x14ac:dyDescent="0.25">
      <c r="B613" s="70">
        <v>43511</v>
      </c>
      <c r="C613" t="s">
        <v>25</v>
      </c>
      <c r="D613" t="s">
        <v>81</v>
      </c>
      <c r="E613" t="s">
        <v>202</v>
      </c>
      <c r="F613">
        <v>7.35</v>
      </c>
      <c r="G613" s="71">
        <v>0</v>
      </c>
    </row>
    <row r="614" spans="2:7" x14ac:dyDescent="0.25">
      <c r="B614" s="70">
        <v>43511</v>
      </c>
      <c r="C614" t="s">
        <v>25</v>
      </c>
      <c r="D614" t="s">
        <v>81</v>
      </c>
      <c r="E614" t="s">
        <v>199</v>
      </c>
      <c r="F614" s="71">
        <v>8.6999999999999993</v>
      </c>
      <c r="G614" s="71">
        <v>0</v>
      </c>
    </row>
    <row r="615" spans="2:7" x14ac:dyDescent="0.25">
      <c r="B615" s="70">
        <v>43511</v>
      </c>
      <c r="C615" t="s">
        <v>25</v>
      </c>
      <c r="D615" t="s">
        <v>81</v>
      </c>
      <c r="E615" t="s">
        <v>187</v>
      </c>
      <c r="F615" s="71">
        <v>7.35</v>
      </c>
      <c r="G615" s="71">
        <v>0</v>
      </c>
    </row>
    <row r="616" spans="2:7" x14ac:dyDescent="0.25">
      <c r="B616" s="70">
        <v>43511</v>
      </c>
      <c r="C616" t="s">
        <v>54</v>
      </c>
      <c r="D616" t="s">
        <v>86</v>
      </c>
      <c r="E616" t="s">
        <v>201</v>
      </c>
      <c r="F616" s="71">
        <v>524.4</v>
      </c>
      <c r="G616" s="71">
        <v>0</v>
      </c>
    </row>
    <row r="617" spans="2:7" x14ac:dyDescent="0.25">
      <c r="B617" s="70">
        <v>43511</v>
      </c>
      <c r="C617" t="s">
        <v>46</v>
      </c>
      <c r="D617" t="s">
        <v>86</v>
      </c>
      <c r="E617" t="s">
        <v>201</v>
      </c>
      <c r="F617" s="71">
        <v>193.8</v>
      </c>
      <c r="G617" s="71">
        <v>0</v>
      </c>
    </row>
    <row r="618" spans="2:7" x14ac:dyDescent="0.25">
      <c r="B618" s="70">
        <v>43511</v>
      </c>
      <c r="C618" t="s">
        <v>47</v>
      </c>
      <c r="D618" t="s">
        <v>80</v>
      </c>
      <c r="E618" t="s">
        <v>201</v>
      </c>
      <c r="F618" s="71">
        <v>16.260000000000002</v>
      </c>
      <c r="G618" s="71">
        <v>0</v>
      </c>
    </row>
    <row r="619" spans="2:7" x14ac:dyDescent="0.25">
      <c r="B619" s="70">
        <v>43511</v>
      </c>
      <c r="C619" t="s">
        <v>47</v>
      </c>
      <c r="D619" t="s">
        <v>86</v>
      </c>
      <c r="E619" t="s">
        <v>201</v>
      </c>
      <c r="F619" s="71">
        <v>47.11</v>
      </c>
      <c r="G619" s="71">
        <v>0</v>
      </c>
    </row>
    <row r="620" spans="2:7" x14ac:dyDescent="0.25">
      <c r="B620" s="70">
        <v>43511</v>
      </c>
      <c r="C620" t="s">
        <v>57</v>
      </c>
      <c r="D620" t="s">
        <v>86</v>
      </c>
      <c r="E620" t="s">
        <v>201</v>
      </c>
      <c r="F620" s="71">
        <v>23</v>
      </c>
      <c r="G620" s="71">
        <v>0</v>
      </c>
    </row>
    <row r="621" spans="2:7" x14ac:dyDescent="0.25">
      <c r="B621" s="70">
        <v>43511</v>
      </c>
      <c r="C621" t="s">
        <v>44</v>
      </c>
      <c r="D621" t="s">
        <v>86</v>
      </c>
      <c r="E621" t="s">
        <v>201</v>
      </c>
      <c r="F621" s="71">
        <v>60.95</v>
      </c>
      <c r="G621" s="71">
        <v>0</v>
      </c>
    </row>
    <row r="622" spans="2:7" x14ac:dyDescent="0.25">
      <c r="B622" s="70">
        <v>43511</v>
      </c>
      <c r="C622" t="s">
        <v>21</v>
      </c>
      <c r="D622" t="s">
        <v>79</v>
      </c>
      <c r="E622" t="s">
        <v>201</v>
      </c>
      <c r="F622" s="71">
        <v>16</v>
      </c>
      <c r="G622" s="71">
        <v>0</v>
      </c>
    </row>
    <row r="623" spans="2:7" x14ac:dyDescent="0.25">
      <c r="B623" s="70">
        <v>43511</v>
      </c>
      <c r="C623" t="s">
        <v>21</v>
      </c>
      <c r="D623" t="s">
        <v>79</v>
      </c>
      <c r="E623" t="s">
        <v>201</v>
      </c>
      <c r="F623" s="71">
        <v>32</v>
      </c>
      <c r="G623" s="71">
        <v>0</v>
      </c>
    </row>
    <row r="624" spans="2:7" x14ac:dyDescent="0.25">
      <c r="B624" s="70">
        <v>43511</v>
      </c>
      <c r="C624" t="s">
        <v>49</v>
      </c>
      <c r="D624" t="s">
        <v>82</v>
      </c>
      <c r="E624" t="s">
        <v>201</v>
      </c>
      <c r="F624" s="71">
        <v>93</v>
      </c>
      <c r="G624" s="71">
        <v>0</v>
      </c>
    </row>
    <row r="625" spans="2:7" x14ac:dyDescent="0.25">
      <c r="B625" s="70">
        <v>43511</v>
      </c>
      <c r="C625" t="s">
        <v>50</v>
      </c>
      <c r="D625" t="s">
        <v>82</v>
      </c>
      <c r="E625" t="s">
        <v>201</v>
      </c>
      <c r="F625" s="71">
        <v>20.69</v>
      </c>
      <c r="G625" s="71">
        <v>0</v>
      </c>
    </row>
    <row r="626" spans="2:7" x14ac:dyDescent="0.25">
      <c r="B626" s="70">
        <v>43511</v>
      </c>
      <c r="C626" t="s">
        <v>58</v>
      </c>
      <c r="D626" t="s">
        <v>82</v>
      </c>
      <c r="E626" t="s">
        <v>201</v>
      </c>
      <c r="F626" s="71">
        <v>73</v>
      </c>
      <c r="G626" s="71">
        <v>0</v>
      </c>
    </row>
    <row r="627" spans="2:7" x14ac:dyDescent="0.25">
      <c r="B627" s="70">
        <v>43511</v>
      </c>
      <c r="C627" t="s">
        <v>53</v>
      </c>
      <c r="D627" t="s">
        <v>82</v>
      </c>
      <c r="E627" t="s">
        <v>201</v>
      </c>
      <c r="F627" s="71">
        <v>5</v>
      </c>
      <c r="G627" s="71">
        <v>0</v>
      </c>
    </row>
    <row r="628" spans="2:7" x14ac:dyDescent="0.25">
      <c r="B628" s="70">
        <v>43511</v>
      </c>
      <c r="C628" t="s">
        <v>24</v>
      </c>
      <c r="D628" t="s">
        <v>79</v>
      </c>
      <c r="E628" t="s">
        <v>201</v>
      </c>
      <c r="F628" s="71">
        <v>8</v>
      </c>
      <c r="G628" s="71">
        <v>0</v>
      </c>
    </row>
    <row r="629" spans="2:7" x14ac:dyDescent="0.25">
      <c r="B629" s="70">
        <v>43511</v>
      </c>
      <c r="C629" t="s">
        <v>60</v>
      </c>
      <c r="D629" t="s">
        <v>80</v>
      </c>
      <c r="E629" t="s">
        <v>201</v>
      </c>
      <c r="F629" s="71">
        <v>62.65</v>
      </c>
      <c r="G629" s="71">
        <v>0</v>
      </c>
    </row>
    <row r="630" spans="2:7" x14ac:dyDescent="0.25">
      <c r="B630" s="70">
        <v>43511</v>
      </c>
      <c r="C630" t="s">
        <v>60</v>
      </c>
      <c r="D630" t="s">
        <v>86</v>
      </c>
      <c r="E630" t="s">
        <v>201</v>
      </c>
      <c r="F630" s="71">
        <v>448.15</v>
      </c>
      <c r="G630" s="71">
        <v>0</v>
      </c>
    </row>
    <row r="631" spans="2:7" x14ac:dyDescent="0.25">
      <c r="B631" s="70">
        <v>43511</v>
      </c>
      <c r="C631" t="s">
        <v>61</v>
      </c>
      <c r="D631" t="s">
        <v>86</v>
      </c>
      <c r="E631" t="s">
        <v>201</v>
      </c>
      <c r="F631" s="71">
        <v>622.45000000000005</v>
      </c>
      <c r="G631" s="71">
        <v>0</v>
      </c>
    </row>
    <row r="632" spans="2:7" x14ac:dyDescent="0.25">
      <c r="B632" s="70">
        <v>43511</v>
      </c>
      <c r="C632" t="s">
        <v>62</v>
      </c>
      <c r="D632" t="s">
        <v>86</v>
      </c>
      <c r="E632" t="s">
        <v>201</v>
      </c>
      <c r="F632" s="71">
        <v>114.25</v>
      </c>
      <c r="G632" s="71">
        <v>0</v>
      </c>
    </row>
    <row r="633" spans="2:7" x14ac:dyDescent="0.25">
      <c r="B633" s="70">
        <v>43512</v>
      </c>
      <c r="C633" t="s">
        <v>25</v>
      </c>
      <c r="D633" t="s">
        <v>81</v>
      </c>
      <c r="E633" t="s">
        <v>203</v>
      </c>
      <c r="F633" s="71">
        <v>10.5</v>
      </c>
      <c r="G633" s="71">
        <v>0</v>
      </c>
    </row>
    <row r="634" spans="2:7" x14ac:dyDescent="0.25">
      <c r="B634" s="70">
        <v>43512</v>
      </c>
      <c r="C634" t="s">
        <v>25</v>
      </c>
      <c r="D634" t="s">
        <v>81</v>
      </c>
      <c r="E634" t="s">
        <v>128</v>
      </c>
      <c r="F634" s="71">
        <v>2.25</v>
      </c>
      <c r="G634" s="71">
        <v>0</v>
      </c>
    </row>
    <row r="635" spans="2:7" x14ac:dyDescent="0.25">
      <c r="B635" s="70">
        <v>43512</v>
      </c>
      <c r="C635" t="s">
        <v>56</v>
      </c>
      <c r="D635" t="s">
        <v>82</v>
      </c>
      <c r="E635" t="s">
        <v>204</v>
      </c>
      <c r="F635" s="71">
        <v>33</v>
      </c>
      <c r="G635" s="71">
        <v>0</v>
      </c>
    </row>
    <row r="636" spans="2:7" x14ac:dyDescent="0.25">
      <c r="B636" s="70">
        <v>43512</v>
      </c>
      <c r="C636" t="s">
        <v>67</v>
      </c>
      <c r="D636" t="s">
        <v>85</v>
      </c>
      <c r="E636" t="s">
        <v>204</v>
      </c>
      <c r="F636" s="71">
        <v>1000</v>
      </c>
      <c r="G636" s="71">
        <v>0</v>
      </c>
    </row>
    <row r="637" spans="2:7" x14ac:dyDescent="0.25">
      <c r="B637" s="70">
        <v>43514</v>
      </c>
      <c r="C637" t="s">
        <v>25</v>
      </c>
      <c r="D637" t="s">
        <v>80</v>
      </c>
      <c r="E637" t="s">
        <v>205</v>
      </c>
      <c r="F637" s="71">
        <v>80</v>
      </c>
      <c r="G637" s="71">
        <v>0</v>
      </c>
    </row>
    <row r="638" spans="2:7" x14ac:dyDescent="0.25">
      <c r="B638" s="70">
        <v>43514</v>
      </c>
      <c r="C638" t="s">
        <v>25</v>
      </c>
      <c r="D638" t="s">
        <v>81</v>
      </c>
      <c r="E638" t="s">
        <v>206</v>
      </c>
      <c r="F638" s="71">
        <v>12.08</v>
      </c>
      <c r="G638" s="71">
        <v>0</v>
      </c>
    </row>
    <row r="639" spans="2:7" x14ac:dyDescent="0.25">
      <c r="B639" s="70">
        <v>43514</v>
      </c>
      <c r="C639" t="s">
        <v>25</v>
      </c>
      <c r="D639" t="s">
        <v>81</v>
      </c>
      <c r="E639" t="s">
        <v>207</v>
      </c>
      <c r="F639" s="71">
        <v>9.5500000000000007</v>
      </c>
      <c r="G639" s="71">
        <v>0</v>
      </c>
    </row>
    <row r="640" spans="2:7" x14ac:dyDescent="0.25">
      <c r="B640" s="70">
        <v>43514</v>
      </c>
      <c r="C640" t="s">
        <v>25</v>
      </c>
      <c r="D640" t="s">
        <v>81</v>
      </c>
      <c r="E640" t="s">
        <v>208</v>
      </c>
      <c r="F640" s="71">
        <v>7.45</v>
      </c>
      <c r="G640" s="71">
        <v>0</v>
      </c>
    </row>
    <row r="641" spans="2:7" x14ac:dyDescent="0.25">
      <c r="B641" s="70">
        <v>43514</v>
      </c>
      <c r="C641" t="s">
        <v>25</v>
      </c>
      <c r="D641" t="s">
        <v>81</v>
      </c>
      <c r="E641" t="s">
        <v>195</v>
      </c>
      <c r="F641" s="71">
        <v>26</v>
      </c>
      <c r="G641" s="71">
        <v>0</v>
      </c>
    </row>
    <row r="642" spans="2:7" x14ac:dyDescent="0.25">
      <c r="B642" s="70">
        <v>43514</v>
      </c>
      <c r="C642" t="s">
        <v>25</v>
      </c>
      <c r="D642" t="s">
        <v>81</v>
      </c>
      <c r="E642" t="s">
        <v>209</v>
      </c>
      <c r="F642" s="71">
        <v>18</v>
      </c>
      <c r="G642" s="71">
        <v>0</v>
      </c>
    </row>
    <row r="643" spans="2:7" x14ac:dyDescent="0.25">
      <c r="B643" s="70">
        <v>43514</v>
      </c>
      <c r="C643" t="s">
        <v>25</v>
      </c>
      <c r="D643" t="s">
        <v>81</v>
      </c>
      <c r="E643" t="s">
        <v>128</v>
      </c>
      <c r="F643" s="71">
        <v>9.1999999999999993</v>
      </c>
      <c r="G643" s="71">
        <v>0</v>
      </c>
    </row>
    <row r="644" spans="2:7" x14ac:dyDescent="0.25">
      <c r="B644" s="70">
        <v>43514</v>
      </c>
      <c r="C644" t="s">
        <v>25</v>
      </c>
      <c r="D644" t="s">
        <v>82</v>
      </c>
      <c r="E644" t="s">
        <v>205</v>
      </c>
      <c r="F644" s="71">
        <v>12</v>
      </c>
      <c r="G644" s="71">
        <v>0</v>
      </c>
    </row>
    <row r="645" spans="2:7" x14ac:dyDescent="0.25">
      <c r="B645" s="70">
        <v>43514</v>
      </c>
      <c r="C645" t="s">
        <v>25</v>
      </c>
      <c r="D645" t="s">
        <v>82</v>
      </c>
      <c r="E645" t="s">
        <v>205</v>
      </c>
      <c r="F645" s="71">
        <v>29.33</v>
      </c>
      <c r="G645" s="71">
        <v>0</v>
      </c>
    </row>
    <row r="646" spans="2:7" x14ac:dyDescent="0.25">
      <c r="B646" s="70">
        <v>43514</v>
      </c>
      <c r="C646" t="s">
        <v>25</v>
      </c>
      <c r="D646" t="s">
        <v>82</v>
      </c>
      <c r="E646" t="s">
        <v>205</v>
      </c>
      <c r="F646" s="71">
        <v>137.5</v>
      </c>
      <c r="G646" s="71">
        <v>0</v>
      </c>
    </row>
    <row r="647" spans="2:7" x14ac:dyDescent="0.25">
      <c r="B647" s="70">
        <v>43514</v>
      </c>
      <c r="C647" t="s">
        <v>59</v>
      </c>
      <c r="D647" t="s">
        <v>82</v>
      </c>
      <c r="E647" t="s">
        <v>205</v>
      </c>
      <c r="F647" s="71">
        <v>32.01</v>
      </c>
      <c r="G647" s="71">
        <v>0</v>
      </c>
    </row>
    <row r="648" spans="2:7" x14ac:dyDescent="0.25">
      <c r="B648" s="70">
        <v>43514</v>
      </c>
      <c r="C648" t="s">
        <v>59</v>
      </c>
      <c r="D648" t="s">
        <v>84</v>
      </c>
      <c r="E648" t="s">
        <v>205</v>
      </c>
      <c r="F648" s="71">
        <v>259.26</v>
      </c>
      <c r="G648" s="71">
        <v>0</v>
      </c>
    </row>
    <row r="649" spans="2:7" x14ac:dyDescent="0.25">
      <c r="B649" s="70">
        <v>43514</v>
      </c>
      <c r="C649" t="s">
        <v>56</v>
      </c>
      <c r="D649" t="s">
        <v>82</v>
      </c>
      <c r="E649" t="s">
        <v>205</v>
      </c>
      <c r="F649" s="71">
        <v>56.25</v>
      </c>
      <c r="G649" s="71">
        <v>0</v>
      </c>
    </row>
    <row r="650" spans="2:7" x14ac:dyDescent="0.25">
      <c r="B650" s="70">
        <v>43514</v>
      </c>
      <c r="C650" t="s">
        <v>21</v>
      </c>
      <c r="D650" t="s">
        <v>79</v>
      </c>
      <c r="E650" t="s">
        <v>205</v>
      </c>
      <c r="F650" s="71">
        <v>8</v>
      </c>
      <c r="G650" s="71">
        <v>0</v>
      </c>
    </row>
    <row r="651" spans="2:7" x14ac:dyDescent="0.25">
      <c r="B651" s="70">
        <v>43514</v>
      </c>
      <c r="C651" t="s">
        <v>21</v>
      </c>
      <c r="D651" t="s">
        <v>79</v>
      </c>
      <c r="E651" t="s">
        <v>205</v>
      </c>
      <c r="F651" s="71">
        <v>16</v>
      </c>
      <c r="G651" s="71">
        <v>0</v>
      </c>
    </row>
    <row r="652" spans="2:7" x14ac:dyDescent="0.25">
      <c r="B652" s="70">
        <v>43514</v>
      </c>
      <c r="C652" t="s">
        <v>21</v>
      </c>
      <c r="D652" t="s">
        <v>79</v>
      </c>
      <c r="E652" t="s">
        <v>205</v>
      </c>
      <c r="F652" s="71">
        <v>32</v>
      </c>
      <c r="G652" s="71">
        <v>0</v>
      </c>
    </row>
    <row r="653" spans="2:7" x14ac:dyDescent="0.25">
      <c r="B653" s="70">
        <v>43514</v>
      </c>
      <c r="C653" t="s">
        <v>21</v>
      </c>
      <c r="D653" t="s">
        <v>79</v>
      </c>
      <c r="E653" t="s">
        <v>205</v>
      </c>
      <c r="F653" s="71">
        <v>40</v>
      </c>
      <c r="G653" s="71">
        <v>0</v>
      </c>
    </row>
    <row r="654" spans="2:7" x14ac:dyDescent="0.25">
      <c r="B654" s="70">
        <v>43514</v>
      </c>
      <c r="C654" t="s">
        <v>21</v>
      </c>
      <c r="D654" t="s">
        <v>79</v>
      </c>
      <c r="E654" t="s">
        <v>205</v>
      </c>
      <c r="F654" s="71">
        <v>48</v>
      </c>
      <c r="G654" s="71">
        <v>0</v>
      </c>
    </row>
    <row r="655" spans="2:7" x14ac:dyDescent="0.25">
      <c r="B655" s="70">
        <v>43514</v>
      </c>
      <c r="C655" t="s">
        <v>21</v>
      </c>
      <c r="D655" t="s">
        <v>79</v>
      </c>
      <c r="E655" t="s">
        <v>205</v>
      </c>
      <c r="F655" s="71">
        <v>64</v>
      </c>
      <c r="G655" s="71">
        <v>0</v>
      </c>
    </row>
    <row r="656" spans="2:7" x14ac:dyDescent="0.25">
      <c r="B656" s="70">
        <v>43514</v>
      </c>
      <c r="C656" t="s">
        <v>45</v>
      </c>
      <c r="D656" t="s">
        <v>84</v>
      </c>
      <c r="E656" t="s">
        <v>205</v>
      </c>
      <c r="F656" s="71">
        <v>48</v>
      </c>
      <c r="G656" s="71">
        <v>0</v>
      </c>
    </row>
    <row r="657" spans="2:7" x14ac:dyDescent="0.25">
      <c r="B657" s="70">
        <v>43514</v>
      </c>
      <c r="C657" t="s">
        <v>50</v>
      </c>
      <c r="D657" t="s">
        <v>82</v>
      </c>
      <c r="E657" t="s">
        <v>205</v>
      </c>
      <c r="F657" s="71">
        <v>5.96</v>
      </c>
      <c r="G657" s="71">
        <v>0</v>
      </c>
    </row>
    <row r="658" spans="2:7" x14ac:dyDescent="0.25">
      <c r="B658" s="70">
        <v>43514</v>
      </c>
      <c r="C658" t="s">
        <v>53</v>
      </c>
      <c r="D658" t="s">
        <v>82</v>
      </c>
      <c r="E658" t="s">
        <v>205</v>
      </c>
      <c r="F658" s="71">
        <v>28.17</v>
      </c>
      <c r="G658" s="71">
        <v>0</v>
      </c>
    </row>
    <row r="659" spans="2:7" x14ac:dyDescent="0.25">
      <c r="B659" s="70">
        <v>43514</v>
      </c>
      <c r="C659" t="s">
        <v>24</v>
      </c>
      <c r="D659" t="s">
        <v>79</v>
      </c>
      <c r="E659" t="s">
        <v>205</v>
      </c>
      <c r="F659" s="71">
        <v>8</v>
      </c>
      <c r="G659" s="71">
        <v>0</v>
      </c>
    </row>
    <row r="660" spans="2:7" x14ac:dyDescent="0.25">
      <c r="B660" s="70">
        <v>43514</v>
      </c>
      <c r="C660" t="s">
        <v>60</v>
      </c>
      <c r="D660" t="s">
        <v>85</v>
      </c>
      <c r="E660" t="s">
        <v>205</v>
      </c>
      <c r="F660" s="71">
        <v>58.47</v>
      </c>
      <c r="G660" s="71">
        <v>0</v>
      </c>
    </row>
    <row r="661" spans="2:7" x14ac:dyDescent="0.25">
      <c r="B661" s="70">
        <v>43515</v>
      </c>
      <c r="C661" t="s">
        <v>25</v>
      </c>
      <c r="D661" t="s">
        <v>80</v>
      </c>
      <c r="E661" t="s">
        <v>210</v>
      </c>
      <c r="F661" s="71">
        <v>14.35</v>
      </c>
      <c r="G661" s="71">
        <v>0</v>
      </c>
    </row>
    <row r="662" spans="2:7" x14ac:dyDescent="0.25">
      <c r="B662" s="70">
        <v>43515</v>
      </c>
      <c r="C662" t="s">
        <v>25</v>
      </c>
      <c r="D662" t="s">
        <v>87</v>
      </c>
      <c r="E662" t="s">
        <v>210</v>
      </c>
      <c r="F662" s="71">
        <v>10.43</v>
      </c>
      <c r="G662" s="71">
        <v>0</v>
      </c>
    </row>
    <row r="663" spans="2:7" x14ac:dyDescent="0.25">
      <c r="B663" s="70">
        <v>43515</v>
      </c>
      <c r="C663" t="s">
        <v>25</v>
      </c>
      <c r="D663" t="s">
        <v>87</v>
      </c>
      <c r="E663" t="s">
        <v>210</v>
      </c>
      <c r="F663" s="71">
        <v>24.5</v>
      </c>
      <c r="G663" s="71">
        <v>0</v>
      </c>
    </row>
    <row r="664" spans="2:7" x14ac:dyDescent="0.25">
      <c r="B664" s="70">
        <v>43515</v>
      </c>
      <c r="C664" t="s">
        <v>25</v>
      </c>
      <c r="D664" t="s">
        <v>87</v>
      </c>
      <c r="E664" t="s">
        <v>210</v>
      </c>
      <c r="F664" s="71">
        <v>49.83</v>
      </c>
      <c r="G664" s="71">
        <v>0</v>
      </c>
    </row>
    <row r="665" spans="2:7" x14ac:dyDescent="0.25">
      <c r="B665" s="70">
        <v>43515</v>
      </c>
      <c r="C665" t="s">
        <v>25</v>
      </c>
      <c r="D665" t="s">
        <v>87</v>
      </c>
      <c r="E665" t="s">
        <v>210</v>
      </c>
      <c r="F665" s="71">
        <v>100.68</v>
      </c>
      <c r="G665" s="71">
        <v>0</v>
      </c>
    </row>
    <row r="666" spans="2:7" x14ac:dyDescent="0.25">
      <c r="B666" s="70">
        <v>43515</v>
      </c>
      <c r="C666" t="s">
        <v>25</v>
      </c>
      <c r="D666" t="s">
        <v>87</v>
      </c>
      <c r="E666" t="s">
        <v>210</v>
      </c>
      <c r="F666" s="71">
        <v>188.88</v>
      </c>
      <c r="G666" s="71">
        <v>0</v>
      </c>
    </row>
    <row r="667" spans="2:7" x14ac:dyDescent="0.25">
      <c r="B667" s="70">
        <v>43515</v>
      </c>
      <c r="C667" t="s">
        <v>25</v>
      </c>
      <c r="D667" t="s">
        <v>87</v>
      </c>
      <c r="E667" t="s">
        <v>210</v>
      </c>
      <c r="F667" s="71">
        <v>189.2</v>
      </c>
      <c r="G667" s="71">
        <v>0</v>
      </c>
    </row>
    <row r="668" spans="2:7" x14ac:dyDescent="0.25">
      <c r="B668" s="70">
        <v>43515</v>
      </c>
      <c r="C668" t="s">
        <v>25</v>
      </c>
      <c r="D668" t="s">
        <v>81</v>
      </c>
      <c r="E668" t="s">
        <v>211</v>
      </c>
      <c r="F668" s="71">
        <v>10.25</v>
      </c>
      <c r="G668" s="71">
        <v>0</v>
      </c>
    </row>
    <row r="669" spans="2:7" x14ac:dyDescent="0.25">
      <c r="B669" s="70">
        <v>43515</v>
      </c>
      <c r="C669" t="s">
        <v>25</v>
      </c>
      <c r="D669" t="s">
        <v>81</v>
      </c>
      <c r="E669" t="s">
        <v>212</v>
      </c>
      <c r="F669" s="71">
        <v>25.9</v>
      </c>
      <c r="G669" s="71">
        <v>0</v>
      </c>
    </row>
    <row r="670" spans="2:7" x14ac:dyDescent="0.25">
      <c r="B670" s="70">
        <v>43515</v>
      </c>
      <c r="C670" t="s">
        <v>25</v>
      </c>
      <c r="D670" t="s">
        <v>81</v>
      </c>
      <c r="E670" t="s">
        <v>148</v>
      </c>
      <c r="F670" s="71">
        <v>25</v>
      </c>
      <c r="G670" s="71">
        <v>0</v>
      </c>
    </row>
    <row r="671" spans="2:7" x14ac:dyDescent="0.25">
      <c r="B671" s="70">
        <v>43515</v>
      </c>
      <c r="C671" t="s">
        <v>25</v>
      </c>
      <c r="D671" t="s">
        <v>81</v>
      </c>
      <c r="E671" t="s">
        <v>122</v>
      </c>
      <c r="F671" s="71">
        <v>2.4</v>
      </c>
      <c r="G671" s="71">
        <v>0</v>
      </c>
    </row>
    <row r="672" spans="2:7" x14ac:dyDescent="0.25">
      <c r="B672" s="70">
        <v>43515</v>
      </c>
      <c r="C672" t="s">
        <v>25</v>
      </c>
      <c r="D672" t="s">
        <v>81</v>
      </c>
      <c r="E672" t="s">
        <v>147</v>
      </c>
      <c r="F672" s="71">
        <v>20.5</v>
      </c>
      <c r="G672" s="71">
        <v>0</v>
      </c>
    </row>
    <row r="673" spans="2:7" x14ac:dyDescent="0.25">
      <c r="B673" s="70">
        <v>43515</v>
      </c>
      <c r="C673" t="s">
        <v>25</v>
      </c>
      <c r="D673" t="s">
        <v>81</v>
      </c>
      <c r="E673" t="s">
        <v>213</v>
      </c>
      <c r="F673" s="71">
        <v>40</v>
      </c>
      <c r="G673" s="71">
        <v>0</v>
      </c>
    </row>
    <row r="674" spans="2:7" x14ac:dyDescent="0.25">
      <c r="B674" s="70">
        <v>43515</v>
      </c>
      <c r="C674" t="s">
        <v>25</v>
      </c>
      <c r="D674" t="s">
        <v>81</v>
      </c>
      <c r="E674" t="s">
        <v>214</v>
      </c>
      <c r="F674" s="71">
        <v>9.1999999999999993</v>
      </c>
      <c r="G674" s="71">
        <v>0</v>
      </c>
    </row>
    <row r="675" spans="2:7" x14ac:dyDescent="0.25">
      <c r="B675" s="70">
        <v>43515</v>
      </c>
      <c r="C675" t="s">
        <v>25</v>
      </c>
      <c r="D675" t="s">
        <v>81</v>
      </c>
      <c r="E675" t="s">
        <v>187</v>
      </c>
      <c r="F675" s="71">
        <v>7.35</v>
      </c>
      <c r="G675" s="71">
        <v>0</v>
      </c>
    </row>
    <row r="676" spans="2:7" x14ac:dyDescent="0.25">
      <c r="B676" s="70">
        <v>43515</v>
      </c>
      <c r="C676" t="s">
        <v>25</v>
      </c>
      <c r="D676" t="s">
        <v>81</v>
      </c>
      <c r="E676" t="s">
        <v>127</v>
      </c>
      <c r="F676" s="71">
        <v>11.3</v>
      </c>
      <c r="G676" s="71">
        <v>0</v>
      </c>
    </row>
    <row r="677" spans="2:7" x14ac:dyDescent="0.25">
      <c r="B677" s="70">
        <v>43515</v>
      </c>
      <c r="C677" t="s">
        <v>25</v>
      </c>
      <c r="D677" t="s">
        <v>81</v>
      </c>
      <c r="E677" t="s">
        <v>133</v>
      </c>
      <c r="F677" s="71">
        <v>10.25</v>
      </c>
      <c r="G677" s="71">
        <v>0</v>
      </c>
    </row>
    <row r="678" spans="2:7" x14ac:dyDescent="0.25">
      <c r="B678" s="70">
        <v>43515</v>
      </c>
      <c r="C678" t="s">
        <v>59</v>
      </c>
      <c r="D678" t="s">
        <v>80</v>
      </c>
      <c r="E678" t="s">
        <v>210</v>
      </c>
      <c r="F678" s="71">
        <v>20.75</v>
      </c>
      <c r="G678" s="71">
        <v>0</v>
      </c>
    </row>
    <row r="679" spans="2:7" x14ac:dyDescent="0.25">
      <c r="B679" s="70">
        <v>43515</v>
      </c>
      <c r="C679" t="s">
        <v>51</v>
      </c>
      <c r="D679" t="s">
        <v>82</v>
      </c>
      <c r="E679" t="s">
        <v>210</v>
      </c>
      <c r="F679" s="71">
        <v>156.4</v>
      </c>
      <c r="G679" s="71">
        <v>0</v>
      </c>
    </row>
    <row r="680" spans="2:7" x14ac:dyDescent="0.25">
      <c r="B680" s="70">
        <v>43515</v>
      </c>
      <c r="C680" t="s">
        <v>21</v>
      </c>
      <c r="D680" t="s">
        <v>79</v>
      </c>
      <c r="E680" t="s">
        <v>210</v>
      </c>
      <c r="F680" s="71">
        <v>16</v>
      </c>
      <c r="G680" s="71">
        <v>0</v>
      </c>
    </row>
    <row r="681" spans="2:7" x14ac:dyDescent="0.25">
      <c r="B681" s="70">
        <v>43515</v>
      </c>
      <c r="C681" t="s">
        <v>21</v>
      </c>
      <c r="D681" t="s">
        <v>79</v>
      </c>
      <c r="E681" t="s">
        <v>210</v>
      </c>
      <c r="F681" s="71">
        <v>32</v>
      </c>
      <c r="G681" s="71">
        <v>0</v>
      </c>
    </row>
    <row r="682" spans="2:7" x14ac:dyDescent="0.25">
      <c r="B682" s="70">
        <v>43515</v>
      </c>
      <c r="C682" t="s">
        <v>48</v>
      </c>
      <c r="D682" t="s">
        <v>86</v>
      </c>
      <c r="E682" t="s">
        <v>210</v>
      </c>
      <c r="F682" s="71">
        <v>39.9</v>
      </c>
      <c r="G682" s="71">
        <v>0</v>
      </c>
    </row>
    <row r="683" spans="2:7" x14ac:dyDescent="0.25">
      <c r="B683" s="70">
        <v>43515</v>
      </c>
      <c r="C683" t="s">
        <v>50</v>
      </c>
      <c r="D683" t="s">
        <v>87</v>
      </c>
      <c r="E683" t="s">
        <v>210</v>
      </c>
      <c r="F683" s="71">
        <v>47.52</v>
      </c>
      <c r="G683" s="71">
        <v>0</v>
      </c>
    </row>
    <row r="684" spans="2:7" x14ac:dyDescent="0.25">
      <c r="B684" s="70">
        <v>43515</v>
      </c>
      <c r="C684" t="s">
        <v>58</v>
      </c>
      <c r="D684" t="s">
        <v>82</v>
      </c>
      <c r="E684" t="s">
        <v>210</v>
      </c>
      <c r="F684" s="71">
        <v>64</v>
      </c>
      <c r="G684" s="71">
        <v>0</v>
      </c>
    </row>
    <row r="685" spans="2:7" x14ac:dyDescent="0.25">
      <c r="B685" s="70">
        <v>43515</v>
      </c>
      <c r="C685" t="s">
        <v>58</v>
      </c>
      <c r="D685" t="s">
        <v>84</v>
      </c>
      <c r="E685" t="s">
        <v>210</v>
      </c>
      <c r="F685" s="71">
        <v>1539.2</v>
      </c>
      <c r="G685" s="71">
        <v>0</v>
      </c>
    </row>
    <row r="686" spans="2:7" x14ac:dyDescent="0.25">
      <c r="B686" s="70">
        <v>43515</v>
      </c>
      <c r="C686" t="s">
        <v>24</v>
      </c>
      <c r="D686" t="s">
        <v>79</v>
      </c>
      <c r="E686" t="s">
        <v>210</v>
      </c>
      <c r="F686" s="71">
        <v>8</v>
      </c>
      <c r="G686" s="71">
        <v>0</v>
      </c>
    </row>
    <row r="687" spans="2:7" x14ac:dyDescent="0.25">
      <c r="B687" s="70">
        <v>43516</v>
      </c>
      <c r="C687" t="s">
        <v>25</v>
      </c>
      <c r="D687" t="s">
        <v>81</v>
      </c>
      <c r="E687" t="s">
        <v>197</v>
      </c>
      <c r="F687" s="71">
        <v>5</v>
      </c>
      <c r="G687" s="71">
        <v>0</v>
      </c>
    </row>
    <row r="688" spans="2:7" x14ac:dyDescent="0.25">
      <c r="B688" s="70">
        <v>43516</v>
      </c>
      <c r="C688" t="s">
        <v>25</v>
      </c>
      <c r="D688" t="s">
        <v>81</v>
      </c>
      <c r="E688" t="s">
        <v>211</v>
      </c>
      <c r="F688" s="71">
        <v>10.25</v>
      </c>
      <c r="G688" s="71">
        <v>0</v>
      </c>
    </row>
    <row r="689" spans="2:7" x14ac:dyDescent="0.25">
      <c r="B689" s="70">
        <v>43516</v>
      </c>
      <c r="C689" t="s">
        <v>25</v>
      </c>
      <c r="D689" t="s">
        <v>81</v>
      </c>
      <c r="E689" t="s">
        <v>173</v>
      </c>
      <c r="F689" s="71">
        <v>9.1999999999999993</v>
      </c>
      <c r="G689" s="71">
        <v>0</v>
      </c>
    </row>
    <row r="690" spans="2:7" x14ac:dyDescent="0.25">
      <c r="B690" s="70">
        <v>43516</v>
      </c>
      <c r="C690" t="s">
        <v>25</v>
      </c>
      <c r="D690" t="s">
        <v>81</v>
      </c>
      <c r="E690" t="s">
        <v>135</v>
      </c>
      <c r="F690">
        <v>9.1999999999999993</v>
      </c>
      <c r="G690" s="71">
        <v>0</v>
      </c>
    </row>
    <row r="691" spans="2:7" x14ac:dyDescent="0.25">
      <c r="B691" s="70">
        <v>43516</v>
      </c>
      <c r="C691" t="s">
        <v>25</v>
      </c>
      <c r="D691" t="s">
        <v>81</v>
      </c>
      <c r="E691" t="s">
        <v>139</v>
      </c>
      <c r="F691">
        <v>9.1999999999999993</v>
      </c>
      <c r="G691" s="71">
        <v>0</v>
      </c>
    </row>
    <row r="692" spans="2:7" x14ac:dyDescent="0.25">
      <c r="B692" s="70">
        <v>43516</v>
      </c>
      <c r="C692" t="s">
        <v>25</v>
      </c>
      <c r="D692" t="s">
        <v>81</v>
      </c>
      <c r="E692" t="s">
        <v>181</v>
      </c>
      <c r="F692" s="71">
        <v>7.4</v>
      </c>
      <c r="G692" s="71">
        <v>0</v>
      </c>
    </row>
    <row r="693" spans="2:7" x14ac:dyDescent="0.25">
      <c r="B693" s="70">
        <v>43516</v>
      </c>
      <c r="C693" t="s">
        <v>25</v>
      </c>
      <c r="D693" t="s">
        <v>81</v>
      </c>
      <c r="E693" t="s">
        <v>169</v>
      </c>
      <c r="F693" s="71">
        <v>7.35</v>
      </c>
      <c r="G693" s="71">
        <v>0</v>
      </c>
    </row>
    <row r="694" spans="2:7" x14ac:dyDescent="0.25">
      <c r="B694" s="70">
        <v>43516</v>
      </c>
      <c r="C694" t="s">
        <v>25</v>
      </c>
      <c r="D694" t="s">
        <v>81</v>
      </c>
      <c r="E694" t="s">
        <v>202</v>
      </c>
      <c r="F694">
        <v>7.35</v>
      </c>
      <c r="G694" s="71">
        <v>0</v>
      </c>
    </row>
    <row r="695" spans="2:7" x14ac:dyDescent="0.25">
      <c r="B695" s="70">
        <v>43516</v>
      </c>
      <c r="C695" t="s">
        <v>21</v>
      </c>
      <c r="D695" t="s">
        <v>79</v>
      </c>
      <c r="E695" t="s">
        <v>215</v>
      </c>
      <c r="F695" s="71">
        <v>8</v>
      </c>
      <c r="G695" s="71">
        <v>0</v>
      </c>
    </row>
    <row r="696" spans="2:7" x14ac:dyDescent="0.25">
      <c r="B696" s="70">
        <v>43516</v>
      </c>
      <c r="C696" t="s">
        <v>21</v>
      </c>
      <c r="D696" t="s">
        <v>79</v>
      </c>
      <c r="E696" t="s">
        <v>215</v>
      </c>
      <c r="F696" s="71">
        <v>40</v>
      </c>
      <c r="G696" s="71">
        <v>0</v>
      </c>
    </row>
    <row r="697" spans="2:7" x14ac:dyDescent="0.25">
      <c r="B697" s="70">
        <v>43516</v>
      </c>
      <c r="C697" t="s">
        <v>21</v>
      </c>
      <c r="D697" t="s">
        <v>79</v>
      </c>
      <c r="E697" t="s">
        <v>215</v>
      </c>
      <c r="F697" s="71">
        <v>48</v>
      </c>
      <c r="G697" s="71">
        <v>0</v>
      </c>
    </row>
    <row r="698" spans="2:7" x14ac:dyDescent="0.25">
      <c r="B698" s="70">
        <v>43516</v>
      </c>
      <c r="C698" t="s">
        <v>66</v>
      </c>
      <c r="D698" t="s">
        <v>79</v>
      </c>
      <c r="E698" t="s">
        <v>215</v>
      </c>
      <c r="F698" s="71">
        <v>68.53</v>
      </c>
      <c r="G698" s="71">
        <v>0</v>
      </c>
    </row>
    <row r="699" spans="2:7" x14ac:dyDescent="0.25">
      <c r="B699" s="70">
        <v>43516</v>
      </c>
      <c r="C699" t="s">
        <v>48</v>
      </c>
      <c r="D699" t="s">
        <v>82</v>
      </c>
      <c r="E699" t="s">
        <v>215</v>
      </c>
      <c r="F699" s="71">
        <v>21</v>
      </c>
      <c r="G699" s="71">
        <v>0</v>
      </c>
    </row>
    <row r="700" spans="2:7" x14ac:dyDescent="0.25">
      <c r="B700" s="70">
        <v>43516</v>
      </c>
      <c r="C700" t="s">
        <v>45</v>
      </c>
      <c r="D700" t="s">
        <v>85</v>
      </c>
      <c r="E700" t="s">
        <v>215</v>
      </c>
      <c r="F700" s="71">
        <v>25</v>
      </c>
      <c r="G700" s="71">
        <v>0</v>
      </c>
    </row>
    <row r="701" spans="2:7" x14ac:dyDescent="0.25">
      <c r="B701" s="70">
        <v>43516</v>
      </c>
      <c r="C701" t="s">
        <v>52</v>
      </c>
      <c r="D701" t="s">
        <v>82</v>
      </c>
      <c r="E701" t="s">
        <v>215</v>
      </c>
      <c r="F701" s="71">
        <v>4.8</v>
      </c>
      <c r="G701" s="71">
        <v>0</v>
      </c>
    </row>
    <row r="702" spans="2:7" x14ac:dyDescent="0.25">
      <c r="B702" s="70">
        <v>43516</v>
      </c>
      <c r="C702" t="s">
        <v>58</v>
      </c>
      <c r="D702" t="s">
        <v>82</v>
      </c>
      <c r="E702" t="s">
        <v>215</v>
      </c>
      <c r="F702" s="71">
        <v>8</v>
      </c>
      <c r="G702" s="71">
        <v>0</v>
      </c>
    </row>
    <row r="703" spans="2:7" x14ac:dyDescent="0.25">
      <c r="B703" s="70">
        <v>43516</v>
      </c>
      <c r="C703" t="s">
        <v>58</v>
      </c>
      <c r="D703" t="s">
        <v>84</v>
      </c>
      <c r="E703" t="s">
        <v>215</v>
      </c>
      <c r="F703" s="71">
        <v>353.6</v>
      </c>
      <c r="G703" s="71">
        <v>0</v>
      </c>
    </row>
    <row r="704" spans="2:7" x14ac:dyDescent="0.25">
      <c r="B704" s="70">
        <v>43516</v>
      </c>
      <c r="C704" t="s">
        <v>68</v>
      </c>
      <c r="D704" t="s">
        <v>85</v>
      </c>
      <c r="E704" t="s">
        <v>215</v>
      </c>
      <c r="F704" s="71">
        <v>625</v>
      </c>
      <c r="G704" s="71">
        <v>0</v>
      </c>
    </row>
    <row r="705" spans="2:7" x14ac:dyDescent="0.25">
      <c r="B705" s="70">
        <v>43517</v>
      </c>
      <c r="C705" t="s">
        <v>25</v>
      </c>
      <c r="D705" t="s">
        <v>81</v>
      </c>
      <c r="E705" t="s">
        <v>207</v>
      </c>
      <c r="F705" s="71">
        <v>110.45</v>
      </c>
      <c r="G705" s="71">
        <v>0</v>
      </c>
    </row>
    <row r="706" spans="2:7" x14ac:dyDescent="0.25">
      <c r="B706" s="70">
        <v>43517</v>
      </c>
      <c r="C706" t="s">
        <v>25</v>
      </c>
      <c r="D706" t="s">
        <v>81</v>
      </c>
      <c r="E706" t="s">
        <v>172</v>
      </c>
      <c r="F706" s="71">
        <v>7.45</v>
      </c>
      <c r="G706" s="71">
        <v>0</v>
      </c>
    </row>
    <row r="707" spans="2:7" x14ac:dyDescent="0.25">
      <c r="B707" s="70">
        <v>43517</v>
      </c>
      <c r="C707" t="s">
        <v>25</v>
      </c>
      <c r="D707" t="s">
        <v>81</v>
      </c>
      <c r="E707" t="s">
        <v>216</v>
      </c>
      <c r="F707" s="71">
        <v>3</v>
      </c>
      <c r="G707" s="71">
        <v>0</v>
      </c>
    </row>
    <row r="708" spans="2:7" x14ac:dyDescent="0.25">
      <c r="B708" s="70">
        <v>43517</v>
      </c>
      <c r="C708" t="s">
        <v>25</v>
      </c>
      <c r="D708" t="s">
        <v>81</v>
      </c>
      <c r="E708" t="s">
        <v>131</v>
      </c>
      <c r="F708" s="71">
        <v>2.4</v>
      </c>
      <c r="G708" s="71">
        <v>0</v>
      </c>
    </row>
    <row r="709" spans="2:7" x14ac:dyDescent="0.25">
      <c r="B709" s="70">
        <v>43517</v>
      </c>
      <c r="C709" t="s">
        <v>25</v>
      </c>
      <c r="D709" t="s">
        <v>81</v>
      </c>
      <c r="E709" t="s">
        <v>214</v>
      </c>
      <c r="F709" s="71">
        <v>9.1999999999999993</v>
      </c>
      <c r="G709" s="71">
        <v>0</v>
      </c>
    </row>
    <row r="710" spans="2:7" x14ac:dyDescent="0.25">
      <c r="B710" s="70">
        <v>43517</v>
      </c>
      <c r="C710" t="s">
        <v>25</v>
      </c>
      <c r="D710" t="s">
        <v>81</v>
      </c>
      <c r="E710" t="s">
        <v>139</v>
      </c>
      <c r="F710" s="71">
        <v>7.15</v>
      </c>
      <c r="G710" s="71">
        <v>0</v>
      </c>
    </row>
    <row r="711" spans="2:7" x14ac:dyDescent="0.25">
      <c r="B711" s="70">
        <v>43517</v>
      </c>
      <c r="C711" t="s">
        <v>25</v>
      </c>
      <c r="D711" t="s">
        <v>81</v>
      </c>
      <c r="E711" t="s">
        <v>217</v>
      </c>
      <c r="F711" s="71">
        <v>18.399999999999999</v>
      </c>
      <c r="G711" s="71">
        <v>0</v>
      </c>
    </row>
    <row r="712" spans="2:7" x14ac:dyDescent="0.25">
      <c r="B712" s="70">
        <v>43517</v>
      </c>
      <c r="C712" t="s">
        <v>21</v>
      </c>
      <c r="D712" t="s">
        <v>79</v>
      </c>
      <c r="E712" t="s">
        <v>218</v>
      </c>
      <c r="F712" s="71">
        <v>8</v>
      </c>
      <c r="G712" s="71">
        <v>0</v>
      </c>
    </row>
    <row r="713" spans="2:7" x14ac:dyDescent="0.25">
      <c r="B713" s="70">
        <v>43517</v>
      </c>
      <c r="C713" t="s">
        <v>21</v>
      </c>
      <c r="D713" t="s">
        <v>79</v>
      </c>
      <c r="E713" t="s">
        <v>218</v>
      </c>
      <c r="F713" s="71">
        <v>16</v>
      </c>
      <c r="G713" s="71">
        <v>0</v>
      </c>
    </row>
    <row r="714" spans="2:7" x14ac:dyDescent="0.25">
      <c r="B714" s="70">
        <v>43517</v>
      </c>
      <c r="C714" t="s">
        <v>58</v>
      </c>
      <c r="D714" t="s">
        <v>86</v>
      </c>
      <c r="E714" t="s">
        <v>218</v>
      </c>
      <c r="F714" s="71">
        <v>0</v>
      </c>
      <c r="G714" s="71">
        <v>2.4</v>
      </c>
    </row>
    <row r="715" spans="2:7" x14ac:dyDescent="0.25">
      <c r="B715" s="70">
        <v>43518</v>
      </c>
      <c r="C715" t="s">
        <v>25</v>
      </c>
      <c r="D715" t="s">
        <v>80</v>
      </c>
      <c r="E715" t="s">
        <v>219</v>
      </c>
      <c r="F715" s="71">
        <v>41.84</v>
      </c>
      <c r="G715" s="71">
        <v>0</v>
      </c>
    </row>
    <row r="716" spans="2:7" x14ac:dyDescent="0.25">
      <c r="B716" s="70">
        <v>43518</v>
      </c>
      <c r="C716" t="s">
        <v>25</v>
      </c>
      <c r="D716" t="s">
        <v>87</v>
      </c>
      <c r="E716" t="s">
        <v>219</v>
      </c>
      <c r="F716" s="71">
        <v>17.66</v>
      </c>
      <c r="G716" s="71">
        <v>0</v>
      </c>
    </row>
    <row r="717" spans="2:7" x14ac:dyDescent="0.25">
      <c r="B717" s="70">
        <v>43518</v>
      </c>
      <c r="C717" t="s">
        <v>25</v>
      </c>
      <c r="D717" t="s">
        <v>87</v>
      </c>
      <c r="E717" t="s">
        <v>219</v>
      </c>
      <c r="F717" s="71">
        <v>23.32</v>
      </c>
      <c r="G717" s="71">
        <v>0</v>
      </c>
    </row>
    <row r="718" spans="2:7" x14ac:dyDescent="0.25">
      <c r="B718" s="70">
        <v>43518</v>
      </c>
      <c r="C718" t="s">
        <v>25</v>
      </c>
      <c r="D718" t="s">
        <v>87</v>
      </c>
      <c r="E718" t="s">
        <v>219</v>
      </c>
      <c r="F718" s="71">
        <v>39.19</v>
      </c>
      <c r="G718" s="71">
        <v>0</v>
      </c>
    </row>
    <row r="719" spans="2:7" x14ac:dyDescent="0.25">
      <c r="B719" s="70">
        <v>43518</v>
      </c>
      <c r="C719" t="s">
        <v>25</v>
      </c>
      <c r="D719" t="s">
        <v>87</v>
      </c>
      <c r="E719" t="s">
        <v>219</v>
      </c>
      <c r="F719" s="71">
        <v>44.91</v>
      </c>
      <c r="G719" s="71">
        <v>0</v>
      </c>
    </row>
    <row r="720" spans="2:7" x14ac:dyDescent="0.25">
      <c r="B720" s="70">
        <v>43518</v>
      </c>
      <c r="C720" t="s">
        <v>25</v>
      </c>
      <c r="D720" t="s">
        <v>81</v>
      </c>
      <c r="E720" t="s">
        <v>147</v>
      </c>
      <c r="F720" s="71">
        <v>10.25</v>
      </c>
      <c r="G720" s="71">
        <v>0</v>
      </c>
    </row>
    <row r="721" spans="2:7" x14ac:dyDescent="0.25">
      <c r="B721" s="70">
        <v>43518</v>
      </c>
      <c r="C721" t="s">
        <v>25</v>
      </c>
      <c r="D721" t="s">
        <v>81</v>
      </c>
      <c r="E721" t="s">
        <v>220</v>
      </c>
      <c r="F721" s="71">
        <v>12.65</v>
      </c>
      <c r="G721" s="71">
        <v>0</v>
      </c>
    </row>
    <row r="722" spans="2:7" x14ac:dyDescent="0.25">
      <c r="B722" s="70">
        <v>43518</v>
      </c>
      <c r="C722" t="s">
        <v>25</v>
      </c>
      <c r="D722" t="s">
        <v>81</v>
      </c>
      <c r="E722" t="s">
        <v>161</v>
      </c>
      <c r="F722" s="71">
        <v>23.05</v>
      </c>
      <c r="G722" s="71">
        <v>0</v>
      </c>
    </row>
    <row r="723" spans="2:7" x14ac:dyDescent="0.25">
      <c r="B723" s="70">
        <v>43518</v>
      </c>
      <c r="C723" t="s">
        <v>25</v>
      </c>
      <c r="D723" t="s">
        <v>81</v>
      </c>
      <c r="E723" t="s">
        <v>221</v>
      </c>
      <c r="F723" s="71">
        <v>3</v>
      </c>
      <c r="G723" s="71">
        <v>0</v>
      </c>
    </row>
    <row r="724" spans="2:7" x14ac:dyDescent="0.25">
      <c r="B724" s="70">
        <v>43518</v>
      </c>
      <c r="C724" t="s">
        <v>25</v>
      </c>
      <c r="D724" t="s">
        <v>81</v>
      </c>
      <c r="E724" t="s">
        <v>139</v>
      </c>
      <c r="F724" s="71">
        <v>9.1999999999999993</v>
      </c>
      <c r="G724" s="71">
        <v>0</v>
      </c>
    </row>
    <row r="725" spans="2:7" x14ac:dyDescent="0.25">
      <c r="B725" s="70">
        <v>43518</v>
      </c>
      <c r="C725" t="s">
        <v>25</v>
      </c>
      <c r="D725" t="s">
        <v>81</v>
      </c>
      <c r="E725" t="s">
        <v>179</v>
      </c>
      <c r="F725" s="71">
        <v>3.6</v>
      </c>
      <c r="G725" s="71">
        <v>0</v>
      </c>
    </row>
    <row r="726" spans="2:7" x14ac:dyDescent="0.25">
      <c r="B726" s="70">
        <v>43518</v>
      </c>
      <c r="C726" t="s">
        <v>25</v>
      </c>
      <c r="D726" t="s">
        <v>81</v>
      </c>
      <c r="E726" t="s">
        <v>202</v>
      </c>
      <c r="F726" s="71">
        <v>2.9</v>
      </c>
      <c r="G726" s="71">
        <v>0</v>
      </c>
    </row>
    <row r="727" spans="2:7" x14ac:dyDescent="0.25">
      <c r="B727" s="70">
        <v>43518</v>
      </c>
      <c r="C727" t="s">
        <v>25</v>
      </c>
      <c r="D727" t="s">
        <v>81</v>
      </c>
      <c r="E727" t="s">
        <v>222</v>
      </c>
      <c r="F727" s="71">
        <v>11.2</v>
      </c>
      <c r="G727" s="71">
        <v>0</v>
      </c>
    </row>
    <row r="728" spans="2:7" x14ac:dyDescent="0.25">
      <c r="B728" s="70">
        <v>43518</v>
      </c>
      <c r="C728" t="s">
        <v>59</v>
      </c>
      <c r="D728" t="s">
        <v>82</v>
      </c>
      <c r="E728" t="s">
        <v>219</v>
      </c>
      <c r="F728" s="71">
        <v>85.51</v>
      </c>
      <c r="G728" s="71">
        <v>0</v>
      </c>
    </row>
    <row r="729" spans="2:7" x14ac:dyDescent="0.25">
      <c r="B729" s="70">
        <v>43518</v>
      </c>
      <c r="C729" t="s">
        <v>47</v>
      </c>
      <c r="D729" t="s">
        <v>80</v>
      </c>
      <c r="E729" t="s">
        <v>219</v>
      </c>
      <c r="F729" s="71">
        <v>171.21</v>
      </c>
      <c r="G729" s="71">
        <v>0</v>
      </c>
    </row>
    <row r="730" spans="2:7" x14ac:dyDescent="0.25">
      <c r="B730" s="70">
        <v>43518</v>
      </c>
      <c r="C730" t="s">
        <v>51</v>
      </c>
      <c r="D730" t="s">
        <v>82</v>
      </c>
      <c r="E730" t="s">
        <v>219</v>
      </c>
      <c r="F730" s="71">
        <v>232.86</v>
      </c>
      <c r="G730" s="71">
        <v>0</v>
      </c>
    </row>
    <row r="731" spans="2:7" x14ac:dyDescent="0.25">
      <c r="B731" s="70">
        <v>43518</v>
      </c>
      <c r="C731" t="s">
        <v>21</v>
      </c>
      <c r="D731" t="s">
        <v>79</v>
      </c>
      <c r="E731" t="s">
        <v>219</v>
      </c>
      <c r="F731" s="71">
        <v>16</v>
      </c>
      <c r="G731" s="71">
        <v>0</v>
      </c>
    </row>
    <row r="732" spans="2:7" x14ac:dyDescent="0.25">
      <c r="B732" s="70">
        <v>43518</v>
      </c>
      <c r="C732" t="s">
        <v>48</v>
      </c>
      <c r="D732" t="s">
        <v>87</v>
      </c>
      <c r="E732" t="s">
        <v>219</v>
      </c>
      <c r="F732" s="71">
        <v>56.75</v>
      </c>
      <c r="G732" s="71">
        <v>0</v>
      </c>
    </row>
    <row r="733" spans="2:7" x14ac:dyDescent="0.25">
      <c r="B733" s="70">
        <v>43518</v>
      </c>
      <c r="C733" t="s">
        <v>48</v>
      </c>
      <c r="D733" t="s">
        <v>84</v>
      </c>
      <c r="E733" t="s">
        <v>219</v>
      </c>
      <c r="F733" s="71">
        <v>1026.1199999999999</v>
      </c>
      <c r="G733" s="71">
        <v>0</v>
      </c>
    </row>
    <row r="734" spans="2:7" x14ac:dyDescent="0.25">
      <c r="B734" s="70">
        <v>43518</v>
      </c>
      <c r="C734" t="s">
        <v>50</v>
      </c>
      <c r="D734" t="s">
        <v>80</v>
      </c>
      <c r="E734" t="s">
        <v>219</v>
      </c>
      <c r="F734" s="71">
        <v>27.5</v>
      </c>
      <c r="G734" s="71">
        <v>0</v>
      </c>
    </row>
    <row r="735" spans="2:7" x14ac:dyDescent="0.25">
      <c r="B735" s="70">
        <v>43518</v>
      </c>
      <c r="C735" t="s">
        <v>58</v>
      </c>
      <c r="D735" t="s">
        <v>85</v>
      </c>
      <c r="E735" t="s">
        <v>219</v>
      </c>
      <c r="F735" s="71">
        <v>15.25</v>
      </c>
      <c r="G735" s="71">
        <v>0</v>
      </c>
    </row>
    <row r="736" spans="2:7" x14ac:dyDescent="0.25">
      <c r="B736" s="70">
        <v>43518</v>
      </c>
      <c r="C736" t="s">
        <v>58</v>
      </c>
      <c r="D736" t="s">
        <v>82</v>
      </c>
      <c r="E736" t="s">
        <v>219</v>
      </c>
      <c r="F736" s="71">
        <v>20.8</v>
      </c>
      <c r="G736" s="71">
        <v>0</v>
      </c>
    </row>
    <row r="737" spans="2:7" x14ac:dyDescent="0.25">
      <c r="B737" s="70">
        <v>43518</v>
      </c>
      <c r="C737" t="s">
        <v>53</v>
      </c>
      <c r="D737" t="s">
        <v>82</v>
      </c>
      <c r="E737" t="s">
        <v>219</v>
      </c>
      <c r="F737" s="71">
        <v>10</v>
      </c>
      <c r="G737" s="71">
        <v>0</v>
      </c>
    </row>
    <row r="738" spans="2:7" x14ac:dyDescent="0.25">
      <c r="B738" s="70">
        <v>43518</v>
      </c>
      <c r="C738" t="s">
        <v>61</v>
      </c>
      <c r="D738" t="s">
        <v>80</v>
      </c>
      <c r="E738" t="s">
        <v>219</v>
      </c>
      <c r="F738" s="71">
        <v>84.12</v>
      </c>
      <c r="G738" s="71">
        <v>0</v>
      </c>
    </row>
    <row r="739" spans="2:7" x14ac:dyDescent="0.25">
      <c r="B739" s="70">
        <v>43518</v>
      </c>
      <c r="C739" t="s">
        <v>61</v>
      </c>
      <c r="D739" t="s">
        <v>86</v>
      </c>
      <c r="E739" t="s">
        <v>219</v>
      </c>
      <c r="F739" s="71">
        <v>157.69999999999999</v>
      </c>
      <c r="G739" s="71">
        <v>0</v>
      </c>
    </row>
    <row r="740" spans="2:7" x14ac:dyDescent="0.25">
      <c r="B740" s="70">
        <v>43521</v>
      </c>
      <c r="C740" t="s">
        <v>25</v>
      </c>
      <c r="D740" t="s">
        <v>79</v>
      </c>
      <c r="E740" t="s">
        <v>223</v>
      </c>
      <c r="F740" s="71">
        <v>8</v>
      </c>
      <c r="G740" s="71">
        <v>0</v>
      </c>
    </row>
    <row r="741" spans="2:7" x14ac:dyDescent="0.25">
      <c r="B741" s="70">
        <v>43521</v>
      </c>
      <c r="C741" t="s">
        <v>25</v>
      </c>
      <c r="D741" t="s">
        <v>81</v>
      </c>
      <c r="E741" t="s">
        <v>148</v>
      </c>
      <c r="F741" s="71">
        <v>25</v>
      </c>
      <c r="G741" s="71">
        <v>0</v>
      </c>
    </row>
    <row r="742" spans="2:7" x14ac:dyDescent="0.25">
      <c r="B742" s="70">
        <v>43521</v>
      </c>
      <c r="C742" t="s">
        <v>25</v>
      </c>
      <c r="D742" t="s">
        <v>81</v>
      </c>
      <c r="E742" t="s">
        <v>164</v>
      </c>
      <c r="F742" s="71">
        <v>3.25</v>
      </c>
      <c r="G742" s="71">
        <v>0</v>
      </c>
    </row>
    <row r="743" spans="2:7" x14ac:dyDescent="0.25">
      <c r="B743" s="70">
        <v>43521</v>
      </c>
      <c r="C743" t="s">
        <v>25</v>
      </c>
      <c r="D743" t="s">
        <v>81</v>
      </c>
      <c r="E743" t="s">
        <v>202</v>
      </c>
      <c r="F743" s="71">
        <v>4.05</v>
      </c>
      <c r="G743" s="71">
        <v>0</v>
      </c>
    </row>
    <row r="744" spans="2:7" x14ac:dyDescent="0.25">
      <c r="B744" s="70">
        <v>43521</v>
      </c>
      <c r="C744" t="s">
        <v>25</v>
      </c>
      <c r="D744" t="s">
        <v>95</v>
      </c>
      <c r="E744" t="s">
        <v>224</v>
      </c>
      <c r="F744" s="71">
        <v>21.09</v>
      </c>
      <c r="G744" s="71">
        <v>0</v>
      </c>
    </row>
    <row r="745" spans="2:7" x14ac:dyDescent="0.25">
      <c r="B745" s="70">
        <v>43521</v>
      </c>
      <c r="C745" t="s">
        <v>25</v>
      </c>
      <c r="D745" t="s">
        <v>95</v>
      </c>
      <c r="E745" t="s">
        <v>224</v>
      </c>
      <c r="F745" s="71">
        <v>43.5</v>
      </c>
      <c r="G745" s="71">
        <v>0</v>
      </c>
    </row>
    <row r="746" spans="2:7" x14ac:dyDescent="0.25">
      <c r="B746" s="70">
        <v>43521</v>
      </c>
      <c r="C746" t="s">
        <v>25</v>
      </c>
      <c r="D746" t="s">
        <v>95</v>
      </c>
      <c r="E746" t="s">
        <v>224</v>
      </c>
      <c r="F746" s="71">
        <v>44.84</v>
      </c>
      <c r="G746" s="71">
        <v>0</v>
      </c>
    </row>
    <row r="747" spans="2:7" x14ac:dyDescent="0.25">
      <c r="B747" s="70">
        <v>43521</v>
      </c>
      <c r="C747" t="s">
        <v>54</v>
      </c>
      <c r="D747" t="s">
        <v>95</v>
      </c>
      <c r="E747" t="s">
        <v>224</v>
      </c>
      <c r="F747" s="71">
        <v>983.17</v>
      </c>
      <c r="G747" s="71">
        <v>0</v>
      </c>
    </row>
    <row r="748" spans="2:7" x14ac:dyDescent="0.25">
      <c r="B748" s="70">
        <v>43521</v>
      </c>
      <c r="C748" t="s">
        <v>46</v>
      </c>
      <c r="D748" t="s">
        <v>95</v>
      </c>
      <c r="E748" t="s">
        <v>224</v>
      </c>
      <c r="F748" s="71">
        <v>99.97</v>
      </c>
      <c r="G748" s="71">
        <v>0</v>
      </c>
    </row>
    <row r="749" spans="2:7" x14ac:dyDescent="0.25">
      <c r="B749" s="70">
        <v>43521</v>
      </c>
      <c r="C749" t="s">
        <v>56</v>
      </c>
      <c r="D749" t="s">
        <v>82</v>
      </c>
      <c r="E749" t="s">
        <v>223</v>
      </c>
      <c r="F749" s="71">
        <v>35</v>
      </c>
      <c r="G749" s="71">
        <v>0</v>
      </c>
    </row>
    <row r="750" spans="2:7" x14ac:dyDescent="0.25">
      <c r="B750" s="70">
        <v>43521</v>
      </c>
      <c r="C750" t="s">
        <v>21</v>
      </c>
      <c r="D750" t="s">
        <v>79</v>
      </c>
      <c r="E750" t="s">
        <v>223</v>
      </c>
      <c r="F750" s="71">
        <v>8</v>
      </c>
      <c r="G750" s="71">
        <v>0</v>
      </c>
    </row>
    <row r="751" spans="2:7" x14ac:dyDescent="0.25">
      <c r="B751" s="70">
        <v>43521</v>
      </c>
      <c r="C751" t="s">
        <v>21</v>
      </c>
      <c r="D751" t="s">
        <v>79</v>
      </c>
      <c r="E751" t="s">
        <v>223</v>
      </c>
      <c r="F751" s="71">
        <v>16</v>
      </c>
      <c r="G751" s="71">
        <v>0</v>
      </c>
    </row>
    <row r="752" spans="2:7" x14ac:dyDescent="0.25">
      <c r="B752" s="70">
        <v>43521</v>
      </c>
      <c r="C752" t="s">
        <v>21</v>
      </c>
      <c r="D752" t="s">
        <v>79</v>
      </c>
      <c r="E752" t="s">
        <v>223</v>
      </c>
      <c r="F752" s="71">
        <v>24</v>
      </c>
      <c r="G752" s="71">
        <v>0</v>
      </c>
    </row>
    <row r="753" spans="2:7" x14ac:dyDescent="0.25">
      <c r="B753" s="70">
        <v>43521</v>
      </c>
      <c r="C753" t="s">
        <v>21</v>
      </c>
      <c r="D753" t="s">
        <v>79</v>
      </c>
      <c r="E753" t="s">
        <v>223</v>
      </c>
      <c r="F753" s="71">
        <v>32</v>
      </c>
      <c r="G753" s="71">
        <v>0</v>
      </c>
    </row>
    <row r="754" spans="2:7" x14ac:dyDescent="0.25">
      <c r="B754" s="70">
        <v>43521</v>
      </c>
      <c r="C754" t="s">
        <v>21</v>
      </c>
      <c r="D754" t="s">
        <v>79</v>
      </c>
      <c r="E754" t="s">
        <v>223</v>
      </c>
      <c r="F754" s="71">
        <v>48</v>
      </c>
      <c r="G754" s="71">
        <v>0</v>
      </c>
    </row>
    <row r="755" spans="2:7" x14ac:dyDescent="0.25">
      <c r="B755" s="70">
        <v>43521</v>
      </c>
      <c r="C755" t="s">
        <v>21</v>
      </c>
      <c r="D755" t="s">
        <v>95</v>
      </c>
      <c r="E755" t="s">
        <v>224</v>
      </c>
      <c r="F755" s="71">
        <v>10.29</v>
      </c>
      <c r="G755" s="71">
        <v>0</v>
      </c>
    </row>
    <row r="756" spans="2:7" x14ac:dyDescent="0.25">
      <c r="B756" s="70">
        <v>43521</v>
      </c>
      <c r="C756" t="s">
        <v>21</v>
      </c>
      <c r="D756" t="s">
        <v>95</v>
      </c>
      <c r="E756" t="s">
        <v>224</v>
      </c>
      <c r="F756" s="71">
        <v>12.59</v>
      </c>
      <c r="G756" s="71">
        <v>0</v>
      </c>
    </row>
    <row r="757" spans="2:7" x14ac:dyDescent="0.25">
      <c r="B757" s="70">
        <v>43521</v>
      </c>
      <c r="C757" t="s">
        <v>21</v>
      </c>
      <c r="D757" t="s">
        <v>95</v>
      </c>
      <c r="E757" t="s">
        <v>224</v>
      </c>
      <c r="F757" s="71">
        <v>45.01</v>
      </c>
      <c r="G757" s="71">
        <v>0</v>
      </c>
    </row>
    <row r="758" spans="2:7" x14ac:dyDescent="0.25">
      <c r="B758" s="70">
        <v>43521</v>
      </c>
      <c r="C758" t="s">
        <v>21</v>
      </c>
      <c r="D758" t="s">
        <v>95</v>
      </c>
      <c r="E758" t="s">
        <v>224</v>
      </c>
      <c r="F758" s="71">
        <v>45.85</v>
      </c>
      <c r="G758" s="71">
        <v>0</v>
      </c>
    </row>
    <row r="759" spans="2:7" x14ac:dyDescent="0.25">
      <c r="B759" s="70">
        <v>43521</v>
      </c>
      <c r="C759" t="s">
        <v>21</v>
      </c>
      <c r="D759" t="s">
        <v>95</v>
      </c>
      <c r="E759" t="s">
        <v>224</v>
      </c>
      <c r="F759" s="71">
        <v>47.09</v>
      </c>
      <c r="G759" s="71">
        <v>0</v>
      </c>
    </row>
    <row r="760" spans="2:7" x14ac:dyDescent="0.25">
      <c r="B760" s="70">
        <v>43521</v>
      </c>
      <c r="C760" t="s">
        <v>21</v>
      </c>
      <c r="D760" t="s">
        <v>95</v>
      </c>
      <c r="E760" t="s">
        <v>224</v>
      </c>
      <c r="F760" s="71">
        <v>99.42</v>
      </c>
      <c r="G760" s="71">
        <v>0</v>
      </c>
    </row>
    <row r="761" spans="2:7" x14ac:dyDescent="0.25">
      <c r="B761" s="70">
        <v>43521</v>
      </c>
      <c r="C761" t="s">
        <v>21</v>
      </c>
      <c r="D761" t="s">
        <v>95</v>
      </c>
      <c r="E761" t="s">
        <v>224</v>
      </c>
      <c r="F761" s="71">
        <v>101.38</v>
      </c>
      <c r="G761" s="71">
        <v>0</v>
      </c>
    </row>
    <row r="762" spans="2:7" x14ac:dyDescent="0.25">
      <c r="B762" s="70">
        <v>43521</v>
      </c>
      <c r="C762" t="s">
        <v>21</v>
      </c>
      <c r="D762" t="s">
        <v>95</v>
      </c>
      <c r="E762" t="s">
        <v>224</v>
      </c>
      <c r="F762" s="71">
        <v>127.85</v>
      </c>
      <c r="G762" s="71">
        <v>0</v>
      </c>
    </row>
    <row r="763" spans="2:7" x14ac:dyDescent="0.25">
      <c r="B763" s="70">
        <v>43521</v>
      </c>
      <c r="C763" t="s">
        <v>21</v>
      </c>
      <c r="D763" t="s">
        <v>95</v>
      </c>
      <c r="E763" t="s">
        <v>224</v>
      </c>
      <c r="F763" s="71">
        <v>129.44999999999999</v>
      </c>
      <c r="G763" s="71">
        <v>0</v>
      </c>
    </row>
    <row r="764" spans="2:7" x14ac:dyDescent="0.25">
      <c r="B764" s="70">
        <v>43521</v>
      </c>
      <c r="C764" t="s">
        <v>21</v>
      </c>
      <c r="D764" t="s">
        <v>95</v>
      </c>
      <c r="E764" t="s">
        <v>224</v>
      </c>
      <c r="F764" s="71">
        <v>140.37</v>
      </c>
      <c r="G764" s="71">
        <v>0</v>
      </c>
    </row>
    <row r="765" spans="2:7" x14ac:dyDescent="0.25">
      <c r="B765" s="70">
        <v>43521</v>
      </c>
      <c r="C765" t="s">
        <v>21</v>
      </c>
      <c r="D765" t="s">
        <v>95</v>
      </c>
      <c r="E765" t="s">
        <v>224</v>
      </c>
      <c r="F765" s="71">
        <v>162.05000000000001</v>
      </c>
      <c r="G765" s="71">
        <v>0</v>
      </c>
    </row>
    <row r="766" spans="2:7" x14ac:dyDescent="0.25">
      <c r="B766" s="70">
        <v>43521</v>
      </c>
      <c r="C766" t="s">
        <v>21</v>
      </c>
      <c r="D766" t="s">
        <v>95</v>
      </c>
      <c r="E766" t="s">
        <v>224</v>
      </c>
      <c r="F766" s="71">
        <v>215.46</v>
      </c>
      <c r="G766" s="71">
        <v>0</v>
      </c>
    </row>
    <row r="767" spans="2:7" x14ac:dyDescent="0.25">
      <c r="B767" s="70">
        <v>43521</v>
      </c>
      <c r="C767" t="s">
        <v>21</v>
      </c>
      <c r="D767" t="s">
        <v>95</v>
      </c>
      <c r="E767" t="s">
        <v>224</v>
      </c>
      <c r="F767" s="71">
        <v>231.33</v>
      </c>
      <c r="G767" s="71">
        <v>0</v>
      </c>
    </row>
    <row r="768" spans="2:7" x14ac:dyDescent="0.25">
      <c r="B768" s="70">
        <v>43521</v>
      </c>
      <c r="C768" t="s">
        <v>21</v>
      </c>
      <c r="D768" t="s">
        <v>95</v>
      </c>
      <c r="E768" t="s">
        <v>224</v>
      </c>
      <c r="F768" s="71">
        <v>243.25</v>
      </c>
      <c r="G768" s="71">
        <v>0</v>
      </c>
    </row>
    <row r="769" spans="2:7" x14ac:dyDescent="0.25">
      <c r="B769" s="70">
        <v>43521</v>
      </c>
      <c r="C769" t="s">
        <v>21</v>
      </c>
      <c r="D769" t="s">
        <v>95</v>
      </c>
      <c r="E769" t="s">
        <v>224</v>
      </c>
      <c r="F769" s="71">
        <v>287.85000000000002</v>
      </c>
      <c r="G769" s="71">
        <v>0</v>
      </c>
    </row>
    <row r="770" spans="2:7" x14ac:dyDescent="0.25">
      <c r="B770" s="70">
        <v>43521</v>
      </c>
      <c r="C770" t="s">
        <v>21</v>
      </c>
      <c r="D770" t="s">
        <v>95</v>
      </c>
      <c r="E770" t="s">
        <v>224</v>
      </c>
      <c r="F770" s="71">
        <v>308.57</v>
      </c>
      <c r="G770" s="71">
        <v>0</v>
      </c>
    </row>
    <row r="771" spans="2:7" x14ac:dyDescent="0.25">
      <c r="B771" s="70">
        <v>43521</v>
      </c>
      <c r="C771" t="s">
        <v>21</v>
      </c>
      <c r="D771" t="s">
        <v>95</v>
      </c>
      <c r="E771" t="s">
        <v>224</v>
      </c>
      <c r="F771" s="71">
        <v>319.01</v>
      </c>
      <c r="G771" s="71">
        <v>0</v>
      </c>
    </row>
    <row r="772" spans="2:7" x14ac:dyDescent="0.25">
      <c r="B772" s="70">
        <v>43521</v>
      </c>
      <c r="C772" t="s">
        <v>21</v>
      </c>
      <c r="D772" t="s">
        <v>95</v>
      </c>
      <c r="E772" t="s">
        <v>224</v>
      </c>
      <c r="F772" s="71">
        <v>371.65</v>
      </c>
      <c r="G772" s="71">
        <v>0</v>
      </c>
    </row>
    <row r="773" spans="2:7" x14ac:dyDescent="0.25">
      <c r="B773" s="70">
        <v>43521</v>
      </c>
      <c r="C773" t="s">
        <v>21</v>
      </c>
      <c r="D773" t="s">
        <v>95</v>
      </c>
      <c r="E773" t="s">
        <v>224</v>
      </c>
      <c r="F773" s="71">
        <v>395.45</v>
      </c>
      <c r="G773" s="71">
        <v>0</v>
      </c>
    </row>
    <row r="774" spans="2:7" x14ac:dyDescent="0.25">
      <c r="B774" s="70">
        <v>43521</v>
      </c>
      <c r="C774" t="s">
        <v>21</v>
      </c>
      <c r="D774" t="s">
        <v>95</v>
      </c>
      <c r="E774" t="s">
        <v>224</v>
      </c>
      <c r="F774" s="71">
        <v>486.58</v>
      </c>
      <c r="G774" s="71">
        <v>0</v>
      </c>
    </row>
    <row r="775" spans="2:7" x14ac:dyDescent="0.25">
      <c r="B775" s="70">
        <v>43521</v>
      </c>
      <c r="C775" t="s">
        <v>21</v>
      </c>
      <c r="D775" t="s">
        <v>95</v>
      </c>
      <c r="E775" t="s">
        <v>224</v>
      </c>
      <c r="F775" s="71">
        <v>536.64</v>
      </c>
      <c r="G775" s="71">
        <v>0</v>
      </c>
    </row>
    <row r="776" spans="2:7" x14ac:dyDescent="0.25">
      <c r="B776" s="70">
        <v>43521</v>
      </c>
      <c r="C776" t="s">
        <v>21</v>
      </c>
      <c r="D776" t="s">
        <v>95</v>
      </c>
      <c r="E776" t="s">
        <v>224</v>
      </c>
      <c r="F776" s="71">
        <v>639.91999999999996</v>
      </c>
      <c r="G776" s="71">
        <v>0</v>
      </c>
    </row>
    <row r="777" spans="2:7" x14ac:dyDescent="0.25">
      <c r="B777" s="70">
        <v>43521</v>
      </c>
      <c r="C777" t="s">
        <v>21</v>
      </c>
      <c r="D777" t="s">
        <v>95</v>
      </c>
      <c r="E777" t="s">
        <v>224</v>
      </c>
      <c r="F777" s="71">
        <v>646.41</v>
      </c>
      <c r="G777" s="71">
        <v>0</v>
      </c>
    </row>
    <row r="778" spans="2:7" x14ac:dyDescent="0.25">
      <c r="B778" s="70">
        <v>43521</v>
      </c>
      <c r="C778" t="s">
        <v>21</v>
      </c>
      <c r="D778" t="s">
        <v>95</v>
      </c>
      <c r="E778" t="s">
        <v>224</v>
      </c>
      <c r="F778" s="71">
        <v>717.11</v>
      </c>
      <c r="G778" s="71">
        <v>0</v>
      </c>
    </row>
    <row r="779" spans="2:7" x14ac:dyDescent="0.25">
      <c r="B779" s="70">
        <v>43521</v>
      </c>
      <c r="C779" t="s">
        <v>21</v>
      </c>
      <c r="D779" t="s">
        <v>95</v>
      </c>
      <c r="E779" t="s">
        <v>224</v>
      </c>
      <c r="F779" s="71">
        <v>739.91</v>
      </c>
      <c r="G779" s="71">
        <v>0</v>
      </c>
    </row>
    <row r="780" spans="2:7" x14ac:dyDescent="0.25">
      <c r="B780" s="70">
        <v>43521</v>
      </c>
      <c r="C780" t="s">
        <v>55</v>
      </c>
      <c r="D780" t="s">
        <v>95</v>
      </c>
      <c r="E780" t="s">
        <v>224</v>
      </c>
      <c r="F780" s="71">
        <v>90.45</v>
      </c>
      <c r="G780" s="71">
        <v>0</v>
      </c>
    </row>
    <row r="781" spans="2:7" x14ac:dyDescent="0.25">
      <c r="B781" s="70">
        <v>43521</v>
      </c>
      <c r="C781" t="s">
        <v>45</v>
      </c>
      <c r="D781" t="s">
        <v>79</v>
      </c>
      <c r="E781" t="s">
        <v>223</v>
      </c>
      <c r="F781" s="71">
        <v>24</v>
      </c>
      <c r="G781" s="71">
        <v>0</v>
      </c>
    </row>
    <row r="782" spans="2:7" x14ac:dyDescent="0.25">
      <c r="B782" s="70">
        <v>43521</v>
      </c>
      <c r="C782" t="s">
        <v>45</v>
      </c>
      <c r="D782" t="s">
        <v>82</v>
      </c>
      <c r="E782" t="s">
        <v>223</v>
      </c>
      <c r="F782" s="71">
        <v>9.85</v>
      </c>
      <c r="G782" s="71">
        <v>0</v>
      </c>
    </row>
    <row r="783" spans="2:7" x14ac:dyDescent="0.25">
      <c r="B783" s="70">
        <v>43521</v>
      </c>
      <c r="C783" t="s">
        <v>49</v>
      </c>
      <c r="D783" t="s">
        <v>95</v>
      </c>
      <c r="E783" t="s">
        <v>224</v>
      </c>
      <c r="F783" s="71">
        <v>191.12</v>
      </c>
      <c r="G783" s="71">
        <v>0</v>
      </c>
    </row>
    <row r="784" spans="2:7" x14ac:dyDescent="0.25">
      <c r="B784" s="70">
        <v>43521</v>
      </c>
      <c r="C784" t="s">
        <v>50</v>
      </c>
      <c r="D784" t="s">
        <v>95</v>
      </c>
      <c r="E784" t="s">
        <v>224</v>
      </c>
      <c r="F784" s="71">
        <v>156.97</v>
      </c>
      <c r="G784" s="71">
        <v>0</v>
      </c>
    </row>
    <row r="785" spans="2:7" x14ac:dyDescent="0.25">
      <c r="B785" s="70">
        <v>43521</v>
      </c>
      <c r="C785" t="s">
        <v>50</v>
      </c>
      <c r="D785" t="s">
        <v>82</v>
      </c>
      <c r="E785" t="s">
        <v>223</v>
      </c>
      <c r="F785" s="71">
        <v>293</v>
      </c>
      <c r="G785" s="71">
        <v>0</v>
      </c>
    </row>
    <row r="786" spans="2:7" x14ac:dyDescent="0.25">
      <c r="B786" s="70">
        <v>43521</v>
      </c>
      <c r="C786" t="s">
        <v>58</v>
      </c>
      <c r="D786" t="s">
        <v>82</v>
      </c>
      <c r="E786" t="s">
        <v>223</v>
      </c>
      <c r="F786" s="71">
        <v>74.400000000000006</v>
      </c>
      <c r="G786" s="71">
        <v>0</v>
      </c>
    </row>
    <row r="787" spans="2:7" x14ac:dyDescent="0.25">
      <c r="B787" s="70">
        <v>43521</v>
      </c>
      <c r="C787" t="s">
        <v>65</v>
      </c>
      <c r="D787" t="s">
        <v>85</v>
      </c>
      <c r="E787" t="s">
        <v>223</v>
      </c>
      <c r="F787" s="71">
        <v>29.96</v>
      </c>
      <c r="G787" s="71">
        <v>0</v>
      </c>
    </row>
    <row r="788" spans="2:7" x14ac:dyDescent="0.25">
      <c r="B788" s="70">
        <v>43521</v>
      </c>
      <c r="C788" t="s">
        <v>24</v>
      </c>
      <c r="D788" t="s">
        <v>79</v>
      </c>
      <c r="E788" t="s">
        <v>223</v>
      </c>
      <c r="F788" s="71">
        <v>8</v>
      </c>
      <c r="G788" s="71">
        <v>0</v>
      </c>
    </row>
    <row r="789" spans="2:7" x14ac:dyDescent="0.25">
      <c r="B789" s="70">
        <v>43521</v>
      </c>
      <c r="C789" t="s">
        <v>24</v>
      </c>
      <c r="D789" t="s">
        <v>95</v>
      </c>
      <c r="E789" t="s">
        <v>224</v>
      </c>
      <c r="F789" s="71">
        <v>10.6</v>
      </c>
      <c r="G789" s="71">
        <v>0</v>
      </c>
    </row>
    <row r="790" spans="2:7" x14ac:dyDescent="0.25">
      <c r="B790" s="70">
        <v>43521</v>
      </c>
      <c r="C790" t="s">
        <v>24</v>
      </c>
      <c r="D790" t="s">
        <v>95</v>
      </c>
      <c r="E790" t="s">
        <v>224</v>
      </c>
      <c r="F790" s="71">
        <v>10.71</v>
      </c>
      <c r="G790" s="71">
        <v>0</v>
      </c>
    </row>
    <row r="791" spans="2:7" x14ac:dyDescent="0.25">
      <c r="B791" s="70">
        <v>43521</v>
      </c>
      <c r="C791" t="s">
        <v>24</v>
      </c>
      <c r="D791" t="s">
        <v>95</v>
      </c>
      <c r="E791" t="s">
        <v>224</v>
      </c>
      <c r="F791" s="71">
        <v>11.08</v>
      </c>
      <c r="G791" s="71">
        <v>0</v>
      </c>
    </row>
    <row r="792" spans="2:7" x14ac:dyDescent="0.25">
      <c r="B792" s="70">
        <v>43521</v>
      </c>
      <c r="C792" t="s">
        <v>24</v>
      </c>
      <c r="D792" t="s">
        <v>95</v>
      </c>
      <c r="E792" t="s">
        <v>224</v>
      </c>
      <c r="F792" s="71">
        <v>17.510000000000002</v>
      </c>
      <c r="G792" s="71">
        <v>0</v>
      </c>
    </row>
    <row r="793" spans="2:7" x14ac:dyDescent="0.25">
      <c r="B793" s="70">
        <v>43521</v>
      </c>
      <c r="C793" t="s">
        <v>24</v>
      </c>
      <c r="D793" t="s">
        <v>95</v>
      </c>
      <c r="E793" t="s">
        <v>224</v>
      </c>
      <c r="F793" s="71">
        <v>21.76</v>
      </c>
      <c r="G793" s="71">
        <v>0</v>
      </c>
    </row>
    <row r="794" spans="2:7" x14ac:dyDescent="0.25">
      <c r="B794" s="70">
        <v>43521</v>
      </c>
      <c r="C794" t="s">
        <v>24</v>
      </c>
      <c r="D794" t="s">
        <v>95</v>
      </c>
      <c r="E794" t="s">
        <v>224</v>
      </c>
      <c r="F794" s="71">
        <v>27.72</v>
      </c>
      <c r="G794" s="71">
        <v>0</v>
      </c>
    </row>
    <row r="795" spans="2:7" x14ac:dyDescent="0.25">
      <c r="B795" s="70">
        <v>43521</v>
      </c>
      <c r="C795" t="s">
        <v>24</v>
      </c>
      <c r="D795" t="s">
        <v>95</v>
      </c>
      <c r="E795" t="s">
        <v>224</v>
      </c>
      <c r="F795" s="71">
        <v>28.57</v>
      </c>
      <c r="G795" s="71">
        <v>0</v>
      </c>
    </row>
    <row r="796" spans="2:7" x14ac:dyDescent="0.25">
      <c r="B796" s="70">
        <v>43521</v>
      </c>
      <c r="C796" t="s">
        <v>24</v>
      </c>
      <c r="D796" t="s">
        <v>95</v>
      </c>
      <c r="E796" t="s">
        <v>224</v>
      </c>
      <c r="F796" s="71">
        <v>55.12</v>
      </c>
      <c r="G796" s="71">
        <v>0</v>
      </c>
    </row>
    <row r="797" spans="2:7" x14ac:dyDescent="0.25">
      <c r="B797" s="70">
        <v>43521</v>
      </c>
      <c r="C797" t="s">
        <v>24</v>
      </c>
      <c r="D797" t="s">
        <v>95</v>
      </c>
      <c r="E797" t="s">
        <v>224</v>
      </c>
      <c r="F797" s="71">
        <v>56.43</v>
      </c>
      <c r="G797" s="71">
        <v>0</v>
      </c>
    </row>
    <row r="798" spans="2:7" x14ac:dyDescent="0.25">
      <c r="B798" s="70">
        <v>43521</v>
      </c>
      <c r="C798" t="s">
        <v>24</v>
      </c>
      <c r="D798" t="s">
        <v>95</v>
      </c>
      <c r="E798" t="s">
        <v>224</v>
      </c>
      <c r="F798" s="71">
        <v>60.58</v>
      </c>
      <c r="G798" s="71">
        <v>0</v>
      </c>
    </row>
    <row r="799" spans="2:7" x14ac:dyDescent="0.25">
      <c r="B799" s="70">
        <v>43521</v>
      </c>
      <c r="C799" t="s">
        <v>24</v>
      </c>
      <c r="D799" t="s">
        <v>95</v>
      </c>
      <c r="E799" t="s">
        <v>224</v>
      </c>
      <c r="F799" s="71">
        <v>61.62</v>
      </c>
      <c r="G799" s="71">
        <v>0</v>
      </c>
    </row>
    <row r="800" spans="2:7" x14ac:dyDescent="0.25">
      <c r="B800" s="70">
        <v>43521</v>
      </c>
      <c r="C800" t="s">
        <v>24</v>
      </c>
      <c r="D800" t="s">
        <v>95</v>
      </c>
      <c r="E800" t="s">
        <v>224</v>
      </c>
      <c r="F800" s="71">
        <v>159.63</v>
      </c>
      <c r="G800" s="71">
        <v>0</v>
      </c>
    </row>
    <row r="801" spans="2:7" x14ac:dyDescent="0.25">
      <c r="B801" s="70">
        <v>43521</v>
      </c>
      <c r="C801" t="s">
        <v>60</v>
      </c>
      <c r="D801" t="s">
        <v>95</v>
      </c>
      <c r="E801" t="s">
        <v>224</v>
      </c>
      <c r="F801" s="71">
        <v>327.85</v>
      </c>
      <c r="G801" s="71">
        <v>0</v>
      </c>
    </row>
    <row r="802" spans="2:7" x14ac:dyDescent="0.25">
      <c r="B802" s="70">
        <v>43522</v>
      </c>
      <c r="C802" t="s">
        <v>25</v>
      </c>
      <c r="D802" t="s">
        <v>80</v>
      </c>
      <c r="E802" t="s">
        <v>225</v>
      </c>
      <c r="F802" s="71">
        <v>115.77</v>
      </c>
      <c r="G802" s="71">
        <v>0</v>
      </c>
    </row>
    <row r="803" spans="2:7" x14ac:dyDescent="0.25">
      <c r="B803" s="70">
        <v>43522</v>
      </c>
      <c r="C803" t="s">
        <v>25</v>
      </c>
      <c r="D803" t="s">
        <v>80</v>
      </c>
      <c r="E803" t="s">
        <v>225</v>
      </c>
      <c r="F803" s="71">
        <v>157.56</v>
      </c>
      <c r="G803" s="71">
        <v>0</v>
      </c>
    </row>
    <row r="804" spans="2:7" x14ac:dyDescent="0.25">
      <c r="B804" s="70">
        <v>43522</v>
      </c>
      <c r="C804" t="s">
        <v>25</v>
      </c>
      <c r="D804" t="s">
        <v>87</v>
      </c>
      <c r="E804" t="s">
        <v>225</v>
      </c>
      <c r="F804" s="71">
        <v>10.99</v>
      </c>
      <c r="G804" s="71">
        <v>0</v>
      </c>
    </row>
    <row r="805" spans="2:7" x14ac:dyDescent="0.25">
      <c r="B805" s="70">
        <v>43522</v>
      </c>
      <c r="C805" t="s">
        <v>25</v>
      </c>
      <c r="D805" t="s">
        <v>87</v>
      </c>
      <c r="E805" t="s">
        <v>225</v>
      </c>
      <c r="F805" s="71">
        <v>16.350000000000001</v>
      </c>
      <c r="G805" s="71">
        <v>0</v>
      </c>
    </row>
    <row r="806" spans="2:7" x14ac:dyDescent="0.25">
      <c r="B806" s="70">
        <v>43522</v>
      </c>
      <c r="C806" t="s">
        <v>25</v>
      </c>
      <c r="D806" t="s">
        <v>87</v>
      </c>
      <c r="E806" t="s">
        <v>225</v>
      </c>
      <c r="F806" s="71">
        <v>34.56</v>
      </c>
      <c r="G806" s="71">
        <v>0</v>
      </c>
    </row>
    <row r="807" spans="2:7" x14ac:dyDescent="0.25">
      <c r="B807" s="70">
        <v>43522</v>
      </c>
      <c r="C807" t="s">
        <v>25</v>
      </c>
      <c r="D807" t="s">
        <v>87</v>
      </c>
      <c r="E807" t="s">
        <v>225</v>
      </c>
      <c r="F807" s="71">
        <v>53.96</v>
      </c>
      <c r="G807" s="71">
        <v>0</v>
      </c>
    </row>
    <row r="808" spans="2:7" x14ac:dyDescent="0.25">
      <c r="B808" s="70">
        <v>43522</v>
      </c>
      <c r="C808" t="s">
        <v>25</v>
      </c>
      <c r="D808" t="s">
        <v>87</v>
      </c>
      <c r="E808" t="s">
        <v>225</v>
      </c>
      <c r="F808" s="71">
        <v>65.94</v>
      </c>
      <c r="G808" s="71">
        <v>0</v>
      </c>
    </row>
    <row r="809" spans="2:7" x14ac:dyDescent="0.25">
      <c r="B809" s="70">
        <v>43522</v>
      </c>
      <c r="C809" t="s">
        <v>25</v>
      </c>
      <c r="D809" t="s">
        <v>87</v>
      </c>
      <c r="E809" t="s">
        <v>225</v>
      </c>
      <c r="F809" s="71">
        <v>80</v>
      </c>
      <c r="G809" s="71">
        <v>0</v>
      </c>
    </row>
    <row r="810" spans="2:7" x14ac:dyDescent="0.25">
      <c r="B810" s="70">
        <v>43522</v>
      </c>
      <c r="C810" t="s">
        <v>25</v>
      </c>
      <c r="D810" t="s">
        <v>87</v>
      </c>
      <c r="E810" t="s">
        <v>225</v>
      </c>
      <c r="F810" s="71">
        <v>82.83</v>
      </c>
      <c r="G810" s="71">
        <v>0</v>
      </c>
    </row>
    <row r="811" spans="2:7" x14ac:dyDescent="0.25">
      <c r="B811" s="70">
        <v>43522</v>
      </c>
      <c r="C811" t="s">
        <v>25</v>
      </c>
      <c r="D811" t="s">
        <v>81</v>
      </c>
      <c r="E811" t="s">
        <v>178</v>
      </c>
      <c r="F811" s="71">
        <v>9.75</v>
      </c>
      <c r="G811" s="71">
        <v>0</v>
      </c>
    </row>
    <row r="812" spans="2:7" x14ac:dyDescent="0.25">
      <c r="B812" s="70">
        <v>43522</v>
      </c>
      <c r="C812" t="s">
        <v>25</v>
      </c>
      <c r="D812" t="s">
        <v>82</v>
      </c>
      <c r="E812" t="s">
        <v>225</v>
      </c>
      <c r="F812" s="71">
        <v>39</v>
      </c>
      <c r="G812" s="71">
        <v>0</v>
      </c>
    </row>
    <row r="813" spans="2:7" x14ac:dyDescent="0.25">
      <c r="B813" s="70">
        <v>43522</v>
      </c>
      <c r="C813" t="s">
        <v>25</v>
      </c>
      <c r="D813" t="s">
        <v>82</v>
      </c>
      <c r="E813" t="s">
        <v>225</v>
      </c>
      <c r="F813" s="71">
        <v>183.93</v>
      </c>
      <c r="G813" s="71">
        <v>0</v>
      </c>
    </row>
    <row r="814" spans="2:7" x14ac:dyDescent="0.25">
      <c r="B814" s="70">
        <v>43522</v>
      </c>
      <c r="C814" t="s">
        <v>54</v>
      </c>
      <c r="D814" t="s">
        <v>85</v>
      </c>
      <c r="E814" t="s">
        <v>225</v>
      </c>
      <c r="F814" s="71">
        <v>28</v>
      </c>
      <c r="G814" s="71">
        <v>0</v>
      </c>
    </row>
    <row r="815" spans="2:7" x14ac:dyDescent="0.25">
      <c r="B815" s="70">
        <v>43522</v>
      </c>
      <c r="C815" t="s">
        <v>59</v>
      </c>
      <c r="D815" t="s">
        <v>82</v>
      </c>
      <c r="E815" t="s">
        <v>225</v>
      </c>
      <c r="F815" s="71">
        <v>584.82000000000005</v>
      </c>
      <c r="G815" s="71">
        <v>0</v>
      </c>
    </row>
    <row r="816" spans="2:7" x14ac:dyDescent="0.25">
      <c r="B816" s="70">
        <v>43522</v>
      </c>
      <c r="C816" t="s">
        <v>57</v>
      </c>
      <c r="D816" t="s">
        <v>87</v>
      </c>
      <c r="E816" t="s">
        <v>225</v>
      </c>
      <c r="F816" s="71">
        <v>65</v>
      </c>
      <c r="G816" s="71">
        <v>0</v>
      </c>
    </row>
    <row r="817" spans="2:7" x14ac:dyDescent="0.25">
      <c r="B817" s="70">
        <v>43522</v>
      </c>
      <c r="C817" t="s">
        <v>21</v>
      </c>
      <c r="D817" t="s">
        <v>79</v>
      </c>
      <c r="E817" t="s">
        <v>225</v>
      </c>
      <c r="F817" s="71">
        <v>8</v>
      </c>
      <c r="G817" s="71">
        <v>0</v>
      </c>
    </row>
    <row r="818" spans="2:7" x14ac:dyDescent="0.25">
      <c r="B818" s="70">
        <v>43522</v>
      </c>
      <c r="C818" t="s">
        <v>48</v>
      </c>
      <c r="D818" t="s">
        <v>87</v>
      </c>
      <c r="E818" t="s">
        <v>225</v>
      </c>
      <c r="F818" s="71">
        <v>26.25</v>
      </c>
      <c r="G818" s="71">
        <v>0</v>
      </c>
    </row>
    <row r="819" spans="2:7" x14ac:dyDescent="0.25">
      <c r="B819" s="70">
        <v>43522</v>
      </c>
      <c r="C819" t="s">
        <v>48</v>
      </c>
      <c r="D819" t="s">
        <v>86</v>
      </c>
      <c r="E819" t="s">
        <v>225</v>
      </c>
      <c r="F819" s="71">
        <v>56.9</v>
      </c>
      <c r="G819" s="71">
        <v>0</v>
      </c>
    </row>
    <row r="820" spans="2:7" x14ac:dyDescent="0.25">
      <c r="B820" s="70">
        <v>43522</v>
      </c>
      <c r="C820" t="s">
        <v>48</v>
      </c>
      <c r="D820" t="s">
        <v>96</v>
      </c>
      <c r="E820" t="s">
        <v>226</v>
      </c>
      <c r="F820" s="71">
        <v>0</v>
      </c>
      <c r="G820" s="71">
        <v>13600</v>
      </c>
    </row>
    <row r="821" spans="2:7" x14ac:dyDescent="0.25">
      <c r="B821" s="70">
        <v>43522</v>
      </c>
      <c r="C821" t="s">
        <v>48</v>
      </c>
      <c r="D821" t="s">
        <v>82</v>
      </c>
      <c r="E821" t="s">
        <v>225</v>
      </c>
      <c r="F821" s="71">
        <v>366.01</v>
      </c>
      <c r="G821" s="71">
        <v>0</v>
      </c>
    </row>
    <row r="822" spans="2:7" x14ac:dyDescent="0.25">
      <c r="B822" s="70">
        <v>43522</v>
      </c>
      <c r="C822" t="s">
        <v>45</v>
      </c>
      <c r="D822" t="s">
        <v>82</v>
      </c>
      <c r="E822" t="s">
        <v>225</v>
      </c>
      <c r="F822" s="71">
        <v>10.25</v>
      </c>
      <c r="G822" s="71">
        <v>0</v>
      </c>
    </row>
    <row r="823" spans="2:7" x14ac:dyDescent="0.25">
      <c r="B823" s="70">
        <v>43522</v>
      </c>
      <c r="C823" t="s">
        <v>69</v>
      </c>
      <c r="D823" t="s">
        <v>87</v>
      </c>
      <c r="E823" t="s">
        <v>225</v>
      </c>
      <c r="F823" s="71">
        <v>69.900000000000006</v>
      </c>
      <c r="G823" s="71">
        <v>0</v>
      </c>
    </row>
    <row r="824" spans="2:7" x14ac:dyDescent="0.25">
      <c r="B824" s="70">
        <v>43522</v>
      </c>
      <c r="C824" t="s">
        <v>53</v>
      </c>
      <c r="D824" t="s">
        <v>82</v>
      </c>
      <c r="E824" t="s">
        <v>225</v>
      </c>
      <c r="F824" s="71">
        <v>181</v>
      </c>
      <c r="G824" s="71">
        <v>0</v>
      </c>
    </row>
    <row r="825" spans="2:7" x14ac:dyDescent="0.25">
      <c r="B825" s="70">
        <v>43522</v>
      </c>
      <c r="C825" t="s">
        <v>60</v>
      </c>
      <c r="D825" t="s">
        <v>79</v>
      </c>
      <c r="E825" t="s">
        <v>225</v>
      </c>
      <c r="F825" s="71">
        <v>75.5</v>
      </c>
      <c r="G825" s="71">
        <v>0</v>
      </c>
    </row>
    <row r="826" spans="2:7" x14ac:dyDescent="0.25">
      <c r="B826" s="70">
        <v>43523</v>
      </c>
      <c r="C826" t="s">
        <v>25</v>
      </c>
      <c r="D826" t="s">
        <v>85</v>
      </c>
      <c r="E826" t="s">
        <v>227</v>
      </c>
      <c r="F826" s="71">
        <v>47.15</v>
      </c>
      <c r="G826" s="71">
        <v>0</v>
      </c>
    </row>
    <row r="827" spans="2:7" x14ac:dyDescent="0.25">
      <c r="B827" s="70">
        <v>43523</v>
      </c>
      <c r="C827" t="s">
        <v>25</v>
      </c>
      <c r="D827" t="s">
        <v>80</v>
      </c>
      <c r="E827" t="s">
        <v>227</v>
      </c>
      <c r="F827" s="71">
        <v>39.25</v>
      </c>
      <c r="G827" s="71">
        <v>0</v>
      </c>
    </row>
    <row r="828" spans="2:7" x14ac:dyDescent="0.25">
      <c r="B828" s="70">
        <v>43523</v>
      </c>
      <c r="C828" t="s">
        <v>25</v>
      </c>
      <c r="D828" t="s">
        <v>87</v>
      </c>
      <c r="E828" t="s">
        <v>227</v>
      </c>
      <c r="F828" s="71">
        <v>23.98</v>
      </c>
      <c r="G828" s="71">
        <v>0</v>
      </c>
    </row>
    <row r="829" spans="2:7" x14ac:dyDescent="0.25">
      <c r="B829" s="70">
        <v>43523</v>
      </c>
      <c r="C829" t="s">
        <v>25</v>
      </c>
      <c r="D829" t="s">
        <v>81</v>
      </c>
      <c r="E829" t="s">
        <v>150</v>
      </c>
      <c r="F829" s="71">
        <v>28</v>
      </c>
      <c r="G829" s="71">
        <v>0</v>
      </c>
    </row>
    <row r="830" spans="2:7" x14ac:dyDescent="0.25">
      <c r="B830" s="70">
        <v>43523</v>
      </c>
      <c r="C830" t="s">
        <v>25</v>
      </c>
      <c r="D830" t="s">
        <v>82</v>
      </c>
      <c r="E830" t="s">
        <v>227</v>
      </c>
      <c r="F830" s="71">
        <v>51.6</v>
      </c>
      <c r="G830" s="71">
        <v>0</v>
      </c>
    </row>
    <row r="831" spans="2:7" x14ac:dyDescent="0.25">
      <c r="B831" s="70">
        <v>43523</v>
      </c>
      <c r="C831" t="s">
        <v>21</v>
      </c>
      <c r="D831" t="s">
        <v>79</v>
      </c>
      <c r="E831" t="s">
        <v>227</v>
      </c>
      <c r="F831" s="71">
        <v>24</v>
      </c>
      <c r="G831" s="71">
        <v>0</v>
      </c>
    </row>
    <row r="832" spans="2:7" x14ac:dyDescent="0.25">
      <c r="B832" s="70">
        <v>43523</v>
      </c>
      <c r="C832" t="s">
        <v>21</v>
      </c>
      <c r="D832" t="s">
        <v>79</v>
      </c>
      <c r="E832" t="s">
        <v>227</v>
      </c>
      <c r="F832" s="71">
        <v>32</v>
      </c>
      <c r="G832" s="71">
        <v>0</v>
      </c>
    </row>
    <row r="833" spans="2:7" x14ac:dyDescent="0.25">
      <c r="B833" s="70">
        <v>43523</v>
      </c>
      <c r="C833" t="s">
        <v>21</v>
      </c>
      <c r="D833" t="s">
        <v>92</v>
      </c>
      <c r="E833" t="s">
        <v>228</v>
      </c>
      <c r="F833" s="71">
        <v>75.819999999999993</v>
      </c>
      <c r="G833" s="71">
        <v>0</v>
      </c>
    </row>
    <row r="834" spans="2:7" x14ac:dyDescent="0.25">
      <c r="B834" s="70">
        <v>43523</v>
      </c>
      <c r="C834" t="s">
        <v>48</v>
      </c>
      <c r="D834" t="s">
        <v>80</v>
      </c>
      <c r="E834" t="s">
        <v>227</v>
      </c>
      <c r="F834" s="71">
        <v>44</v>
      </c>
      <c r="G834" s="71">
        <v>0</v>
      </c>
    </row>
    <row r="835" spans="2:7" x14ac:dyDescent="0.25">
      <c r="B835" s="70">
        <v>43523</v>
      </c>
      <c r="C835" t="s">
        <v>45</v>
      </c>
      <c r="D835" t="s">
        <v>85</v>
      </c>
      <c r="E835" t="s">
        <v>227</v>
      </c>
      <c r="F835" s="71">
        <v>72</v>
      </c>
      <c r="G835" s="71">
        <v>0</v>
      </c>
    </row>
    <row r="836" spans="2:7" x14ac:dyDescent="0.25">
      <c r="B836" s="70">
        <v>43523</v>
      </c>
      <c r="C836" t="s">
        <v>24</v>
      </c>
      <c r="D836" t="s">
        <v>79</v>
      </c>
      <c r="E836" t="s">
        <v>227</v>
      </c>
      <c r="F836" s="71">
        <v>8</v>
      </c>
      <c r="G836" s="71">
        <v>0</v>
      </c>
    </row>
    <row r="837" spans="2:7" x14ac:dyDescent="0.25">
      <c r="B837" s="70">
        <v>43523</v>
      </c>
      <c r="C837" t="s">
        <v>24</v>
      </c>
      <c r="D837" t="s">
        <v>79</v>
      </c>
      <c r="E837" t="s">
        <v>227</v>
      </c>
      <c r="F837" s="71">
        <v>16</v>
      </c>
      <c r="G837" s="71">
        <v>0</v>
      </c>
    </row>
    <row r="838" spans="2:7" x14ac:dyDescent="0.25">
      <c r="B838" s="70">
        <v>43524</v>
      </c>
      <c r="C838" t="s">
        <v>25</v>
      </c>
      <c r="D838" t="s">
        <v>81</v>
      </c>
      <c r="E838" t="s">
        <v>122</v>
      </c>
      <c r="F838" s="71">
        <v>7.35</v>
      </c>
      <c r="G838" s="71">
        <v>0</v>
      </c>
    </row>
    <row r="839" spans="2:7" x14ac:dyDescent="0.25">
      <c r="B839" s="70">
        <v>43525</v>
      </c>
      <c r="C839" t="s">
        <v>25</v>
      </c>
      <c r="D839" t="s">
        <v>80</v>
      </c>
      <c r="E839" t="s">
        <v>229</v>
      </c>
      <c r="F839" s="71">
        <v>12.9</v>
      </c>
      <c r="G839" s="71">
        <v>0</v>
      </c>
    </row>
    <row r="840" spans="2:7" x14ac:dyDescent="0.25">
      <c r="B840" s="70">
        <v>43525</v>
      </c>
      <c r="C840" t="s">
        <v>25</v>
      </c>
      <c r="D840" t="s">
        <v>80</v>
      </c>
      <c r="E840" t="s">
        <v>229</v>
      </c>
      <c r="F840" s="71">
        <v>47.98</v>
      </c>
      <c r="G840" s="71">
        <v>0</v>
      </c>
    </row>
    <row r="841" spans="2:7" x14ac:dyDescent="0.25">
      <c r="B841" s="70">
        <v>43525</v>
      </c>
      <c r="C841" t="s">
        <v>25</v>
      </c>
      <c r="D841" t="s">
        <v>80</v>
      </c>
      <c r="E841" t="s">
        <v>229</v>
      </c>
      <c r="F841" s="71">
        <v>80</v>
      </c>
      <c r="G841" s="71">
        <v>0</v>
      </c>
    </row>
    <row r="842" spans="2:7" x14ac:dyDescent="0.25">
      <c r="B842" s="70">
        <v>43525</v>
      </c>
      <c r="C842" t="s">
        <v>25</v>
      </c>
      <c r="D842" t="s">
        <v>87</v>
      </c>
      <c r="E842" t="s">
        <v>229</v>
      </c>
      <c r="F842" s="71">
        <v>15.92</v>
      </c>
      <c r="G842" s="71">
        <v>0</v>
      </c>
    </row>
    <row r="843" spans="2:7" x14ac:dyDescent="0.25">
      <c r="B843" s="70">
        <v>43525</v>
      </c>
      <c r="C843" t="s">
        <v>25</v>
      </c>
      <c r="D843" t="s">
        <v>87</v>
      </c>
      <c r="E843" t="s">
        <v>229</v>
      </c>
      <c r="F843" s="71">
        <v>26.15</v>
      </c>
      <c r="G843" s="71">
        <v>0</v>
      </c>
    </row>
    <row r="844" spans="2:7" x14ac:dyDescent="0.25">
      <c r="B844" s="70">
        <v>43525</v>
      </c>
      <c r="C844" t="s">
        <v>25</v>
      </c>
      <c r="D844" t="s">
        <v>87</v>
      </c>
      <c r="E844" t="s">
        <v>229</v>
      </c>
      <c r="F844" s="71">
        <v>59.15</v>
      </c>
      <c r="G844" s="71">
        <v>0</v>
      </c>
    </row>
    <row r="845" spans="2:7" x14ac:dyDescent="0.25">
      <c r="B845" s="70">
        <v>43525</v>
      </c>
      <c r="C845" t="s">
        <v>25</v>
      </c>
      <c r="D845" t="s">
        <v>87</v>
      </c>
      <c r="E845" t="s">
        <v>229</v>
      </c>
      <c r="F845" s="71">
        <v>60.87</v>
      </c>
      <c r="G845" s="71">
        <v>0</v>
      </c>
    </row>
    <row r="846" spans="2:7" x14ac:dyDescent="0.25">
      <c r="B846" s="70">
        <v>43525</v>
      </c>
      <c r="C846" t="s">
        <v>25</v>
      </c>
      <c r="D846" t="s">
        <v>87</v>
      </c>
      <c r="E846" t="s">
        <v>229</v>
      </c>
      <c r="F846" s="71">
        <v>65.44</v>
      </c>
      <c r="G846" s="71">
        <v>0</v>
      </c>
    </row>
    <row r="847" spans="2:7" x14ac:dyDescent="0.25">
      <c r="B847" s="70">
        <v>43525</v>
      </c>
      <c r="C847" t="s">
        <v>25</v>
      </c>
      <c r="D847" t="s">
        <v>81</v>
      </c>
      <c r="E847" t="s">
        <v>150</v>
      </c>
      <c r="F847" s="71">
        <v>14</v>
      </c>
      <c r="G847" s="71">
        <v>0</v>
      </c>
    </row>
    <row r="848" spans="2:7" x14ac:dyDescent="0.25">
      <c r="B848" s="70">
        <v>43525</v>
      </c>
      <c r="C848" t="s">
        <v>25</v>
      </c>
      <c r="D848" t="s">
        <v>81</v>
      </c>
      <c r="E848" t="s">
        <v>164</v>
      </c>
      <c r="F848" s="71">
        <v>18</v>
      </c>
      <c r="G848" s="71">
        <v>0</v>
      </c>
    </row>
    <row r="849" spans="2:7" x14ac:dyDescent="0.25">
      <c r="B849" s="70">
        <v>43525</v>
      </c>
      <c r="C849" t="s">
        <v>54</v>
      </c>
      <c r="D849" t="s">
        <v>80</v>
      </c>
      <c r="E849" t="s">
        <v>229</v>
      </c>
      <c r="F849" s="71">
        <v>71.97</v>
      </c>
      <c r="G849" s="71">
        <v>0</v>
      </c>
    </row>
    <row r="850" spans="2:7" x14ac:dyDescent="0.25">
      <c r="B850" s="70">
        <v>43525</v>
      </c>
      <c r="C850" t="s">
        <v>44</v>
      </c>
      <c r="D850" t="s">
        <v>80</v>
      </c>
      <c r="E850" t="s">
        <v>229</v>
      </c>
      <c r="F850" s="71">
        <v>38.96</v>
      </c>
      <c r="G850" s="71">
        <v>0</v>
      </c>
    </row>
    <row r="851" spans="2:7" x14ac:dyDescent="0.25">
      <c r="B851" s="70">
        <v>43525</v>
      </c>
      <c r="C851" t="s">
        <v>48</v>
      </c>
      <c r="D851" t="s">
        <v>84</v>
      </c>
      <c r="E851" t="s">
        <v>229</v>
      </c>
      <c r="F851" s="71">
        <v>150</v>
      </c>
      <c r="G851" s="71">
        <v>0</v>
      </c>
    </row>
    <row r="852" spans="2:7" x14ac:dyDescent="0.25">
      <c r="B852" s="70">
        <v>43525</v>
      </c>
      <c r="C852" t="s">
        <v>45</v>
      </c>
      <c r="D852" t="s">
        <v>82</v>
      </c>
      <c r="E852" t="s">
        <v>229</v>
      </c>
      <c r="F852" s="71">
        <v>28.95</v>
      </c>
      <c r="G852" s="71">
        <v>0</v>
      </c>
    </row>
    <row r="853" spans="2:7" x14ac:dyDescent="0.25">
      <c r="B853" s="70">
        <v>43525</v>
      </c>
      <c r="C853" t="s">
        <v>49</v>
      </c>
      <c r="D853" t="s">
        <v>84</v>
      </c>
      <c r="E853" t="s">
        <v>229</v>
      </c>
      <c r="F853" s="71">
        <v>150</v>
      </c>
      <c r="G853" s="71">
        <v>0</v>
      </c>
    </row>
    <row r="854" spans="2:7" x14ac:dyDescent="0.25">
      <c r="B854" s="70">
        <v>43525</v>
      </c>
      <c r="C854" t="s">
        <v>50</v>
      </c>
      <c r="D854" t="s">
        <v>84</v>
      </c>
      <c r="E854" t="s">
        <v>229</v>
      </c>
      <c r="F854" s="71">
        <v>1950</v>
      </c>
      <c r="G854" s="71">
        <v>0</v>
      </c>
    </row>
    <row r="855" spans="2:7" x14ac:dyDescent="0.25">
      <c r="B855" s="70">
        <v>43525</v>
      </c>
      <c r="C855" t="s">
        <v>24</v>
      </c>
      <c r="D855" t="s">
        <v>82</v>
      </c>
      <c r="E855" t="s">
        <v>229</v>
      </c>
      <c r="F855" s="71">
        <v>140</v>
      </c>
      <c r="G855" s="71">
        <v>0</v>
      </c>
    </row>
    <row r="856" spans="2:7" x14ac:dyDescent="0.25">
      <c r="B856" s="70">
        <v>43525</v>
      </c>
      <c r="C856" t="s">
        <v>24</v>
      </c>
      <c r="D856" t="s">
        <v>82</v>
      </c>
      <c r="E856" t="s">
        <v>229</v>
      </c>
      <c r="F856" s="71">
        <v>171.6</v>
      </c>
      <c r="G856" s="71">
        <v>0</v>
      </c>
    </row>
    <row r="857" spans="2:7" x14ac:dyDescent="0.25">
      <c r="B857" s="70">
        <v>43526</v>
      </c>
      <c r="C857" t="s">
        <v>25</v>
      </c>
      <c r="D857" t="s">
        <v>81</v>
      </c>
      <c r="E857" t="s">
        <v>161</v>
      </c>
      <c r="F857" s="71">
        <v>52.2</v>
      </c>
      <c r="G857" s="71">
        <v>0</v>
      </c>
    </row>
    <row r="858" spans="2:7" x14ac:dyDescent="0.25">
      <c r="B858" s="70">
        <v>43530</v>
      </c>
      <c r="C858" t="s">
        <v>56</v>
      </c>
      <c r="D858" t="s">
        <v>82</v>
      </c>
      <c r="E858" t="s">
        <v>230</v>
      </c>
      <c r="F858" s="71">
        <v>196.4</v>
      </c>
      <c r="G858" s="71">
        <v>0</v>
      </c>
    </row>
    <row r="859" spans="2:7" x14ac:dyDescent="0.25">
      <c r="B859" s="70">
        <v>43530</v>
      </c>
      <c r="C859" t="s">
        <v>51</v>
      </c>
      <c r="D859" t="s">
        <v>82</v>
      </c>
      <c r="E859" t="s">
        <v>230</v>
      </c>
      <c r="F859" s="71">
        <v>161.44999999999999</v>
      </c>
      <c r="G859" s="71">
        <v>0</v>
      </c>
    </row>
    <row r="860" spans="2:7" x14ac:dyDescent="0.25">
      <c r="B860" s="70">
        <v>43530</v>
      </c>
      <c r="C860" t="s">
        <v>21</v>
      </c>
      <c r="D860" t="s">
        <v>79</v>
      </c>
      <c r="E860" t="s">
        <v>230</v>
      </c>
      <c r="F860" s="71">
        <v>8</v>
      </c>
      <c r="G860" s="71">
        <v>0</v>
      </c>
    </row>
    <row r="861" spans="2:7" x14ac:dyDescent="0.25">
      <c r="B861" s="70">
        <v>43530</v>
      </c>
      <c r="C861" t="s">
        <v>21</v>
      </c>
      <c r="D861" t="s">
        <v>79</v>
      </c>
      <c r="E861" t="s">
        <v>230</v>
      </c>
      <c r="F861" s="71">
        <v>16</v>
      </c>
      <c r="G861" s="71">
        <v>0</v>
      </c>
    </row>
    <row r="862" spans="2:7" x14ac:dyDescent="0.25">
      <c r="B862" s="70">
        <v>43530</v>
      </c>
      <c r="C862" t="s">
        <v>21</v>
      </c>
      <c r="D862" t="s">
        <v>79</v>
      </c>
      <c r="E862" t="s">
        <v>230</v>
      </c>
      <c r="F862" s="71">
        <v>24</v>
      </c>
      <c r="G862" s="71">
        <v>0</v>
      </c>
    </row>
    <row r="863" spans="2:7" x14ac:dyDescent="0.25">
      <c r="B863" s="70">
        <v>43530</v>
      </c>
      <c r="C863" t="s">
        <v>21</v>
      </c>
      <c r="D863" t="s">
        <v>79</v>
      </c>
      <c r="E863" t="s">
        <v>230</v>
      </c>
      <c r="F863" s="71">
        <v>40</v>
      </c>
      <c r="G863" s="71">
        <v>0</v>
      </c>
    </row>
    <row r="864" spans="2:7" x14ac:dyDescent="0.25">
      <c r="B864" s="70">
        <v>43530</v>
      </c>
      <c r="C864" t="s">
        <v>21</v>
      </c>
      <c r="D864" t="s">
        <v>79</v>
      </c>
      <c r="E864" t="s">
        <v>230</v>
      </c>
      <c r="F864" s="71">
        <v>48</v>
      </c>
      <c r="G864" s="71">
        <v>0</v>
      </c>
    </row>
    <row r="865" spans="2:7" x14ac:dyDescent="0.25">
      <c r="B865" s="70">
        <v>43530</v>
      </c>
      <c r="C865" t="s">
        <v>21</v>
      </c>
      <c r="D865" t="s">
        <v>79</v>
      </c>
      <c r="E865" t="s">
        <v>230</v>
      </c>
      <c r="F865" s="71">
        <v>64</v>
      </c>
      <c r="G865" s="71">
        <v>0</v>
      </c>
    </row>
    <row r="866" spans="2:7" x14ac:dyDescent="0.25">
      <c r="B866" s="70">
        <v>43530</v>
      </c>
      <c r="C866" t="s">
        <v>21</v>
      </c>
      <c r="D866" t="s">
        <v>79</v>
      </c>
      <c r="E866" t="s">
        <v>230</v>
      </c>
      <c r="F866" s="71">
        <v>128</v>
      </c>
      <c r="G866" s="71">
        <v>0</v>
      </c>
    </row>
    <row r="867" spans="2:7" x14ac:dyDescent="0.25">
      <c r="B867" s="70">
        <v>43530</v>
      </c>
      <c r="C867" t="s">
        <v>45</v>
      </c>
      <c r="D867" t="s">
        <v>82</v>
      </c>
      <c r="E867" t="s">
        <v>230</v>
      </c>
      <c r="F867" s="71">
        <v>42.5</v>
      </c>
      <c r="G867" s="71">
        <v>0</v>
      </c>
    </row>
    <row r="868" spans="2:7" x14ac:dyDescent="0.25">
      <c r="B868" s="70">
        <v>43530</v>
      </c>
      <c r="C868" t="s">
        <v>50</v>
      </c>
      <c r="D868" t="s">
        <v>85</v>
      </c>
      <c r="E868" t="s">
        <v>230</v>
      </c>
      <c r="F868" s="71">
        <v>88</v>
      </c>
      <c r="G868" s="71">
        <v>0</v>
      </c>
    </row>
    <row r="869" spans="2:7" x14ac:dyDescent="0.25">
      <c r="B869" s="70">
        <v>43530</v>
      </c>
      <c r="C869" t="s">
        <v>50</v>
      </c>
      <c r="D869" t="s">
        <v>82</v>
      </c>
      <c r="E869" t="s">
        <v>230</v>
      </c>
      <c r="F869" s="71">
        <v>21.24</v>
      </c>
      <c r="G869" s="71">
        <v>0</v>
      </c>
    </row>
    <row r="870" spans="2:7" x14ac:dyDescent="0.25">
      <c r="B870" s="70">
        <v>43530</v>
      </c>
      <c r="C870" t="s">
        <v>24</v>
      </c>
      <c r="D870" t="s">
        <v>79</v>
      </c>
      <c r="E870" t="s">
        <v>230</v>
      </c>
      <c r="F870" s="71">
        <v>16</v>
      </c>
      <c r="G870" s="71">
        <v>0</v>
      </c>
    </row>
    <row r="871" spans="2:7" x14ac:dyDescent="0.25">
      <c r="B871" s="70">
        <v>43530</v>
      </c>
      <c r="C871" t="s">
        <v>60</v>
      </c>
      <c r="D871" t="s">
        <v>85</v>
      </c>
      <c r="E871" t="s">
        <v>230</v>
      </c>
      <c r="F871" s="71">
        <v>19.559999999999999</v>
      </c>
      <c r="G871" s="71">
        <v>0</v>
      </c>
    </row>
    <row r="872" spans="2:7" x14ac:dyDescent="0.25">
      <c r="B872" s="70">
        <v>43531</v>
      </c>
      <c r="C872" t="s">
        <v>25</v>
      </c>
      <c r="D872" t="s">
        <v>85</v>
      </c>
      <c r="E872" t="s">
        <v>231</v>
      </c>
      <c r="F872" s="71">
        <v>18</v>
      </c>
      <c r="G872" s="71">
        <v>0</v>
      </c>
    </row>
    <row r="873" spans="2:7" x14ac:dyDescent="0.25">
      <c r="B873" s="70">
        <v>43531</v>
      </c>
      <c r="C873" t="s">
        <v>25</v>
      </c>
      <c r="D873" t="s">
        <v>80</v>
      </c>
      <c r="E873" t="s">
        <v>231</v>
      </c>
      <c r="F873" s="71">
        <v>23.99</v>
      </c>
      <c r="G873" s="71">
        <v>0</v>
      </c>
    </row>
    <row r="874" spans="2:7" x14ac:dyDescent="0.25">
      <c r="B874" s="70">
        <v>43531</v>
      </c>
      <c r="C874" t="s">
        <v>25</v>
      </c>
      <c r="D874" t="s">
        <v>80</v>
      </c>
      <c r="E874" t="s">
        <v>231</v>
      </c>
      <c r="F874" s="71">
        <v>60</v>
      </c>
      <c r="G874" s="71">
        <v>0</v>
      </c>
    </row>
    <row r="875" spans="2:7" x14ac:dyDescent="0.25">
      <c r="B875" s="70">
        <v>43531</v>
      </c>
      <c r="C875" t="s">
        <v>25</v>
      </c>
      <c r="D875" t="s">
        <v>87</v>
      </c>
      <c r="E875" t="s">
        <v>231</v>
      </c>
      <c r="F875" s="71">
        <v>36.450000000000003</v>
      </c>
      <c r="G875" s="71">
        <v>0</v>
      </c>
    </row>
    <row r="876" spans="2:7" x14ac:dyDescent="0.25">
      <c r="B876" s="70">
        <v>43531</v>
      </c>
      <c r="C876" t="s">
        <v>25</v>
      </c>
      <c r="D876" t="s">
        <v>87</v>
      </c>
      <c r="E876" t="s">
        <v>231</v>
      </c>
      <c r="F876" s="71">
        <v>37.68</v>
      </c>
      <c r="G876" s="71">
        <v>0</v>
      </c>
    </row>
    <row r="877" spans="2:7" x14ac:dyDescent="0.25">
      <c r="B877" s="70">
        <v>43531</v>
      </c>
      <c r="C877" t="s">
        <v>25</v>
      </c>
      <c r="D877" t="s">
        <v>87</v>
      </c>
      <c r="E877" t="s">
        <v>231</v>
      </c>
      <c r="F877" s="71">
        <v>63.01</v>
      </c>
      <c r="G877" s="71">
        <v>0</v>
      </c>
    </row>
    <row r="878" spans="2:7" x14ac:dyDescent="0.25">
      <c r="B878" s="70">
        <v>43531</v>
      </c>
      <c r="C878" t="s">
        <v>25</v>
      </c>
      <c r="D878" t="s">
        <v>87</v>
      </c>
      <c r="E878" t="s">
        <v>231</v>
      </c>
      <c r="F878" s="71">
        <v>86.12</v>
      </c>
      <c r="G878" s="71">
        <v>0</v>
      </c>
    </row>
    <row r="879" spans="2:7" x14ac:dyDescent="0.25">
      <c r="B879" s="70">
        <v>43531</v>
      </c>
      <c r="C879" t="s">
        <v>25</v>
      </c>
      <c r="D879" t="s">
        <v>81</v>
      </c>
      <c r="E879" t="s">
        <v>135</v>
      </c>
      <c r="F879" s="71">
        <v>3.15</v>
      </c>
      <c r="G879" s="71">
        <v>0</v>
      </c>
    </row>
    <row r="880" spans="2:7" x14ac:dyDescent="0.25">
      <c r="B880" s="70">
        <v>43531</v>
      </c>
      <c r="C880" t="s">
        <v>25</v>
      </c>
      <c r="D880" t="s">
        <v>81</v>
      </c>
      <c r="E880" t="s">
        <v>139</v>
      </c>
      <c r="F880" s="71">
        <v>3</v>
      </c>
      <c r="G880" s="71">
        <v>0</v>
      </c>
    </row>
    <row r="881" spans="2:7" x14ac:dyDescent="0.25">
      <c r="B881" s="70">
        <v>43531</v>
      </c>
      <c r="C881" t="s">
        <v>25</v>
      </c>
      <c r="D881" t="s">
        <v>81</v>
      </c>
      <c r="E881" t="s">
        <v>140</v>
      </c>
      <c r="F881" s="71">
        <v>1.8</v>
      </c>
      <c r="G881" s="71">
        <v>0</v>
      </c>
    </row>
    <row r="882" spans="2:7" x14ac:dyDescent="0.25">
      <c r="B882" s="70">
        <v>43531</v>
      </c>
      <c r="C882" t="s">
        <v>47</v>
      </c>
      <c r="D882" t="s">
        <v>80</v>
      </c>
      <c r="E882" t="s">
        <v>231</v>
      </c>
      <c r="F882" s="71">
        <v>57.09</v>
      </c>
      <c r="G882" s="71">
        <v>0</v>
      </c>
    </row>
    <row r="883" spans="2:7" x14ac:dyDescent="0.25">
      <c r="B883" s="70">
        <v>43531</v>
      </c>
      <c r="C883" t="s">
        <v>47</v>
      </c>
      <c r="D883" t="s">
        <v>86</v>
      </c>
      <c r="E883" t="s">
        <v>231</v>
      </c>
      <c r="F883" s="71">
        <v>40</v>
      </c>
      <c r="G883" s="71">
        <v>0</v>
      </c>
    </row>
    <row r="884" spans="2:7" x14ac:dyDescent="0.25">
      <c r="B884" s="70">
        <v>43531</v>
      </c>
      <c r="C884" t="s">
        <v>21</v>
      </c>
      <c r="D884" t="s">
        <v>79</v>
      </c>
      <c r="E884" t="s">
        <v>231</v>
      </c>
      <c r="F884" s="71">
        <v>32</v>
      </c>
      <c r="G884" s="71">
        <v>0</v>
      </c>
    </row>
    <row r="885" spans="2:7" x14ac:dyDescent="0.25">
      <c r="B885" s="70">
        <v>43531</v>
      </c>
      <c r="C885" t="s">
        <v>21</v>
      </c>
      <c r="D885" t="s">
        <v>79</v>
      </c>
      <c r="E885" t="s">
        <v>231</v>
      </c>
      <c r="F885" s="71">
        <v>64</v>
      </c>
      <c r="G885" s="71">
        <v>0</v>
      </c>
    </row>
    <row r="886" spans="2:7" x14ac:dyDescent="0.25">
      <c r="B886" s="70">
        <v>43531</v>
      </c>
      <c r="C886" t="s">
        <v>21</v>
      </c>
      <c r="D886" t="s">
        <v>79</v>
      </c>
      <c r="E886" t="s">
        <v>231</v>
      </c>
      <c r="F886" s="71">
        <v>80</v>
      </c>
      <c r="G886" s="71">
        <v>0</v>
      </c>
    </row>
    <row r="887" spans="2:7" x14ac:dyDescent="0.25">
      <c r="B887" s="70">
        <v>43531</v>
      </c>
      <c r="C887" t="s">
        <v>48</v>
      </c>
      <c r="D887" t="s">
        <v>82</v>
      </c>
      <c r="E887" t="s">
        <v>231</v>
      </c>
      <c r="F887" s="71">
        <v>195.57</v>
      </c>
      <c r="G887" s="71">
        <v>0</v>
      </c>
    </row>
    <row r="888" spans="2:7" x14ac:dyDescent="0.25">
      <c r="B888" s="70">
        <v>43531</v>
      </c>
      <c r="C888" t="s">
        <v>49</v>
      </c>
      <c r="D888" t="s">
        <v>82</v>
      </c>
      <c r="E888" t="s">
        <v>231</v>
      </c>
      <c r="F888" s="71">
        <v>53</v>
      </c>
      <c r="G888" s="71">
        <v>0</v>
      </c>
    </row>
    <row r="889" spans="2:7" x14ac:dyDescent="0.25">
      <c r="B889" s="70">
        <v>43531</v>
      </c>
      <c r="C889" t="s">
        <v>53</v>
      </c>
      <c r="D889" t="s">
        <v>85</v>
      </c>
      <c r="E889" t="s">
        <v>231</v>
      </c>
      <c r="F889" s="71">
        <v>255.93</v>
      </c>
      <c r="G889" s="71">
        <v>0</v>
      </c>
    </row>
    <row r="890" spans="2:7" x14ac:dyDescent="0.25">
      <c r="B890" s="70">
        <v>43531</v>
      </c>
      <c r="C890" t="s">
        <v>53</v>
      </c>
      <c r="D890" t="s">
        <v>82</v>
      </c>
      <c r="E890" t="s">
        <v>231</v>
      </c>
      <c r="F890" s="71">
        <v>176</v>
      </c>
      <c r="G890" s="71">
        <v>0</v>
      </c>
    </row>
    <row r="891" spans="2:7" x14ac:dyDescent="0.25">
      <c r="B891" s="70">
        <v>43531</v>
      </c>
      <c r="C891" t="s">
        <v>24</v>
      </c>
      <c r="D891" t="s">
        <v>79</v>
      </c>
      <c r="E891" t="s">
        <v>231</v>
      </c>
      <c r="F891" s="71">
        <v>8</v>
      </c>
      <c r="G891" s="71">
        <v>0</v>
      </c>
    </row>
    <row r="892" spans="2:7" x14ac:dyDescent="0.25">
      <c r="B892" s="70">
        <v>43532</v>
      </c>
      <c r="C892" t="s">
        <v>25</v>
      </c>
      <c r="D892" t="s">
        <v>85</v>
      </c>
      <c r="E892" t="s">
        <v>232</v>
      </c>
      <c r="F892" s="71">
        <v>24.7</v>
      </c>
      <c r="G892" s="71">
        <v>0</v>
      </c>
    </row>
    <row r="893" spans="2:7" x14ac:dyDescent="0.25">
      <c r="B893" s="70">
        <v>43532</v>
      </c>
      <c r="C893" t="s">
        <v>25</v>
      </c>
      <c r="D893" t="s">
        <v>81</v>
      </c>
      <c r="E893" t="s">
        <v>122</v>
      </c>
      <c r="F893" s="71">
        <v>14.7</v>
      </c>
      <c r="G893" s="71">
        <v>0</v>
      </c>
    </row>
    <row r="894" spans="2:7" x14ac:dyDescent="0.25">
      <c r="B894" s="70">
        <v>43532</v>
      </c>
      <c r="C894" t="s">
        <v>25</v>
      </c>
      <c r="D894" t="s">
        <v>81</v>
      </c>
      <c r="E894" t="s">
        <v>195</v>
      </c>
      <c r="F894" s="71">
        <v>26</v>
      </c>
      <c r="G894" s="71">
        <v>0</v>
      </c>
    </row>
    <row r="895" spans="2:7" x14ac:dyDescent="0.25">
      <c r="B895" s="70">
        <v>43532</v>
      </c>
      <c r="C895" t="s">
        <v>25</v>
      </c>
      <c r="D895" t="s">
        <v>81</v>
      </c>
      <c r="E895" t="s">
        <v>191</v>
      </c>
      <c r="F895" s="71">
        <v>3.5</v>
      </c>
      <c r="G895" s="71">
        <v>0</v>
      </c>
    </row>
    <row r="896" spans="2:7" x14ac:dyDescent="0.25">
      <c r="B896" s="70">
        <v>43532</v>
      </c>
      <c r="C896" t="s">
        <v>25</v>
      </c>
      <c r="D896" t="s">
        <v>82</v>
      </c>
      <c r="E896" t="s">
        <v>232</v>
      </c>
      <c r="F896" s="71">
        <v>42</v>
      </c>
      <c r="G896" s="71">
        <v>0</v>
      </c>
    </row>
    <row r="897" spans="2:7" x14ac:dyDescent="0.25">
      <c r="B897" s="70">
        <v>43532</v>
      </c>
      <c r="C897" t="s">
        <v>46</v>
      </c>
      <c r="D897" t="s">
        <v>82</v>
      </c>
      <c r="E897" t="s">
        <v>232</v>
      </c>
      <c r="F897" s="71">
        <v>9.1999999999999993</v>
      </c>
      <c r="G897" s="71">
        <v>0</v>
      </c>
    </row>
    <row r="898" spans="2:7" x14ac:dyDescent="0.25">
      <c r="B898" s="70">
        <v>43532</v>
      </c>
      <c r="C898" t="s">
        <v>51</v>
      </c>
      <c r="D898" t="s">
        <v>82</v>
      </c>
      <c r="E898" t="s">
        <v>232</v>
      </c>
      <c r="F898" s="71">
        <v>98.1</v>
      </c>
      <c r="G898" s="71">
        <v>0</v>
      </c>
    </row>
    <row r="899" spans="2:7" x14ac:dyDescent="0.25">
      <c r="B899" s="70">
        <v>43532</v>
      </c>
      <c r="C899" t="s">
        <v>21</v>
      </c>
      <c r="D899" t="s">
        <v>79</v>
      </c>
      <c r="E899" t="s">
        <v>232</v>
      </c>
      <c r="F899" s="71">
        <v>16</v>
      </c>
      <c r="G899" s="71">
        <v>0</v>
      </c>
    </row>
    <row r="900" spans="2:7" x14ac:dyDescent="0.25">
      <c r="B900" s="70">
        <v>43532</v>
      </c>
      <c r="C900" t="s">
        <v>21</v>
      </c>
      <c r="D900" t="s">
        <v>79</v>
      </c>
      <c r="E900" t="s">
        <v>232</v>
      </c>
      <c r="F900" s="71">
        <v>24</v>
      </c>
      <c r="G900" s="71">
        <v>0</v>
      </c>
    </row>
    <row r="901" spans="2:7" x14ac:dyDescent="0.25">
      <c r="B901" s="70">
        <v>43532</v>
      </c>
      <c r="C901" t="s">
        <v>21</v>
      </c>
      <c r="D901" t="s">
        <v>79</v>
      </c>
      <c r="E901" t="s">
        <v>232</v>
      </c>
      <c r="F901" s="71">
        <v>96</v>
      </c>
      <c r="G901" s="71">
        <v>0</v>
      </c>
    </row>
    <row r="902" spans="2:7" x14ac:dyDescent="0.25">
      <c r="B902" s="70">
        <v>43532</v>
      </c>
      <c r="C902" t="s">
        <v>66</v>
      </c>
      <c r="D902" t="s">
        <v>82</v>
      </c>
      <c r="E902" t="s">
        <v>232</v>
      </c>
      <c r="F902" s="71">
        <v>24</v>
      </c>
      <c r="G902" s="71">
        <v>0</v>
      </c>
    </row>
    <row r="903" spans="2:7" x14ac:dyDescent="0.25">
      <c r="B903" s="70">
        <v>43532</v>
      </c>
      <c r="C903" t="s">
        <v>58</v>
      </c>
      <c r="D903" t="s">
        <v>82</v>
      </c>
      <c r="E903" t="s">
        <v>232</v>
      </c>
      <c r="F903">
        <v>24</v>
      </c>
      <c r="G903" s="71">
        <v>0</v>
      </c>
    </row>
    <row r="904" spans="2:7" x14ac:dyDescent="0.25">
      <c r="B904" s="70">
        <v>43532</v>
      </c>
      <c r="C904" t="s">
        <v>24</v>
      </c>
      <c r="D904" t="s">
        <v>79</v>
      </c>
      <c r="E904" t="s">
        <v>232</v>
      </c>
      <c r="F904" s="71">
        <v>16</v>
      </c>
      <c r="G904" s="71">
        <v>0</v>
      </c>
    </row>
    <row r="905" spans="2:7" x14ac:dyDescent="0.25">
      <c r="B905" s="70">
        <v>43533</v>
      </c>
      <c r="C905" t="s">
        <v>25</v>
      </c>
      <c r="D905" t="s">
        <v>80</v>
      </c>
      <c r="E905" t="s">
        <v>233</v>
      </c>
      <c r="F905" s="71">
        <v>23.99</v>
      </c>
      <c r="G905" s="71">
        <v>0</v>
      </c>
    </row>
    <row r="906" spans="2:7" x14ac:dyDescent="0.25">
      <c r="B906" s="70">
        <v>43533</v>
      </c>
      <c r="C906" t="s">
        <v>25</v>
      </c>
      <c r="D906" t="s">
        <v>80</v>
      </c>
      <c r="E906" t="s">
        <v>233</v>
      </c>
      <c r="F906" s="71">
        <v>40.75</v>
      </c>
      <c r="G906" s="71">
        <v>0</v>
      </c>
    </row>
    <row r="907" spans="2:7" x14ac:dyDescent="0.25">
      <c r="B907" s="70">
        <v>43533</v>
      </c>
      <c r="C907" t="s">
        <v>25</v>
      </c>
      <c r="D907" t="s">
        <v>87</v>
      </c>
      <c r="E907" t="s">
        <v>233</v>
      </c>
      <c r="F907" s="71">
        <v>21.2</v>
      </c>
      <c r="G907" s="71">
        <v>0</v>
      </c>
    </row>
    <row r="908" spans="2:7" x14ac:dyDescent="0.25">
      <c r="B908" s="70">
        <v>43533</v>
      </c>
      <c r="C908" t="s">
        <v>25</v>
      </c>
      <c r="D908" t="s">
        <v>87</v>
      </c>
      <c r="E908" t="s">
        <v>233</v>
      </c>
      <c r="F908" s="71">
        <v>32.049999999999997</v>
      </c>
      <c r="G908" s="71">
        <v>0</v>
      </c>
    </row>
    <row r="909" spans="2:7" x14ac:dyDescent="0.25">
      <c r="B909" s="70">
        <v>43533</v>
      </c>
      <c r="C909" t="s">
        <v>25</v>
      </c>
      <c r="D909" t="s">
        <v>87</v>
      </c>
      <c r="E909" t="s">
        <v>233</v>
      </c>
      <c r="F909" s="71">
        <v>36.590000000000003</v>
      </c>
      <c r="G909" s="71">
        <v>0</v>
      </c>
    </row>
    <row r="910" spans="2:7" x14ac:dyDescent="0.25">
      <c r="B910" s="70">
        <v>43533</v>
      </c>
      <c r="C910" t="s">
        <v>25</v>
      </c>
      <c r="D910" t="s">
        <v>81</v>
      </c>
      <c r="E910" t="s">
        <v>164</v>
      </c>
      <c r="F910" s="71">
        <v>18</v>
      </c>
      <c r="G910" s="71">
        <v>0</v>
      </c>
    </row>
    <row r="911" spans="2:7" x14ac:dyDescent="0.25">
      <c r="B911" s="70">
        <v>43533</v>
      </c>
      <c r="C911" t="s">
        <v>25</v>
      </c>
      <c r="D911" t="s">
        <v>81</v>
      </c>
      <c r="E911" t="s">
        <v>140</v>
      </c>
      <c r="F911" s="71">
        <v>2.4</v>
      </c>
      <c r="G911" s="71">
        <v>0</v>
      </c>
    </row>
    <row r="912" spans="2:7" x14ac:dyDescent="0.25">
      <c r="B912" s="70">
        <v>43533</v>
      </c>
      <c r="C912" t="s">
        <v>25</v>
      </c>
      <c r="D912" t="s">
        <v>97</v>
      </c>
      <c r="E912" t="s">
        <v>234</v>
      </c>
      <c r="F912" s="71">
        <v>21.27</v>
      </c>
      <c r="G912" s="71">
        <v>0</v>
      </c>
    </row>
    <row r="913" spans="2:7" x14ac:dyDescent="0.25">
      <c r="B913" s="70">
        <v>43533</v>
      </c>
      <c r="C913" t="s">
        <v>25</v>
      </c>
      <c r="D913" t="s">
        <v>97</v>
      </c>
      <c r="E913" t="s">
        <v>234</v>
      </c>
      <c r="F913" s="71">
        <v>32.450000000000003</v>
      </c>
      <c r="G913" s="71">
        <v>0</v>
      </c>
    </row>
    <row r="914" spans="2:7" x14ac:dyDescent="0.25">
      <c r="B914" s="70">
        <v>43533</v>
      </c>
      <c r="C914" t="s">
        <v>25</v>
      </c>
      <c r="D914" t="s">
        <v>97</v>
      </c>
      <c r="E914" t="s">
        <v>234</v>
      </c>
      <c r="F914" s="71">
        <v>37.57</v>
      </c>
      <c r="G914" s="71">
        <v>0</v>
      </c>
    </row>
    <row r="915" spans="2:7" x14ac:dyDescent="0.25">
      <c r="B915" s="70">
        <v>43533</v>
      </c>
      <c r="C915" t="s">
        <v>25</v>
      </c>
      <c r="D915" t="s">
        <v>97</v>
      </c>
      <c r="E915" t="s">
        <v>234</v>
      </c>
      <c r="F915" s="71">
        <v>41.44</v>
      </c>
      <c r="G915" s="71">
        <v>0</v>
      </c>
    </row>
    <row r="916" spans="2:7" x14ac:dyDescent="0.25">
      <c r="B916" s="70">
        <v>43533</v>
      </c>
      <c r="C916" t="s">
        <v>25</v>
      </c>
      <c r="D916" t="s">
        <v>97</v>
      </c>
      <c r="E916" t="s">
        <v>234</v>
      </c>
      <c r="F916" s="71">
        <v>42.17</v>
      </c>
      <c r="G916" s="71">
        <v>0</v>
      </c>
    </row>
    <row r="917" spans="2:7" x14ac:dyDescent="0.25">
      <c r="B917" s="70">
        <v>43533</v>
      </c>
      <c r="C917" t="s">
        <v>25</v>
      </c>
      <c r="D917" t="s">
        <v>97</v>
      </c>
      <c r="E917" t="s">
        <v>234</v>
      </c>
      <c r="F917" s="71">
        <v>88.26</v>
      </c>
      <c r="G917" s="71">
        <v>0</v>
      </c>
    </row>
    <row r="918" spans="2:7" x14ac:dyDescent="0.25">
      <c r="B918" s="70">
        <v>43533</v>
      </c>
      <c r="C918" t="s">
        <v>25</v>
      </c>
      <c r="D918" t="s">
        <v>97</v>
      </c>
      <c r="E918" t="s">
        <v>234</v>
      </c>
      <c r="F918" s="71">
        <v>127.17</v>
      </c>
      <c r="G918" s="71">
        <v>0</v>
      </c>
    </row>
    <row r="919" spans="2:7" x14ac:dyDescent="0.25">
      <c r="B919" s="70">
        <v>43533</v>
      </c>
      <c r="C919" t="s">
        <v>54</v>
      </c>
      <c r="D919" t="s">
        <v>97</v>
      </c>
      <c r="E919" t="s">
        <v>234</v>
      </c>
      <c r="F919" s="71">
        <v>1232.6199999999999</v>
      </c>
      <c r="G919" s="71">
        <v>0</v>
      </c>
    </row>
    <row r="920" spans="2:7" x14ac:dyDescent="0.25">
      <c r="B920" s="70">
        <v>43533</v>
      </c>
      <c r="C920" t="s">
        <v>43</v>
      </c>
      <c r="D920" t="s">
        <v>86</v>
      </c>
      <c r="E920" t="s">
        <v>233</v>
      </c>
      <c r="F920" s="71">
        <v>796.5</v>
      </c>
      <c r="G920" s="71">
        <v>0</v>
      </c>
    </row>
    <row r="921" spans="2:7" x14ac:dyDescent="0.25">
      <c r="B921" s="70">
        <v>43533</v>
      </c>
      <c r="C921" t="s">
        <v>21</v>
      </c>
      <c r="D921" t="s">
        <v>97</v>
      </c>
      <c r="E921" t="s">
        <v>234</v>
      </c>
      <c r="F921" s="71">
        <v>6.56</v>
      </c>
      <c r="G921" s="71">
        <v>0</v>
      </c>
    </row>
    <row r="922" spans="2:7" x14ac:dyDescent="0.25">
      <c r="B922" s="70">
        <v>43533</v>
      </c>
      <c r="C922" t="s">
        <v>21</v>
      </c>
      <c r="D922" t="s">
        <v>97</v>
      </c>
      <c r="E922" t="s">
        <v>234</v>
      </c>
      <c r="F922" s="71">
        <v>9.5</v>
      </c>
      <c r="G922" s="71">
        <v>0</v>
      </c>
    </row>
    <row r="923" spans="2:7" x14ac:dyDescent="0.25">
      <c r="B923" s="70">
        <v>43533</v>
      </c>
      <c r="C923" t="s">
        <v>21</v>
      </c>
      <c r="D923" t="s">
        <v>97</v>
      </c>
      <c r="E923" t="s">
        <v>234</v>
      </c>
      <c r="F923" s="71">
        <v>24.81</v>
      </c>
      <c r="G923" s="71">
        <v>0</v>
      </c>
    </row>
    <row r="924" spans="2:7" x14ac:dyDescent="0.25">
      <c r="B924" s="70">
        <v>43533</v>
      </c>
      <c r="C924" t="s">
        <v>21</v>
      </c>
      <c r="D924" t="s">
        <v>97</v>
      </c>
      <c r="E924" t="s">
        <v>234</v>
      </c>
      <c r="F924" s="71">
        <v>29.99</v>
      </c>
      <c r="G924" s="71">
        <v>0</v>
      </c>
    </row>
    <row r="925" spans="2:7" x14ac:dyDescent="0.25">
      <c r="B925" s="70">
        <v>43533</v>
      </c>
      <c r="C925" t="s">
        <v>21</v>
      </c>
      <c r="D925" t="s">
        <v>97</v>
      </c>
      <c r="E925" t="s">
        <v>234</v>
      </c>
      <c r="F925" s="71">
        <v>59.91</v>
      </c>
      <c r="G925" s="71">
        <v>0</v>
      </c>
    </row>
    <row r="926" spans="2:7" x14ac:dyDescent="0.25">
      <c r="B926" s="70">
        <v>43533</v>
      </c>
      <c r="C926" t="s">
        <v>21</v>
      </c>
      <c r="D926" t="s">
        <v>97</v>
      </c>
      <c r="E926" t="s">
        <v>234</v>
      </c>
      <c r="F926" s="71">
        <v>98.19</v>
      </c>
      <c r="G926" s="71">
        <v>0</v>
      </c>
    </row>
    <row r="927" spans="2:7" x14ac:dyDescent="0.25">
      <c r="B927" s="70">
        <v>43533</v>
      </c>
      <c r="C927" t="s">
        <v>21</v>
      </c>
      <c r="D927" t="s">
        <v>97</v>
      </c>
      <c r="E927" t="s">
        <v>234</v>
      </c>
      <c r="F927" s="71">
        <v>105.88</v>
      </c>
      <c r="G927" s="71">
        <v>0</v>
      </c>
    </row>
    <row r="928" spans="2:7" x14ac:dyDescent="0.25">
      <c r="B928" s="70">
        <v>43533</v>
      </c>
      <c r="C928" t="s">
        <v>21</v>
      </c>
      <c r="D928" t="s">
        <v>97</v>
      </c>
      <c r="E928" t="s">
        <v>234</v>
      </c>
      <c r="F928" s="71">
        <v>131.81</v>
      </c>
      <c r="G928" s="71">
        <v>0</v>
      </c>
    </row>
    <row r="929" spans="2:7" x14ac:dyDescent="0.25">
      <c r="B929" s="70">
        <v>43533</v>
      </c>
      <c r="C929" t="s">
        <v>21</v>
      </c>
      <c r="D929" t="s">
        <v>97</v>
      </c>
      <c r="E929" t="s">
        <v>234</v>
      </c>
      <c r="F929" s="71">
        <v>132.91</v>
      </c>
      <c r="G929" s="71">
        <v>0</v>
      </c>
    </row>
    <row r="930" spans="2:7" x14ac:dyDescent="0.25">
      <c r="B930" s="70">
        <v>43533</v>
      </c>
      <c r="C930" t="s">
        <v>21</v>
      </c>
      <c r="D930" t="s">
        <v>97</v>
      </c>
      <c r="E930" t="s">
        <v>234</v>
      </c>
      <c r="F930" s="71">
        <v>181.12</v>
      </c>
      <c r="G930" s="71">
        <v>0</v>
      </c>
    </row>
    <row r="931" spans="2:7" x14ac:dyDescent="0.25">
      <c r="B931" s="70">
        <v>43533</v>
      </c>
      <c r="C931" t="s">
        <v>21</v>
      </c>
      <c r="D931" t="s">
        <v>97</v>
      </c>
      <c r="E931" t="s">
        <v>234</v>
      </c>
      <c r="F931" s="71">
        <v>199.74</v>
      </c>
      <c r="G931" s="71">
        <v>0</v>
      </c>
    </row>
    <row r="932" spans="2:7" x14ac:dyDescent="0.25">
      <c r="B932" s="70">
        <v>43533</v>
      </c>
      <c r="C932" t="s">
        <v>21</v>
      </c>
      <c r="D932" t="s">
        <v>97</v>
      </c>
      <c r="E932" t="s">
        <v>234</v>
      </c>
      <c r="F932" s="71">
        <v>247.68</v>
      </c>
      <c r="G932" s="71">
        <v>0</v>
      </c>
    </row>
    <row r="933" spans="2:7" x14ac:dyDescent="0.25">
      <c r="B933" s="70">
        <v>43533</v>
      </c>
      <c r="C933" t="s">
        <v>21</v>
      </c>
      <c r="D933" t="s">
        <v>97</v>
      </c>
      <c r="E933" t="s">
        <v>234</v>
      </c>
      <c r="F933" s="71">
        <v>256.25</v>
      </c>
      <c r="G933" s="71">
        <v>0</v>
      </c>
    </row>
    <row r="934" spans="2:7" x14ac:dyDescent="0.25">
      <c r="B934" s="70">
        <v>43533</v>
      </c>
      <c r="C934" t="s">
        <v>21</v>
      </c>
      <c r="D934" t="s">
        <v>97</v>
      </c>
      <c r="E934" t="s">
        <v>234</v>
      </c>
      <c r="F934" s="71">
        <v>258.82</v>
      </c>
      <c r="G934" s="71">
        <v>0</v>
      </c>
    </row>
    <row r="935" spans="2:7" x14ac:dyDescent="0.25">
      <c r="B935" s="70">
        <v>43533</v>
      </c>
      <c r="C935" t="s">
        <v>21</v>
      </c>
      <c r="D935" t="s">
        <v>97</v>
      </c>
      <c r="E935" t="s">
        <v>234</v>
      </c>
      <c r="F935" s="71">
        <v>261.7</v>
      </c>
      <c r="G935" s="71">
        <v>0</v>
      </c>
    </row>
    <row r="936" spans="2:7" x14ac:dyDescent="0.25">
      <c r="B936" s="70">
        <v>43533</v>
      </c>
      <c r="C936" t="s">
        <v>21</v>
      </c>
      <c r="D936" t="s">
        <v>97</v>
      </c>
      <c r="E936" t="s">
        <v>234</v>
      </c>
      <c r="F936" s="71">
        <v>277.94</v>
      </c>
      <c r="G936" s="71">
        <v>0</v>
      </c>
    </row>
    <row r="937" spans="2:7" x14ac:dyDescent="0.25">
      <c r="B937" s="70">
        <v>43533</v>
      </c>
      <c r="C937" t="s">
        <v>21</v>
      </c>
      <c r="D937" t="s">
        <v>97</v>
      </c>
      <c r="E937" t="s">
        <v>234</v>
      </c>
      <c r="F937" s="71">
        <v>297.5</v>
      </c>
      <c r="G937" s="71">
        <v>0</v>
      </c>
    </row>
    <row r="938" spans="2:7" x14ac:dyDescent="0.25">
      <c r="B938" s="70">
        <v>43533</v>
      </c>
      <c r="C938" t="s">
        <v>21</v>
      </c>
      <c r="D938" t="s">
        <v>97</v>
      </c>
      <c r="E938" t="s">
        <v>234</v>
      </c>
      <c r="F938" s="71">
        <v>371.73</v>
      </c>
      <c r="G938" s="71">
        <v>0</v>
      </c>
    </row>
    <row r="939" spans="2:7" x14ac:dyDescent="0.25">
      <c r="B939" s="70">
        <v>43533</v>
      </c>
      <c r="C939" t="s">
        <v>21</v>
      </c>
      <c r="D939" t="s">
        <v>97</v>
      </c>
      <c r="E939" t="s">
        <v>234</v>
      </c>
      <c r="F939" s="71">
        <v>474.74</v>
      </c>
      <c r="G939" s="71">
        <v>0</v>
      </c>
    </row>
    <row r="940" spans="2:7" x14ac:dyDescent="0.25">
      <c r="B940" s="70">
        <v>43533</v>
      </c>
      <c r="C940" t="s">
        <v>21</v>
      </c>
      <c r="D940" t="s">
        <v>97</v>
      </c>
      <c r="E940" t="s">
        <v>234</v>
      </c>
      <c r="F940" s="71">
        <v>480.58</v>
      </c>
      <c r="G940" s="71">
        <v>0</v>
      </c>
    </row>
    <row r="941" spans="2:7" x14ac:dyDescent="0.25">
      <c r="B941" s="70">
        <v>43533</v>
      </c>
      <c r="C941" t="s">
        <v>21</v>
      </c>
      <c r="D941" t="s">
        <v>97</v>
      </c>
      <c r="E941" t="s">
        <v>234</v>
      </c>
      <c r="F941" s="71">
        <v>708.43</v>
      </c>
      <c r="G941" s="71">
        <v>0</v>
      </c>
    </row>
    <row r="942" spans="2:7" x14ac:dyDescent="0.25">
      <c r="B942" s="70">
        <v>43533</v>
      </c>
      <c r="C942" t="s">
        <v>21</v>
      </c>
      <c r="D942" t="s">
        <v>97</v>
      </c>
      <c r="E942" t="s">
        <v>234</v>
      </c>
      <c r="F942" s="71">
        <v>827.43</v>
      </c>
      <c r="G942" s="71">
        <v>0</v>
      </c>
    </row>
    <row r="943" spans="2:7" x14ac:dyDescent="0.25">
      <c r="B943" s="70">
        <v>43533</v>
      </c>
      <c r="C943" t="s">
        <v>21</v>
      </c>
      <c r="D943" t="s">
        <v>97</v>
      </c>
      <c r="E943" t="s">
        <v>234</v>
      </c>
      <c r="F943" s="71">
        <v>976.58</v>
      </c>
      <c r="G943" s="71">
        <v>0</v>
      </c>
    </row>
    <row r="944" spans="2:7" x14ac:dyDescent="0.25">
      <c r="B944" s="70">
        <v>43533</v>
      </c>
      <c r="C944" t="s">
        <v>21</v>
      </c>
      <c r="D944" t="s">
        <v>97</v>
      </c>
      <c r="E944" t="s">
        <v>234</v>
      </c>
      <c r="F944" s="71">
        <v>1090.04</v>
      </c>
      <c r="G944" s="71">
        <v>0</v>
      </c>
    </row>
    <row r="945" spans="2:7" x14ac:dyDescent="0.25">
      <c r="B945" s="70">
        <v>43533</v>
      </c>
      <c r="C945" t="s">
        <v>21</v>
      </c>
      <c r="D945" t="s">
        <v>97</v>
      </c>
      <c r="E945" t="s">
        <v>234</v>
      </c>
      <c r="F945" s="71">
        <v>1181.26</v>
      </c>
      <c r="G945" s="71">
        <v>0</v>
      </c>
    </row>
    <row r="946" spans="2:7" x14ac:dyDescent="0.25">
      <c r="B946" s="70">
        <v>43533</v>
      </c>
      <c r="C946" t="s">
        <v>49</v>
      </c>
      <c r="D946" t="s">
        <v>97</v>
      </c>
      <c r="E946" t="s">
        <v>234</v>
      </c>
      <c r="F946" s="71">
        <v>305.36</v>
      </c>
      <c r="G946" s="71">
        <v>0</v>
      </c>
    </row>
    <row r="947" spans="2:7" x14ac:dyDescent="0.25">
      <c r="B947" s="70">
        <v>43533</v>
      </c>
      <c r="C947" t="s">
        <v>50</v>
      </c>
      <c r="D947" t="s">
        <v>87</v>
      </c>
      <c r="E947" t="s">
        <v>233</v>
      </c>
      <c r="F947" s="71">
        <v>167.84</v>
      </c>
      <c r="G947" s="71">
        <v>0</v>
      </c>
    </row>
    <row r="948" spans="2:7" x14ac:dyDescent="0.25">
      <c r="B948" s="70">
        <v>43533</v>
      </c>
      <c r="C948" t="s">
        <v>50</v>
      </c>
      <c r="D948" t="s">
        <v>97</v>
      </c>
      <c r="E948" t="s">
        <v>234</v>
      </c>
      <c r="F948" s="71">
        <v>444.29</v>
      </c>
      <c r="G948" s="71">
        <v>0</v>
      </c>
    </row>
    <row r="949" spans="2:7" x14ac:dyDescent="0.25">
      <c r="B949" s="70">
        <v>43533</v>
      </c>
      <c r="C949" t="s">
        <v>52</v>
      </c>
      <c r="D949" t="s">
        <v>97</v>
      </c>
      <c r="E949" t="s">
        <v>234</v>
      </c>
      <c r="F949" s="71">
        <v>259.77</v>
      </c>
      <c r="G949" s="71">
        <v>0</v>
      </c>
    </row>
    <row r="950" spans="2:7" x14ac:dyDescent="0.25">
      <c r="B950" s="70">
        <v>43533</v>
      </c>
      <c r="C950" t="s">
        <v>53</v>
      </c>
      <c r="D950" t="s">
        <v>97</v>
      </c>
      <c r="E950" t="s">
        <v>234</v>
      </c>
      <c r="F950" s="71">
        <v>86.5</v>
      </c>
      <c r="G950" s="71">
        <v>0</v>
      </c>
    </row>
    <row r="951" spans="2:7" x14ac:dyDescent="0.25">
      <c r="B951" s="70">
        <v>43533</v>
      </c>
      <c r="C951" t="s">
        <v>67</v>
      </c>
      <c r="D951" t="s">
        <v>82</v>
      </c>
      <c r="E951" t="s">
        <v>233</v>
      </c>
      <c r="F951" s="71">
        <v>150</v>
      </c>
      <c r="G951" s="71">
        <v>0</v>
      </c>
    </row>
    <row r="952" spans="2:7" x14ac:dyDescent="0.25">
      <c r="B952" s="70">
        <v>43533</v>
      </c>
      <c r="C952" t="s">
        <v>24</v>
      </c>
      <c r="D952" t="s">
        <v>97</v>
      </c>
      <c r="E952" t="s">
        <v>234</v>
      </c>
      <c r="F952" s="71">
        <v>12.27</v>
      </c>
      <c r="G952" s="71">
        <v>0</v>
      </c>
    </row>
    <row r="953" spans="2:7" x14ac:dyDescent="0.25">
      <c r="B953" s="70">
        <v>43533</v>
      </c>
      <c r="C953" t="s">
        <v>24</v>
      </c>
      <c r="D953" t="s">
        <v>97</v>
      </c>
      <c r="E953" t="s">
        <v>234</v>
      </c>
      <c r="F953" s="71">
        <v>12.49</v>
      </c>
      <c r="G953" s="71">
        <v>0</v>
      </c>
    </row>
    <row r="954" spans="2:7" x14ac:dyDescent="0.25">
      <c r="B954" s="70">
        <v>43533</v>
      </c>
      <c r="C954" t="s">
        <v>24</v>
      </c>
      <c r="D954" t="s">
        <v>97</v>
      </c>
      <c r="E954" t="s">
        <v>234</v>
      </c>
      <c r="F954" s="71">
        <v>14.14</v>
      </c>
      <c r="G954" s="71">
        <v>0</v>
      </c>
    </row>
    <row r="955" spans="2:7" x14ac:dyDescent="0.25">
      <c r="B955" s="70">
        <v>43533</v>
      </c>
      <c r="C955" t="s">
        <v>24</v>
      </c>
      <c r="D955" t="s">
        <v>97</v>
      </c>
      <c r="E955" t="s">
        <v>234</v>
      </c>
      <c r="F955" s="71">
        <v>15.93</v>
      </c>
      <c r="G955" s="71">
        <v>0</v>
      </c>
    </row>
    <row r="956" spans="2:7" x14ac:dyDescent="0.25">
      <c r="B956" s="70">
        <v>43533</v>
      </c>
      <c r="C956" t="s">
        <v>24</v>
      </c>
      <c r="D956" t="s">
        <v>97</v>
      </c>
      <c r="E956" t="s">
        <v>234</v>
      </c>
      <c r="F956" s="71">
        <v>17.7</v>
      </c>
      <c r="G956" s="71">
        <v>0</v>
      </c>
    </row>
    <row r="957" spans="2:7" x14ac:dyDescent="0.25">
      <c r="B957" s="70">
        <v>43533</v>
      </c>
      <c r="C957" t="s">
        <v>24</v>
      </c>
      <c r="D957" t="s">
        <v>97</v>
      </c>
      <c r="E957" t="s">
        <v>234</v>
      </c>
      <c r="F957" s="71">
        <v>20.75</v>
      </c>
      <c r="G957" s="71">
        <v>0</v>
      </c>
    </row>
    <row r="958" spans="2:7" x14ac:dyDescent="0.25">
      <c r="B958" s="70">
        <v>43533</v>
      </c>
      <c r="C958" t="s">
        <v>24</v>
      </c>
      <c r="D958" t="s">
        <v>97</v>
      </c>
      <c r="E958" t="s">
        <v>234</v>
      </c>
      <c r="F958" s="71">
        <v>26.84</v>
      </c>
      <c r="G958" s="71">
        <v>0</v>
      </c>
    </row>
    <row r="959" spans="2:7" x14ac:dyDescent="0.25">
      <c r="B959" s="70">
        <v>43533</v>
      </c>
      <c r="C959" t="s">
        <v>24</v>
      </c>
      <c r="D959" t="s">
        <v>97</v>
      </c>
      <c r="E959" t="s">
        <v>234</v>
      </c>
      <c r="F959" s="71">
        <v>28.12</v>
      </c>
      <c r="G959" s="71">
        <v>0</v>
      </c>
    </row>
    <row r="960" spans="2:7" x14ac:dyDescent="0.25">
      <c r="B960" s="70">
        <v>43533</v>
      </c>
      <c r="C960" t="s">
        <v>24</v>
      </c>
      <c r="D960" t="s">
        <v>97</v>
      </c>
      <c r="E960" t="s">
        <v>234</v>
      </c>
      <c r="F960" s="71">
        <v>38.9</v>
      </c>
      <c r="G960" s="71">
        <v>0</v>
      </c>
    </row>
    <row r="961" spans="2:7" x14ac:dyDescent="0.25">
      <c r="B961" s="70">
        <v>43533</v>
      </c>
      <c r="C961" t="s">
        <v>24</v>
      </c>
      <c r="D961" t="s">
        <v>97</v>
      </c>
      <c r="E961" t="s">
        <v>234</v>
      </c>
      <c r="F961" s="71">
        <v>48.03</v>
      </c>
      <c r="G961" s="71">
        <v>0</v>
      </c>
    </row>
    <row r="962" spans="2:7" x14ac:dyDescent="0.25">
      <c r="B962" s="70">
        <v>43533</v>
      </c>
      <c r="C962" t="s">
        <v>24</v>
      </c>
      <c r="D962" t="s">
        <v>97</v>
      </c>
      <c r="E962" t="s">
        <v>234</v>
      </c>
      <c r="F962" s="71">
        <v>49.31</v>
      </c>
      <c r="G962" s="71">
        <v>0</v>
      </c>
    </row>
    <row r="963" spans="2:7" x14ac:dyDescent="0.25">
      <c r="B963" s="70">
        <v>43533</v>
      </c>
      <c r="C963" t="s">
        <v>24</v>
      </c>
      <c r="D963" t="s">
        <v>97</v>
      </c>
      <c r="E963" t="s">
        <v>234</v>
      </c>
      <c r="F963" s="71">
        <v>61.2</v>
      </c>
      <c r="G963" s="71">
        <v>0</v>
      </c>
    </row>
    <row r="964" spans="2:7" x14ac:dyDescent="0.25">
      <c r="B964" s="70">
        <v>43535</v>
      </c>
      <c r="C964" t="s">
        <v>25</v>
      </c>
      <c r="D964" t="s">
        <v>80</v>
      </c>
      <c r="E964" t="s">
        <v>235</v>
      </c>
      <c r="F964" s="71">
        <v>0</v>
      </c>
      <c r="G964" s="71">
        <v>136</v>
      </c>
    </row>
    <row r="965" spans="2:7" x14ac:dyDescent="0.25">
      <c r="B965" s="70">
        <v>43535</v>
      </c>
      <c r="C965" t="s">
        <v>25</v>
      </c>
      <c r="D965" t="s">
        <v>81</v>
      </c>
      <c r="E965" t="s">
        <v>207</v>
      </c>
      <c r="F965" s="71">
        <v>4.2</v>
      </c>
      <c r="G965" s="71">
        <v>0</v>
      </c>
    </row>
    <row r="966" spans="2:7" x14ac:dyDescent="0.25">
      <c r="B966" s="70">
        <v>43535</v>
      </c>
      <c r="C966" t="s">
        <v>25</v>
      </c>
      <c r="D966" t="s">
        <v>81</v>
      </c>
      <c r="E966" t="s">
        <v>164</v>
      </c>
      <c r="F966" s="71">
        <v>18</v>
      </c>
      <c r="G966" s="71">
        <v>0</v>
      </c>
    </row>
    <row r="967" spans="2:7" x14ac:dyDescent="0.25">
      <c r="B967" s="70">
        <v>43535</v>
      </c>
      <c r="C967" t="s">
        <v>25</v>
      </c>
      <c r="D967" t="s">
        <v>81</v>
      </c>
      <c r="E967" t="s">
        <v>140</v>
      </c>
      <c r="F967" s="71">
        <v>1.8</v>
      </c>
      <c r="G967" s="71">
        <v>0</v>
      </c>
    </row>
    <row r="968" spans="2:7" x14ac:dyDescent="0.25">
      <c r="B968" s="70">
        <v>43535</v>
      </c>
      <c r="C968" t="s">
        <v>25</v>
      </c>
      <c r="D968" t="s">
        <v>81</v>
      </c>
      <c r="E968" t="s">
        <v>154</v>
      </c>
      <c r="F968" s="71">
        <v>2.25</v>
      </c>
      <c r="G968" s="71">
        <v>0</v>
      </c>
    </row>
    <row r="969" spans="2:7" x14ac:dyDescent="0.25">
      <c r="B969" s="70">
        <v>43535</v>
      </c>
      <c r="C969" t="s">
        <v>46</v>
      </c>
      <c r="D969" t="s">
        <v>82</v>
      </c>
      <c r="E969" t="s">
        <v>235</v>
      </c>
      <c r="F969" s="71">
        <v>22.3</v>
      </c>
      <c r="G969" s="71">
        <v>0</v>
      </c>
    </row>
    <row r="970" spans="2:7" x14ac:dyDescent="0.25">
      <c r="B970" s="70">
        <v>43535</v>
      </c>
      <c r="C970" t="s">
        <v>56</v>
      </c>
      <c r="D970" t="s">
        <v>82</v>
      </c>
      <c r="E970" t="s">
        <v>235</v>
      </c>
      <c r="F970" s="71">
        <v>93.11</v>
      </c>
      <c r="G970" s="71">
        <v>0</v>
      </c>
    </row>
    <row r="971" spans="2:7" x14ac:dyDescent="0.25">
      <c r="B971" s="70">
        <v>43535</v>
      </c>
      <c r="C971" t="s">
        <v>43</v>
      </c>
      <c r="D971" t="s">
        <v>91</v>
      </c>
      <c r="E971" t="s">
        <v>235</v>
      </c>
      <c r="F971" s="71">
        <v>127.57</v>
      </c>
      <c r="G971" s="71">
        <v>0</v>
      </c>
    </row>
    <row r="972" spans="2:7" x14ac:dyDescent="0.25">
      <c r="B972" s="70">
        <v>43535</v>
      </c>
      <c r="C972" t="s">
        <v>21</v>
      </c>
      <c r="D972" t="s">
        <v>79</v>
      </c>
      <c r="E972" t="s">
        <v>235</v>
      </c>
      <c r="F972" s="71">
        <v>8</v>
      </c>
      <c r="G972" s="71">
        <v>0</v>
      </c>
    </row>
    <row r="973" spans="2:7" x14ac:dyDescent="0.25">
      <c r="B973" s="70">
        <v>43535</v>
      </c>
      <c r="C973" t="s">
        <v>21</v>
      </c>
      <c r="D973" t="s">
        <v>79</v>
      </c>
      <c r="E973" t="s">
        <v>235</v>
      </c>
      <c r="F973" s="71">
        <v>16</v>
      </c>
      <c r="G973" s="71">
        <v>0</v>
      </c>
    </row>
    <row r="974" spans="2:7" x14ac:dyDescent="0.25">
      <c r="B974" s="70">
        <v>43535</v>
      </c>
      <c r="C974" t="s">
        <v>21</v>
      </c>
      <c r="D974" t="s">
        <v>79</v>
      </c>
      <c r="E974" t="s">
        <v>235</v>
      </c>
      <c r="F974" s="71">
        <v>24</v>
      </c>
      <c r="G974" s="71">
        <v>0</v>
      </c>
    </row>
    <row r="975" spans="2:7" x14ac:dyDescent="0.25">
      <c r="B975" s="70">
        <v>43535</v>
      </c>
      <c r="C975" t="s">
        <v>21</v>
      </c>
      <c r="D975" t="s">
        <v>79</v>
      </c>
      <c r="E975" t="s">
        <v>235</v>
      </c>
      <c r="F975" s="71">
        <v>40</v>
      </c>
      <c r="G975" s="71">
        <v>0</v>
      </c>
    </row>
    <row r="976" spans="2:7" x14ac:dyDescent="0.25">
      <c r="B976" s="70">
        <v>43535</v>
      </c>
      <c r="C976" t="s">
        <v>21</v>
      </c>
      <c r="D976" t="s">
        <v>79</v>
      </c>
      <c r="E976" t="s">
        <v>235</v>
      </c>
      <c r="F976" s="71">
        <v>56</v>
      </c>
      <c r="G976" s="71">
        <v>0</v>
      </c>
    </row>
    <row r="977" spans="2:7" x14ac:dyDescent="0.25">
      <c r="B977" s="70">
        <v>43535</v>
      </c>
      <c r="C977" t="s">
        <v>21</v>
      </c>
      <c r="D977" t="s">
        <v>79</v>
      </c>
      <c r="E977" t="s">
        <v>235</v>
      </c>
      <c r="F977" s="71">
        <v>80</v>
      </c>
      <c r="G977" s="71">
        <v>0</v>
      </c>
    </row>
    <row r="978" spans="2:7" x14ac:dyDescent="0.25">
      <c r="B978" s="70">
        <v>43535</v>
      </c>
      <c r="C978" t="s">
        <v>21</v>
      </c>
      <c r="D978" t="s">
        <v>82</v>
      </c>
      <c r="E978" t="s">
        <v>235</v>
      </c>
      <c r="F978" s="71">
        <v>139.19999999999999</v>
      </c>
      <c r="G978" s="71">
        <v>0</v>
      </c>
    </row>
    <row r="979" spans="2:7" x14ac:dyDescent="0.25">
      <c r="B979" s="70">
        <v>43535</v>
      </c>
      <c r="C979" t="s">
        <v>49</v>
      </c>
      <c r="D979" t="s">
        <v>82</v>
      </c>
      <c r="E979" t="s">
        <v>235</v>
      </c>
      <c r="F979" s="71">
        <v>8</v>
      </c>
      <c r="G979" s="71">
        <v>0</v>
      </c>
    </row>
    <row r="980" spans="2:7" x14ac:dyDescent="0.25">
      <c r="B980" s="70">
        <v>43535</v>
      </c>
      <c r="C980" t="s">
        <v>50</v>
      </c>
      <c r="D980" t="s">
        <v>82</v>
      </c>
      <c r="E980" t="s">
        <v>235</v>
      </c>
      <c r="F980" s="71">
        <v>5.22</v>
      </c>
      <c r="G980" s="71">
        <v>0</v>
      </c>
    </row>
    <row r="981" spans="2:7" x14ac:dyDescent="0.25">
      <c r="B981" s="70">
        <v>43535</v>
      </c>
      <c r="C981" t="s">
        <v>24</v>
      </c>
      <c r="D981" t="s">
        <v>79</v>
      </c>
      <c r="E981" t="s">
        <v>235</v>
      </c>
      <c r="F981" s="71">
        <v>8</v>
      </c>
      <c r="G981" s="71">
        <v>0</v>
      </c>
    </row>
    <row r="982" spans="2:7" x14ac:dyDescent="0.25">
      <c r="B982" s="70">
        <v>43535</v>
      </c>
      <c r="C982" t="s">
        <v>24</v>
      </c>
      <c r="D982" t="s">
        <v>82</v>
      </c>
      <c r="E982" t="s">
        <v>235</v>
      </c>
      <c r="F982" s="71">
        <v>6.3</v>
      </c>
      <c r="G982" s="71">
        <v>0</v>
      </c>
    </row>
    <row r="983" spans="2:7" x14ac:dyDescent="0.25">
      <c r="B983" s="70">
        <v>43536</v>
      </c>
      <c r="C983" t="s">
        <v>25</v>
      </c>
      <c r="D983" t="s">
        <v>79</v>
      </c>
      <c r="E983" t="s">
        <v>236</v>
      </c>
      <c r="F983" s="71">
        <v>8</v>
      </c>
      <c r="G983" s="71">
        <v>0</v>
      </c>
    </row>
    <row r="984" spans="2:7" x14ac:dyDescent="0.25">
      <c r="B984" s="70">
        <v>43536</v>
      </c>
      <c r="C984" t="s">
        <v>25</v>
      </c>
      <c r="D984" t="s">
        <v>80</v>
      </c>
      <c r="E984" t="s">
        <v>236</v>
      </c>
      <c r="F984" s="71">
        <v>15.91</v>
      </c>
      <c r="G984" s="71">
        <v>0</v>
      </c>
    </row>
    <row r="985" spans="2:7" x14ac:dyDescent="0.25">
      <c r="B985" s="70">
        <v>43536</v>
      </c>
      <c r="C985" t="s">
        <v>25</v>
      </c>
      <c r="D985" t="s">
        <v>80</v>
      </c>
      <c r="E985" t="s">
        <v>236</v>
      </c>
      <c r="F985" s="71">
        <v>37.979999999999997</v>
      </c>
      <c r="G985" s="71">
        <v>0</v>
      </c>
    </row>
    <row r="986" spans="2:7" x14ac:dyDescent="0.25">
      <c r="B986" s="70">
        <v>43536</v>
      </c>
      <c r="C986" t="s">
        <v>25</v>
      </c>
      <c r="D986" t="s">
        <v>80</v>
      </c>
      <c r="E986" t="s">
        <v>236</v>
      </c>
      <c r="F986" s="71">
        <v>47.25</v>
      </c>
      <c r="G986" s="71">
        <v>0</v>
      </c>
    </row>
    <row r="987" spans="2:7" x14ac:dyDescent="0.25">
      <c r="B987" s="70">
        <v>43536</v>
      </c>
      <c r="C987" t="s">
        <v>25</v>
      </c>
      <c r="D987" t="s">
        <v>80</v>
      </c>
      <c r="E987" t="s">
        <v>236</v>
      </c>
      <c r="F987" s="71">
        <v>156.4</v>
      </c>
      <c r="G987" s="71">
        <v>0</v>
      </c>
    </row>
    <row r="988" spans="2:7" x14ac:dyDescent="0.25">
      <c r="B988" s="70">
        <v>43536</v>
      </c>
      <c r="C988" t="s">
        <v>25</v>
      </c>
      <c r="D988" t="s">
        <v>80</v>
      </c>
      <c r="E988" t="s">
        <v>236</v>
      </c>
      <c r="F988" s="71">
        <v>272</v>
      </c>
      <c r="G988" s="71">
        <v>0</v>
      </c>
    </row>
    <row r="989" spans="2:7" x14ac:dyDescent="0.25">
      <c r="B989" s="70">
        <v>43536</v>
      </c>
      <c r="C989" t="s">
        <v>25</v>
      </c>
      <c r="D989" t="s">
        <v>87</v>
      </c>
      <c r="E989" t="s">
        <v>236</v>
      </c>
      <c r="F989" s="71">
        <v>18</v>
      </c>
      <c r="G989" s="71">
        <v>0</v>
      </c>
    </row>
    <row r="990" spans="2:7" x14ac:dyDescent="0.25">
      <c r="B990" s="70">
        <v>43536</v>
      </c>
      <c r="C990" t="s">
        <v>25</v>
      </c>
      <c r="D990" t="s">
        <v>87</v>
      </c>
      <c r="E990" t="s">
        <v>236</v>
      </c>
      <c r="F990" s="71">
        <v>19.95</v>
      </c>
      <c r="G990" s="71">
        <v>0</v>
      </c>
    </row>
    <row r="991" spans="2:7" x14ac:dyDescent="0.25">
      <c r="B991" s="70">
        <v>43536</v>
      </c>
      <c r="C991" t="s">
        <v>25</v>
      </c>
      <c r="D991" t="s">
        <v>87</v>
      </c>
      <c r="E991" t="s">
        <v>236</v>
      </c>
      <c r="F991" s="71">
        <v>26.75</v>
      </c>
      <c r="G991" s="71">
        <v>0</v>
      </c>
    </row>
    <row r="992" spans="2:7" x14ac:dyDescent="0.25">
      <c r="B992" s="70">
        <v>43536</v>
      </c>
      <c r="C992" t="s">
        <v>25</v>
      </c>
      <c r="D992" t="s">
        <v>87</v>
      </c>
      <c r="E992" t="s">
        <v>236</v>
      </c>
      <c r="F992" s="71">
        <v>50.45</v>
      </c>
      <c r="G992" s="71">
        <v>0</v>
      </c>
    </row>
    <row r="993" spans="2:7" x14ac:dyDescent="0.25">
      <c r="B993" s="70">
        <v>43536</v>
      </c>
      <c r="C993" t="s">
        <v>25</v>
      </c>
      <c r="D993" t="s">
        <v>87</v>
      </c>
      <c r="E993" t="s">
        <v>236</v>
      </c>
      <c r="F993" s="71">
        <v>112.85</v>
      </c>
      <c r="G993" s="71">
        <v>0</v>
      </c>
    </row>
    <row r="994" spans="2:7" x14ac:dyDescent="0.25">
      <c r="B994" s="70">
        <v>43536</v>
      </c>
      <c r="C994" t="s">
        <v>25</v>
      </c>
      <c r="D994" t="s">
        <v>81</v>
      </c>
      <c r="E994" t="s">
        <v>139</v>
      </c>
      <c r="F994" s="71">
        <v>1.8</v>
      </c>
      <c r="G994" s="71">
        <v>0</v>
      </c>
    </row>
    <row r="995" spans="2:7" x14ac:dyDescent="0.25">
      <c r="B995" s="70">
        <v>43536</v>
      </c>
      <c r="C995" t="s">
        <v>25</v>
      </c>
      <c r="D995" t="s">
        <v>81</v>
      </c>
      <c r="E995" t="s">
        <v>237</v>
      </c>
      <c r="F995" s="71">
        <v>2.1</v>
      </c>
      <c r="G995" s="71">
        <v>0</v>
      </c>
    </row>
    <row r="996" spans="2:7" x14ac:dyDescent="0.25">
      <c r="B996" s="70">
        <v>43536</v>
      </c>
      <c r="C996" t="s">
        <v>25</v>
      </c>
      <c r="D996" t="s">
        <v>81</v>
      </c>
      <c r="E996" t="s">
        <v>199</v>
      </c>
      <c r="F996" s="71">
        <v>3.15</v>
      </c>
      <c r="G996" s="71">
        <v>0</v>
      </c>
    </row>
    <row r="997" spans="2:7" x14ac:dyDescent="0.25">
      <c r="B997" s="70">
        <v>43536</v>
      </c>
      <c r="C997" t="s">
        <v>25</v>
      </c>
      <c r="D997" t="s">
        <v>81</v>
      </c>
      <c r="E997" t="s">
        <v>127</v>
      </c>
      <c r="F997" s="71">
        <v>3</v>
      </c>
      <c r="G997" s="71">
        <v>0</v>
      </c>
    </row>
    <row r="998" spans="2:7" x14ac:dyDescent="0.25">
      <c r="B998" s="70">
        <v>43536</v>
      </c>
      <c r="C998" t="s">
        <v>25</v>
      </c>
      <c r="D998" t="s">
        <v>81</v>
      </c>
      <c r="E998" t="s">
        <v>133</v>
      </c>
      <c r="F998">
        <v>3</v>
      </c>
      <c r="G998" s="71">
        <v>0</v>
      </c>
    </row>
    <row r="999" spans="2:7" x14ac:dyDescent="0.25">
      <c r="B999" s="70">
        <v>43536</v>
      </c>
      <c r="C999" t="s">
        <v>54</v>
      </c>
      <c r="D999" t="s">
        <v>79</v>
      </c>
      <c r="E999" t="s">
        <v>236</v>
      </c>
      <c r="F999" s="71">
        <v>41.16</v>
      </c>
      <c r="G999" s="71">
        <v>0</v>
      </c>
    </row>
    <row r="1000" spans="2:7" x14ac:dyDescent="0.25">
      <c r="B1000" s="70">
        <v>43536</v>
      </c>
      <c r="C1000" t="s">
        <v>54</v>
      </c>
      <c r="D1000" t="s">
        <v>85</v>
      </c>
      <c r="E1000" t="s">
        <v>236</v>
      </c>
      <c r="F1000" s="71">
        <v>41.97</v>
      </c>
      <c r="G1000" s="71">
        <v>0</v>
      </c>
    </row>
    <row r="1001" spans="2:7" x14ac:dyDescent="0.25">
      <c r="B1001" s="70">
        <v>43536</v>
      </c>
      <c r="C1001" t="s">
        <v>54</v>
      </c>
      <c r="D1001" t="s">
        <v>80</v>
      </c>
      <c r="E1001" t="s">
        <v>236</v>
      </c>
      <c r="F1001" s="71">
        <v>158.16999999999999</v>
      </c>
      <c r="G1001" s="71">
        <v>0</v>
      </c>
    </row>
    <row r="1002" spans="2:7" x14ac:dyDescent="0.25">
      <c r="B1002" s="70">
        <v>43536</v>
      </c>
      <c r="C1002" t="s">
        <v>59</v>
      </c>
      <c r="D1002" t="s">
        <v>79</v>
      </c>
      <c r="E1002" t="s">
        <v>236</v>
      </c>
      <c r="F1002" s="71">
        <v>121.95</v>
      </c>
      <c r="G1002" s="71">
        <v>0</v>
      </c>
    </row>
    <row r="1003" spans="2:7" x14ac:dyDescent="0.25">
      <c r="B1003" s="70">
        <v>43536</v>
      </c>
      <c r="C1003" t="s">
        <v>56</v>
      </c>
      <c r="D1003" t="s">
        <v>82</v>
      </c>
      <c r="E1003" t="s">
        <v>236</v>
      </c>
      <c r="F1003" s="71">
        <v>32</v>
      </c>
      <c r="G1003" s="71">
        <v>0</v>
      </c>
    </row>
    <row r="1004" spans="2:7" x14ac:dyDescent="0.25">
      <c r="B1004" s="70">
        <v>43536</v>
      </c>
      <c r="C1004" t="s">
        <v>47</v>
      </c>
      <c r="D1004" t="s">
        <v>86</v>
      </c>
      <c r="E1004" t="s">
        <v>236</v>
      </c>
      <c r="F1004" s="71">
        <v>631.71</v>
      </c>
      <c r="G1004" s="71">
        <v>0</v>
      </c>
    </row>
    <row r="1005" spans="2:7" x14ac:dyDescent="0.25">
      <c r="B1005" s="70">
        <v>43536</v>
      </c>
      <c r="C1005" t="s">
        <v>43</v>
      </c>
      <c r="D1005" t="s">
        <v>82</v>
      </c>
      <c r="E1005" t="s">
        <v>236</v>
      </c>
      <c r="F1005" s="71">
        <v>382.02</v>
      </c>
      <c r="G1005" s="71">
        <v>0</v>
      </c>
    </row>
    <row r="1006" spans="2:7" x14ac:dyDescent="0.25">
      <c r="B1006" s="70">
        <v>43536</v>
      </c>
      <c r="C1006" t="s">
        <v>21</v>
      </c>
      <c r="D1006" t="s">
        <v>79</v>
      </c>
      <c r="E1006" t="s">
        <v>236</v>
      </c>
      <c r="F1006" s="71">
        <v>8</v>
      </c>
      <c r="G1006" s="71">
        <v>0</v>
      </c>
    </row>
    <row r="1007" spans="2:7" x14ac:dyDescent="0.25">
      <c r="B1007" s="70">
        <v>43536</v>
      </c>
      <c r="C1007" t="s">
        <v>21</v>
      </c>
      <c r="D1007" t="s">
        <v>79</v>
      </c>
      <c r="E1007" t="s">
        <v>236</v>
      </c>
      <c r="F1007" s="71">
        <v>16</v>
      </c>
      <c r="G1007" s="71">
        <v>0</v>
      </c>
    </row>
    <row r="1008" spans="2:7" x14ac:dyDescent="0.25">
      <c r="B1008" s="70">
        <v>43536</v>
      </c>
      <c r="C1008" t="s">
        <v>21</v>
      </c>
      <c r="D1008" t="s">
        <v>79</v>
      </c>
      <c r="E1008" t="s">
        <v>236</v>
      </c>
      <c r="F1008" s="71">
        <v>24</v>
      </c>
      <c r="G1008" s="71">
        <v>0</v>
      </c>
    </row>
    <row r="1009" spans="2:7" x14ac:dyDescent="0.25">
      <c r="B1009" s="70">
        <v>43536</v>
      </c>
      <c r="C1009" t="s">
        <v>21</v>
      </c>
      <c r="D1009" t="s">
        <v>79</v>
      </c>
      <c r="E1009" t="s">
        <v>236</v>
      </c>
      <c r="F1009" s="71">
        <v>32</v>
      </c>
      <c r="G1009" s="71">
        <v>0</v>
      </c>
    </row>
    <row r="1010" spans="2:7" x14ac:dyDescent="0.25">
      <c r="B1010" s="70">
        <v>43536</v>
      </c>
      <c r="C1010" t="s">
        <v>21</v>
      </c>
      <c r="D1010" t="s">
        <v>79</v>
      </c>
      <c r="E1010" t="s">
        <v>236</v>
      </c>
      <c r="F1010" s="71">
        <v>56</v>
      </c>
      <c r="G1010" s="71">
        <v>0</v>
      </c>
    </row>
    <row r="1011" spans="2:7" x14ac:dyDescent="0.25">
      <c r="B1011" s="70">
        <v>43536</v>
      </c>
      <c r="C1011" t="s">
        <v>48</v>
      </c>
      <c r="D1011" t="s">
        <v>79</v>
      </c>
      <c r="E1011" t="s">
        <v>236</v>
      </c>
      <c r="F1011" s="71">
        <v>40</v>
      </c>
      <c r="G1011" s="71">
        <v>0</v>
      </c>
    </row>
    <row r="1012" spans="2:7" x14ac:dyDescent="0.25">
      <c r="B1012" s="70">
        <v>43536</v>
      </c>
      <c r="C1012" t="s">
        <v>45</v>
      </c>
      <c r="D1012" t="s">
        <v>82</v>
      </c>
      <c r="E1012" t="s">
        <v>236</v>
      </c>
      <c r="F1012" s="71">
        <v>436</v>
      </c>
      <c r="G1012" s="71">
        <v>0</v>
      </c>
    </row>
    <row r="1013" spans="2:7" x14ac:dyDescent="0.25">
      <c r="B1013" s="70">
        <v>43536</v>
      </c>
      <c r="C1013" t="s">
        <v>49</v>
      </c>
      <c r="D1013" t="s">
        <v>98</v>
      </c>
      <c r="E1013" t="s">
        <v>238</v>
      </c>
      <c r="F1013" s="71">
        <v>158.78</v>
      </c>
      <c r="G1013" s="71">
        <v>0</v>
      </c>
    </row>
    <row r="1014" spans="2:7" x14ac:dyDescent="0.25">
      <c r="B1014" s="70">
        <v>43536</v>
      </c>
      <c r="C1014" t="s">
        <v>50</v>
      </c>
      <c r="D1014" t="s">
        <v>85</v>
      </c>
      <c r="E1014" t="s">
        <v>236</v>
      </c>
      <c r="F1014" s="71">
        <v>12.95</v>
      </c>
      <c r="G1014" s="71">
        <v>0</v>
      </c>
    </row>
    <row r="1015" spans="2:7" x14ac:dyDescent="0.25">
      <c r="B1015" s="70">
        <v>43536</v>
      </c>
      <c r="C1015" t="s">
        <v>58</v>
      </c>
      <c r="D1015" t="s">
        <v>79</v>
      </c>
      <c r="E1015" t="s">
        <v>236</v>
      </c>
      <c r="F1015" s="71">
        <v>10</v>
      </c>
      <c r="G1015" s="71">
        <v>0</v>
      </c>
    </row>
    <row r="1016" spans="2:7" x14ac:dyDescent="0.25">
      <c r="B1016" s="70">
        <v>43536</v>
      </c>
      <c r="C1016" t="s">
        <v>24</v>
      </c>
      <c r="D1016" t="s">
        <v>79</v>
      </c>
      <c r="E1016" t="s">
        <v>236</v>
      </c>
      <c r="F1016" s="71">
        <v>8</v>
      </c>
      <c r="G1016" s="71">
        <v>0</v>
      </c>
    </row>
    <row r="1017" spans="2:7" x14ac:dyDescent="0.25">
      <c r="B1017" s="70">
        <v>43537</v>
      </c>
      <c r="C1017" t="s">
        <v>25</v>
      </c>
      <c r="D1017" t="s">
        <v>80</v>
      </c>
      <c r="E1017" t="s">
        <v>239</v>
      </c>
      <c r="F1017" s="71">
        <v>67.16</v>
      </c>
      <c r="G1017" s="71">
        <v>0</v>
      </c>
    </row>
    <row r="1018" spans="2:7" x14ac:dyDescent="0.25">
      <c r="B1018" s="70">
        <v>43537</v>
      </c>
      <c r="C1018" t="s">
        <v>25</v>
      </c>
      <c r="D1018" t="s">
        <v>87</v>
      </c>
      <c r="E1018" t="s">
        <v>239</v>
      </c>
      <c r="F1018" s="71">
        <v>32.75</v>
      </c>
      <c r="G1018" s="71">
        <v>0</v>
      </c>
    </row>
    <row r="1019" spans="2:7" x14ac:dyDescent="0.25">
      <c r="B1019" s="70">
        <v>43537</v>
      </c>
      <c r="C1019" t="s">
        <v>25</v>
      </c>
      <c r="D1019" t="s">
        <v>87</v>
      </c>
      <c r="E1019" t="s">
        <v>239</v>
      </c>
      <c r="F1019" s="71">
        <v>114.05</v>
      </c>
      <c r="G1019" s="71">
        <v>0</v>
      </c>
    </row>
    <row r="1020" spans="2:7" x14ac:dyDescent="0.25">
      <c r="B1020" s="70">
        <v>43537</v>
      </c>
      <c r="C1020" t="s">
        <v>25</v>
      </c>
      <c r="D1020" t="s">
        <v>81</v>
      </c>
      <c r="E1020" t="s">
        <v>240</v>
      </c>
      <c r="F1020" s="71">
        <v>2.25</v>
      </c>
      <c r="G1020" s="71">
        <v>0</v>
      </c>
    </row>
    <row r="1021" spans="2:7" x14ac:dyDescent="0.25">
      <c r="B1021" s="70">
        <v>43537</v>
      </c>
      <c r="C1021" t="s">
        <v>25</v>
      </c>
      <c r="D1021" t="s">
        <v>81</v>
      </c>
      <c r="E1021" t="s">
        <v>191</v>
      </c>
      <c r="F1021" s="71">
        <v>7</v>
      </c>
      <c r="G1021" s="71">
        <v>0</v>
      </c>
    </row>
    <row r="1022" spans="2:7" x14ac:dyDescent="0.25">
      <c r="B1022" s="70">
        <v>43537</v>
      </c>
      <c r="C1022" t="s">
        <v>25</v>
      </c>
      <c r="D1022" t="s">
        <v>81</v>
      </c>
      <c r="E1022" t="s">
        <v>241</v>
      </c>
      <c r="F1022" s="71">
        <v>3.15</v>
      </c>
      <c r="G1022" s="71">
        <v>0</v>
      </c>
    </row>
    <row r="1023" spans="2:7" x14ac:dyDescent="0.25">
      <c r="B1023" s="70">
        <v>43537</v>
      </c>
      <c r="C1023" t="s">
        <v>25</v>
      </c>
      <c r="D1023" t="s">
        <v>81</v>
      </c>
      <c r="E1023" t="s">
        <v>154</v>
      </c>
      <c r="F1023" s="71">
        <v>12</v>
      </c>
      <c r="G1023" s="71">
        <v>0</v>
      </c>
    </row>
    <row r="1024" spans="2:7" x14ac:dyDescent="0.25">
      <c r="B1024" s="70">
        <v>43537</v>
      </c>
      <c r="C1024" t="s">
        <v>25</v>
      </c>
      <c r="D1024" t="s">
        <v>81</v>
      </c>
      <c r="E1024" t="s">
        <v>127</v>
      </c>
      <c r="F1024" s="71">
        <v>3</v>
      </c>
      <c r="G1024" s="71">
        <v>0</v>
      </c>
    </row>
    <row r="1025" spans="2:7" x14ac:dyDescent="0.25">
      <c r="B1025" s="70">
        <v>43537</v>
      </c>
      <c r="C1025" t="s">
        <v>25</v>
      </c>
      <c r="D1025" t="s">
        <v>84</v>
      </c>
      <c r="E1025" t="s">
        <v>239</v>
      </c>
      <c r="F1025" s="71">
        <v>120</v>
      </c>
      <c r="G1025" s="71">
        <v>0</v>
      </c>
    </row>
    <row r="1026" spans="2:7" x14ac:dyDescent="0.25">
      <c r="B1026" s="70">
        <v>43537</v>
      </c>
      <c r="C1026" t="s">
        <v>25</v>
      </c>
      <c r="D1026" t="s">
        <v>84</v>
      </c>
      <c r="E1026" t="s">
        <v>239</v>
      </c>
      <c r="F1026" s="71">
        <v>132</v>
      </c>
      <c r="G1026" s="71">
        <v>0</v>
      </c>
    </row>
    <row r="1027" spans="2:7" x14ac:dyDescent="0.25">
      <c r="B1027" s="70">
        <v>43537</v>
      </c>
      <c r="C1027" t="s">
        <v>56</v>
      </c>
      <c r="D1027" t="s">
        <v>82</v>
      </c>
      <c r="E1027" t="s">
        <v>239</v>
      </c>
      <c r="F1027" s="71">
        <v>60.85</v>
      </c>
      <c r="G1027" s="71">
        <v>0</v>
      </c>
    </row>
    <row r="1028" spans="2:7" x14ac:dyDescent="0.25">
      <c r="B1028" s="70">
        <v>43537</v>
      </c>
      <c r="C1028" t="s">
        <v>51</v>
      </c>
      <c r="D1028" t="s">
        <v>82</v>
      </c>
      <c r="E1028" t="s">
        <v>239</v>
      </c>
      <c r="F1028" s="71">
        <v>100.15</v>
      </c>
      <c r="G1028" s="71">
        <v>0</v>
      </c>
    </row>
    <row r="1029" spans="2:7" x14ac:dyDescent="0.25">
      <c r="B1029" s="70">
        <v>43537</v>
      </c>
      <c r="C1029" t="s">
        <v>21</v>
      </c>
      <c r="D1029" t="s">
        <v>79</v>
      </c>
      <c r="E1029" t="s">
        <v>239</v>
      </c>
      <c r="F1029" s="71">
        <v>16</v>
      </c>
      <c r="G1029" s="71">
        <v>0</v>
      </c>
    </row>
    <row r="1030" spans="2:7" x14ac:dyDescent="0.25">
      <c r="B1030" s="70">
        <v>43537</v>
      </c>
      <c r="C1030" t="s">
        <v>55</v>
      </c>
      <c r="D1030" t="s">
        <v>80</v>
      </c>
      <c r="E1030" t="s">
        <v>239</v>
      </c>
      <c r="F1030" s="71">
        <v>339.18</v>
      </c>
      <c r="G1030" s="71">
        <v>0</v>
      </c>
    </row>
    <row r="1031" spans="2:7" x14ac:dyDescent="0.25">
      <c r="B1031" s="70">
        <v>43537</v>
      </c>
      <c r="C1031" t="s">
        <v>55</v>
      </c>
      <c r="D1031" t="s">
        <v>87</v>
      </c>
      <c r="E1031" t="s">
        <v>239</v>
      </c>
      <c r="F1031" s="71">
        <v>34.22</v>
      </c>
      <c r="G1031" s="71">
        <v>0</v>
      </c>
    </row>
    <row r="1032" spans="2:7" x14ac:dyDescent="0.25">
      <c r="B1032" s="70">
        <v>43537</v>
      </c>
      <c r="C1032" t="s">
        <v>45</v>
      </c>
      <c r="D1032" t="s">
        <v>83</v>
      </c>
      <c r="E1032" t="s">
        <v>239</v>
      </c>
      <c r="F1032" s="71">
        <v>4413.76</v>
      </c>
      <c r="G1032" s="71">
        <v>0</v>
      </c>
    </row>
    <row r="1033" spans="2:7" x14ac:dyDescent="0.25">
      <c r="B1033" s="70">
        <v>43537</v>
      </c>
      <c r="C1033" t="s">
        <v>70</v>
      </c>
      <c r="D1033" t="s">
        <v>84</v>
      </c>
      <c r="E1033" t="s">
        <v>239</v>
      </c>
      <c r="F1033" s="71">
        <v>1320</v>
      </c>
      <c r="G1033" s="71">
        <v>0</v>
      </c>
    </row>
    <row r="1034" spans="2:7" x14ac:dyDescent="0.25">
      <c r="B1034" s="70">
        <v>43537</v>
      </c>
      <c r="C1034" t="s">
        <v>53</v>
      </c>
      <c r="D1034" t="s">
        <v>82</v>
      </c>
      <c r="E1034" t="s">
        <v>239</v>
      </c>
      <c r="F1034" s="71">
        <v>71</v>
      </c>
      <c r="G1034" s="71">
        <v>0</v>
      </c>
    </row>
    <row r="1035" spans="2:7" x14ac:dyDescent="0.25">
      <c r="B1035" s="70">
        <v>43537</v>
      </c>
      <c r="C1035" t="s">
        <v>24</v>
      </c>
      <c r="D1035" t="s">
        <v>79</v>
      </c>
      <c r="E1035" t="s">
        <v>239</v>
      </c>
      <c r="F1035" s="71">
        <v>8</v>
      </c>
      <c r="G1035" s="71">
        <v>0</v>
      </c>
    </row>
    <row r="1036" spans="2:7" x14ac:dyDescent="0.25">
      <c r="B1036" s="70">
        <v>43537</v>
      </c>
      <c r="C1036" t="s">
        <v>24</v>
      </c>
      <c r="D1036" t="s">
        <v>84</v>
      </c>
      <c r="E1036" t="s">
        <v>239</v>
      </c>
      <c r="F1036" s="71">
        <v>96</v>
      </c>
      <c r="G1036" s="71">
        <v>0</v>
      </c>
    </row>
    <row r="1037" spans="2:7" x14ac:dyDescent="0.25">
      <c r="B1037" s="70">
        <v>43537</v>
      </c>
      <c r="C1037" t="s">
        <v>24</v>
      </c>
      <c r="D1037" t="s">
        <v>84</v>
      </c>
      <c r="E1037" t="s">
        <v>239</v>
      </c>
      <c r="F1037" s="71">
        <v>516</v>
      </c>
      <c r="G1037" s="71">
        <v>0</v>
      </c>
    </row>
    <row r="1038" spans="2:7" x14ac:dyDescent="0.25">
      <c r="B1038" s="70">
        <v>43538</v>
      </c>
      <c r="C1038" t="s">
        <v>25</v>
      </c>
      <c r="D1038" t="s">
        <v>81</v>
      </c>
      <c r="E1038" t="s">
        <v>195</v>
      </c>
      <c r="F1038" s="71">
        <v>26</v>
      </c>
      <c r="G1038" s="71">
        <v>0</v>
      </c>
    </row>
    <row r="1039" spans="2:7" x14ac:dyDescent="0.25">
      <c r="B1039" s="70">
        <v>43538</v>
      </c>
      <c r="C1039" t="s">
        <v>25</v>
      </c>
      <c r="D1039" t="s">
        <v>81</v>
      </c>
      <c r="E1039" t="s">
        <v>150</v>
      </c>
      <c r="F1039" s="71">
        <v>14</v>
      </c>
      <c r="G1039" s="71">
        <v>0</v>
      </c>
    </row>
    <row r="1040" spans="2:7" x14ac:dyDescent="0.25">
      <c r="B1040" s="70">
        <v>43538</v>
      </c>
      <c r="C1040" t="s">
        <v>25</v>
      </c>
      <c r="D1040" t="s">
        <v>81</v>
      </c>
      <c r="E1040" t="s">
        <v>158</v>
      </c>
      <c r="F1040" s="71">
        <v>7.35</v>
      </c>
      <c r="G1040" s="71">
        <v>0</v>
      </c>
    </row>
    <row r="1041" spans="2:7" x14ac:dyDescent="0.25">
      <c r="B1041" s="70">
        <v>43538</v>
      </c>
      <c r="C1041" t="s">
        <v>25</v>
      </c>
      <c r="D1041" t="s">
        <v>81</v>
      </c>
      <c r="E1041" t="s">
        <v>168</v>
      </c>
      <c r="F1041" s="71">
        <v>22.5</v>
      </c>
      <c r="G1041" s="71">
        <v>0</v>
      </c>
    </row>
    <row r="1042" spans="2:7" x14ac:dyDescent="0.25">
      <c r="B1042" s="70">
        <v>43538</v>
      </c>
      <c r="C1042" t="s">
        <v>21</v>
      </c>
      <c r="D1042" t="s">
        <v>79</v>
      </c>
      <c r="E1042" t="s">
        <v>242</v>
      </c>
      <c r="F1042" s="71">
        <v>16</v>
      </c>
      <c r="G1042" s="71">
        <v>0</v>
      </c>
    </row>
    <row r="1043" spans="2:7" x14ac:dyDescent="0.25">
      <c r="B1043" s="70">
        <v>43538</v>
      </c>
      <c r="C1043" t="s">
        <v>48</v>
      </c>
      <c r="D1043" t="s">
        <v>85</v>
      </c>
      <c r="E1043" t="s">
        <v>242</v>
      </c>
      <c r="F1043" s="71">
        <v>3.35</v>
      </c>
      <c r="G1043" s="71">
        <v>0</v>
      </c>
    </row>
    <row r="1044" spans="2:7" x14ac:dyDescent="0.25">
      <c r="B1044" s="70">
        <v>43538</v>
      </c>
      <c r="C1044" t="s">
        <v>58</v>
      </c>
      <c r="D1044" t="s">
        <v>84</v>
      </c>
      <c r="E1044" t="s">
        <v>242</v>
      </c>
      <c r="F1044" s="71">
        <v>35</v>
      </c>
      <c r="G1044" s="71">
        <v>0</v>
      </c>
    </row>
    <row r="1045" spans="2:7" x14ac:dyDescent="0.25">
      <c r="B1045" s="70">
        <v>43538</v>
      </c>
      <c r="C1045" t="s">
        <v>53</v>
      </c>
      <c r="D1045" t="s">
        <v>82</v>
      </c>
      <c r="E1045" t="s">
        <v>242</v>
      </c>
      <c r="F1045" s="71">
        <v>101</v>
      </c>
      <c r="G1045" s="71">
        <v>0</v>
      </c>
    </row>
    <row r="1046" spans="2:7" x14ac:dyDescent="0.25">
      <c r="B1046" s="70">
        <v>43538</v>
      </c>
      <c r="C1046" t="s">
        <v>67</v>
      </c>
      <c r="D1046" t="s">
        <v>87</v>
      </c>
      <c r="E1046" t="s">
        <v>242</v>
      </c>
      <c r="F1046" s="71">
        <v>1000</v>
      </c>
      <c r="G1046" s="71">
        <v>0</v>
      </c>
    </row>
    <row r="1047" spans="2:7" x14ac:dyDescent="0.25">
      <c r="B1047" s="70">
        <v>43538</v>
      </c>
      <c r="C1047" t="s">
        <v>24</v>
      </c>
      <c r="D1047" t="s">
        <v>82</v>
      </c>
      <c r="E1047" t="s">
        <v>242</v>
      </c>
      <c r="F1047" s="71">
        <v>168</v>
      </c>
      <c r="G1047" s="71">
        <v>0</v>
      </c>
    </row>
    <row r="1048" spans="2:7" x14ac:dyDescent="0.25">
      <c r="B1048" s="70">
        <v>43538</v>
      </c>
      <c r="C1048" t="s">
        <v>24</v>
      </c>
      <c r="D1048" t="s">
        <v>82</v>
      </c>
      <c r="E1048" t="s">
        <v>242</v>
      </c>
      <c r="F1048" s="71">
        <v>187.2</v>
      </c>
      <c r="G1048" s="71">
        <v>0</v>
      </c>
    </row>
    <row r="1049" spans="2:7" x14ac:dyDescent="0.25">
      <c r="B1049" s="70">
        <v>43538</v>
      </c>
      <c r="C1049" t="s">
        <v>60</v>
      </c>
      <c r="D1049" t="s">
        <v>85</v>
      </c>
      <c r="E1049" t="s">
        <v>242</v>
      </c>
      <c r="F1049" s="71">
        <v>69.45</v>
      </c>
      <c r="G1049" s="71">
        <v>0</v>
      </c>
    </row>
    <row r="1050" spans="2:7" x14ac:dyDescent="0.25">
      <c r="B1050" s="70">
        <v>43538</v>
      </c>
      <c r="C1050" t="s">
        <v>62</v>
      </c>
      <c r="D1050" t="s">
        <v>82</v>
      </c>
      <c r="E1050" t="s">
        <v>242</v>
      </c>
      <c r="F1050" s="71">
        <v>4.5999999999999996</v>
      </c>
      <c r="G1050" s="71">
        <v>0</v>
      </c>
    </row>
    <row r="1051" spans="2:7" x14ac:dyDescent="0.25">
      <c r="B1051" s="70">
        <v>43539</v>
      </c>
      <c r="C1051" t="s">
        <v>25</v>
      </c>
      <c r="D1051" t="s">
        <v>80</v>
      </c>
      <c r="E1051" t="s">
        <v>243</v>
      </c>
      <c r="F1051" s="71">
        <v>4.8</v>
      </c>
      <c r="G1051" s="71">
        <v>0</v>
      </c>
    </row>
    <row r="1052" spans="2:7" x14ac:dyDescent="0.25">
      <c r="B1052" s="70">
        <v>43539</v>
      </c>
      <c r="C1052" t="s">
        <v>25</v>
      </c>
      <c r="D1052" t="s">
        <v>80</v>
      </c>
      <c r="E1052" t="s">
        <v>243</v>
      </c>
      <c r="F1052" s="71">
        <v>9.5</v>
      </c>
      <c r="G1052" s="71">
        <v>0</v>
      </c>
    </row>
    <row r="1053" spans="2:7" x14ac:dyDescent="0.25">
      <c r="B1053" s="70">
        <v>43539</v>
      </c>
      <c r="C1053" t="s">
        <v>25</v>
      </c>
      <c r="D1053" t="s">
        <v>80</v>
      </c>
      <c r="E1053" t="s">
        <v>243</v>
      </c>
      <c r="F1053" s="71">
        <v>16.21</v>
      </c>
      <c r="G1053" s="71">
        <v>0</v>
      </c>
    </row>
    <row r="1054" spans="2:7" x14ac:dyDescent="0.25">
      <c r="B1054" s="70">
        <v>43539</v>
      </c>
      <c r="C1054" t="s">
        <v>25</v>
      </c>
      <c r="D1054" t="s">
        <v>80</v>
      </c>
      <c r="E1054" t="s">
        <v>243</v>
      </c>
      <c r="F1054" s="71">
        <v>53.96</v>
      </c>
      <c r="G1054" s="71">
        <v>0</v>
      </c>
    </row>
    <row r="1055" spans="2:7" x14ac:dyDescent="0.25">
      <c r="B1055" s="70">
        <v>43539</v>
      </c>
      <c r="C1055" t="s">
        <v>25</v>
      </c>
      <c r="D1055" t="s">
        <v>87</v>
      </c>
      <c r="E1055" t="s">
        <v>243</v>
      </c>
      <c r="F1055" s="71">
        <v>33.86</v>
      </c>
      <c r="G1055" s="71">
        <v>0</v>
      </c>
    </row>
    <row r="1056" spans="2:7" x14ac:dyDescent="0.25">
      <c r="B1056" s="70">
        <v>43539</v>
      </c>
      <c r="C1056" t="s">
        <v>25</v>
      </c>
      <c r="D1056" t="s">
        <v>87</v>
      </c>
      <c r="E1056" t="s">
        <v>243</v>
      </c>
      <c r="F1056" s="71">
        <v>35.47</v>
      </c>
      <c r="G1056" s="71">
        <v>0</v>
      </c>
    </row>
    <row r="1057" spans="2:7" x14ac:dyDescent="0.25">
      <c r="B1057" s="70">
        <v>43539</v>
      </c>
      <c r="C1057" t="s">
        <v>25</v>
      </c>
      <c r="D1057" t="s">
        <v>81</v>
      </c>
      <c r="E1057" t="s">
        <v>135</v>
      </c>
      <c r="F1057" s="71">
        <v>4.75</v>
      </c>
      <c r="G1057" s="71">
        <v>0</v>
      </c>
    </row>
    <row r="1058" spans="2:7" x14ac:dyDescent="0.25">
      <c r="B1058" s="70">
        <v>43539</v>
      </c>
      <c r="C1058" t="s">
        <v>25</v>
      </c>
      <c r="D1058" t="s">
        <v>81</v>
      </c>
      <c r="E1058" t="s">
        <v>169</v>
      </c>
      <c r="F1058" s="71">
        <v>3.95</v>
      </c>
      <c r="G1058" s="71">
        <v>0</v>
      </c>
    </row>
    <row r="1059" spans="2:7" x14ac:dyDescent="0.25">
      <c r="B1059" s="70">
        <v>43539</v>
      </c>
      <c r="C1059" t="s">
        <v>25</v>
      </c>
      <c r="D1059" t="s">
        <v>81</v>
      </c>
      <c r="E1059" t="s">
        <v>154</v>
      </c>
      <c r="F1059" s="71">
        <v>10.5</v>
      </c>
      <c r="G1059" s="71">
        <v>0</v>
      </c>
    </row>
    <row r="1060" spans="2:7" x14ac:dyDescent="0.25">
      <c r="B1060" s="70">
        <v>43539</v>
      </c>
      <c r="C1060" t="s">
        <v>46</v>
      </c>
      <c r="D1060" t="s">
        <v>82</v>
      </c>
      <c r="E1060" t="s">
        <v>243</v>
      </c>
      <c r="F1060" s="71">
        <v>15</v>
      </c>
      <c r="G1060" s="71">
        <v>0</v>
      </c>
    </row>
    <row r="1061" spans="2:7" x14ac:dyDescent="0.25">
      <c r="B1061" s="70">
        <v>43539</v>
      </c>
      <c r="C1061" t="s">
        <v>21</v>
      </c>
      <c r="D1061" t="s">
        <v>79</v>
      </c>
      <c r="E1061" t="s">
        <v>243</v>
      </c>
      <c r="F1061" s="71">
        <v>16</v>
      </c>
      <c r="G1061" s="71">
        <v>0</v>
      </c>
    </row>
    <row r="1062" spans="2:7" x14ac:dyDescent="0.25">
      <c r="B1062" s="70">
        <v>43539</v>
      </c>
      <c r="C1062" t="s">
        <v>66</v>
      </c>
      <c r="D1062" t="s">
        <v>82</v>
      </c>
      <c r="E1062" t="s">
        <v>243</v>
      </c>
      <c r="F1062" s="71">
        <v>261</v>
      </c>
      <c r="G1062" s="71">
        <v>0</v>
      </c>
    </row>
    <row r="1063" spans="2:7" x14ac:dyDescent="0.25">
      <c r="B1063" s="70">
        <v>43539</v>
      </c>
      <c r="C1063" t="s">
        <v>48</v>
      </c>
      <c r="D1063" t="s">
        <v>82</v>
      </c>
      <c r="E1063" t="s">
        <v>243</v>
      </c>
      <c r="F1063" s="71">
        <v>132</v>
      </c>
      <c r="G1063" s="71">
        <v>0</v>
      </c>
    </row>
    <row r="1064" spans="2:7" x14ac:dyDescent="0.25">
      <c r="B1064" s="70">
        <v>43539</v>
      </c>
      <c r="C1064" t="s">
        <v>50</v>
      </c>
      <c r="D1064" t="s">
        <v>82</v>
      </c>
      <c r="E1064" t="s">
        <v>243</v>
      </c>
      <c r="F1064" s="71">
        <v>17.27</v>
      </c>
      <c r="G1064" s="71">
        <v>0</v>
      </c>
    </row>
    <row r="1065" spans="2:7" x14ac:dyDescent="0.25">
      <c r="B1065" s="70">
        <v>43539</v>
      </c>
      <c r="C1065" t="s">
        <v>58</v>
      </c>
      <c r="D1065" t="s">
        <v>82</v>
      </c>
      <c r="E1065" t="s">
        <v>243</v>
      </c>
      <c r="F1065" s="71">
        <v>26</v>
      </c>
      <c r="G1065" s="71">
        <v>0</v>
      </c>
    </row>
    <row r="1066" spans="2:7" x14ac:dyDescent="0.25">
      <c r="B1066" s="70">
        <v>43539</v>
      </c>
      <c r="C1066" t="s">
        <v>24</v>
      </c>
      <c r="D1066" t="s">
        <v>79</v>
      </c>
      <c r="E1066" t="s">
        <v>243</v>
      </c>
      <c r="F1066" s="71">
        <v>24</v>
      </c>
      <c r="G1066" s="71">
        <v>0</v>
      </c>
    </row>
    <row r="1067" spans="2:7" x14ac:dyDescent="0.25">
      <c r="B1067" s="70">
        <v>43540</v>
      </c>
      <c r="C1067" t="s">
        <v>25</v>
      </c>
      <c r="D1067" t="s">
        <v>80</v>
      </c>
      <c r="E1067" t="s">
        <v>244</v>
      </c>
      <c r="F1067" s="71">
        <v>104</v>
      </c>
      <c r="G1067" s="71">
        <v>0</v>
      </c>
    </row>
    <row r="1068" spans="2:7" x14ac:dyDescent="0.25">
      <c r="B1068" s="70">
        <v>43540</v>
      </c>
      <c r="C1068" t="s">
        <v>25</v>
      </c>
      <c r="D1068" t="s">
        <v>81</v>
      </c>
      <c r="E1068" t="s">
        <v>178</v>
      </c>
      <c r="F1068" s="71">
        <v>4.5</v>
      </c>
      <c r="G1068" s="71">
        <v>0</v>
      </c>
    </row>
    <row r="1069" spans="2:7" x14ac:dyDescent="0.25">
      <c r="B1069" s="70">
        <v>43540</v>
      </c>
      <c r="C1069" t="s">
        <v>56</v>
      </c>
      <c r="D1069" t="s">
        <v>82</v>
      </c>
      <c r="E1069" t="s">
        <v>244</v>
      </c>
      <c r="F1069" s="71">
        <v>83</v>
      </c>
      <c r="G1069" s="71">
        <v>0</v>
      </c>
    </row>
    <row r="1070" spans="2:7" x14ac:dyDescent="0.25">
      <c r="B1070" s="70">
        <v>43540</v>
      </c>
      <c r="C1070" t="s">
        <v>21</v>
      </c>
      <c r="D1070" t="s">
        <v>79</v>
      </c>
      <c r="E1070" t="s">
        <v>244</v>
      </c>
      <c r="F1070" s="71">
        <v>24</v>
      </c>
      <c r="G1070" s="71">
        <v>0</v>
      </c>
    </row>
    <row r="1071" spans="2:7" x14ac:dyDescent="0.25">
      <c r="B1071" s="70">
        <v>43540</v>
      </c>
      <c r="C1071" t="s">
        <v>48</v>
      </c>
      <c r="D1071" t="s">
        <v>82</v>
      </c>
      <c r="E1071" t="s">
        <v>244</v>
      </c>
      <c r="F1071" s="71">
        <v>136</v>
      </c>
      <c r="G1071" s="71">
        <v>0</v>
      </c>
    </row>
    <row r="1072" spans="2:7" x14ac:dyDescent="0.25">
      <c r="B1072" s="70">
        <v>43540</v>
      </c>
      <c r="C1072" t="s">
        <v>58</v>
      </c>
      <c r="D1072" t="s">
        <v>79</v>
      </c>
      <c r="E1072" t="s">
        <v>244</v>
      </c>
      <c r="F1072" s="71">
        <v>24</v>
      </c>
      <c r="G1072" s="71">
        <v>0</v>
      </c>
    </row>
    <row r="1073" spans="2:7" x14ac:dyDescent="0.25">
      <c r="B1073" s="70">
        <v>43542</v>
      </c>
      <c r="C1073" t="s">
        <v>25</v>
      </c>
      <c r="D1073" t="s">
        <v>81</v>
      </c>
      <c r="E1073" t="s">
        <v>197</v>
      </c>
      <c r="F1073" s="71">
        <v>5</v>
      </c>
      <c r="G1073" s="71">
        <v>0</v>
      </c>
    </row>
    <row r="1074" spans="2:7" x14ac:dyDescent="0.25">
      <c r="B1074" s="70">
        <v>43542</v>
      </c>
      <c r="C1074" t="s">
        <v>25</v>
      </c>
      <c r="D1074" t="s">
        <v>81</v>
      </c>
      <c r="E1074" t="s">
        <v>135</v>
      </c>
      <c r="F1074" s="71">
        <v>3</v>
      </c>
      <c r="G1074" s="71">
        <v>0</v>
      </c>
    </row>
    <row r="1075" spans="2:7" x14ac:dyDescent="0.25">
      <c r="B1075" s="70">
        <v>43542</v>
      </c>
      <c r="C1075" t="s">
        <v>25</v>
      </c>
      <c r="D1075" t="s">
        <v>81</v>
      </c>
      <c r="E1075" t="s">
        <v>169</v>
      </c>
      <c r="F1075" s="71">
        <v>3.95</v>
      </c>
      <c r="G1075" s="71">
        <v>0</v>
      </c>
    </row>
    <row r="1076" spans="2:7" x14ac:dyDescent="0.25">
      <c r="B1076" s="70">
        <v>43542</v>
      </c>
      <c r="C1076" t="s">
        <v>25</v>
      </c>
      <c r="D1076" t="s">
        <v>81</v>
      </c>
      <c r="E1076" t="s">
        <v>140</v>
      </c>
      <c r="F1076" s="71">
        <v>1.8</v>
      </c>
      <c r="G1076" s="71">
        <v>0</v>
      </c>
    </row>
    <row r="1077" spans="2:7" x14ac:dyDescent="0.25">
      <c r="B1077" s="70">
        <v>43542</v>
      </c>
      <c r="C1077" t="s">
        <v>25</v>
      </c>
      <c r="D1077" t="s">
        <v>81</v>
      </c>
      <c r="E1077" t="s">
        <v>133</v>
      </c>
      <c r="F1077" s="71">
        <v>3</v>
      </c>
      <c r="G1077" s="71">
        <v>0</v>
      </c>
    </row>
    <row r="1078" spans="2:7" x14ac:dyDescent="0.25">
      <c r="B1078" s="70">
        <v>43542</v>
      </c>
      <c r="C1078" t="s">
        <v>21</v>
      </c>
      <c r="D1078" t="s">
        <v>79</v>
      </c>
      <c r="E1078" t="s">
        <v>245</v>
      </c>
      <c r="F1078" s="71">
        <v>8</v>
      </c>
      <c r="G1078" s="71">
        <v>0</v>
      </c>
    </row>
    <row r="1079" spans="2:7" x14ac:dyDescent="0.25">
      <c r="B1079" s="70">
        <v>43542</v>
      </c>
      <c r="C1079" t="s">
        <v>21</v>
      </c>
      <c r="D1079" t="s">
        <v>79</v>
      </c>
      <c r="E1079" t="s">
        <v>245</v>
      </c>
      <c r="F1079" s="71">
        <v>16</v>
      </c>
      <c r="G1079" s="71">
        <v>0</v>
      </c>
    </row>
    <row r="1080" spans="2:7" x14ac:dyDescent="0.25">
      <c r="B1080" s="70">
        <v>43542</v>
      </c>
      <c r="C1080" t="s">
        <v>21</v>
      </c>
      <c r="D1080" t="s">
        <v>79</v>
      </c>
      <c r="E1080" t="s">
        <v>245</v>
      </c>
      <c r="F1080" s="71">
        <v>24</v>
      </c>
      <c r="G1080" s="71">
        <v>0</v>
      </c>
    </row>
    <row r="1081" spans="2:7" x14ac:dyDescent="0.25">
      <c r="B1081" s="70">
        <v>43542</v>
      </c>
      <c r="C1081" t="s">
        <v>21</v>
      </c>
      <c r="D1081" t="s">
        <v>79</v>
      </c>
      <c r="E1081" t="s">
        <v>245</v>
      </c>
      <c r="F1081" s="71">
        <v>40</v>
      </c>
      <c r="G1081" s="71">
        <v>0</v>
      </c>
    </row>
    <row r="1082" spans="2:7" x14ac:dyDescent="0.25">
      <c r="B1082" s="70">
        <v>43542</v>
      </c>
      <c r="C1082" t="s">
        <v>21</v>
      </c>
      <c r="D1082" t="s">
        <v>79</v>
      </c>
      <c r="E1082" t="s">
        <v>245</v>
      </c>
      <c r="F1082" s="71">
        <v>56</v>
      </c>
      <c r="G1082" s="71">
        <v>0</v>
      </c>
    </row>
    <row r="1083" spans="2:7" x14ac:dyDescent="0.25">
      <c r="B1083" s="70">
        <v>43542</v>
      </c>
      <c r="C1083" t="s">
        <v>21</v>
      </c>
      <c r="D1083" t="s">
        <v>79</v>
      </c>
      <c r="E1083" t="s">
        <v>245</v>
      </c>
      <c r="F1083" s="71">
        <v>72</v>
      </c>
      <c r="G1083" s="71">
        <v>0</v>
      </c>
    </row>
    <row r="1084" spans="2:7" x14ac:dyDescent="0.25">
      <c r="B1084" s="70">
        <v>43542</v>
      </c>
      <c r="C1084" t="s">
        <v>49</v>
      </c>
      <c r="D1084" t="s">
        <v>82</v>
      </c>
      <c r="E1084" t="s">
        <v>245</v>
      </c>
      <c r="F1084" s="71">
        <v>48</v>
      </c>
      <c r="G1084" s="71">
        <v>0</v>
      </c>
    </row>
    <row r="1085" spans="2:7" x14ac:dyDescent="0.25">
      <c r="B1085" s="70">
        <v>43542</v>
      </c>
      <c r="C1085" t="s">
        <v>50</v>
      </c>
      <c r="D1085" t="s">
        <v>82</v>
      </c>
      <c r="E1085" t="s">
        <v>245</v>
      </c>
      <c r="F1085" s="71">
        <v>11.36</v>
      </c>
      <c r="G1085" s="71">
        <v>0</v>
      </c>
    </row>
    <row r="1086" spans="2:7" x14ac:dyDescent="0.25">
      <c r="B1086" s="70">
        <v>43542</v>
      </c>
      <c r="C1086" t="s">
        <v>24</v>
      </c>
      <c r="D1086" t="s">
        <v>79</v>
      </c>
      <c r="E1086" t="s">
        <v>245</v>
      </c>
      <c r="F1086" s="71">
        <v>8</v>
      </c>
      <c r="G1086" s="71">
        <v>0</v>
      </c>
    </row>
    <row r="1087" spans="2:7" x14ac:dyDescent="0.25">
      <c r="B1087" s="70">
        <v>43542</v>
      </c>
      <c r="C1087" t="s">
        <v>24</v>
      </c>
      <c r="D1087" t="s">
        <v>79</v>
      </c>
      <c r="E1087" t="s">
        <v>245</v>
      </c>
      <c r="F1087" s="71">
        <v>16</v>
      </c>
      <c r="G1087" s="71">
        <v>0</v>
      </c>
    </row>
    <row r="1088" spans="2:7" x14ac:dyDescent="0.25">
      <c r="B1088" s="70">
        <v>43543</v>
      </c>
      <c r="C1088" t="s">
        <v>25</v>
      </c>
      <c r="D1088" t="s">
        <v>79</v>
      </c>
      <c r="E1088" t="s">
        <v>246</v>
      </c>
      <c r="F1088" s="71">
        <v>8</v>
      </c>
      <c r="G1088" s="71">
        <v>0</v>
      </c>
    </row>
    <row r="1089" spans="2:7" x14ac:dyDescent="0.25">
      <c r="B1089" s="70">
        <v>43543</v>
      </c>
      <c r="C1089" t="s">
        <v>25</v>
      </c>
      <c r="D1089" t="s">
        <v>85</v>
      </c>
      <c r="E1089" t="s">
        <v>246</v>
      </c>
      <c r="F1089" s="71">
        <v>15.95</v>
      </c>
      <c r="G1089" s="71">
        <v>0</v>
      </c>
    </row>
    <row r="1090" spans="2:7" x14ac:dyDescent="0.25">
      <c r="B1090" s="70">
        <v>43543</v>
      </c>
      <c r="C1090" t="s">
        <v>25</v>
      </c>
      <c r="D1090" t="s">
        <v>80</v>
      </c>
      <c r="E1090" t="s">
        <v>246</v>
      </c>
      <c r="F1090" s="71">
        <v>12.99</v>
      </c>
      <c r="G1090" s="71">
        <v>0</v>
      </c>
    </row>
    <row r="1091" spans="2:7" x14ac:dyDescent="0.25">
      <c r="B1091" s="70">
        <v>43543</v>
      </c>
      <c r="C1091" t="s">
        <v>25</v>
      </c>
      <c r="D1091" t="s">
        <v>80</v>
      </c>
      <c r="E1091" t="s">
        <v>246</v>
      </c>
      <c r="F1091" s="71">
        <v>15.08</v>
      </c>
      <c r="G1091" s="71">
        <v>0</v>
      </c>
    </row>
    <row r="1092" spans="2:7" x14ac:dyDescent="0.25">
      <c r="B1092" s="70">
        <v>43543</v>
      </c>
      <c r="C1092" t="s">
        <v>25</v>
      </c>
      <c r="D1092" t="s">
        <v>80</v>
      </c>
      <c r="E1092" t="s">
        <v>246</v>
      </c>
      <c r="F1092" s="71">
        <v>35.950000000000003</v>
      </c>
      <c r="G1092" s="71">
        <v>0</v>
      </c>
    </row>
    <row r="1093" spans="2:7" x14ac:dyDescent="0.25">
      <c r="B1093" s="70">
        <v>43543</v>
      </c>
      <c r="C1093" t="s">
        <v>25</v>
      </c>
      <c r="D1093" t="s">
        <v>80</v>
      </c>
      <c r="E1093" t="s">
        <v>246</v>
      </c>
      <c r="F1093" s="71">
        <v>40.49</v>
      </c>
      <c r="G1093" s="71">
        <v>0</v>
      </c>
    </row>
    <row r="1094" spans="2:7" x14ac:dyDescent="0.25">
      <c r="B1094" s="70">
        <v>43543</v>
      </c>
      <c r="C1094" t="s">
        <v>25</v>
      </c>
      <c r="D1094" t="s">
        <v>80</v>
      </c>
      <c r="E1094" t="s">
        <v>246</v>
      </c>
      <c r="F1094" s="71">
        <v>147.55000000000001</v>
      </c>
      <c r="G1094" s="71">
        <v>0</v>
      </c>
    </row>
    <row r="1095" spans="2:7" x14ac:dyDescent="0.25">
      <c r="B1095" s="70">
        <v>43543</v>
      </c>
      <c r="C1095" t="s">
        <v>25</v>
      </c>
      <c r="D1095" t="s">
        <v>87</v>
      </c>
      <c r="E1095" t="s">
        <v>246</v>
      </c>
      <c r="F1095" s="71">
        <v>2.95</v>
      </c>
      <c r="G1095" s="71">
        <v>0</v>
      </c>
    </row>
    <row r="1096" spans="2:7" x14ac:dyDescent="0.25">
      <c r="B1096" s="70">
        <v>43543</v>
      </c>
      <c r="C1096" t="s">
        <v>25</v>
      </c>
      <c r="D1096" t="s">
        <v>87</v>
      </c>
      <c r="E1096" t="s">
        <v>246</v>
      </c>
      <c r="F1096" s="71">
        <v>34.86</v>
      </c>
      <c r="G1096" s="71">
        <v>0</v>
      </c>
    </row>
    <row r="1097" spans="2:7" x14ac:dyDescent="0.25">
      <c r="B1097" s="70">
        <v>43543</v>
      </c>
      <c r="C1097" t="s">
        <v>25</v>
      </c>
      <c r="D1097" t="s">
        <v>87</v>
      </c>
      <c r="E1097" t="s">
        <v>246</v>
      </c>
      <c r="F1097" s="71">
        <v>38.1</v>
      </c>
      <c r="G1097" s="71">
        <v>0</v>
      </c>
    </row>
    <row r="1098" spans="2:7" x14ac:dyDescent="0.25">
      <c r="B1098" s="70">
        <v>43543</v>
      </c>
      <c r="C1098" t="s">
        <v>25</v>
      </c>
      <c r="D1098" t="s">
        <v>87</v>
      </c>
      <c r="E1098" t="s">
        <v>246</v>
      </c>
      <c r="F1098" s="71">
        <v>41.59</v>
      </c>
      <c r="G1098" s="71">
        <v>0</v>
      </c>
    </row>
    <row r="1099" spans="2:7" x14ac:dyDescent="0.25">
      <c r="B1099" s="70">
        <v>43543</v>
      </c>
      <c r="C1099" t="s">
        <v>25</v>
      </c>
      <c r="D1099" t="s">
        <v>87</v>
      </c>
      <c r="E1099" t="s">
        <v>246</v>
      </c>
      <c r="F1099" s="71">
        <v>48</v>
      </c>
      <c r="G1099" s="71">
        <v>0</v>
      </c>
    </row>
    <row r="1100" spans="2:7" x14ac:dyDescent="0.25">
      <c r="B1100" s="70">
        <v>43543</v>
      </c>
      <c r="C1100" t="s">
        <v>25</v>
      </c>
      <c r="D1100" t="s">
        <v>87</v>
      </c>
      <c r="E1100" t="s">
        <v>246</v>
      </c>
      <c r="F1100" s="71">
        <v>52.73</v>
      </c>
      <c r="G1100" s="71">
        <v>0</v>
      </c>
    </row>
    <row r="1101" spans="2:7" x14ac:dyDescent="0.25">
      <c r="B1101" s="70">
        <v>43543</v>
      </c>
      <c r="C1101" t="s">
        <v>25</v>
      </c>
      <c r="D1101" t="s">
        <v>87</v>
      </c>
      <c r="E1101" t="s">
        <v>246</v>
      </c>
      <c r="F1101" s="71">
        <v>71.349999999999994</v>
      </c>
      <c r="G1101" s="71">
        <v>0</v>
      </c>
    </row>
    <row r="1102" spans="2:7" x14ac:dyDescent="0.25">
      <c r="B1102" s="70">
        <v>43543</v>
      </c>
      <c r="C1102" t="s">
        <v>25</v>
      </c>
      <c r="D1102" t="s">
        <v>87</v>
      </c>
      <c r="E1102" t="s">
        <v>246</v>
      </c>
      <c r="F1102" s="71">
        <v>110</v>
      </c>
      <c r="G1102" s="71">
        <v>0</v>
      </c>
    </row>
    <row r="1103" spans="2:7" x14ac:dyDescent="0.25">
      <c r="B1103" s="70">
        <v>43543</v>
      </c>
      <c r="C1103" t="s">
        <v>25</v>
      </c>
      <c r="D1103" t="s">
        <v>81</v>
      </c>
      <c r="E1103" t="s">
        <v>135</v>
      </c>
      <c r="F1103" s="71">
        <v>3</v>
      </c>
      <c r="G1103" s="71">
        <v>0</v>
      </c>
    </row>
    <row r="1104" spans="2:7" x14ac:dyDescent="0.25">
      <c r="B1104" s="70">
        <v>43543</v>
      </c>
      <c r="C1104" t="s">
        <v>25</v>
      </c>
      <c r="D1104" t="s">
        <v>81</v>
      </c>
      <c r="E1104" t="s">
        <v>122</v>
      </c>
      <c r="F1104" s="71">
        <v>2.4</v>
      </c>
      <c r="G1104" s="71">
        <v>0</v>
      </c>
    </row>
    <row r="1105" spans="2:7" x14ac:dyDescent="0.25">
      <c r="B1105" s="70">
        <v>43543</v>
      </c>
      <c r="C1105" t="s">
        <v>25</v>
      </c>
      <c r="D1105" t="s">
        <v>81</v>
      </c>
      <c r="E1105" t="s">
        <v>247</v>
      </c>
      <c r="F1105" s="71">
        <v>7.35</v>
      </c>
      <c r="G1105" s="71">
        <v>0</v>
      </c>
    </row>
    <row r="1106" spans="2:7" x14ac:dyDescent="0.25">
      <c r="B1106" s="70">
        <v>43543</v>
      </c>
      <c r="C1106" t="s">
        <v>25</v>
      </c>
      <c r="D1106" t="s">
        <v>84</v>
      </c>
      <c r="E1106" t="s">
        <v>246</v>
      </c>
      <c r="F1106" s="71">
        <v>80</v>
      </c>
      <c r="G1106" s="71">
        <v>0</v>
      </c>
    </row>
    <row r="1107" spans="2:7" x14ac:dyDescent="0.25">
      <c r="B1107" s="70">
        <v>43543</v>
      </c>
      <c r="C1107" t="s">
        <v>59</v>
      </c>
      <c r="D1107" t="s">
        <v>82</v>
      </c>
      <c r="E1107" t="s">
        <v>246</v>
      </c>
      <c r="F1107" s="71">
        <v>34</v>
      </c>
      <c r="G1107" s="71">
        <v>0</v>
      </c>
    </row>
    <row r="1108" spans="2:7" x14ac:dyDescent="0.25">
      <c r="B1108" s="70">
        <v>43543</v>
      </c>
      <c r="C1108" t="s">
        <v>51</v>
      </c>
      <c r="D1108" t="s">
        <v>79</v>
      </c>
      <c r="E1108" t="s">
        <v>246</v>
      </c>
      <c r="F1108" s="71">
        <v>100</v>
      </c>
      <c r="G1108" s="71">
        <v>0</v>
      </c>
    </row>
    <row r="1109" spans="2:7" x14ac:dyDescent="0.25">
      <c r="B1109" s="70">
        <v>43543</v>
      </c>
      <c r="C1109" t="s">
        <v>51</v>
      </c>
      <c r="D1109" t="s">
        <v>80</v>
      </c>
      <c r="E1109" t="s">
        <v>246</v>
      </c>
      <c r="F1109" s="71">
        <v>87.63</v>
      </c>
      <c r="G1109" s="71">
        <v>0</v>
      </c>
    </row>
    <row r="1110" spans="2:7" x14ac:dyDescent="0.25">
      <c r="B1110" s="70">
        <v>43543</v>
      </c>
      <c r="C1110" t="s">
        <v>21</v>
      </c>
      <c r="D1110" t="s">
        <v>79</v>
      </c>
      <c r="E1110" t="s">
        <v>246</v>
      </c>
      <c r="F1110" s="71">
        <v>8</v>
      </c>
      <c r="G1110" s="71">
        <v>0</v>
      </c>
    </row>
    <row r="1111" spans="2:7" x14ac:dyDescent="0.25">
      <c r="B1111" s="70">
        <v>43543</v>
      </c>
      <c r="C1111" t="s">
        <v>21</v>
      </c>
      <c r="D1111" t="s">
        <v>79</v>
      </c>
      <c r="E1111" t="s">
        <v>246</v>
      </c>
      <c r="F1111" s="71">
        <v>16</v>
      </c>
      <c r="G1111" s="71">
        <v>0</v>
      </c>
    </row>
    <row r="1112" spans="2:7" x14ac:dyDescent="0.25">
      <c r="B1112" s="70">
        <v>43543</v>
      </c>
      <c r="C1112" t="s">
        <v>21</v>
      </c>
      <c r="D1112" t="s">
        <v>79</v>
      </c>
      <c r="E1112" t="s">
        <v>246</v>
      </c>
      <c r="F1112" s="71">
        <v>32</v>
      </c>
      <c r="G1112" s="71">
        <v>0</v>
      </c>
    </row>
    <row r="1113" spans="2:7" x14ac:dyDescent="0.25">
      <c r="B1113" s="70">
        <v>43543</v>
      </c>
      <c r="C1113" t="s">
        <v>21</v>
      </c>
      <c r="D1113" t="s">
        <v>79</v>
      </c>
      <c r="E1113" t="s">
        <v>246</v>
      </c>
      <c r="F1113" s="71">
        <v>48</v>
      </c>
      <c r="G1113" s="71">
        <v>0</v>
      </c>
    </row>
    <row r="1114" spans="2:7" x14ac:dyDescent="0.25">
      <c r="B1114" s="70">
        <v>43543</v>
      </c>
      <c r="C1114" t="s">
        <v>21</v>
      </c>
      <c r="D1114" t="s">
        <v>79</v>
      </c>
      <c r="E1114" t="s">
        <v>246</v>
      </c>
      <c r="F1114" s="71">
        <v>96</v>
      </c>
      <c r="G1114" s="71">
        <v>0</v>
      </c>
    </row>
    <row r="1115" spans="2:7" x14ac:dyDescent="0.25">
      <c r="B1115" s="70">
        <v>43543</v>
      </c>
      <c r="C1115" t="s">
        <v>48</v>
      </c>
      <c r="D1115" t="s">
        <v>79</v>
      </c>
      <c r="E1115" t="s">
        <v>246</v>
      </c>
      <c r="F1115" s="71">
        <v>139.08000000000001</v>
      </c>
      <c r="G1115" s="71">
        <v>0</v>
      </c>
    </row>
    <row r="1116" spans="2:7" x14ac:dyDescent="0.25">
      <c r="B1116" s="70">
        <v>43543</v>
      </c>
      <c r="C1116" t="s">
        <v>24</v>
      </c>
      <c r="D1116" t="s">
        <v>79</v>
      </c>
      <c r="E1116" t="s">
        <v>246</v>
      </c>
      <c r="F1116" s="71">
        <v>8</v>
      </c>
      <c r="G1116" s="71">
        <v>0</v>
      </c>
    </row>
    <row r="1117" spans="2:7" x14ac:dyDescent="0.25">
      <c r="B1117" s="70">
        <v>43544</v>
      </c>
      <c r="C1117" t="s">
        <v>25</v>
      </c>
      <c r="D1117" t="s">
        <v>81</v>
      </c>
      <c r="E1117" t="s">
        <v>138</v>
      </c>
      <c r="F1117" s="71">
        <v>6.85</v>
      </c>
      <c r="G1117" s="71">
        <v>0</v>
      </c>
    </row>
    <row r="1118" spans="2:7" x14ac:dyDescent="0.25">
      <c r="B1118" s="70">
        <v>43544</v>
      </c>
      <c r="C1118" t="s">
        <v>25</v>
      </c>
      <c r="D1118" t="s">
        <v>84</v>
      </c>
      <c r="E1118" t="s">
        <v>248</v>
      </c>
      <c r="F1118" s="71">
        <v>130</v>
      </c>
      <c r="G1118" s="71">
        <v>0</v>
      </c>
    </row>
    <row r="1119" spans="2:7" x14ac:dyDescent="0.25">
      <c r="B1119" s="70">
        <v>43544</v>
      </c>
      <c r="C1119" t="s">
        <v>25</v>
      </c>
      <c r="D1119" t="s">
        <v>84</v>
      </c>
      <c r="E1119" t="s">
        <v>248</v>
      </c>
      <c r="F1119" s="71">
        <v>193</v>
      </c>
      <c r="G1119" s="71">
        <v>0</v>
      </c>
    </row>
    <row r="1120" spans="2:7" x14ac:dyDescent="0.25">
      <c r="B1120" s="70">
        <v>43544</v>
      </c>
      <c r="C1120" t="s">
        <v>59</v>
      </c>
      <c r="D1120" t="s">
        <v>84</v>
      </c>
      <c r="E1120" t="s">
        <v>248</v>
      </c>
      <c r="F1120" s="71">
        <v>1496</v>
      </c>
      <c r="G1120" s="71">
        <v>0</v>
      </c>
    </row>
    <row r="1121" spans="2:7" x14ac:dyDescent="0.25">
      <c r="B1121" s="70">
        <v>43544</v>
      </c>
      <c r="C1121" t="s">
        <v>56</v>
      </c>
      <c r="D1121" t="s">
        <v>82</v>
      </c>
      <c r="E1121" t="s">
        <v>248</v>
      </c>
      <c r="F1121" s="71">
        <v>70.239999999999995</v>
      </c>
      <c r="G1121" s="71">
        <v>0</v>
      </c>
    </row>
    <row r="1122" spans="2:7" x14ac:dyDescent="0.25">
      <c r="B1122" s="70">
        <v>43544</v>
      </c>
      <c r="C1122" t="s">
        <v>51</v>
      </c>
      <c r="D1122" t="s">
        <v>82</v>
      </c>
      <c r="E1122" t="s">
        <v>248</v>
      </c>
      <c r="F1122" s="71">
        <v>115.25</v>
      </c>
      <c r="G1122" s="71">
        <v>0</v>
      </c>
    </row>
    <row r="1123" spans="2:7" x14ac:dyDescent="0.25">
      <c r="B1123" s="70">
        <v>43544</v>
      </c>
      <c r="C1123" t="s">
        <v>43</v>
      </c>
      <c r="D1123" t="s">
        <v>84</v>
      </c>
      <c r="E1123" t="s">
        <v>248</v>
      </c>
      <c r="F1123" s="71">
        <v>120.6</v>
      </c>
      <c r="G1123" s="71">
        <v>0</v>
      </c>
    </row>
    <row r="1124" spans="2:7" x14ac:dyDescent="0.25">
      <c r="B1124" s="70">
        <v>43544</v>
      </c>
      <c r="C1124" t="s">
        <v>21</v>
      </c>
      <c r="D1124" t="s">
        <v>79</v>
      </c>
      <c r="E1124" t="s">
        <v>248</v>
      </c>
      <c r="F1124" s="71">
        <v>8</v>
      </c>
      <c r="G1124" s="71">
        <v>0</v>
      </c>
    </row>
    <row r="1125" spans="2:7" x14ac:dyDescent="0.25">
      <c r="B1125" s="70">
        <v>43544</v>
      </c>
      <c r="C1125" t="s">
        <v>21</v>
      </c>
      <c r="D1125" t="s">
        <v>79</v>
      </c>
      <c r="E1125" t="s">
        <v>248</v>
      </c>
      <c r="F1125" s="71">
        <v>32</v>
      </c>
      <c r="G1125" s="71">
        <v>0</v>
      </c>
    </row>
    <row r="1126" spans="2:7" x14ac:dyDescent="0.25">
      <c r="B1126" s="70">
        <v>43544</v>
      </c>
      <c r="C1126" t="s">
        <v>66</v>
      </c>
      <c r="D1126" t="s">
        <v>84</v>
      </c>
      <c r="E1126" t="s">
        <v>248</v>
      </c>
      <c r="F1126" s="71">
        <v>172.7</v>
      </c>
      <c r="G1126" s="71">
        <v>0</v>
      </c>
    </row>
    <row r="1127" spans="2:7" x14ac:dyDescent="0.25">
      <c r="B1127" s="70">
        <v>43544</v>
      </c>
      <c r="C1127" t="s">
        <v>48</v>
      </c>
      <c r="D1127" t="s">
        <v>84</v>
      </c>
      <c r="E1127" t="s">
        <v>248</v>
      </c>
      <c r="F1127" s="71">
        <v>293.3</v>
      </c>
      <c r="G1127" s="71">
        <v>0</v>
      </c>
    </row>
    <row r="1128" spans="2:7" x14ac:dyDescent="0.25">
      <c r="B1128" s="70">
        <v>43544</v>
      </c>
      <c r="C1128" t="s">
        <v>50</v>
      </c>
      <c r="D1128" t="s">
        <v>84</v>
      </c>
      <c r="E1128" t="s">
        <v>248</v>
      </c>
      <c r="F1128" s="71">
        <v>10.54</v>
      </c>
      <c r="G1128" s="71">
        <v>0</v>
      </c>
    </row>
    <row r="1129" spans="2:7" x14ac:dyDescent="0.25">
      <c r="B1129" s="70">
        <v>43544</v>
      </c>
      <c r="C1129" t="s">
        <v>58</v>
      </c>
      <c r="D1129" t="s">
        <v>79</v>
      </c>
      <c r="E1129" t="s">
        <v>248</v>
      </c>
      <c r="F1129" s="71">
        <v>5</v>
      </c>
      <c r="G1129" s="71">
        <v>0</v>
      </c>
    </row>
    <row r="1130" spans="2:7" x14ac:dyDescent="0.25">
      <c r="B1130" s="70">
        <v>43544</v>
      </c>
      <c r="C1130" t="s">
        <v>60</v>
      </c>
      <c r="D1130" t="s">
        <v>84</v>
      </c>
      <c r="E1130" t="s">
        <v>248</v>
      </c>
      <c r="F1130" s="71">
        <v>18.399999999999999</v>
      </c>
      <c r="G1130" s="71">
        <v>0</v>
      </c>
    </row>
    <row r="1131" spans="2:7" x14ac:dyDescent="0.25">
      <c r="B1131" s="70">
        <v>43545</v>
      </c>
      <c r="C1131" t="s">
        <v>25</v>
      </c>
      <c r="D1131" t="s">
        <v>81</v>
      </c>
      <c r="E1131" t="s">
        <v>122</v>
      </c>
      <c r="F1131" s="71">
        <v>7.35</v>
      </c>
      <c r="G1131" s="71">
        <v>0</v>
      </c>
    </row>
    <row r="1132" spans="2:7" x14ac:dyDescent="0.25">
      <c r="B1132" s="70">
        <v>43545</v>
      </c>
      <c r="C1132" t="s">
        <v>47</v>
      </c>
      <c r="D1132" t="s">
        <v>84</v>
      </c>
      <c r="E1132" t="s">
        <v>249</v>
      </c>
      <c r="F1132" s="71">
        <v>204.35</v>
      </c>
      <c r="G1132" s="71">
        <v>0</v>
      </c>
    </row>
    <row r="1133" spans="2:7" x14ac:dyDescent="0.25">
      <c r="B1133" s="70">
        <v>43545</v>
      </c>
      <c r="C1133" t="s">
        <v>43</v>
      </c>
      <c r="D1133" t="s">
        <v>91</v>
      </c>
      <c r="E1133" t="s">
        <v>249</v>
      </c>
      <c r="F1133" s="71">
        <v>1396.4</v>
      </c>
      <c r="G1133" s="71">
        <v>0</v>
      </c>
    </row>
    <row r="1134" spans="2:7" x14ac:dyDescent="0.25">
      <c r="B1134" s="70">
        <v>43545</v>
      </c>
      <c r="C1134" t="s">
        <v>21</v>
      </c>
      <c r="D1134" t="s">
        <v>79</v>
      </c>
      <c r="E1134" t="s">
        <v>249</v>
      </c>
      <c r="F1134" s="71">
        <v>8</v>
      </c>
      <c r="G1134" s="71">
        <v>0</v>
      </c>
    </row>
    <row r="1135" spans="2:7" x14ac:dyDescent="0.25">
      <c r="B1135" s="70">
        <v>43545</v>
      </c>
      <c r="C1135" t="s">
        <v>21</v>
      </c>
      <c r="D1135" t="s">
        <v>79</v>
      </c>
      <c r="E1135" t="s">
        <v>249</v>
      </c>
      <c r="F1135" s="71">
        <v>16</v>
      </c>
      <c r="G1135" s="71">
        <v>0</v>
      </c>
    </row>
    <row r="1136" spans="2:7" x14ac:dyDescent="0.25">
      <c r="B1136" s="70">
        <v>43545</v>
      </c>
      <c r="C1136" t="s">
        <v>45</v>
      </c>
      <c r="D1136" t="s">
        <v>84</v>
      </c>
      <c r="E1136" t="s">
        <v>249</v>
      </c>
      <c r="F1136" s="71">
        <v>33.25</v>
      </c>
      <c r="G1136" s="71">
        <v>0</v>
      </c>
    </row>
    <row r="1137" spans="2:7" x14ac:dyDescent="0.25">
      <c r="B1137" s="70">
        <v>43545</v>
      </c>
      <c r="C1137" t="s">
        <v>50</v>
      </c>
      <c r="D1137" t="s">
        <v>79</v>
      </c>
      <c r="E1137" t="s">
        <v>249</v>
      </c>
      <c r="F1137" s="71">
        <v>39.96</v>
      </c>
      <c r="G1137" s="71">
        <v>0</v>
      </c>
    </row>
    <row r="1138" spans="2:7" x14ac:dyDescent="0.25">
      <c r="B1138" s="70">
        <v>43546</v>
      </c>
      <c r="C1138" t="s">
        <v>25</v>
      </c>
      <c r="D1138" t="s">
        <v>99</v>
      </c>
      <c r="E1138" t="s">
        <v>250</v>
      </c>
      <c r="F1138" s="71">
        <v>11.3</v>
      </c>
      <c r="G1138" s="71">
        <v>0</v>
      </c>
    </row>
    <row r="1139" spans="2:7" x14ac:dyDescent="0.25">
      <c r="B1139" s="70">
        <v>43546</v>
      </c>
      <c r="C1139" t="s">
        <v>25</v>
      </c>
      <c r="D1139" t="s">
        <v>80</v>
      </c>
      <c r="E1139" t="s">
        <v>251</v>
      </c>
      <c r="F1139" s="71">
        <v>14.3</v>
      </c>
      <c r="G1139" s="71">
        <v>0</v>
      </c>
    </row>
    <row r="1140" spans="2:7" x14ac:dyDescent="0.25">
      <c r="B1140" s="70">
        <v>43546</v>
      </c>
      <c r="C1140" t="s">
        <v>25</v>
      </c>
      <c r="D1140" t="s">
        <v>87</v>
      </c>
      <c r="E1140" t="s">
        <v>251</v>
      </c>
      <c r="F1140" s="71">
        <v>27.85</v>
      </c>
      <c r="G1140" s="71">
        <v>0</v>
      </c>
    </row>
    <row r="1141" spans="2:7" x14ac:dyDescent="0.25">
      <c r="B1141" s="70">
        <v>43546</v>
      </c>
      <c r="C1141" t="s">
        <v>25</v>
      </c>
      <c r="D1141" t="s">
        <v>87</v>
      </c>
      <c r="E1141" t="s">
        <v>251</v>
      </c>
      <c r="F1141" s="71">
        <v>44.15</v>
      </c>
      <c r="G1141" s="71">
        <v>0</v>
      </c>
    </row>
    <row r="1142" spans="2:7" x14ac:dyDescent="0.25">
      <c r="B1142" s="70">
        <v>43546</v>
      </c>
      <c r="C1142" t="s">
        <v>25</v>
      </c>
      <c r="D1142" t="s">
        <v>81</v>
      </c>
      <c r="E1142" t="s">
        <v>135</v>
      </c>
      <c r="F1142" s="71">
        <v>6.85</v>
      </c>
      <c r="G1142" s="71">
        <v>0</v>
      </c>
    </row>
    <row r="1143" spans="2:7" x14ac:dyDescent="0.25">
      <c r="B1143" s="70">
        <v>43546</v>
      </c>
      <c r="C1143" t="s">
        <v>25</v>
      </c>
      <c r="D1143" t="s">
        <v>81</v>
      </c>
      <c r="E1143" t="s">
        <v>153</v>
      </c>
      <c r="F1143" s="71">
        <v>6.5</v>
      </c>
      <c r="G1143" s="71">
        <v>0</v>
      </c>
    </row>
    <row r="1144" spans="2:7" x14ac:dyDescent="0.25">
      <c r="B1144" s="70">
        <v>43546</v>
      </c>
      <c r="C1144" t="s">
        <v>25</v>
      </c>
      <c r="D1144" t="s">
        <v>81</v>
      </c>
      <c r="E1144" t="s">
        <v>195</v>
      </c>
      <c r="F1144" s="71">
        <v>26</v>
      </c>
      <c r="G1144" s="71">
        <v>0</v>
      </c>
    </row>
    <row r="1145" spans="2:7" x14ac:dyDescent="0.25">
      <c r="B1145" s="70">
        <v>43546</v>
      </c>
      <c r="C1145" t="s">
        <v>54</v>
      </c>
      <c r="D1145" t="s">
        <v>86</v>
      </c>
      <c r="E1145" t="s">
        <v>251</v>
      </c>
      <c r="F1145" s="71">
        <v>552.95000000000005</v>
      </c>
      <c r="G1145" s="71">
        <v>0</v>
      </c>
    </row>
    <row r="1146" spans="2:7" x14ac:dyDescent="0.25">
      <c r="B1146" s="70">
        <v>43546</v>
      </c>
      <c r="C1146" t="s">
        <v>46</v>
      </c>
      <c r="D1146" t="s">
        <v>86</v>
      </c>
      <c r="E1146" t="s">
        <v>251</v>
      </c>
      <c r="F1146" s="71">
        <v>147.19999999999999</v>
      </c>
      <c r="G1146" s="71">
        <v>0</v>
      </c>
    </row>
    <row r="1147" spans="2:7" x14ac:dyDescent="0.25">
      <c r="B1147" s="70">
        <v>43546</v>
      </c>
      <c r="C1147" t="s">
        <v>57</v>
      </c>
      <c r="D1147" t="s">
        <v>86</v>
      </c>
      <c r="E1147" t="s">
        <v>251</v>
      </c>
      <c r="F1147" s="71">
        <v>32.200000000000003</v>
      </c>
      <c r="G1147" s="71">
        <v>0</v>
      </c>
    </row>
    <row r="1148" spans="2:7" x14ac:dyDescent="0.25">
      <c r="B1148" s="70">
        <v>43546</v>
      </c>
      <c r="C1148" t="s">
        <v>44</v>
      </c>
      <c r="D1148" t="s">
        <v>86</v>
      </c>
      <c r="E1148" t="s">
        <v>251</v>
      </c>
      <c r="F1148" s="71">
        <v>54.2</v>
      </c>
      <c r="G1148" s="71">
        <v>0</v>
      </c>
    </row>
    <row r="1149" spans="2:7" x14ac:dyDescent="0.25">
      <c r="B1149" s="70">
        <v>43546</v>
      </c>
      <c r="C1149" t="s">
        <v>21</v>
      </c>
      <c r="D1149" t="s">
        <v>79</v>
      </c>
      <c r="E1149" t="s">
        <v>251</v>
      </c>
      <c r="F1149" s="71">
        <v>16</v>
      </c>
      <c r="G1149" s="71">
        <v>0</v>
      </c>
    </row>
    <row r="1150" spans="2:7" x14ac:dyDescent="0.25">
      <c r="B1150" s="70">
        <v>43546</v>
      </c>
      <c r="C1150" t="s">
        <v>58</v>
      </c>
      <c r="D1150" t="s">
        <v>82</v>
      </c>
      <c r="E1150" t="s">
        <v>251</v>
      </c>
      <c r="F1150" s="71">
        <v>30</v>
      </c>
      <c r="G1150" s="71">
        <v>0</v>
      </c>
    </row>
    <row r="1151" spans="2:7" x14ac:dyDescent="0.25">
      <c r="B1151" s="70">
        <v>43546</v>
      </c>
      <c r="C1151" t="s">
        <v>71</v>
      </c>
      <c r="D1151" t="s">
        <v>86</v>
      </c>
      <c r="E1151" t="s">
        <v>251</v>
      </c>
      <c r="F1151" s="71">
        <v>99.66</v>
      </c>
      <c r="G1151" s="71">
        <v>0</v>
      </c>
    </row>
    <row r="1152" spans="2:7" x14ac:dyDescent="0.25">
      <c r="B1152" s="70">
        <v>43546</v>
      </c>
      <c r="C1152" t="s">
        <v>60</v>
      </c>
      <c r="D1152" t="s">
        <v>86</v>
      </c>
      <c r="E1152" t="s">
        <v>251</v>
      </c>
      <c r="F1152" s="71">
        <v>444.3</v>
      </c>
      <c r="G1152" s="71">
        <v>0</v>
      </c>
    </row>
    <row r="1153" spans="2:7" x14ac:dyDescent="0.25">
      <c r="B1153" s="70">
        <v>43546</v>
      </c>
      <c r="C1153" t="s">
        <v>61</v>
      </c>
      <c r="D1153" t="s">
        <v>86</v>
      </c>
      <c r="E1153" t="s">
        <v>251</v>
      </c>
      <c r="F1153" s="71">
        <v>386.65</v>
      </c>
      <c r="G1153" s="71">
        <v>0</v>
      </c>
    </row>
    <row r="1154" spans="2:7" x14ac:dyDescent="0.25">
      <c r="B1154" s="70">
        <v>43546</v>
      </c>
      <c r="C1154" t="s">
        <v>62</v>
      </c>
      <c r="D1154" t="s">
        <v>86</v>
      </c>
      <c r="E1154" t="s">
        <v>251</v>
      </c>
      <c r="F1154" s="71">
        <v>102.8</v>
      </c>
      <c r="G1154" s="71">
        <v>0</v>
      </c>
    </row>
    <row r="1155" spans="2:7" x14ac:dyDescent="0.25">
      <c r="B1155" s="70">
        <v>43547</v>
      </c>
      <c r="C1155" t="s">
        <v>25</v>
      </c>
      <c r="D1155" t="s">
        <v>79</v>
      </c>
      <c r="E1155" t="s">
        <v>252</v>
      </c>
      <c r="F1155" s="71">
        <v>8</v>
      </c>
      <c r="G1155" s="71">
        <v>0</v>
      </c>
    </row>
    <row r="1156" spans="2:7" x14ac:dyDescent="0.25">
      <c r="B1156" s="70">
        <v>43547</v>
      </c>
      <c r="C1156" t="s">
        <v>25</v>
      </c>
      <c r="D1156" t="s">
        <v>85</v>
      </c>
      <c r="E1156" t="s">
        <v>252</v>
      </c>
      <c r="F1156" s="71">
        <v>30</v>
      </c>
      <c r="G1156" s="71">
        <v>0</v>
      </c>
    </row>
    <row r="1157" spans="2:7" x14ac:dyDescent="0.25">
      <c r="B1157" s="70">
        <v>43547</v>
      </c>
      <c r="C1157" t="s">
        <v>25</v>
      </c>
      <c r="D1157" t="s">
        <v>81</v>
      </c>
      <c r="E1157" t="s">
        <v>173</v>
      </c>
      <c r="F1157" s="71">
        <v>4.8</v>
      </c>
      <c r="G1157" s="71">
        <v>0</v>
      </c>
    </row>
    <row r="1158" spans="2:7" x14ac:dyDescent="0.25">
      <c r="B1158" s="70">
        <v>43547</v>
      </c>
      <c r="C1158" t="s">
        <v>25</v>
      </c>
      <c r="D1158" t="s">
        <v>81</v>
      </c>
      <c r="E1158" t="s">
        <v>253</v>
      </c>
      <c r="F1158" s="71">
        <v>5.55</v>
      </c>
      <c r="G1158" s="71">
        <v>0</v>
      </c>
    </row>
    <row r="1159" spans="2:7" x14ac:dyDescent="0.25">
      <c r="B1159" s="70">
        <v>43547</v>
      </c>
      <c r="C1159" t="s">
        <v>25</v>
      </c>
      <c r="D1159" t="s">
        <v>84</v>
      </c>
      <c r="E1159" t="s">
        <v>252</v>
      </c>
      <c r="F1159" s="71">
        <v>34</v>
      </c>
      <c r="G1159" s="71">
        <v>0</v>
      </c>
    </row>
    <row r="1160" spans="2:7" x14ac:dyDescent="0.25">
      <c r="B1160" s="70">
        <v>43547</v>
      </c>
      <c r="C1160" t="s">
        <v>51</v>
      </c>
      <c r="D1160" t="s">
        <v>84</v>
      </c>
      <c r="E1160" t="s">
        <v>252</v>
      </c>
      <c r="F1160" s="71">
        <v>64</v>
      </c>
      <c r="G1160" s="71">
        <v>0</v>
      </c>
    </row>
    <row r="1161" spans="2:7" x14ac:dyDescent="0.25">
      <c r="B1161" s="70">
        <v>43547</v>
      </c>
      <c r="C1161" t="s">
        <v>57</v>
      </c>
      <c r="D1161" t="s">
        <v>84</v>
      </c>
      <c r="E1161" t="s">
        <v>252</v>
      </c>
      <c r="F1161" s="71">
        <v>14.95</v>
      </c>
      <c r="G1161" s="71">
        <v>0</v>
      </c>
    </row>
    <row r="1162" spans="2:7" x14ac:dyDescent="0.25">
      <c r="B1162" s="70">
        <v>43547</v>
      </c>
      <c r="C1162" t="s">
        <v>21</v>
      </c>
      <c r="D1162" t="s">
        <v>79</v>
      </c>
      <c r="E1162" t="s">
        <v>252</v>
      </c>
      <c r="F1162" s="71">
        <v>8</v>
      </c>
      <c r="G1162" s="71">
        <v>0</v>
      </c>
    </row>
    <row r="1163" spans="2:7" x14ac:dyDescent="0.25">
      <c r="B1163" s="70">
        <v>43547</v>
      </c>
      <c r="C1163" t="s">
        <v>21</v>
      </c>
      <c r="D1163" t="s">
        <v>79</v>
      </c>
      <c r="E1163" t="s">
        <v>252</v>
      </c>
      <c r="F1163" s="71">
        <v>24</v>
      </c>
      <c r="G1163" s="71">
        <v>0</v>
      </c>
    </row>
    <row r="1164" spans="2:7" x14ac:dyDescent="0.25">
      <c r="B1164" s="70">
        <v>43547</v>
      </c>
      <c r="C1164" t="s">
        <v>48</v>
      </c>
      <c r="D1164" t="s">
        <v>79</v>
      </c>
      <c r="E1164" t="s">
        <v>252</v>
      </c>
      <c r="F1164" s="71">
        <v>25.6</v>
      </c>
      <c r="G1164" s="71">
        <v>0</v>
      </c>
    </row>
    <row r="1165" spans="2:7" x14ac:dyDescent="0.25">
      <c r="B1165" s="70">
        <v>43547</v>
      </c>
      <c r="C1165" t="s">
        <v>68</v>
      </c>
      <c r="D1165" t="s">
        <v>85</v>
      </c>
      <c r="E1165" t="s">
        <v>252</v>
      </c>
      <c r="F1165" s="71">
        <v>1024.77</v>
      </c>
      <c r="G1165" s="71">
        <v>0</v>
      </c>
    </row>
    <row r="1166" spans="2:7" x14ac:dyDescent="0.25">
      <c r="B1166" s="70">
        <v>43549</v>
      </c>
      <c r="C1166" t="s">
        <v>25</v>
      </c>
      <c r="D1166" t="s">
        <v>79</v>
      </c>
      <c r="E1166" t="s">
        <v>254</v>
      </c>
      <c r="F1166" s="71">
        <v>8</v>
      </c>
      <c r="G1166" s="71">
        <v>0</v>
      </c>
    </row>
    <row r="1167" spans="2:7" x14ac:dyDescent="0.25">
      <c r="B1167" s="70">
        <v>43549</v>
      </c>
      <c r="C1167" t="s">
        <v>25</v>
      </c>
      <c r="D1167" t="s">
        <v>100</v>
      </c>
      <c r="E1167" t="s">
        <v>255</v>
      </c>
      <c r="F1167" s="71">
        <v>5</v>
      </c>
      <c r="G1167" s="71">
        <v>0</v>
      </c>
    </row>
    <row r="1168" spans="2:7" x14ac:dyDescent="0.25">
      <c r="B1168" s="70">
        <v>43549</v>
      </c>
      <c r="C1168" t="s">
        <v>25</v>
      </c>
      <c r="D1168" t="s">
        <v>81</v>
      </c>
      <c r="E1168" t="s">
        <v>148</v>
      </c>
      <c r="F1168" s="71">
        <v>2.25</v>
      </c>
      <c r="G1168" s="71">
        <v>0</v>
      </c>
    </row>
    <row r="1169" spans="2:7" x14ac:dyDescent="0.25">
      <c r="B1169" s="70">
        <v>43549</v>
      </c>
      <c r="C1169" t="s">
        <v>25</v>
      </c>
      <c r="D1169" t="s">
        <v>81</v>
      </c>
      <c r="E1169" t="s">
        <v>164</v>
      </c>
      <c r="F1169" s="71">
        <v>30</v>
      </c>
      <c r="G1169" s="71">
        <v>0</v>
      </c>
    </row>
    <row r="1170" spans="2:7" x14ac:dyDescent="0.25">
      <c r="B1170" s="70">
        <v>43549</v>
      </c>
      <c r="C1170" t="s">
        <v>25</v>
      </c>
      <c r="D1170" t="s">
        <v>101</v>
      </c>
      <c r="E1170" t="s">
        <v>256</v>
      </c>
      <c r="F1170" s="71">
        <v>29.34</v>
      </c>
      <c r="G1170" s="71">
        <v>0</v>
      </c>
    </row>
    <row r="1171" spans="2:7" x14ac:dyDescent="0.25">
      <c r="B1171" s="70">
        <v>43549</v>
      </c>
      <c r="C1171" t="s">
        <v>25</v>
      </c>
      <c r="D1171" t="s">
        <v>101</v>
      </c>
      <c r="E1171" t="s">
        <v>256</v>
      </c>
      <c r="F1171" s="71">
        <v>50.49</v>
      </c>
      <c r="G1171" s="71">
        <v>0</v>
      </c>
    </row>
    <row r="1172" spans="2:7" x14ac:dyDescent="0.25">
      <c r="B1172" s="70">
        <v>43549</v>
      </c>
      <c r="C1172" t="s">
        <v>25</v>
      </c>
      <c r="D1172" t="s">
        <v>101</v>
      </c>
      <c r="E1172" t="s">
        <v>256</v>
      </c>
      <c r="F1172" s="71">
        <v>91.09</v>
      </c>
      <c r="G1172" s="71">
        <v>0</v>
      </c>
    </row>
    <row r="1173" spans="2:7" x14ac:dyDescent="0.25">
      <c r="B1173" s="70">
        <v>43549</v>
      </c>
      <c r="C1173" t="s">
        <v>25</v>
      </c>
      <c r="D1173" t="s">
        <v>101</v>
      </c>
      <c r="E1173" t="s">
        <v>256</v>
      </c>
      <c r="F1173" s="71">
        <v>447.12</v>
      </c>
      <c r="G1173" s="71">
        <v>0</v>
      </c>
    </row>
    <row r="1174" spans="2:7" x14ac:dyDescent="0.25">
      <c r="B1174" s="70">
        <v>43549</v>
      </c>
      <c r="C1174" t="s">
        <v>25</v>
      </c>
      <c r="D1174" t="s">
        <v>84</v>
      </c>
      <c r="E1174" t="s">
        <v>254</v>
      </c>
      <c r="F1174" s="71">
        <v>39</v>
      </c>
      <c r="G1174" s="71">
        <v>0</v>
      </c>
    </row>
    <row r="1175" spans="2:7" x14ac:dyDescent="0.25">
      <c r="B1175" s="70">
        <v>43549</v>
      </c>
      <c r="C1175" t="s">
        <v>54</v>
      </c>
      <c r="D1175" t="s">
        <v>101</v>
      </c>
      <c r="E1175" t="s">
        <v>256</v>
      </c>
      <c r="F1175" s="71">
        <v>1283.31</v>
      </c>
      <c r="G1175" s="71">
        <v>0</v>
      </c>
    </row>
    <row r="1176" spans="2:7" x14ac:dyDescent="0.25">
      <c r="B1176" s="70">
        <v>43549</v>
      </c>
      <c r="C1176" t="s">
        <v>21</v>
      </c>
      <c r="D1176" t="s">
        <v>79</v>
      </c>
      <c r="E1176" t="s">
        <v>254</v>
      </c>
      <c r="F1176" s="71">
        <v>16</v>
      </c>
      <c r="G1176" s="71">
        <v>0</v>
      </c>
    </row>
    <row r="1177" spans="2:7" x14ac:dyDescent="0.25">
      <c r="B1177" s="70">
        <v>43549</v>
      </c>
      <c r="C1177" t="s">
        <v>21</v>
      </c>
      <c r="D1177" t="s">
        <v>79</v>
      </c>
      <c r="E1177" t="s">
        <v>254</v>
      </c>
      <c r="F1177" s="71">
        <v>24</v>
      </c>
      <c r="G1177" s="71">
        <v>0</v>
      </c>
    </row>
    <row r="1178" spans="2:7" x14ac:dyDescent="0.25">
      <c r="B1178" s="70">
        <v>43549</v>
      </c>
      <c r="C1178" t="s">
        <v>21</v>
      </c>
      <c r="D1178" t="s">
        <v>79</v>
      </c>
      <c r="E1178" t="s">
        <v>254</v>
      </c>
      <c r="F1178" s="71">
        <v>40</v>
      </c>
      <c r="G1178" s="71">
        <v>0</v>
      </c>
    </row>
    <row r="1179" spans="2:7" x14ac:dyDescent="0.25">
      <c r="B1179" s="70">
        <v>43549</v>
      </c>
      <c r="C1179" t="s">
        <v>21</v>
      </c>
      <c r="D1179" t="s">
        <v>101</v>
      </c>
      <c r="E1179" t="s">
        <v>256</v>
      </c>
      <c r="F1179" s="71">
        <v>30.38</v>
      </c>
      <c r="G1179" s="71">
        <v>0</v>
      </c>
    </row>
    <row r="1180" spans="2:7" x14ac:dyDescent="0.25">
      <c r="B1180" s="70">
        <v>43549</v>
      </c>
      <c r="C1180" t="s">
        <v>21</v>
      </c>
      <c r="D1180" t="s">
        <v>101</v>
      </c>
      <c r="E1180" t="s">
        <v>256</v>
      </c>
      <c r="F1180" s="71">
        <v>79.08</v>
      </c>
      <c r="G1180" s="71">
        <v>0</v>
      </c>
    </row>
    <row r="1181" spans="2:7" x14ac:dyDescent="0.25">
      <c r="B1181" s="70">
        <v>43549</v>
      </c>
      <c r="C1181" t="s">
        <v>21</v>
      </c>
      <c r="D1181" t="s">
        <v>101</v>
      </c>
      <c r="E1181" t="s">
        <v>256</v>
      </c>
      <c r="F1181" s="71">
        <v>82.59</v>
      </c>
      <c r="G1181" s="71">
        <v>0</v>
      </c>
    </row>
    <row r="1182" spans="2:7" x14ac:dyDescent="0.25">
      <c r="B1182" s="70">
        <v>43549</v>
      </c>
      <c r="C1182" t="s">
        <v>21</v>
      </c>
      <c r="D1182" t="s">
        <v>101</v>
      </c>
      <c r="E1182" t="s">
        <v>256</v>
      </c>
      <c r="F1182" s="71">
        <v>87.89</v>
      </c>
      <c r="G1182" s="71">
        <v>0</v>
      </c>
    </row>
    <row r="1183" spans="2:7" x14ac:dyDescent="0.25">
      <c r="B1183" s="70">
        <v>43549</v>
      </c>
      <c r="C1183" t="s">
        <v>21</v>
      </c>
      <c r="D1183" t="s">
        <v>101</v>
      </c>
      <c r="E1183" t="s">
        <v>256</v>
      </c>
      <c r="F1183" s="71">
        <v>105.12</v>
      </c>
      <c r="G1183" s="71">
        <v>0</v>
      </c>
    </row>
    <row r="1184" spans="2:7" x14ac:dyDescent="0.25">
      <c r="B1184" s="70">
        <v>43549</v>
      </c>
      <c r="C1184" t="s">
        <v>21</v>
      </c>
      <c r="D1184" t="s">
        <v>101</v>
      </c>
      <c r="E1184" t="s">
        <v>256</v>
      </c>
      <c r="F1184" s="71">
        <v>142.01</v>
      </c>
      <c r="G1184" s="71">
        <v>0</v>
      </c>
    </row>
    <row r="1185" spans="2:7" x14ac:dyDescent="0.25">
      <c r="B1185" s="70">
        <v>43549</v>
      </c>
      <c r="C1185" t="s">
        <v>21</v>
      </c>
      <c r="D1185" t="s">
        <v>101</v>
      </c>
      <c r="E1185" t="s">
        <v>256</v>
      </c>
      <c r="F1185" s="71">
        <v>155.74</v>
      </c>
      <c r="G1185" s="71">
        <v>0</v>
      </c>
    </row>
    <row r="1186" spans="2:7" x14ac:dyDescent="0.25">
      <c r="B1186" s="70">
        <v>43549</v>
      </c>
      <c r="C1186" t="s">
        <v>21</v>
      </c>
      <c r="D1186" t="s">
        <v>101</v>
      </c>
      <c r="E1186" t="s">
        <v>256</v>
      </c>
      <c r="F1186" s="71">
        <v>165.12</v>
      </c>
      <c r="G1186" s="71">
        <v>0</v>
      </c>
    </row>
    <row r="1187" spans="2:7" x14ac:dyDescent="0.25">
      <c r="B1187" s="70">
        <v>43549</v>
      </c>
      <c r="C1187" t="s">
        <v>21</v>
      </c>
      <c r="D1187" t="s">
        <v>101</v>
      </c>
      <c r="E1187" t="s">
        <v>256</v>
      </c>
      <c r="F1187" s="71">
        <v>231.75</v>
      </c>
      <c r="G1187" s="71">
        <v>0</v>
      </c>
    </row>
    <row r="1188" spans="2:7" x14ac:dyDescent="0.25">
      <c r="B1188" s="70">
        <v>43549</v>
      </c>
      <c r="C1188" t="s">
        <v>21</v>
      </c>
      <c r="D1188" t="s">
        <v>101</v>
      </c>
      <c r="E1188" t="s">
        <v>256</v>
      </c>
      <c r="F1188" s="71">
        <v>238</v>
      </c>
      <c r="G1188" s="71">
        <v>0</v>
      </c>
    </row>
    <row r="1189" spans="2:7" x14ac:dyDescent="0.25">
      <c r="B1189" s="70">
        <v>43549</v>
      </c>
      <c r="C1189" t="s">
        <v>21</v>
      </c>
      <c r="D1189" t="s">
        <v>101</v>
      </c>
      <c r="E1189" t="s">
        <v>256</v>
      </c>
      <c r="F1189" s="71">
        <v>242.02</v>
      </c>
      <c r="G1189" s="71">
        <v>0</v>
      </c>
    </row>
    <row r="1190" spans="2:7" x14ac:dyDescent="0.25">
      <c r="B1190" s="70">
        <v>43549</v>
      </c>
      <c r="C1190" t="s">
        <v>21</v>
      </c>
      <c r="D1190" t="s">
        <v>101</v>
      </c>
      <c r="E1190" t="s">
        <v>256</v>
      </c>
      <c r="F1190" s="71">
        <v>260.81</v>
      </c>
      <c r="G1190" s="71">
        <v>0</v>
      </c>
    </row>
    <row r="1191" spans="2:7" x14ac:dyDescent="0.25">
      <c r="B1191" s="70">
        <v>43549</v>
      </c>
      <c r="C1191" t="s">
        <v>21</v>
      </c>
      <c r="D1191" t="s">
        <v>101</v>
      </c>
      <c r="E1191" t="s">
        <v>256</v>
      </c>
      <c r="F1191" s="71">
        <v>294.52</v>
      </c>
      <c r="G1191" s="71">
        <v>0</v>
      </c>
    </row>
    <row r="1192" spans="2:7" x14ac:dyDescent="0.25">
      <c r="B1192" s="70">
        <v>43549</v>
      </c>
      <c r="C1192" t="s">
        <v>21</v>
      </c>
      <c r="D1192" t="s">
        <v>101</v>
      </c>
      <c r="E1192" t="s">
        <v>256</v>
      </c>
      <c r="F1192" s="71">
        <v>369.72</v>
      </c>
      <c r="G1192" s="71">
        <v>0</v>
      </c>
    </row>
    <row r="1193" spans="2:7" x14ac:dyDescent="0.25">
      <c r="B1193" s="70">
        <v>43549</v>
      </c>
      <c r="C1193" t="s">
        <v>21</v>
      </c>
      <c r="D1193" t="s">
        <v>101</v>
      </c>
      <c r="E1193" t="s">
        <v>256</v>
      </c>
      <c r="F1193" s="71">
        <v>397.66</v>
      </c>
      <c r="G1193" s="71">
        <v>0</v>
      </c>
    </row>
    <row r="1194" spans="2:7" x14ac:dyDescent="0.25">
      <c r="B1194" s="70">
        <v>43549</v>
      </c>
      <c r="C1194" t="s">
        <v>21</v>
      </c>
      <c r="D1194" t="s">
        <v>101</v>
      </c>
      <c r="E1194" t="s">
        <v>256</v>
      </c>
      <c r="F1194" s="71">
        <v>456.32</v>
      </c>
      <c r="G1194" s="71">
        <v>0</v>
      </c>
    </row>
    <row r="1195" spans="2:7" x14ac:dyDescent="0.25">
      <c r="B1195" s="70">
        <v>43549</v>
      </c>
      <c r="C1195" t="s">
        <v>21</v>
      </c>
      <c r="D1195" t="s">
        <v>101</v>
      </c>
      <c r="E1195" t="s">
        <v>256</v>
      </c>
      <c r="F1195" s="71">
        <v>471.73</v>
      </c>
      <c r="G1195" s="71">
        <v>0</v>
      </c>
    </row>
    <row r="1196" spans="2:7" x14ac:dyDescent="0.25">
      <c r="B1196" s="70">
        <v>43549</v>
      </c>
      <c r="C1196" t="s">
        <v>21</v>
      </c>
      <c r="D1196" t="s">
        <v>101</v>
      </c>
      <c r="E1196" t="s">
        <v>256</v>
      </c>
      <c r="F1196" s="71">
        <v>488.85</v>
      </c>
      <c r="G1196" s="71">
        <v>0</v>
      </c>
    </row>
    <row r="1197" spans="2:7" x14ac:dyDescent="0.25">
      <c r="B1197" s="70">
        <v>43549</v>
      </c>
      <c r="C1197" t="s">
        <v>21</v>
      </c>
      <c r="D1197" t="s">
        <v>101</v>
      </c>
      <c r="E1197" t="s">
        <v>256</v>
      </c>
      <c r="F1197" s="71">
        <v>516.62</v>
      </c>
      <c r="G1197" s="71">
        <v>0</v>
      </c>
    </row>
    <row r="1198" spans="2:7" x14ac:dyDescent="0.25">
      <c r="B1198" s="70">
        <v>43549</v>
      </c>
      <c r="C1198" t="s">
        <v>21</v>
      </c>
      <c r="D1198" t="s">
        <v>101</v>
      </c>
      <c r="E1198" t="s">
        <v>256</v>
      </c>
      <c r="F1198" s="71">
        <v>523.55999999999995</v>
      </c>
      <c r="G1198" s="71">
        <v>0</v>
      </c>
    </row>
    <row r="1199" spans="2:7" x14ac:dyDescent="0.25">
      <c r="B1199" s="70">
        <v>43549</v>
      </c>
      <c r="C1199" t="s">
        <v>21</v>
      </c>
      <c r="D1199" t="s">
        <v>101</v>
      </c>
      <c r="E1199" t="s">
        <v>256</v>
      </c>
      <c r="F1199" s="71">
        <v>523.57000000000005</v>
      </c>
      <c r="G1199" s="71">
        <v>0</v>
      </c>
    </row>
    <row r="1200" spans="2:7" x14ac:dyDescent="0.25">
      <c r="B1200" s="70">
        <v>43549</v>
      </c>
      <c r="C1200" t="s">
        <v>21</v>
      </c>
      <c r="D1200" t="s">
        <v>101</v>
      </c>
      <c r="E1200" t="s">
        <v>256</v>
      </c>
      <c r="F1200" s="71">
        <v>562.41</v>
      </c>
      <c r="G1200" s="71">
        <v>0</v>
      </c>
    </row>
    <row r="1201" spans="2:7" x14ac:dyDescent="0.25">
      <c r="B1201" s="70">
        <v>43549</v>
      </c>
      <c r="C1201" t="s">
        <v>21</v>
      </c>
      <c r="D1201" t="s">
        <v>101</v>
      </c>
      <c r="E1201" t="s">
        <v>256</v>
      </c>
      <c r="F1201" s="71">
        <v>906.64</v>
      </c>
      <c r="G1201" s="71">
        <v>0</v>
      </c>
    </row>
    <row r="1202" spans="2:7" x14ac:dyDescent="0.25">
      <c r="B1202" s="70">
        <v>43549</v>
      </c>
      <c r="C1202" t="s">
        <v>48</v>
      </c>
      <c r="D1202" t="s">
        <v>101</v>
      </c>
      <c r="E1202" t="s">
        <v>256</v>
      </c>
      <c r="F1202" s="71">
        <v>7.31</v>
      </c>
      <c r="G1202" s="71">
        <v>0</v>
      </c>
    </row>
    <row r="1203" spans="2:7" x14ac:dyDescent="0.25">
      <c r="B1203" s="70">
        <v>43549</v>
      </c>
      <c r="C1203" t="s">
        <v>45</v>
      </c>
      <c r="D1203" t="s">
        <v>85</v>
      </c>
      <c r="E1203" t="s">
        <v>254</v>
      </c>
      <c r="F1203" s="71">
        <v>30.75</v>
      </c>
      <c r="G1203" s="71">
        <v>0</v>
      </c>
    </row>
    <row r="1204" spans="2:7" x14ac:dyDescent="0.25">
      <c r="B1204" s="70">
        <v>43549</v>
      </c>
      <c r="C1204" t="s">
        <v>50</v>
      </c>
      <c r="D1204" t="s">
        <v>101</v>
      </c>
      <c r="E1204" t="s">
        <v>256</v>
      </c>
      <c r="F1204" s="71">
        <v>16088.95</v>
      </c>
      <c r="G1204" s="71">
        <v>0</v>
      </c>
    </row>
    <row r="1205" spans="2:7" x14ac:dyDescent="0.25">
      <c r="B1205" s="70">
        <v>43549</v>
      </c>
      <c r="C1205" t="s">
        <v>52</v>
      </c>
      <c r="D1205" t="s">
        <v>101</v>
      </c>
      <c r="E1205" t="s">
        <v>256</v>
      </c>
      <c r="F1205" s="71">
        <v>1189.81</v>
      </c>
      <c r="G1205" s="71">
        <v>0</v>
      </c>
    </row>
    <row r="1206" spans="2:7" x14ac:dyDescent="0.25">
      <c r="B1206" s="70">
        <v>43549</v>
      </c>
      <c r="C1206" t="s">
        <v>53</v>
      </c>
      <c r="D1206" t="s">
        <v>101</v>
      </c>
      <c r="E1206" t="s">
        <v>256</v>
      </c>
      <c r="F1206" s="71">
        <v>37.49</v>
      </c>
      <c r="G1206" s="71">
        <v>0</v>
      </c>
    </row>
    <row r="1207" spans="2:7" x14ac:dyDescent="0.25">
      <c r="B1207" s="70">
        <v>43549</v>
      </c>
      <c r="C1207" t="s">
        <v>24</v>
      </c>
      <c r="D1207" t="s">
        <v>101</v>
      </c>
      <c r="E1207" t="s">
        <v>256</v>
      </c>
      <c r="F1207" s="71">
        <v>15.73</v>
      </c>
      <c r="G1207" s="71">
        <v>0</v>
      </c>
    </row>
    <row r="1208" spans="2:7" x14ac:dyDescent="0.25">
      <c r="B1208" s="70">
        <v>43549</v>
      </c>
      <c r="C1208" t="s">
        <v>24</v>
      </c>
      <c r="D1208" t="s">
        <v>101</v>
      </c>
      <c r="E1208" t="s">
        <v>256</v>
      </c>
      <c r="F1208" s="71">
        <v>17.670000000000002</v>
      </c>
      <c r="G1208" s="71">
        <v>0</v>
      </c>
    </row>
    <row r="1209" spans="2:7" x14ac:dyDescent="0.25">
      <c r="B1209" s="70">
        <v>43549</v>
      </c>
      <c r="C1209" t="s">
        <v>24</v>
      </c>
      <c r="D1209" t="s">
        <v>101</v>
      </c>
      <c r="E1209" t="s">
        <v>256</v>
      </c>
      <c r="F1209" s="71">
        <v>24.36</v>
      </c>
      <c r="G1209" s="71">
        <v>0</v>
      </c>
    </row>
    <row r="1210" spans="2:7" x14ac:dyDescent="0.25">
      <c r="B1210" s="70">
        <v>43549</v>
      </c>
      <c r="C1210" t="s">
        <v>24</v>
      </c>
      <c r="D1210" t="s">
        <v>101</v>
      </c>
      <c r="E1210" t="s">
        <v>256</v>
      </c>
      <c r="F1210" s="71">
        <v>26.83</v>
      </c>
      <c r="G1210" s="71">
        <v>0</v>
      </c>
    </row>
    <row r="1211" spans="2:7" x14ac:dyDescent="0.25">
      <c r="B1211" s="70">
        <v>43549</v>
      </c>
      <c r="C1211" t="s">
        <v>24</v>
      </c>
      <c r="D1211" t="s">
        <v>101</v>
      </c>
      <c r="E1211" t="s">
        <v>256</v>
      </c>
      <c r="F1211" s="71">
        <v>39.42</v>
      </c>
      <c r="G1211" s="71">
        <v>0</v>
      </c>
    </row>
    <row r="1212" spans="2:7" x14ac:dyDescent="0.25">
      <c r="B1212" s="70">
        <v>43549</v>
      </c>
      <c r="C1212" t="s">
        <v>24</v>
      </c>
      <c r="D1212" t="s">
        <v>101</v>
      </c>
      <c r="E1212" t="s">
        <v>256</v>
      </c>
      <c r="F1212" s="71">
        <v>72.62</v>
      </c>
      <c r="G1212" s="71">
        <v>0</v>
      </c>
    </row>
    <row r="1213" spans="2:7" x14ac:dyDescent="0.25">
      <c r="B1213" s="70">
        <v>43549</v>
      </c>
      <c r="C1213" t="s">
        <v>24</v>
      </c>
      <c r="D1213" t="s">
        <v>101</v>
      </c>
      <c r="E1213" t="s">
        <v>256</v>
      </c>
      <c r="F1213" s="71">
        <v>77.64</v>
      </c>
      <c r="G1213" s="71">
        <v>0</v>
      </c>
    </row>
    <row r="1214" spans="2:7" x14ac:dyDescent="0.25">
      <c r="B1214" s="70">
        <v>43549</v>
      </c>
      <c r="C1214" t="s">
        <v>24</v>
      </c>
      <c r="D1214" t="s">
        <v>101</v>
      </c>
      <c r="E1214" t="s">
        <v>256</v>
      </c>
      <c r="F1214" s="71">
        <v>82.95</v>
      </c>
      <c r="G1214" s="71">
        <v>0</v>
      </c>
    </row>
    <row r="1215" spans="2:7" x14ac:dyDescent="0.25">
      <c r="B1215" s="70">
        <v>43549</v>
      </c>
      <c r="C1215" t="s">
        <v>61</v>
      </c>
      <c r="D1215" t="s">
        <v>101</v>
      </c>
      <c r="E1215" t="s">
        <v>256</v>
      </c>
      <c r="F1215" s="71">
        <v>1290.4100000000001</v>
      </c>
      <c r="G1215" s="71">
        <v>0</v>
      </c>
    </row>
    <row r="1216" spans="2:7" x14ac:dyDescent="0.25">
      <c r="B1216" s="70">
        <v>43550</v>
      </c>
      <c r="C1216" t="s">
        <v>25</v>
      </c>
      <c r="D1216" t="s">
        <v>87</v>
      </c>
      <c r="E1216" t="s">
        <v>257</v>
      </c>
      <c r="F1216" s="71">
        <v>35.369999999999997</v>
      </c>
      <c r="G1216" s="71">
        <v>0</v>
      </c>
    </row>
    <row r="1217" spans="2:7" x14ac:dyDescent="0.25">
      <c r="B1217" s="70">
        <v>43550</v>
      </c>
      <c r="C1217" t="s">
        <v>25</v>
      </c>
      <c r="D1217" t="s">
        <v>87</v>
      </c>
      <c r="E1217" t="s">
        <v>257</v>
      </c>
      <c r="F1217" s="71">
        <v>39.86</v>
      </c>
      <c r="G1217" s="71">
        <v>0</v>
      </c>
    </row>
    <row r="1218" spans="2:7" x14ac:dyDescent="0.25">
      <c r="B1218" s="70">
        <v>43550</v>
      </c>
      <c r="C1218" t="s">
        <v>25</v>
      </c>
      <c r="D1218" t="s">
        <v>87</v>
      </c>
      <c r="E1218" t="s">
        <v>257</v>
      </c>
      <c r="F1218" s="71">
        <v>137.11000000000001</v>
      </c>
      <c r="G1218" s="71">
        <v>0</v>
      </c>
    </row>
    <row r="1219" spans="2:7" x14ac:dyDescent="0.25">
      <c r="B1219" s="70">
        <v>43550</v>
      </c>
      <c r="C1219" t="s">
        <v>25</v>
      </c>
      <c r="D1219" t="s">
        <v>87</v>
      </c>
      <c r="E1219" t="s">
        <v>257</v>
      </c>
      <c r="F1219" s="71">
        <v>213.44</v>
      </c>
      <c r="G1219" s="71">
        <v>0</v>
      </c>
    </row>
    <row r="1220" spans="2:7" x14ac:dyDescent="0.25">
      <c r="B1220" s="70">
        <v>43550</v>
      </c>
      <c r="C1220" t="s">
        <v>25</v>
      </c>
      <c r="D1220" t="s">
        <v>84</v>
      </c>
      <c r="E1220" t="s">
        <v>257</v>
      </c>
      <c r="F1220" s="71">
        <v>19</v>
      </c>
      <c r="G1220" s="71">
        <v>0</v>
      </c>
    </row>
    <row r="1221" spans="2:7" x14ac:dyDescent="0.25">
      <c r="B1221" s="70">
        <v>43550</v>
      </c>
      <c r="C1221" t="s">
        <v>25</v>
      </c>
      <c r="D1221" t="s">
        <v>84</v>
      </c>
      <c r="E1221" t="s">
        <v>257</v>
      </c>
      <c r="F1221" s="71">
        <v>30</v>
      </c>
      <c r="G1221" s="71">
        <v>0</v>
      </c>
    </row>
    <row r="1222" spans="2:7" x14ac:dyDescent="0.25">
      <c r="B1222" s="70">
        <v>43550</v>
      </c>
      <c r="C1222" t="s">
        <v>46</v>
      </c>
      <c r="D1222" t="s">
        <v>84</v>
      </c>
      <c r="E1222" t="s">
        <v>257</v>
      </c>
      <c r="F1222" s="71">
        <v>10</v>
      </c>
      <c r="G1222" s="71">
        <v>0</v>
      </c>
    </row>
    <row r="1223" spans="2:7" x14ac:dyDescent="0.25">
      <c r="B1223" s="70">
        <v>43550</v>
      </c>
      <c r="C1223" t="s">
        <v>59</v>
      </c>
      <c r="D1223" t="s">
        <v>84</v>
      </c>
      <c r="E1223" t="s">
        <v>257</v>
      </c>
      <c r="F1223" s="71">
        <v>1060.6500000000001</v>
      </c>
      <c r="G1223" s="71">
        <v>0</v>
      </c>
    </row>
    <row r="1224" spans="2:7" x14ac:dyDescent="0.25">
      <c r="B1224" s="70">
        <v>43550</v>
      </c>
      <c r="C1224" t="s">
        <v>56</v>
      </c>
      <c r="D1224" t="s">
        <v>84</v>
      </c>
      <c r="E1224" t="s">
        <v>257</v>
      </c>
      <c r="F1224" s="71">
        <v>46.02</v>
      </c>
      <c r="G1224" s="71">
        <v>0</v>
      </c>
    </row>
    <row r="1225" spans="2:7" x14ac:dyDescent="0.25">
      <c r="B1225" s="70">
        <v>43550</v>
      </c>
      <c r="C1225" t="s">
        <v>51</v>
      </c>
      <c r="D1225" t="s">
        <v>86</v>
      </c>
      <c r="E1225" t="s">
        <v>257</v>
      </c>
      <c r="F1225" s="71">
        <v>166.26</v>
      </c>
      <c r="G1225" s="71">
        <v>0</v>
      </c>
    </row>
    <row r="1226" spans="2:7" x14ac:dyDescent="0.25">
      <c r="B1226" s="70">
        <v>43550</v>
      </c>
      <c r="C1226" t="s">
        <v>51</v>
      </c>
      <c r="D1226" t="s">
        <v>84</v>
      </c>
      <c r="E1226" t="s">
        <v>257</v>
      </c>
      <c r="F1226" s="71">
        <v>61.92</v>
      </c>
      <c r="G1226" s="71">
        <v>0</v>
      </c>
    </row>
    <row r="1227" spans="2:7" x14ac:dyDescent="0.25">
      <c r="B1227" s="70">
        <v>43550</v>
      </c>
      <c r="C1227" t="s">
        <v>43</v>
      </c>
      <c r="D1227" t="s">
        <v>84</v>
      </c>
      <c r="E1227" t="s">
        <v>257</v>
      </c>
      <c r="F1227" s="71">
        <v>675.9</v>
      </c>
      <c r="G1227" s="71">
        <v>0</v>
      </c>
    </row>
    <row r="1228" spans="2:7" x14ac:dyDescent="0.25">
      <c r="B1228" s="70">
        <v>43550</v>
      </c>
      <c r="C1228" t="s">
        <v>21</v>
      </c>
      <c r="D1228" t="s">
        <v>79</v>
      </c>
      <c r="E1228" t="s">
        <v>257</v>
      </c>
      <c r="F1228" s="71">
        <v>8</v>
      </c>
      <c r="G1228" s="71">
        <v>0</v>
      </c>
    </row>
    <row r="1229" spans="2:7" x14ac:dyDescent="0.25">
      <c r="B1229" s="70">
        <v>43550</v>
      </c>
      <c r="C1229" t="s">
        <v>21</v>
      </c>
      <c r="D1229" t="s">
        <v>79</v>
      </c>
      <c r="E1229" t="s">
        <v>257</v>
      </c>
      <c r="F1229" s="71">
        <v>16</v>
      </c>
      <c r="G1229" s="71">
        <v>0</v>
      </c>
    </row>
    <row r="1230" spans="2:7" x14ac:dyDescent="0.25">
      <c r="B1230" s="70">
        <v>43550</v>
      </c>
      <c r="C1230" t="s">
        <v>48</v>
      </c>
      <c r="D1230" t="s">
        <v>80</v>
      </c>
      <c r="E1230" t="s">
        <v>257</v>
      </c>
      <c r="F1230" s="71">
        <v>41.19</v>
      </c>
      <c r="G1230" s="71">
        <v>0</v>
      </c>
    </row>
    <row r="1231" spans="2:7" x14ac:dyDescent="0.25">
      <c r="B1231" s="70">
        <v>43550</v>
      </c>
      <c r="C1231" t="s">
        <v>48</v>
      </c>
      <c r="D1231" t="s">
        <v>87</v>
      </c>
      <c r="E1231" t="s">
        <v>257</v>
      </c>
      <c r="F1231" s="71">
        <v>23.26</v>
      </c>
      <c r="G1231" s="71">
        <v>0</v>
      </c>
    </row>
    <row r="1232" spans="2:7" x14ac:dyDescent="0.25">
      <c r="B1232" s="70">
        <v>43550</v>
      </c>
      <c r="C1232" t="s">
        <v>48</v>
      </c>
      <c r="D1232" t="s">
        <v>86</v>
      </c>
      <c r="E1232" t="s">
        <v>257</v>
      </c>
      <c r="F1232" s="71">
        <v>235.9</v>
      </c>
      <c r="G1232" s="71">
        <v>0</v>
      </c>
    </row>
    <row r="1233" spans="2:7" x14ac:dyDescent="0.25">
      <c r="B1233" s="70">
        <v>43550</v>
      </c>
      <c r="C1233" t="s">
        <v>48</v>
      </c>
      <c r="D1233" t="s">
        <v>84</v>
      </c>
      <c r="E1233" t="s">
        <v>257</v>
      </c>
      <c r="F1233" s="71">
        <v>90.01</v>
      </c>
      <c r="G1233" s="71">
        <v>0</v>
      </c>
    </row>
    <row r="1234" spans="2:7" x14ac:dyDescent="0.25">
      <c r="B1234" s="70">
        <v>43550</v>
      </c>
      <c r="C1234" t="s">
        <v>50</v>
      </c>
      <c r="D1234" t="s">
        <v>83</v>
      </c>
      <c r="E1234" t="s">
        <v>257</v>
      </c>
      <c r="F1234" s="71">
        <v>150</v>
      </c>
      <c r="G1234" s="71">
        <v>0</v>
      </c>
    </row>
    <row r="1235" spans="2:7" x14ac:dyDescent="0.25">
      <c r="B1235" s="70">
        <v>43551</v>
      </c>
      <c r="C1235" t="s">
        <v>25</v>
      </c>
      <c r="D1235" t="s">
        <v>79</v>
      </c>
      <c r="E1235" t="s">
        <v>258</v>
      </c>
      <c r="F1235" s="71">
        <v>8</v>
      </c>
      <c r="G1235" s="71">
        <v>0</v>
      </c>
    </row>
    <row r="1236" spans="2:7" x14ac:dyDescent="0.25">
      <c r="B1236" s="70">
        <v>43551</v>
      </c>
      <c r="C1236" t="s">
        <v>25</v>
      </c>
      <c r="D1236" t="s">
        <v>87</v>
      </c>
      <c r="E1236" t="s">
        <v>258</v>
      </c>
      <c r="F1236" s="71">
        <v>31.55</v>
      </c>
      <c r="G1236" s="71">
        <v>0</v>
      </c>
    </row>
    <row r="1237" spans="2:7" x14ac:dyDescent="0.25">
      <c r="B1237" s="70">
        <v>43551</v>
      </c>
      <c r="C1237" t="s">
        <v>25</v>
      </c>
      <c r="D1237" t="s">
        <v>87</v>
      </c>
      <c r="E1237" t="s">
        <v>258</v>
      </c>
      <c r="F1237" s="71">
        <v>60.5</v>
      </c>
      <c r="G1237" s="71">
        <v>0</v>
      </c>
    </row>
    <row r="1238" spans="2:7" x14ac:dyDescent="0.25">
      <c r="B1238" s="70">
        <v>43551</v>
      </c>
      <c r="C1238" t="s">
        <v>25</v>
      </c>
      <c r="D1238" t="s">
        <v>87</v>
      </c>
      <c r="E1238" t="s">
        <v>258</v>
      </c>
      <c r="F1238" s="71">
        <v>85</v>
      </c>
      <c r="G1238" s="71">
        <v>0</v>
      </c>
    </row>
    <row r="1239" spans="2:7" x14ac:dyDescent="0.25">
      <c r="B1239" s="70">
        <v>43551</v>
      </c>
      <c r="C1239" t="s">
        <v>25</v>
      </c>
      <c r="D1239" t="s">
        <v>87</v>
      </c>
      <c r="E1239" t="s">
        <v>258</v>
      </c>
      <c r="F1239" s="71">
        <v>97.25</v>
      </c>
      <c r="G1239" s="71">
        <v>0</v>
      </c>
    </row>
    <row r="1240" spans="2:7" x14ac:dyDescent="0.25">
      <c r="B1240" s="70">
        <v>43551</v>
      </c>
      <c r="C1240" t="s">
        <v>25</v>
      </c>
      <c r="D1240" t="s">
        <v>81</v>
      </c>
      <c r="E1240" t="s">
        <v>135</v>
      </c>
      <c r="F1240" s="71">
        <v>3.15</v>
      </c>
      <c r="G1240" s="71">
        <v>0</v>
      </c>
    </row>
    <row r="1241" spans="2:7" x14ac:dyDescent="0.25">
      <c r="B1241" s="70">
        <v>43551</v>
      </c>
      <c r="C1241" t="s">
        <v>25</v>
      </c>
      <c r="D1241" t="s">
        <v>81</v>
      </c>
      <c r="E1241" t="s">
        <v>220</v>
      </c>
      <c r="F1241" s="71">
        <v>2.25</v>
      </c>
      <c r="G1241" s="71">
        <v>0</v>
      </c>
    </row>
    <row r="1242" spans="2:7" x14ac:dyDescent="0.25">
      <c r="B1242" s="70">
        <v>43551</v>
      </c>
      <c r="C1242" t="s">
        <v>25</v>
      </c>
      <c r="D1242" t="s">
        <v>81</v>
      </c>
      <c r="E1242" t="s">
        <v>195</v>
      </c>
      <c r="F1242" s="71">
        <v>26</v>
      </c>
      <c r="G1242" s="71">
        <v>0</v>
      </c>
    </row>
    <row r="1243" spans="2:7" x14ac:dyDescent="0.25">
      <c r="B1243" s="70">
        <v>43551</v>
      </c>
      <c r="C1243" t="s">
        <v>25</v>
      </c>
      <c r="D1243" t="s">
        <v>81</v>
      </c>
      <c r="E1243" t="s">
        <v>161</v>
      </c>
      <c r="F1243" s="71">
        <v>17.399999999999999</v>
      </c>
      <c r="G1243" s="71">
        <v>0</v>
      </c>
    </row>
    <row r="1244" spans="2:7" x14ac:dyDescent="0.25">
      <c r="B1244" s="70">
        <v>43551</v>
      </c>
      <c r="C1244" t="s">
        <v>25</v>
      </c>
      <c r="D1244" t="s">
        <v>84</v>
      </c>
      <c r="E1244" t="s">
        <v>258</v>
      </c>
      <c r="F1244" s="71">
        <v>19</v>
      </c>
      <c r="G1244" s="71">
        <v>0</v>
      </c>
    </row>
    <row r="1245" spans="2:7" x14ac:dyDescent="0.25">
      <c r="B1245" s="70">
        <v>43551</v>
      </c>
      <c r="C1245" t="s">
        <v>25</v>
      </c>
      <c r="D1245" t="s">
        <v>84</v>
      </c>
      <c r="E1245" t="s">
        <v>258</v>
      </c>
      <c r="F1245" s="71">
        <v>91</v>
      </c>
      <c r="G1245" s="71">
        <v>0</v>
      </c>
    </row>
    <row r="1246" spans="2:7" x14ac:dyDescent="0.25">
      <c r="B1246" s="70">
        <v>43551</v>
      </c>
      <c r="C1246" t="s">
        <v>25</v>
      </c>
      <c r="D1246" t="s">
        <v>84</v>
      </c>
      <c r="E1246" t="s">
        <v>258</v>
      </c>
      <c r="F1246" s="71">
        <v>143</v>
      </c>
      <c r="G1246" s="71">
        <v>0</v>
      </c>
    </row>
    <row r="1247" spans="2:7" x14ac:dyDescent="0.25">
      <c r="B1247" s="70">
        <v>43551</v>
      </c>
      <c r="C1247" t="s">
        <v>25</v>
      </c>
      <c r="D1247" t="s">
        <v>84</v>
      </c>
      <c r="E1247" t="s">
        <v>258</v>
      </c>
      <c r="F1247" s="71">
        <v>162.5</v>
      </c>
      <c r="G1247" s="71">
        <v>0</v>
      </c>
    </row>
    <row r="1248" spans="2:7" x14ac:dyDescent="0.25">
      <c r="B1248" s="70">
        <v>43551</v>
      </c>
      <c r="C1248" t="s">
        <v>54</v>
      </c>
      <c r="D1248" t="s">
        <v>79</v>
      </c>
      <c r="E1248" t="s">
        <v>258</v>
      </c>
      <c r="F1248" s="71">
        <v>15</v>
      </c>
      <c r="G1248" s="71">
        <v>0</v>
      </c>
    </row>
    <row r="1249" spans="2:7" x14ac:dyDescent="0.25">
      <c r="B1249" s="70">
        <v>43551</v>
      </c>
      <c r="C1249" t="s">
        <v>54</v>
      </c>
      <c r="D1249" t="s">
        <v>85</v>
      </c>
      <c r="E1249" t="s">
        <v>258</v>
      </c>
      <c r="F1249" s="71">
        <v>126.3</v>
      </c>
      <c r="G1249" s="71">
        <v>0</v>
      </c>
    </row>
    <row r="1250" spans="2:7" x14ac:dyDescent="0.25">
      <c r="B1250" s="70">
        <v>43551</v>
      </c>
      <c r="C1250" t="s">
        <v>46</v>
      </c>
      <c r="D1250" t="s">
        <v>84</v>
      </c>
      <c r="E1250" t="s">
        <v>258</v>
      </c>
      <c r="F1250" s="71">
        <v>34.6</v>
      </c>
      <c r="G1250" s="71">
        <v>0</v>
      </c>
    </row>
    <row r="1251" spans="2:7" x14ac:dyDescent="0.25">
      <c r="B1251" s="70">
        <v>43551</v>
      </c>
      <c r="C1251" t="s">
        <v>72</v>
      </c>
      <c r="D1251" t="s">
        <v>79</v>
      </c>
      <c r="E1251" t="s">
        <v>258</v>
      </c>
      <c r="F1251" s="71">
        <v>10.1</v>
      </c>
      <c r="G1251" s="71">
        <v>0</v>
      </c>
    </row>
    <row r="1252" spans="2:7" x14ac:dyDescent="0.25">
      <c r="B1252" s="70">
        <v>43551</v>
      </c>
      <c r="C1252" t="s">
        <v>57</v>
      </c>
      <c r="D1252" t="s">
        <v>84</v>
      </c>
      <c r="E1252" t="s">
        <v>258</v>
      </c>
      <c r="F1252" s="71">
        <v>383.94</v>
      </c>
      <c r="G1252" s="71">
        <v>0</v>
      </c>
    </row>
    <row r="1253" spans="2:7" x14ac:dyDescent="0.25">
      <c r="B1253" s="70">
        <v>43551</v>
      </c>
      <c r="C1253" t="s">
        <v>43</v>
      </c>
      <c r="D1253" t="s">
        <v>82</v>
      </c>
      <c r="E1253" t="s">
        <v>258</v>
      </c>
      <c r="F1253" s="71">
        <v>140.46</v>
      </c>
      <c r="G1253" s="71">
        <v>0</v>
      </c>
    </row>
    <row r="1254" spans="2:7" x14ac:dyDescent="0.25">
      <c r="B1254" s="70">
        <v>43551</v>
      </c>
      <c r="C1254" t="s">
        <v>21</v>
      </c>
      <c r="D1254" t="s">
        <v>79</v>
      </c>
      <c r="E1254" t="s">
        <v>258</v>
      </c>
      <c r="F1254" s="71">
        <v>8</v>
      </c>
      <c r="G1254" s="71">
        <v>0</v>
      </c>
    </row>
    <row r="1255" spans="2:7" x14ac:dyDescent="0.25">
      <c r="B1255" s="70">
        <v>43551</v>
      </c>
      <c r="C1255" t="s">
        <v>21</v>
      </c>
      <c r="D1255" t="s">
        <v>79</v>
      </c>
      <c r="E1255" t="s">
        <v>258</v>
      </c>
      <c r="F1255" s="71">
        <v>16</v>
      </c>
      <c r="G1255" s="71">
        <v>0</v>
      </c>
    </row>
    <row r="1256" spans="2:7" x14ac:dyDescent="0.25">
      <c r="B1256" s="70">
        <v>43551</v>
      </c>
      <c r="C1256" t="s">
        <v>21</v>
      </c>
      <c r="D1256" t="s">
        <v>84</v>
      </c>
      <c r="E1256" t="s">
        <v>258</v>
      </c>
      <c r="F1256" s="71">
        <v>234</v>
      </c>
      <c r="G1256" s="71">
        <v>0</v>
      </c>
    </row>
    <row r="1257" spans="2:7" x14ac:dyDescent="0.25">
      <c r="B1257" s="70">
        <v>43551</v>
      </c>
      <c r="C1257" t="s">
        <v>48</v>
      </c>
      <c r="D1257" t="s">
        <v>87</v>
      </c>
      <c r="E1257" t="s">
        <v>258</v>
      </c>
      <c r="F1257" s="71">
        <v>18</v>
      </c>
      <c r="G1257" s="71">
        <v>0</v>
      </c>
    </row>
    <row r="1258" spans="2:7" x14ac:dyDescent="0.25">
      <c r="B1258" s="70">
        <v>43551</v>
      </c>
      <c r="C1258" t="s">
        <v>48</v>
      </c>
      <c r="D1258" t="s">
        <v>82</v>
      </c>
      <c r="E1258" t="s">
        <v>258</v>
      </c>
      <c r="F1258" s="71">
        <v>70.23</v>
      </c>
      <c r="G1258" s="71">
        <v>0</v>
      </c>
    </row>
    <row r="1259" spans="2:7" x14ac:dyDescent="0.25">
      <c r="B1259" s="70">
        <v>43551</v>
      </c>
      <c r="C1259" t="s">
        <v>48</v>
      </c>
      <c r="D1259" t="s">
        <v>84</v>
      </c>
      <c r="E1259" t="s">
        <v>258</v>
      </c>
      <c r="F1259" s="71">
        <v>1083.51</v>
      </c>
      <c r="G1259" s="71">
        <v>0</v>
      </c>
    </row>
    <row r="1260" spans="2:7" x14ac:dyDescent="0.25">
      <c r="B1260" s="70">
        <v>43551</v>
      </c>
      <c r="C1260" t="s">
        <v>45</v>
      </c>
      <c r="D1260" t="s">
        <v>86</v>
      </c>
      <c r="E1260" t="s">
        <v>258</v>
      </c>
      <c r="F1260" s="71">
        <v>32.65</v>
      </c>
      <c r="G1260" s="71">
        <v>0</v>
      </c>
    </row>
    <row r="1261" spans="2:7" x14ac:dyDescent="0.25">
      <c r="B1261" s="70">
        <v>43551</v>
      </c>
      <c r="C1261" t="s">
        <v>50</v>
      </c>
      <c r="D1261" t="s">
        <v>87</v>
      </c>
      <c r="E1261" t="s">
        <v>258</v>
      </c>
      <c r="F1261" s="71">
        <v>294.31</v>
      </c>
      <c r="G1261" s="71">
        <v>0</v>
      </c>
    </row>
    <row r="1262" spans="2:7" x14ac:dyDescent="0.25">
      <c r="B1262" s="70">
        <v>43551</v>
      </c>
      <c r="C1262" t="s">
        <v>58</v>
      </c>
      <c r="D1262" t="s">
        <v>79</v>
      </c>
      <c r="E1262" t="s">
        <v>258</v>
      </c>
      <c r="F1262" s="71">
        <v>7.33</v>
      </c>
      <c r="G1262" s="71">
        <v>0</v>
      </c>
    </row>
    <row r="1263" spans="2:7" x14ac:dyDescent="0.25">
      <c r="B1263" s="70">
        <v>43551</v>
      </c>
      <c r="C1263" t="s">
        <v>71</v>
      </c>
      <c r="D1263" t="s">
        <v>86</v>
      </c>
      <c r="E1263" t="s">
        <v>258</v>
      </c>
      <c r="F1263" s="71">
        <v>343.33</v>
      </c>
      <c r="G1263" s="71">
        <v>0</v>
      </c>
    </row>
    <row r="1264" spans="2:7" x14ac:dyDescent="0.25">
      <c r="B1264" s="70">
        <v>43551</v>
      </c>
      <c r="C1264" t="s">
        <v>71</v>
      </c>
      <c r="D1264" t="s">
        <v>84</v>
      </c>
      <c r="E1264" t="s">
        <v>258</v>
      </c>
      <c r="F1264" s="71">
        <v>24</v>
      </c>
      <c r="G1264" s="71">
        <v>0</v>
      </c>
    </row>
    <row r="1265" spans="2:7" x14ac:dyDescent="0.25">
      <c r="B1265" s="70">
        <v>43551</v>
      </c>
      <c r="C1265" t="s">
        <v>24</v>
      </c>
      <c r="D1265" t="s">
        <v>84</v>
      </c>
      <c r="E1265" t="s">
        <v>258</v>
      </c>
      <c r="F1265" s="71">
        <v>117</v>
      </c>
      <c r="G1265" s="71">
        <v>0</v>
      </c>
    </row>
    <row r="1266" spans="2:7" x14ac:dyDescent="0.25">
      <c r="B1266" s="70">
        <v>43551</v>
      </c>
      <c r="C1266" t="s">
        <v>24</v>
      </c>
      <c r="D1266" t="s">
        <v>84</v>
      </c>
      <c r="E1266" t="s">
        <v>258</v>
      </c>
      <c r="F1266" s="71">
        <v>143</v>
      </c>
      <c r="G1266" s="71">
        <v>0</v>
      </c>
    </row>
    <row r="1267" spans="2:7" x14ac:dyDescent="0.25">
      <c r="B1267" s="70">
        <v>43551</v>
      </c>
      <c r="C1267" t="s">
        <v>24</v>
      </c>
      <c r="D1267" t="s">
        <v>84</v>
      </c>
      <c r="E1267" t="s">
        <v>258</v>
      </c>
      <c r="F1267" s="71">
        <v>234</v>
      </c>
      <c r="G1267" s="71">
        <v>0</v>
      </c>
    </row>
    <row r="1268" spans="2:7" x14ac:dyDescent="0.25">
      <c r="B1268" s="70">
        <v>43551</v>
      </c>
      <c r="C1268" t="s">
        <v>60</v>
      </c>
      <c r="D1268" t="s">
        <v>84</v>
      </c>
      <c r="E1268" t="s">
        <v>258</v>
      </c>
      <c r="F1268" s="71">
        <v>17.12</v>
      </c>
      <c r="G1268" s="71">
        <v>0</v>
      </c>
    </row>
    <row r="1269" spans="2:7" x14ac:dyDescent="0.25">
      <c r="B1269" s="70">
        <v>43552</v>
      </c>
      <c r="C1269" t="s">
        <v>25</v>
      </c>
      <c r="D1269" t="s">
        <v>87</v>
      </c>
      <c r="E1269" t="s">
        <v>259</v>
      </c>
      <c r="F1269" s="71">
        <v>221.05</v>
      </c>
      <c r="G1269" s="71">
        <v>0</v>
      </c>
    </row>
    <row r="1270" spans="2:7" x14ac:dyDescent="0.25">
      <c r="B1270" s="70">
        <v>43552</v>
      </c>
      <c r="C1270" t="s">
        <v>25</v>
      </c>
      <c r="D1270" t="s">
        <v>84</v>
      </c>
      <c r="E1270" t="s">
        <v>259</v>
      </c>
      <c r="F1270" s="71">
        <v>33.65</v>
      </c>
      <c r="G1270" s="71">
        <v>0</v>
      </c>
    </row>
    <row r="1271" spans="2:7" x14ac:dyDescent="0.25">
      <c r="B1271" s="70">
        <v>43552</v>
      </c>
      <c r="C1271" t="s">
        <v>54</v>
      </c>
      <c r="D1271" t="s">
        <v>85</v>
      </c>
      <c r="E1271" t="s">
        <v>259</v>
      </c>
      <c r="F1271" s="71">
        <v>28.75</v>
      </c>
      <c r="G1271" s="71">
        <v>0</v>
      </c>
    </row>
    <row r="1272" spans="2:7" x14ac:dyDescent="0.25">
      <c r="B1272" s="70">
        <v>43552</v>
      </c>
      <c r="C1272" t="s">
        <v>46</v>
      </c>
      <c r="D1272" t="s">
        <v>85</v>
      </c>
      <c r="E1272" t="s">
        <v>259</v>
      </c>
      <c r="F1272" s="71">
        <v>96.45</v>
      </c>
      <c r="G1272" s="71">
        <v>0</v>
      </c>
    </row>
    <row r="1273" spans="2:7" x14ac:dyDescent="0.25">
      <c r="B1273" s="70">
        <v>43552</v>
      </c>
      <c r="C1273" t="s">
        <v>21</v>
      </c>
      <c r="D1273" t="s">
        <v>79</v>
      </c>
      <c r="E1273" t="s">
        <v>259</v>
      </c>
      <c r="F1273" s="71">
        <v>8</v>
      </c>
      <c r="G1273" s="71">
        <v>0</v>
      </c>
    </row>
    <row r="1274" spans="2:7" x14ac:dyDescent="0.25">
      <c r="B1274" s="70">
        <v>43552</v>
      </c>
      <c r="C1274" t="s">
        <v>21</v>
      </c>
      <c r="D1274" t="s">
        <v>79</v>
      </c>
      <c r="E1274" t="s">
        <v>259</v>
      </c>
      <c r="F1274" s="71">
        <v>16</v>
      </c>
      <c r="G1274" s="71">
        <v>0</v>
      </c>
    </row>
    <row r="1275" spans="2:7" x14ac:dyDescent="0.25">
      <c r="B1275" s="70">
        <v>43552</v>
      </c>
      <c r="C1275" t="s">
        <v>52</v>
      </c>
      <c r="D1275" t="s">
        <v>84</v>
      </c>
      <c r="E1275" t="s">
        <v>259</v>
      </c>
      <c r="F1275" s="71">
        <v>11</v>
      </c>
      <c r="G1275" s="71">
        <v>0</v>
      </c>
    </row>
    <row r="1276" spans="2:7" x14ac:dyDescent="0.25">
      <c r="B1276" s="70">
        <v>43552</v>
      </c>
      <c r="C1276" t="s">
        <v>24</v>
      </c>
      <c r="D1276" t="s">
        <v>79</v>
      </c>
      <c r="E1276" t="s">
        <v>259</v>
      </c>
      <c r="F1276" s="71">
        <v>8</v>
      </c>
      <c r="G1276" s="71">
        <v>0</v>
      </c>
    </row>
    <row r="1277" spans="2:7" x14ac:dyDescent="0.25">
      <c r="B1277" s="70">
        <v>43552</v>
      </c>
      <c r="C1277" t="s">
        <v>24</v>
      </c>
      <c r="D1277" t="s">
        <v>79</v>
      </c>
      <c r="E1277" t="s">
        <v>259</v>
      </c>
      <c r="F1277" s="71">
        <v>32</v>
      </c>
      <c r="G1277" s="71">
        <v>0</v>
      </c>
    </row>
    <row r="1278" spans="2:7" x14ac:dyDescent="0.25">
      <c r="B1278" s="70">
        <v>43553</v>
      </c>
      <c r="C1278" t="s">
        <v>25</v>
      </c>
      <c r="D1278" t="s">
        <v>79</v>
      </c>
      <c r="E1278" t="s">
        <v>260</v>
      </c>
      <c r="F1278" s="71">
        <v>8</v>
      </c>
      <c r="G1278" s="71">
        <v>0</v>
      </c>
    </row>
    <row r="1279" spans="2:7" x14ac:dyDescent="0.25">
      <c r="B1279" s="70">
        <v>43553</v>
      </c>
      <c r="C1279" t="s">
        <v>25</v>
      </c>
      <c r="D1279" t="s">
        <v>79</v>
      </c>
      <c r="E1279" t="s">
        <v>260</v>
      </c>
      <c r="F1279" s="71">
        <v>70</v>
      </c>
      <c r="G1279" s="71">
        <v>0</v>
      </c>
    </row>
    <row r="1280" spans="2:7" x14ac:dyDescent="0.25">
      <c r="B1280" s="70">
        <v>43553</v>
      </c>
      <c r="C1280" t="s">
        <v>25</v>
      </c>
      <c r="D1280" t="s">
        <v>87</v>
      </c>
      <c r="E1280" t="s">
        <v>260</v>
      </c>
      <c r="F1280" s="71">
        <v>10.69</v>
      </c>
      <c r="G1280" s="71">
        <v>0</v>
      </c>
    </row>
    <row r="1281" spans="2:7" x14ac:dyDescent="0.25">
      <c r="B1281" s="70">
        <v>43553</v>
      </c>
      <c r="C1281" t="s">
        <v>25</v>
      </c>
      <c r="D1281" t="s">
        <v>81</v>
      </c>
      <c r="E1281" t="s">
        <v>164</v>
      </c>
      <c r="F1281" s="71">
        <v>8</v>
      </c>
      <c r="G1281" s="71">
        <v>0</v>
      </c>
    </row>
    <row r="1282" spans="2:7" x14ac:dyDescent="0.25">
      <c r="B1282" s="70">
        <v>43553</v>
      </c>
      <c r="C1282" t="s">
        <v>25</v>
      </c>
      <c r="D1282" t="s">
        <v>84</v>
      </c>
      <c r="E1282" t="s">
        <v>260</v>
      </c>
      <c r="F1282" s="71">
        <v>42</v>
      </c>
      <c r="G1282" s="71">
        <v>0</v>
      </c>
    </row>
    <row r="1283" spans="2:7" x14ac:dyDescent="0.25">
      <c r="B1283" s="70">
        <v>43553</v>
      </c>
      <c r="C1283" t="s">
        <v>46</v>
      </c>
      <c r="D1283" t="s">
        <v>79</v>
      </c>
      <c r="E1283" t="s">
        <v>260</v>
      </c>
      <c r="F1283" s="71">
        <v>19.45</v>
      </c>
      <c r="G1283" s="71">
        <v>0</v>
      </c>
    </row>
    <row r="1284" spans="2:7" x14ac:dyDescent="0.25">
      <c r="B1284" s="70">
        <v>43553</v>
      </c>
      <c r="C1284" t="s">
        <v>56</v>
      </c>
      <c r="D1284" t="s">
        <v>84</v>
      </c>
      <c r="E1284" t="s">
        <v>260</v>
      </c>
      <c r="F1284" s="71">
        <v>34</v>
      </c>
      <c r="G1284" s="71">
        <v>0</v>
      </c>
    </row>
    <row r="1285" spans="2:7" x14ac:dyDescent="0.25">
      <c r="B1285" s="70">
        <v>43553</v>
      </c>
      <c r="C1285" t="s">
        <v>21</v>
      </c>
      <c r="D1285" t="s">
        <v>79</v>
      </c>
      <c r="E1285" t="s">
        <v>260</v>
      </c>
      <c r="F1285" s="71">
        <v>8</v>
      </c>
      <c r="G1285" s="71">
        <v>0</v>
      </c>
    </row>
    <row r="1286" spans="2:7" x14ac:dyDescent="0.25">
      <c r="B1286" s="70">
        <v>43553</v>
      </c>
      <c r="C1286" t="s">
        <v>48</v>
      </c>
      <c r="D1286" t="s">
        <v>84</v>
      </c>
      <c r="E1286" t="s">
        <v>260</v>
      </c>
      <c r="F1286" s="71">
        <v>107</v>
      </c>
      <c r="G1286" s="71">
        <v>0</v>
      </c>
    </row>
    <row r="1287" spans="2:7" x14ac:dyDescent="0.25">
      <c r="B1287" s="70">
        <v>43553</v>
      </c>
      <c r="C1287" t="s">
        <v>58</v>
      </c>
      <c r="D1287" t="s">
        <v>79</v>
      </c>
      <c r="E1287" t="s">
        <v>260</v>
      </c>
      <c r="F1287" s="71">
        <v>35</v>
      </c>
      <c r="G1287" s="71">
        <v>0</v>
      </c>
    </row>
    <row r="1288" spans="2:7" x14ac:dyDescent="0.25">
      <c r="B1288" s="70">
        <v>43553</v>
      </c>
      <c r="C1288" t="s">
        <v>53</v>
      </c>
      <c r="D1288" t="s">
        <v>86</v>
      </c>
      <c r="E1288" t="s">
        <v>260</v>
      </c>
      <c r="F1288" s="71">
        <v>120.6</v>
      </c>
      <c r="G1288" s="71">
        <v>0</v>
      </c>
    </row>
    <row r="1289" spans="2:7" x14ac:dyDescent="0.25">
      <c r="B1289" s="70">
        <v>43553</v>
      </c>
      <c r="C1289" t="s">
        <v>24</v>
      </c>
      <c r="D1289" t="s">
        <v>79</v>
      </c>
      <c r="E1289" t="s">
        <v>260</v>
      </c>
      <c r="F1289" s="71">
        <v>8</v>
      </c>
      <c r="G1289" s="71">
        <v>0</v>
      </c>
    </row>
    <row r="1290" spans="2:7" x14ac:dyDescent="0.25">
      <c r="B1290" s="70">
        <v>43553</v>
      </c>
      <c r="C1290" t="s">
        <v>24</v>
      </c>
      <c r="D1290" t="s">
        <v>84</v>
      </c>
      <c r="E1290" t="s">
        <v>260</v>
      </c>
      <c r="F1290" s="71">
        <v>9.1999999999999993</v>
      </c>
      <c r="G1290" s="71">
        <v>0</v>
      </c>
    </row>
    <row r="1291" spans="2:7" x14ac:dyDescent="0.25">
      <c r="B1291" s="70">
        <v>43554</v>
      </c>
      <c r="C1291" t="s">
        <v>25</v>
      </c>
      <c r="D1291" t="s">
        <v>81</v>
      </c>
      <c r="E1291" t="s">
        <v>139</v>
      </c>
      <c r="F1291" s="71">
        <v>2.4</v>
      </c>
      <c r="G1291" s="71">
        <v>0</v>
      </c>
    </row>
    <row r="1292" spans="2:7" x14ac:dyDescent="0.25">
      <c r="B1292" s="70">
        <v>43554</v>
      </c>
      <c r="C1292" t="s">
        <v>25</v>
      </c>
      <c r="D1292" t="s">
        <v>81</v>
      </c>
      <c r="E1292" t="s">
        <v>140</v>
      </c>
      <c r="F1292" s="71">
        <v>1.8</v>
      </c>
      <c r="G1292" s="71">
        <v>0</v>
      </c>
    </row>
    <row r="1293" spans="2:7" x14ac:dyDescent="0.25">
      <c r="B1293" s="70">
        <v>43556</v>
      </c>
      <c r="C1293" t="s">
        <v>25</v>
      </c>
      <c r="D1293" t="s">
        <v>85</v>
      </c>
      <c r="E1293" t="s">
        <v>261</v>
      </c>
      <c r="F1293" s="71">
        <v>18</v>
      </c>
      <c r="G1293" s="71">
        <v>0</v>
      </c>
    </row>
    <row r="1294" spans="2:7" x14ac:dyDescent="0.25">
      <c r="B1294" s="70">
        <v>43556</v>
      </c>
      <c r="C1294" t="s">
        <v>25</v>
      </c>
      <c r="D1294" t="s">
        <v>80</v>
      </c>
      <c r="E1294" t="s">
        <v>261</v>
      </c>
      <c r="F1294" s="71">
        <v>104</v>
      </c>
      <c r="G1294" s="71">
        <v>0</v>
      </c>
    </row>
    <row r="1295" spans="2:7" x14ac:dyDescent="0.25">
      <c r="B1295" s="70">
        <v>43556</v>
      </c>
      <c r="C1295" t="s">
        <v>25</v>
      </c>
      <c r="D1295" t="s">
        <v>81</v>
      </c>
      <c r="E1295" t="s">
        <v>197</v>
      </c>
      <c r="F1295" s="71">
        <v>10</v>
      </c>
      <c r="G1295" s="71">
        <v>0</v>
      </c>
    </row>
    <row r="1296" spans="2:7" x14ac:dyDescent="0.25">
      <c r="B1296" s="70">
        <v>43556</v>
      </c>
      <c r="C1296" t="s">
        <v>25</v>
      </c>
      <c r="D1296" t="s">
        <v>81</v>
      </c>
      <c r="E1296" t="s">
        <v>198</v>
      </c>
      <c r="F1296" s="71">
        <v>2.4</v>
      </c>
      <c r="G1296" s="71">
        <v>0</v>
      </c>
    </row>
    <row r="1297" spans="2:7" x14ac:dyDescent="0.25">
      <c r="B1297" s="70">
        <v>43556</v>
      </c>
      <c r="C1297" t="s">
        <v>25</v>
      </c>
      <c r="D1297" t="s">
        <v>81</v>
      </c>
      <c r="E1297" t="s">
        <v>125</v>
      </c>
      <c r="F1297" s="71">
        <v>9</v>
      </c>
      <c r="G1297" s="71">
        <v>0</v>
      </c>
    </row>
    <row r="1298" spans="2:7" x14ac:dyDescent="0.25">
      <c r="B1298" s="70">
        <v>43556</v>
      </c>
      <c r="C1298" t="s">
        <v>25</v>
      </c>
      <c r="D1298" t="s">
        <v>81</v>
      </c>
      <c r="E1298" t="s">
        <v>217</v>
      </c>
      <c r="F1298" s="71">
        <v>2.7</v>
      </c>
      <c r="G1298" s="71">
        <v>0</v>
      </c>
    </row>
    <row r="1299" spans="2:7" x14ac:dyDescent="0.25">
      <c r="B1299" s="70">
        <v>43556</v>
      </c>
      <c r="C1299" t="s">
        <v>54</v>
      </c>
      <c r="D1299" t="s">
        <v>85</v>
      </c>
      <c r="E1299" t="s">
        <v>261</v>
      </c>
      <c r="F1299" s="71">
        <v>57.94</v>
      </c>
      <c r="G1299" s="71">
        <v>0</v>
      </c>
    </row>
    <row r="1300" spans="2:7" x14ac:dyDescent="0.25">
      <c r="B1300" s="70">
        <v>43556</v>
      </c>
      <c r="C1300" t="s">
        <v>21</v>
      </c>
      <c r="D1300" t="s">
        <v>79</v>
      </c>
      <c r="E1300" t="s">
        <v>261</v>
      </c>
      <c r="F1300" s="71">
        <v>8</v>
      </c>
      <c r="G1300" s="71">
        <v>0</v>
      </c>
    </row>
    <row r="1301" spans="2:7" x14ac:dyDescent="0.25">
      <c r="B1301" s="70">
        <v>43556</v>
      </c>
      <c r="C1301" t="s">
        <v>21</v>
      </c>
      <c r="D1301" t="s">
        <v>79</v>
      </c>
      <c r="E1301" t="s">
        <v>261</v>
      </c>
      <c r="F1301" s="71">
        <v>24</v>
      </c>
      <c r="G1301" s="71">
        <v>0</v>
      </c>
    </row>
    <row r="1302" spans="2:7" x14ac:dyDescent="0.25">
      <c r="B1302" s="70">
        <v>43556</v>
      </c>
      <c r="C1302" t="s">
        <v>21</v>
      </c>
      <c r="D1302" t="s">
        <v>79</v>
      </c>
      <c r="E1302" t="s">
        <v>261</v>
      </c>
      <c r="F1302" s="71">
        <v>32</v>
      </c>
      <c r="G1302" s="71">
        <v>0</v>
      </c>
    </row>
    <row r="1303" spans="2:7" x14ac:dyDescent="0.25">
      <c r="B1303" s="70">
        <v>43556</v>
      </c>
      <c r="C1303" t="s">
        <v>66</v>
      </c>
      <c r="D1303" t="s">
        <v>84</v>
      </c>
      <c r="E1303" t="s">
        <v>261</v>
      </c>
      <c r="F1303" s="71">
        <v>37.479999999999997</v>
      </c>
      <c r="G1303" s="71">
        <v>0</v>
      </c>
    </row>
    <row r="1304" spans="2:7" x14ac:dyDescent="0.25">
      <c r="B1304" s="70">
        <v>43556</v>
      </c>
      <c r="C1304" t="s">
        <v>48</v>
      </c>
      <c r="D1304" t="s">
        <v>79</v>
      </c>
      <c r="E1304" t="s">
        <v>261</v>
      </c>
      <c r="F1304" s="71">
        <v>70</v>
      </c>
      <c r="G1304" s="71">
        <v>0</v>
      </c>
    </row>
    <row r="1305" spans="2:7" x14ac:dyDescent="0.25">
      <c r="B1305" s="70">
        <v>43556</v>
      </c>
      <c r="C1305" t="s">
        <v>48</v>
      </c>
      <c r="D1305" t="s">
        <v>85</v>
      </c>
      <c r="E1305" t="s">
        <v>261</v>
      </c>
      <c r="F1305" s="71">
        <v>27</v>
      </c>
      <c r="G1305" s="71">
        <v>0</v>
      </c>
    </row>
    <row r="1306" spans="2:7" x14ac:dyDescent="0.25">
      <c r="B1306" s="70">
        <v>43556</v>
      </c>
      <c r="C1306" t="s">
        <v>55</v>
      </c>
      <c r="D1306" t="s">
        <v>85</v>
      </c>
      <c r="E1306" t="s">
        <v>261</v>
      </c>
      <c r="F1306" s="71">
        <v>282.70999999999998</v>
      </c>
      <c r="G1306" s="71">
        <v>0</v>
      </c>
    </row>
    <row r="1307" spans="2:7" x14ac:dyDescent="0.25">
      <c r="B1307" s="70">
        <v>43556</v>
      </c>
      <c r="C1307" t="s">
        <v>63</v>
      </c>
      <c r="D1307" t="s">
        <v>79</v>
      </c>
      <c r="E1307" t="s">
        <v>261</v>
      </c>
      <c r="F1307" s="71">
        <v>60.19</v>
      </c>
      <c r="G1307" s="71">
        <v>0</v>
      </c>
    </row>
    <row r="1308" spans="2:7" x14ac:dyDescent="0.25">
      <c r="B1308" s="70">
        <v>43556</v>
      </c>
      <c r="C1308" t="s">
        <v>24</v>
      </c>
      <c r="D1308" t="s">
        <v>79</v>
      </c>
      <c r="E1308" t="s">
        <v>261</v>
      </c>
      <c r="F1308" s="71">
        <v>8</v>
      </c>
      <c r="G1308" s="71">
        <v>0</v>
      </c>
    </row>
    <row r="1309" spans="2:7" x14ac:dyDescent="0.25">
      <c r="B1309" s="70">
        <v>43556</v>
      </c>
      <c r="C1309" t="s">
        <v>24</v>
      </c>
      <c r="D1309" t="s">
        <v>84</v>
      </c>
      <c r="E1309" t="s">
        <v>261</v>
      </c>
      <c r="F1309" s="71">
        <v>91</v>
      </c>
      <c r="G1309" s="71">
        <v>0</v>
      </c>
    </row>
    <row r="1310" spans="2:7" x14ac:dyDescent="0.25">
      <c r="B1310" s="70">
        <v>43557</v>
      </c>
      <c r="C1310" t="s">
        <v>25</v>
      </c>
      <c r="D1310" t="s">
        <v>85</v>
      </c>
      <c r="E1310" t="s">
        <v>262</v>
      </c>
      <c r="F1310" s="71">
        <v>47</v>
      </c>
      <c r="G1310" s="71">
        <v>0</v>
      </c>
    </row>
    <row r="1311" spans="2:7" x14ac:dyDescent="0.25">
      <c r="B1311" s="70">
        <v>43557</v>
      </c>
      <c r="C1311" t="s">
        <v>25</v>
      </c>
      <c r="D1311" t="s">
        <v>84</v>
      </c>
      <c r="E1311" t="s">
        <v>262</v>
      </c>
      <c r="F1311" s="71">
        <v>41.6</v>
      </c>
      <c r="G1311" s="71">
        <v>0</v>
      </c>
    </row>
    <row r="1312" spans="2:7" x14ac:dyDescent="0.25">
      <c r="B1312" s="70">
        <v>43557</v>
      </c>
      <c r="C1312" t="s">
        <v>56</v>
      </c>
      <c r="D1312" t="s">
        <v>84</v>
      </c>
      <c r="E1312" t="s">
        <v>262</v>
      </c>
      <c r="F1312" s="71">
        <v>72</v>
      </c>
      <c r="G1312" s="71">
        <v>0</v>
      </c>
    </row>
    <row r="1313" spans="2:7" x14ac:dyDescent="0.25">
      <c r="B1313" s="70">
        <v>43557</v>
      </c>
      <c r="C1313" t="s">
        <v>47</v>
      </c>
      <c r="D1313" t="s">
        <v>84</v>
      </c>
      <c r="E1313" t="s">
        <v>262</v>
      </c>
      <c r="F1313" s="71">
        <v>37.270000000000003</v>
      </c>
      <c r="G1313" s="71">
        <v>0</v>
      </c>
    </row>
    <row r="1314" spans="2:7" x14ac:dyDescent="0.25">
      <c r="B1314" s="70">
        <v>43557</v>
      </c>
      <c r="C1314" t="s">
        <v>51</v>
      </c>
      <c r="D1314" t="s">
        <v>84</v>
      </c>
      <c r="E1314" t="s">
        <v>262</v>
      </c>
      <c r="F1314" s="71">
        <v>47.1</v>
      </c>
      <c r="G1314" s="71">
        <v>0</v>
      </c>
    </row>
    <row r="1315" spans="2:7" x14ac:dyDescent="0.25">
      <c r="B1315" s="70">
        <v>43557</v>
      </c>
      <c r="C1315" t="s">
        <v>21</v>
      </c>
      <c r="D1315" t="s">
        <v>79</v>
      </c>
      <c r="E1315" t="s">
        <v>262</v>
      </c>
      <c r="F1315" s="71">
        <v>16</v>
      </c>
      <c r="G1315" s="71">
        <v>0</v>
      </c>
    </row>
    <row r="1316" spans="2:7" x14ac:dyDescent="0.25">
      <c r="B1316" s="70">
        <v>43557</v>
      </c>
      <c r="C1316" t="s">
        <v>21</v>
      </c>
      <c r="D1316" t="s">
        <v>79</v>
      </c>
      <c r="E1316" t="s">
        <v>262</v>
      </c>
      <c r="F1316" s="71">
        <v>24</v>
      </c>
      <c r="G1316" s="71">
        <v>0</v>
      </c>
    </row>
    <row r="1317" spans="2:7" x14ac:dyDescent="0.25">
      <c r="B1317" s="70">
        <v>43557</v>
      </c>
      <c r="C1317" t="s">
        <v>21</v>
      </c>
      <c r="D1317" t="s">
        <v>79</v>
      </c>
      <c r="E1317" t="s">
        <v>262</v>
      </c>
      <c r="F1317" s="71">
        <v>48</v>
      </c>
      <c r="G1317" s="71">
        <v>0</v>
      </c>
    </row>
    <row r="1318" spans="2:7" x14ac:dyDescent="0.25">
      <c r="B1318" s="70">
        <v>43557</v>
      </c>
      <c r="C1318" t="s">
        <v>21</v>
      </c>
      <c r="D1318" t="s">
        <v>79</v>
      </c>
      <c r="E1318" t="s">
        <v>262</v>
      </c>
      <c r="F1318" s="71">
        <v>64</v>
      </c>
      <c r="G1318" s="71">
        <v>0</v>
      </c>
    </row>
    <row r="1319" spans="2:7" x14ac:dyDescent="0.25">
      <c r="B1319" s="70">
        <v>43557</v>
      </c>
      <c r="C1319" t="s">
        <v>48</v>
      </c>
      <c r="D1319" t="s">
        <v>84</v>
      </c>
      <c r="E1319" t="s">
        <v>262</v>
      </c>
      <c r="F1319" s="71">
        <v>150</v>
      </c>
      <c r="G1319" s="71">
        <v>0</v>
      </c>
    </row>
    <row r="1320" spans="2:7" x14ac:dyDescent="0.25">
      <c r="B1320" s="70">
        <v>43557</v>
      </c>
      <c r="C1320" t="s">
        <v>45</v>
      </c>
      <c r="D1320" t="s">
        <v>85</v>
      </c>
      <c r="E1320" t="s">
        <v>262</v>
      </c>
      <c r="F1320" s="71">
        <v>35</v>
      </c>
      <c r="G1320" s="71">
        <v>0</v>
      </c>
    </row>
    <row r="1321" spans="2:7" x14ac:dyDescent="0.25">
      <c r="B1321" s="70">
        <v>43557</v>
      </c>
      <c r="C1321" t="s">
        <v>49</v>
      </c>
      <c r="D1321" t="s">
        <v>84</v>
      </c>
      <c r="E1321" t="s">
        <v>262</v>
      </c>
      <c r="F1321" s="71">
        <v>150</v>
      </c>
      <c r="G1321" s="71">
        <v>0</v>
      </c>
    </row>
    <row r="1322" spans="2:7" x14ac:dyDescent="0.25">
      <c r="B1322" s="70">
        <v>43557</v>
      </c>
      <c r="C1322" t="s">
        <v>50</v>
      </c>
      <c r="D1322" t="s">
        <v>84</v>
      </c>
      <c r="E1322" t="s">
        <v>262</v>
      </c>
      <c r="F1322" s="71">
        <v>2100</v>
      </c>
      <c r="G1322" s="71">
        <v>0</v>
      </c>
    </row>
    <row r="1323" spans="2:7" x14ac:dyDescent="0.25">
      <c r="B1323" s="70">
        <v>43557</v>
      </c>
      <c r="C1323" t="s">
        <v>73</v>
      </c>
      <c r="D1323" t="s">
        <v>84</v>
      </c>
      <c r="E1323" t="s">
        <v>262</v>
      </c>
      <c r="F1323" s="71">
        <v>66.900000000000006</v>
      </c>
      <c r="G1323" s="71">
        <v>0</v>
      </c>
    </row>
    <row r="1324" spans="2:7" x14ac:dyDescent="0.25">
      <c r="B1324" s="70">
        <v>43557</v>
      </c>
      <c r="C1324" t="s">
        <v>24</v>
      </c>
      <c r="D1324" t="s">
        <v>79</v>
      </c>
      <c r="E1324" t="s">
        <v>262</v>
      </c>
      <c r="F1324" s="71">
        <v>8</v>
      </c>
      <c r="G1324" s="71">
        <v>0</v>
      </c>
    </row>
    <row r="1325" spans="2:7" x14ac:dyDescent="0.25">
      <c r="B1325" s="70">
        <v>43557</v>
      </c>
      <c r="C1325" t="s">
        <v>24</v>
      </c>
      <c r="D1325" t="s">
        <v>79</v>
      </c>
      <c r="E1325" t="s">
        <v>262</v>
      </c>
      <c r="F1325" s="71">
        <v>16</v>
      </c>
      <c r="G1325" s="71">
        <v>0</v>
      </c>
    </row>
    <row r="1326" spans="2:7" x14ac:dyDescent="0.25">
      <c r="B1326" s="70">
        <v>43558</v>
      </c>
      <c r="C1326" t="s">
        <v>25</v>
      </c>
      <c r="D1326" t="s">
        <v>80</v>
      </c>
      <c r="E1326" t="s">
        <v>263</v>
      </c>
      <c r="F1326" s="71">
        <v>12.55</v>
      </c>
      <c r="G1326" s="71">
        <v>0</v>
      </c>
    </row>
    <row r="1327" spans="2:7" x14ac:dyDescent="0.25">
      <c r="B1327" s="70">
        <v>43558</v>
      </c>
      <c r="C1327" t="s">
        <v>25</v>
      </c>
      <c r="D1327" t="s">
        <v>80</v>
      </c>
      <c r="E1327" t="s">
        <v>263</v>
      </c>
      <c r="F1327" s="71">
        <v>24.2</v>
      </c>
      <c r="G1327" s="71">
        <v>0</v>
      </c>
    </row>
    <row r="1328" spans="2:7" x14ac:dyDescent="0.25">
      <c r="B1328" s="70">
        <v>43558</v>
      </c>
      <c r="C1328" t="s">
        <v>25</v>
      </c>
      <c r="D1328" t="s">
        <v>80</v>
      </c>
      <c r="E1328" t="s">
        <v>263</v>
      </c>
      <c r="F1328" s="71">
        <v>25.99</v>
      </c>
      <c r="G1328" s="71">
        <v>0</v>
      </c>
    </row>
    <row r="1329" spans="2:7" x14ac:dyDescent="0.25">
      <c r="B1329" s="70">
        <v>43558</v>
      </c>
      <c r="C1329" t="s">
        <v>25</v>
      </c>
      <c r="D1329" t="s">
        <v>80</v>
      </c>
      <c r="E1329" t="s">
        <v>263</v>
      </c>
      <c r="F1329" s="71">
        <v>30.95</v>
      </c>
      <c r="G1329" s="71">
        <v>0</v>
      </c>
    </row>
    <row r="1330" spans="2:7" x14ac:dyDescent="0.25">
      <c r="B1330" s="70">
        <v>43558</v>
      </c>
      <c r="C1330" t="s">
        <v>25</v>
      </c>
      <c r="D1330" t="s">
        <v>80</v>
      </c>
      <c r="E1330" t="s">
        <v>263</v>
      </c>
      <c r="F1330" s="71">
        <v>35.950000000000003</v>
      </c>
      <c r="G1330" s="71">
        <v>0</v>
      </c>
    </row>
    <row r="1331" spans="2:7" x14ac:dyDescent="0.25">
      <c r="B1331" s="70">
        <v>43558</v>
      </c>
      <c r="C1331" t="s">
        <v>25</v>
      </c>
      <c r="D1331" t="s">
        <v>80</v>
      </c>
      <c r="E1331" t="s">
        <v>263</v>
      </c>
      <c r="F1331" s="71">
        <v>37.979999999999997</v>
      </c>
      <c r="G1331" s="71">
        <v>0</v>
      </c>
    </row>
    <row r="1332" spans="2:7" x14ac:dyDescent="0.25">
      <c r="B1332" s="70">
        <v>43558</v>
      </c>
      <c r="C1332" t="s">
        <v>25</v>
      </c>
      <c r="D1332" t="s">
        <v>80</v>
      </c>
      <c r="E1332" t="s">
        <v>263</v>
      </c>
      <c r="F1332" s="71">
        <v>40.229999999999997</v>
      </c>
      <c r="G1332" s="71">
        <v>0</v>
      </c>
    </row>
    <row r="1333" spans="2:7" x14ac:dyDescent="0.25">
      <c r="B1333" s="70">
        <v>43558</v>
      </c>
      <c r="C1333" t="s">
        <v>25</v>
      </c>
      <c r="D1333" t="s">
        <v>80</v>
      </c>
      <c r="E1333" t="s">
        <v>263</v>
      </c>
      <c r="F1333" s="71">
        <v>149.80000000000001</v>
      </c>
      <c r="G1333" s="71">
        <v>0</v>
      </c>
    </row>
    <row r="1334" spans="2:7" x14ac:dyDescent="0.25">
      <c r="B1334" s="70">
        <v>43558</v>
      </c>
      <c r="C1334" t="s">
        <v>25</v>
      </c>
      <c r="D1334" t="s">
        <v>87</v>
      </c>
      <c r="E1334" t="s">
        <v>263</v>
      </c>
      <c r="F1334" s="71">
        <v>8.35</v>
      </c>
      <c r="G1334" s="71">
        <v>0</v>
      </c>
    </row>
    <row r="1335" spans="2:7" x14ac:dyDescent="0.25">
      <c r="B1335" s="70">
        <v>43558</v>
      </c>
      <c r="C1335" t="s">
        <v>25</v>
      </c>
      <c r="D1335" t="s">
        <v>87</v>
      </c>
      <c r="E1335" t="s">
        <v>263</v>
      </c>
      <c r="F1335" s="71">
        <v>13.12</v>
      </c>
      <c r="G1335" s="71">
        <v>0</v>
      </c>
    </row>
    <row r="1336" spans="2:7" x14ac:dyDescent="0.25">
      <c r="B1336" s="70">
        <v>43558</v>
      </c>
      <c r="C1336" t="s">
        <v>25</v>
      </c>
      <c r="D1336" t="s">
        <v>87</v>
      </c>
      <c r="E1336" t="s">
        <v>263</v>
      </c>
      <c r="F1336" s="71">
        <v>16</v>
      </c>
      <c r="G1336" s="71">
        <v>0</v>
      </c>
    </row>
    <row r="1337" spans="2:7" x14ac:dyDescent="0.25">
      <c r="B1337" s="70">
        <v>43558</v>
      </c>
      <c r="C1337" t="s">
        <v>25</v>
      </c>
      <c r="D1337" t="s">
        <v>87</v>
      </c>
      <c r="E1337" t="s">
        <v>263</v>
      </c>
      <c r="F1337" s="71">
        <v>27.6</v>
      </c>
      <c r="G1337" s="71">
        <v>0</v>
      </c>
    </row>
    <row r="1338" spans="2:7" x14ac:dyDescent="0.25">
      <c r="B1338" s="70">
        <v>43558</v>
      </c>
      <c r="C1338" t="s">
        <v>25</v>
      </c>
      <c r="D1338" t="s">
        <v>87</v>
      </c>
      <c r="E1338" t="s">
        <v>263</v>
      </c>
      <c r="F1338" s="71">
        <v>31.99</v>
      </c>
      <c r="G1338" s="71">
        <v>0</v>
      </c>
    </row>
    <row r="1339" spans="2:7" x14ac:dyDescent="0.25">
      <c r="B1339" s="70">
        <v>43558</v>
      </c>
      <c r="C1339" t="s">
        <v>25</v>
      </c>
      <c r="D1339" t="s">
        <v>87</v>
      </c>
      <c r="E1339" t="s">
        <v>263</v>
      </c>
      <c r="F1339" s="71">
        <v>62.27</v>
      </c>
      <c r="G1339" s="71">
        <v>0</v>
      </c>
    </row>
    <row r="1340" spans="2:7" x14ac:dyDescent="0.25">
      <c r="B1340" s="70">
        <v>43558</v>
      </c>
      <c r="C1340" t="s">
        <v>25</v>
      </c>
      <c r="D1340" t="s">
        <v>87</v>
      </c>
      <c r="E1340" t="s">
        <v>263</v>
      </c>
      <c r="F1340" s="71">
        <v>65.099999999999994</v>
      </c>
      <c r="G1340" s="71">
        <v>0</v>
      </c>
    </row>
    <row r="1341" spans="2:7" x14ac:dyDescent="0.25">
      <c r="B1341" s="70">
        <v>43558</v>
      </c>
      <c r="C1341" t="s">
        <v>25</v>
      </c>
      <c r="D1341" t="s">
        <v>87</v>
      </c>
      <c r="E1341" t="s">
        <v>263</v>
      </c>
      <c r="F1341" s="71">
        <v>71.84</v>
      </c>
      <c r="G1341" s="71">
        <v>0</v>
      </c>
    </row>
    <row r="1342" spans="2:7" x14ac:dyDescent="0.25">
      <c r="B1342" s="70">
        <v>43558</v>
      </c>
      <c r="C1342" t="s">
        <v>25</v>
      </c>
      <c r="D1342" t="s">
        <v>87</v>
      </c>
      <c r="E1342" t="s">
        <v>263</v>
      </c>
      <c r="F1342" s="71">
        <v>75.97</v>
      </c>
      <c r="G1342" s="71">
        <v>0</v>
      </c>
    </row>
    <row r="1343" spans="2:7" x14ac:dyDescent="0.25">
      <c r="B1343" s="70">
        <v>43558</v>
      </c>
      <c r="C1343" t="s">
        <v>25</v>
      </c>
      <c r="D1343" t="s">
        <v>87</v>
      </c>
      <c r="E1343" t="s">
        <v>263</v>
      </c>
      <c r="F1343" s="71">
        <v>89.56</v>
      </c>
      <c r="G1343" s="71">
        <v>0</v>
      </c>
    </row>
    <row r="1344" spans="2:7" x14ac:dyDescent="0.25">
      <c r="B1344" s="70">
        <v>43558</v>
      </c>
      <c r="C1344" t="s">
        <v>25</v>
      </c>
      <c r="D1344" t="s">
        <v>87</v>
      </c>
      <c r="E1344" t="s">
        <v>263</v>
      </c>
      <c r="F1344" s="71">
        <v>90</v>
      </c>
      <c r="G1344" s="71">
        <v>0</v>
      </c>
    </row>
    <row r="1345" spans="2:7" x14ac:dyDescent="0.25">
      <c r="B1345" s="70">
        <v>43558</v>
      </c>
      <c r="C1345" t="s">
        <v>25</v>
      </c>
      <c r="D1345" t="s">
        <v>87</v>
      </c>
      <c r="E1345" t="s">
        <v>263</v>
      </c>
      <c r="F1345" s="71">
        <v>95</v>
      </c>
      <c r="G1345" s="71">
        <v>0</v>
      </c>
    </row>
    <row r="1346" spans="2:7" x14ac:dyDescent="0.25">
      <c r="B1346" s="70">
        <v>43558</v>
      </c>
      <c r="C1346" t="s">
        <v>25</v>
      </c>
      <c r="D1346" t="s">
        <v>87</v>
      </c>
      <c r="E1346" t="s">
        <v>263</v>
      </c>
      <c r="F1346" s="71">
        <v>98.66</v>
      </c>
      <c r="G1346" s="71">
        <v>0</v>
      </c>
    </row>
    <row r="1347" spans="2:7" x14ac:dyDescent="0.25">
      <c r="B1347" s="70">
        <v>43558</v>
      </c>
      <c r="C1347" t="s">
        <v>25</v>
      </c>
      <c r="D1347" t="s">
        <v>87</v>
      </c>
      <c r="E1347" t="s">
        <v>263</v>
      </c>
      <c r="F1347" s="71">
        <v>200.79</v>
      </c>
      <c r="G1347" s="71">
        <v>0</v>
      </c>
    </row>
    <row r="1348" spans="2:7" x14ac:dyDescent="0.25">
      <c r="B1348" s="70">
        <v>43558</v>
      </c>
      <c r="C1348" t="s">
        <v>25</v>
      </c>
      <c r="D1348" t="s">
        <v>87</v>
      </c>
      <c r="E1348" t="s">
        <v>263</v>
      </c>
      <c r="F1348" s="71">
        <v>237</v>
      </c>
      <c r="G1348" s="71">
        <v>0</v>
      </c>
    </row>
    <row r="1349" spans="2:7" x14ac:dyDescent="0.25">
      <c r="B1349" s="70">
        <v>43558</v>
      </c>
      <c r="C1349" t="s">
        <v>25</v>
      </c>
      <c r="D1349" t="s">
        <v>81</v>
      </c>
      <c r="E1349" t="s">
        <v>172</v>
      </c>
      <c r="F1349" s="71">
        <v>14.35</v>
      </c>
      <c r="G1349" s="71">
        <v>0</v>
      </c>
    </row>
    <row r="1350" spans="2:7" x14ac:dyDescent="0.25">
      <c r="B1350" s="70">
        <v>43558</v>
      </c>
      <c r="C1350" t="s">
        <v>25</v>
      </c>
      <c r="D1350" t="s">
        <v>81</v>
      </c>
      <c r="E1350" t="s">
        <v>153</v>
      </c>
      <c r="F1350" s="71">
        <v>6.4</v>
      </c>
      <c r="G1350" s="71">
        <v>0</v>
      </c>
    </row>
    <row r="1351" spans="2:7" x14ac:dyDescent="0.25">
      <c r="B1351" s="70">
        <v>43558</v>
      </c>
      <c r="C1351" t="s">
        <v>25</v>
      </c>
      <c r="D1351" t="s">
        <v>81</v>
      </c>
      <c r="E1351" t="s">
        <v>164</v>
      </c>
      <c r="F1351" s="71">
        <v>9</v>
      </c>
      <c r="G1351" s="71">
        <v>0</v>
      </c>
    </row>
    <row r="1352" spans="2:7" x14ac:dyDescent="0.25">
      <c r="B1352" s="70">
        <v>43558</v>
      </c>
      <c r="C1352" t="s">
        <v>25</v>
      </c>
      <c r="D1352" t="s">
        <v>81</v>
      </c>
      <c r="E1352" t="s">
        <v>128</v>
      </c>
      <c r="F1352" s="71">
        <v>2.4</v>
      </c>
      <c r="G1352" s="71">
        <v>0</v>
      </c>
    </row>
    <row r="1353" spans="2:7" x14ac:dyDescent="0.25">
      <c r="B1353" s="70">
        <v>43558</v>
      </c>
      <c r="C1353" t="s">
        <v>59</v>
      </c>
      <c r="D1353" t="s">
        <v>84</v>
      </c>
      <c r="E1353" t="s">
        <v>263</v>
      </c>
      <c r="F1353" s="71">
        <v>16</v>
      </c>
      <c r="G1353" s="71">
        <v>0</v>
      </c>
    </row>
    <row r="1354" spans="2:7" x14ac:dyDescent="0.25">
      <c r="B1354" s="70">
        <v>43558</v>
      </c>
      <c r="C1354" t="s">
        <v>47</v>
      </c>
      <c r="D1354" t="s">
        <v>86</v>
      </c>
      <c r="E1354" t="s">
        <v>263</v>
      </c>
      <c r="F1354" s="71">
        <v>484.22</v>
      </c>
      <c r="G1354" s="71">
        <v>0</v>
      </c>
    </row>
    <row r="1355" spans="2:7" x14ac:dyDescent="0.25">
      <c r="B1355" s="70">
        <v>43558</v>
      </c>
      <c r="C1355" t="s">
        <v>51</v>
      </c>
      <c r="D1355" t="s">
        <v>86</v>
      </c>
      <c r="E1355" t="s">
        <v>263</v>
      </c>
      <c r="F1355" s="71">
        <v>43.34</v>
      </c>
      <c r="G1355" s="71">
        <v>0</v>
      </c>
    </row>
    <row r="1356" spans="2:7" x14ac:dyDescent="0.25">
      <c r="B1356" s="70">
        <v>43558</v>
      </c>
      <c r="C1356" t="s">
        <v>51</v>
      </c>
      <c r="D1356" t="s">
        <v>84</v>
      </c>
      <c r="E1356" t="s">
        <v>263</v>
      </c>
      <c r="F1356" s="71">
        <v>145.25</v>
      </c>
      <c r="G1356" s="71">
        <v>0</v>
      </c>
    </row>
    <row r="1357" spans="2:7" x14ac:dyDescent="0.25">
      <c r="B1357" s="70">
        <v>43558</v>
      </c>
      <c r="C1357" t="s">
        <v>57</v>
      </c>
      <c r="D1357" t="s">
        <v>80</v>
      </c>
      <c r="E1357" t="s">
        <v>263</v>
      </c>
      <c r="F1357" s="71">
        <v>20.75</v>
      </c>
      <c r="G1357" s="71">
        <v>0</v>
      </c>
    </row>
    <row r="1358" spans="2:7" x14ac:dyDescent="0.25">
      <c r="B1358" s="70">
        <v>43558</v>
      </c>
      <c r="C1358" t="s">
        <v>21</v>
      </c>
      <c r="D1358" t="s">
        <v>79</v>
      </c>
      <c r="E1358" t="s">
        <v>263</v>
      </c>
      <c r="F1358" s="71">
        <v>8</v>
      </c>
      <c r="G1358" s="71">
        <v>0</v>
      </c>
    </row>
    <row r="1359" spans="2:7" x14ac:dyDescent="0.25">
      <c r="B1359" s="70">
        <v>43558</v>
      </c>
      <c r="C1359" t="s">
        <v>21</v>
      </c>
      <c r="D1359" t="s">
        <v>79</v>
      </c>
      <c r="E1359" t="s">
        <v>263</v>
      </c>
      <c r="F1359" s="71">
        <v>24</v>
      </c>
      <c r="G1359" s="71">
        <v>0</v>
      </c>
    </row>
    <row r="1360" spans="2:7" x14ac:dyDescent="0.25">
      <c r="B1360" s="70">
        <v>43558</v>
      </c>
      <c r="C1360" t="s">
        <v>21</v>
      </c>
      <c r="D1360" t="s">
        <v>79</v>
      </c>
      <c r="E1360" t="s">
        <v>263</v>
      </c>
      <c r="F1360" s="71">
        <v>40</v>
      </c>
      <c r="G1360" s="71">
        <v>0</v>
      </c>
    </row>
    <row r="1361" spans="2:7" x14ac:dyDescent="0.25">
      <c r="B1361" s="70">
        <v>43558</v>
      </c>
      <c r="C1361" t="s">
        <v>21</v>
      </c>
      <c r="D1361" t="s">
        <v>79</v>
      </c>
      <c r="E1361" t="s">
        <v>263</v>
      </c>
      <c r="F1361" s="71">
        <v>48</v>
      </c>
      <c r="G1361" s="71">
        <v>0</v>
      </c>
    </row>
    <row r="1362" spans="2:7" x14ac:dyDescent="0.25">
      <c r="B1362" s="70">
        <v>43558</v>
      </c>
      <c r="C1362" t="s">
        <v>21</v>
      </c>
      <c r="D1362" t="s">
        <v>79</v>
      </c>
      <c r="E1362" t="s">
        <v>263</v>
      </c>
      <c r="F1362" s="71">
        <v>64</v>
      </c>
      <c r="G1362" s="71">
        <v>0</v>
      </c>
    </row>
    <row r="1363" spans="2:7" x14ac:dyDescent="0.25">
      <c r="B1363" s="70">
        <v>43558</v>
      </c>
      <c r="C1363" t="s">
        <v>48</v>
      </c>
      <c r="D1363" t="s">
        <v>80</v>
      </c>
      <c r="E1363" t="s">
        <v>263</v>
      </c>
      <c r="F1363" s="71">
        <v>23.61</v>
      </c>
      <c r="G1363" s="71">
        <v>0</v>
      </c>
    </row>
    <row r="1364" spans="2:7" x14ac:dyDescent="0.25">
      <c r="B1364" s="70">
        <v>43558</v>
      </c>
      <c r="C1364" t="s">
        <v>55</v>
      </c>
      <c r="D1364" t="s">
        <v>85</v>
      </c>
      <c r="E1364" t="s">
        <v>263</v>
      </c>
      <c r="F1364" s="71">
        <v>2544.39</v>
      </c>
      <c r="G1364" s="71">
        <v>0</v>
      </c>
    </row>
    <row r="1365" spans="2:7" x14ac:dyDescent="0.25">
      <c r="B1365" s="70">
        <v>43558</v>
      </c>
      <c r="C1365" t="s">
        <v>50</v>
      </c>
      <c r="D1365" t="s">
        <v>87</v>
      </c>
      <c r="E1365" t="s">
        <v>263</v>
      </c>
      <c r="F1365" s="71">
        <v>36.85</v>
      </c>
      <c r="G1365" s="71">
        <v>0</v>
      </c>
    </row>
    <row r="1366" spans="2:7" x14ac:dyDescent="0.25">
      <c r="B1366" s="70">
        <v>43558</v>
      </c>
      <c r="C1366" t="s">
        <v>69</v>
      </c>
      <c r="D1366" t="s">
        <v>87</v>
      </c>
      <c r="E1366" t="s">
        <v>263</v>
      </c>
      <c r="F1366" s="71">
        <v>74.849999999999994</v>
      </c>
      <c r="G1366" s="71">
        <v>0</v>
      </c>
    </row>
    <row r="1367" spans="2:7" x14ac:dyDescent="0.25">
      <c r="B1367" s="70">
        <v>43558</v>
      </c>
      <c r="C1367" t="s">
        <v>53</v>
      </c>
      <c r="D1367" t="s">
        <v>79</v>
      </c>
      <c r="E1367" t="s">
        <v>263</v>
      </c>
      <c r="F1367" s="71">
        <v>14.75</v>
      </c>
      <c r="G1367" s="71">
        <v>0</v>
      </c>
    </row>
    <row r="1368" spans="2:7" x14ac:dyDescent="0.25">
      <c r="B1368" s="70">
        <v>43558</v>
      </c>
      <c r="C1368" t="s">
        <v>53</v>
      </c>
      <c r="D1368" t="s">
        <v>84</v>
      </c>
      <c r="E1368" t="s">
        <v>263</v>
      </c>
      <c r="F1368" s="71">
        <v>27.1</v>
      </c>
      <c r="G1368" s="71">
        <v>0</v>
      </c>
    </row>
    <row r="1369" spans="2:7" x14ac:dyDescent="0.25">
      <c r="B1369" s="70">
        <v>43558</v>
      </c>
      <c r="C1369" t="s">
        <v>71</v>
      </c>
      <c r="D1369" t="s">
        <v>86</v>
      </c>
      <c r="E1369" t="s">
        <v>263</v>
      </c>
      <c r="F1369" s="71">
        <v>1.03</v>
      </c>
      <c r="G1369" s="71">
        <v>0</v>
      </c>
    </row>
    <row r="1370" spans="2:7" x14ac:dyDescent="0.25">
      <c r="B1370" s="70">
        <v>43558</v>
      </c>
      <c r="C1370" t="s">
        <v>24</v>
      </c>
      <c r="D1370" t="s">
        <v>79</v>
      </c>
      <c r="E1370" t="s">
        <v>263</v>
      </c>
      <c r="F1370" s="71">
        <v>8</v>
      </c>
      <c r="G1370" s="71">
        <v>0</v>
      </c>
    </row>
    <row r="1371" spans="2:7" x14ac:dyDescent="0.25">
      <c r="B1371" s="70">
        <v>43558</v>
      </c>
      <c r="C1371" t="s">
        <v>61</v>
      </c>
      <c r="D1371" t="s">
        <v>80</v>
      </c>
      <c r="E1371" t="s">
        <v>263</v>
      </c>
      <c r="F1371" s="71">
        <v>297.3</v>
      </c>
      <c r="G1371" s="71">
        <v>0</v>
      </c>
    </row>
    <row r="1372" spans="2:7" x14ac:dyDescent="0.25">
      <c r="B1372" s="70">
        <v>43558</v>
      </c>
      <c r="C1372" t="s">
        <v>61</v>
      </c>
      <c r="D1372" t="s">
        <v>87</v>
      </c>
      <c r="E1372" t="s">
        <v>263</v>
      </c>
      <c r="F1372" s="71">
        <v>225.98</v>
      </c>
      <c r="G1372" s="71">
        <v>0</v>
      </c>
    </row>
    <row r="1373" spans="2:7" x14ac:dyDescent="0.25">
      <c r="B1373" s="70">
        <v>43559</v>
      </c>
      <c r="C1373" t="s">
        <v>25</v>
      </c>
      <c r="D1373" t="s">
        <v>85</v>
      </c>
      <c r="E1373" t="s">
        <v>264</v>
      </c>
      <c r="F1373" s="71">
        <v>121.01</v>
      </c>
      <c r="G1373" s="71">
        <v>0</v>
      </c>
    </row>
    <row r="1374" spans="2:7" x14ac:dyDescent="0.25">
      <c r="B1374" s="70">
        <v>43559</v>
      </c>
      <c r="C1374" t="s">
        <v>25</v>
      </c>
      <c r="D1374" t="s">
        <v>81</v>
      </c>
      <c r="E1374" t="s">
        <v>138</v>
      </c>
      <c r="F1374" s="71">
        <v>4.75</v>
      </c>
      <c r="G1374" s="71">
        <v>0</v>
      </c>
    </row>
    <row r="1375" spans="2:7" x14ac:dyDescent="0.25">
      <c r="B1375" s="70">
        <v>43559</v>
      </c>
      <c r="C1375" t="s">
        <v>21</v>
      </c>
      <c r="D1375" t="s">
        <v>79</v>
      </c>
      <c r="E1375" t="s">
        <v>264</v>
      </c>
      <c r="F1375" s="71">
        <v>8</v>
      </c>
      <c r="G1375" s="71">
        <v>0</v>
      </c>
    </row>
    <row r="1376" spans="2:7" x14ac:dyDescent="0.25">
      <c r="B1376" s="70">
        <v>43559</v>
      </c>
      <c r="C1376" t="s">
        <v>21</v>
      </c>
      <c r="D1376" t="s">
        <v>79</v>
      </c>
      <c r="E1376" t="s">
        <v>264</v>
      </c>
      <c r="F1376" s="71">
        <v>16</v>
      </c>
      <c r="G1376" s="71">
        <v>0</v>
      </c>
    </row>
    <row r="1377" spans="2:7" x14ac:dyDescent="0.25">
      <c r="B1377" s="70">
        <v>43559</v>
      </c>
      <c r="C1377" t="s">
        <v>49</v>
      </c>
      <c r="D1377" t="s">
        <v>84</v>
      </c>
      <c r="E1377" t="s">
        <v>264</v>
      </c>
      <c r="F1377" s="71">
        <v>513.4</v>
      </c>
      <c r="G1377" s="71">
        <v>0</v>
      </c>
    </row>
    <row r="1378" spans="2:7" x14ac:dyDescent="0.25">
      <c r="B1378" s="70">
        <v>43559</v>
      </c>
      <c r="C1378" t="s">
        <v>50</v>
      </c>
      <c r="D1378" t="s">
        <v>84</v>
      </c>
      <c r="E1378" t="s">
        <v>264</v>
      </c>
      <c r="F1378" s="71">
        <v>24</v>
      </c>
      <c r="G1378" s="71">
        <v>0</v>
      </c>
    </row>
    <row r="1379" spans="2:7" x14ac:dyDescent="0.25">
      <c r="B1379" s="70">
        <v>43559</v>
      </c>
      <c r="C1379" t="s">
        <v>24</v>
      </c>
      <c r="D1379" t="s">
        <v>79</v>
      </c>
      <c r="E1379" t="s">
        <v>264</v>
      </c>
      <c r="F1379" s="71">
        <v>16</v>
      </c>
      <c r="G1379" s="71">
        <v>0</v>
      </c>
    </row>
    <row r="1380" spans="2:7" x14ac:dyDescent="0.25">
      <c r="B1380" s="70">
        <v>43559</v>
      </c>
      <c r="C1380" t="s">
        <v>24</v>
      </c>
      <c r="D1380" t="s">
        <v>84</v>
      </c>
      <c r="E1380" t="s">
        <v>264</v>
      </c>
      <c r="F1380" s="71">
        <v>221</v>
      </c>
      <c r="G1380" s="71">
        <v>0</v>
      </c>
    </row>
    <row r="1381" spans="2:7" x14ac:dyDescent="0.25">
      <c r="B1381" s="70">
        <v>43560</v>
      </c>
      <c r="C1381" t="s">
        <v>25</v>
      </c>
      <c r="D1381" t="s">
        <v>80</v>
      </c>
      <c r="E1381" t="s">
        <v>265</v>
      </c>
      <c r="F1381" s="71">
        <v>25.98</v>
      </c>
      <c r="G1381" s="71">
        <v>0</v>
      </c>
    </row>
    <row r="1382" spans="2:7" x14ac:dyDescent="0.25">
      <c r="B1382" s="70">
        <v>43560</v>
      </c>
      <c r="C1382" t="s">
        <v>25</v>
      </c>
      <c r="D1382" t="s">
        <v>80</v>
      </c>
      <c r="E1382" t="s">
        <v>265</v>
      </c>
      <c r="F1382" s="71">
        <v>57.27</v>
      </c>
      <c r="G1382" s="71">
        <v>0</v>
      </c>
    </row>
    <row r="1383" spans="2:7" x14ac:dyDescent="0.25">
      <c r="B1383" s="70">
        <v>43560</v>
      </c>
      <c r="C1383" t="s">
        <v>25</v>
      </c>
      <c r="D1383" t="s">
        <v>80</v>
      </c>
      <c r="E1383" t="s">
        <v>265</v>
      </c>
      <c r="F1383" s="71">
        <v>124.33</v>
      </c>
      <c r="G1383" s="71">
        <v>0</v>
      </c>
    </row>
    <row r="1384" spans="2:7" x14ac:dyDescent="0.25">
      <c r="B1384" s="70">
        <v>43560</v>
      </c>
      <c r="C1384" t="s">
        <v>25</v>
      </c>
      <c r="D1384" t="s">
        <v>87</v>
      </c>
      <c r="E1384" t="s">
        <v>265</v>
      </c>
      <c r="F1384" s="71">
        <v>18.95</v>
      </c>
      <c r="G1384" s="71">
        <v>0</v>
      </c>
    </row>
    <row r="1385" spans="2:7" x14ac:dyDescent="0.25">
      <c r="B1385" s="70">
        <v>43560</v>
      </c>
      <c r="C1385" t="s">
        <v>25</v>
      </c>
      <c r="D1385" t="s">
        <v>87</v>
      </c>
      <c r="E1385" t="s">
        <v>265</v>
      </c>
      <c r="F1385" s="71">
        <v>21.95</v>
      </c>
      <c r="G1385" s="71">
        <v>0</v>
      </c>
    </row>
    <row r="1386" spans="2:7" x14ac:dyDescent="0.25">
      <c r="B1386" s="70">
        <v>43560</v>
      </c>
      <c r="C1386" t="s">
        <v>25</v>
      </c>
      <c r="D1386" t="s">
        <v>87</v>
      </c>
      <c r="E1386" t="s">
        <v>265</v>
      </c>
      <c r="F1386" s="71">
        <v>26.08</v>
      </c>
      <c r="G1386" s="71">
        <v>0</v>
      </c>
    </row>
    <row r="1387" spans="2:7" x14ac:dyDescent="0.25">
      <c r="B1387" s="70">
        <v>43560</v>
      </c>
      <c r="C1387" t="s">
        <v>25</v>
      </c>
      <c r="D1387" t="s">
        <v>87</v>
      </c>
      <c r="E1387" t="s">
        <v>265</v>
      </c>
      <c r="F1387" s="71">
        <v>37.159999999999997</v>
      </c>
      <c r="G1387" s="71">
        <v>0</v>
      </c>
    </row>
    <row r="1388" spans="2:7" x14ac:dyDescent="0.25">
      <c r="B1388" s="70">
        <v>43560</v>
      </c>
      <c r="C1388" t="s">
        <v>25</v>
      </c>
      <c r="D1388" t="s">
        <v>87</v>
      </c>
      <c r="E1388" t="s">
        <v>265</v>
      </c>
      <c r="F1388" s="71">
        <v>51.46</v>
      </c>
      <c r="G1388" s="71">
        <v>0</v>
      </c>
    </row>
    <row r="1389" spans="2:7" x14ac:dyDescent="0.25">
      <c r="B1389" s="70">
        <v>43560</v>
      </c>
      <c r="C1389" t="s">
        <v>25</v>
      </c>
      <c r="D1389" t="s">
        <v>87</v>
      </c>
      <c r="E1389" t="s">
        <v>265</v>
      </c>
      <c r="F1389" s="71">
        <v>53.9</v>
      </c>
      <c r="G1389" s="71">
        <v>0</v>
      </c>
    </row>
    <row r="1390" spans="2:7" x14ac:dyDescent="0.25">
      <c r="B1390" s="70">
        <v>43560</v>
      </c>
      <c r="C1390" t="s">
        <v>25</v>
      </c>
      <c r="D1390" t="s">
        <v>87</v>
      </c>
      <c r="E1390" t="s">
        <v>265</v>
      </c>
      <c r="F1390" s="71">
        <v>66.959999999999994</v>
      </c>
      <c r="G1390" s="71">
        <v>0</v>
      </c>
    </row>
    <row r="1391" spans="2:7" x14ac:dyDescent="0.25">
      <c r="B1391" s="70">
        <v>43560</v>
      </c>
      <c r="C1391" t="s">
        <v>25</v>
      </c>
      <c r="D1391" t="s">
        <v>87</v>
      </c>
      <c r="E1391" t="s">
        <v>265</v>
      </c>
      <c r="F1391" s="71">
        <v>152.85</v>
      </c>
      <c r="G1391" s="71">
        <v>0</v>
      </c>
    </row>
    <row r="1392" spans="2:7" x14ac:dyDescent="0.25">
      <c r="B1392" s="70">
        <v>43560</v>
      </c>
      <c r="C1392" t="s">
        <v>59</v>
      </c>
      <c r="D1392" t="s">
        <v>84</v>
      </c>
      <c r="E1392" t="s">
        <v>265</v>
      </c>
      <c r="F1392" s="71">
        <v>187.8</v>
      </c>
      <c r="G1392" s="71">
        <v>0</v>
      </c>
    </row>
    <row r="1393" spans="2:7" x14ac:dyDescent="0.25">
      <c r="B1393" s="70">
        <v>43560</v>
      </c>
      <c r="C1393" t="s">
        <v>51</v>
      </c>
      <c r="D1393" t="s">
        <v>84</v>
      </c>
      <c r="E1393" t="s">
        <v>265</v>
      </c>
      <c r="F1393" s="71">
        <v>33</v>
      </c>
      <c r="G1393" s="71">
        <v>0</v>
      </c>
    </row>
    <row r="1394" spans="2:7" x14ac:dyDescent="0.25">
      <c r="B1394" s="70">
        <v>43560</v>
      </c>
      <c r="C1394" t="s">
        <v>21</v>
      </c>
      <c r="D1394" t="s">
        <v>79</v>
      </c>
      <c r="E1394" t="s">
        <v>265</v>
      </c>
      <c r="F1394" s="71">
        <v>16</v>
      </c>
      <c r="G1394" s="71">
        <v>0</v>
      </c>
    </row>
    <row r="1395" spans="2:7" x14ac:dyDescent="0.25">
      <c r="B1395" s="70">
        <v>43560</v>
      </c>
      <c r="C1395" t="s">
        <v>21</v>
      </c>
      <c r="D1395" t="s">
        <v>79</v>
      </c>
      <c r="E1395" t="s">
        <v>265</v>
      </c>
      <c r="F1395" s="71">
        <v>24</v>
      </c>
      <c r="G1395" s="71">
        <v>0</v>
      </c>
    </row>
    <row r="1396" spans="2:7" x14ac:dyDescent="0.25">
      <c r="B1396" s="70">
        <v>43560</v>
      </c>
      <c r="C1396" t="s">
        <v>21</v>
      </c>
      <c r="D1396" t="s">
        <v>84</v>
      </c>
      <c r="E1396" t="s">
        <v>265</v>
      </c>
      <c r="F1396" s="71">
        <v>84</v>
      </c>
      <c r="G1396" s="71">
        <v>0</v>
      </c>
    </row>
    <row r="1397" spans="2:7" x14ac:dyDescent="0.25">
      <c r="B1397" s="70">
        <v>43560</v>
      </c>
      <c r="C1397" t="s">
        <v>21</v>
      </c>
      <c r="D1397" t="s">
        <v>84</v>
      </c>
      <c r="E1397" t="s">
        <v>265</v>
      </c>
      <c r="F1397" s="71">
        <v>147.9</v>
      </c>
      <c r="G1397" s="71">
        <v>0</v>
      </c>
    </row>
    <row r="1398" spans="2:7" x14ac:dyDescent="0.25">
      <c r="B1398" s="70">
        <v>43560</v>
      </c>
      <c r="C1398" t="s">
        <v>48</v>
      </c>
      <c r="D1398" t="s">
        <v>80</v>
      </c>
      <c r="E1398" t="s">
        <v>265</v>
      </c>
      <c r="F1398" s="71">
        <v>66.59</v>
      </c>
      <c r="G1398" s="71">
        <v>0</v>
      </c>
    </row>
    <row r="1399" spans="2:7" x14ac:dyDescent="0.25">
      <c r="B1399" s="70">
        <v>43560</v>
      </c>
      <c r="C1399" t="s">
        <v>48</v>
      </c>
      <c r="D1399" t="s">
        <v>86</v>
      </c>
      <c r="E1399" t="s">
        <v>265</v>
      </c>
      <c r="F1399" s="71">
        <v>22</v>
      </c>
      <c r="G1399" s="71">
        <v>0</v>
      </c>
    </row>
    <row r="1400" spans="2:7" x14ac:dyDescent="0.25">
      <c r="B1400" s="70">
        <v>43560</v>
      </c>
      <c r="C1400" t="s">
        <v>55</v>
      </c>
      <c r="D1400" t="s">
        <v>80</v>
      </c>
      <c r="E1400" t="s">
        <v>265</v>
      </c>
      <c r="F1400" s="71">
        <v>131.61000000000001</v>
      </c>
      <c r="G1400" s="71">
        <v>0</v>
      </c>
    </row>
    <row r="1401" spans="2:7" x14ac:dyDescent="0.25">
      <c r="B1401" s="70">
        <v>43560</v>
      </c>
      <c r="C1401" t="s">
        <v>50</v>
      </c>
      <c r="D1401" t="s">
        <v>85</v>
      </c>
      <c r="E1401" t="s">
        <v>265</v>
      </c>
      <c r="F1401" s="71">
        <v>112.92</v>
      </c>
      <c r="G1401" s="71">
        <v>0</v>
      </c>
    </row>
    <row r="1402" spans="2:7" x14ac:dyDescent="0.25">
      <c r="B1402" s="70">
        <v>43560</v>
      </c>
      <c r="C1402" t="s">
        <v>50</v>
      </c>
      <c r="D1402" t="s">
        <v>84</v>
      </c>
      <c r="E1402" t="s">
        <v>265</v>
      </c>
      <c r="F1402" s="71">
        <v>24.93</v>
      </c>
      <c r="G1402" s="71">
        <v>0</v>
      </c>
    </row>
    <row r="1403" spans="2:7" x14ac:dyDescent="0.25">
      <c r="B1403" s="70">
        <v>43560</v>
      </c>
      <c r="C1403" t="s">
        <v>58</v>
      </c>
      <c r="D1403" t="s">
        <v>84</v>
      </c>
      <c r="E1403" t="s">
        <v>265</v>
      </c>
      <c r="F1403" s="71">
        <v>25</v>
      </c>
      <c r="G1403" s="71">
        <v>0</v>
      </c>
    </row>
    <row r="1404" spans="2:7" x14ac:dyDescent="0.25">
      <c r="B1404" s="70">
        <v>43560</v>
      </c>
      <c r="C1404" t="s">
        <v>53</v>
      </c>
      <c r="D1404" t="s">
        <v>85</v>
      </c>
      <c r="E1404" t="s">
        <v>265</v>
      </c>
      <c r="F1404" s="71">
        <v>347.34</v>
      </c>
      <c r="G1404" s="71">
        <v>0</v>
      </c>
    </row>
    <row r="1405" spans="2:7" x14ac:dyDescent="0.25">
      <c r="B1405" s="70">
        <v>43560</v>
      </c>
      <c r="C1405" t="s">
        <v>24</v>
      </c>
      <c r="D1405" t="s">
        <v>79</v>
      </c>
      <c r="E1405" t="s">
        <v>265</v>
      </c>
      <c r="F1405" s="71">
        <v>8</v>
      </c>
      <c r="G1405" s="71">
        <v>0</v>
      </c>
    </row>
    <row r="1406" spans="2:7" x14ac:dyDescent="0.25">
      <c r="B1406" s="70">
        <v>43560</v>
      </c>
      <c r="C1406" t="s">
        <v>60</v>
      </c>
      <c r="D1406" t="s">
        <v>87</v>
      </c>
      <c r="E1406" t="s">
        <v>265</v>
      </c>
      <c r="F1406" s="71">
        <v>185.06</v>
      </c>
      <c r="G1406" s="71">
        <v>0</v>
      </c>
    </row>
    <row r="1407" spans="2:7" x14ac:dyDescent="0.25">
      <c r="B1407" s="70">
        <v>43560</v>
      </c>
      <c r="C1407" t="s">
        <v>60</v>
      </c>
      <c r="D1407" t="s">
        <v>84</v>
      </c>
      <c r="E1407" t="s">
        <v>265</v>
      </c>
      <c r="F1407" s="71">
        <v>51.99</v>
      </c>
      <c r="G1407" s="71">
        <v>0</v>
      </c>
    </row>
    <row r="1408" spans="2:7" x14ac:dyDescent="0.25">
      <c r="B1408" s="70">
        <v>43561</v>
      </c>
      <c r="C1408" t="s">
        <v>25</v>
      </c>
      <c r="D1408" t="s">
        <v>79</v>
      </c>
      <c r="E1408" t="s">
        <v>266</v>
      </c>
      <c r="F1408" s="71">
        <v>16</v>
      </c>
      <c r="G1408" s="71">
        <v>0</v>
      </c>
    </row>
    <row r="1409" spans="2:7" x14ac:dyDescent="0.25">
      <c r="B1409" s="70">
        <v>43561</v>
      </c>
      <c r="C1409" t="s">
        <v>25</v>
      </c>
      <c r="D1409" t="s">
        <v>85</v>
      </c>
      <c r="E1409" t="s">
        <v>266</v>
      </c>
      <c r="F1409" s="71">
        <v>155</v>
      </c>
      <c r="G1409" s="71">
        <v>0</v>
      </c>
    </row>
    <row r="1410" spans="2:7" x14ac:dyDescent="0.25">
      <c r="B1410" s="70">
        <v>43561</v>
      </c>
      <c r="C1410" t="s">
        <v>25</v>
      </c>
      <c r="D1410" t="s">
        <v>81</v>
      </c>
      <c r="E1410" t="s">
        <v>168</v>
      </c>
      <c r="F1410" s="71">
        <v>22.5</v>
      </c>
      <c r="G1410" s="71">
        <v>0</v>
      </c>
    </row>
    <row r="1411" spans="2:7" x14ac:dyDescent="0.25">
      <c r="B1411" s="70">
        <v>43561</v>
      </c>
      <c r="C1411" t="s">
        <v>54</v>
      </c>
      <c r="D1411" t="s">
        <v>85</v>
      </c>
      <c r="E1411" t="s">
        <v>266</v>
      </c>
      <c r="F1411" s="71">
        <v>41.95</v>
      </c>
      <c r="G1411" s="71">
        <v>0</v>
      </c>
    </row>
    <row r="1412" spans="2:7" x14ac:dyDescent="0.25">
      <c r="B1412" s="70">
        <v>43561</v>
      </c>
      <c r="C1412" t="s">
        <v>46</v>
      </c>
      <c r="D1412" t="s">
        <v>85</v>
      </c>
      <c r="E1412" t="s">
        <v>266</v>
      </c>
      <c r="F1412" s="71">
        <v>136.80000000000001</v>
      </c>
      <c r="G1412" s="71">
        <v>0</v>
      </c>
    </row>
    <row r="1413" spans="2:7" x14ac:dyDescent="0.25">
      <c r="B1413" s="70">
        <v>43561</v>
      </c>
      <c r="C1413" t="s">
        <v>46</v>
      </c>
      <c r="D1413" t="s">
        <v>84</v>
      </c>
      <c r="E1413" t="s">
        <v>266</v>
      </c>
      <c r="F1413" s="71">
        <v>10</v>
      </c>
      <c r="G1413" s="71">
        <v>0</v>
      </c>
    </row>
    <row r="1414" spans="2:7" x14ac:dyDescent="0.25">
      <c r="B1414" s="70">
        <v>43561</v>
      </c>
      <c r="C1414" t="s">
        <v>47</v>
      </c>
      <c r="D1414" t="s">
        <v>82</v>
      </c>
      <c r="E1414" t="s">
        <v>266</v>
      </c>
      <c r="F1414" s="71">
        <v>87</v>
      </c>
      <c r="G1414" s="71">
        <v>0</v>
      </c>
    </row>
    <row r="1415" spans="2:7" x14ac:dyDescent="0.25">
      <c r="B1415" s="70">
        <v>43561</v>
      </c>
      <c r="C1415" t="s">
        <v>21</v>
      </c>
      <c r="D1415" t="s">
        <v>79</v>
      </c>
      <c r="E1415" t="s">
        <v>266</v>
      </c>
      <c r="F1415" s="71">
        <v>8</v>
      </c>
      <c r="G1415" s="71">
        <v>0</v>
      </c>
    </row>
    <row r="1416" spans="2:7" x14ac:dyDescent="0.25">
      <c r="B1416" s="70">
        <v>43561</v>
      </c>
      <c r="C1416" t="s">
        <v>21</v>
      </c>
      <c r="D1416" t="s">
        <v>79</v>
      </c>
      <c r="E1416" t="s">
        <v>266</v>
      </c>
      <c r="F1416" s="71">
        <v>16</v>
      </c>
      <c r="G1416" s="71">
        <v>0</v>
      </c>
    </row>
    <row r="1417" spans="2:7" x14ac:dyDescent="0.25">
      <c r="B1417" s="70">
        <v>43561</v>
      </c>
      <c r="C1417" t="s">
        <v>21</v>
      </c>
      <c r="D1417" t="s">
        <v>79</v>
      </c>
      <c r="E1417" t="s">
        <v>266</v>
      </c>
      <c r="F1417" s="71">
        <v>24</v>
      </c>
      <c r="G1417" s="71">
        <v>0</v>
      </c>
    </row>
    <row r="1418" spans="2:7" x14ac:dyDescent="0.25">
      <c r="B1418" s="70">
        <v>43561</v>
      </c>
      <c r="C1418" t="s">
        <v>21</v>
      </c>
      <c r="D1418" t="s">
        <v>79</v>
      </c>
      <c r="E1418" t="s">
        <v>266</v>
      </c>
      <c r="F1418" s="71">
        <v>40</v>
      </c>
      <c r="G1418" s="71">
        <v>0</v>
      </c>
    </row>
    <row r="1419" spans="2:7" x14ac:dyDescent="0.25">
      <c r="B1419" s="70">
        <v>43561</v>
      </c>
      <c r="C1419" t="s">
        <v>48</v>
      </c>
      <c r="D1419" t="s">
        <v>84</v>
      </c>
      <c r="E1419" t="s">
        <v>266</v>
      </c>
      <c r="F1419" s="71">
        <v>19.399999999999999</v>
      </c>
      <c r="G1419" s="71">
        <v>0</v>
      </c>
    </row>
    <row r="1420" spans="2:7" x14ac:dyDescent="0.25">
      <c r="B1420" s="70">
        <v>43561</v>
      </c>
      <c r="C1420" t="s">
        <v>50</v>
      </c>
      <c r="D1420" t="s">
        <v>84</v>
      </c>
      <c r="E1420" t="s">
        <v>266</v>
      </c>
      <c r="F1420" s="71">
        <v>53.35</v>
      </c>
      <c r="G1420" s="71">
        <v>0</v>
      </c>
    </row>
    <row r="1421" spans="2:7" x14ac:dyDescent="0.25">
      <c r="B1421" s="70">
        <v>43561</v>
      </c>
      <c r="C1421" t="s">
        <v>24</v>
      </c>
      <c r="D1421" t="s">
        <v>79</v>
      </c>
      <c r="E1421" t="s">
        <v>266</v>
      </c>
      <c r="F1421" s="71">
        <v>8</v>
      </c>
      <c r="G1421" s="71">
        <v>0</v>
      </c>
    </row>
    <row r="1422" spans="2:7" x14ac:dyDescent="0.25">
      <c r="B1422" s="70">
        <v>43563</v>
      </c>
      <c r="C1422" t="s">
        <v>25</v>
      </c>
      <c r="D1422" t="s">
        <v>81</v>
      </c>
      <c r="E1422" t="s">
        <v>122</v>
      </c>
      <c r="F1422" s="71">
        <v>1.8</v>
      </c>
      <c r="G1422" s="71">
        <v>0</v>
      </c>
    </row>
    <row r="1423" spans="2:7" x14ac:dyDescent="0.25">
      <c r="B1423" s="70">
        <v>43563</v>
      </c>
      <c r="C1423" t="s">
        <v>25</v>
      </c>
      <c r="D1423" t="s">
        <v>81</v>
      </c>
      <c r="E1423" t="s">
        <v>220</v>
      </c>
      <c r="F1423" s="71">
        <v>2.4</v>
      </c>
      <c r="G1423" s="71">
        <v>0</v>
      </c>
    </row>
    <row r="1424" spans="2:7" x14ac:dyDescent="0.25">
      <c r="B1424" s="70">
        <v>43563</v>
      </c>
      <c r="C1424" t="s">
        <v>25</v>
      </c>
      <c r="D1424" t="s">
        <v>81</v>
      </c>
      <c r="E1424" t="s">
        <v>150</v>
      </c>
      <c r="F1424" s="71">
        <v>14</v>
      </c>
      <c r="G1424" s="71">
        <v>0</v>
      </c>
    </row>
    <row r="1425" spans="2:7" x14ac:dyDescent="0.25">
      <c r="B1425" s="70">
        <v>43563</v>
      </c>
      <c r="C1425" t="s">
        <v>25</v>
      </c>
      <c r="D1425" t="s">
        <v>81</v>
      </c>
      <c r="E1425" t="s">
        <v>217</v>
      </c>
      <c r="F1425" s="71">
        <v>4.8</v>
      </c>
      <c r="G1425" s="71">
        <v>0</v>
      </c>
    </row>
    <row r="1426" spans="2:7" x14ac:dyDescent="0.25">
      <c r="B1426" s="70">
        <v>43563</v>
      </c>
      <c r="C1426" t="s">
        <v>51</v>
      </c>
      <c r="D1426" t="s">
        <v>84</v>
      </c>
      <c r="E1426" t="s">
        <v>267</v>
      </c>
      <c r="F1426" s="71">
        <v>31.93</v>
      </c>
      <c r="G1426" s="71">
        <v>0</v>
      </c>
    </row>
    <row r="1427" spans="2:7" x14ac:dyDescent="0.25">
      <c r="B1427" s="70">
        <v>43563</v>
      </c>
      <c r="C1427" t="s">
        <v>21</v>
      </c>
      <c r="D1427" t="s">
        <v>79</v>
      </c>
      <c r="E1427" t="s">
        <v>267</v>
      </c>
      <c r="F1427" s="71">
        <v>8</v>
      </c>
      <c r="G1427" s="71">
        <v>0</v>
      </c>
    </row>
    <row r="1428" spans="2:7" x14ac:dyDescent="0.25">
      <c r="B1428" s="70">
        <v>43563</v>
      </c>
      <c r="C1428" t="s">
        <v>48</v>
      </c>
      <c r="D1428" t="s">
        <v>82</v>
      </c>
      <c r="E1428" t="s">
        <v>267</v>
      </c>
      <c r="F1428" s="71">
        <v>919</v>
      </c>
      <c r="G1428" s="71">
        <v>0</v>
      </c>
    </row>
    <row r="1429" spans="2:7" x14ac:dyDescent="0.25">
      <c r="B1429" s="70">
        <v>43563</v>
      </c>
      <c r="C1429" t="s">
        <v>45</v>
      </c>
      <c r="D1429" t="s">
        <v>84</v>
      </c>
      <c r="E1429" t="s">
        <v>267</v>
      </c>
      <c r="F1429" s="71">
        <v>16.3</v>
      </c>
      <c r="G1429" s="71">
        <v>0</v>
      </c>
    </row>
    <row r="1430" spans="2:7" x14ac:dyDescent="0.25">
      <c r="B1430" s="70">
        <v>43564</v>
      </c>
      <c r="C1430" t="s">
        <v>25</v>
      </c>
      <c r="D1430" t="s">
        <v>81</v>
      </c>
      <c r="E1430" t="s">
        <v>137</v>
      </c>
      <c r="F1430" s="71">
        <v>4.5</v>
      </c>
      <c r="G1430" s="71">
        <v>0</v>
      </c>
    </row>
    <row r="1431" spans="2:7" x14ac:dyDescent="0.25">
      <c r="B1431" s="70">
        <v>43564</v>
      </c>
      <c r="C1431" t="s">
        <v>25</v>
      </c>
      <c r="D1431" t="s">
        <v>81</v>
      </c>
      <c r="E1431" t="s">
        <v>268</v>
      </c>
      <c r="F1431" s="71">
        <v>4.75</v>
      </c>
      <c r="G1431" s="71">
        <v>0</v>
      </c>
    </row>
    <row r="1432" spans="2:7" x14ac:dyDescent="0.25">
      <c r="B1432" s="70">
        <v>43564</v>
      </c>
      <c r="C1432" t="s">
        <v>25</v>
      </c>
      <c r="D1432" t="s">
        <v>81</v>
      </c>
      <c r="E1432" t="s">
        <v>169</v>
      </c>
      <c r="F1432" s="71">
        <v>3</v>
      </c>
      <c r="G1432" s="71">
        <v>0</v>
      </c>
    </row>
    <row r="1433" spans="2:7" x14ac:dyDescent="0.25">
      <c r="B1433" s="70">
        <v>43564</v>
      </c>
      <c r="C1433" t="s">
        <v>46</v>
      </c>
      <c r="D1433" t="s">
        <v>85</v>
      </c>
      <c r="E1433" t="s">
        <v>269</v>
      </c>
      <c r="F1433" s="71">
        <v>106.93</v>
      </c>
      <c r="G1433" s="71">
        <v>0</v>
      </c>
    </row>
    <row r="1434" spans="2:7" x14ac:dyDescent="0.25">
      <c r="B1434" s="70">
        <v>43564</v>
      </c>
      <c r="C1434" t="s">
        <v>46</v>
      </c>
      <c r="D1434" t="s">
        <v>84</v>
      </c>
      <c r="E1434" t="s">
        <v>269</v>
      </c>
      <c r="F1434" s="71">
        <v>25</v>
      </c>
      <c r="G1434" s="71">
        <v>0</v>
      </c>
    </row>
    <row r="1435" spans="2:7" x14ac:dyDescent="0.25">
      <c r="B1435" s="70">
        <v>43564</v>
      </c>
      <c r="C1435" t="s">
        <v>59</v>
      </c>
      <c r="D1435" t="s">
        <v>84</v>
      </c>
      <c r="E1435" t="s">
        <v>269</v>
      </c>
      <c r="F1435" s="71">
        <v>41</v>
      </c>
      <c r="G1435" s="71">
        <v>0</v>
      </c>
    </row>
    <row r="1436" spans="2:7" x14ac:dyDescent="0.25">
      <c r="B1436" s="70">
        <v>43564</v>
      </c>
      <c r="C1436" t="s">
        <v>21</v>
      </c>
      <c r="D1436" t="s">
        <v>79</v>
      </c>
      <c r="E1436" t="s">
        <v>269</v>
      </c>
      <c r="F1436" s="71">
        <v>8</v>
      </c>
      <c r="G1436" s="71">
        <v>0</v>
      </c>
    </row>
    <row r="1437" spans="2:7" x14ac:dyDescent="0.25">
      <c r="B1437" s="70">
        <v>43564</v>
      </c>
      <c r="C1437" t="s">
        <v>21</v>
      </c>
      <c r="D1437" t="s">
        <v>79</v>
      </c>
      <c r="E1437" t="s">
        <v>269</v>
      </c>
      <c r="F1437" s="71">
        <v>16</v>
      </c>
      <c r="G1437" s="71">
        <v>0</v>
      </c>
    </row>
    <row r="1438" spans="2:7" x14ac:dyDescent="0.25">
      <c r="B1438" s="70">
        <v>43564</v>
      </c>
      <c r="C1438" t="s">
        <v>50</v>
      </c>
      <c r="D1438" t="s">
        <v>79</v>
      </c>
      <c r="E1438" t="s">
        <v>269</v>
      </c>
      <c r="F1438">
        <v>16</v>
      </c>
      <c r="G1438" s="71">
        <v>0</v>
      </c>
    </row>
    <row r="1439" spans="2:7" x14ac:dyDescent="0.25">
      <c r="B1439" s="70">
        <v>43564</v>
      </c>
      <c r="C1439" t="s">
        <v>24</v>
      </c>
      <c r="D1439" t="s">
        <v>79</v>
      </c>
      <c r="E1439" t="s">
        <v>269</v>
      </c>
      <c r="F1439" s="71">
        <v>8</v>
      </c>
      <c r="G1439" s="71">
        <v>0</v>
      </c>
    </row>
    <row r="1440" spans="2:7" x14ac:dyDescent="0.25">
      <c r="B1440" s="70">
        <v>43565</v>
      </c>
      <c r="C1440" t="s">
        <v>25</v>
      </c>
      <c r="D1440" t="s">
        <v>81</v>
      </c>
      <c r="E1440" t="s">
        <v>172</v>
      </c>
      <c r="F1440" s="71">
        <v>2.1</v>
      </c>
      <c r="G1440" s="71">
        <v>0</v>
      </c>
    </row>
    <row r="1441" spans="2:7" x14ac:dyDescent="0.25">
      <c r="B1441" s="70">
        <v>43565</v>
      </c>
      <c r="C1441" t="s">
        <v>25</v>
      </c>
      <c r="D1441" t="s">
        <v>81</v>
      </c>
      <c r="E1441" t="s">
        <v>220</v>
      </c>
      <c r="F1441" s="71">
        <v>2.4</v>
      </c>
      <c r="G1441" s="71">
        <v>0</v>
      </c>
    </row>
    <row r="1442" spans="2:7" x14ac:dyDescent="0.25">
      <c r="B1442" s="70">
        <v>43565</v>
      </c>
      <c r="C1442" t="s">
        <v>25</v>
      </c>
      <c r="D1442" t="s">
        <v>81</v>
      </c>
      <c r="E1442" t="s">
        <v>158</v>
      </c>
      <c r="F1442" s="71">
        <v>6.85</v>
      </c>
      <c r="G1442" s="71">
        <v>0</v>
      </c>
    </row>
    <row r="1443" spans="2:7" x14ac:dyDescent="0.25">
      <c r="B1443" s="70">
        <v>43565</v>
      </c>
      <c r="C1443" t="s">
        <v>25</v>
      </c>
      <c r="D1443" t="s">
        <v>81</v>
      </c>
      <c r="E1443" t="s">
        <v>191</v>
      </c>
      <c r="F1443" s="71">
        <v>44</v>
      </c>
      <c r="G1443" s="71">
        <v>0</v>
      </c>
    </row>
    <row r="1444" spans="2:7" x14ac:dyDescent="0.25">
      <c r="B1444" s="70">
        <v>43565</v>
      </c>
      <c r="C1444" t="s">
        <v>25</v>
      </c>
      <c r="D1444" t="s">
        <v>102</v>
      </c>
      <c r="E1444" t="s">
        <v>270</v>
      </c>
      <c r="F1444" s="71">
        <v>13.68</v>
      </c>
      <c r="G1444" s="71">
        <v>0</v>
      </c>
    </row>
    <row r="1445" spans="2:7" x14ac:dyDescent="0.25">
      <c r="B1445" s="70">
        <v>43565</v>
      </c>
      <c r="C1445" t="s">
        <v>25</v>
      </c>
      <c r="D1445" t="s">
        <v>102</v>
      </c>
      <c r="E1445" t="s">
        <v>270</v>
      </c>
      <c r="F1445" s="71">
        <v>34.770000000000003</v>
      </c>
      <c r="G1445" s="71">
        <v>0</v>
      </c>
    </row>
    <row r="1446" spans="2:7" x14ac:dyDescent="0.25">
      <c r="B1446" s="70">
        <v>43565</v>
      </c>
      <c r="C1446" t="s">
        <v>25</v>
      </c>
      <c r="D1446" t="s">
        <v>102</v>
      </c>
      <c r="E1446" t="s">
        <v>270</v>
      </c>
      <c r="F1446" s="71">
        <v>69.34</v>
      </c>
      <c r="G1446" s="71">
        <v>0</v>
      </c>
    </row>
    <row r="1447" spans="2:7" x14ac:dyDescent="0.25">
      <c r="B1447" s="70">
        <v>43565</v>
      </c>
      <c r="C1447" t="s">
        <v>25</v>
      </c>
      <c r="D1447" t="s">
        <v>102</v>
      </c>
      <c r="E1447" t="s">
        <v>270</v>
      </c>
      <c r="F1447" s="71">
        <v>70.28</v>
      </c>
      <c r="G1447" s="71">
        <v>0</v>
      </c>
    </row>
    <row r="1448" spans="2:7" x14ac:dyDescent="0.25">
      <c r="B1448" s="70">
        <v>43565</v>
      </c>
      <c r="C1448" t="s">
        <v>25</v>
      </c>
      <c r="D1448" t="s">
        <v>102</v>
      </c>
      <c r="E1448" t="s">
        <v>270</v>
      </c>
      <c r="F1448" s="71">
        <v>81.08</v>
      </c>
      <c r="G1448" s="71">
        <v>0</v>
      </c>
    </row>
    <row r="1449" spans="2:7" x14ac:dyDescent="0.25">
      <c r="B1449" s="70">
        <v>43565</v>
      </c>
      <c r="C1449" t="s">
        <v>25</v>
      </c>
      <c r="D1449" t="s">
        <v>102</v>
      </c>
      <c r="E1449" t="s">
        <v>270</v>
      </c>
      <c r="F1449" s="71">
        <v>83.32</v>
      </c>
      <c r="G1449" s="71">
        <v>0</v>
      </c>
    </row>
    <row r="1450" spans="2:7" x14ac:dyDescent="0.25">
      <c r="B1450" s="70">
        <v>43565</v>
      </c>
      <c r="C1450" t="s">
        <v>54</v>
      </c>
      <c r="D1450" t="s">
        <v>102</v>
      </c>
      <c r="E1450" t="s">
        <v>270</v>
      </c>
      <c r="F1450" s="71">
        <v>2980.22</v>
      </c>
      <c r="G1450" s="71">
        <v>0</v>
      </c>
    </row>
    <row r="1451" spans="2:7" x14ac:dyDescent="0.25">
      <c r="B1451" s="70">
        <v>43565</v>
      </c>
      <c r="C1451" t="s">
        <v>46</v>
      </c>
      <c r="D1451" t="s">
        <v>102</v>
      </c>
      <c r="E1451" t="s">
        <v>270</v>
      </c>
      <c r="F1451" s="71">
        <v>45.01</v>
      </c>
      <c r="G1451" s="71">
        <v>0</v>
      </c>
    </row>
    <row r="1452" spans="2:7" x14ac:dyDescent="0.25">
      <c r="B1452" s="70">
        <v>43565</v>
      </c>
      <c r="C1452" t="s">
        <v>21</v>
      </c>
      <c r="D1452" t="s">
        <v>79</v>
      </c>
      <c r="E1452" t="s">
        <v>271</v>
      </c>
      <c r="F1452" s="71">
        <v>16</v>
      </c>
      <c r="G1452" s="71">
        <v>0</v>
      </c>
    </row>
    <row r="1453" spans="2:7" x14ac:dyDescent="0.25">
      <c r="B1453" s="70">
        <v>43565</v>
      </c>
      <c r="C1453" t="s">
        <v>21</v>
      </c>
      <c r="D1453" t="s">
        <v>102</v>
      </c>
      <c r="E1453" t="s">
        <v>270</v>
      </c>
      <c r="F1453" s="71">
        <v>37.5</v>
      </c>
      <c r="G1453" s="71">
        <v>0</v>
      </c>
    </row>
    <row r="1454" spans="2:7" x14ac:dyDescent="0.25">
      <c r="B1454" s="70">
        <v>43565</v>
      </c>
      <c r="C1454" t="s">
        <v>21</v>
      </c>
      <c r="D1454" t="s">
        <v>102</v>
      </c>
      <c r="E1454" t="s">
        <v>270</v>
      </c>
      <c r="F1454" s="71">
        <v>37.64</v>
      </c>
      <c r="G1454" s="71">
        <v>0</v>
      </c>
    </row>
    <row r="1455" spans="2:7" x14ac:dyDescent="0.25">
      <c r="B1455" s="70">
        <v>43565</v>
      </c>
      <c r="C1455" t="s">
        <v>21</v>
      </c>
      <c r="D1455" t="s">
        <v>102</v>
      </c>
      <c r="E1455" t="s">
        <v>270</v>
      </c>
      <c r="F1455" s="71">
        <v>39.01</v>
      </c>
      <c r="G1455" s="71">
        <v>0</v>
      </c>
    </row>
    <row r="1456" spans="2:7" x14ac:dyDescent="0.25">
      <c r="B1456" s="70">
        <v>43565</v>
      </c>
      <c r="C1456" t="s">
        <v>21</v>
      </c>
      <c r="D1456" t="s">
        <v>102</v>
      </c>
      <c r="E1456" t="s">
        <v>270</v>
      </c>
      <c r="F1456" s="71">
        <v>45.5</v>
      </c>
      <c r="G1456" s="71">
        <v>0</v>
      </c>
    </row>
    <row r="1457" spans="2:7" x14ac:dyDescent="0.25">
      <c r="B1457" s="70">
        <v>43565</v>
      </c>
      <c r="C1457" t="s">
        <v>21</v>
      </c>
      <c r="D1457" t="s">
        <v>102</v>
      </c>
      <c r="E1457" t="s">
        <v>270</v>
      </c>
      <c r="F1457" s="71">
        <v>67.34</v>
      </c>
      <c r="G1457" s="71">
        <v>0</v>
      </c>
    </row>
    <row r="1458" spans="2:7" x14ac:dyDescent="0.25">
      <c r="B1458" s="70">
        <v>43565</v>
      </c>
      <c r="C1458" t="s">
        <v>21</v>
      </c>
      <c r="D1458" t="s">
        <v>102</v>
      </c>
      <c r="E1458" t="s">
        <v>270</v>
      </c>
      <c r="F1458" s="71">
        <v>71.099999999999994</v>
      </c>
      <c r="G1458" s="71">
        <v>0</v>
      </c>
    </row>
    <row r="1459" spans="2:7" x14ac:dyDescent="0.25">
      <c r="B1459" s="70">
        <v>43565</v>
      </c>
      <c r="C1459" t="s">
        <v>21</v>
      </c>
      <c r="D1459" t="s">
        <v>102</v>
      </c>
      <c r="E1459" t="s">
        <v>270</v>
      </c>
      <c r="F1459" s="71">
        <v>81.55</v>
      </c>
      <c r="G1459" s="71">
        <v>0</v>
      </c>
    </row>
    <row r="1460" spans="2:7" x14ac:dyDescent="0.25">
      <c r="B1460" s="70">
        <v>43565</v>
      </c>
      <c r="C1460" t="s">
        <v>21</v>
      </c>
      <c r="D1460" t="s">
        <v>102</v>
      </c>
      <c r="E1460" t="s">
        <v>270</v>
      </c>
      <c r="F1460" s="71">
        <v>85.58</v>
      </c>
      <c r="G1460" s="71">
        <v>0</v>
      </c>
    </row>
    <row r="1461" spans="2:7" x14ac:dyDescent="0.25">
      <c r="B1461" s="70">
        <v>43565</v>
      </c>
      <c r="C1461" t="s">
        <v>21</v>
      </c>
      <c r="D1461" t="s">
        <v>102</v>
      </c>
      <c r="E1461" t="s">
        <v>270</v>
      </c>
      <c r="F1461" s="71">
        <v>93.66</v>
      </c>
      <c r="G1461" s="71">
        <v>0</v>
      </c>
    </row>
    <row r="1462" spans="2:7" x14ac:dyDescent="0.25">
      <c r="B1462" s="70">
        <v>43565</v>
      </c>
      <c r="C1462" t="s">
        <v>21</v>
      </c>
      <c r="D1462" t="s">
        <v>102</v>
      </c>
      <c r="E1462" t="s">
        <v>270</v>
      </c>
      <c r="F1462" s="71">
        <v>135.44</v>
      </c>
      <c r="G1462" s="71">
        <v>0</v>
      </c>
    </row>
    <row r="1463" spans="2:7" x14ac:dyDescent="0.25">
      <c r="B1463" s="70">
        <v>43565</v>
      </c>
      <c r="C1463" t="s">
        <v>21</v>
      </c>
      <c r="D1463" t="s">
        <v>102</v>
      </c>
      <c r="E1463" t="s">
        <v>270</v>
      </c>
      <c r="F1463" s="71">
        <v>152.47999999999999</v>
      </c>
      <c r="G1463" s="71">
        <v>0</v>
      </c>
    </row>
    <row r="1464" spans="2:7" x14ac:dyDescent="0.25">
      <c r="B1464" s="70">
        <v>43565</v>
      </c>
      <c r="C1464" t="s">
        <v>21</v>
      </c>
      <c r="D1464" t="s">
        <v>102</v>
      </c>
      <c r="E1464" t="s">
        <v>270</v>
      </c>
      <c r="F1464" s="71">
        <v>163.58000000000001</v>
      </c>
      <c r="G1464" s="71">
        <v>0</v>
      </c>
    </row>
    <row r="1465" spans="2:7" x14ac:dyDescent="0.25">
      <c r="B1465" s="70">
        <v>43565</v>
      </c>
      <c r="C1465" t="s">
        <v>21</v>
      </c>
      <c r="D1465" t="s">
        <v>102</v>
      </c>
      <c r="E1465" t="s">
        <v>270</v>
      </c>
      <c r="F1465" s="71">
        <v>166.93</v>
      </c>
      <c r="G1465" s="71">
        <v>0</v>
      </c>
    </row>
    <row r="1466" spans="2:7" x14ac:dyDescent="0.25">
      <c r="B1466" s="70">
        <v>43565</v>
      </c>
      <c r="C1466" t="s">
        <v>21</v>
      </c>
      <c r="D1466" t="s">
        <v>102</v>
      </c>
      <c r="E1466" t="s">
        <v>270</v>
      </c>
      <c r="F1466" s="71">
        <v>206.84</v>
      </c>
      <c r="G1466" s="71">
        <v>0</v>
      </c>
    </row>
    <row r="1467" spans="2:7" x14ac:dyDescent="0.25">
      <c r="B1467" s="70">
        <v>43565</v>
      </c>
      <c r="C1467" t="s">
        <v>21</v>
      </c>
      <c r="D1467" t="s">
        <v>102</v>
      </c>
      <c r="E1467" t="s">
        <v>270</v>
      </c>
      <c r="F1467" s="71">
        <v>214.42</v>
      </c>
      <c r="G1467" s="71">
        <v>0</v>
      </c>
    </row>
    <row r="1468" spans="2:7" x14ac:dyDescent="0.25">
      <c r="B1468" s="70">
        <v>43565</v>
      </c>
      <c r="C1468" t="s">
        <v>21</v>
      </c>
      <c r="D1468" t="s">
        <v>102</v>
      </c>
      <c r="E1468" t="s">
        <v>270</v>
      </c>
      <c r="F1468" s="71">
        <v>226.17</v>
      </c>
      <c r="G1468" s="71">
        <v>0</v>
      </c>
    </row>
    <row r="1469" spans="2:7" x14ac:dyDescent="0.25">
      <c r="B1469" s="70">
        <v>43565</v>
      </c>
      <c r="C1469" t="s">
        <v>21</v>
      </c>
      <c r="D1469" t="s">
        <v>102</v>
      </c>
      <c r="E1469" t="s">
        <v>270</v>
      </c>
      <c r="F1469" s="71">
        <v>229.69</v>
      </c>
      <c r="G1469" s="71">
        <v>0</v>
      </c>
    </row>
    <row r="1470" spans="2:7" x14ac:dyDescent="0.25">
      <c r="B1470" s="70">
        <v>43565</v>
      </c>
      <c r="C1470" t="s">
        <v>21</v>
      </c>
      <c r="D1470" t="s">
        <v>102</v>
      </c>
      <c r="E1470" t="s">
        <v>270</v>
      </c>
      <c r="F1470" s="71">
        <v>247.25</v>
      </c>
      <c r="G1470" s="71">
        <v>0</v>
      </c>
    </row>
    <row r="1471" spans="2:7" x14ac:dyDescent="0.25">
      <c r="B1471" s="70">
        <v>43565</v>
      </c>
      <c r="C1471" t="s">
        <v>21</v>
      </c>
      <c r="D1471" t="s">
        <v>102</v>
      </c>
      <c r="E1471" t="s">
        <v>270</v>
      </c>
      <c r="F1471" s="71">
        <v>277.35000000000002</v>
      </c>
      <c r="G1471" s="71">
        <v>0</v>
      </c>
    </row>
    <row r="1472" spans="2:7" x14ac:dyDescent="0.25">
      <c r="B1472" s="70">
        <v>43565</v>
      </c>
      <c r="C1472" t="s">
        <v>21</v>
      </c>
      <c r="D1472" t="s">
        <v>102</v>
      </c>
      <c r="E1472" t="s">
        <v>270</v>
      </c>
      <c r="F1472" s="71">
        <v>298.99</v>
      </c>
      <c r="G1472" s="71">
        <v>0</v>
      </c>
    </row>
    <row r="1473" spans="2:7" x14ac:dyDescent="0.25">
      <c r="B1473" s="70">
        <v>43565</v>
      </c>
      <c r="C1473" t="s">
        <v>21</v>
      </c>
      <c r="D1473" t="s">
        <v>102</v>
      </c>
      <c r="E1473" t="s">
        <v>270</v>
      </c>
      <c r="F1473" s="71">
        <v>322.91000000000003</v>
      </c>
      <c r="G1473" s="71">
        <v>0</v>
      </c>
    </row>
    <row r="1474" spans="2:7" x14ac:dyDescent="0.25">
      <c r="B1474" s="70">
        <v>43565</v>
      </c>
      <c r="C1474" t="s">
        <v>21</v>
      </c>
      <c r="D1474" t="s">
        <v>102</v>
      </c>
      <c r="E1474" t="s">
        <v>270</v>
      </c>
      <c r="F1474" s="71">
        <v>349.69</v>
      </c>
      <c r="G1474" s="71">
        <v>0</v>
      </c>
    </row>
    <row r="1475" spans="2:7" x14ac:dyDescent="0.25">
      <c r="B1475" s="70">
        <v>43565</v>
      </c>
      <c r="C1475" t="s">
        <v>21</v>
      </c>
      <c r="D1475" t="s">
        <v>102</v>
      </c>
      <c r="E1475" t="s">
        <v>270</v>
      </c>
      <c r="F1475" s="71">
        <v>409.61</v>
      </c>
      <c r="G1475" s="71">
        <v>0</v>
      </c>
    </row>
    <row r="1476" spans="2:7" x14ac:dyDescent="0.25">
      <c r="B1476" s="70">
        <v>43565</v>
      </c>
      <c r="C1476" t="s">
        <v>21</v>
      </c>
      <c r="D1476" t="s">
        <v>102</v>
      </c>
      <c r="E1476" t="s">
        <v>270</v>
      </c>
      <c r="F1476" s="71">
        <v>414.01</v>
      </c>
      <c r="G1476" s="71">
        <v>0</v>
      </c>
    </row>
    <row r="1477" spans="2:7" x14ac:dyDescent="0.25">
      <c r="B1477" s="70">
        <v>43565</v>
      </c>
      <c r="C1477" t="s">
        <v>21</v>
      </c>
      <c r="D1477" t="s">
        <v>102</v>
      </c>
      <c r="E1477" t="s">
        <v>270</v>
      </c>
      <c r="F1477" s="71">
        <v>443.45</v>
      </c>
      <c r="G1477" s="71">
        <v>0</v>
      </c>
    </row>
    <row r="1478" spans="2:7" x14ac:dyDescent="0.25">
      <c r="B1478" s="70">
        <v>43565</v>
      </c>
      <c r="C1478" t="s">
        <v>21</v>
      </c>
      <c r="D1478" t="s">
        <v>102</v>
      </c>
      <c r="E1478" t="s">
        <v>270</v>
      </c>
      <c r="F1478" s="71">
        <v>454.53</v>
      </c>
      <c r="G1478" s="71">
        <v>0</v>
      </c>
    </row>
    <row r="1479" spans="2:7" x14ac:dyDescent="0.25">
      <c r="B1479" s="70">
        <v>43565</v>
      </c>
      <c r="C1479" t="s">
        <v>21</v>
      </c>
      <c r="D1479" t="s">
        <v>102</v>
      </c>
      <c r="E1479" t="s">
        <v>270</v>
      </c>
      <c r="F1479" s="71">
        <v>484.74</v>
      </c>
      <c r="G1479" s="71">
        <v>0</v>
      </c>
    </row>
    <row r="1480" spans="2:7" x14ac:dyDescent="0.25">
      <c r="B1480" s="70">
        <v>43565</v>
      </c>
      <c r="C1480" t="s">
        <v>21</v>
      </c>
      <c r="D1480" t="s">
        <v>102</v>
      </c>
      <c r="E1480" t="s">
        <v>270</v>
      </c>
      <c r="F1480" s="71">
        <v>557.19000000000005</v>
      </c>
      <c r="G1480" s="71">
        <v>0</v>
      </c>
    </row>
    <row r="1481" spans="2:7" x14ac:dyDescent="0.25">
      <c r="B1481" s="70">
        <v>43565</v>
      </c>
      <c r="C1481" t="s">
        <v>21</v>
      </c>
      <c r="D1481" t="s">
        <v>102</v>
      </c>
      <c r="E1481" t="s">
        <v>270</v>
      </c>
      <c r="F1481" s="71">
        <v>560.6</v>
      </c>
      <c r="G1481" s="71">
        <v>0</v>
      </c>
    </row>
    <row r="1482" spans="2:7" x14ac:dyDescent="0.25">
      <c r="B1482" s="70">
        <v>43565</v>
      </c>
      <c r="C1482" t="s">
        <v>21</v>
      </c>
      <c r="D1482" t="s">
        <v>102</v>
      </c>
      <c r="E1482" t="s">
        <v>270</v>
      </c>
      <c r="F1482" s="71">
        <v>684.66</v>
      </c>
      <c r="G1482" s="71">
        <v>0</v>
      </c>
    </row>
    <row r="1483" spans="2:7" x14ac:dyDescent="0.25">
      <c r="B1483" s="70">
        <v>43565</v>
      </c>
      <c r="C1483" t="s">
        <v>21</v>
      </c>
      <c r="D1483" t="s">
        <v>102</v>
      </c>
      <c r="E1483" t="s">
        <v>270</v>
      </c>
      <c r="F1483" s="71">
        <v>743.95</v>
      </c>
      <c r="G1483" s="71">
        <v>0</v>
      </c>
    </row>
    <row r="1484" spans="2:7" x14ac:dyDescent="0.25">
      <c r="B1484" s="70">
        <v>43565</v>
      </c>
      <c r="C1484" t="s">
        <v>21</v>
      </c>
      <c r="D1484" t="s">
        <v>102</v>
      </c>
      <c r="E1484" t="s">
        <v>270</v>
      </c>
      <c r="F1484" s="71">
        <v>745.21</v>
      </c>
      <c r="G1484" s="71">
        <v>0</v>
      </c>
    </row>
    <row r="1485" spans="2:7" x14ac:dyDescent="0.25">
      <c r="B1485" s="70">
        <v>43565</v>
      </c>
      <c r="C1485" t="s">
        <v>66</v>
      </c>
      <c r="D1485" t="s">
        <v>102</v>
      </c>
      <c r="E1485" t="s">
        <v>270</v>
      </c>
      <c r="F1485" s="71">
        <v>94.12</v>
      </c>
      <c r="G1485" s="71">
        <v>0</v>
      </c>
    </row>
    <row r="1486" spans="2:7" x14ac:dyDescent="0.25">
      <c r="B1486" s="70">
        <v>43565</v>
      </c>
      <c r="C1486" t="s">
        <v>48</v>
      </c>
      <c r="D1486" t="s">
        <v>102</v>
      </c>
      <c r="E1486" t="s">
        <v>270</v>
      </c>
      <c r="F1486" s="71">
        <v>767.82</v>
      </c>
      <c r="G1486" s="71">
        <v>0</v>
      </c>
    </row>
    <row r="1487" spans="2:7" x14ac:dyDescent="0.25">
      <c r="B1487" s="70">
        <v>43565</v>
      </c>
      <c r="C1487" t="s">
        <v>55</v>
      </c>
      <c r="D1487" t="s">
        <v>102</v>
      </c>
      <c r="E1487" t="s">
        <v>270</v>
      </c>
      <c r="F1487" s="71">
        <v>147.93</v>
      </c>
      <c r="G1487" s="71">
        <v>0</v>
      </c>
    </row>
    <row r="1488" spans="2:7" x14ac:dyDescent="0.25">
      <c r="B1488" s="70">
        <v>43565</v>
      </c>
      <c r="C1488" t="s">
        <v>49</v>
      </c>
      <c r="D1488" t="s">
        <v>102</v>
      </c>
      <c r="E1488" t="s">
        <v>270</v>
      </c>
      <c r="F1488" s="71">
        <v>519.46</v>
      </c>
      <c r="G1488" s="71">
        <v>0</v>
      </c>
    </row>
    <row r="1489" spans="2:7" x14ac:dyDescent="0.25">
      <c r="B1489" s="70">
        <v>43565</v>
      </c>
      <c r="C1489" t="s">
        <v>50</v>
      </c>
      <c r="D1489" t="s">
        <v>79</v>
      </c>
      <c r="E1489" t="s">
        <v>271</v>
      </c>
      <c r="F1489" s="71">
        <v>45.13</v>
      </c>
      <c r="G1489" s="71">
        <v>0</v>
      </c>
    </row>
    <row r="1490" spans="2:7" x14ac:dyDescent="0.25">
      <c r="B1490" s="70">
        <v>43565</v>
      </c>
      <c r="C1490" t="s">
        <v>50</v>
      </c>
      <c r="D1490" t="s">
        <v>102</v>
      </c>
      <c r="E1490" t="s">
        <v>270</v>
      </c>
      <c r="F1490" s="71">
        <v>140</v>
      </c>
      <c r="G1490" s="71">
        <v>0</v>
      </c>
    </row>
    <row r="1491" spans="2:7" x14ac:dyDescent="0.25">
      <c r="B1491" s="70">
        <v>43565</v>
      </c>
      <c r="C1491" t="s">
        <v>58</v>
      </c>
      <c r="D1491" t="s">
        <v>79</v>
      </c>
      <c r="E1491" t="s">
        <v>271</v>
      </c>
      <c r="F1491" s="71">
        <v>20</v>
      </c>
      <c r="G1491" s="71">
        <v>0</v>
      </c>
    </row>
    <row r="1492" spans="2:7" x14ac:dyDescent="0.25">
      <c r="B1492" s="70">
        <v>43565</v>
      </c>
      <c r="C1492" t="s">
        <v>24</v>
      </c>
      <c r="D1492" t="s">
        <v>79</v>
      </c>
      <c r="E1492" t="s">
        <v>271</v>
      </c>
      <c r="F1492" s="71">
        <v>8</v>
      </c>
      <c r="G1492" s="71">
        <v>0</v>
      </c>
    </row>
    <row r="1493" spans="2:7" x14ac:dyDescent="0.25">
      <c r="B1493" s="70">
        <v>43565</v>
      </c>
      <c r="C1493" t="s">
        <v>24</v>
      </c>
      <c r="D1493" t="s">
        <v>102</v>
      </c>
      <c r="E1493" t="s">
        <v>270</v>
      </c>
      <c r="F1493" s="71">
        <v>13.79</v>
      </c>
      <c r="G1493" s="71">
        <v>0</v>
      </c>
    </row>
    <row r="1494" spans="2:7" x14ac:dyDescent="0.25">
      <c r="B1494" s="70">
        <v>43565</v>
      </c>
      <c r="C1494" t="s">
        <v>24</v>
      </c>
      <c r="D1494" t="s">
        <v>102</v>
      </c>
      <c r="E1494" t="s">
        <v>270</v>
      </c>
      <c r="F1494" s="71">
        <v>21.74</v>
      </c>
      <c r="G1494" s="71">
        <v>0</v>
      </c>
    </row>
    <row r="1495" spans="2:7" x14ac:dyDescent="0.25">
      <c r="B1495" s="70">
        <v>43565</v>
      </c>
      <c r="C1495" t="s">
        <v>24</v>
      </c>
      <c r="D1495" t="s">
        <v>102</v>
      </c>
      <c r="E1495" t="s">
        <v>270</v>
      </c>
      <c r="F1495" s="71">
        <v>21.76</v>
      </c>
      <c r="G1495" s="71">
        <v>0</v>
      </c>
    </row>
    <row r="1496" spans="2:7" x14ac:dyDescent="0.25">
      <c r="B1496" s="70">
        <v>43565</v>
      </c>
      <c r="C1496" t="s">
        <v>24</v>
      </c>
      <c r="D1496" t="s">
        <v>102</v>
      </c>
      <c r="E1496" t="s">
        <v>270</v>
      </c>
      <c r="F1496" s="71">
        <v>26.35</v>
      </c>
      <c r="G1496" s="71">
        <v>0</v>
      </c>
    </row>
    <row r="1497" spans="2:7" x14ac:dyDescent="0.25">
      <c r="B1497" s="70">
        <v>43565</v>
      </c>
      <c r="C1497" t="s">
        <v>24</v>
      </c>
      <c r="D1497" t="s">
        <v>102</v>
      </c>
      <c r="E1497" t="s">
        <v>270</v>
      </c>
      <c r="F1497" s="71">
        <v>30.16</v>
      </c>
      <c r="G1497" s="71">
        <v>0</v>
      </c>
    </row>
    <row r="1498" spans="2:7" x14ac:dyDescent="0.25">
      <c r="B1498" s="70">
        <v>43565</v>
      </c>
      <c r="C1498" t="s">
        <v>24</v>
      </c>
      <c r="D1498" t="s">
        <v>102</v>
      </c>
      <c r="E1498" t="s">
        <v>270</v>
      </c>
      <c r="F1498" s="71">
        <v>31.11</v>
      </c>
      <c r="G1498" s="71">
        <v>0</v>
      </c>
    </row>
    <row r="1499" spans="2:7" x14ac:dyDescent="0.25">
      <c r="B1499" s="70">
        <v>43565</v>
      </c>
      <c r="C1499" t="s">
        <v>24</v>
      </c>
      <c r="D1499" t="s">
        <v>102</v>
      </c>
      <c r="E1499" t="s">
        <v>270</v>
      </c>
      <c r="F1499" s="71">
        <v>45.54</v>
      </c>
      <c r="G1499" s="71">
        <v>0</v>
      </c>
    </row>
    <row r="1500" spans="2:7" x14ac:dyDescent="0.25">
      <c r="B1500" s="70">
        <v>43565</v>
      </c>
      <c r="C1500" t="s">
        <v>24</v>
      </c>
      <c r="D1500" t="s">
        <v>102</v>
      </c>
      <c r="E1500" t="s">
        <v>270</v>
      </c>
      <c r="F1500" s="71">
        <v>64.510000000000005</v>
      </c>
      <c r="G1500" s="71">
        <v>0</v>
      </c>
    </row>
    <row r="1501" spans="2:7" x14ac:dyDescent="0.25">
      <c r="B1501" s="70">
        <v>43565</v>
      </c>
      <c r="C1501" t="s">
        <v>24</v>
      </c>
      <c r="D1501" t="s">
        <v>102</v>
      </c>
      <c r="E1501" t="s">
        <v>270</v>
      </c>
      <c r="F1501" s="71">
        <v>64.92</v>
      </c>
      <c r="G1501" s="71">
        <v>0</v>
      </c>
    </row>
    <row r="1502" spans="2:7" x14ac:dyDescent="0.25">
      <c r="B1502" s="70">
        <v>43565</v>
      </c>
      <c r="C1502" t="s">
        <v>24</v>
      </c>
      <c r="D1502" t="s">
        <v>102</v>
      </c>
      <c r="E1502" t="s">
        <v>270</v>
      </c>
      <c r="F1502" s="71">
        <v>69.680000000000007</v>
      </c>
      <c r="G1502" s="71">
        <v>0</v>
      </c>
    </row>
    <row r="1503" spans="2:7" x14ac:dyDescent="0.25">
      <c r="B1503" s="70">
        <v>43565</v>
      </c>
      <c r="C1503" t="s">
        <v>24</v>
      </c>
      <c r="D1503" t="s">
        <v>102</v>
      </c>
      <c r="E1503" t="s">
        <v>270</v>
      </c>
      <c r="F1503" s="71">
        <v>77.55</v>
      </c>
      <c r="G1503" s="71">
        <v>0</v>
      </c>
    </row>
    <row r="1504" spans="2:7" x14ac:dyDescent="0.25">
      <c r="B1504" s="70">
        <v>43565</v>
      </c>
      <c r="C1504" t="s">
        <v>24</v>
      </c>
      <c r="D1504" t="s">
        <v>102</v>
      </c>
      <c r="E1504" t="s">
        <v>270</v>
      </c>
      <c r="F1504" s="71">
        <v>98.4</v>
      </c>
      <c r="G1504" s="71">
        <v>0</v>
      </c>
    </row>
    <row r="1505" spans="2:7" x14ac:dyDescent="0.25">
      <c r="B1505" s="70">
        <v>43565</v>
      </c>
      <c r="C1505" t="s">
        <v>24</v>
      </c>
      <c r="D1505" t="s">
        <v>102</v>
      </c>
      <c r="E1505" t="s">
        <v>270</v>
      </c>
      <c r="F1505" s="71">
        <v>123.33</v>
      </c>
      <c r="G1505" s="71">
        <v>0</v>
      </c>
    </row>
    <row r="1506" spans="2:7" x14ac:dyDescent="0.25">
      <c r="B1506" s="70">
        <v>43565</v>
      </c>
      <c r="C1506" t="s">
        <v>60</v>
      </c>
      <c r="D1506" t="s">
        <v>85</v>
      </c>
      <c r="E1506" t="s">
        <v>271</v>
      </c>
      <c r="F1506" s="71">
        <v>68.41</v>
      </c>
      <c r="G1506" s="71">
        <v>0</v>
      </c>
    </row>
    <row r="1507" spans="2:7" x14ac:dyDescent="0.25">
      <c r="B1507" s="70">
        <v>43565</v>
      </c>
      <c r="C1507" t="s">
        <v>61</v>
      </c>
      <c r="D1507" t="s">
        <v>102</v>
      </c>
      <c r="E1507" t="s">
        <v>270</v>
      </c>
      <c r="F1507" s="71">
        <v>27.2</v>
      </c>
      <c r="G1507" s="71">
        <v>0</v>
      </c>
    </row>
    <row r="1508" spans="2:7" x14ac:dyDescent="0.25">
      <c r="B1508" s="70">
        <v>43566</v>
      </c>
      <c r="C1508" t="s">
        <v>25</v>
      </c>
      <c r="D1508" t="s">
        <v>80</v>
      </c>
      <c r="E1508" t="s">
        <v>272</v>
      </c>
      <c r="F1508" s="71">
        <v>14.03</v>
      </c>
      <c r="G1508" s="71">
        <v>0</v>
      </c>
    </row>
    <row r="1509" spans="2:7" x14ac:dyDescent="0.25">
      <c r="B1509" s="70">
        <v>43566</v>
      </c>
      <c r="C1509" t="s">
        <v>25</v>
      </c>
      <c r="D1509" t="s">
        <v>80</v>
      </c>
      <c r="E1509" t="s">
        <v>272</v>
      </c>
      <c r="F1509" s="71">
        <v>23.99</v>
      </c>
      <c r="G1509" s="71">
        <v>0</v>
      </c>
    </row>
    <row r="1510" spans="2:7" x14ac:dyDescent="0.25">
      <c r="B1510" s="70">
        <v>43566</v>
      </c>
      <c r="C1510" t="s">
        <v>25</v>
      </c>
      <c r="D1510" t="s">
        <v>87</v>
      </c>
      <c r="E1510" t="s">
        <v>272</v>
      </c>
      <c r="F1510" s="71">
        <v>13.38</v>
      </c>
      <c r="G1510" s="71">
        <v>0</v>
      </c>
    </row>
    <row r="1511" spans="2:7" x14ac:dyDescent="0.25">
      <c r="B1511" s="70">
        <v>43566</v>
      </c>
      <c r="C1511" t="s">
        <v>25</v>
      </c>
      <c r="D1511" t="s">
        <v>87</v>
      </c>
      <c r="E1511" t="s">
        <v>272</v>
      </c>
      <c r="F1511" s="71">
        <v>17.02</v>
      </c>
      <c r="G1511" s="71">
        <v>0</v>
      </c>
    </row>
    <row r="1512" spans="2:7" x14ac:dyDescent="0.25">
      <c r="B1512" s="70">
        <v>43566</v>
      </c>
      <c r="C1512" t="s">
        <v>25</v>
      </c>
      <c r="D1512" t="s">
        <v>87</v>
      </c>
      <c r="E1512" t="s">
        <v>272</v>
      </c>
      <c r="F1512" s="71">
        <v>29.98</v>
      </c>
      <c r="G1512" s="71">
        <v>0</v>
      </c>
    </row>
    <row r="1513" spans="2:7" x14ac:dyDescent="0.25">
      <c r="B1513" s="70">
        <v>43566</v>
      </c>
      <c r="C1513" t="s">
        <v>25</v>
      </c>
      <c r="D1513" t="s">
        <v>87</v>
      </c>
      <c r="E1513" t="s">
        <v>272</v>
      </c>
      <c r="F1513" s="71">
        <v>33</v>
      </c>
      <c r="G1513" s="71">
        <v>0</v>
      </c>
    </row>
    <row r="1514" spans="2:7" x14ac:dyDescent="0.25">
      <c r="B1514" s="70">
        <v>43566</v>
      </c>
      <c r="C1514" t="s">
        <v>25</v>
      </c>
      <c r="D1514" t="s">
        <v>87</v>
      </c>
      <c r="E1514" t="s">
        <v>272</v>
      </c>
      <c r="F1514" s="71">
        <v>67.16</v>
      </c>
      <c r="G1514" s="71">
        <v>0</v>
      </c>
    </row>
    <row r="1515" spans="2:7" x14ac:dyDescent="0.25">
      <c r="B1515" s="70">
        <v>43566</v>
      </c>
      <c r="C1515" t="s">
        <v>25</v>
      </c>
      <c r="D1515" t="s">
        <v>87</v>
      </c>
      <c r="E1515" t="s">
        <v>272</v>
      </c>
      <c r="F1515" s="71">
        <v>103.25</v>
      </c>
      <c r="G1515" s="71">
        <v>0</v>
      </c>
    </row>
    <row r="1516" spans="2:7" x14ac:dyDescent="0.25">
      <c r="B1516" s="70">
        <v>43566</v>
      </c>
      <c r="C1516" t="s">
        <v>25</v>
      </c>
      <c r="D1516" t="s">
        <v>81</v>
      </c>
      <c r="E1516" t="s">
        <v>273</v>
      </c>
      <c r="F1516" s="71">
        <v>1.8</v>
      </c>
      <c r="G1516" s="71">
        <v>0</v>
      </c>
    </row>
    <row r="1517" spans="2:7" x14ac:dyDescent="0.25">
      <c r="B1517" s="70">
        <v>43566</v>
      </c>
      <c r="C1517" t="s">
        <v>25</v>
      </c>
      <c r="D1517" t="s">
        <v>81</v>
      </c>
      <c r="E1517" t="s">
        <v>247</v>
      </c>
      <c r="F1517" s="71">
        <v>2.1</v>
      </c>
      <c r="G1517" s="71">
        <v>0</v>
      </c>
    </row>
    <row r="1518" spans="2:7" x14ac:dyDescent="0.25">
      <c r="B1518" s="70">
        <v>43566</v>
      </c>
      <c r="C1518" t="s">
        <v>54</v>
      </c>
      <c r="D1518" t="s">
        <v>87</v>
      </c>
      <c r="E1518" t="s">
        <v>272</v>
      </c>
      <c r="F1518" s="71">
        <v>400.7</v>
      </c>
      <c r="G1518" s="71">
        <v>0</v>
      </c>
    </row>
    <row r="1519" spans="2:7" x14ac:dyDescent="0.25">
      <c r="B1519" s="70">
        <v>43566</v>
      </c>
      <c r="C1519" t="s">
        <v>47</v>
      </c>
      <c r="D1519" t="s">
        <v>80</v>
      </c>
      <c r="E1519" t="s">
        <v>272</v>
      </c>
      <c r="F1519" s="71">
        <v>52.95</v>
      </c>
      <c r="G1519" s="71">
        <v>0</v>
      </c>
    </row>
    <row r="1520" spans="2:7" x14ac:dyDescent="0.25">
      <c r="B1520" s="70">
        <v>43566</v>
      </c>
      <c r="C1520" t="s">
        <v>21</v>
      </c>
      <c r="D1520" t="s">
        <v>79</v>
      </c>
      <c r="E1520" t="s">
        <v>272</v>
      </c>
      <c r="F1520" s="71">
        <v>8</v>
      </c>
      <c r="G1520" s="71">
        <v>0</v>
      </c>
    </row>
    <row r="1521" spans="2:7" x14ac:dyDescent="0.25">
      <c r="B1521" s="70">
        <v>43566</v>
      </c>
      <c r="C1521" t="s">
        <v>66</v>
      </c>
      <c r="D1521" t="s">
        <v>79</v>
      </c>
      <c r="E1521" t="s">
        <v>272</v>
      </c>
      <c r="F1521" s="71">
        <v>10</v>
      </c>
      <c r="G1521" s="71">
        <v>0</v>
      </c>
    </row>
    <row r="1522" spans="2:7" x14ac:dyDescent="0.25">
      <c r="B1522" s="70">
        <v>43566</v>
      </c>
      <c r="C1522" t="s">
        <v>66</v>
      </c>
      <c r="D1522" t="s">
        <v>84</v>
      </c>
      <c r="E1522" t="s">
        <v>272</v>
      </c>
      <c r="F1522" s="71">
        <v>21.4</v>
      </c>
      <c r="G1522" s="71">
        <v>0</v>
      </c>
    </row>
    <row r="1523" spans="2:7" x14ac:dyDescent="0.25">
      <c r="B1523" s="70">
        <v>43566</v>
      </c>
      <c r="C1523" t="s">
        <v>48</v>
      </c>
      <c r="D1523" t="s">
        <v>80</v>
      </c>
      <c r="E1523" t="s">
        <v>272</v>
      </c>
      <c r="F1523" s="71">
        <v>136.85</v>
      </c>
      <c r="G1523" s="71">
        <v>0</v>
      </c>
    </row>
    <row r="1524" spans="2:7" x14ac:dyDescent="0.25">
      <c r="B1524" s="70">
        <v>43566</v>
      </c>
      <c r="C1524" t="s">
        <v>48</v>
      </c>
      <c r="D1524" t="s">
        <v>87</v>
      </c>
      <c r="E1524" t="s">
        <v>272</v>
      </c>
      <c r="F1524" s="71">
        <v>18</v>
      </c>
      <c r="G1524" s="71">
        <v>0</v>
      </c>
    </row>
    <row r="1525" spans="2:7" x14ac:dyDescent="0.25">
      <c r="B1525" s="70">
        <v>43566</v>
      </c>
      <c r="C1525" t="s">
        <v>50</v>
      </c>
      <c r="D1525" t="s">
        <v>83</v>
      </c>
      <c r="E1525" t="s">
        <v>272</v>
      </c>
      <c r="F1525" s="71">
        <v>63.57</v>
      </c>
      <c r="G1525" s="71">
        <v>0</v>
      </c>
    </row>
    <row r="1526" spans="2:7" x14ac:dyDescent="0.25">
      <c r="B1526" s="70">
        <v>43566</v>
      </c>
      <c r="C1526" t="s">
        <v>50</v>
      </c>
      <c r="D1526" t="s">
        <v>84</v>
      </c>
      <c r="E1526" t="s">
        <v>272</v>
      </c>
      <c r="F1526" s="71">
        <v>10.58</v>
      </c>
      <c r="G1526" s="71">
        <v>0</v>
      </c>
    </row>
    <row r="1527" spans="2:7" x14ac:dyDescent="0.25">
      <c r="B1527" s="70">
        <v>43566</v>
      </c>
      <c r="C1527" t="s">
        <v>63</v>
      </c>
      <c r="D1527" t="s">
        <v>79</v>
      </c>
      <c r="E1527" t="s">
        <v>272</v>
      </c>
      <c r="F1527" s="71">
        <v>32.96</v>
      </c>
      <c r="G1527" s="71">
        <v>0</v>
      </c>
    </row>
    <row r="1528" spans="2:7" x14ac:dyDescent="0.25">
      <c r="B1528" s="70">
        <v>43566</v>
      </c>
      <c r="C1528" t="s">
        <v>60</v>
      </c>
      <c r="D1528" t="s">
        <v>80</v>
      </c>
      <c r="E1528" t="s">
        <v>272</v>
      </c>
      <c r="F1528" s="71">
        <v>94.21</v>
      </c>
      <c r="G1528" s="71">
        <v>0</v>
      </c>
    </row>
    <row r="1529" spans="2:7" x14ac:dyDescent="0.25">
      <c r="B1529" s="70">
        <v>43567</v>
      </c>
      <c r="C1529" t="s">
        <v>25</v>
      </c>
      <c r="D1529" t="s">
        <v>87</v>
      </c>
      <c r="E1529" t="s">
        <v>274</v>
      </c>
      <c r="F1529" s="71">
        <v>25</v>
      </c>
      <c r="G1529" s="71">
        <v>0</v>
      </c>
    </row>
    <row r="1530" spans="2:7" x14ac:dyDescent="0.25">
      <c r="B1530" s="70">
        <v>43567</v>
      </c>
      <c r="C1530" t="s">
        <v>25</v>
      </c>
      <c r="D1530" t="s">
        <v>87</v>
      </c>
      <c r="E1530" t="s">
        <v>274</v>
      </c>
      <c r="F1530" s="71">
        <v>34.76</v>
      </c>
      <c r="G1530" s="71">
        <v>0</v>
      </c>
    </row>
    <row r="1531" spans="2:7" x14ac:dyDescent="0.25">
      <c r="B1531" s="70">
        <v>43567</v>
      </c>
      <c r="C1531" t="s">
        <v>25</v>
      </c>
      <c r="D1531" t="s">
        <v>86</v>
      </c>
      <c r="E1531" t="s">
        <v>274</v>
      </c>
      <c r="F1531" s="71">
        <v>35</v>
      </c>
      <c r="G1531" s="71">
        <v>0</v>
      </c>
    </row>
    <row r="1532" spans="2:7" x14ac:dyDescent="0.25">
      <c r="B1532" s="70">
        <v>43567</v>
      </c>
      <c r="C1532" t="s">
        <v>25</v>
      </c>
      <c r="D1532" t="s">
        <v>81</v>
      </c>
      <c r="E1532" t="s">
        <v>207</v>
      </c>
      <c r="F1532" s="71">
        <v>14.35</v>
      </c>
      <c r="G1532" s="71">
        <v>0</v>
      </c>
    </row>
    <row r="1533" spans="2:7" x14ac:dyDescent="0.25">
      <c r="B1533" s="70">
        <v>43567</v>
      </c>
      <c r="C1533" t="s">
        <v>25</v>
      </c>
      <c r="D1533" t="s">
        <v>81</v>
      </c>
      <c r="E1533" t="s">
        <v>220</v>
      </c>
      <c r="F1533" s="71">
        <v>2.4</v>
      </c>
      <c r="G1533" s="71">
        <v>0</v>
      </c>
    </row>
    <row r="1534" spans="2:7" x14ac:dyDescent="0.25">
      <c r="B1534" s="70">
        <v>43567</v>
      </c>
      <c r="C1534" t="s">
        <v>25</v>
      </c>
      <c r="D1534" t="s">
        <v>81</v>
      </c>
      <c r="E1534" t="s">
        <v>275</v>
      </c>
      <c r="F1534" s="71">
        <v>14.35</v>
      </c>
      <c r="G1534" s="71">
        <v>0</v>
      </c>
    </row>
    <row r="1535" spans="2:7" x14ac:dyDescent="0.25">
      <c r="B1535" s="70">
        <v>43567</v>
      </c>
      <c r="C1535" t="s">
        <v>46</v>
      </c>
      <c r="D1535" t="s">
        <v>84</v>
      </c>
      <c r="E1535" t="s">
        <v>274</v>
      </c>
      <c r="F1535" s="71">
        <v>25</v>
      </c>
      <c r="G1535" s="71">
        <v>0</v>
      </c>
    </row>
    <row r="1536" spans="2:7" x14ac:dyDescent="0.25">
      <c r="B1536" s="70">
        <v>43567</v>
      </c>
      <c r="C1536" t="s">
        <v>47</v>
      </c>
      <c r="D1536" t="s">
        <v>80</v>
      </c>
      <c r="E1536" t="s">
        <v>274</v>
      </c>
      <c r="F1536" s="71">
        <v>8.5</v>
      </c>
      <c r="G1536" s="71">
        <v>0</v>
      </c>
    </row>
    <row r="1537" spans="2:7" x14ac:dyDescent="0.25">
      <c r="B1537" s="70">
        <v>43567</v>
      </c>
      <c r="C1537" t="s">
        <v>43</v>
      </c>
      <c r="D1537" t="s">
        <v>85</v>
      </c>
      <c r="E1537" t="s">
        <v>274</v>
      </c>
      <c r="F1537" s="71">
        <v>500</v>
      </c>
      <c r="G1537" s="71">
        <v>0</v>
      </c>
    </row>
    <row r="1538" spans="2:7" x14ac:dyDescent="0.25">
      <c r="B1538" s="70">
        <v>43567</v>
      </c>
      <c r="C1538" t="s">
        <v>43</v>
      </c>
      <c r="D1538" t="s">
        <v>80</v>
      </c>
      <c r="E1538" t="s">
        <v>274</v>
      </c>
      <c r="F1538" s="71">
        <v>3.5</v>
      </c>
      <c r="G1538" s="71">
        <v>0</v>
      </c>
    </row>
    <row r="1539" spans="2:7" x14ac:dyDescent="0.25">
      <c r="B1539" s="70">
        <v>43567</v>
      </c>
      <c r="C1539" t="s">
        <v>21</v>
      </c>
      <c r="D1539" t="s">
        <v>79</v>
      </c>
      <c r="E1539" t="s">
        <v>274</v>
      </c>
      <c r="F1539" s="71">
        <v>8</v>
      </c>
      <c r="G1539" s="71">
        <v>0</v>
      </c>
    </row>
    <row r="1540" spans="2:7" x14ac:dyDescent="0.25">
      <c r="B1540" s="70">
        <v>43567</v>
      </c>
      <c r="C1540" t="s">
        <v>21</v>
      </c>
      <c r="D1540" t="s">
        <v>79</v>
      </c>
      <c r="E1540" t="s">
        <v>274</v>
      </c>
      <c r="F1540" s="71">
        <v>16</v>
      </c>
      <c r="G1540" s="71">
        <v>0</v>
      </c>
    </row>
    <row r="1541" spans="2:7" x14ac:dyDescent="0.25">
      <c r="B1541" s="70">
        <v>43567</v>
      </c>
      <c r="C1541" t="s">
        <v>21</v>
      </c>
      <c r="D1541" t="s">
        <v>84</v>
      </c>
      <c r="E1541" t="s">
        <v>274</v>
      </c>
      <c r="F1541" s="71">
        <v>234</v>
      </c>
      <c r="G1541" s="71">
        <v>0</v>
      </c>
    </row>
    <row r="1542" spans="2:7" x14ac:dyDescent="0.25">
      <c r="B1542" s="70">
        <v>43567</v>
      </c>
      <c r="C1542" t="s">
        <v>48</v>
      </c>
      <c r="D1542" t="s">
        <v>80</v>
      </c>
      <c r="E1542" t="s">
        <v>274</v>
      </c>
      <c r="F1542" s="71">
        <v>46.28</v>
      </c>
      <c r="G1542" s="71">
        <v>0</v>
      </c>
    </row>
    <row r="1543" spans="2:7" x14ac:dyDescent="0.25">
      <c r="B1543" s="70">
        <v>43567</v>
      </c>
      <c r="C1543" t="s">
        <v>52</v>
      </c>
      <c r="D1543" t="s">
        <v>84</v>
      </c>
      <c r="E1543" t="s">
        <v>274</v>
      </c>
      <c r="F1543" s="71">
        <v>9.6</v>
      </c>
      <c r="G1543" s="71">
        <v>0</v>
      </c>
    </row>
    <row r="1544" spans="2:7" x14ac:dyDescent="0.25">
      <c r="B1544" s="70">
        <v>43567</v>
      </c>
      <c r="C1544" t="s">
        <v>24</v>
      </c>
      <c r="D1544" t="s">
        <v>79</v>
      </c>
      <c r="E1544" t="s">
        <v>274</v>
      </c>
      <c r="F1544" s="71">
        <v>8</v>
      </c>
      <c r="G1544" s="71">
        <v>0</v>
      </c>
    </row>
    <row r="1545" spans="2:7" x14ac:dyDescent="0.25">
      <c r="B1545" s="70">
        <v>43567</v>
      </c>
      <c r="C1545" t="s">
        <v>24</v>
      </c>
      <c r="D1545" t="s">
        <v>84</v>
      </c>
      <c r="E1545" t="s">
        <v>274</v>
      </c>
      <c r="F1545" s="71">
        <v>182</v>
      </c>
      <c r="G1545" s="71">
        <v>0</v>
      </c>
    </row>
    <row r="1546" spans="2:7" x14ac:dyDescent="0.25">
      <c r="B1546" s="70">
        <v>43567</v>
      </c>
      <c r="C1546" t="s">
        <v>24</v>
      </c>
      <c r="D1546" t="s">
        <v>84</v>
      </c>
      <c r="E1546" t="s">
        <v>274</v>
      </c>
      <c r="F1546" s="71">
        <v>338</v>
      </c>
      <c r="G1546" s="71">
        <v>0</v>
      </c>
    </row>
    <row r="1547" spans="2:7" x14ac:dyDescent="0.25">
      <c r="B1547" s="70">
        <v>43568</v>
      </c>
      <c r="C1547" t="s">
        <v>46</v>
      </c>
      <c r="D1547" t="s">
        <v>86</v>
      </c>
      <c r="E1547" t="s">
        <v>276</v>
      </c>
      <c r="F1547" s="71">
        <v>0</v>
      </c>
      <c r="G1547" s="71">
        <v>25</v>
      </c>
    </row>
    <row r="1548" spans="2:7" x14ac:dyDescent="0.25">
      <c r="B1548" s="70">
        <v>43570</v>
      </c>
      <c r="C1548" t="s">
        <v>25</v>
      </c>
      <c r="D1548" t="s">
        <v>81</v>
      </c>
      <c r="E1548" t="s">
        <v>217</v>
      </c>
      <c r="F1548" s="71">
        <v>2.25</v>
      </c>
      <c r="G1548" s="71">
        <v>0</v>
      </c>
    </row>
    <row r="1549" spans="2:7" x14ac:dyDescent="0.25">
      <c r="B1549" s="70">
        <v>43570</v>
      </c>
      <c r="C1549" t="s">
        <v>25</v>
      </c>
      <c r="D1549" t="s">
        <v>81</v>
      </c>
      <c r="E1549" t="s">
        <v>199</v>
      </c>
      <c r="F1549" s="71">
        <v>6.85</v>
      </c>
      <c r="G1549" s="71">
        <v>0</v>
      </c>
    </row>
    <row r="1550" spans="2:7" x14ac:dyDescent="0.25">
      <c r="B1550" s="70">
        <v>43570</v>
      </c>
      <c r="C1550" t="s">
        <v>25</v>
      </c>
      <c r="D1550" t="s">
        <v>84</v>
      </c>
      <c r="E1550" t="s">
        <v>277</v>
      </c>
      <c r="F1550" s="71">
        <v>5</v>
      </c>
      <c r="G1550" s="71">
        <v>0</v>
      </c>
    </row>
    <row r="1551" spans="2:7" x14ac:dyDescent="0.25">
      <c r="B1551" s="70">
        <v>43570</v>
      </c>
      <c r="C1551" t="s">
        <v>25</v>
      </c>
      <c r="D1551" t="s">
        <v>84</v>
      </c>
      <c r="E1551" t="s">
        <v>277</v>
      </c>
      <c r="F1551" s="71">
        <v>44.4</v>
      </c>
      <c r="G1551" s="71">
        <v>0</v>
      </c>
    </row>
    <row r="1552" spans="2:7" x14ac:dyDescent="0.25">
      <c r="B1552" s="70">
        <v>43570</v>
      </c>
      <c r="C1552" t="s">
        <v>21</v>
      </c>
      <c r="D1552" t="s">
        <v>79</v>
      </c>
      <c r="E1552" t="s">
        <v>277</v>
      </c>
      <c r="F1552" s="71">
        <v>8</v>
      </c>
      <c r="G1552" s="71">
        <v>0</v>
      </c>
    </row>
    <row r="1553" spans="2:7" x14ac:dyDescent="0.25">
      <c r="B1553" s="70">
        <v>43570</v>
      </c>
      <c r="C1553" t="s">
        <v>21</v>
      </c>
      <c r="D1553" t="s">
        <v>79</v>
      </c>
      <c r="E1553" t="s">
        <v>277</v>
      </c>
      <c r="F1553" s="71">
        <v>16</v>
      </c>
      <c r="G1553" s="71">
        <v>0</v>
      </c>
    </row>
    <row r="1554" spans="2:7" x14ac:dyDescent="0.25">
      <c r="B1554" s="70">
        <v>43570</v>
      </c>
      <c r="C1554" t="s">
        <v>21</v>
      </c>
      <c r="D1554" t="s">
        <v>79</v>
      </c>
      <c r="E1554" t="s">
        <v>277</v>
      </c>
      <c r="F1554" s="71">
        <v>24</v>
      </c>
      <c r="G1554" s="71">
        <v>0</v>
      </c>
    </row>
    <row r="1555" spans="2:7" x14ac:dyDescent="0.25">
      <c r="B1555" s="70">
        <v>43570</v>
      </c>
      <c r="C1555" t="s">
        <v>21</v>
      </c>
      <c r="D1555" t="s">
        <v>79</v>
      </c>
      <c r="E1555" t="s">
        <v>277</v>
      </c>
      <c r="F1555" s="71">
        <v>40</v>
      </c>
      <c r="G1555" s="71">
        <v>0</v>
      </c>
    </row>
    <row r="1556" spans="2:7" x14ac:dyDescent="0.25">
      <c r="B1556" s="70">
        <v>43570</v>
      </c>
      <c r="C1556" t="s">
        <v>66</v>
      </c>
      <c r="D1556" t="s">
        <v>79</v>
      </c>
      <c r="E1556" t="s">
        <v>277</v>
      </c>
      <c r="F1556" s="71">
        <v>12.48</v>
      </c>
      <c r="G1556" s="71">
        <v>0</v>
      </c>
    </row>
    <row r="1557" spans="2:7" x14ac:dyDescent="0.25">
      <c r="B1557" s="70">
        <v>43570</v>
      </c>
      <c r="C1557" t="s">
        <v>50</v>
      </c>
      <c r="D1557" t="s">
        <v>84</v>
      </c>
      <c r="E1557" t="s">
        <v>277</v>
      </c>
      <c r="F1557" s="71">
        <v>9.67</v>
      </c>
      <c r="G1557" s="71">
        <v>0</v>
      </c>
    </row>
    <row r="1558" spans="2:7" x14ac:dyDescent="0.25">
      <c r="B1558" s="70">
        <v>43570</v>
      </c>
      <c r="C1558" t="s">
        <v>73</v>
      </c>
      <c r="D1558" t="s">
        <v>84</v>
      </c>
      <c r="E1558" t="s">
        <v>277</v>
      </c>
      <c r="F1558" s="71">
        <v>32.549999999999997</v>
      </c>
      <c r="G1558" s="71">
        <v>0</v>
      </c>
    </row>
    <row r="1559" spans="2:7" x14ac:dyDescent="0.25">
      <c r="B1559" s="70">
        <v>43570</v>
      </c>
      <c r="C1559" t="s">
        <v>24</v>
      </c>
      <c r="D1559" t="s">
        <v>79</v>
      </c>
      <c r="E1559" t="s">
        <v>277</v>
      </c>
      <c r="F1559" s="71">
        <v>8</v>
      </c>
      <c r="G1559" s="71">
        <v>0</v>
      </c>
    </row>
    <row r="1560" spans="2:7" x14ac:dyDescent="0.25">
      <c r="B1560" s="70">
        <v>43570</v>
      </c>
      <c r="C1560" t="s">
        <v>60</v>
      </c>
      <c r="D1560" t="s">
        <v>85</v>
      </c>
      <c r="E1560" t="s">
        <v>277</v>
      </c>
      <c r="F1560" s="71">
        <v>20.25</v>
      </c>
      <c r="G1560" s="71">
        <v>0</v>
      </c>
    </row>
    <row r="1561" spans="2:7" x14ac:dyDescent="0.25">
      <c r="B1561" s="70">
        <v>43570</v>
      </c>
      <c r="C1561" t="s">
        <v>60</v>
      </c>
      <c r="D1561" t="s">
        <v>84</v>
      </c>
      <c r="E1561" t="s">
        <v>277</v>
      </c>
      <c r="F1561" s="71">
        <v>26.13</v>
      </c>
      <c r="G1561" s="71">
        <v>0</v>
      </c>
    </row>
    <row r="1562" spans="2:7" x14ac:dyDescent="0.25">
      <c r="B1562" s="70">
        <v>43570</v>
      </c>
      <c r="C1562" t="s">
        <v>61</v>
      </c>
      <c r="D1562" t="s">
        <v>85</v>
      </c>
      <c r="E1562" t="s">
        <v>277</v>
      </c>
      <c r="F1562" s="71">
        <v>59.38</v>
      </c>
      <c r="G1562" s="71">
        <v>0</v>
      </c>
    </row>
    <row r="1563" spans="2:7" x14ac:dyDescent="0.25">
      <c r="B1563" s="70">
        <v>43571</v>
      </c>
      <c r="C1563" t="s">
        <v>25</v>
      </c>
      <c r="D1563" t="s">
        <v>85</v>
      </c>
      <c r="E1563" t="s">
        <v>278</v>
      </c>
      <c r="F1563" s="71">
        <v>24.25</v>
      </c>
      <c r="G1563" s="71">
        <v>0</v>
      </c>
    </row>
    <row r="1564" spans="2:7" x14ac:dyDescent="0.25">
      <c r="B1564" s="70">
        <v>43571</v>
      </c>
      <c r="C1564" t="s">
        <v>25</v>
      </c>
      <c r="D1564" t="s">
        <v>85</v>
      </c>
      <c r="E1564" t="s">
        <v>278</v>
      </c>
      <c r="F1564" s="71">
        <v>52.5</v>
      </c>
      <c r="G1564" s="71">
        <v>0</v>
      </c>
    </row>
    <row r="1565" spans="2:7" x14ac:dyDescent="0.25">
      <c r="B1565" s="70">
        <v>43571</v>
      </c>
      <c r="C1565" t="s">
        <v>25</v>
      </c>
      <c r="D1565" t="s">
        <v>80</v>
      </c>
      <c r="E1565" t="s">
        <v>278</v>
      </c>
      <c r="F1565" s="71">
        <v>88</v>
      </c>
      <c r="G1565" s="71">
        <v>0</v>
      </c>
    </row>
    <row r="1566" spans="2:7" x14ac:dyDescent="0.25">
      <c r="B1566" s="70">
        <v>43571</v>
      </c>
      <c r="C1566" t="s">
        <v>25</v>
      </c>
      <c r="D1566" t="s">
        <v>81</v>
      </c>
      <c r="E1566" t="s">
        <v>194</v>
      </c>
      <c r="F1566" s="71">
        <v>7.35</v>
      </c>
      <c r="G1566" s="71">
        <v>0</v>
      </c>
    </row>
    <row r="1567" spans="2:7" x14ac:dyDescent="0.25">
      <c r="B1567" s="70">
        <v>43571</v>
      </c>
      <c r="C1567" t="s">
        <v>25</v>
      </c>
      <c r="D1567" t="s">
        <v>81</v>
      </c>
      <c r="E1567" t="s">
        <v>217</v>
      </c>
      <c r="F1567" s="71">
        <v>2.25</v>
      </c>
      <c r="G1567" s="71">
        <v>0</v>
      </c>
    </row>
    <row r="1568" spans="2:7" x14ac:dyDescent="0.25">
      <c r="B1568" s="70">
        <v>43571</v>
      </c>
      <c r="C1568" t="s">
        <v>25</v>
      </c>
      <c r="D1568" t="s">
        <v>81</v>
      </c>
      <c r="E1568" t="s">
        <v>179</v>
      </c>
      <c r="F1568" s="71">
        <v>2.9</v>
      </c>
      <c r="G1568" s="71">
        <v>0</v>
      </c>
    </row>
    <row r="1569" spans="2:7" x14ac:dyDescent="0.25">
      <c r="B1569" s="70">
        <v>43571</v>
      </c>
      <c r="C1569" t="s">
        <v>25</v>
      </c>
      <c r="D1569" t="s">
        <v>84</v>
      </c>
      <c r="E1569" t="s">
        <v>278</v>
      </c>
      <c r="F1569" s="71">
        <v>12</v>
      </c>
      <c r="G1569" s="71">
        <v>0</v>
      </c>
    </row>
    <row r="1570" spans="2:7" x14ac:dyDescent="0.25">
      <c r="B1570" s="70">
        <v>43571</v>
      </c>
      <c r="C1570" t="s">
        <v>54</v>
      </c>
      <c r="D1570" t="s">
        <v>103</v>
      </c>
      <c r="E1570" t="s">
        <v>279</v>
      </c>
      <c r="F1570" s="71">
        <v>61.81</v>
      </c>
      <c r="G1570" s="71">
        <v>0</v>
      </c>
    </row>
    <row r="1571" spans="2:7" x14ac:dyDescent="0.25">
      <c r="B1571" s="70">
        <v>43571</v>
      </c>
      <c r="C1571" t="s">
        <v>46</v>
      </c>
      <c r="D1571" t="s">
        <v>79</v>
      </c>
      <c r="E1571" t="s">
        <v>278</v>
      </c>
      <c r="F1571" s="71">
        <v>10</v>
      </c>
      <c r="G1571" s="71">
        <v>0</v>
      </c>
    </row>
    <row r="1572" spans="2:7" x14ac:dyDescent="0.25">
      <c r="B1572" s="70">
        <v>43571</v>
      </c>
      <c r="C1572" t="s">
        <v>46</v>
      </c>
      <c r="D1572" t="s">
        <v>84</v>
      </c>
      <c r="E1572" t="s">
        <v>278</v>
      </c>
      <c r="F1572" s="71">
        <v>4.5999999999999996</v>
      </c>
      <c r="G1572" s="71">
        <v>0</v>
      </c>
    </row>
    <row r="1573" spans="2:7" x14ac:dyDescent="0.25">
      <c r="B1573" s="70">
        <v>43571</v>
      </c>
      <c r="C1573" t="s">
        <v>56</v>
      </c>
      <c r="D1573" t="s">
        <v>84</v>
      </c>
      <c r="E1573" t="s">
        <v>278</v>
      </c>
      <c r="F1573" s="71">
        <v>138.07</v>
      </c>
      <c r="G1573" s="71">
        <v>0</v>
      </c>
    </row>
    <row r="1574" spans="2:7" x14ac:dyDescent="0.25">
      <c r="B1574" s="70">
        <v>43571</v>
      </c>
      <c r="C1574" t="s">
        <v>21</v>
      </c>
      <c r="D1574" t="s">
        <v>79</v>
      </c>
      <c r="E1574" t="s">
        <v>278</v>
      </c>
      <c r="F1574" s="71">
        <v>8</v>
      </c>
      <c r="G1574" s="71">
        <v>0</v>
      </c>
    </row>
    <row r="1575" spans="2:7" x14ac:dyDescent="0.25">
      <c r="B1575" s="70">
        <v>43571</v>
      </c>
      <c r="C1575" t="s">
        <v>21</v>
      </c>
      <c r="D1575" t="s">
        <v>79</v>
      </c>
      <c r="E1575" t="s">
        <v>278</v>
      </c>
      <c r="F1575" s="71">
        <v>16</v>
      </c>
      <c r="G1575" s="71">
        <v>0</v>
      </c>
    </row>
    <row r="1576" spans="2:7" x14ac:dyDescent="0.25">
      <c r="B1576" s="70">
        <v>43571</v>
      </c>
      <c r="C1576" t="s">
        <v>21</v>
      </c>
      <c r="D1576" t="s">
        <v>79</v>
      </c>
      <c r="E1576" t="s">
        <v>278</v>
      </c>
      <c r="F1576" s="71">
        <v>24</v>
      </c>
      <c r="G1576" s="71">
        <v>0</v>
      </c>
    </row>
    <row r="1577" spans="2:7" x14ac:dyDescent="0.25">
      <c r="B1577" s="70">
        <v>43571</v>
      </c>
      <c r="C1577" t="s">
        <v>21</v>
      </c>
      <c r="D1577" t="s">
        <v>79</v>
      </c>
      <c r="E1577" t="s">
        <v>278</v>
      </c>
      <c r="F1577" s="71">
        <v>32</v>
      </c>
      <c r="G1577" s="71">
        <v>0</v>
      </c>
    </row>
    <row r="1578" spans="2:7" x14ac:dyDescent="0.25">
      <c r="B1578" s="70">
        <v>43571</v>
      </c>
      <c r="C1578" t="s">
        <v>21</v>
      </c>
      <c r="D1578" t="s">
        <v>79</v>
      </c>
      <c r="E1578" t="s">
        <v>278</v>
      </c>
      <c r="F1578" s="71">
        <v>40</v>
      </c>
      <c r="G1578" s="71">
        <v>0</v>
      </c>
    </row>
    <row r="1579" spans="2:7" x14ac:dyDescent="0.25">
      <c r="B1579" s="70">
        <v>43571</v>
      </c>
      <c r="C1579" t="s">
        <v>21</v>
      </c>
      <c r="D1579" t="s">
        <v>79</v>
      </c>
      <c r="E1579" t="s">
        <v>278</v>
      </c>
      <c r="F1579" s="71">
        <v>56</v>
      </c>
      <c r="G1579" s="71">
        <v>0</v>
      </c>
    </row>
    <row r="1580" spans="2:7" x14ac:dyDescent="0.25">
      <c r="B1580" s="70">
        <v>43571</v>
      </c>
      <c r="C1580" t="s">
        <v>21</v>
      </c>
      <c r="D1580" t="s">
        <v>103</v>
      </c>
      <c r="E1580" t="s">
        <v>279</v>
      </c>
      <c r="F1580" s="71">
        <v>20.72</v>
      </c>
      <c r="G1580" s="71">
        <v>0</v>
      </c>
    </row>
    <row r="1581" spans="2:7" x14ac:dyDescent="0.25">
      <c r="B1581" s="70">
        <v>43571</v>
      </c>
      <c r="C1581" t="s">
        <v>21</v>
      </c>
      <c r="D1581" t="s">
        <v>103</v>
      </c>
      <c r="E1581" t="s">
        <v>279</v>
      </c>
      <c r="F1581" s="71">
        <v>59.78</v>
      </c>
      <c r="G1581" s="71">
        <v>0</v>
      </c>
    </row>
    <row r="1582" spans="2:7" x14ac:dyDescent="0.25">
      <c r="B1582" s="70">
        <v>43571</v>
      </c>
      <c r="C1582" t="s">
        <v>48</v>
      </c>
      <c r="D1582" t="s">
        <v>79</v>
      </c>
      <c r="E1582" t="s">
        <v>278</v>
      </c>
      <c r="F1582" s="71">
        <v>522.97</v>
      </c>
      <c r="G1582" s="71">
        <v>0</v>
      </c>
    </row>
    <row r="1583" spans="2:7" x14ac:dyDescent="0.25">
      <c r="B1583" s="70">
        <v>43571</v>
      </c>
      <c r="C1583" t="s">
        <v>68</v>
      </c>
      <c r="D1583" t="s">
        <v>85</v>
      </c>
      <c r="E1583" t="s">
        <v>278</v>
      </c>
      <c r="F1583" s="71">
        <v>1076.46</v>
      </c>
      <c r="G1583" s="71">
        <v>0</v>
      </c>
    </row>
    <row r="1584" spans="2:7" x14ac:dyDescent="0.25">
      <c r="B1584" s="70">
        <v>43571</v>
      </c>
      <c r="C1584" t="s">
        <v>24</v>
      </c>
      <c r="D1584" t="s">
        <v>79</v>
      </c>
      <c r="E1584" t="s">
        <v>278</v>
      </c>
      <c r="F1584" s="71">
        <v>8</v>
      </c>
      <c r="G1584" s="71">
        <v>0</v>
      </c>
    </row>
    <row r="1585" spans="2:7" x14ac:dyDescent="0.25">
      <c r="B1585" s="70">
        <v>43571</v>
      </c>
      <c r="C1585" t="s">
        <v>24</v>
      </c>
      <c r="D1585" t="s">
        <v>79</v>
      </c>
      <c r="E1585" t="s">
        <v>278</v>
      </c>
      <c r="F1585" s="71">
        <v>16</v>
      </c>
      <c r="G1585" s="71">
        <v>0</v>
      </c>
    </row>
    <row r="1586" spans="2:7" x14ac:dyDescent="0.25">
      <c r="B1586" s="70">
        <v>43572</v>
      </c>
      <c r="C1586" t="s">
        <v>25</v>
      </c>
      <c r="D1586" t="s">
        <v>85</v>
      </c>
      <c r="E1586" t="s">
        <v>280</v>
      </c>
      <c r="F1586" s="71">
        <v>24.08</v>
      </c>
      <c r="G1586" s="71">
        <v>0</v>
      </c>
    </row>
    <row r="1587" spans="2:7" x14ac:dyDescent="0.25">
      <c r="B1587" s="70">
        <v>43572</v>
      </c>
      <c r="C1587" t="s">
        <v>25</v>
      </c>
      <c r="D1587" t="s">
        <v>80</v>
      </c>
      <c r="E1587" t="s">
        <v>280</v>
      </c>
      <c r="F1587" s="71">
        <v>61.6</v>
      </c>
      <c r="G1587" s="71">
        <v>0</v>
      </c>
    </row>
    <row r="1588" spans="2:7" x14ac:dyDescent="0.25">
      <c r="B1588" s="70">
        <v>43572</v>
      </c>
      <c r="C1588" t="s">
        <v>25</v>
      </c>
      <c r="D1588" t="s">
        <v>87</v>
      </c>
      <c r="E1588" t="s">
        <v>280</v>
      </c>
      <c r="F1588" s="71">
        <v>29.65</v>
      </c>
      <c r="G1588" s="71">
        <v>0</v>
      </c>
    </row>
    <row r="1589" spans="2:7" x14ac:dyDescent="0.25">
      <c r="B1589" s="70">
        <v>43572</v>
      </c>
      <c r="C1589" t="s">
        <v>25</v>
      </c>
      <c r="D1589" t="s">
        <v>87</v>
      </c>
      <c r="E1589" t="s">
        <v>280</v>
      </c>
      <c r="F1589" s="71">
        <v>31.72</v>
      </c>
      <c r="G1589" s="71">
        <v>0</v>
      </c>
    </row>
    <row r="1590" spans="2:7" x14ac:dyDescent="0.25">
      <c r="B1590" s="70">
        <v>43572</v>
      </c>
      <c r="C1590" t="s">
        <v>25</v>
      </c>
      <c r="D1590" t="s">
        <v>81</v>
      </c>
      <c r="E1590" t="s">
        <v>122</v>
      </c>
      <c r="F1590" s="71">
        <v>16.95</v>
      </c>
      <c r="G1590" s="71">
        <v>0</v>
      </c>
    </row>
    <row r="1591" spans="2:7" x14ac:dyDescent="0.25">
      <c r="B1591" s="70">
        <v>43572</v>
      </c>
      <c r="C1591" t="s">
        <v>25</v>
      </c>
      <c r="D1591" t="s">
        <v>84</v>
      </c>
      <c r="E1591" t="s">
        <v>280</v>
      </c>
      <c r="F1591" s="71">
        <v>12</v>
      </c>
      <c r="G1591" s="71">
        <v>0</v>
      </c>
    </row>
    <row r="1592" spans="2:7" x14ac:dyDescent="0.25">
      <c r="B1592" s="70">
        <v>43572</v>
      </c>
      <c r="C1592" t="s">
        <v>21</v>
      </c>
      <c r="D1592" t="s">
        <v>79</v>
      </c>
      <c r="E1592" t="s">
        <v>280</v>
      </c>
      <c r="F1592" s="71">
        <v>8</v>
      </c>
      <c r="G1592" s="71">
        <v>0</v>
      </c>
    </row>
    <row r="1593" spans="2:7" x14ac:dyDescent="0.25">
      <c r="B1593" s="70">
        <v>43572</v>
      </c>
      <c r="C1593" t="s">
        <v>21</v>
      </c>
      <c r="D1593" t="s">
        <v>79</v>
      </c>
      <c r="E1593" t="s">
        <v>280</v>
      </c>
      <c r="F1593" s="71">
        <v>16</v>
      </c>
      <c r="G1593" s="71">
        <v>0</v>
      </c>
    </row>
    <row r="1594" spans="2:7" x14ac:dyDescent="0.25">
      <c r="B1594" s="70">
        <v>43572</v>
      </c>
      <c r="C1594" t="s">
        <v>21</v>
      </c>
      <c r="D1594" t="s">
        <v>79</v>
      </c>
      <c r="E1594" t="s">
        <v>280</v>
      </c>
      <c r="F1594" s="71">
        <v>24</v>
      </c>
      <c r="G1594" s="71">
        <v>0</v>
      </c>
    </row>
    <row r="1595" spans="2:7" x14ac:dyDescent="0.25">
      <c r="B1595" s="70">
        <v>43572</v>
      </c>
      <c r="C1595" t="s">
        <v>21</v>
      </c>
      <c r="D1595" t="s">
        <v>79</v>
      </c>
      <c r="E1595" t="s">
        <v>280</v>
      </c>
      <c r="F1595" s="71">
        <v>40</v>
      </c>
      <c r="G1595" s="71">
        <v>0</v>
      </c>
    </row>
    <row r="1596" spans="2:7" x14ac:dyDescent="0.25">
      <c r="B1596" s="70">
        <v>43572</v>
      </c>
      <c r="C1596" t="s">
        <v>21</v>
      </c>
      <c r="D1596" t="s">
        <v>79</v>
      </c>
      <c r="E1596" t="s">
        <v>280</v>
      </c>
      <c r="F1596" s="71">
        <v>48</v>
      </c>
      <c r="G1596" s="71">
        <v>0</v>
      </c>
    </row>
    <row r="1597" spans="2:7" x14ac:dyDescent="0.25">
      <c r="B1597" s="70">
        <v>43572</v>
      </c>
      <c r="C1597" t="s">
        <v>21</v>
      </c>
      <c r="D1597" t="s">
        <v>79</v>
      </c>
      <c r="E1597" t="s">
        <v>280</v>
      </c>
      <c r="F1597" s="71">
        <v>56</v>
      </c>
      <c r="G1597" s="71">
        <v>0</v>
      </c>
    </row>
    <row r="1598" spans="2:7" x14ac:dyDescent="0.25">
      <c r="B1598" s="70">
        <v>43572</v>
      </c>
      <c r="C1598" t="s">
        <v>66</v>
      </c>
      <c r="D1598" t="s">
        <v>85</v>
      </c>
      <c r="E1598" t="s">
        <v>280</v>
      </c>
      <c r="F1598" s="71">
        <v>2550</v>
      </c>
      <c r="G1598" s="71">
        <v>0</v>
      </c>
    </row>
    <row r="1599" spans="2:7" x14ac:dyDescent="0.25">
      <c r="B1599" s="70">
        <v>43572</v>
      </c>
      <c r="C1599" t="s">
        <v>58</v>
      </c>
      <c r="D1599" t="s">
        <v>84</v>
      </c>
      <c r="E1599" t="s">
        <v>280</v>
      </c>
      <c r="F1599" s="71">
        <v>1451.8</v>
      </c>
      <c r="G1599" s="71">
        <v>0</v>
      </c>
    </row>
    <row r="1600" spans="2:7" x14ac:dyDescent="0.25">
      <c r="B1600" s="70">
        <v>43572</v>
      </c>
      <c r="C1600" t="s">
        <v>24</v>
      </c>
      <c r="D1600" t="s">
        <v>79</v>
      </c>
      <c r="E1600" t="s">
        <v>280</v>
      </c>
      <c r="F1600" s="71">
        <v>8</v>
      </c>
      <c r="G1600" s="71">
        <v>0</v>
      </c>
    </row>
    <row r="1601" spans="2:7" x14ac:dyDescent="0.25">
      <c r="B1601" s="70">
        <v>43572</v>
      </c>
      <c r="C1601" t="s">
        <v>61</v>
      </c>
      <c r="D1601" t="s">
        <v>84</v>
      </c>
      <c r="E1601" t="s">
        <v>280</v>
      </c>
      <c r="F1601" s="71">
        <v>19.420000000000002</v>
      </c>
      <c r="G1601" s="71">
        <v>0</v>
      </c>
    </row>
    <row r="1602" spans="2:7" x14ac:dyDescent="0.25">
      <c r="B1602" s="70">
        <v>43573</v>
      </c>
      <c r="C1602" t="s">
        <v>25</v>
      </c>
      <c r="D1602" t="s">
        <v>80</v>
      </c>
      <c r="E1602" t="s">
        <v>281</v>
      </c>
      <c r="F1602" s="71">
        <v>9.99</v>
      </c>
      <c r="G1602" s="71">
        <v>0</v>
      </c>
    </row>
    <row r="1603" spans="2:7" x14ac:dyDescent="0.25">
      <c r="B1603" s="70">
        <v>43573</v>
      </c>
      <c r="C1603" t="s">
        <v>25</v>
      </c>
      <c r="D1603" t="s">
        <v>87</v>
      </c>
      <c r="E1603" t="s">
        <v>281</v>
      </c>
      <c r="F1603" s="71">
        <v>27.81</v>
      </c>
      <c r="G1603" s="71">
        <v>0</v>
      </c>
    </row>
    <row r="1604" spans="2:7" x14ac:dyDescent="0.25">
      <c r="B1604" s="70">
        <v>43573</v>
      </c>
      <c r="C1604" t="s">
        <v>25</v>
      </c>
      <c r="D1604" t="s">
        <v>87</v>
      </c>
      <c r="E1604" t="s">
        <v>281</v>
      </c>
      <c r="F1604" s="71">
        <v>42.45</v>
      </c>
      <c r="G1604" s="71">
        <v>0</v>
      </c>
    </row>
    <row r="1605" spans="2:7" x14ac:dyDescent="0.25">
      <c r="B1605" s="70">
        <v>43573</v>
      </c>
      <c r="C1605" t="s">
        <v>51</v>
      </c>
      <c r="D1605" t="s">
        <v>86</v>
      </c>
      <c r="E1605" t="s">
        <v>281</v>
      </c>
      <c r="F1605" s="71">
        <v>160.51</v>
      </c>
      <c r="G1605" s="71">
        <v>0</v>
      </c>
    </row>
    <row r="1606" spans="2:7" x14ac:dyDescent="0.25">
      <c r="B1606" s="70">
        <v>43573</v>
      </c>
      <c r="C1606" t="s">
        <v>21</v>
      </c>
      <c r="D1606" t="s">
        <v>79</v>
      </c>
      <c r="E1606" t="s">
        <v>281</v>
      </c>
      <c r="F1606" s="71">
        <v>8</v>
      </c>
      <c r="G1606" s="71">
        <v>0</v>
      </c>
    </row>
    <row r="1607" spans="2:7" x14ac:dyDescent="0.25">
      <c r="B1607" s="70">
        <v>43573</v>
      </c>
      <c r="C1607" t="s">
        <v>21</v>
      </c>
      <c r="D1607" t="s">
        <v>79</v>
      </c>
      <c r="E1607" t="s">
        <v>281</v>
      </c>
      <c r="F1607" s="71">
        <v>16</v>
      </c>
      <c r="G1607" s="71">
        <v>0</v>
      </c>
    </row>
    <row r="1608" spans="2:7" x14ac:dyDescent="0.25">
      <c r="B1608" s="70">
        <v>43573</v>
      </c>
      <c r="C1608" t="s">
        <v>21</v>
      </c>
      <c r="D1608" t="s">
        <v>79</v>
      </c>
      <c r="E1608" t="s">
        <v>281</v>
      </c>
      <c r="F1608" s="71">
        <v>24</v>
      </c>
      <c r="G1608" s="71">
        <v>0</v>
      </c>
    </row>
    <row r="1609" spans="2:7" x14ac:dyDescent="0.25">
      <c r="B1609" s="70">
        <v>43573</v>
      </c>
      <c r="C1609" t="s">
        <v>21</v>
      </c>
      <c r="D1609" t="s">
        <v>79</v>
      </c>
      <c r="E1609" t="s">
        <v>281</v>
      </c>
      <c r="F1609" s="71">
        <v>32</v>
      </c>
      <c r="G1609" s="71">
        <v>0</v>
      </c>
    </row>
    <row r="1610" spans="2:7" x14ac:dyDescent="0.25">
      <c r="B1610" s="70">
        <v>43573</v>
      </c>
      <c r="C1610" t="s">
        <v>21</v>
      </c>
      <c r="D1610" t="s">
        <v>79</v>
      </c>
      <c r="E1610" t="s">
        <v>281</v>
      </c>
      <c r="F1610" s="71">
        <v>48</v>
      </c>
      <c r="G1610" s="71">
        <v>0</v>
      </c>
    </row>
    <row r="1611" spans="2:7" x14ac:dyDescent="0.25">
      <c r="B1611" s="70">
        <v>43573</v>
      </c>
      <c r="C1611" t="s">
        <v>45</v>
      </c>
      <c r="D1611" t="s">
        <v>85</v>
      </c>
      <c r="E1611" t="s">
        <v>281</v>
      </c>
      <c r="F1611" s="71">
        <v>68</v>
      </c>
      <c r="G1611" s="71">
        <v>0</v>
      </c>
    </row>
    <row r="1612" spans="2:7" x14ac:dyDescent="0.25">
      <c r="B1612" s="70">
        <v>43573</v>
      </c>
      <c r="C1612" t="s">
        <v>61</v>
      </c>
      <c r="D1612" t="s">
        <v>86</v>
      </c>
      <c r="E1612" t="s">
        <v>281</v>
      </c>
      <c r="F1612" s="71">
        <v>297.27999999999997</v>
      </c>
      <c r="G1612" s="71">
        <v>0</v>
      </c>
    </row>
    <row r="1613" spans="2:7" x14ac:dyDescent="0.25">
      <c r="B1613" s="70">
        <v>43577</v>
      </c>
      <c r="C1613" t="s">
        <v>25</v>
      </c>
      <c r="D1613" t="s">
        <v>79</v>
      </c>
      <c r="E1613" t="s">
        <v>282</v>
      </c>
      <c r="F1613" s="71">
        <v>8</v>
      </c>
      <c r="G1613" s="71">
        <v>0</v>
      </c>
    </row>
    <row r="1614" spans="2:7" x14ac:dyDescent="0.25">
      <c r="B1614" s="70">
        <v>43577</v>
      </c>
      <c r="C1614" t="s">
        <v>25</v>
      </c>
      <c r="D1614" t="s">
        <v>79</v>
      </c>
      <c r="E1614" t="s">
        <v>282</v>
      </c>
      <c r="F1614" s="71">
        <v>56.66</v>
      </c>
      <c r="G1614" s="71">
        <v>0</v>
      </c>
    </row>
    <row r="1615" spans="2:7" x14ac:dyDescent="0.25">
      <c r="B1615" s="70">
        <v>43577</v>
      </c>
      <c r="C1615" t="s">
        <v>25</v>
      </c>
      <c r="D1615" t="s">
        <v>81</v>
      </c>
      <c r="E1615" t="s">
        <v>212</v>
      </c>
      <c r="F1615" s="71">
        <v>16.399999999999999</v>
      </c>
      <c r="G1615" s="71">
        <v>0</v>
      </c>
    </row>
    <row r="1616" spans="2:7" x14ac:dyDescent="0.25">
      <c r="B1616" s="70">
        <v>43577</v>
      </c>
      <c r="C1616" t="s">
        <v>25</v>
      </c>
      <c r="D1616" t="s">
        <v>81</v>
      </c>
      <c r="E1616" t="s">
        <v>195</v>
      </c>
      <c r="F1616" s="71">
        <v>26</v>
      </c>
      <c r="G1616" s="71">
        <v>0</v>
      </c>
    </row>
    <row r="1617" spans="2:7" x14ac:dyDescent="0.25">
      <c r="B1617" s="70">
        <v>43577</v>
      </c>
      <c r="C1617" t="s">
        <v>25</v>
      </c>
      <c r="D1617" t="s">
        <v>82</v>
      </c>
      <c r="E1617" t="s">
        <v>282</v>
      </c>
      <c r="F1617" s="71">
        <v>163.91</v>
      </c>
      <c r="G1617" s="71">
        <v>0</v>
      </c>
    </row>
    <row r="1618" spans="2:7" x14ac:dyDescent="0.25">
      <c r="B1618" s="70">
        <v>43577</v>
      </c>
      <c r="C1618" t="s">
        <v>25</v>
      </c>
      <c r="D1618" t="s">
        <v>84</v>
      </c>
      <c r="E1618" t="s">
        <v>282</v>
      </c>
      <c r="F1618" s="71">
        <v>172</v>
      </c>
      <c r="G1618" s="71">
        <v>0</v>
      </c>
    </row>
    <row r="1619" spans="2:7" x14ac:dyDescent="0.25">
      <c r="B1619" s="70">
        <v>43577</v>
      </c>
      <c r="C1619" t="s">
        <v>54</v>
      </c>
      <c r="D1619" t="s">
        <v>79</v>
      </c>
      <c r="E1619" t="s">
        <v>282</v>
      </c>
      <c r="F1619" s="71">
        <v>129.9</v>
      </c>
      <c r="G1619" s="71">
        <v>0</v>
      </c>
    </row>
    <row r="1620" spans="2:7" x14ac:dyDescent="0.25">
      <c r="B1620" s="70">
        <v>43577</v>
      </c>
      <c r="C1620" t="s">
        <v>54</v>
      </c>
      <c r="D1620" t="s">
        <v>85</v>
      </c>
      <c r="E1620" t="s">
        <v>282</v>
      </c>
      <c r="F1620" s="71">
        <v>40.74</v>
      </c>
      <c r="G1620" s="71">
        <v>0</v>
      </c>
    </row>
    <row r="1621" spans="2:7" x14ac:dyDescent="0.25">
      <c r="B1621" s="70">
        <v>43577</v>
      </c>
      <c r="C1621" t="s">
        <v>46</v>
      </c>
      <c r="D1621" t="s">
        <v>84</v>
      </c>
      <c r="E1621" t="s">
        <v>282</v>
      </c>
      <c r="F1621" s="71">
        <v>22.3</v>
      </c>
      <c r="G1621" s="71">
        <v>0</v>
      </c>
    </row>
    <row r="1622" spans="2:7" x14ac:dyDescent="0.25">
      <c r="B1622" s="70">
        <v>43577</v>
      </c>
      <c r="C1622" t="s">
        <v>59</v>
      </c>
      <c r="D1622" t="s">
        <v>82</v>
      </c>
      <c r="E1622" t="s">
        <v>282</v>
      </c>
      <c r="F1622" s="71">
        <v>888.12</v>
      </c>
      <c r="G1622" s="71">
        <v>0</v>
      </c>
    </row>
    <row r="1623" spans="2:7" x14ac:dyDescent="0.25">
      <c r="B1623" s="70">
        <v>43577</v>
      </c>
      <c r="C1623" t="s">
        <v>59</v>
      </c>
      <c r="D1623" t="s">
        <v>84</v>
      </c>
      <c r="E1623" t="s">
        <v>282</v>
      </c>
      <c r="F1623" s="71">
        <v>1418.66</v>
      </c>
      <c r="G1623" s="71">
        <v>0</v>
      </c>
    </row>
    <row r="1624" spans="2:7" x14ac:dyDescent="0.25">
      <c r="B1624" s="70">
        <v>43577</v>
      </c>
      <c r="C1624" t="s">
        <v>56</v>
      </c>
      <c r="D1624" t="s">
        <v>84</v>
      </c>
      <c r="E1624" t="s">
        <v>282</v>
      </c>
      <c r="F1624" s="71">
        <v>117.7</v>
      </c>
      <c r="G1624" s="71">
        <v>0</v>
      </c>
    </row>
    <row r="1625" spans="2:7" x14ac:dyDescent="0.25">
      <c r="B1625" s="70">
        <v>43577</v>
      </c>
      <c r="C1625" t="s">
        <v>47</v>
      </c>
      <c r="D1625" t="s">
        <v>84</v>
      </c>
      <c r="E1625" t="s">
        <v>282</v>
      </c>
      <c r="F1625" s="71">
        <v>94.85</v>
      </c>
      <c r="G1625" s="71">
        <v>0</v>
      </c>
    </row>
    <row r="1626" spans="2:7" x14ac:dyDescent="0.25">
      <c r="B1626" s="70">
        <v>43577</v>
      </c>
      <c r="C1626" t="s">
        <v>57</v>
      </c>
      <c r="D1626" t="s">
        <v>84</v>
      </c>
      <c r="E1626" t="s">
        <v>282</v>
      </c>
      <c r="F1626" s="71">
        <v>7.28</v>
      </c>
      <c r="G1626" s="71">
        <v>0</v>
      </c>
    </row>
    <row r="1627" spans="2:7" x14ac:dyDescent="0.25">
      <c r="B1627" s="70">
        <v>43577</v>
      </c>
      <c r="C1627" t="s">
        <v>43</v>
      </c>
      <c r="D1627" t="s">
        <v>84</v>
      </c>
      <c r="E1627" t="s">
        <v>282</v>
      </c>
      <c r="F1627" s="71">
        <v>40.4</v>
      </c>
      <c r="G1627" s="71">
        <v>0</v>
      </c>
    </row>
    <row r="1628" spans="2:7" x14ac:dyDescent="0.25">
      <c r="B1628" s="70">
        <v>43577</v>
      </c>
      <c r="C1628" t="s">
        <v>21</v>
      </c>
      <c r="D1628" t="s">
        <v>79</v>
      </c>
      <c r="E1628" t="s">
        <v>282</v>
      </c>
      <c r="F1628" s="71">
        <v>8</v>
      </c>
      <c r="G1628" s="71">
        <v>0</v>
      </c>
    </row>
    <row r="1629" spans="2:7" x14ac:dyDescent="0.25">
      <c r="B1629" s="70">
        <v>43577</v>
      </c>
      <c r="C1629" t="s">
        <v>21</v>
      </c>
      <c r="D1629" t="s">
        <v>79</v>
      </c>
      <c r="E1629" t="s">
        <v>282</v>
      </c>
      <c r="F1629" s="71">
        <v>16</v>
      </c>
      <c r="G1629" s="71">
        <v>0</v>
      </c>
    </row>
    <row r="1630" spans="2:7" x14ac:dyDescent="0.25">
      <c r="B1630" s="70">
        <v>43577</v>
      </c>
      <c r="C1630" t="s">
        <v>21</v>
      </c>
      <c r="D1630" t="s">
        <v>79</v>
      </c>
      <c r="E1630" t="s">
        <v>282</v>
      </c>
      <c r="F1630" s="71">
        <v>24</v>
      </c>
      <c r="G1630" s="71">
        <v>0</v>
      </c>
    </row>
    <row r="1631" spans="2:7" x14ac:dyDescent="0.25">
      <c r="B1631" s="70">
        <v>43577</v>
      </c>
      <c r="C1631" t="s">
        <v>66</v>
      </c>
      <c r="D1631" t="s">
        <v>82</v>
      </c>
      <c r="E1631" t="s">
        <v>282</v>
      </c>
      <c r="F1631" s="71">
        <v>200.88</v>
      </c>
      <c r="G1631" s="71">
        <v>0</v>
      </c>
    </row>
    <row r="1632" spans="2:7" x14ac:dyDescent="0.25">
      <c r="B1632" s="70">
        <v>43577</v>
      </c>
      <c r="C1632" t="s">
        <v>66</v>
      </c>
      <c r="D1632" t="s">
        <v>84</v>
      </c>
      <c r="E1632" t="s">
        <v>282</v>
      </c>
      <c r="F1632" s="71">
        <v>418.1</v>
      </c>
      <c r="G1632" s="71">
        <v>0</v>
      </c>
    </row>
    <row r="1633" spans="2:7" x14ac:dyDescent="0.25">
      <c r="B1633" s="70">
        <v>43577</v>
      </c>
      <c r="C1633" t="s">
        <v>48</v>
      </c>
      <c r="D1633" t="s">
        <v>84</v>
      </c>
      <c r="E1633" t="s">
        <v>282</v>
      </c>
      <c r="F1633" s="71">
        <v>1322.7</v>
      </c>
      <c r="G1633" s="71">
        <v>0</v>
      </c>
    </row>
    <row r="1634" spans="2:7" x14ac:dyDescent="0.25">
      <c r="B1634" s="70">
        <v>43577</v>
      </c>
      <c r="C1634" t="s">
        <v>45</v>
      </c>
      <c r="D1634" t="s">
        <v>82</v>
      </c>
      <c r="E1634" t="s">
        <v>282</v>
      </c>
      <c r="F1634" s="71">
        <v>393.11</v>
      </c>
      <c r="G1634" s="71">
        <v>0</v>
      </c>
    </row>
    <row r="1635" spans="2:7" x14ac:dyDescent="0.25">
      <c r="B1635" s="70">
        <v>43577</v>
      </c>
      <c r="C1635" t="s">
        <v>45</v>
      </c>
      <c r="D1635" t="s">
        <v>84</v>
      </c>
      <c r="E1635" t="s">
        <v>282</v>
      </c>
      <c r="F1635" s="71">
        <v>662.4</v>
      </c>
      <c r="G1635" s="71">
        <v>0</v>
      </c>
    </row>
    <row r="1636" spans="2:7" x14ac:dyDescent="0.25">
      <c r="B1636" s="70">
        <v>43577</v>
      </c>
      <c r="C1636" t="s">
        <v>49</v>
      </c>
      <c r="D1636" t="s">
        <v>86</v>
      </c>
      <c r="E1636" t="s">
        <v>282</v>
      </c>
      <c r="F1636" s="71">
        <v>0</v>
      </c>
      <c r="G1636" s="71">
        <v>24</v>
      </c>
    </row>
    <row r="1637" spans="2:7" x14ac:dyDescent="0.25">
      <c r="B1637" s="70">
        <v>43577</v>
      </c>
      <c r="C1637" t="s">
        <v>50</v>
      </c>
      <c r="D1637" t="s">
        <v>79</v>
      </c>
      <c r="E1637" t="s">
        <v>282</v>
      </c>
      <c r="F1637" s="71">
        <v>20</v>
      </c>
      <c r="G1637" s="71">
        <v>0</v>
      </c>
    </row>
    <row r="1638" spans="2:7" x14ac:dyDescent="0.25">
      <c r="B1638" s="70">
        <v>43577</v>
      </c>
      <c r="C1638" t="s">
        <v>65</v>
      </c>
      <c r="D1638" t="s">
        <v>84</v>
      </c>
      <c r="E1638" t="s">
        <v>282</v>
      </c>
      <c r="F1638" s="71">
        <v>44.4</v>
      </c>
      <c r="G1638" s="71">
        <v>0</v>
      </c>
    </row>
    <row r="1639" spans="2:7" x14ac:dyDescent="0.25">
      <c r="B1639" s="70">
        <v>43577</v>
      </c>
      <c r="C1639" t="s">
        <v>24</v>
      </c>
      <c r="D1639" t="s">
        <v>79</v>
      </c>
      <c r="E1639" t="s">
        <v>282</v>
      </c>
      <c r="F1639" s="71">
        <v>8</v>
      </c>
      <c r="G1639" s="71">
        <v>0</v>
      </c>
    </row>
    <row r="1640" spans="2:7" x14ac:dyDescent="0.25">
      <c r="B1640" s="70">
        <v>43578</v>
      </c>
      <c r="C1640" t="s">
        <v>25</v>
      </c>
      <c r="D1640" t="s">
        <v>87</v>
      </c>
      <c r="E1640" t="s">
        <v>283</v>
      </c>
      <c r="F1640" s="71">
        <v>41.14</v>
      </c>
      <c r="G1640" s="71">
        <v>0</v>
      </c>
    </row>
    <row r="1641" spans="2:7" x14ac:dyDescent="0.25">
      <c r="B1641" s="70">
        <v>43578</v>
      </c>
      <c r="C1641" t="s">
        <v>25</v>
      </c>
      <c r="D1641" t="s">
        <v>87</v>
      </c>
      <c r="E1641" t="s">
        <v>283</v>
      </c>
      <c r="F1641" s="71">
        <v>42.45</v>
      </c>
      <c r="G1641" s="71">
        <v>0</v>
      </c>
    </row>
    <row r="1642" spans="2:7" x14ac:dyDescent="0.25">
      <c r="B1642" s="70">
        <v>43578</v>
      </c>
      <c r="C1642" t="s">
        <v>25</v>
      </c>
      <c r="D1642" t="s">
        <v>87</v>
      </c>
      <c r="E1642" t="s">
        <v>283</v>
      </c>
      <c r="F1642" s="71">
        <v>52.02</v>
      </c>
      <c r="G1642" s="71">
        <v>0</v>
      </c>
    </row>
    <row r="1643" spans="2:7" x14ac:dyDescent="0.25">
      <c r="B1643" s="70">
        <v>43578</v>
      </c>
      <c r="C1643" t="s">
        <v>25</v>
      </c>
      <c r="D1643" t="s">
        <v>87</v>
      </c>
      <c r="E1643" t="s">
        <v>283</v>
      </c>
      <c r="F1643" s="71">
        <v>73.5</v>
      </c>
      <c r="G1643" s="71">
        <v>0</v>
      </c>
    </row>
    <row r="1644" spans="2:7" x14ac:dyDescent="0.25">
      <c r="B1644" s="70">
        <v>43578</v>
      </c>
      <c r="C1644" t="s">
        <v>25</v>
      </c>
      <c r="D1644" t="s">
        <v>87</v>
      </c>
      <c r="E1644" t="s">
        <v>283</v>
      </c>
      <c r="F1644" s="71">
        <v>81.03</v>
      </c>
      <c r="G1644" s="71">
        <v>0</v>
      </c>
    </row>
    <row r="1645" spans="2:7" x14ac:dyDescent="0.25">
      <c r="B1645" s="70">
        <v>43578</v>
      </c>
      <c r="C1645" t="s">
        <v>25</v>
      </c>
      <c r="D1645" t="s">
        <v>81</v>
      </c>
      <c r="E1645" t="s">
        <v>195</v>
      </c>
      <c r="F1645" s="71">
        <v>26</v>
      </c>
      <c r="G1645" s="71">
        <v>0</v>
      </c>
    </row>
    <row r="1646" spans="2:7" x14ac:dyDescent="0.25">
      <c r="B1646" s="70">
        <v>43578</v>
      </c>
      <c r="C1646" t="s">
        <v>25</v>
      </c>
      <c r="D1646" t="s">
        <v>81</v>
      </c>
      <c r="E1646" t="s">
        <v>284</v>
      </c>
      <c r="F1646" s="71">
        <v>2.4</v>
      </c>
      <c r="G1646" s="71">
        <v>0</v>
      </c>
    </row>
    <row r="1647" spans="2:7" x14ac:dyDescent="0.25">
      <c r="B1647" s="70">
        <v>43578</v>
      </c>
      <c r="C1647" t="s">
        <v>25</v>
      </c>
      <c r="D1647" t="s">
        <v>81</v>
      </c>
      <c r="E1647" t="s">
        <v>181</v>
      </c>
      <c r="F1647" s="71">
        <v>3.7</v>
      </c>
      <c r="G1647" s="71">
        <v>0</v>
      </c>
    </row>
    <row r="1648" spans="2:7" x14ac:dyDescent="0.25">
      <c r="B1648" s="70">
        <v>43578</v>
      </c>
      <c r="C1648" t="s">
        <v>25</v>
      </c>
      <c r="D1648" t="s">
        <v>81</v>
      </c>
      <c r="E1648" t="s">
        <v>202</v>
      </c>
      <c r="F1648" s="71">
        <v>1.8</v>
      </c>
      <c r="G1648" s="71">
        <v>0</v>
      </c>
    </row>
    <row r="1649" spans="2:7" x14ac:dyDescent="0.25">
      <c r="B1649" s="70">
        <v>43578</v>
      </c>
      <c r="C1649" t="s">
        <v>25</v>
      </c>
      <c r="D1649" t="s">
        <v>81</v>
      </c>
      <c r="E1649" t="s">
        <v>155</v>
      </c>
      <c r="F1649" s="71">
        <v>3</v>
      </c>
      <c r="G1649" s="71">
        <v>0</v>
      </c>
    </row>
    <row r="1650" spans="2:7" x14ac:dyDescent="0.25">
      <c r="B1650" s="70">
        <v>43578</v>
      </c>
      <c r="C1650" t="s">
        <v>25</v>
      </c>
      <c r="D1650" t="s">
        <v>81</v>
      </c>
      <c r="E1650" t="s">
        <v>247</v>
      </c>
      <c r="F1650" s="71">
        <v>3.7</v>
      </c>
      <c r="G1650" s="71">
        <v>0</v>
      </c>
    </row>
    <row r="1651" spans="2:7" x14ac:dyDescent="0.25">
      <c r="B1651" s="70">
        <v>43578</v>
      </c>
      <c r="C1651" t="s">
        <v>25</v>
      </c>
      <c r="D1651" t="s">
        <v>81</v>
      </c>
      <c r="E1651" t="s">
        <v>133</v>
      </c>
      <c r="F1651" s="71">
        <v>2.4</v>
      </c>
      <c r="G1651" s="71">
        <v>0</v>
      </c>
    </row>
    <row r="1652" spans="2:7" x14ac:dyDescent="0.25">
      <c r="B1652" s="70">
        <v>43578</v>
      </c>
      <c r="C1652" t="s">
        <v>44</v>
      </c>
      <c r="D1652" t="s">
        <v>80</v>
      </c>
      <c r="E1652" t="s">
        <v>283</v>
      </c>
      <c r="F1652" s="71">
        <v>73.75</v>
      </c>
      <c r="G1652" s="71">
        <v>0</v>
      </c>
    </row>
    <row r="1653" spans="2:7" x14ac:dyDescent="0.25">
      <c r="B1653" s="70">
        <v>43578</v>
      </c>
      <c r="C1653" t="s">
        <v>21</v>
      </c>
      <c r="D1653" t="s">
        <v>79</v>
      </c>
      <c r="E1653" t="s">
        <v>283</v>
      </c>
      <c r="F1653" s="71">
        <v>16</v>
      </c>
      <c r="G1653" s="71">
        <v>0</v>
      </c>
    </row>
    <row r="1654" spans="2:7" x14ac:dyDescent="0.25">
      <c r="B1654" s="70">
        <v>43578</v>
      </c>
      <c r="C1654" t="s">
        <v>21</v>
      </c>
      <c r="D1654" t="s">
        <v>79</v>
      </c>
      <c r="E1654" t="s">
        <v>283</v>
      </c>
      <c r="F1654" s="71">
        <v>32</v>
      </c>
      <c r="G1654" s="71">
        <v>0</v>
      </c>
    </row>
    <row r="1655" spans="2:7" x14ac:dyDescent="0.25">
      <c r="B1655" s="70">
        <v>43578</v>
      </c>
      <c r="C1655" t="s">
        <v>21</v>
      </c>
      <c r="D1655" t="s">
        <v>79</v>
      </c>
      <c r="E1655" t="s">
        <v>283</v>
      </c>
      <c r="F1655" s="71">
        <v>48</v>
      </c>
      <c r="G1655" s="71">
        <v>0</v>
      </c>
    </row>
    <row r="1656" spans="2:7" x14ac:dyDescent="0.25">
      <c r="B1656" s="70">
        <v>43578</v>
      </c>
      <c r="C1656" t="s">
        <v>48</v>
      </c>
      <c r="D1656" t="s">
        <v>85</v>
      </c>
      <c r="E1656" t="s">
        <v>283</v>
      </c>
      <c r="F1656" s="71">
        <v>15.95</v>
      </c>
      <c r="G1656" s="71">
        <v>0</v>
      </c>
    </row>
    <row r="1657" spans="2:7" x14ac:dyDescent="0.25">
      <c r="B1657" s="70">
        <v>43578</v>
      </c>
      <c r="C1657" t="s">
        <v>48</v>
      </c>
      <c r="D1657" t="s">
        <v>87</v>
      </c>
      <c r="E1657" t="s">
        <v>283</v>
      </c>
      <c r="F1657" s="71">
        <v>23.19</v>
      </c>
      <c r="G1657" s="71">
        <v>0</v>
      </c>
    </row>
    <row r="1658" spans="2:7" x14ac:dyDescent="0.25">
      <c r="B1658" s="70">
        <v>43578</v>
      </c>
      <c r="C1658" t="s">
        <v>50</v>
      </c>
      <c r="D1658" t="s">
        <v>84</v>
      </c>
      <c r="E1658" t="s">
        <v>283</v>
      </c>
      <c r="F1658" s="71">
        <v>7.62</v>
      </c>
      <c r="G1658" s="71">
        <v>0</v>
      </c>
    </row>
    <row r="1659" spans="2:7" x14ac:dyDescent="0.25">
      <c r="B1659" s="70">
        <v>43578</v>
      </c>
      <c r="C1659" t="s">
        <v>52</v>
      </c>
      <c r="D1659" t="s">
        <v>80</v>
      </c>
      <c r="E1659" t="s">
        <v>283</v>
      </c>
      <c r="F1659" s="71">
        <v>70.09</v>
      </c>
      <c r="G1659" s="71">
        <v>0</v>
      </c>
    </row>
    <row r="1660" spans="2:7" x14ac:dyDescent="0.25">
      <c r="B1660" s="70">
        <v>43578</v>
      </c>
      <c r="C1660" t="s">
        <v>69</v>
      </c>
      <c r="D1660" t="s">
        <v>87</v>
      </c>
      <c r="E1660" t="s">
        <v>283</v>
      </c>
      <c r="F1660" s="71">
        <v>70.42</v>
      </c>
      <c r="G1660" s="71">
        <v>0</v>
      </c>
    </row>
    <row r="1661" spans="2:7" x14ac:dyDescent="0.25">
      <c r="B1661" s="70">
        <v>43578</v>
      </c>
      <c r="C1661" t="s">
        <v>53</v>
      </c>
      <c r="D1661" t="s">
        <v>84</v>
      </c>
      <c r="E1661" t="s">
        <v>283</v>
      </c>
      <c r="F1661" s="71">
        <v>42</v>
      </c>
      <c r="G1661" s="71">
        <v>0</v>
      </c>
    </row>
    <row r="1662" spans="2:7" x14ac:dyDescent="0.25">
      <c r="B1662" s="70">
        <v>43579</v>
      </c>
      <c r="C1662" t="s">
        <v>25</v>
      </c>
      <c r="D1662" t="s">
        <v>81</v>
      </c>
      <c r="E1662" t="s">
        <v>122</v>
      </c>
      <c r="F1662" s="71">
        <v>7.35</v>
      </c>
      <c r="G1662" s="71">
        <v>0</v>
      </c>
    </row>
    <row r="1663" spans="2:7" x14ac:dyDescent="0.25">
      <c r="B1663" s="70">
        <v>43579</v>
      </c>
      <c r="C1663" t="s">
        <v>25</v>
      </c>
      <c r="D1663" t="s">
        <v>81</v>
      </c>
      <c r="E1663" t="s">
        <v>217</v>
      </c>
      <c r="F1663" s="71">
        <v>9.1999999999999993</v>
      </c>
      <c r="G1663" s="71">
        <v>0</v>
      </c>
    </row>
    <row r="1664" spans="2:7" x14ac:dyDescent="0.25">
      <c r="B1664" s="70">
        <v>43579</v>
      </c>
      <c r="C1664" t="s">
        <v>25</v>
      </c>
      <c r="D1664" t="s">
        <v>84</v>
      </c>
      <c r="E1664" t="s">
        <v>285</v>
      </c>
      <c r="F1664" s="71">
        <v>12</v>
      </c>
      <c r="G1664" s="71">
        <v>0</v>
      </c>
    </row>
    <row r="1665" spans="2:7" x14ac:dyDescent="0.25">
      <c r="B1665" s="70">
        <v>43579</v>
      </c>
      <c r="C1665" t="s">
        <v>46</v>
      </c>
      <c r="D1665" t="s">
        <v>85</v>
      </c>
      <c r="E1665" t="s">
        <v>285</v>
      </c>
      <c r="F1665" s="71">
        <v>91.91</v>
      </c>
      <c r="G1665" s="71">
        <v>0</v>
      </c>
    </row>
    <row r="1666" spans="2:7" x14ac:dyDescent="0.25">
      <c r="B1666" s="70">
        <v>43579</v>
      </c>
      <c r="C1666" t="s">
        <v>59</v>
      </c>
      <c r="D1666" t="s">
        <v>82</v>
      </c>
      <c r="E1666" t="s">
        <v>285</v>
      </c>
      <c r="F1666" s="71">
        <v>228</v>
      </c>
      <c r="G1666" s="71">
        <v>0</v>
      </c>
    </row>
    <row r="1667" spans="2:7" x14ac:dyDescent="0.25">
      <c r="B1667" s="70">
        <v>43579</v>
      </c>
      <c r="C1667" t="s">
        <v>43</v>
      </c>
      <c r="D1667" t="s">
        <v>82</v>
      </c>
      <c r="E1667" t="s">
        <v>285</v>
      </c>
      <c r="F1667" s="71">
        <v>139.03</v>
      </c>
      <c r="G1667" s="71">
        <v>0</v>
      </c>
    </row>
    <row r="1668" spans="2:7" x14ac:dyDescent="0.25">
      <c r="B1668" s="70">
        <v>43579</v>
      </c>
      <c r="C1668" t="s">
        <v>21</v>
      </c>
      <c r="D1668" t="s">
        <v>79</v>
      </c>
      <c r="E1668" t="s">
        <v>285</v>
      </c>
      <c r="F1668" s="71">
        <v>8</v>
      </c>
      <c r="G1668" s="71">
        <v>0</v>
      </c>
    </row>
    <row r="1669" spans="2:7" x14ac:dyDescent="0.25">
      <c r="B1669" s="70">
        <v>43579</v>
      </c>
      <c r="C1669" t="s">
        <v>21</v>
      </c>
      <c r="D1669" t="s">
        <v>79</v>
      </c>
      <c r="E1669" t="s">
        <v>285</v>
      </c>
      <c r="F1669" s="71">
        <v>16</v>
      </c>
      <c r="G1669" s="71">
        <v>0</v>
      </c>
    </row>
    <row r="1670" spans="2:7" x14ac:dyDescent="0.25">
      <c r="B1670" s="70">
        <v>43579</v>
      </c>
      <c r="C1670" t="s">
        <v>21</v>
      </c>
      <c r="D1670" t="s">
        <v>79</v>
      </c>
      <c r="E1670" t="s">
        <v>285</v>
      </c>
      <c r="F1670" s="71">
        <v>32</v>
      </c>
      <c r="G1670" s="71">
        <v>0</v>
      </c>
    </row>
    <row r="1671" spans="2:7" x14ac:dyDescent="0.25">
      <c r="B1671" s="70">
        <v>43579</v>
      </c>
      <c r="C1671" t="s">
        <v>21</v>
      </c>
      <c r="D1671" t="s">
        <v>79</v>
      </c>
      <c r="E1671" t="s">
        <v>285</v>
      </c>
      <c r="F1671" s="71">
        <v>56</v>
      </c>
      <c r="G1671" s="71">
        <v>0</v>
      </c>
    </row>
    <row r="1672" spans="2:7" x14ac:dyDescent="0.25">
      <c r="B1672" s="70">
        <v>43579</v>
      </c>
      <c r="C1672" t="s">
        <v>21</v>
      </c>
      <c r="D1672" t="s">
        <v>79</v>
      </c>
      <c r="E1672" t="s">
        <v>285</v>
      </c>
      <c r="F1672" s="71">
        <v>104</v>
      </c>
      <c r="G1672" s="71">
        <v>0</v>
      </c>
    </row>
    <row r="1673" spans="2:7" x14ac:dyDescent="0.25">
      <c r="B1673" s="70">
        <v>43579</v>
      </c>
      <c r="C1673" t="s">
        <v>58</v>
      </c>
      <c r="D1673" t="s">
        <v>84</v>
      </c>
      <c r="E1673" t="s">
        <v>285</v>
      </c>
      <c r="F1673" s="71">
        <v>56</v>
      </c>
      <c r="G1673" s="71">
        <v>0</v>
      </c>
    </row>
    <row r="1674" spans="2:7" x14ac:dyDescent="0.25">
      <c r="B1674" s="70">
        <v>43579</v>
      </c>
      <c r="C1674" t="s">
        <v>24</v>
      </c>
      <c r="D1674" t="s">
        <v>79</v>
      </c>
      <c r="E1674" t="s">
        <v>285</v>
      </c>
      <c r="F1674" s="71">
        <v>16</v>
      </c>
      <c r="G1674" s="71">
        <v>0</v>
      </c>
    </row>
    <row r="1675" spans="2:7" x14ac:dyDescent="0.25">
      <c r="B1675" s="70">
        <v>43579</v>
      </c>
      <c r="C1675" t="s">
        <v>60</v>
      </c>
      <c r="D1675" t="s">
        <v>79</v>
      </c>
      <c r="E1675" t="s">
        <v>285</v>
      </c>
      <c r="F1675" s="71">
        <v>22.1</v>
      </c>
      <c r="G1675" s="71">
        <v>0</v>
      </c>
    </row>
    <row r="1676" spans="2:7" x14ac:dyDescent="0.25">
      <c r="B1676" s="70">
        <v>43580</v>
      </c>
      <c r="C1676" t="s">
        <v>25</v>
      </c>
      <c r="D1676" t="s">
        <v>87</v>
      </c>
      <c r="E1676" t="s">
        <v>286</v>
      </c>
      <c r="F1676" s="71">
        <v>29.5</v>
      </c>
      <c r="G1676" s="71">
        <v>0</v>
      </c>
    </row>
    <row r="1677" spans="2:7" x14ac:dyDescent="0.25">
      <c r="B1677" s="70">
        <v>43580</v>
      </c>
      <c r="C1677" t="s">
        <v>25</v>
      </c>
      <c r="D1677" t="s">
        <v>87</v>
      </c>
      <c r="E1677" t="s">
        <v>286</v>
      </c>
      <c r="F1677" s="71">
        <v>36.659999999999997</v>
      </c>
      <c r="G1677" s="71">
        <v>0</v>
      </c>
    </row>
    <row r="1678" spans="2:7" x14ac:dyDescent="0.25">
      <c r="B1678" s="70">
        <v>43580</v>
      </c>
      <c r="C1678" t="s">
        <v>25</v>
      </c>
      <c r="D1678" t="s">
        <v>81</v>
      </c>
      <c r="E1678" t="s">
        <v>178</v>
      </c>
      <c r="F1678" s="71">
        <v>4.5</v>
      </c>
      <c r="G1678" s="71">
        <v>0</v>
      </c>
    </row>
    <row r="1679" spans="2:7" x14ac:dyDescent="0.25">
      <c r="B1679" s="70">
        <v>43580</v>
      </c>
      <c r="C1679" t="s">
        <v>25</v>
      </c>
      <c r="D1679" t="s">
        <v>81</v>
      </c>
      <c r="E1679" t="s">
        <v>173</v>
      </c>
      <c r="F1679" s="71">
        <v>2.7</v>
      </c>
      <c r="G1679" s="71">
        <v>0</v>
      </c>
    </row>
    <row r="1680" spans="2:7" x14ac:dyDescent="0.25">
      <c r="B1680" s="70">
        <v>43580</v>
      </c>
      <c r="C1680" t="s">
        <v>25</v>
      </c>
      <c r="D1680" t="s">
        <v>81</v>
      </c>
      <c r="E1680" t="s">
        <v>207</v>
      </c>
      <c r="F1680" s="71">
        <v>16.399999999999999</v>
      </c>
      <c r="G1680" s="71">
        <v>0</v>
      </c>
    </row>
    <row r="1681" spans="2:7" x14ac:dyDescent="0.25">
      <c r="B1681" s="70">
        <v>43580</v>
      </c>
      <c r="C1681" t="s">
        <v>25</v>
      </c>
      <c r="D1681" t="s">
        <v>81</v>
      </c>
      <c r="E1681" t="s">
        <v>135</v>
      </c>
      <c r="F1681" s="71">
        <v>2.4</v>
      </c>
      <c r="G1681" s="71">
        <v>0</v>
      </c>
    </row>
    <row r="1682" spans="2:7" x14ac:dyDescent="0.25">
      <c r="B1682" s="70">
        <v>43580</v>
      </c>
      <c r="C1682" t="s">
        <v>25</v>
      </c>
      <c r="D1682" t="s">
        <v>81</v>
      </c>
      <c r="E1682" t="s">
        <v>213</v>
      </c>
      <c r="F1682" s="71">
        <v>50</v>
      </c>
      <c r="G1682" s="71">
        <v>0</v>
      </c>
    </row>
    <row r="1683" spans="2:7" x14ac:dyDescent="0.25">
      <c r="B1683" s="70">
        <v>43580</v>
      </c>
      <c r="C1683" t="s">
        <v>25</v>
      </c>
      <c r="D1683" t="s">
        <v>81</v>
      </c>
      <c r="E1683" t="s">
        <v>164</v>
      </c>
      <c r="F1683" s="71">
        <v>8</v>
      </c>
      <c r="G1683" s="71">
        <v>0</v>
      </c>
    </row>
    <row r="1684" spans="2:7" x14ac:dyDescent="0.25">
      <c r="B1684" s="70">
        <v>43580</v>
      </c>
      <c r="C1684" t="s">
        <v>25</v>
      </c>
      <c r="D1684" t="s">
        <v>81</v>
      </c>
      <c r="E1684" t="s">
        <v>217</v>
      </c>
      <c r="F1684" s="71">
        <v>2.7</v>
      </c>
      <c r="G1684" s="71">
        <v>0</v>
      </c>
    </row>
    <row r="1685" spans="2:7" x14ac:dyDescent="0.25">
      <c r="B1685" s="70">
        <v>43580</v>
      </c>
      <c r="C1685" t="s">
        <v>25</v>
      </c>
      <c r="D1685" t="s">
        <v>81</v>
      </c>
      <c r="E1685" t="s">
        <v>237</v>
      </c>
      <c r="F1685" s="71">
        <v>8.4</v>
      </c>
      <c r="G1685" s="71">
        <v>0</v>
      </c>
    </row>
    <row r="1686" spans="2:7" x14ac:dyDescent="0.25">
      <c r="B1686" s="70">
        <v>43580</v>
      </c>
      <c r="C1686" t="s">
        <v>25</v>
      </c>
      <c r="D1686" t="s">
        <v>104</v>
      </c>
      <c r="E1686" t="s">
        <v>287</v>
      </c>
      <c r="F1686" s="71">
        <v>30.08</v>
      </c>
      <c r="G1686" s="71">
        <v>0</v>
      </c>
    </row>
    <row r="1687" spans="2:7" x14ac:dyDescent="0.25">
      <c r="B1687" s="70">
        <v>43580</v>
      </c>
      <c r="C1687" t="s">
        <v>25</v>
      </c>
      <c r="D1687" t="s">
        <v>104</v>
      </c>
      <c r="E1687" t="s">
        <v>287</v>
      </c>
      <c r="F1687" s="71">
        <v>38.03</v>
      </c>
      <c r="G1687" s="71">
        <v>0</v>
      </c>
    </row>
    <row r="1688" spans="2:7" x14ac:dyDescent="0.25">
      <c r="B1688" s="70">
        <v>43580</v>
      </c>
      <c r="C1688" t="s">
        <v>25</v>
      </c>
      <c r="D1688" t="s">
        <v>104</v>
      </c>
      <c r="E1688" t="s">
        <v>287</v>
      </c>
      <c r="F1688" s="71">
        <v>47.78</v>
      </c>
      <c r="G1688" s="71">
        <v>0</v>
      </c>
    </row>
    <row r="1689" spans="2:7" x14ac:dyDescent="0.25">
      <c r="B1689" s="70">
        <v>43580</v>
      </c>
      <c r="C1689" t="s">
        <v>25</v>
      </c>
      <c r="D1689" t="s">
        <v>104</v>
      </c>
      <c r="E1689" t="s">
        <v>287</v>
      </c>
      <c r="F1689" s="71">
        <v>88.18</v>
      </c>
      <c r="G1689" s="71">
        <v>0</v>
      </c>
    </row>
    <row r="1690" spans="2:7" x14ac:dyDescent="0.25">
      <c r="B1690" s="70">
        <v>43580</v>
      </c>
      <c r="C1690" t="s">
        <v>25</v>
      </c>
      <c r="D1690" t="s">
        <v>104</v>
      </c>
      <c r="E1690" t="s">
        <v>287</v>
      </c>
      <c r="F1690" s="71">
        <v>138.09</v>
      </c>
      <c r="G1690" s="71">
        <v>0</v>
      </c>
    </row>
    <row r="1691" spans="2:7" x14ac:dyDescent="0.25">
      <c r="B1691" s="70">
        <v>43580</v>
      </c>
      <c r="C1691" t="s">
        <v>54</v>
      </c>
      <c r="D1691" t="s">
        <v>79</v>
      </c>
      <c r="E1691" t="s">
        <v>286</v>
      </c>
      <c r="F1691" s="71">
        <v>129.9</v>
      </c>
      <c r="G1691" s="71">
        <v>0</v>
      </c>
    </row>
    <row r="1692" spans="2:7" x14ac:dyDescent="0.25">
      <c r="B1692" s="70">
        <v>43580</v>
      </c>
      <c r="C1692" t="s">
        <v>54</v>
      </c>
      <c r="D1692" t="s">
        <v>104</v>
      </c>
      <c r="E1692" t="s">
        <v>287</v>
      </c>
      <c r="F1692" s="71">
        <v>1738.68</v>
      </c>
      <c r="G1692" s="71">
        <v>0</v>
      </c>
    </row>
    <row r="1693" spans="2:7" x14ac:dyDescent="0.25">
      <c r="B1693" s="70">
        <v>43580</v>
      </c>
      <c r="C1693" t="s">
        <v>56</v>
      </c>
      <c r="D1693" t="s">
        <v>84</v>
      </c>
      <c r="E1693" t="s">
        <v>286</v>
      </c>
      <c r="F1693" s="71">
        <v>44.22</v>
      </c>
      <c r="G1693" s="71">
        <v>0</v>
      </c>
    </row>
    <row r="1694" spans="2:7" x14ac:dyDescent="0.25">
      <c r="B1694" s="70">
        <v>43580</v>
      </c>
      <c r="C1694" t="s">
        <v>47</v>
      </c>
      <c r="D1694" t="s">
        <v>87</v>
      </c>
      <c r="E1694" t="s">
        <v>286</v>
      </c>
      <c r="F1694" s="71">
        <v>17</v>
      </c>
      <c r="G1694" s="71">
        <v>0</v>
      </c>
    </row>
    <row r="1695" spans="2:7" x14ac:dyDescent="0.25">
      <c r="B1695" s="70">
        <v>43580</v>
      </c>
      <c r="C1695" t="s">
        <v>47</v>
      </c>
      <c r="D1695" t="s">
        <v>86</v>
      </c>
      <c r="E1695" t="s">
        <v>286</v>
      </c>
      <c r="F1695" s="71">
        <v>398.73</v>
      </c>
      <c r="G1695" s="71">
        <v>0</v>
      </c>
    </row>
    <row r="1696" spans="2:7" x14ac:dyDescent="0.25">
      <c r="B1696" s="70">
        <v>43580</v>
      </c>
      <c r="C1696" t="s">
        <v>21</v>
      </c>
      <c r="D1696" t="s">
        <v>79</v>
      </c>
      <c r="E1696" t="s">
        <v>286</v>
      </c>
      <c r="F1696" s="71">
        <v>8</v>
      </c>
      <c r="G1696" s="71">
        <v>0</v>
      </c>
    </row>
    <row r="1697" spans="2:7" x14ac:dyDescent="0.25">
      <c r="B1697" s="70">
        <v>43580</v>
      </c>
      <c r="C1697" t="s">
        <v>21</v>
      </c>
      <c r="D1697" t="s">
        <v>79</v>
      </c>
      <c r="E1697" t="s">
        <v>286</v>
      </c>
      <c r="F1697" s="71">
        <v>16</v>
      </c>
      <c r="G1697" s="71">
        <v>0</v>
      </c>
    </row>
    <row r="1698" spans="2:7" x14ac:dyDescent="0.25">
      <c r="B1698" s="70">
        <v>43580</v>
      </c>
      <c r="C1698" t="s">
        <v>21</v>
      </c>
      <c r="D1698" t="s">
        <v>79</v>
      </c>
      <c r="E1698" t="s">
        <v>286</v>
      </c>
      <c r="F1698" s="71">
        <v>32</v>
      </c>
      <c r="G1698" s="71">
        <v>0</v>
      </c>
    </row>
    <row r="1699" spans="2:7" x14ac:dyDescent="0.25">
      <c r="B1699" s="70">
        <v>43580</v>
      </c>
      <c r="C1699" t="s">
        <v>21</v>
      </c>
      <c r="D1699" t="s">
        <v>79</v>
      </c>
      <c r="E1699" t="s">
        <v>286</v>
      </c>
      <c r="F1699" s="71">
        <v>48</v>
      </c>
      <c r="G1699" s="71">
        <v>0</v>
      </c>
    </row>
    <row r="1700" spans="2:7" x14ac:dyDescent="0.25">
      <c r="B1700" s="70">
        <v>43580</v>
      </c>
      <c r="C1700" t="s">
        <v>21</v>
      </c>
      <c r="D1700" t="s">
        <v>104</v>
      </c>
      <c r="E1700" t="s">
        <v>287</v>
      </c>
      <c r="F1700" s="71">
        <v>7.42</v>
      </c>
      <c r="G1700" s="71">
        <v>0</v>
      </c>
    </row>
    <row r="1701" spans="2:7" x14ac:dyDescent="0.25">
      <c r="B1701" s="70">
        <v>43580</v>
      </c>
      <c r="C1701" t="s">
        <v>21</v>
      </c>
      <c r="D1701" t="s">
        <v>104</v>
      </c>
      <c r="E1701" t="s">
        <v>287</v>
      </c>
      <c r="F1701" s="71">
        <v>13.32</v>
      </c>
      <c r="G1701" s="71">
        <v>0</v>
      </c>
    </row>
    <row r="1702" spans="2:7" x14ac:dyDescent="0.25">
      <c r="B1702" s="70">
        <v>43580</v>
      </c>
      <c r="C1702" t="s">
        <v>21</v>
      </c>
      <c r="D1702" t="s">
        <v>104</v>
      </c>
      <c r="E1702" t="s">
        <v>287</v>
      </c>
      <c r="F1702" s="71">
        <v>13.77</v>
      </c>
      <c r="G1702" s="71">
        <v>0</v>
      </c>
    </row>
    <row r="1703" spans="2:7" x14ac:dyDescent="0.25">
      <c r="B1703" s="70">
        <v>43580</v>
      </c>
      <c r="C1703" t="s">
        <v>21</v>
      </c>
      <c r="D1703" t="s">
        <v>104</v>
      </c>
      <c r="E1703" t="s">
        <v>287</v>
      </c>
      <c r="F1703" s="71">
        <v>20.239999999999998</v>
      </c>
      <c r="G1703" s="71">
        <v>0</v>
      </c>
    </row>
    <row r="1704" spans="2:7" x14ac:dyDescent="0.25">
      <c r="B1704" s="70">
        <v>43580</v>
      </c>
      <c r="C1704" t="s">
        <v>21</v>
      </c>
      <c r="D1704" t="s">
        <v>104</v>
      </c>
      <c r="E1704" t="s">
        <v>287</v>
      </c>
      <c r="F1704" s="71">
        <v>23.39</v>
      </c>
      <c r="G1704" s="71">
        <v>0</v>
      </c>
    </row>
    <row r="1705" spans="2:7" x14ac:dyDescent="0.25">
      <c r="B1705" s="70">
        <v>43580</v>
      </c>
      <c r="C1705" t="s">
        <v>21</v>
      </c>
      <c r="D1705" t="s">
        <v>104</v>
      </c>
      <c r="E1705" t="s">
        <v>287</v>
      </c>
      <c r="F1705" s="71">
        <v>45.98</v>
      </c>
      <c r="G1705" s="71">
        <v>0</v>
      </c>
    </row>
    <row r="1706" spans="2:7" x14ac:dyDescent="0.25">
      <c r="B1706" s="70">
        <v>43580</v>
      </c>
      <c r="C1706" t="s">
        <v>21</v>
      </c>
      <c r="D1706" t="s">
        <v>104</v>
      </c>
      <c r="E1706" t="s">
        <v>287</v>
      </c>
      <c r="F1706" s="71">
        <v>50.11</v>
      </c>
      <c r="G1706" s="71">
        <v>0</v>
      </c>
    </row>
    <row r="1707" spans="2:7" x14ac:dyDescent="0.25">
      <c r="B1707" s="70">
        <v>43580</v>
      </c>
      <c r="C1707" t="s">
        <v>21</v>
      </c>
      <c r="D1707" t="s">
        <v>104</v>
      </c>
      <c r="E1707" t="s">
        <v>287</v>
      </c>
      <c r="F1707" s="71">
        <v>56.89</v>
      </c>
      <c r="G1707" s="71">
        <v>0</v>
      </c>
    </row>
    <row r="1708" spans="2:7" x14ac:dyDescent="0.25">
      <c r="B1708" s="70">
        <v>43580</v>
      </c>
      <c r="C1708" t="s">
        <v>21</v>
      </c>
      <c r="D1708" t="s">
        <v>104</v>
      </c>
      <c r="E1708" t="s">
        <v>287</v>
      </c>
      <c r="F1708" s="71">
        <v>59.35</v>
      </c>
      <c r="G1708" s="71">
        <v>0</v>
      </c>
    </row>
    <row r="1709" spans="2:7" x14ac:dyDescent="0.25">
      <c r="B1709" s="70">
        <v>43580</v>
      </c>
      <c r="C1709" t="s">
        <v>21</v>
      </c>
      <c r="D1709" t="s">
        <v>104</v>
      </c>
      <c r="E1709" t="s">
        <v>287</v>
      </c>
      <c r="F1709" s="71">
        <v>63.22</v>
      </c>
      <c r="G1709" s="71">
        <v>0</v>
      </c>
    </row>
    <row r="1710" spans="2:7" x14ac:dyDescent="0.25">
      <c r="B1710" s="70">
        <v>43580</v>
      </c>
      <c r="C1710" t="s">
        <v>21</v>
      </c>
      <c r="D1710" t="s">
        <v>104</v>
      </c>
      <c r="E1710" t="s">
        <v>287</v>
      </c>
      <c r="F1710" s="71">
        <v>72.31</v>
      </c>
      <c r="G1710" s="71">
        <v>0</v>
      </c>
    </row>
    <row r="1711" spans="2:7" x14ac:dyDescent="0.25">
      <c r="B1711" s="70">
        <v>43580</v>
      </c>
      <c r="C1711" t="s">
        <v>21</v>
      </c>
      <c r="D1711" t="s">
        <v>104</v>
      </c>
      <c r="E1711" t="s">
        <v>287</v>
      </c>
      <c r="F1711" s="71">
        <v>80.13</v>
      </c>
      <c r="G1711" s="71">
        <v>0</v>
      </c>
    </row>
    <row r="1712" spans="2:7" x14ac:dyDescent="0.25">
      <c r="B1712" s="70">
        <v>43580</v>
      </c>
      <c r="C1712" t="s">
        <v>21</v>
      </c>
      <c r="D1712" t="s">
        <v>104</v>
      </c>
      <c r="E1712" t="s">
        <v>287</v>
      </c>
      <c r="F1712" s="71">
        <v>82.01</v>
      </c>
      <c r="G1712" s="71">
        <v>0</v>
      </c>
    </row>
    <row r="1713" spans="2:7" x14ac:dyDescent="0.25">
      <c r="B1713" s="70">
        <v>43580</v>
      </c>
      <c r="C1713" t="s">
        <v>21</v>
      </c>
      <c r="D1713" t="s">
        <v>104</v>
      </c>
      <c r="E1713" t="s">
        <v>287</v>
      </c>
      <c r="F1713" s="71">
        <v>83.16</v>
      </c>
      <c r="G1713" s="71">
        <v>0</v>
      </c>
    </row>
    <row r="1714" spans="2:7" x14ac:dyDescent="0.25">
      <c r="B1714" s="70">
        <v>43580</v>
      </c>
      <c r="C1714" t="s">
        <v>21</v>
      </c>
      <c r="D1714" t="s">
        <v>104</v>
      </c>
      <c r="E1714" t="s">
        <v>287</v>
      </c>
      <c r="F1714" s="71">
        <v>112.93</v>
      </c>
      <c r="G1714" s="71">
        <v>0</v>
      </c>
    </row>
    <row r="1715" spans="2:7" x14ac:dyDescent="0.25">
      <c r="B1715" s="70">
        <v>43580</v>
      </c>
      <c r="C1715" t="s">
        <v>21</v>
      </c>
      <c r="D1715" t="s">
        <v>104</v>
      </c>
      <c r="E1715" t="s">
        <v>287</v>
      </c>
      <c r="F1715" s="71">
        <v>138.5</v>
      </c>
      <c r="G1715" s="71">
        <v>0</v>
      </c>
    </row>
    <row r="1716" spans="2:7" x14ac:dyDescent="0.25">
      <c r="B1716" s="70">
        <v>43580</v>
      </c>
      <c r="C1716" t="s">
        <v>21</v>
      </c>
      <c r="D1716" t="s">
        <v>104</v>
      </c>
      <c r="E1716" t="s">
        <v>287</v>
      </c>
      <c r="F1716" s="71">
        <v>149.43</v>
      </c>
      <c r="G1716" s="71">
        <v>0</v>
      </c>
    </row>
    <row r="1717" spans="2:7" x14ac:dyDescent="0.25">
      <c r="B1717" s="70">
        <v>43580</v>
      </c>
      <c r="C1717" t="s">
        <v>21</v>
      </c>
      <c r="D1717" t="s">
        <v>104</v>
      </c>
      <c r="E1717" t="s">
        <v>287</v>
      </c>
      <c r="F1717" s="71">
        <v>168.11</v>
      </c>
      <c r="G1717" s="71">
        <v>0</v>
      </c>
    </row>
    <row r="1718" spans="2:7" x14ac:dyDescent="0.25">
      <c r="B1718" s="70">
        <v>43580</v>
      </c>
      <c r="C1718" t="s">
        <v>21</v>
      </c>
      <c r="D1718" t="s">
        <v>104</v>
      </c>
      <c r="E1718" t="s">
        <v>287</v>
      </c>
      <c r="F1718" s="71">
        <v>204.36</v>
      </c>
      <c r="G1718" s="71">
        <v>0</v>
      </c>
    </row>
    <row r="1719" spans="2:7" x14ac:dyDescent="0.25">
      <c r="B1719" s="70">
        <v>43580</v>
      </c>
      <c r="C1719" t="s">
        <v>21</v>
      </c>
      <c r="D1719" t="s">
        <v>104</v>
      </c>
      <c r="E1719" t="s">
        <v>287</v>
      </c>
      <c r="F1719" s="71">
        <v>233.45</v>
      </c>
      <c r="G1719" s="71">
        <v>0</v>
      </c>
    </row>
    <row r="1720" spans="2:7" x14ac:dyDescent="0.25">
      <c r="B1720" s="70">
        <v>43580</v>
      </c>
      <c r="C1720" t="s">
        <v>21</v>
      </c>
      <c r="D1720" t="s">
        <v>104</v>
      </c>
      <c r="E1720" t="s">
        <v>287</v>
      </c>
      <c r="F1720" s="71">
        <v>290.17</v>
      </c>
      <c r="G1720" s="71">
        <v>0</v>
      </c>
    </row>
    <row r="1721" spans="2:7" x14ac:dyDescent="0.25">
      <c r="B1721" s="70">
        <v>43580</v>
      </c>
      <c r="C1721" t="s">
        <v>21</v>
      </c>
      <c r="D1721" t="s">
        <v>104</v>
      </c>
      <c r="E1721" t="s">
        <v>287</v>
      </c>
      <c r="F1721" s="71">
        <v>321.02999999999997</v>
      </c>
      <c r="G1721" s="71">
        <v>0</v>
      </c>
    </row>
    <row r="1722" spans="2:7" x14ac:dyDescent="0.25">
      <c r="B1722" s="70">
        <v>43580</v>
      </c>
      <c r="C1722" t="s">
        <v>21</v>
      </c>
      <c r="D1722" t="s">
        <v>104</v>
      </c>
      <c r="E1722" t="s">
        <v>287</v>
      </c>
      <c r="F1722" s="71">
        <v>330.37</v>
      </c>
      <c r="G1722" s="71">
        <v>0</v>
      </c>
    </row>
    <row r="1723" spans="2:7" x14ac:dyDescent="0.25">
      <c r="B1723" s="70">
        <v>43580</v>
      </c>
      <c r="C1723" t="s">
        <v>21</v>
      </c>
      <c r="D1723" t="s">
        <v>104</v>
      </c>
      <c r="E1723" t="s">
        <v>287</v>
      </c>
      <c r="F1723" s="71">
        <v>379.26</v>
      </c>
      <c r="G1723" s="71">
        <v>0</v>
      </c>
    </row>
    <row r="1724" spans="2:7" x14ac:dyDescent="0.25">
      <c r="B1724" s="70">
        <v>43580</v>
      </c>
      <c r="C1724" t="s">
        <v>21</v>
      </c>
      <c r="D1724" t="s">
        <v>104</v>
      </c>
      <c r="E1724" t="s">
        <v>287</v>
      </c>
      <c r="F1724" s="71">
        <v>384.42</v>
      </c>
      <c r="G1724" s="71">
        <v>0</v>
      </c>
    </row>
    <row r="1725" spans="2:7" x14ac:dyDescent="0.25">
      <c r="B1725" s="70">
        <v>43580</v>
      </c>
      <c r="C1725" t="s">
        <v>21</v>
      </c>
      <c r="D1725" t="s">
        <v>104</v>
      </c>
      <c r="E1725" t="s">
        <v>287</v>
      </c>
      <c r="F1725" s="71">
        <v>391.03</v>
      </c>
      <c r="G1725" s="71">
        <v>0</v>
      </c>
    </row>
    <row r="1726" spans="2:7" x14ac:dyDescent="0.25">
      <c r="B1726" s="70">
        <v>43580</v>
      </c>
      <c r="C1726" t="s">
        <v>21</v>
      </c>
      <c r="D1726" t="s">
        <v>104</v>
      </c>
      <c r="E1726" t="s">
        <v>287</v>
      </c>
      <c r="F1726" s="71">
        <v>396.19</v>
      </c>
      <c r="G1726" s="71">
        <v>0</v>
      </c>
    </row>
    <row r="1727" spans="2:7" x14ac:dyDescent="0.25">
      <c r="B1727" s="70">
        <v>43580</v>
      </c>
      <c r="C1727" t="s">
        <v>21</v>
      </c>
      <c r="D1727" t="s">
        <v>104</v>
      </c>
      <c r="E1727" t="s">
        <v>287</v>
      </c>
      <c r="F1727" s="71">
        <v>427.96</v>
      </c>
      <c r="G1727" s="71">
        <v>0</v>
      </c>
    </row>
    <row r="1728" spans="2:7" x14ac:dyDescent="0.25">
      <c r="B1728" s="70">
        <v>43580</v>
      </c>
      <c r="C1728" t="s">
        <v>21</v>
      </c>
      <c r="D1728" t="s">
        <v>104</v>
      </c>
      <c r="E1728" t="s">
        <v>287</v>
      </c>
      <c r="F1728" s="71">
        <v>430.92</v>
      </c>
      <c r="G1728" s="71">
        <v>0</v>
      </c>
    </row>
    <row r="1729" spans="2:7" x14ac:dyDescent="0.25">
      <c r="B1729" s="70">
        <v>43580</v>
      </c>
      <c r="C1729" t="s">
        <v>21</v>
      </c>
      <c r="D1729" t="s">
        <v>104</v>
      </c>
      <c r="E1729" t="s">
        <v>287</v>
      </c>
      <c r="F1729" s="71">
        <v>486.85</v>
      </c>
      <c r="G1729" s="71">
        <v>0</v>
      </c>
    </row>
    <row r="1730" spans="2:7" x14ac:dyDescent="0.25">
      <c r="B1730" s="70">
        <v>43580</v>
      </c>
      <c r="C1730" t="s">
        <v>21</v>
      </c>
      <c r="D1730" t="s">
        <v>104</v>
      </c>
      <c r="E1730" t="s">
        <v>287</v>
      </c>
      <c r="F1730" s="71">
        <v>504.84</v>
      </c>
      <c r="G1730" s="71">
        <v>0</v>
      </c>
    </row>
    <row r="1731" spans="2:7" x14ac:dyDescent="0.25">
      <c r="B1731" s="70">
        <v>43580</v>
      </c>
      <c r="C1731" t="s">
        <v>21</v>
      </c>
      <c r="D1731" t="s">
        <v>104</v>
      </c>
      <c r="E1731" t="s">
        <v>287</v>
      </c>
      <c r="F1731" s="71">
        <v>539.51</v>
      </c>
      <c r="G1731" s="71">
        <v>0</v>
      </c>
    </row>
    <row r="1732" spans="2:7" x14ac:dyDescent="0.25">
      <c r="B1732" s="70">
        <v>43580</v>
      </c>
      <c r="C1732" t="s">
        <v>21</v>
      </c>
      <c r="D1732" t="s">
        <v>104</v>
      </c>
      <c r="E1732" t="s">
        <v>287</v>
      </c>
      <c r="F1732" s="71">
        <v>618.82000000000005</v>
      </c>
      <c r="G1732" s="71">
        <v>0</v>
      </c>
    </row>
    <row r="1733" spans="2:7" x14ac:dyDescent="0.25">
      <c r="B1733" s="70">
        <v>43580</v>
      </c>
      <c r="C1733" t="s">
        <v>21</v>
      </c>
      <c r="D1733" t="s">
        <v>104</v>
      </c>
      <c r="E1733" t="s">
        <v>287</v>
      </c>
      <c r="F1733" s="71">
        <v>644.11</v>
      </c>
      <c r="G1733" s="71">
        <v>0</v>
      </c>
    </row>
    <row r="1734" spans="2:7" x14ac:dyDescent="0.25">
      <c r="B1734" s="70">
        <v>43580</v>
      </c>
      <c r="C1734" t="s">
        <v>66</v>
      </c>
      <c r="D1734" t="s">
        <v>84</v>
      </c>
      <c r="E1734" t="s">
        <v>286</v>
      </c>
      <c r="F1734" s="71">
        <v>26.2</v>
      </c>
      <c r="G1734" s="71">
        <v>0</v>
      </c>
    </row>
    <row r="1735" spans="2:7" x14ac:dyDescent="0.25">
      <c r="B1735" s="70">
        <v>43580</v>
      </c>
      <c r="C1735" t="s">
        <v>48</v>
      </c>
      <c r="D1735" t="s">
        <v>104</v>
      </c>
      <c r="E1735" t="s">
        <v>287</v>
      </c>
      <c r="F1735" s="71">
        <v>10767.85</v>
      </c>
      <c r="G1735" s="71">
        <v>0</v>
      </c>
    </row>
    <row r="1736" spans="2:7" x14ac:dyDescent="0.25">
      <c r="B1736" s="70">
        <v>43580</v>
      </c>
      <c r="C1736" t="s">
        <v>55</v>
      </c>
      <c r="D1736" t="s">
        <v>104</v>
      </c>
      <c r="E1736" t="s">
        <v>287</v>
      </c>
      <c r="F1736" s="71">
        <v>49.9</v>
      </c>
      <c r="G1736" s="71">
        <v>0</v>
      </c>
    </row>
    <row r="1737" spans="2:7" x14ac:dyDescent="0.25">
      <c r="B1737" s="70">
        <v>43580</v>
      </c>
      <c r="C1737" t="s">
        <v>49</v>
      </c>
      <c r="D1737" t="s">
        <v>104</v>
      </c>
      <c r="E1737" t="s">
        <v>287</v>
      </c>
      <c r="F1737" s="71">
        <v>537.95000000000005</v>
      </c>
      <c r="G1737" s="71">
        <v>0</v>
      </c>
    </row>
    <row r="1738" spans="2:7" x14ac:dyDescent="0.25">
      <c r="B1738" s="70">
        <v>43580</v>
      </c>
      <c r="C1738" t="s">
        <v>50</v>
      </c>
      <c r="D1738" t="s">
        <v>104</v>
      </c>
      <c r="E1738" t="s">
        <v>287</v>
      </c>
      <c r="F1738" s="71">
        <v>2256.5</v>
      </c>
      <c r="G1738" s="71">
        <v>0</v>
      </c>
    </row>
    <row r="1739" spans="2:7" x14ac:dyDescent="0.25">
      <c r="B1739" s="70">
        <v>43580</v>
      </c>
      <c r="C1739" t="s">
        <v>52</v>
      </c>
      <c r="D1739" t="s">
        <v>104</v>
      </c>
      <c r="E1739" t="s">
        <v>287</v>
      </c>
      <c r="F1739" s="71">
        <v>518.6</v>
      </c>
      <c r="G1739" s="71">
        <v>0</v>
      </c>
    </row>
    <row r="1740" spans="2:7" x14ac:dyDescent="0.25">
      <c r="B1740" s="70">
        <v>43580</v>
      </c>
      <c r="C1740" t="s">
        <v>58</v>
      </c>
      <c r="D1740" t="s">
        <v>104</v>
      </c>
      <c r="E1740" t="s">
        <v>287</v>
      </c>
      <c r="F1740" s="71">
        <v>13.02</v>
      </c>
      <c r="G1740" s="71">
        <v>0</v>
      </c>
    </row>
    <row r="1741" spans="2:7" x14ac:dyDescent="0.25">
      <c r="B1741" s="70">
        <v>43580</v>
      </c>
      <c r="C1741" t="s">
        <v>53</v>
      </c>
      <c r="D1741" t="s">
        <v>104</v>
      </c>
      <c r="E1741" t="s">
        <v>287</v>
      </c>
      <c r="F1741" s="71">
        <v>181.36</v>
      </c>
      <c r="G1741" s="71">
        <v>0</v>
      </c>
    </row>
    <row r="1742" spans="2:7" x14ac:dyDescent="0.25">
      <c r="B1742" s="70">
        <v>43580</v>
      </c>
      <c r="C1742" t="s">
        <v>71</v>
      </c>
      <c r="D1742" t="s">
        <v>86</v>
      </c>
      <c r="E1742" t="s">
        <v>286</v>
      </c>
      <c r="F1742" s="71">
        <v>393.28</v>
      </c>
      <c r="G1742" s="71">
        <v>0</v>
      </c>
    </row>
    <row r="1743" spans="2:7" x14ac:dyDescent="0.25">
      <c r="B1743" s="70">
        <v>43580</v>
      </c>
      <c r="C1743" t="s">
        <v>24</v>
      </c>
      <c r="D1743" t="s">
        <v>79</v>
      </c>
      <c r="E1743" t="s">
        <v>286</v>
      </c>
      <c r="F1743" s="71">
        <v>8</v>
      </c>
      <c r="G1743" s="71">
        <v>0</v>
      </c>
    </row>
    <row r="1744" spans="2:7" x14ac:dyDescent="0.25">
      <c r="B1744" s="70">
        <v>43580</v>
      </c>
      <c r="C1744" t="s">
        <v>24</v>
      </c>
      <c r="D1744" t="s">
        <v>79</v>
      </c>
      <c r="E1744" t="s">
        <v>286</v>
      </c>
      <c r="F1744" s="71">
        <v>32</v>
      </c>
      <c r="G1744" s="71">
        <v>0</v>
      </c>
    </row>
    <row r="1745" spans="2:7" x14ac:dyDescent="0.25">
      <c r="B1745" s="70">
        <v>43580</v>
      </c>
      <c r="C1745" t="s">
        <v>24</v>
      </c>
      <c r="D1745" t="s">
        <v>104</v>
      </c>
      <c r="E1745" t="s">
        <v>287</v>
      </c>
      <c r="F1745" s="71">
        <v>9.89</v>
      </c>
      <c r="G1745" s="71">
        <v>0</v>
      </c>
    </row>
    <row r="1746" spans="2:7" x14ac:dyDescent="0.25">
      <c r="B1746" s="70">
        <v>43580</v>
      </c>
      <c r="C1746" t="s">
        <v>24</v>
      </c>
      <c r="D1746" t="s">
        <v>104</v>
      </c>
      <c r="E1746" t="s">
        <v>287</v>
      </c>
      <c r="F1746" s="71">
        <v>16.88</v>
      </c>
      <c r="G1746" s="71">
        <v>0</v>
      </c>
    </row>
    <row r="1747" spans="2:7" x14ac:dyDescent="0.25">
      <c r="B1747" s="70">
        <v>43580</v>
      </c>
      <c r="C1747" t="s">
        <v>24</v>
      </c>
      <c r="D1747" t="s">
        <v>104</v>
      </c>
      <c r="E1747" t="s">
        <v>287</v>
      </c>
      <c r="F1747" s="71">
        <v>21.92</v>
      </c>
      <c r="G1747" s="71">
        <v>0</v>
      </c>
    </row>
    <row r="1748" spans="2:7" x14ac:dyDescent="0.25">
      <c r="B1748" s="70">
        <v>43580</v>
      </c>
      <c r="C1748" t="s">
        <v>24</v>
      </c>
      <c r="D1748" t="s">
        <v>104</v>
      </c>
      <c r="E1748" t="s">
        <v>287</v>
      </c>
      <c r="F1748" s="71">
        <v>25.11</v>
      </c>
      <c r="G1748" s="71">
        <v>0</v>
      </c>
    </row>
    <row r="1749" spans="2:7" x14ac:dyDescent="0.25">
      <c r="B1749" s="70">
        <v>43580</v>
      </c>
      <c r="C1749" t="s">
        <v>24</v>
      </c>
      <c r="D1749" t="s">
        <v>104</v>
      </c>
      <c r="E1749" t="s">
        <v>287</v>
      </c>
      <c r="F1749" s="71">
        <v>26.38</v>
      </c>
      <c r="G1749" s="71">
        <v>0</v>
      </c>
    </row>
    <row r="1750" spans="2:7" x14ac:dyDescent="0.25">
      <c r="B1750" s="70">
        <v>43580</v>
      </c>
      <c r="C1750" t="s">
        <v>24</v>
      </c>
      <c r="D1750" t="s">
        <v>104</v>
      </c>
      <c r="E1750" t="s">
        <v>287</v>
      </c>
      <c r="F1750" s="71">
        <v>29.35</v>
      </c>
      <c r="G1750" s="71">
        <v>0</v>
      </c>
    </row>
    <row r="1751" spans="2:7" x14ac:dyDescent="0.25">
      <c r="B1751" s="70">
        <v>43580</v>
      </c>
      <c r="C1751" t="s">
        <v>24</v>
      </c>
      <c r="D1751" t="s">
        <v>104</v>
      </c>
      <c r="E1751" t="s">
        <v>287</v>
      </c>
      <c r="F1751" s="71">
        <v>33.229999999999997</v>
      </c>
      <c r="G1751" s="71">
        <v>0</v>
      </c>
    </row>
    <row r="1752" spans="2:7" x14ac:dyDescent="0.25">
      <c r="B1752" s="70">
        <v>43580</v>
      </c>
      <c r="C1752" t="s">
        <v>24</v>
      </c>
      <c r="D1752" t="s">
        <v>104</v>
      </c>
      <c r="E1752" t="s">
        <v>287</v>
      </c>
      <c r="F1752" s="71">
        <v>46.57</v>
      </c>
      <c r="G1752" s="71">
        <v>0</v>
      </c>
    </row>
    <row r="1753" spans="2:7" x14ac:dyDescent="0.25">
      <c r="B1753" s="70">
        <v>43580</v>
      </c>
      <c r="C1753" t="s">
        <v>24</v>
      </c>
      <c r="D1753" t="s">
        <v>104</v>
      </c>
      <c r="E1753" t="s">
        <v>287</v>
      </c>
      <c r="F1753" s="71">
        <v>48.4</v>
      </c>
      <c r="G1753" s="71">
        <v>0</v>
      </c>
    </row>
    <row r="1754" spans="2:7" x14ac:dyDescent="0.25">
      <c r="B1754" s="70">
        <v>43580</v>
      </c>
      <c r="C1754" t="s">
        <v>24</v>
      </c>
      <c r="D1754" t="s">
        <v>104</v>
      </c>
      <c r="E1754" t="s">
        <v>287</v>
      </c>
      <c r="F1754" s="71">
        <v>61.3</v>
      </c>
      <c r="G1754" s="71">
        <v>0</v>
      </c>
    </row>
    <row r="1755" spans="2:7" x14ac:dyDescent="0.25">
      <c r="B1755" s="70">
        <v>43580</v>
      </c>
      <c r="C1755" t="s">
        <v>24</v>
      </c>
      <c r="D1755" t="s">
        <v>104</v>
      </c>
      <c r="E1755" t="s">
        <v>287</v>
      </c>
      <c r="F1755" s="71">
        <v>108.33</v>
      </c>
      <c r="G1755" s="71">
        <v>0</v>
      </c>
    </row>
    <row r="1756" spans="2:7" x14ac:dyDescent="0.25">
      <c r="B1756" s="70">
        <v>43580</v>
      </c>
      <c r="C1756" t="s">
        <v>24</v>
      </c>
      <c r="D1756" t="s">
        <v>104</v>
      </c>
      <c r="E1756" t="s">
        <v>287</v>
      </c>
      <c r="F1756" s="71">
        <v>130.63999999999999</v>
      </c>
      <c r="G1756" s="71">
        <v>0</v>
      </c>
    </row>
    <row r="1757" spans="2:7" x14ac:dyDescent="0.25">
      <c r="B1757" s="70">
        <v>43580</v>
      </c>
      <c r="C1757" t="s">
        <v>24</v>
      </c>
      <c r="D1757" t="s">
        <v>104</v>
      </c>
      <c r="E1757" t="s">
        <v>287</v>
      </c>
      <c r="F1757" s="71">
        <v>193.97</v>
      </c>
      <c r="G1757" s="71">
        <v>0</v>
      </c>
    </row>
    <row r="1758" spans="2:7" x14ac:dyDescent="0.25">
      <c r="B1758" s="70">
        <v>43581</v>
      </c>
      <c r="C1758" t="s">
        <v>25</v>
      </c>
      <c r="D1758" t="s">
        <v>79</v>
      </c>
      <c r="E1758" t="s">
        <v>288</v>
      </c>
      <c r="F1758" s="71">
        <v>8</v>
      </c>
      <c r="G1758" s="71">
        <v>0</v>
      </c>
    </row>
    <row r="1759" spans="2:7" x14ac:dyDescent="0.25">
      <c r="B1759" s="70">
        <v>43581</v>
      </c>
      <c r="C1759" t="s">
        <v>25</v>
      </c>
      <c r="D1759" t="s">
        <v>81</v>
      </c>
      <c r="E1759" t="s">
        <v>197</v>
      </c>
      <c r="F1759" s="71">
        <v>5</v>
      </c>
      <c r="G1759" s="71">
        <v>0</v>
      </c>
    </row>
    <row r="1760" spans="2:7" x14ac:dyDescent="0.25">
      <c r="B1760" s="70">
        <v>43581</v>
      </c>
      <c r="C1760" t="s">
        <v>25</v>
      </c>
      <c r="D1760" t="s">
        <v>81</v>
      </c>
      <c r="E1760" t="s">
        <v>122</v>
      </c>
      <c r="F1760" s="71">
        <v>2.25</v>
      </c>
      <c r="G1760" s="71">
        <v>0</v>
      </c>
    </row>
    <row r="1761" spans="2:7" x14ac:dyDescent="0.25">
      <c r="B1761" s="70">
        <v>43581</v>
      </c>
      <c r="C1761" t="s">
        <v>25</v>
      </c>
      <c r="D1761" t="s">
        <v>81</v>
      </c>
      <c r="E1761" t="s">
        <v>275</v>
      </c>
      <c r="F1761" s="71">
        <v>16.399999999999999</v>
      </c>
      <c r="G1761" s="71">
        <v>0</v>
      </c>
    </row>
    <row r="1762" spans="2:7" x14ac:dyDescent="0.25">
      <c r="B1762" s="70">
        <v>43581</v>
      </c>
      <c r="C1762" t="s">
        <v>25</v>
      </c>
      <c r="D1762" t="s">
        <v>81</v>
      </c>
      <c r="E1762" t="s">
        <v>237</v>
      </c>
      <c r="F1762" s="71">
        <v>9.1999999999999993</v>
      </c>
      <c r="G1762" s="71">
        <v>0</v>
      </c>
    </row>
    <row r="1763" spans="2:7" x14ac:dyDescent="0.25">
      <c r="B1763" s="70">
        <v>43581</v>
      </c>
      <c r="C1763" t="s">
        <v>25</v>
      </c>
      <c r="D1763" t="s">
        <v>81</v>
      </c>
      <c r="E1763" t="s">
        <v>247</v>
      </c>
      <c r="F1763">
        <v>9.1999999999999993</v>
      </c>
      <c r="G1763" s="71">
        <v>0</v>
      </c>
    </row>
    <row r="1764" spans="2:7" x14ac:dyDescent="0.25">
      <c r="B1764" s="70">
        <v>43581</v>
      </c>
      <c r="C1764" t="s">
        <v>25</v>
      </c>
      <c r="D1764" t="s">
        <v>84</v>
      </c>
      <c r="E1764" t="s">
        <v>288</v>
      </c>
      <c r="F1764" s="71">
        <v>43.4</v>
      </c>
      <c r="G1764" s="71">
        <v>0</v>
      </c>
    </row>
    <row r="1765" spans="2:7" x14ac:dyDescent="0.25">
      <c r="B1765" s="70">
        <v>43581</v>
      </c>
      <c r="C1765" t="s">
        <v>54</v>
      </c>
      <c r="D1765" t="s">
        <v>86</v>
      </c>
      <c r="E1765" t="s">
        <v>288</v>
      </c>
      <c r="F1765" s="71">
        <v>571.54999999999995</v>
      </c>
      <c r="G1765" s="71">
        <v>0</v>
      </c>
    </row>
    <row r="1766" spans="2:7" x14ac:dyDescent="0.25">
      <c r="B1766" s="70">
        <v>43581</v>
      </c>
      <c r="C1766" t="s">
        <v>46</v>
      </c>
      <c r="D1766" t="s">
        <v>86</v>
      </c>
      <c r="E1766" t="s">
        <v>288</v>
      </c>
      <c r="F1766" s="71">
        <v>143</v>
      </c>
      <c r="G1766" s="71">
        <v>0</v>
      </c>
    </row>
    <row r="1767" spans="2:7" x14ac:dyDescent="0.25">
      <c r="B1767" s="70">
        <v>43581</v>
      </c>
      <c r="C1767" t="s">
        <v>44</v>
      </c>
      <c r="D1767" t="s">
        <v>86</v>
      </c>
      <c r="E1767" t="s">
        <v>288</v>
      </c>
      <c r="F1767" s="71">
        <v>51.8</v>
      </c>
      <c r="G1767" s="71">
        <v>0</v>
      </c>
    </row>
    <row r="1768" spans="2:7" x14ac:dyDescent="0.25">
      <c r="B1768" s="70">
        <v>43581</v>
      </c>
      <c r="C1768" t="s">
        <v>21</v>
      </c>
      <c r="D1768" t="s">
        <v>79</v>
      </c>
      <c r="E1768" t="s">
        <v>288</v>
      </c>
      <c r="F1768" s="71">
        <v>16</v>
      </c>
      <c r="G1768" s="71">
        <v>0</v>
      </c>
    </row>
    <row r="1769" spans="2:7" x14ac:dyDescent="0.25">
      <c r="B1769" s="70">
        <v>43581</v>
      </c>
      <c r="C1769" t="s">
        <v>21</v>
      </c>
      <c r="D1769" t="s">
        <v>79</v>
      </c>
      <c r="E1769" t="s">
        <v>288</v>
      </c>
      <c r="F1769" s="71">
        <v>24</v>
      </c>
      <c r="G1769" s="71">
        <v>0</v>
      </c>
    </row>
    <row r="1770" spans="2:7" x14ac:dyDescent="0.25">
      <c r="B1770" s="70">
        <v>43581</v>
      </c>
      <c r="C1770" t="s">
        <v>48</v>
      </c>
      <c r="D1770" t="s">
        <v>84</v>
      </c>
      <c r="E1770" t="s">
        <v>288</v>
      </c>
      <c r="F1770" s="71">
        <v>88</v>
      </c>
      <c r="G1770" s="71">
        <v>0</v>
      </c>
    </row>
    <row r="1771" spans="2:7" x14ac:dyDescent="0.25">
      <c r="B1771" s="70">
        <v>43581</v>
      </c>
      <c r="C1771" t="s">
        <v>50</v>
      </c>
      <c r="D1771" t="s">
        <v>84</v>
      </c>
      <c r="E1771" t="s">
        <v>288</v>
      </c>
      <c r="F1771" s="71">
        <v>29.3</v>
      </c>
      <c r="G1771" s="71">
        <v>0</v>
      </c>
    </row>
    <row r="1772" spans="2:7" x14ac:dyDescent="0.25">
      <c r="B1772" s="70">
        <v>43581</v>
      </c>
      <c r="C1772" t="s">
        <v>24</v>
      </c>
      <c r="D1772" t="s">
        <v>79</v>
      </c>
      <c r="E1772" t="s">
        <v>288</v>
      </c>
      <c r="F1772" s="71">
        <v>8</v>
      </c>
      <c r="G1772" s="71">
        <v>0</v>
      </c>
    </row>
    <row r="1773" spans="2:7" x14ac:dyDescent="0.25">
      <c r="B1773" s="70">
        <v>43581</v>
      </c>
      <c r="C1773" t="s">
        <v>60</v>
      </c>
      <c r="D1773" t="s">
        <v>86</v>
      </c>
      <c r="E1773" t="s">
        <v>288</v>
      </c>
      <c r="F1773" s="71">
        <v>349.8</v>
      </c>
      <c r="G1773" s="71">
        <v>0</v>
      </c>
    </row>
    <row r="1774" spans="2:7" x14ac:dyDescent="0.25">
      <c r="B1774" s="70">
        <v>43581</v>
      </c>
      <c r="C1774" t="s">
        <v>62</v>
      </c>
      <c r="D1774" t="s">
        <v>86</v>
      </c>
      <c r="E1774" t="s">
        <v>288</v>
      </c>
      <c r="F1774" s="71">
        <v>121.75</v>
      </c>
      <c r="G1774" s="71">
        <v>0</v>
      </c>
    </row>
    <row r="1775" spans="2:7" x14ac:dyDescent="0.25">
      <c r="B1775" s="70">
        <v>43582</v>
      </c>
      <c r="C1775" t="s">
        <v>25</v>
      </c>
      <c r="D1775" t="s">
        <v>81</v>
      </c>
      <c r="E1775" t="s">
        <v>208</v>
      </c>
      <c r="F1775" s="71">
        <v>4.75</v>
      </c>
      <c r="G1775" s="71">
        <v>0</v>
      </c>
    </row>
    <row r="1776" spans="2:7" x14ac:dyDescent="0.25">
      <c r="B1776" s="70">
        <v>43582</v>
      </c>
      <c r="C1776" t="s">
        <v>25</v>
      </c>
      <c r="D1776" t="s">
        <v>81</v>
      </c>
      <c r="E1776" t="s">
        <v>195</v>
      </c>
      <c r="F1776" s="71">
        <v>26</v>
      </c>
      <c r="G1776" s="71">
        <v>0</v>
      </c>
    </row>
    <row r="1777" spans="2:7" x14ac:dyDescent="0.25">
      <c r="B1777" s="70">
        <v>43582</v>
      </c>
      <c r="C1777" t="s">
        <v>25</v>
      </c>
      <c r="D1777" t="s">
        <v>81</v>
      </c>
      <c r="E1777" t="s">
        <v>268</v>
      </c>
      <c r="F1777" s="71">
        <v>6.6</v>
      </c>
      <c r="G1777" s="71">
        <v>0</v>
      </c>
    </row>
    <row r="1778" spans="2:7" x14ac:dyDescent="0.25">
      <c r="B1778" s="70">
        <v>43584</v>
      </c>
      <c r="C1778" t="s">
        <v>25</v>
      </c>
      <c r="D1778" t="s">
        <v>80</v>
      </c>
      <c r="E1778" t="s">
        <v>289</v>
      </c>
      <c r="F1778" s="71">
        <v>32.799999999999997</v>
      </c>
      <c r="G1778" s="71">
        <v>0</v>
      </c>
    </row>
    <row r="1779" spans="2:7" x14ac:dyDescent="0.25">
      <c r="B1779" s="70">
        <v>43584</v>
      </c>
      <c r="C1779" t="s">
        <v>25</v>
      </c>
      <c r="D1779" t="s">
        <v>87</v>
      </c>
      <c r="E1779" t="s">
        <v>289</v>
      </c>
      <c r="F1779" s="71">
        <v>7.47</v>
      </c>
      <c r="G1779" s="71">
        <v>0</v>
      </c>
    </row>
    <row r="1780" spans="2:7" x14ac:dyDescent="0.25">
      <c r="B1780" s="70">
        <v>43584</v>
      </c>
      <c r="C1780" t="s">
        <v>25</v>
      </c>
      <c r="D1780" t="s">
        <v>87</v>
      </c>
      <c r="E1780" t="s">
        <v>289</v>
      </c>
      <c r="F1780" s="71">
        <v>23.85</v>
      </c>
      <c r="G1780" s="71">
        <v>0</v>
      </c>
    </row>
    <row r="1781" spans="2:7" x14ac:dyDescent="0.25">
      <c r="B1781" s="70">
        <v>43584</v>
      </c>
      <c r="C1781" t="s">
        <v>25</v>
      </c>
      <c r="D1781" t="s">
        <v>87</v>
      </c>
      <c r="E1781" t="s">
        <v>289</v>
      </c>
      <c r="F1781" s="71">
        <v>24.15</v>
      </c>
      <c r="G1781" s="71">
        <v>0</v>
      </c>
    </row>
    <row r="1782" spans="2:7" x14ac:dyDescent="0.25">
      <c r="B1782" s="70">
        <v>43584</v>
      </c>
      <c r="C1782" t="s">
        <v>25</v>
      </c>
      <c r="D1782" t="s">
        <v>87</v>
      </c>
      <c r="E1782" t="s">
        <v>289</v>
      </c>
      <c r="F1782" s="71">
        <v>60</v>
      </c>
      <c r="G1782" s="71">
        <v>0</v>
      </c>
    </row>
    <row r="1783" spans="2:7" x14ac:dyDescent="0.25">
      <c r="B1783" s="70">
        <v>43584</v>
      </c>
      <c r="C1783" t="s">
        <v>25</v>
      </c>
      <c r="D1783" t="s">
        <v>87</v>
      </c>
      <c r="E1783" t="s">
        <v>289</v>
      </c>
      <c r="F1783" s="71">
        <v>72.760000000000005</v>
      </c>
      <c r="G1783" s="71">
        <v>0</v>
      </c>
    </row>
    <row r="1784" spans="2:7" x14ac:dyDescent="0.25">
      <c r="B1784" s="70">
        <v>43584</v>
      </c>
      <c r="C1784" t="s">
        <v>25</v>
      </c>
      <c r="D1784" t="s">
        <v>87</v>
      </c>
      <c r="E1784" t="s">
        <v>289</v>
      </c>
      <c r="F1784" s="71">
        <v>75.75</v>
      </c>
      <c r="G1784" s="71">
        <v>0</v>
      </c>
    </row>
    <row r="1785" spans="2:7" x14ac:dyDescent="0.25">
      <c r="B1785" s="70">
        <v>43584</v>
      </c>
      <c r="C1785" t="s">
        <v>25</v>
      </c>
      <c r="D1785" t="s">
        <v>87</v>
      </c>
      <c r="E1785" t="s">
        <v>289</v>
      </c>
      <c r="F1785" s="71">
        <v>107.63</v>
      </c>
      <c r="G1785" s="71">
        <v>0</v>
      </c>
    </row>
    <row r="1786" spans="2:7" x14ac:dyDescent="0.25">
      <c r="B1786" s="70">
        <v>43584</v>
      </c>
      <c r="C1786" t="s">
        <v>25</v>
      </c>
      <c r="D1786" t="s">
        <v>84</v>
      </c>
      <c r="E1786" t="s">
        <v>289</v>
      </c>
      <c r="F1786" s="71">
        <v>12</v>
      </c>
      <c r="G1786" s="71">
        <v>0</v>
      </c>
    </row>
    <row r="1787" spans="2:7" x14ac:dyDescent="0.25">
      <c r="B1787" s="70">
        <v>43584</v>
      </c>
      <c r="C1787" t="s">
        <v>25</v>
      </c>
      <c r="D1787" t="s">
        <v>84</v>
      </c>
      <c r="E1787" t="s">
        <v>289</v>
      </c>
      <c r="F1787" s="71">
        <v>32</v>
      </c>
      <c r="G1787" s="71">
        <v>0</v>
      </c>
    </row>
    <row r="1788" spans="2:7" x14ac:dyDescent="0.25">
      <c r="B1788" s="70">
        <v>43584</v>
      </c>
      <c r="C1788" t="s">
        <v>46</v>
      </c>
      <c r="D1788" t="s">
        <v>84</v>
      </c>
      <c r="E1788" t="s">
        <v>289</v>
      </c>
      <c r="F1788" s="71">
        <v>7.7</v>
      </c>
      <c r="G1788" s="71">
        <v>0</v>
      </c>
    </row>
    <row r="1789" spans="2:7" x14ac:dyDescent="0.25">
      <c r="B1789" s="70">
        <v>43584</v>
      </c>
      <c r="C1789" t="s">
        <v>51</v>
      </c>
      <c r="D1789" t="s">
        <v>86</v>
      </c>
      <c r="E1789" t="s">
        <v>289</v>
      </c>
      <c r="F1789" s="71">
        <v>50.6</v>
      </c>
      <c r="G1789" s="71">
        <v>0</v>
      </c>
    </row>
    <row r="1790" spans="2:7" x14ac:dyDescent="0.25">
      <c r="B1790" s="70">
        <v>43584</v>
      </c>
      <c r="C1790" t="s">
        <v>21</v>
      </c>
      <c r="D1790" t="s">
        <v>79</v>
      </c>
      <c r="E1790" t="s">
        <v>289</v>
      </c>
      <c r="F1790" s="71">
        <v>8</v>
      </c>
      <c r="G1790" s="71">
        <v>0</v>
      </c>
    </row>
    <row r="1791" spans="2:7" x14ac:dyDescent="0.25">
      <c r="B1791" s="70">
        <v>43584</v>
      </c>
      <c r="C1791" t="s">
        <v>21</v>
      </c>
      <c r="D1791" t="s">
        <v>79</v>
      </c>
      <c r="E1791" t="s">
        <v>289</v>
      </c>
      <c r="F1791" s="71">
        <v>24</v>
      </c>
      <c r="G1791" s="71">
        <v>0</v>
      </c>
    </row>
    <row r="1792" spans="2:7" x14ac:dyDescent="0.25">
      <c r="B1792" s="70">
        <v>43584</v>
      </c>
      <c r="C1792" t="s">
        <v>48</v>
      </c>
      <c r="D1792" t="s">
        <v>103</v>
      </c>
      <c r="E1792" t="s">
        <v>290</v>
      </c>
      <c r="F1792" s="71">
        <v>691.7</v>
      </c>
      <c r="G1792" s="71">
        <v>0</v>
      </c>
    </row>
    <row r="1793" spans="2:7" x14ac:dyDescent="0.25">
      <c r="B1793" s="70">
        <v>43584</v>
      </c>
      <c r="C1793" t="s">
        <v>50</v>
      </c>
      <c r="D1793" t="s">
        <v>84</v>
      </c>
      <c r="E1793" t="s">
        <v>289</v>
      </c>
      <c r="F1793" s="71">
        <v>8</v>
      </c>
      <c r="G1793" s="71">
        <v>0</v>
      </c>
    </row>
    <row r="1794" spans="2:7" x14ac:dyDescent="0.25">
      <c r="B1794" s="70">
        <v>43584</v>
      </c>
      <c r="C1794" t="s">
        <v>24</v>
      </c>
      <c r="D1794" t="s">
        <v>79</v>
      </c>
      <c r="E1794" t="s">
        <v>289</v>
      </c>
      <c r="F1794">
        <v>8</v>
      </c>
      <c r="G1794" s="71">
        <v>0</v>
      </c>
    </row>
    <row r="1795" spans="2:7" x14ac:dyDescent="0.25">
      <c r="B1795" s="70">
        <v>43584</v>
      </c>
      <c r="C1795" t="s">
        <v>24</v>
      </c>
      <c r="D1795" t="s">
        <v>79</v>
      </c>
      <c r="E1795" t="s">
        <v>289</v>
      </c>
      <c r="F1795">
        <v>24</v>
      </c>
      <c r="G1795" s="71">
        <v>0</v>
      </c>
    </row>
    <row r="1796" spans="2:7" x14ac:dyDescent="0.25">
      <c r="B1796" s="70">
        <v>43584</v>
      </c>
      <c r="C1796" t="s">
        <v>60</v>
      </c>
      <c r="D1796" t="s">
        <v>80</v>
      </c>
      <c r="E1796" t="s">
        <v>289</v>
      </c>
      <c r="F1796" s="71">
        <v>81.349999999999994</v>
      </c>
      <c r="G1796" s="71">
        <v>0</v>
      </c>
    </row>
    <row r="1797" spans="2:7" x14ac:dyDescent="0.25">
      <c r="B1797" s="70">
        <v>43585</v>
      </c>
      <c r="C1797" t="s">
        <v>43</v>
      </c>
      <c r="D1797" t="s">
        <v>91</v>
      </c>
      <c r="E1797" t="s">
        <v>291</v>
      </c>
      <c r="F1797" s="71">
        <v>1000</v>
      </c>
      <c r="G1797" s="71">
        <v>0</v>
      </c>
    </row>
    <row r="1798" spans="2:7" x14ac:dyDescent="0.25">
      <c r="B1798" s="70">
        <v>43585</v>
      </c>
      <c r="C1798" t="s">
        <v>21</v>
      </c>
      <c r="D1798" t="s">
        <v>84</v>
      </c>
      <c r="E1798" t="s">
        <v>291</v>
      </c>
      <c r="F1798" s="71">
        <v>110.5</v>
      </c>
      <c r="G1798" s="71">
        <v>0</v>
      </c>
    </row>
    <row r="1799" spans="2:7" x14ac:dyDescent="0.25">
      <c r="B1799" s="70">
        <v>43585</v>
      </c>
      <c r="C1799" t="s">
        <v>21</v>
      </c>
      <c r="D1799" t="s">
        <v>84</v>
      </c>
      <c r="E1799" t="s">
        <v>291</v>
      </c>
      <c r="F1799" s="71">
        <v>182</v>
      </c>
      <c r="G1799" s="71">
        <v>0</v>
      </c>
    </row>
    <row r="1800" spans="2:7" x14ac:dyDescent="0.25">
      <c r="B1800" s="70">
        <v>43585</v>
      </c>
      <c r="C1800" t="s">
        <v>21</v>
      </c>
      <c r="D1800" t="s">
        <v>84</v>
      </c>
      <c r="E1800" t="s">
        <v>291</v>
      </c>
      <c r="F1800" s="71">
        <v>676</v>
      </c>
      <c r="G1800" s="71">
        <v>0</v>
      </c>
    </row>
    <row r="1801" spans="2:7" x14ac:dyDescent="0.25">
      <c r="B1801" s="70">
        <v>43585</v>
      </c>
      <c r="C1801" t="s">
        <v>48</v>
      </c>
      <c r="D1801" t="s">
        <v>91</v>
      </c>
      <c r="E1801" t="s">
        <v>291</v>
      </c>
      <c r="F1801" s="71">
        <v>4850</v>
      </c>
      <c r="G1801" s="71">
        <v>0</v>
      </c>
    </row>
    <row r="1802" spans="2:7" x14ac:dyDescent="0.25">
      <c r="B1802" s="70">
        <v>43585</v>
      </c>
      <c r="C1802" t="s">
        <v>48</v>
      </c>
      <c r="D1802" t="s">
        <v>105</v>
      </c>
      <c r="E1802" t="s">
        <v>226</v>
      </c>
      <c r="F1802" s="71">
        <v>0</v>
      </c>
      <c r="G1802" s="71">
        <v>6000</v>
      </c>
    </row>
    <row r="1803" spans="2:7" x14ac:dyDescent="0.25">
      <c r="B1803" s="70">
        <v>43585</v>
      </c>
      <c r="C1803" t="s">
        <v>60</v>
      </c>
      <c r="D1803" t="s">
        <v>87</v>
      </c>
      <c r="E1803" t="s">
        <v>291</v>
      </c>
      <c r="F1803" s="71">
        <v>764.79</v>
      </c>
      <c r="G1803" s="71">
        <v>0</v>
      </c>
    </row>
    <row r="1804" spans="2:7" x14ac:dyDescent="0.25">
      <c r="B1804" s="70">
        <v>43587</v>
      </c>
      <c r="C1804" t="s">
        <v>25</v>
      </c>
      <c r="D1804" t="s">
        <v>79</v>
      </c>
      <c r="E1804" t="s">
        <v>292</v>
      </c>
      <c r="F1804" s="71">
        <v>8</v>
      </c>
      <c r="G1804" s="71">
        <v>0</v>
      </c>
    </row>
    <row r="1805" spans="2:7" x14ac:dyDescent="0.25">
      <c r="B1805" s="70">
        <v>43587</v>
      </c>
      <c r="C1805" t="s">
        <v>25</v>
      </c>
      <c r="D1805" t="s">
        <v>100</v>
      </c>
      <c r="E1805" t="s">
        <v>255</v>
      </c>
      <c r="F1805" s="71">
        <v>5</v>
      </c>
      <c r="G1805" s="71">
        <v>0</v>
      </c>
    </row>
    <row r="1806" spans="2:7" x14ac:dyDescent="0.25">
      <c r="B1806" s="70">
        <v>43587</v>
      </c>
      <c r="C1806" t="s">
        <v>25</v>
      </c>
      <c r="D1806" t="s">
        <v>81</v>
      </c>
      <c r="E1806" t="s">
        <v>220</v>
      </c>
      <c r="F1806" s="71">
        <v>10</v>
      </c>
      <c r="G1806" s="71">
        <v>0</v>
      </c>
    </row>
    <row r="1807" spans="2:7" x14ac:dyDescent="0.25">
      <c r="B1807" s="70">
        <v>43587</v>
      </c>
      <c r="C1807" t="s">
        <v>54</v>
      </c>
      <c r="D1807" t="s">
        <v>85</v>
      </c>
      <c r="E1807" t="s">
        <v>292</v>
      </c>
      <c r="F1807" s="71">
        <v>46.13</v>
      </c>
      <c r="G1807" s="71">
        <v>0</v>
      </c>
    </row>
    <row r="1808" spans="2:7" x14ac:dyDescent="0.25">
      <c r="B1808" s="70">
        <v>43587</v>
      </c>
      <c r="C1808" t="s">
        <v>46</v>
      </c>
      <c r="D1808" t="s">
        <v>84</v>
      </c>
      <c r="E1808" t="s">
        <v>292</v>
      </c>
      <c r="F1808" s="71">
        <v>7.7</v>
      </c>
      <c r="G1808" s="71">
        <v>0</v>
      </c>
    </row>
    <row r="1809" spans="2:7" x14ac:dyDescent="0.25">
      <c r="B1809" s="70">
        <v>43587</v>
      </c>
      <c r="C1809" t="s">
        <v>21</v>
      </c>
      <c r="D1809" t="s">
        <v>79</v>
      </c>
      <c r="E1809" t="s">
        <v>292</v>
      </c>
      <c r="F1809" s="71">
        <v>8</v>
      </c>
      <c r="G1809" s="71">
        <v>0</v>
      </c>
    </row>
    <row r="1810" spans="2:7" x14ac:dyDescent="0.25">
      <c r="B1810" s="70">
        <v>43587</v>
      </c>
      <c r="C1810" t="s">
        <v>21</v>
      </c>
      <c r="D1810" t="s">
        <v>79</v>
      </c>
      <c r="E1810" t="s">
        <v>292</v>
      </c>
      <c r="F1810" s="71">
        <v>16</v>
      </c>
      <c r="G1810" s="71">
        <v>0</v>
      </c>
    </row>
    <row r="1811" spans="2:7" x14ac:dyDescent="0.25">
      <c r="B1811" s="70">
        <v>43587</v>
      </c>
      <c r="C1811" t="s">
        <v>21</v>
      </c>
      <c r="D1811" t="s">
        <v>79</v>
      </c>
      <c r="E1811" t="s">
        <v>292</v>
      </c>
      <c r="F1811" s="71">
        <v>24</v>
      </c>
      <c r="G1811" s="71">
        <v>0</v>
      </c>
    </row>
    <row r="1812" spans="2:7" x14ac:dyDescent="0.25">
      <c r="B1812" s="70">
        <v>43587</v>
      </c>
      <c r="C1812" t="s">
        <v>21</v>
      </c>
      <c r="D1812" t="s">
        <v>79</v>
      </c>
      <c r="E1812" t="s">
        <v>292</v>
      </c>
      <c r="F1812" s="71">
        <v>88</v>
      </c>
      <c r="G1812" s="71">
        <v>0</v>
      </c>
    </row>
    <row r="1813" spans="2:7" x14ac:dyDescent="0.25">
      <c r="B1813" s="70">
        <v>43587</v>
      </c>
      <c r="C1813" t="s">
        <v>48</v>
      </c>
      <c r="D1813" t="s">
        <v>91</v>
      </c>
      <c r="E1813" t="s">
        <v>292</v>
      </c>
      <c r="F1813" s="71">
        <v>20320</v>
      </c>
      <c r="G1813" s="71">
        <v>0</v>
      </c>
    </row>
    <row r="1814" spans="2:7" x14ac:dyDescent="0.25">
      <c r="B1814" s="70">
        <v>43587</v>
      </c>
      <c r="C1814" t="s">
        <v>48</v>
      </c>
      <c r="D1814" t="s">
        <v>84</v>
      </c>
      <c r="E1814" t="s">
        <v>292</v>
      </c>
      <c r="F1814" s="71">
        <v>30.26</v>
      </c>
      <c r="G1814" s="71">
        <v>0</v>
      </c>
    </row>
    <row r="1815" spans="2:7" x14ac:dyDescent="0.25">
      <c r="B1815" s="70">
        <v>43587</v>
      </c>
      <c r="C1815" t="s">
        <v>45</v>
      </c>
      <c r="D1815" t="s">
        <v>85</v>
      </c>
      <c r="E1815" t="s">
        <v>292</v>
      </c>
      <c r="F1815" s="71">
        <v>30</v>
      </c>
      <c r="G1815" s="71">
        <v>0</v>
      </c>
    </row>
    <row r="1816" spans="2:7" x14ac:dyDescent="0.25">
      <c r="B1816" s="70">
        <v>43587</v>
      </c>
      <c r="C1816" t="s">
        <v>50</v>
      </c>
      <c r="D1816" t="s">
        <v>84</v>
      </c>
      <c r="E1816" t="s">
        <v>292</v>
      </c>
      <c r="F1816" s="71">
        <v>10</v>
      </c>
      <c r="G1816" s="71">
        <v>0</v>
      </c>
    </row>
    <row r="1817" spans="2:7" x14ac:dyDescent="0.25">
      <c r="B1817" s="70">
        <v>43587</v>
      </c>
      <c r="C1817" t="s">
        <v>52</v>
      </c>
      <c r="D1817" t="s">
        <v>85</v>
      </c>
      <c r="E1817" t="s">
        <v>292</v>
      </c>
      <c r="F1817" s="71">
        <v>92</v>
      </c>
      <c r="G1817" s="71">
        <v>0</v>
      </c>
    </row>
    <row r="1818" spans="2:7" x14ac:dyDescent="0.25">
      <c r="B1818" s="70">
        <v>43587</v>
      </c>
      <c r="C1818" t="s">
        <v>71</v>
      </c>
      <c r="D1818" t="s">
        <v>84</v>
      </c>
      <c r="E1818" t="s">
        <v>292</v>
      </c>
      <c r="F1818" s="71">
        <v>14</v>
      </c>
      <c r="G1818" s="71">
        <v>0</v>
      </c>
    </row>
    <row r="1819" spans="2:7" x14ac:dyDescent="0.25">
      <c r="B1819" s="70">
        <v>43587</v>
      </c>
      <c r="C1819" t="s">
        <v>65</v>
      </c>
      <c r="D1819" t="s">
        <v>84</v>
      </c>
      <c r="E1819" t="s">
        <v>292</v>
      </c>
      <c r="F1819" s="71">
        <v>22.5</v>
      </c>
      <c r="G1819" s="71">
        <v>0</v>
      </c>
    </row>
    <row r="1820" spans="2:7" x14ac:dyDescent="0.25">
      <c r="B1820" s="70">
        <v>43587</v>
      </c>
      <c r="C1820" t="s">
        <v>24</v>
      </c>
      <c r="D1820" t="s">
        <v>79</v>
      </c>
      <c r="E1820" t="s">
        <v>292</v>
      </c>
      <c r="F1820" s="71">
        <v>8</v>
      </c>
      <c r="G1820" s="71">
        <v>0</v>
      </c>
    </row>
    <row r="1821" spans="2:7" x14ac:dyDescent="0.25">
      <c r="B1821" s="70">
        <v>43587</v>
      </c>
      <c r="C1821" t="s">
        <v>24</v>
      </c>
      <c r="D1821" t="s">
        <v>79</v>
      </c>
      <c r="E1821" t="s">
        <v>292</v>
      </c>
      <c r="F1821" s="71">
        <v>16</v>
      </c>
      <c r="G1821" s="71">
        <v>0</v>
      </c>
    </row>
    <row r="1822" spans="2:7" x14ac:dyDescent="0.25">
      <c r="B1822" s="70">
        <v>43588</v>
      </c>
      <c r="C1822" t="s">
        <v>25</v>
      </c>
      <c r="D1822" t="s">
        <v>80</v>
      </c>
      <c r="E1822" t="s">
        <v>293</v>
      </c>
      <c r="F1822" s="71">
        <v>23.99</v>
      </c>
      <c r="G1822" s="71">
        <v>0</v>
      </c>
    </row>
    <row r="1823" spans="2:7" x14ac:dyDescent="0.25">
      <c r="B1823" s="70">
        <v>43588</v>
      </c>
      <c r="C1823" t="s">
        <v>25</v>
      </c>
      <c r="D1823" t="s">
        <v>80</v>
      </c>
      <c r="E1823" t="s">
        <v>293</v>
      </c>
      <c r="F1823" s="71">
        <v>96</v>
      </c>
      <c r="G1823" s="71">
        <v>0</v>
      </c>
    </row>
    <row r="1824" spans="2:7" x14ac:dyDescent="0.25">
      <c r="B1824" s="70">
        <v>43588</v>
      </c>
      <c r="C1824" t="s">
        <v>25</v>
      </c>
      <c r="D1824" t="s">
        <v>80</v>
      </c>
      <c r="E1824" t="s">
        <v>293</v>
      </c>
      <c r="F1824" s="71">
        <v>118.89</v>
      </c>
      <c r="G1824" s="71">
        <v>0</v>
      </c>
    </row>
    <row r="1825" spans="2:7" x14ac:dyDescent="0.25">
      <c r="B1825" s="70">
        <v>43588</v>
      </c>
      <c r="C1825" t="s">
        <v>25</v>
      </c>
      <c r="D1825" t="s">
        <v>80</v>
      </c>
      <c r="E1825" t="s">
        <v>293</v>
      </c>
      <c r="F1825" s="71">
        <v>160.66</v>
      </c>
      <c r="G1825" s="71">
        <v>0</v>
      </c>
    </row>
    <row r="1826" spans="2:7" x14ac:dyDescent="0.25">
      <c r="B1826" s="70">
        <v>43588</v>
      </c>
      <c r="C1826" t="s">
        <v>25</v>
      </c>
      <c r="D1826" t="s">
        <v>87</v>
      </c>
      <c r="E1826" t="s">
        <v>293</v>
      </c>
      <c r="F1826" s="71">
        <v>21.95</v>
      </c>
      <c r="G1826" s="71">
        <v>0</v>
      </c>
    </row>
    <row r="1827" spans="2:7" x14ac:dyDescent="0.25">
      <c r="B1827" s="70">
        <v>43588</v>
      </c>
      <c r="C1827" t="s">
        <v>25</v>
      </c>
      <c r="D1827" t="s">
        <v>87</v>
      </c>
      <c r="E1827" t="s">
        <v>293</v>
      </c>
      <c r="F1827" s="71">
        <v>23.76</v>
      </c>
      <c r="G1827" s="71">
        <v>0</v>
      </c>
    </row>
    <row r="1828" spans="2:7" x14ac:dyDescent="0.25">
      <c r="B1828" s="70">
        <v>43588</v>
      </c>
      <c r="C1828" t="s">
        <v>25</v>
      </c>
      <c r="D1828" t="s">
        <v>87</v>
      </c>
      <c r="E1828" t="s">
        <v>293</v>
      </c>
      <c r="F1828" s="71">
        <v>28.07</v>
      </c>
      <c r="G1828" s="71">
        <v>0</v>
      </c>
    </row>
    <row r="1829" spans="2:7" x14ac:dyDescent="0.25">
      <c r="B1829" s="70">
        <v>43588</v>
      </c>
      <c r="C1829" t="s">
        <v>25</v>
      </c>
      <c r="D1829" t="s">
        <v>87</v>
      </c>
      <c r="E1829" t="s">
        <v>293</v>
      </c>
      <c r="F1829" s="71">
        <v>33.44</v>
      </c>
      <c r="G1829" s="71">
        <v>0</v>
      </c>
    </row>
    <row r="1830" spans="2:7" x14ac:dyDescent="0.25">
      <c r="B1830" s="70">
        <v>43588</v>
      </c>
      <c r="C1830" t="s">
        <v>25</v>
      </c>
      <c r="D1830" t="s">
        <v>87</v>
      </c>
      <c r="E1830" t="s">
        <v>293</v>
      </c>
      <c r="F1830" s="71">
        <v>63.7</v>
      </c>
      <c r="G1830" s="71">
        <v>0</v>
      </c>
    </row>
    <row r="1831" spans="2:7" x14ac:dyDescent="0.25">
      <c r="B1831" s="70">
        <v>43588</v>
      </c>
      <c r="C1831" t="s">
        <v>25</v>
      </c>
      <c r="D1831" t="s">
        <v>87</v>
      </c>
      <c r="E1831" t="s">
        <v>293</v>
      </c>
      <c r="F1831" s="71">
        <v>66.81</v>
      </c>
      <c r="G1831" s="71">
        <v>0</v>
      </c>
    </row>
    <row r="1832" spans="2:7" x14ac:dyDescent="0.25">
      <c r="B1832" s="70">
        <v>43588</v>
      </c>
      <c r="C1832" t="s">
        <v>25</v>
      </c>
      <c r="D1832" t="s">
        <v>87</v>
      </c>
      <c r="E1832" t="s">
        <v>293</v>
      </c>
      <c r="F1832" s="71">
        <v>77.64</v>
      </c>
      <c r="G1832" s="71">
        <v>0</v>
      </c>
    </row>
    <row r="1833" spans="2:7" x14ac:dyDescent="0.25">
      <c r="B1833" s="70">
        <v>43588</v>
      </c>
      <c r="C1833" t="s">
        <v>25</v>
      </c>
      <c r="D1833" t="s">
        <v>87</v>
      </c>
      <c r="E1833" t="s">
        <v>293</v>
      </c>
      <c r="F1833" s="71">
        <v>81.069999999999993</v>
      </c>
      <c r="G1833" s="71">
        <v>0</v>
      </c>
    </row>
    <row r="1834" spans="2:7" x14ac:dyDescent="0.25">
      <c r="B1834" s="70">
        <v>43588</v>
      </c>
      <c r="C1834" t="s">
        <v>25</v>
      </c>
      <c r="D1834" t="s">
        <v>87</v>
      </c>
      <c r="E1834" t="s">
        <v>293</v>
      </c>
      <c r="F1834" s="71">
        <v>84.3</v>
      </c>
      <c r="G1834" s="71">
        <v>0</v>
      </c>
    </row>
    <row r="1835" spans="2:7" x14ac:dyDescent="0.25">
      <c r="B1835" s="70">
        <v>43588</v>
      </c>
      <c r="C1835" t="s">
        <v>25</v>
      </c>
      <c r="D1835" t="s">
        <v>87</v>
      </c>
      <c r="E1835" t="s">
        <v>293</v>
      </c>
      <c r="F1835" s="71">
        <v>128.6</v>
      </c>
      <c r="G1835" s="71">
        <v>0</v>
      </c>
    </row>
    <row r="1836" spans="2:7" x14ac:dyDescent="0.25">
      <c r="B1836" s="70">
        <v>43588</v>
      </c>
      <c r="C1836" t="s">
        <v>25</v>
      </c>
      <c r="D1836" t="s">
        <v>81</v>
      </c>
      <c r="E1836" t="s">
        <v>197</v>
      </c>
      <c r="F1836" s="71">
        <v>2.25</v>
      </c>
      <c r="G1836" s="71">
        <v>0</v>
      </c>
    </row>
    <row r="1837" spans="2:7" x14ac:dyDescent="0.25">
      <c r="B1837" s="70">
        <v>43588</v>
      </c>
      <c r="C1837" t="s">
        <v>25</v>
      </c>
      <c r="D1837" t="s">
        <v>81</v>
      </c>
      <c r="E1837" t="s">
        <v>158</v>
      </c>
      <c r="F1837" s="71">
        <v>3.5</v>
      </c>
      <c r="G1837" s="71">
        <v>0</v>
      </c>
    </row>
    <row r="1838" spans="2:7" x14ac:dyDescent="0.25">
      <c r="B1838" s="70">
        <v>43588</v>
      </c>
      <c r="C1838" t="s">
        <v>25</v>
      </c>
      <c r="D1838" t="s">
        <v>82</v>
      </c>
      <c r="E1838" t="s">
        <v>293</v>
      </c>
      <c r="F1838" s="71">
        <v>245.24</v>
      </c>
      <c r="G1838" s="71">
        <v>0</v>
      </c>
    </row>
    <row r="1839" spans="2:7" x14ac:dyDescent="0.25">
      <c r="B1839" s="70">
        <v>43588</v>
      </c>
      <c r="C1839" t="s">
        <v>25</v>
      </c>
      <c r="D1839" t="s">
        <v>84</v>
      </c>
      <c r="E1839" t="s">
        <v>293</v>
      </c>
      <c r="F1839" s="71">
        <v>8.9499999999999993</v>
      </c>
      <c r="G1839" s="71">
        <v>0</v>
      </c>
    </row>
    <row r="1840" spans="2:7" x14ac:dyDescent="0.25">
      <c r="B1840" s="70">
        <v>43588</v>
      </c>
      <c r="C1840" t="s">
        <v>46</v>
      </c>
      <c r="D1840" t="s">
        <v>82</v>
      </c>
      <c r="E1840" t="s">
        <v>293</v>
      </c>
      <c r="F1840" s="71">
        <v>70.23</v>
      </c>
      <c r="G1840" s="71">
        <v>0</v>
      </c>
    </row>
    <row r="1841" spans="2:7" x14ac:dyDescent="0.25">
      <c r="B1841" s="70">
        <v>43588</v>
      </c>
      <c r="C1841" t="s">
        <v>59</v>
      </c>
      <c r="D1841" t="s">
        <v>79</v>
      </c>
      <c r="E1841" t="s">
        <v>293</v>
      </c>
      <c r="F1841" s="71">
        <v>62.75</v>
      </c>
      <c r="G1841" s="71">
        <v>0</v>
      </c>
    </row>
    <row r="1842" spans="2:7" x14ac:dyDescent="0.25">
      <c r="B1842" s="70">
        <v>43588</v>
      </c>
      <c r="C1842" t="s">
        <v>59</v>
      </c>
      <c r="D1842" t="s">
        <v>82</v>
      </c>
      <c r="E1842" t="s">
        <v>293</v>
      </c>
      <c r="F1842" s="71">
        <v>70.23</v>
      </c>
      <c r="G1842" s="71">
        <v>0</v>
      </c>
    </row>
    <row r="1843" spans="2:7" x14ac:dyDescent="0.25">
      <c r="B1843" s="70">
        <v>43588</v>
      </c>
      <c r="C1843" t="s">
        <v>59</v>
      </c>
      <c r="D1843" t="s">
        <v>84</v>
      </c>
      <c r="E1843" t="s">
        <v>293</v>
      </c>
      <c r="F1843" s="71">
        <v>1330.46</v>
      </c>
      <c r="G1843" s="71">
        <v>0</v>
      </c>
    </row>
    <row r="1844" spans="2:7" x14ac:dyDescent="0.25">
      <c r="B1844" s="70">
        <v>43588</v>
      </c>
      <c r="C1844" t="s">
        <v>56</v>
      </c>
      <c r="D1844" t="s">
        <v>84</v>
      </c>
      <c r="E1844" t="s">
        <v>293</v>
      </c>
      <c r="F1844" s="71">
        <v>379.7</v>
      </c>
      <c r="G1844" s="71">
        <v>0</v>
      </c>
    </row>
    <row r="1845" spans="2:7" x14ac:dyDescent="0.25">
      <c r="B1845" s="70">
        <v>43588</v>
      </c>
      <c r="C1845" t="s">
        <v>51</v>
      </c>
      <c r="D1845" t="s">
        <v>84</v>
      </c>
      <c r="E1845" t="s">
        <v>293</v>
      </c>
      <c r="F1845" s="71">
        <v>38.200000000000003</v>
      </c>
      <c r="G1845" s="71">
        <v>0</v>
      </c>
    </row>
    <row r="1846" spans="2:7" x14ac:dyDescent="0.25">
      <c r="B1846" s="70">
        <v>43588</v>
      </c>
      <c r="C1846" t="s">
        <v>57</v>
      </c>
      <c r="D1846" t="s">
        <v>86</v>
      </c>
      <c r="E1846" t="s">
        <v>293</v>
      </c>
      <c r="F1846" s="71">
        <v>36.799999999999997</v>
      </c>
      <c r="G1846" s="71">
        <v>0</v>
      </c>
    </row>
    <row r="1847" spans="2:7" x14ac:dyDescent="0.25">
      <c r="B1847" s="70">
        <v>43588</v>
      </c>
      <c r="C1847" t="s">
        <v>21</v>
      </c>
      <c r="D1847" t="s">
        <v>79</v>
      </c>
      <c r="E1847" t="s">
        <v>293</v>
      </c>
      <c r="F1847" s="71">
        <v>8</v>
      </c>
      <c r="G1847" s="71">
        <v>0</v>
      </c>
    </row>
    <row r="1848" spans="2:7" x14ac:dyDescent="0.25">
      <c r="B1848" s="70">
        <v>43588</v>
      </c>
      <c r="C1848" t="s">
        <v>21</v>
      </c>
      <c r="D1848" t="s">
        <v>79</v>
      </c>
      <c r="E1848" t="s">
        <v>293</v>
      </c>
      <c r="F1848" s="71">
        <v>16</v>
      </c>
      <c r="G1848" s="71">
        <v>0</v>
      </c>
    </row>
    <row r="1849" spans="2:7" x14ac:dyDescent="0.25">
      <c r="B1849" s="70">
        <v>43588</v>
      </c>
      <c r="C1849" t="s">
        <v>21</v>
      </c>
      <c r="D1849" t="s">
        <v>79</v>
      </c>
      <c r="E1849" t="s">
        <v>293</v>
      </c>
      <c r="F1849" s="71">
        <v>32</v>
      </c>
      <c r="G1849" s="71">
        <v>0</v>
      </c>
    </row>
    <row r="1850" spans="2:7" x14ac:dyDescent="0.25">
      <c r="B1850" s="70">
        <v>43588</v>
      </c>
      <c r="C1850" t="s">
        <v>66</v>
      </c>
      <c r="D1850" t="s">
        <v>86</v>
      </c>
      <c r="E1850" t="s">
        <v>293</v>
      </c>
      <c r="F1850" s="71">
        <v>2023.13</v>
      </c>
      <c r="G1850" s="71">
        <v>0</v>
      </c>
    </row>
    <row r="1851" spans="2:7" x14ac:dyDescent="0.25">
      <c r="B1851" s="70">
        <v>43588</v>
      </c>
      <c r="C1851" t="s">
        <v>66</v>
      </c>
      <c r="D1851" t="s">
        <v>84</v>
      </c>
      <c r="E1851" t="s">
        <v>293</v>
      </c>
      <c r="F1851" s="71">
        <v>475</v>
      </c>
      <c r="G1851" s="71">
        <v>0</v>
      </c>
    </row>
    <row r="1852" spans="2:7" x14ac:dyDescent="0.25">
      <c r="B1852" s="70">
        <v>43588</v>
      </c>
      <c r="C1852" t="s">
        <v>48</v>
      </c>
      <c r="D1852" t="s">
        <v>79</v>
      </c>
      <c r="E1852" t="s">
        <v>293</v>
      </c>
      <c r="F1852" s="71">
        <v>45</v>
      </c>
      <c r="G1852" s="71">
        <v>0</v>
      </c>
    </row>
    <row r="1853" spans="2:7" x14ac:dyDescent="0.25">
      <c r="B1853" s="70">
        <v>43588</v>
      </c>
      <c r="C1853" t="s">
        <v>48</v>
      </c>
      <c r="D1853" t="s">
        <v>80</v>
      </c>
      <c r="E1853" t="s">
        <v>293</v>
      </c>
      <c r="F1853" s="71">
        <v>80.02</v>
      </c>
      <c r="G1853" s="71">
        <v>0</v>
      </c>
    </row>
    <row r="1854" spans="2:7" x14ac:dyDescent="0.25">
      <c r="B1854" s="70">
        <v>43588</v>
      </c>
      <c r="C1854" t="s">
        <v>48</v>
      </c>
      <c r="D1854" t="s">
        <v>84</v>
      </c>
      <c r="E1854" t="s">
        <v>293</v>
      </c>
      <c r="F1854" s="71">
        <v>235</v>
      </c>
      <c r="G1854" s="71">
        <v>0</v>
      </c>
    </row>
    <row r="1855" spans="2:7" x14ac:dyDescent="0.25">
      <c r="B1855" s="70">
        <v>43588</v>
      </c>
      <c r="C1855" t="s">
        <v>45</v>
      </c>
      <c r="D1855" t="s">
        <v>84</v>
      </c>
      <c r="E1855" t="s">
        <v>293</v>
      </c>
      <c r="F1855" s="71">
        <v>435</v>
      </c>
      <c r="G1855" s="71">
        <v>0</v>
      </c>
    </row>
    <row r="1856" spans="2:7" x14ac:dyDescent="0.25">
      <c r="B1856" s="70">
        <v>43588</v>
      </c>
      <c r="C1856" t="s">
        <v>49</v>
      </c>
      <c r="D1856" t="s">
        <v>84</v>
      </c>
      <c r="E1856" t="s">
        <v>293</v>
      </c>
      <c r="F1856" s="71">
        <v>150</v>
      </c>
      <c r="G1856" s="71">
        <v>0</v>
      </c>
    </row>
    <row r="1857" spans="2:7" x14ac:dyDescent="0.25">
      <c r="B1857" s="70">
        <v>43588</v>
      </c>
      <c r="C1857" t="s">
        <v>50</v>
      </c>
      <c r="D1857" t="s">
        <v>84</v>
      </c>
      <c r="E1857" t="s">
        <v>293</v>
      </c>
      <c r="F1857" s="71">
        <v>2100</v>
      </c>
      <c r="G1857" s="71">
        <v>0</v>
      </c>
    </row>
    <row r="1858" spans="2:7" x14ac:dyDescent="0.25">
      <c r="B1858" s="70">
        <v>43588</v>
      </c>
      <c r="C1858" t="s">
        <v>71</v>
      </c>
      <c r="D1858" t="s">
        <v>84</v>
      </c>
      <c r="E1858" t="s">
        <v>293</v>
      </c>
      <c r="F1858" s="71">
        <v>170</v>
      </c>
      <c r="G1858" s="71">
        <v>0</v>
      </c>
    </row>
    <row r="1859" spans="2:7" x14ac:dyDescent="0.25">
      <c r="B1859" s="70">
        <v>43588</v>
      </c>
      <c r="C1859" t="s">
        <v>65</v>
      </c>
      <c r="D1859" t="s">
        <v>80</v>
      </c>
      <c r="E1859" t="s">
        <v>293</v>
      </c>
      <c r="F1859" s="71">
        <v>51.51</v>
      </c>
      <c r="G1859" s="71">
        <v>0</v>
      </c>
    </row>
    <row r="1860" spans="2:7" x14ac:dyDescent="0.25">
      <c r="B1860" s="70">
        <v>43588</v>
      </c>
      <c r="C1860" t="s">
        <v>24</v>
      </c>
      <c r="D1860" t="s">
        <v>79</v>
      </c>
      <c r="E1860" t="s">
        <v>293</v>
      </c>
      <c r="F1860" s="71">
        <v>8</v>
      </c>
      <c r="G1860" s="71">
        <v>0</v>
      </c>
    </row>
    <row r="1861" spans="2:7" x14ac:dyDescent="0.25">
      <c r="B1861" s="70">
        <v>43589</v>
      </c>
      <c r="C1861" t="s">
        <v>25</v>
      </c>
      <c r="D1861" t="s">
        <v>79</v>
      </c>
      <c r="E1861" t="s">
        <v>294</v>
      </c>
      <c r="F1861">
        <v>8</v>
      </c>
      <c r="G1861" s="71">
        <v>0</v>
      </c>
    </row>
    <row r="1862" spans="2:7" x14ac:dyDescent="0.25">
      <c r="B1862" s="70">
        <v>43589</v>
      </c>
      <c r="C1862" t="s">
        <v>25</v>
      </c>
      <c r="D1862" t="s">
        <v>81</v>
      </c>
      <c r="E1862" t="s">
        <v>199</v>
      </c>
      <c r="F1862" s="71">
        <v>2.65</v>
      </c>
      <c r="G1862" s="71">
        <v>0</v>
      </c>
    </row>
    <row r="1863" spans="2:7" x14ac:dyDescent="0.25">
      <c r="B1863" s="70">
        <v>43589</v>
      </c>
      <c r="C1863" t="s">
        <v>46</v>
      </c>
      <c r="D1863" t="s">
        <v>79</v>
      </c>
      <c r="E1863" t="s">
        <v>294</v>
      </c>
      <c r="F1863" s="71">
        <v>10</v>
      </c>
      <c r="G1863" s="71">
        <v>0</v>
      </c>
    </row>
    <row r="1864" spans="2:7" x14ac:dyDescent="0.25">
      <c r="B1864" s="70">
        <v>43589</v>
      </c>
      <c r="C1864" t="s">
        <v>46</v>
      </c>
      <c r="D1864" t="s">
        <v>85</v>
      </c>
      <c r="E1864" t="s">
        <v>294</v>
      </c>
      <c r="F1864" s="71">
        <v>25.95</v>
      </c>
      <c r="G1864" s="71">
        <v>0</v>
      </c>
    </row>
    <row r="1865" spans="2:7" x14ac:dyDescent="0.25">
      <c r="B1865" s="70">
        <v>43589</v>
      </c>
      <c r="C1865" t="s">
        <v>46</v>
      </c>
      <c r="D1865" t="s">
        <v>84</v>
      </c>
      <c r="E1865" t="s">
        <v>294</v>
      </c>
      <c r="F1865" s="71">
        <v>4.5999999999999996</v>
      </c>
      <c r="G1865" s="71">
        <v>0</v>
      </c>
    </row>
    <row r="1866" spans="2:7" x14ac:dyDescent="0.25">
      <c r="B1866" s="70">
        <v>43589</v>
      </c>
      <c r="C1866" t="s">
        <v>21</v>
      </c>
      <c r="D1866" t="s">
        <v>79</v>
      </c>
      <c r="E1866" t="s">
        <v>294</v>
      </c>
      <c r="F1866" s="71">
        <v>8</v>
      </c>
      <c r="G1866" s="71">
        <v>0</v>
      </c>
    </row>
    <row r="1867" spans="2:7" x14ac:dyDescent="0.25">
      <c r="B1867" s="70">
        <v>43589</v>
      </c>
      <c r="C1867" t="s">
        <v>21</v>
      </c>
      <c r="D1867" t="s">
        <v>79</v>
      </c>
      <c r="E1867" t="s">
        <v>294</v>
      </c>
      <c r="F1867" s="71">
        <v>16</v>
      </c>
      <c r="G1867" s="71">
        <v>0</v>
      </c>
    </row>
    <row r="1868" spans="2:7" x14ac:dyDescent="0.25">
      <c r="B1868" s="70">
        <v>43589</v>
      </c>
      <c r="C1868" t="s">
        <v>21</v>
      </c>
      <c r="D1868" t="s">
        <v>79</v>
      </c>
      <c r="E1868" t="s">
        <v>294</v>
      </c>
      <c r="F1868" s="71">
        <v>32</v>
      </c>
      <c r="G1868" s="71">
        <v>0</v>
      </c>
    </row>
    <row r="1869" spans="2:7" x14ac:dyDescent="0.25">
      <c r="B1869" s="70">
        <v>43589</v>
      </c>
      <c r="C1869" t="s">
        <v>21</v>
      </c>
      <c r="D1869" t="s">
        <v>79</v>
      </c>
      <c r="E1869" t="s">
        <v>294</v>
      </c>
      <c r="F1869" s="71">
        <v>40</v>
      </c>
      <c r="G1869" s="71">
        <v>0</v>
      </c>
    </row>
    <row r="1870" spans="2:7" x14ac:dyDescent="0.25">
      <c r="B1870" s="70">
        <v>43589</v>
      </c>
      <c r="C1870" t="s">
        <v>21</v>
      </c>
      <c r="D1870" t="s">
        <v>79</v>
      </c>
      <c r="E1870" t="s">
        <v>294</v>
      </c>
      <c r="F1870" s="71">
        <v>48</v>
      </c>
      <c r="G1870" s="71">
        <v>0</v>
      </c>
    </row>
    <row r="1871" spans="2:7" x14ac:dyDescent="0.25">
      <c r="B1871" s="70">
        <v>43589</v>
      </c>
      <c r="C1871" t="s">
        <v>21</v>
      </c>
      <c r="D1871" t="s">
        <v>79</v>
      </c>
      <c r="E1871" t="s">
        <v>294</v>
      </c>
      <c r="F1871" s="71">
        <v>80</v>
      </c>
      <c r="G1871" s="71">
        <v>0</v>
      </c>
    </row>
    <row r="1872" spans="2:7" x14ac:dyDescent="0.25">
      <c r="B1872" s="70">
        <v>43589</v>
      </c>
      <c r="C1872" t="s">
        <v>21</v>
      </c>
      <c r="D1872" t="s">
        <v>79</v>
      </c>
      <c r="E1872" t="s">
        <v>294</v>
      </c>
      <c r="F1872" s="71">
        <v>96</v>
      </c>
      <c r="G1872" s="71">
        <v>0</v>
      </c>
    </row>
    <row r="1873" spans="2:7" x14ac:dyDescent="0.25">
      <c r="B1873" s="70">
        <v>43589</v>
      </c>
      <c r="C1873" t="s">
        <v>50</v>
      </c>
      <c r="D1873" t="s">
        <v>84</v>
      </c>
      <c r="E1873" t="s">
        <v>294</v>
      </c>
      <c r="F1873" s="71">
        <v>14.05</v>
      </c>
      <c r="G1873" s="71">
        <v>0</v>
      </c>
    </row>
    <row r="1874" spans="2:7" x14ac:dyDescent="0.25">
      <c r="B1874" s="70">
        <v>43589</v>
      </c>
      <c r="C1874" t="s">
        <v>24</v>
      </c>
      <c r="D1874" t="s">
        <v>79</v>
      </c>
      <c r="E1874" t="s">
        <v>294</v>
      </c>
      <c r="F1874" s="71">
        <v>16</v>
      </c>
      <c r="G1874" s="71">
        <v>0</v>
      </c>
    </row>
    <row r="1875" spans="2:7" x14ac:dyDescent="0.25">
      <c r="B1875" s="70">
        <v>43591</v>
      </c>
      <c r="C1875" t="s">
        <v>25</v>
      </c>
      <c r="D1875" t="s">
        <v>79</v>
      </c>
      <c r="E1875" t="s">
        <v>295</v>
      </c>
      <c r="F1875">
        <v>16</v>
      </c>
      <c r="G1875" s="71">
        <v>0</v>
      </c>
    </row>
    <row r="1876" spans="2:7" x14ac:dyDescent="0.25">
      <c r="B1876" s="70">
        <v>43591</v>
      </c>
      <c r="C1876" t="s">
        <v>25</v>
      </c>
      <c r="D1876" t="s">
        <v>87</v>
      </c>
      <c r="E1876" t="s">
        <v>295</v>
      </c>
      <c r="F1876" s="71">
        <v>9.89</v>
      </c>
      <c r="G1876" s="71">
        <v>0</v>
      </c>
    </row>
    <row r="1877" spans="2:7" x14ac:dyDescent="0.25">
      <c r="B1877" s="70">
        <v>43591</v>
      </c>
      <c r="C1877" t="s">
        <v>25</v>
      </c>
      <c r="D1877" t="s">
        <v>87</v>
      </c>
      <c r="E1877" t="s">
        <v>295</v>
      </c>
      <c r="F1877" s="71">
        <v>24.57</v>
      </c>
      <c r="G1877" s="71">
        <v>0</v>
      </c>
    </row>
    <row r="1878" spans="2:7" x14ac:dyDescent="0.25">
      <c r="B1878" s="70">
        <v>43591</v>
      </c>
      <c r="C1878" t="s">
        <v>25</v>
      </c>
      <c r="D1878" t="s">
        <v>87</v>
      </c>
      <c r="E1878" t="s">
        <v>295</v>
      </c>
      <c r="F1878" s="71">
        <v>31.03</v>
      </c>
      <c r="G1878" s="71">
        <v>0</v>
      </c>
    </row>
    <row r="1879" spans="2:7" x14ac:dyDescent="0.25">
      <c r="B1879" s="70">
        <v>43591</v>
      </c>
      <c r="C1879" t="s">
        <v>25</v>
      </c>
      <c r="D1879" t="s">
        <v>87</v>
      </c>
      <c r="E1879" t="s">
        <v>295</v>
      </c>
      <c r="F1879" s="71">
        <v>48.62</v>
      </c>
      <c r="G1879" s="71">
        <v>0</v>
      </c>
    </row>
    <row r="1880" spans="2:7" x14ac:dyDescent="0.25">
      <c r="B1880" s="70">
        <v>43591</v>
      </c>
      <c r="C1880" t="s">
        <v>25</v>
      </c>
      <c r="D1880" t="s">
        <v>87</v>
      </c>
      <c r="E1880" t="s">
        <v>295</v>
      </c>
      <c r="F1880" s="71">
        <v>55.52</v>
      </c>
      <c r="G1880" s="71">
        <v>0</v>
      </c>
    </row>
    <row r="1881" spans="2:7" x14ac:dyDescent="0.25">
      <c r="B1881" s="70">
        <v>43591</v>
      </c>
      <c r="C1881" t="s">
        <v>25</v>
      </c>
      <c r="D1881" t="s">
        <v>87</v>
      </c>
      <c r="E1881" t="s">
        <v>295</v>
      </c>
      <c r="F1881" s="71">
        <v>67.069999999999993</v>
      </c>
      <c r="G1881" s="71">
        <v>0</v>
      </c>
    </row>
    <row r="1882" spans="2:7" x14ac:dyDescent="0.25">
      <c r="B1882" s="70">
        <v>43591</v>
      </c>
      <c r="C1882" t="s">
        <v>25</v>
      </c>
      <c r="D1882" t="s">
        <v>87</v>
      </c>
      <c r="E1882" t="s">
        <v>295</v>
      </c>
      <c r="F1882" s="71">
        <v>91</v>
      </c>
      <c r="G1882" s="71">
        <v>0</v>
      </c>
    </row>
    <row r="1883" spans="2:7" x14ac:dyDescent="0.25">
      <c r="B1883" s="70">
        <v>43591</v>
      </c>
      <c r="C1883" t="s">
        <v>25</v>
      </c>
      <c r="D1883" t="s">
        <v>81</v>
      </c>
      <c r="E1883" t="s">
        <v>153</v>
      </c>
      <c r="F1883" s="71">
        <v>3</v>
      </c>
      <c r="G1883" s="71">
        <v>0</v>
      </c>
    </row>
    <row r="1884" spans="2:7" x14ac:dyDescent="0.25">
      <c r="B1884" s="70">
        <v>43591</v>
      </c>
      <c r="C1884" t="s">
        <v>25</v>
      </c>
      <c r="D1884" t="s">
        <v>81</v>
      </c>
      <c r="E1884" t="s">
        <v>191</v>
      </c>
      <c r="F1884" s="71">
        <v>22</v>
      </c>
      <c r="G1884" s="71">
        <v>0</v>
      </c>
    </row>
    <row r="1885" spans="2:7" x14ac:dyDescent="0.25">
      <c r="B1885" s="70">
        <v>43591</v>
      </c>
      <c r="C1885" t="s">
        <v>25</v>
      </c>
      <c r="D1885" t="s">
        <v>81</v>
      </c>
      <c r="E1885" t="s">
        <v>241</v>
      </c>
      <c r="F1885" s="71">
        <v>3.15</v>
      </c>
      <c r="G1885" s="71">
        <v>0</v>
      </c>
    </row>
    <row r="1886" spans="2:7" x14ac:dyDescent="0.25">
      <c r="B1886" s="70">
        <v>43591</v>
      </c>
      <c r="C1886" t="s">
        <v>46</v>
      </c>
      <c r="D1886" t="s">
        <v>84</v>
      </c>
      <c r="E1886" t="s">
        <v>295</v>
      </c>
      <c r="F1886" s="71">
        <v>4.78</v>
      </c>
      <c r="G1886" s="71">
        <v>0</v>
      </c>
    </row>
    <row r="1887" spans="2:7" x14ac:dyDescent="0.25">
      <c r="B1887" s="70">
        <v>43591</v>
      </c>
      <c r="C1887" t="s">
        <v>56</v>
      </c>
      <c r="D1887" t="s">
        <v>84</v>
      </c>
      <c r="E1887" t="s">
        <v>295</v>
      </c>
      <c r="F1887" s="71">
        <v>76.349999999999994</v>
      </c>
      <c r="G1887" s="71">
        <v>0</v>
      </c>
    </row>
    <row r="1888" spans="2:7" x14ac:dyDescent="0.25">
      <c r="B1888" s="70">
        <v>43591</v>
      </c>
      <c r="C1888" t="s">
        <v>51</v>
      </c>
      <c r="D1888" t="s">
        <v>84</v>
      </c>
      <c r="E1888" t="s">
        <v>295</v>
      </c>
      <c r="F1888" s="71">
        <v>213.19</v>
      </c>
      <c r="G1888" s="71">
        <v>0</v>
      </c>
    </row>
    <row r="1889" spans="2:7" x14ac:dyDescent="0.25">
      <c r="B1889" s="70">
        <v>43591</v>
      </c>
      <c r="C1889" t="s">
        <v>21</v>
      </c>
      <c r="D1889" t="s">
        <v>79</v>
      </c>
      <c r="E1889" t="s">
        <v>295</v>
      </c>
      <c r="F1889" s="71">
        <v>8</v>
      </c>
      <c r="G1889" s="71">
        <v>0</v>
      </c>
    </row>
    <row r="1890" spans="2:7" x14ac:dyDescent="0.25">
      <c r="B1890" s="70">
        <v>43591</v>
      </c>
      <c r="C1890" t="s">
        <v>21</v>
      </c>
      <c r="D1890" t="s">
        <v>79</v>
      </c>
      <c r="E1890" t="s">
        <v>295</v>
      </c>
      <c r="F1890" s="71">
        <v>16</v>
      </c>
      <c r="G1890" s="71">
        <v>0</v>
      </c>
    </row>
    <row r="1891" spans="2:7" x14ac:dyDescent="0.25">
      <c r="B1891" s="70">
        <v>43591</v>
      </c>
      <c r="C1891" t="s">
        <v>21</v>
      </c>
      <c r="D1891" t="s">
        <v>79</v>
      </c>
      <c r="E1891" t="s">
        <v>295</v>
      </c>
      <c r="F1891" s="71">
        <v>24</v>
      </c>
      <c r="G1891" s="71">
        <v>0</v>
      </c>
    </row>
    <row r="1892" spans="2:7" x14ac:dyDescent="0.25">
      <c r="B1892" s="70">
        <v>43591</v>
      </c>
      <c r="C1892" t="s">
        <v>21</v>
      </c>
      <c r="D1892" t="s">
        <v>79</v>
      </c>
      <c r="E1892" t="s">
        <v>295</v>
      </c>
      <c r="F1892" s="71">
        <v>32</v>
      </c>
      <c r="G1892" s="71">
        <v>0</v>
      </c>
    </row>
    <row r="1893" spans="2:7" x14ac:dyDescent="0.25">
      <c r="B1893" s="70">
        <v>43591</v>
      </c>
      <c r="C1893" t="s">
        <v>21</v>
      </c>
      <c r="D1893" t="s">
        <v>79</v>
      </c>
      <c r="E1893" t="s">
        <v>295</v>
      </c>
      <c r="F1893" s="71">
        <v>40</v>
      </c>
      <c r="G1893" s="71">
        <v>0</v>
      </c>
    </row>
    <row r="1894" spans="2:7" x14ac:dyDescent="0.25">
      <c r="B1894" s="70">
        <v>43591</v>
      </c>
      <c r="C1894" t="s">
        <v>21</v>
      </c>
      <c r="D1894" t="s">
        <v>79</v>
      </c>
      <c r="E1894" t="s">
        <v>295</v>
      </c>
      <c r="F1894" s="71">
        <v>56</v>
      </c>
      <c r="G1894" s="71">
        <v>0</v>
      </c>
    </row>
    <row r="1895" spans="2:7" x14ac:dyDescent="0.25">
      <c r="B1895" s="70">
        <v>43591</v>
      </c>
      <c r="C1895" t="s">
        <v>21</v>
      </c>
      <c r="D1895" t="s">
        <v>79</v>
      </c>
      <c r="E1895" t="s">
        <v>295</v>
      </c>
      <c r="F1895" s="71">
        <v>64</v>
      </c>
      <c r="G1895" s="71">
        <v>0</v>
      </c>
    </row>
    <row r="1896" spans="2:7" x14ac:dyDescent="0.25">
      <c r="B1896" s="70">
        <v>43591</v>
      </c>
      <c r="C1896" t="s">
        <v>21</v>
      </c>
      <c r="D1896" t="s">
        <v>79</v>
      </c>
      <c r="E1896" t="s">
        <v>295</v>
      </c>
      <c r="F1896" s="71">
        <v>88</v>
      </c>
      <c r="G1896" s="71">
        <v>0</v>
      </c>
    </row>
    <row r="1897" spans="2:7" x14ac:dyDescent="0.25">
      <c r="B1897" s="70">
        <v>43591</v>
      </c>
      <c r="C1897" t="s">
        <v>21</v>
      </c>
      <c r="D1897" t="s">
        <v>84</v>
      </c>
      <c r="E1897" t="s">
        <v>295</v>
      </c>
      <c r="F1897" s="71">
        <v>380</v>
      </c>
      <c r="G1897" s="71">
        <v>0</v>
      </c>
    </row>
    <row r="1898" spans="2:7" x14ac:dyDescent="0.25">
      <c r="B1898" s="70">
        <v>43591</v>
      </c>
      <c r="C1898" t="s">
        <v>66</v>
      </c>
      <c r="D1898" t="s">
        <v>79</v>
      </c>
      <c r="E1898" t="s">
        <v>295</v>
      </c>
      <c r="F1898" s="71">
        <v>49.79</v>
      </c>
      <c r="G1898" s="71">
        <v>0</v>
      </c>
    </row>
    <row r="1899" spans="2:7" x14ac:dyDescent="0.25">
      <c r="B1899" s="70">
        <v>43591</v>
      </c>
      <c r="C1899" t="s">
        <v>48</v>
      </c>
      <c r="D1899" t="s">
        <v>80</v>
      </c>
      <c r="E1899" t="s">
        <v>295</v>
      </c>
      <c r="F1899" s="71">
        <v>21</v>
      </c>
      <c r="G1899" s="71">
        <v>0</v>
      </c>
    </row>
    <row r="1900" spans="2:7" x14ac:dyDescent="0.25">
      <c r="B1900" s="70">
        <v>43591</v>
      </c>
      <c r="C1900" t="s">
        <v>53</v>
      </c>
      <c r="D1900" t="s">
        <v>85</v>
      </c>
      <c r="E1900" t="s">
        <v>295</v>
      </c>
      <c r="F1900" s="71">
        <v>292.12</v>
      </c>
      <c r="G1900" s="71">
        <v>0</v>
      </c>
    </row>
    <row r="1901" spans="2:7" x14ac:dyDescent="0.25">
      <c r="B1901" s="70">
        <v>43591</v>
      </c>
      <c r="C1901" t="s">
        <v>73</v>
      </c>
      <c r="D1901" t="s">
        <v>84</v>
      </c>
      <c r="E1901" t="s">
        <v>295</v>
      </c>
      <c r="F1901" s="71">
        <v>51.55</v>
      </c>
      <c r="G1901" s="71">
        <v>0</v>
      </c>
    </row>
    <row r="1902" spans="2:7" x14ac:dyDescent="0.25">
      <c r="B1902" s="70">
        <v>43592</v>
      </c>
      <c r="C1902" t="s">
        <v>25</v>
      </c>
      <c r="D1902" t="s">
        <v>80</v>
      </c>
      <c r="E1902" t="s">
        <v>296</v>
      </c>
      <c r="F1902" s="71">
        <v>35.950000000000003</v>
      </c>
      <c r="G1902" s="71">
        <v>0</v>
      </c>
    </row>
    <row r="1903" spans="2:7" x14ac:dyDescent="0.25">
      <c r="B1903" s="70">
        <v>43592</v>
      </c>
      <c r="C1903" t="s">
        <v>25</v>
      </c>
      <c r="D1903" t="s">
        <v>87</v>
      </c>
      <c r="E1903" t="s">
        <v>296</v>
      </c>
      <c r="F1903" s="71">
        <v>25.57</v>
      </c>
      <c r="G1903" s="71">
        <v>0</v>
      </c>
    </row>
    <row r="1904" spans="2:7" x14ac:dyDescent="0.25">
      <c r="B1904" s="70">
        <v>43592</v>
      </c>
      <c r="C1904" t="s">
        <v>25</v>
      </c>
      <c r="D1904" t="s">
        <v>87</v>
      </c>
      <c r="E1904" t="s">
        <v>296</v>
      </c>
      <c r="F1904" s="71">
        <v>36.979999999999997</v>
      </c>
      <c r="G1904" s="71">
        <v>0</v>
      </c>
    </row>
    <row r="1905" spans="2:7" x14ac:dyDescent="0.25">
      <c r="B1905" s="70">
        <v>43592</v>
      </c>
      <c r="C1905" t="s">
        <v>25</v>
      </c>
      <c r="D1905" t="s">
        <v>87</v>
      </c>
      <c r="E1905" t="s">
        <v>296</v>
      </c>
      <c r="F1905" s="71">
        <v>42.03</v>
      </c>
      <c r="G1905" s="71">
        <v>0</v>
      </c>
    </row>
    <row r="1906" spans="2:7" x14ac:dyDescent="0.25">
      <c r="B1906" s="70">
        <v>43592</v>
      </c>
      <c r="C1906" t="s">
        <v>25</v>
      </c>
      <c r="D1906" t="s">
        <v>87</v>
      </c>
      <c r="E1906" t="s">
        <v>296</v>
      </c>
      <c r="F1906" s="71">
        <v>53.37</v>
      </c>
      <c r="G1906" s="71">
        <v>0</v>
      </c>
    </row>
    <row r="1907" spans="2:7" x14ac:dyDescent="0.25">
      <c r="B1907" s="70">
        <v>43592</v>
      </c>
      <c r="C1907" t="s">
        <v>25</v>
      </c>
      <c r="D1907" t="s">
        <v>87</v>
      </c>
      <c r="E1907" t="s">
        <v>296</v>
      </c>
      <c r="F1907" s="71">
        <v>64.31</v>
      </c>
      <c r="G1907" s="71">
        <v>0</v>
      </c>
    </row>
    <row r="1908" spans="2:7" x14ac:dyDescent="0.25">
      <c r="B1908" s="70">
        <v>43592</v>
      </c>
      <c r="C1908" t="s">
        <v>25</v>
      </c>
      <c r="D1908" t="s">
        <v>87</v>
      </c>
      <c r="E1908" t="s">
        <v>296</v>
      </c>
      <c r="F1908" s="71">
        <v>163.47999999999999</v>
      </c>
      <c r="G1908" s="71">
        <v>0</v>
      </c>
    </row>
    <row r="1909" spans="2:7" x14ac:dyDescent="0.25">
      <c r="B1909" s="70">
        <v>43592</v>
      </c>
      <c r="C1909" t="s">
        <v>25</v>
      </c>
      <c r="D1909" t="s">
        <v>100</v>
      </c>
      <c r="E1909" t="s">
        <v>255</v>
      </c>
      <c r="F1909" s="71">
        <v>10</v>
      </c>
      <c r="G1909" s="71">
        <v>0</v>
      </c>
    </row>
    <row r="1910" spans="2:7" x14ac:dyDescent="0.25">
      <c r="B1910" s="70">
        <v>43592</v>
      </c>
      <c r="C1910" t="s">
        <v>25</v>
      </c>
      <c r="D1910" t="s">
        <v>81</v>
      </c>
      <c r="E1910" t="s">
        <v>191</v>
      </c>
      <c r="F1910" s="71">
        <v>22</v>
      </c>
      <c r="G1910" s="71">
        <v>0</v>
      </c>
    </row>
    <row r="1911" spans="2:7" x14ac:dyDescent="0.25">
      <c r="B1911" s="70">
        <v>43592</v>
      </c>
      <c r="C1911" t="s">
        <v>54</v>
      </c>
      <c r="D1911" t="s">
        <v>80</v>
      </c>
      <c r="E1911" t="s">
        <v>296</v>
      </c>
      <c r="F1911" s="71">
        <v>142.87</v>
      </c>
      <c r="G1911" s="71">
        <v>0</v>
      </c>
    </row>
    <row r="1912" spans="2:7" x14ac:dyDescent="0.25">
      <c r="B1912" s="70">
        <v>43592</v>
      </c>
      <c r="C1912" t="s">
        <v>51</v>
      </c>
      <c r="D1912" t="s">
        <v>84</v>
      </c>
      <c r="E1912" t="s">
        <v>296</v>
      </c>
      <c r="F1912" s="71">
        <v>360.16</v>
      </c>
      <c r="G1912" s="71">
        <v>0</v>
      </c>
    </row>
    <row r="1913" spans="2:7" x14ac:dyDescent="0.25">
      <c r="B1913" s="70">
        <v>43592</v>
      </c>
      <c r="C1913" t="s">
        <v>44</v>
      </c>
      <c r="D1913" t="s">
        <v>80</v>
      </c>
      <c r="E1913" t="s">
        <v>296</v>
      </c>
      <c r="F1913" s="71">
        <v>5.16</v>
      </c>
      <c r="G1913" s="71">
        <v>0</v>
      </c>
    </row>
    <row r="1914" spans="2:7" x14ac:dyDescent="0.25">
      <c r="B1914" s="70">
        <v>43592</v>
      </c>
      <c r="C1914" t="s">
        <v>21</v>
      </c>
      <c r="D1914" t="s">
        <v>79</v>
      </c>
      <c r="E1914" t="s">
        <v>296</v>
      </c>
      <c r="F1914" s="71">
        <v>8</v>
      </c>
      <c r="G1914" s="71">
        <v>0</v>
      </c>
    </row>
    <row r="1915" spans="2:7" x14ac:dyDescent="0.25">
      <c r="B1915" s="70">
        <v>43592</v>
      </c>
      <c r="C1915" t="s">
        <v>21</v>
      </c>
      <c r="D1915" t="s">
        <v>79</v>
      </c>
      <c r="E1915" t="s">
        <v>296</v>
      </c>
      <c r="F1915" s="71">
        <v>16</v>
      </c>
      <c r="G1915" s="71">
        <v>0</v>
      </c>
    </row>
    <row r="1916" spans="2:7" x14ac:dyDescent="0.25">
      <c r="B1916" s="70">
        <v>43592</v>
      </c>
      <c r="C1916" t="s">
        <v>21</v>
      </c>
      <c r="D1916" t="s">
        <v>79</v>
      </c>
      <c r="E1916" t="s">
        <v>296</v>
      </c>
      <c r="F1916" s="71">
        <v>24</v>
      </c>
      <c r="G1916" s="71">
        <v>0</v>
      </c>
    </row>
    <row r="1917" spans="2:7" x14ac:dyDescent="0.25">
      <c r="B1917" s="70">
        <v>43592</v>
      </c>
      <c r="C1917" t="s">
        <v>21</v>
      </c>
      <c r="D1917" t="s">
        <v>79</v>
      </c>
      <c r="E1917" t="s">
        <v>296</v>
      </c>
      <c r="F1917" s="71">
        <v>56</v>
      </c>
      <c r="G1917" s="71">
        <v>0</v>
      </c>
    </row>
    <row r="1918" spans="2:7" x14ac:dyDescent="0.25">
      <c r="B1918" s="70">
        <v>43592</v>
      </c>
      <c r="C1918" t="s">
        <v>21</v>
      </c>
      <c r="D1918" t="s">
        <v>79</v>
      </c>
      <c r="E1918" t="s">
        <v>296</v>
      </c>
      <c r="F1918" s="71">
        <v>80</v>
      </c>
      <c r="G1918" s="71">
        <v>0</v>
      </c>
    </row>
    <row r="1919" spans="2:7" x14ac:dyDescent="0.25">
      <c r="B1919" s="70">
        <v>43592</v>
      </c>
      <c r="C1919" t="s">
        <v>21</v>
      </c>
      <c r="D1919" t="s">
        <v>106</v>
      </c>
      <c r="E1919" t="s">
        <v>297</v>
      </c>
      <c r="F1919" s="71">
        <v>114.74</v>
      </c>
      <c r="G1919" s="71">
        <v>0</v>
      </c>
    </row>
    <row r="1920" spans="2:7" x14ac:dyDescent="0.25">
      <c r="B1920" s="70">
        <v>43592</v>
      </c>
      <c r="C1920" t="s">
        <v>21</v>
      </c>
      <c r="D1920" t="s">
        <v>84</v>
      </c>
      <c r="E1920" t="s">
        <v>296</v>
      </c>
      <c r="F1920" s="71">
        <v>147.9</v>
      </c>
      <c r="G1920" s="71">
        <v>0</v>
      </c>
    </row>
    <row r="1921" spans="2:7" x14ac:dyDescent="0.25">
      <c r="B1921" s="70">
        <v>43592</v>
      </c>
      <c r="C1921" t="s">
        <v>66</v>
      </c>
      <c r="D1921" t="s">
        <v>84</v>
      </c>
      <c r="E1921" t="s">
        <v>296</v>
      </c>
      <c r="F1921" s="71">
        <v>26.2</v>
      </c>
      <c r="G1921" s="71">
        <v>0</v>
      </c>
    </row>
    <row r="1922" spans="2:7" x14ac:dyDescent="0.25">
      <c r="B1922" s="70">
        <v>43592</v>
      </c>
      <c r="C1922" t="s">
        <v>45</v>
      </c>
      <c r="D1922" t="s">
        <v>83</v>
      </c>
      <c r="E1922" t="s">
        <v>296</v>
      </c>
      <c r="F1922" s="71">
        <v>84.53</v>
      </c>
      <c r="G1922" s="71">
        <v>0</v>
      </c>
    </row>
    <row r="1923" spans="2:7" x14ac:dyDescent="0.25">
      <c r="B1923" s="70">
        <v>43592</v>
      </c>
      <c r="C1923" t="s">
        <v>45</v>
      </c>
      <c r="D1923" t="s">
        <v>84</v>
      </c>
      <c r="E1923" t="s">
        <v>296</v>
      </c>
      <c r="F1923" s="71">
        <v>23.05</v>
      </c>
      <c r="G1923" s="71">
        <v>0</v>
      </c>
    </row>
    <row r="1924" spans="2:7" x14ac:dyDescent="0.25">
      <c r="B1924" s="70">
        <v>43592</v>
      </c>
      <c r="C1924" t="s">
        <v>52</v>
      </c>
      <c r="D1924" t="s">
        <v>79</v>
      </c>
      <c r="E1924" t="s">
        <v>296</v>
      </c>
      <c r="F1924" s="71">
        <v>21.06</v>
      </c>
      <c r="G1924" s="71">
        <v>0</v>
      </c>
    </row>
    <row r="1925" spans="2:7" x14ac:dyDescent="0.25">
      <c r="B1925" s="70">
        <v>43592</v>
      </c>
      <c r="C1925" t="s">
        <v>65</v>
      </c>
      <c r="D1925" t="s">
        <v>85</v>
      </c>
      <c r="E1925" t="s">
        <v>296</v>
      </c>
      <c r="F1925" s="71">
        <v>30</v>
      </c>
      <c r="G1925" s="71">
        <v>0</v>
      </c>
    </row>
    <row r="1926" spans="2:7" x14ac:dyDescent="0.25">
      <c r="B1926" s="70">
        <v>43592</v>
      </c>
      <c r="C1926" t="s">
        <v>24</v>
      </c>
      <c r="D1926" t="s">
        <v>79</v>
      </c>
      <c r="E1926" t="s">
        <v>296</v>
      </c>
      <c r="F1926" s="71">
        <v>8</v>
      </c>
      <c r="G1926" s="71">
        <v>0</v>
      </c>
    </row>
    <row r="1927" spans="2:7" x14ac:dyDescent="0.25">
      <c r="B1927" s="70">
        <v>43592</v>
      </c>
      <c r="C1927" t="s">
        <v>60</v>
      </c>
      <c r="D1927" t="s">
        <v>79</v>
      </c>
      <c r="E1927" t="s">
        <v>296</v>
      </c>
      <c r="F1927" s="71">
        <v>159.9</v>
      </c>
      <c r="G1927" s="71">
        <v>0</v>
      </c>
    </row>
    <row r="1928" spans="2:7" x14ac:dyDescent="0.25">
      <c r="B1928" s="70">
        <v>43593</v>
      </c>
      <c r="C1928" t="s">
        <v>25</v>
      </c>
      <c r="D1928" t="s">
        <v>81</v>
      </c>
      <c r="E1928" t="s">
        <v>216</v>
      </c>
      <c r="F1928" s="71">
        <v>3.6</v>
      </c>
      <c r="G1928" s="71">
        <v>0</v>
      </c>
    </row>
    <row r="1929" spans="2:7" x14ac:dyDescent="0.25">
      <c r="B1929" s="70">
        <v>43593</v>
      </c>
      <c r="C1929" t="s">
        <v>25</v>
      </c>
      <c r="D1929" t="s">
        <v>81</v>
      </c>
      <c r="E1929" t="s">
        <v>176</v>
      </c>
      <c r="F1929" s="71">
        <v>16.350000000000001</v>
      </c>
      <c r="G1929" s="71">
        <v>0</v>
      </c>
    </row>
    <row r="1930" spans="2:7" x14ac:dyDescent="0.25">
      <c r="B1930" s="70">
        <v>43593</v>
      </c>
      <c r="C1930" t="s">
        <v>25</v>
      </c>
      <c r="D1930" t="s">
        <v>81</v>
      </c>
      <c r="E1930" t="s">
        <v>133</v>
      </c>
      <c r="F1930" s="71">
        <v>4.8</v>
      </c>
      <c r="G1930" s="71">
        <v>0</v>
      </c>
    </row>
    <row r="1931" spans="2:7" x14ac:dyDescent="0.25">
      <c r="B1931" s="70">
        <v>43593</v>
      </c>
      <c r="C1931" t="s">
        <v>25</v>
      </c>
      <c r="D1931" t="s">
        <v>84</v>
      </c>
      <c r="E1931" t="s">
        <v>298</v>
      </c>
      <c r="F1931" s="71">
        <v>12</v>
      </c>
      <c r="G1931" s="71">
        <v>0</v>
      </c>
    </row>
    <row r="1932" spans="2:7" x14ac:dyDescent="0.25">
      <c r="B1932" s="70">
        <v>43593</v>
      </c>
      <c r="C1932" t="s">
        <v>54</v>
      </c>
      <c r="D1932" t="s">
        <v>79</v>
      </c>
      <c r="E1932" t="s">
        <v>298</v>
      </c>
      <c r="F1932" s="71">
        <v>12.64</v>
      </c>
      <c r="G1932" s="71">
        <v>0</v>
      </c>
    </row>
    <row r="1933" spans="2:7" x14ac:dyDescent="0.25">
      <c r="B1933" s="70">
        <v>43593</v>
      </c>
      <c r="C1933" t="s">
        <v>54</v>
      </c>
      <c r="D1933" t="s">
        <v>80</v>
      </c>
      <c r="E1933" t="s">
        <v>298</v>
      </c>
      <c r="F1933" s="71">
        <v>0</v>
      </c>
      <c r="G1933" s="71">
        <v>129.9</v>
      </c>
    </row>
    <row r="1934" spans="2:7" x14ac:dyDescent="0.25">
      <c r="B1934" s="70">
        <v>43593</v>
      </c>
      <c r="C1934" t="s">
        <v>46</v>
      </c>
      <c r="D1934" t="s">
        <v>84</v>
      </c>
      <c r="E1934" t="s">
        <v>298</v>
      </c>
      <c r="F1934" s="71">
        <v>24</v>
      </c>
      <c r="G1934" s="71">
        <v>0</v>
      </c>
    </row>
    <row r="1935" spans="2:7" x14ac:dyDescent="0.25">
      <c r="B1935" s="70">
        <v>43593</v>
      </c>
      <c r="C1935" t="s">
        <v>56</v>
      </c>
      <c r="D1935" t="s">
        <v>84</v>
      </c>
      <c r="E1935" t="s">
        <v>298</v>
      </c>
      <c r="F1935" s="71">
        <v>38</v>
      </c>
      <c r="G1935" s="71">
        <v>0</v>
      </c>
    </row>
    <row r="1936" spans="2:7" x14ac:dyDescent="0.25">
      <c r="B1936" s="70">
        <v>43593</v>
      </c>
      <c r="C1936" t="s">
        <v>21</v>
      </c>
      <c r="D1936" t="s">
        <v>79</v>
      </c>
      <c r="E1936" t="s">
        <v>298</v>
      </c>
      <c r="F1936" s="71">
        <v>8</v>
      </c>
      <c r="G1936" s="71">
        <v>0</v>
      </c>
    </row>
    <row r="1937" spans="2:7" x14ac:dyDescent="0.25">
      <c r="B1937" s="70">
        <v>43593</v>
      </c>
      <c r="C1937" t="s">
        <v>21</v>
      </c>
      <c r="D1937" t="s">
        <v>79</v>
      </c>
      <c r="E1937" t="s">
        <v>298</v>
      </c>
      <c r="F1937" s="71">
        <v>16</v>
      </c>
      <c r="G1937" s="71">
        <v>0</v>
      </c>
    </row>
    <row r="1938" spans="2:7" x14ac:dyDescent="0.25">
      <c r="B1938" s="70">
        <v>43593</v>
      </c>
      <c r="C1938" t="s">
        <v>21</v>
      </c>
      <c r="D1938" t="s">
        <v>79</v>
      </c>
      <c r="E1938" t="s">
        <v>298</v>
      </c>
      <c r="F1938" s="71">
        <v>24</v>
      </c>
      <c r="G1938" s="71">
        <v>0</v>
      </c>
    </row>
    <row r="1939" spans="2:7" x14ac:dyDescent="0.25">
      <c r="B1939" s="70">
        <v>43593</v>
      </c>
      <c r="C1939" t="s">
        <v>52</v>
      </c>
      <c r="D1939" t="s">
        <v>85</v>
      </c>
      <c r="E1939" t="s">
        <v>298</v>
      </c>
      <c r="F1939" s="71">
        <v>85.7</v>
      </c>
      <c r="G1939" s="71">
        <v>0</v>
      </c>
    </row>
    <row r="1940" spans="2:7" x14ac:dyDescent="0.25">
      <c r="B1940" s="70">
        <v>43594</v>
      </c>
      <c r="C1940" t="s">
        <v>25</v>
      </c>
      <c r="D1940" t="s">
        <v>79</v>
      </c>
      <c r="E1940" t="s">
        <v>299</v>
      </c>
      <c r="F1940" s="71">
        <v>24</v>
      </c>
      <c r="G1940" s="71">
        <v>0</v>
      </c>
    </row>
    <row r="1941" spans="2:7" x14ac:dyDescent="0.25">
      <c r="B1941" s="70">
        <v>43594</v>
      </c>
      <c r="C1941" t="s">
        <v>25</v>
      </c>
      <c r="D1941" t="s">
        <v>87</v>
      </c>
      <c r="E1941" t="s">
        <v>299</v>
      </c>
      <c r="F1941" s="71">
        <v>20.67</v>
      </c>
      <c r="G1941" s="71">
        <v>0</v>
      </c>
    </row>
    <row r="1942" spans="2:7" x14ac:dyDescent="0.25">
      <c r="B1942" s="70">
        <v>43594</v>
      </c>
      <c r="C1942" t="s">
        <v>25</v>
      </c>
      <c r="D1942" t="s">
        <v>87</v>
      </c>
      <c r="E1942" t="s">
        <v>299</v>
      </c>
      <c r="F1942" s="71">
        <v>32.799999999999997</v>
      </c>
      <c r="G1942" s="71">
        <v>0</v>
      </c>
    </row>
    <row r="1943" spans="2:7" x14ac:dyDescent="0.25">
      <c r="B1943" s="70">
        <v>43594</v>
      </c>
      <c r="C1943" t="s">
        <v>25</v>
      </c>
      <c r="D1943" t="s">
        <v>87</v>
      </c>
      <c r="E1943" t="s">
        <v>299</v>
      </c>
      <c r="F1943" s="71">
        <v>32.82</v>
      </c>
      <c r="G1943" s="71">
        <v>0</v>
      </c>
    </row>
    <row r="1944" spans="2:7" x14ac:dyDescent="0.25">
      <c r="B1944" s="70">
        <v>43594</v>
      </c>
      <c r="C1944" t="s">
        <v>25</v>
      </c>
      <c r="D1944" t="s">
        <v>87</v>
      </c>
      <c r="E1944" t="s">
        <v>299</v>
      </c>
      <c r="F1944" s="71">
        <v>39.44</v>
      </c>
      <c r="G1944" s="71">
        <v>0</v>
      </c>
    </row>
    <row r="1945" spans="2:7" x14ac:dyDescent="0.25">
      <c r="B1945" s="70">
        <v>43594</v>
      </c>
      <c r="C1945" t="s">
        <v>25</v>
      </c>
      <c r="D1945" t="s">
        <v>87</v>
      </c>
      <c r="E1945" t="s">
        <v>299</v>
      </c>
      <c r="F1945" s="71">
        <v>43.38</v>
      </c>
      <c r="G1945" s="71">
        <v>0</v>
      </c>
    </row>
    <row r="1946" spans="2:7" x14ac:dyDescent="0.25">
      <c r="B1946" s="70">
        <v>43594</v>
      </c>
      <c r="C1946" t="s">
        <v>25</v>
      </c>
      <c r="D1946" t="s">
        <v>81</v>
      </c>
      <c r="E1946" t="s">
        <v>203</v>
      </c>
      <c r="F1946" s="71">
        <v>5.55</v>
      </c>
      <c r="G1946" s="71">
        <v>0</v>
      </c>
    </row>
    <row r="1947" spans="2:7" x14ac:dyDescent="0.25">
      <c r="B1947" s="70">
        <v>43594</v>
      </c>
      <c r="C1947" t="s">
        <v>25</v>
      </c>
      <c r="D1947" t="s">
        <v>81</v>
      </c>
      <c r="E1947" t="s">
        <v>253</v>
      </c>
      <c r="F1947" s="71">
        <v>1.8</v>
      </c>
      <c r="G1947" s="71">
        <v>0</v>
      </c>
    </row>
    <row r="1948" spans="2:7" x14ac:dyDescent="0.25">
      <c r="B1948" s="70">
        <v>43594</v>
      </c>
      <c r="C1948" t="s">
        <v>25</v>
      </c>
      <c r="D1948" t="s">
        <v>84</v>
      </c>
      <c r="E1948" t="s">
        <v>299</v>
      </c>
      <c r="F1948" s="71">
        <v>5.4</v>
      </c>
      <c r="G1948" s="71">
        <v>0</v>
      </c>
    </row>
    <row r="1949" spans="2:7" x14ac:dyDescent="0.25">
      <c r="B1949" s="70">
        <v>43594</v>
      </c>
      <c r="C1949" t="s">
        <v>25</v>
      </c>
      <c r="D1949" t="s">
        <v>84</v>
      </c>
      <c r="E1949" t="s">
        <v>299</v>
      </c>
      <c r="F1949" s="71">
        <v>60</v>
      </c>
      <c r="G1949" s="71">
        <v>0</v>
      </c>
    </row>
    <row r="1950" spans="2:7" x14ac:dyDescent="0.25">
      <c r="B1950" s="70">
        <v>43594</v>
      </c>
      <c r="C1950" t="s">
        <v>54</v>
      </c>
      <c r="D1950" t="s">
        <v>91</v>
      </c>
      <c r="E1950" t="s">
        <v>299</v>
      </c>
      <c r="F1950" s="71">
        <v>90.05</v>
      </c>
      <c r="G1950" s="71">
        <v>0</v>
      </c>
    </row>
    <row r="1951" spans="2:7" x14ac:dyDescent="0.25">
      <c r="B1951" s="70">
        <v>43594</v>
      </c>
      <c r="C1951" t="s">
        <v>21</v>
      </c>
      <c r="D1951" t="s">
        <v>79</v>
      </c>
      <c r="E1951" t="s">
        <v>299</v>
      </c>
      <c r="F1951" s="71">
        <v>8</v>
      </c>
      <c r="G1951" s="71">
        <v>0</v>
      </c>
    </row>
    <row r="1952" spans="2:7" x14ac:dyDescent="0.25">
      <c r="B1952" s="70">
        <v>43594</v>
      </c>
      <c r="C1952" t="s">
        <v>21</v>
      </c>
      <c r="D1952" t="s">
        <v>79</v>
      </c>
      <c r="E1952" t="s">
        <v>299</v>
      </c>
      <c r="F1952" s="71">
        <v>16</v>
      </c>
      <c r="G1952" s="71">
        <v>0</v>
      </c>
    </row>
    <row r="1953" spans="2:7" x14ac:dyDescent="0.25">
      <c r="B1953" s="70">
        <v>43594</v>
      </c>
      <c r="C1953" t="s">
        <v>21</v>
      </c>
      <c r="D1953" t="s">
        <v>79</v>
      </c>
      <c r="E1953" t="s">
        <v>299</v>
      </c>
      <c r="F1953" s="71">
        <v>56</v>
      </c>
      <c r="G1953" s="71">
        <v>0</v>
      </c>
    </row>
    <row r="1954" spans="2:7" x14ac:dyDescent="0.25">
      <c r="B1954" s="70">
        <v>43594</v>
      </c>
      <c r="C1954" t="s">
        <v>48</v>
      </c>
      <c r="D1954" t="s">
        <v>80</v>
      </c>
      <c r="E1954" t="s">
        <v>299</v>
      </c>
      <c r="F1954" s="71">
        <v>29.5</v>
      </c>
      <c r="G1954" s="71">
        <v>0</v>
      </c>
    </row>
    <row r="1955" spans="2:7" x14ac:dyDescent="0.25">
      <c r="B1955" s="70">
        <v>43594</v>
      </c>
      <c r="C1955" t="s">
        <v>49</v>
      </c>
      <c r="D1955" t="s">
        <v>84</v>
      </c>
      <c r="E1955" t="s">
        <v>299</v>
      </c>
      <c r="F1955" s="71">
        <v>8</v>
      </c>
      <c r="G1955" s="71">
        <v>0</v>
      </c>
    </row>
    <row r="1956" spans="2:7" x14ac:dyDescent="0.25">
      <c r="B1956" s="70">
        <v>43594</v>
      </c>
      <c r="C1956" t="s">
        <v>52</v>
      </c>
      <c r="D1956" t="s">
        <v>86</v>
      </c>
      <c r="E1956" t="s">
        <v>299</v>
      </c>
      <c r="F1956" s="71">
        <v>28.95</v>
      </c>
      <c r="G1956" s="71">
        <v>0</v>
      </c>
    </row>
    <row r="1957" spans="2:7" x14ac:dyDescent="0.25">
      <c r="B1957" s="70">
        <v>43594</v>
      </c>
      <c r="C1957" t="s">
        <v>24</v>
      </c>
      <c r="D1957" t="s">
        <v>79</v>
      </c>
      <c r="E1957" t="s">
        <v>299</v>
      </c>
      <c r="F1957" s="71">
        <v>8</v>
      </c>
      <c r="G1957" s="71">
        <v>0</v>
      </c>
    </row>
    <row r="1958" spans="2:7" x14ac:dyDescent="0.25">
      <c r="B1958" s="70">
        <v>43594</v>
      </c>
      <c r="C1958" t="s">
        <v>60</v>
      </c>
      <c r="D1958" t="s">
        <v>79</v>
      </c>
      <c r="E1958" t="s">
        <v>299</v>
      </c>
      <c r="F1958" s="71">
        <v>14.5</v>
      </c>
      <c r="G1958" s="71">
        <v>0</v>
      </c>
    </row>
    <row r="1959" spans="2:7" x14ac:dyDescent="0.25">
      <c r="B1959" s="70">
        <v>43595</v>
      </c>
      <c r="C1959" t="s">
        <v>25</v>
      </c>
      <c r="D1959" t="s">
        <v>79</v>
      </c>
      <c r="E1959" t="s">
        <v>300</v>
      </c>
      <c r="F1959" s="71">
        <v>32</v>
      </c>
      <c r="G1959" s="71">
        <v>0</v>
      </c>
    </row>
    <row r="1960" spans="2:7" x14ac:dyDescent="0.25">
      <c r="B1960" s="70">
        <v>43595</v>
      </c>
      <c r="C1960" t="s">
        <v>25</v>
      </c>
      <c r="D1960" t="s">
        <v>85</v>
      </c>
      <c r="E1960" t="s">
        <v>300</v>
      </c>
      <c r="F1960" s="71">
        <v>25.06</v>
      </c>
      <c r="G1960" s="71">
        <v>0</v>
      </c>
    </row>
    <row r="1961" spans="2:7" x14ac:dyDescent="0.25">
      <c r="B1961" s="70">
        <v>43595</v>
      </c>
      <c r="C1961" t="s">
        <v>25</v>
      </c>
      <c r="D1961" t="s">
        <v>85</v>
      </c>
      <c r="E1961" t="s">
        <v>300</v>
      </c>
      <c r="F1961" s="71">
        <v>30</v>
      </c>
      <c r="G1961" s="71">
        <v>0</v>
      </c>
    </row>
    <row r="1962" spans="2:7" x14ac:dyDescent="0.25">
      <c r="B1962" s="70">
        <v>43595</v>
      </c>
      <c r="C1962" t="s">
        <v>25</v>
      </c>
      <c r="D1962" t="s">
        <v>80</v>
      </c>
      <c r="E1962" t="s">
        <v>300</v>
      </c>
      <c r="F1962" s="71">
        <v>9.5</v>
      </c>
      <c r="G1962" s="71">
        <v>0</v>
      </c>
    </row>
    <row r="1963" spans="2:7" x14ac:dyDescent="0.25">
      <c r="B1963" s="70">
        <v>43595</v>
      </c>
      <c r="C1963" t="s">
        <v>25</v>
      </c>
      <c r="D1963" t="s">
        <v>87</v>
      </c>
      <c r="E1963" t="s">
        <v>300</v>
      </c>
      <c r="F1963" s="71">
        <v>13.99</v>
      </c>
      <c r="G1963" s="71">
        <v>0</v>
      </c>
    </row>
    <row r="1964" spans="2:7" x14ac:dyDescent="0.25">
      <c r="B1964" s="70">
        <v>43595</v>
      </c>
      <c r="C1964" t="s">
        <v>25</v>
      </c>
      <c r="D1964" t="s">
        <v>87</v>
      </c>
      <c r="E1964" t="s">
        <v>300</v>
      </c>
      <c r="F1964" s="71">
        <v>18.88</v>
      </c>
      <c r="G1964" s="71">
        <v>0</v>
      </c>
    </row>
    <row r="1965" spans="2:7" x14ac:dyDescent="0.25">
      <c r="B1965" s="70">
        <v>43595</v>
      </c>
      <c r="C1965" t="s">
        <v>25</v>
      </c>
      <c r="D1965" t="s">
        <v>87</v>
      </c>
      <c r="E1965" t="s">
        <v>300</v>
      </c>
      <c r="F1965" s="71">
        <v>21.2</v>
      </c>
      <c r="G1965" s="71">
        <v>0</v>
      </c>
    </row>
    <row r="1966" spans="2:7" x14ac:dyDescent="0.25">
      <c r="B1966" s="70">
        <v>43595</v>
      </c>
      <c r="C1966" t="s">
        <v>25</v>
      </c>
      <c r="D1966" t="s">
        <v>87</v>
      </c>
      <c r="E1966" t="s">
        <v>300</v>
      </c>
      <c r="F1966" s="71">
        <v>45.28</v>
      </c>
      <c r="G1966" s="71">
        <v>0</v>
      </c>
    </row>
    <row r="1967" spans="2:7" x14ac:dyDescent="0.25">
      <c r="B1967" s="70">
        <v>43595</v>
      </c>
      <c r="C1967" t="s">
        <v>25</v>
      </c>
      <c r="D1967" t="s">
        <v>87</v>
      </c>
      <c r="E1967" t="s">
        <v>300</v>
      </c>
      <c r="F1967" s="71">
        <v>71.5</v>
      </c>
      <c r="G1967" s="71">
        <v>0</v>
      </c>
    </row>
    <row r="1968" spans="2:7" x14ac:dyDescent="0.25">
      <c r="B1968" s="70">
        <v>43595</v>
      </c>
      <c r="C1968" t="s">
        <v>25</v>
      </c>
      <c r="D1968" t="s">
        <v>87</v>
      </c>
      <c r="E1968" t="s">
        <v>300</v>
      </c>
      <c r="F1968" s="71">
        <v>94.69</v>
      </c>
      <c r="G1968" s="71">
        <v>0</v>
      </c>
    </row>
    <row r="1969" spans="2:7" x14ac:dyDescent="0.25">
      <c r="B1969" s="70">
        <v>43595</v>
      </c>
      <c r="C1969" t="s">
        <v>25</v>
      </c>
      <c r="D1969" t="s">
        <v>81</v>
      </c>
      <c r="E1969" t="s">
        <v>137</v>
      </c>
      <c r="F1969" s="71">
        <v>12</v>
      </c>
      <c r="G1969" s="71">
        <v>0</v>
      </c>
    </row>
    <row r="1970" spans="2:7" x14ac:dyDescent="0.25">
      <c r="B1970" s="70">
        <v>43595</v>
      </c>
      <c r="C1970" t="s">
        <v>25</v>
      </c>
      <c r="D1970" t="s">
        <v>81</v>
      </c>
      <c r="E1970" t="s">
        <v>207</v>
      </c>
      <c r="F1970" s="71">
        <v>9.5500000000000007</v>
      </c>
      <c r="G1970" s="71">
        <v>0</v>
      </c>
    </row>
    <row r="1971" spans="2:7" x14ac:dyDescent="0.25">
      <c r="B1971" s="70">
        <v>43595</v>
      </c>
      <c r="C1971" t="s">
        <v>25</v>
      </c>
      <c r="D1971" t="s">
        <v>81</v>
      </c>
      <c r="E1971" t="s">
        <v>213</v>
      </c>
      <c r="F1971" s="71">
        <v>15</v>
      </c>
      <c r="G1971" s="71">
        <v>0</v>
      </c>
    </row>
    <row r="1972" spans="2:7" x14ac:dyDescent="0.25">
      <c r="B1972" s="70">
        <v>43595</v>
      </c>
      <c r="C1972" t="s">
        <v>25</v>
      </c>
      <c r="D1972" t="s">
        <v>107</v>
      </c>
      <c r="E1972" t="s">
        <v>301</v>
      </c>
      <c r="F1972" s="71">
        <v>38.03</v>
      </c>
      <c r="G1972" s="71">
        <v>0</v>
      </c>
    </row>
    <row r="1973" spans="2:7" x14ac:dyDescent="0.25">
      <c r="B1973" s="70">
        <v>43595</v>
      </c>
      <c r="C1973" t="s">
        <v>25</v>
      </c>
      <c r="D1973" t="s">
        <v>107</v>
      </c>
      <c r="E1973" t="s">
        <v>301</v>
      </c>
      <c r="F1973" s="71">
        <v>52.97</v>
      </c>
      <c r="G1973" s="71">
        <v>0</v>
      </c>
    </row>
    <row r="1974" spans="2:7" x14ac:dyDescent="0.25">
      <c r="B1974" s="70">
        <v>43595</v>
      </c>
      <c r="C1974" t="s">
        <v>25</v>
      </c>
      <c r="D1974" t="s">
        <v>107</v>
      </c>
      <c r="E1974" t="s">
        <v>301</v>
      </c>
      <c r="F1974" s="71">
        <v>67.13</v>
      </c>
      <c r="G1974" s="71">
        <v>0</v>
      </c>
    </row>
    <row r="1975" spans="2:7" x14ac:dyDescent="0.25">
      <c r="B1975" s="70">
        <v>43595</v>
      </c>
      <c r="C1975" t="s">
        <v>25</v>
      </c>
      <c r="D1975" t="s">
        <v>107</v>
      </c>
      <c r="E1975" t="s">
        <v>301</v>
      </c>
      <c r="F1975" s="71">
        <v>74.62</v>
      </c>
      <c r="G1975" s="71">
        <v>0</v>
      </c>
    </row>
    <row r="1976" spans="2:7" x14ac:dyDescent="0.25">
      <c r="B1976" s="70">
        <v>43595</v>
      </c>
      <c r="C1976" t="s">
        <v>25</v>
      </c>
      <c r="D1976" t="s">
        <v>107</v>
      </c>
      <c r="E1976" t="s">
        <v>301</v>
      </c>
      <c r="F1976" s="71">
        <v>83.57</v>
      </c>
      <c r="G1976" s="71">
        <v>0</v>
      </c>
    </row>
    <row r="1977" spans="2:7" x14ac:dyDescent="0.25">
      <c r="B1977" s="70">
        <v>43595</v>
      </c>
      <c r="C1977" t="s">
        <v>25</v>
      </c>
      <c r="D1977" t="s">
        <v>107</v>
      </c>
      <c r="E1977" t="s">
        <v>301</v>
      </c>
      <c r="F1977" s="71">
        <v>85.06</v>
      </c>
      <c r="G1977" s="71">
        <v>0</v>
      </c>
    </row>
    <row r="1978" spans="2:7" x14ac:dyDescent="0.25">
      <c r="B1978" s="70">
        <v>43595</v>
      </c>
      <c r="C1978" t="s">
        <v>25</v>
      </c>
      <c r="D1978" t="s">
        <v>107</v>
      </c>
      <c r="E1978" t="s">
        <v>301</v>
      </c>
      <c r="F1978" s="71">
        <v>86.68</v>
      </c>
      <c r="G1978" s="71">
        <v>0</v>
      </c>
    </row>
    <row r="1979" spans="2:7" x14ac:dyDescent="0.25">
      <c r="B1979" s="70">
        <v>43595</v>
      </c>
      <c r="C1979" t="s">
        <v>25</v>
      </c>
      <c r="D1979" t="s">
        <v>107</v>
      </c>
      <c r="E1979" t="s">
        <v>301</v>
      </c>
      <c r="F1979" s="71">
        <v>409.39</v>
      </c>
      <c r="G1979" s="71">
        <v>0</v>
      </c>
    </row>
    <row r="1980" spans="2:7" x14ac:dyDescent="0.25">
      <c r="B1980" s="70">
        <v>43595</v>
      </c>
      <c r="C1980" t="s">
        <v>25</v>
      </c>
      <c r="D1980" t="s">
        <v>84</v>
      </c>
      <c r="E1980" t="s">
        <v>300</v>
      </c>
      <c r="F1980" s="71">
        <v>12</v>
      </c>
      <c r="G1980" s="71">
        <v>0</v>
      </c>
    </row>
    <row r="1981" spans="2:7" x14ac:dyDescent="0.25">
      <c r="B1981" s="70">
        <v>43595</v>
      </c>
      <c r="C1981" t="s">
        <v>54</v>
      </c>
      <c r="D1981" t="s">
        <v>107</v>
      </c>
      <c r="E1981" t="s">
        <v>301</v>
      </c>
      <c r="F1981" s="71">
        <v>1065.6300000000001</v>
      </c>
      <c r="G1981" s="71">
        <v>0</v>
      </c>
    </row>
    <row r="1982" spans="2:7" x14ac:dyDescent="0.25">
      <c r="B1982" s="70">
        <v>43595</v>
      </c>
      <c r="C1982" t="s">
        <v>46</v>
      </c>
      <c r="D1982" t="s">
        <v>107</v>
      </c>
      <c r="E1982" t="s">
        <v>301</v>
      </c>
      <c r="F1982" s="71">
        <v>18.37</v>
      </c>
      <c r="G1982" s="71">
        <v>0</v>
      </c>
    </row>
    <row r="1983" spans="2:7" x14ac:dyDescent="0.25">
      <c r="B1983" s="70">
        <v>43595</v>
      </c>
      <c r="C1983" t="s">
        <v>46</v>
      </c>
      <c r="D1983" t="s">
        <v>84</v>
      </c>
      <c r="E1983" t="s">
        <v>300</v>
      </c>
      <c r="F1983" s="71">
        <v>14.05</v>
      </c>
      <c r="G1983" s="71">
        <v>0</v>
      </c>
    </row>
    <row r="1984" spans="2:7" x14ac:dyDescent="0.25">
      <c r="B1984" s="70">
        <v>43595</v>
      </c>
      <c r="C1984" t="s">
        <v>43</v>
      </c>
      <c r="D1984" t="s">
        <v>107</v>
      </c>
      <c r="E1984" t="s">
        <v>301</v>
      </c>
      <c r="F1984" s="71">
        <v>344.62</v>
      </c>
      <c r="G1984" s="71">
        <v>0</v>
      </c>
    </row>
    <row r="1985" spans="2:7" x14ac:dyDescent="0.25">
      <c r="B1985" s="70">
        <v>43595</v>
      </c>
      <c r="C1985" t="s">
        <v>44</v>
      </c>
      <c r="D1985" t="s">
        <v>80</v>
      </c>
      <c r="E1985" t="s">
        <v>300</v>
      </c>
      <c r="F1985" s="71">
        <v>91.6</v>
      </c>
      <c r="G1985" s="71">
        <v>0</v>
      </c>
    </row>
    <row r="1986" spans="2:7" x14ac:dyDescent="0.25">
      <c r="B1986" s="70">
        <v>43595</v>
      </c>
      <c r="C1986" t="s">
        <v>21</v>
      </c>
      <c r="D1986" t="s">
        <v>79</v>
      </c>
      <c r="E1986" t="s">
        <v>300</v>
      </c>
      <c r="F1986" s="71">
        <v>16</v>
      </c>
      <c r="G1986" s="71">
        <v>0</v>
      </c>
    </row>
    <row r="1987" spans="2:7" x14ac:dyDescent="0.25">
      <c r="B1987" s="70">
        <v>43595</v>
      </c>
      <c r="C1987" t="s">
        <v>21</v>
      </c>
      <c r="D1987" t="s">
        <v>107</v>
      </c>
      <c r="E1987" t="s">
        <v>301</v>
      </c>
      <c r="F1987" s="71">
        <v>9.66</v>
      </c>
      <c r="G1987" s="71">
        <v>0</v>
      </c>
    </row>
    <row r="1988" spans="2:7" x14ac:dyDescent="0.25">
      <c r="B1988" s="70">
        <v>43595</v>
      </c>
      <c r="C1988" t="s">
        <v>21</v>
      </c>
      <c r="D1988" t="s">
        <v>107</v>
      </c>
      <c r="E1988" t="s">
        <v>301</v>
      </c>
      <c r="F1988" s="71">
        <v>10.050000000000001</v>
      </c>
      <c r="G1988" s="71">
        <v>0</v>
      </c>
    </row>
    <row r="1989" spans="2:7" x14ac:dyDescent="0.25">
      <c r="B1989" s="70">
        <v>43595</v>
      </c>
      <c r="C1989" t="s">
        <v>21</v>
      </c>
      <c r="D1989" t="s">
        <v>107</v>
      </c>
      <c r="E1989" t="s">
        <v>301</v>
      </c>
      <c r="F1989" s="71">
        <v>24.96</v>
      </c>
      <c r="G1989" s="71">
        <v>0</v>
      </c>
    </row>
    <row r="1990" spans="2:7" x14ac:dyDescent="0.25">
      <c r="B1990" s="70">
        <v>43595</v>
      </c>
      <c r="C1990" t="s">
        <v>21</v>
      </c>
      <c r="D1990" t="s">
        <v>107</v>
      </c>
      <c r="E1990" t="s">
        <v>301</v>
      </c>
      <c r="F1990" s="71">
        <v>88.69</v>
      </c>
      <c r="G1990" s="71">
        <v>0</v>
      </c>
    </row>
    <row r="1991" spans="2:7" x14ac:dyDescent="0.25">
      <c r="B1991" s="70">
        <v>43595</v>
      </c>
      <c r="C1991" t="s">
        <v>21</v>
      </c>
      <c r="D1991" t="s">
        <v>107</v>
      </c>
      <c r="E1991" t="s">
        <v>301</v>
      </c>
      <c r="F1991" s="71">
        <v>125.81</v>
      </c>
      <c r="G1991" s="71">
        <v>0</v>
      </c>
    </row>
    <row r="1992" spans="2:7" x14ac:dyDescent="0.25">
      <c r="B1992" s="70">
        <v>43595</v>
      </c>
      <c r="C1992" t="s">
        <v>21</v>
      </c>
      <c r="D1992" t="s">
        <v>107</v>
      </c>
      <c r="E1992" t="s">
        <v>301</v>
      </c>
      <c r="F1992" s="71">
        <v>132.81</v>
      </c>
      <c r="G1992" s="71">
        <v>0</v>
      </c>
    </row>
    <row r="1993" spans="2:7" x14ac:dyDescent="0.25">
      <c r="B1993" s="70">
        <v>43595</v>
      </c>
      <c r="C1993" t="s">
        <v>21</v>
      </c>
      <c r="D1993" t="s">
        <v>107</v>
      </c>
      <c r="E1993" t="s">
        <v>301</v>
      </c>
      <c r="F1993" s="71">
        <v>183.98</v>
      </c>
      <c r="G1993" s="71">
        <v>0</v>
      </c>
    </row>
    <row r="1994" spans="2:7" x14ac:dyDescent="0.25">
      <c r="B1994" s="70">
        <v>43595</v>
      </c>
      <c r="C1994" t="s">
        <v>21</v>
      </c>
      <c r="D1994" t="s">
        <v>107</v>
      </c>
      <c r="E1994" t="s">
        <v>301</v>
      </c>
      <c r="F1994" s="71">
        <v>215.34</v>
      </c>
      <c r="G1994" s="71">
        <v>0</v>
      </c>
    </row>
    <row r="1995" spans="2:7" x14ac:dyDescent="0.25">
      <c r="B1995" s="70">
        <v>43595</v>
      </c>
      <c r="C1995" t="s">
        <v>21</v>
      </c>
      <c r="D1995" t="s">
        <v>107</v>
      </c>
      <c r="E1995" t="s">
        <v>301</v>
      </c>
      <c r="F1995" s="71">
        <v>252.32</v>
      </c>
      <c r="G1995" s="71">
        <v>0</v>
      </c>
    </row>
    <row r="1996" spans="2:7" x14ac:dyDescent="0.25">
      <c r="B1996" s="70">
        <v>43595</v>
      </c>
      <c r="C1996" t="s">
        <v>21</v>
      </c>
      <c r="D1996" t="s">
        <v>107</v>
      </c>
      <c r="E1996" t="s">
        <v>301</v>
      </c>
      <c r="F1996" s="71">
        <v>259.92</v>
      </c>
      <c r="G1996" s="71">
        <v>0</v>
      </c>
    </row>
    <row r="1997" spans="2:7" x14ac:dyDescent="0.25">
      <c r="B1997" s="70">
        <v>43595</v>
      </c>
      <c r="C1997" t="s">
        <v>21</v>
      </c>
      <c r="D1997" t="s">
        <v>107</v>
      </c>
      <c r="E1997" t="s">
        <v>301</v>
      </c>
      <c r="F1997" s="71">
        <v>303.57</v>
      </c>
      <c r="G1997" s="71">
        <v>0</v>
      </c>
    </row>
    <row r="1998" spans="2:7" x14ac:dyDescent="0.25">
      <c r="B1998" s="70">
        <v>43595</v>
      </c>
      <c r="C1998" t="s">
        <v>21</v>
      </c>
      <c r="D1998" t="s">
        <v>107</v>
      </c>
      <c r="E1998" t="s">
        <v>301</v>
      </c>
      <c r="F1998" s="71">
        <v>355.04</v>
      </c>
      <c r="G1998" s="71">
        <v>0</v>
      </c>
    </row>
    <row r="1999" spans="2:7" x14ac:dyDescent="0.25">
      <c r="B1999" s="70">
        <v>43595</v>
      </c>
      <c r="C1999" t="s">
        <v>21</v>
      </c>
      <c r="D1999" t="s">
        <v>107</v>
      </c>
      <c r="E1999" t="s">
        <v>301</v>
      </c>
      <c r="F1999" s="71">
        <v>360.46</v>
      </c>
      <c r="G1999" s="71">
        <v>0</v>
      </c>
    </row>
    <row r="2000" spans="2:7" x14ac:dyDescent="0.25">
      <c r="B2000" s="70">
        <v>43595</v>
      </c>
      <c r="C2000" t="s">
        <v>21</v>
      </c>
      <c r="D2000" t="s">
        <v>107</v>
      </c>
      <c r="E2000" t="s">
        <v>301</v>
      </c>
      <c r="F2000" s="71">
        <v>365.3</v>
      </c>
      <c r="G2000" s="71">
        <v>0</v>
      </c>
    </row>
    <row r="2001" spans="2:7" x14ac:dyDescent="0.25">
      <c r="B2001" s="70">
        <v>43595</v>
      </c>
      <c r="C2001" t="s">
        <v>21</v>
      </c>
      <c r="D2001" t="s">
        <v>107</v>
      </c>
      <c r="E2001" t="s">
        <v>301</v>
      </c>
      <c r="F2001" s="71">
        <v>365.42</v>
      </c>
      <c r="G2001" s="71">
        <v>0</v>
      </c>
    </row>
    <row r="2002" spans="2:7" x14ac:dyDescent="0.25">
      <c r="B2002" s="70">
        <v>43595</v>
      </c>
      <c r="C2002" t="s">
        <v>21</v>
      </c>
      <c r="D2002" t="s">
        <v>107</v>
      </c>
      <c r="E2002" t="s">
        <v>301</v>
      </c>
      <c r="F2002" s="71">
        <v>368.43</v>
      </c>
      <c r="G2002" s="71">
        <v>0</v>
      </c>
    </row>
    <row r="2003" spans="2:7" x14ac:dyDescent="0.25">
      <c r="B2003" s="70">
        <v>43595</v>
      </c>
      <c r="C2003" t="s">
        <v>21</v>
      </c>
      <c r="D2003" t="s">
        <v>107</v>
      </c>
      <c r="E2003" t="s">
        <v>301</v>
      </c>
      <c r="F2003" s="71">
        <v>440.66</v>
      </c>
      <c r="G2003" s="71">
        <v>0</v>
      </c>
    </row>
    <row r="2004" spans="2:7" x14ac:dyDescent="0.25">
      <c r="B2004" s="70">
        <v>43595</v>
      </c>
      <c r="C2004" t="s">
        <v>21</v>
      </c>
      <c r="D2004" t="s">
        <v>107</v>
      </c>
      <c r="E2004" t="s">
        <v>301</v>
      </c>
      <c r="F2004" s="71">
        <v>448.2</v>
      </c>
      <c r="G2004" s="71">
        <v>0</v>
      </c>
    </row>
    <row r="2005" spans="2:7" x14ac:dyDescent="0.25">
      <c r="B2005" s="70">
        <v>43595</v>
      </c>
      <c r="C2005" t="s">
        <v>21</v>
      </c>
      <c r="D2005" t="s">
        <v>107</v>
      </c>
      <c r="E2005" t="s">
        <v>301</v>
      </c>
      <c r="F2005" s="71">
        <v>571.58000000000004</v>
      </c>
      <c r="G2005" s="71">
        <v>0</v>
      </c>
    </row>
    <row r="2006" spans="2:7" x14ac:dyDescent="0.25">
      <c r="B2006" s="70">
        <v>43595</v>
      </c>
      <c r="C2006" t="s">
        <v>21</v>
      </c>
      <c r="D2006" t="s">
        <v>107</v>
      </c>
      <c r="E2006" t="s">
        <v>301</v>
      </c>
      <c r="F2006" s="71">
        <v>597.52</v>
      </c>
      <c r="G2006" s="71">
        <v>0</v>
      </c>
    </row>
    <row r="2007" spans="2:7" x14ac:dyDescent="0.25">
      <c r="B2007" s="70">
        <v>43595</v>
      </c>
      <c r="C2007" t="s">
        <v>21</v>
      </c>
      <c r="D2007" t="s">
        <v>107</v>
      </c>
      <c r="E2007" t="s">
        <v>301</v>
      </c>
      <c r="F2007" s="71">
        <v>597.71</v>
      </c>
      <c r="G2007" s="71">
        <v>0</v>
      </c>
    </row>
    <row r="2008" spans="2:7" x14ac:dyDescent="0.25">
      <c r="B2008" s="70">
        <v>43595</v>
      </c>
      <c r="C2008" t="s">
        <v>21</v>
      </c>
      <c r="D2008" t="s">
        <v>107</v>
      </c>
      <c r="E2008" t="s">
        <v>301</v>
      </c>
      <c r="F2008" s="71">
        <v>671.12</v>
      </c>
      <c r="G2008" s="71">
        <v>0</v>
      </c>
    </row>
    <row r="2009" spans="2:7" x14ac:dyDescent="0.25">
      <c r="B2009" s="70">
        <v>43595</v>
      </c>
      <c r="C2009" t="s">
        <v>21</v>
      </c>
      <c r="D2009" t="s">
        <v>107</v>
      </c>
      <c r="E2009" t="s">
        <v>301</v>
      </c>
      <c r="F2009" s="71">
        <v>681.89</v>
      </c>
      <c r="G2009" s="71">
        <v>0</v>
      </c>
    </row>
    <row r="2010" spans="2:7" x14ac:dyDescent="0.25">
      <c r="B2010" s="70">
        <v>43595</v>
      </c>
      <c r="C2010" t="s">
        <v>21</v>
      </c>
      <c r="D2010" t="s">
        <v>107</v>
      </c>
      <c r="E2010" t="s">
        <v>301</v>
      </c>
      <c r="F2010" s="71">
        <v>1143.8499999999999</v>
      </c>
      <c r="G2010" s="71">
        <v>0</v>
      </c>
    </row>
    <row r="2011" spans="2:7" x14ac:dyDescent="0.25">
      <c r="B2011" s="70">
        <v>43595</v>
      </c>
      <c r="C2011" t="s">
        <v>48</v>
      </c>
      <c r="D2011" t="s">
        <v>107</v>
      </c>
      <c r="E2011" t="s">
        <v>301</v>
      </c>
      <c r="F2011" s="71">
        <v>2484.4899999999998</v>
      </c>
      <c r="G2011" s="71">
        <v>0</v>
      </c>
    </row>
    <row r="2012" spans="2:7" x14ac:dyDescent="0.25">
      <c r="B2012" s="70">
        <v>43595</v>
      </c>
      <c r="C2012" t="s">
        <v>55</v>
      </c>
      <c r="D2012" t="s">
        <v>107</v>
      </c>
      <c r="E2012" t="s">
        <v>301</v>
      </c>
      <c r="F2012" s="71">
        <v>22.38</v>
      </c>
      <c r="G2012" s="71">
        <v>0</v>
      </c>
    </row>
    <row r="2013" spans="2:7" x14ac:dyDescent="0.25">
      <c r="B2013" s="70">
        <v>43595</v>
      </c>
      <c r="C2013" t="s">
        <v>49</v>
      </c>
      <c r="D2013" t="s">
        <v>85</v>
      </c>
      <c r="E2013" t="s">
        <v>300</v>
      </c>
      <c r="F2013" s="71">
        <v>66</v>
      </c>
      <c r="G2013" s="71">
        <v>0</v>
      </c>
    </row>
    <row r="2014" spans="2:7" x14ac:dyDescent="0.25">
      <c r="B2014" s="70">
        <v>43595</v>
      </c>
      <c r="C2014" t="s">
        <v>49</v>
      </c>
      <c r="D2014" t="s">
        <v>107</v>
      </c>
      <c r="E2014" t="s">
        <v>301</v>
      </c>
      <c r="F2014" s="71">
        <v>1368.34</v>
      </c>
      <c r="G2014" s="71">
        <v>0</v>
      </c>
    </row>
    <row r="2015" spans="2:7" x14ac:dyDescent="0.25">
      <c r="B2015" s="70">
        <v>43595</v>
      </c>
      <c r="C2015" t="s">
        <v>50</v>
      </c>
      <c r="D2015" t="s">
        <v>85</v>
      </c>
      <c r="E2015" t="s">
        <v>300</v>
      </c>
      <c r="F2015" s="71">
        <v>81.73</v>
      </c>
      <c r="G2015" s="71">
        <v>0</v>
      </c>
    </row>
    <row r="2016" spans="2:7" x14ac:dyDescent="0.25">
      <c r="B2016" s="70">
        <v>43595</v>
      </c>
      <c r="C2016" t="s">
        <v>50</v>
      </c>
      <c r="D2016" t="s">
        <v>107</v>
      </c>
      <c r="E2016" t="s">
        <v>301</v>
      </c>
      <c r="F2016" s="71">
        <v>2309.17</v>
      </c>
      <c r="G2016" s="71">
        <v>0</v>
      </c>
    </row>
    <row r="2017" spans="2:7" x14ac:dyDescent="0.25">
      <c r="B2017" s="70">
        <v>43595</v>
      </c>
      <c r="C2017" t="s">
        <v>50</v>
      </c>
      <c r="D2017" t="s">
        <v>84</v>
      </c>
      <c r="E2017" t="s">
        <v>300</v>
      </c>
      <c r="F2017" s="71">
        <v>23.86</v>
      </c>
      <c r="G2017" s="71">
        <v>0</v>
      </c>
    </row>
    <row r="2018" spans="2:7" x14ac:dyDescent="0.25">
      <c r="B2018" s="70">
        <v>43595</v>
      </c>
      <c r="C2018" t="s">
        <v>52</v>
      </c>
      <c r="D2018" t="s">
        <v>107</v>
      </c>
      <c r="E2018" t="s">
        <v>301</v>
      </c>
      <c r="F2018" s="71">
        <v>542.38</v>
      </c>
      <c r="G2018" s="71">
        <v>0</v>
      </c>
    </row>
    <row r="2019" spans="2:7" x14ac:dyDescent="0.25">
      <c r="B2019" s="70">
        <v>43595</v>
      </c>
      <c r="C2019" t="s">
        <v>58</v>
      </c>
      <c r="D2019" t="s">
        <v>107</v>
      </c>
      <c r="E2019" t="s">
        <v>301</v>
      </c>
      <c r="F2019" s="71">
        <v>38.590000000000003</v>
      </c>
      <c r="G2019" s="71">
        <v>0</v>
      </c>
    </row>
    <row r="2020" spans="2:7" x14ac:dyDescent="0.25">
      <c r="B2020" s="70">
        <v>43595</v>
      </c>
      <c r="C2020" t="s">
        <v>24</v>
      </c>
      <c r="D2020" t="s">
        <v>79</v>
      </c>
      <c r="E2020" t="s">
        <v>300</v>
      </c>
      <c r="F2020" s="71">
        <v>8</v>
      </c>
      <c r="G2020" s="71">
        <v>0</v>
      </c>
    </row>
    <row r="2021" spans="2:7" x14ac:dyDescent="0.25">
      <c r="B2021" s="70">
        <v>43595</v>
      </c>
      <c r="C2021" t="s">
        <v>24</v>
      </c>
      <c r="D2021" t="s">
        <v>107</v>
      </c>
      <c r="E2021" t="s">
        <v>301</v>
      </c>
      <c r="F2021" s="71">
        <v>9.67</v>
      </c>
      <c r="G2021" s="71">
        <v>0</v>
      </c>
    </row>
    <row r="2022" spans="2:7" x14ac:dyDescent="0.25">
      <c r="B2022" s="70">
        <v>43595</v>
      </c>
      <c r="C2022" t="s">
        <v>24</v>
      </c>
      <c r="D2022" t="s">
        <v>107</v>
      </c>
      <c r="E2022" t="s">
        <v>301</v>
      </c>
      <c r="F2022" s="71">
        <v>12.62</v>
      </c>
      <c r="G2022" s="71">
        <v>0</v>
      </c>
    </row>
    <row r="2023" spans="2:7" x14ac:dyDescent="0.25">
      <c r="B2023" s="70">
        <v>43595</v>
      </c>
      <c r="C2023" t="s">
        <v>24</v>
      </c>
      <c r="D2023" t="s">
        <v>107</v>
      </c>
      <c r="E2023" t="s">
        <v>301</v>
      </c>
      <c r="F2023" s="71">
        <v>14.18</v>
      </c>
      <c r="G2023" s="71">
        <v>0</v>
      </c>
    </row>
    <row r="2024" spans="2:7" x14ac:dyDescent="0.25">
      <c r="B2024" s="70">
        <v>43595</v>
      </c>
      <c r="C2024" t="s">
        <v>24</v>
      </c>
      <c r="D2024" t="s">
        <v>107</v>
      </c>
      <c r="E2024" t="s">
        <v>301</v>
      </c>
      <c r="F2024" s="71">
        <v>25.48</v>
      </c>
      <c r="G2024" s="71">
        <v>0</v>
      </c>
    </row>
    <row r="2025" spans="2:7" x14ac:dyDescent="0.25">
      <c r="B2025" s="70">
        <v>43595</v>
      </c>
      <c r="C2025" t="s">
        <v>24</v>
      </c>
      <c r="D2025" t="s">
        <v>107</v>
      </c>
      <c r="E2025" t="s">
        <v>301</v>
      </c>
      <c r="F2025" s="71">
        <v>27.06</v>
      </c>
      <c r="G2025" s="71">
        <v>0</v>
      </c>
    </row>
    <row r="2026" spans="2:7" x14ac:dyDescent="0.25">
      <c r="B2026" s="70">
        <v>43595</v>
      </c>
      <c r="C2026" t="s">
        <v>24</v>
      </c>
      <c r="D2026" t="s">
        <v>107</v>
      </c>
      <c r="E2026" t="s">
        <v>301</v>
      </c>
      <c r="F2026" s="71">
        <v>27.47</v>
      </c>
      <c r="G2026" s="71">
        <v>0</v>
      </c>
    </row>
    <row r="2027" spans="2:7" x14ac:dyDescent="0.25">
      <c r="B2027" s="70">
        <v>43595</v>
      </c>
      <c r="C2027" t="s">
        <v>24</v>
      </c>
      <c r="D2027" t="s">
        <v>107</v>
      </c>
      <c r="E2027" t="s">
        <v>301</v>
      </c>
      <c r="F2027" s="71">
        <v>32.01</v>
      </c>
      <c r="G2027" s="71">
        <v>0</v>
      </c>
    </row>
    <row r="2028" spans="2:7" x14ac:dyDescent="0.25">
      <c r="B2028" s="70">
        <v>43595</v>
      </c>
      <c r="C2028" t="s">
        <v>24</v>
      </c>
      <c r="D2028" t="s">
        <v>107</v>
      </c>
      <c r="E2028" t="s">
        <v>301</v>
      </c>
      <c r="F2028" s="71">
        <v>32.380000000000003</v>
      </c>
      <c r="G2028" s="71">
        <v>0</v>
      </c>
    </row>
    <row r="2029" spans="2:7" x14ac:dyDescent="0.25">
      <c r="B2029" s="70">
        <v>43595</v>
      </c>
      <c r="C2029" t="s">
        <v>24</v>
      </c>
      <c r="D2029" t="s">
        <v>107</v>
      </c>
      <c r="E2029" t="s">
        <v>301</v>
      </c>
      <c r="F2029" s="71">
        <v>37.83</v>
      </c>
      <c r="G2029" s="71">
        <v>0</v>
      </c>
    </row>
    <row r="2030" spans="2:7" x14ac:dyDescent="0.25">
      <c r="B2030" s="70">
        <v>43595</v>
      </c>
      <c r="C2030" t="s">
        <v>24</v>
      </c>
      <c r="D2030" t="s">
        <v>107</v>
      </c>
      <c r="E2030" t="s">
        <v>301</v>
      </c>
      <c r="F2030" s="71">
        <v>40.04</v>
      </c>
      <c r="G2030" s="71">
        <v>0</v>
      </c>
    </row>
    <row r="2031" spans="2:7" x14ac:dyDescent="0.25">
      <c r="B2031" s="70">
        <v>43595</v>
      </c>
      <c r="C2031" t="s">
        <v>24</v>
      </c>
      <c r="D2031" t="s">
        <v>107</v>
      </c>
      <c r="E2031" t="s">
        <v>301</v>
      </c>
      <c r="F2031" s="71">
        <v>42.8</v>
      </c>
      <c r="G2031" s="71">
        <v>0</v>
      </c>
    </row>
    <row r="2032" spans="2:7" x14ac:dyDescent="0.25">
      <c r="B2032" s="70">
        <v>43595</v>
      </c>
      <c r="C2032" t="s">
        <v>24</v>
      </c>
      <c r="D2032" t="s">
        <v>107</v>
      </c>
      <c r="E2032" t="s">
        <v>301</v>
      </c>
      <c r="F2032" s="71">
        <v>60.14</v>
      </c>
      <c r="G2032" s="71">
        <v>0</v>
      </c>
    </row>
    <row r="2033" spans="2:7" x14ac:dyDescent="0.25">
      <c r="B2033" s="70">
        <v>43595</v>
      </c>
      <c r="C2033" t="s">
        <v>24</v>
      </c>
      <c r="D2033" t="s">
        <v>107</v>
      </c>
      <c r="E2033" t="s">
        <v>301</v>
      </c>
      <c r="F2033" s="71">
        <v>107.54</v>
      </c>
      <c r="G2033" s="71">
        <v>0</v>
      </c>
    </row>
    <row r="2034" spans="2:7" x14ac:dyDescent="0.25">
      <c r="B2034" s="70">
        <v>43595</v>
      </c>
      <c r="C2034" t="s">
        <v>24</v>
      </c>
      <c r="D2034" t="s">
        <v>107</v>
      </c>
      <c r="E2034" t="s">
        <v>301</v>
      </c>
      <c r="F2034" s="71">
        <v>108.19</v>
      </c>
      <c r="G2034" s="71">
        <v>0</v>
      </c>
    </row>
    <row r="2035" spans="2:7" x14ac:dyDescent="0.25">
      <c r="B2035" s="70">
        <v>43595</v>
      </c>
      <c r="C2035" t="s">
        <v>24</v>
      </c>
      <c r="D2035" t="s">
        <v>107</v>
      </c>
      <c r="E2035" t="s">
        <v>301</v>
      </c>
      <c r="F2035" s="71">
        <v>143.35</v>
      </c>
      <c r="G2035" s="71">
        <v>0</v>
      </c>
    </row>
    <row r="2036" spans="2:7" x14ac:dyDescent="0.25">
      <c r="B2036" s="70">
        <v>43595</v>
      </c>
      <c r="C2036" t="s">
        <v>24</v>
      </c>
      <c r="D2036" t="s">
        <v>107</v>
      </c>
      <c r="E2036" t="s">
        <v>301</v>
      </c>
      <c r="F2036" s="71">
        <v>324.77</v>
      </c>
      <c r="G2036" s="71">
        <v>0</v>
      </c>
    </row>
    <row r="2037" spans="2:7" x14ac:dyDescent="0.25">
      <c r="B2037" s="70">
        <v>43595</v>
      </c>
      <c r="C2037" t="s">
        <v>24</v>
      </c>
      <c r="D2037" t="s">
        <v>107</v>
      </c>
      <c r="E2037" t="s">
        <v>301</v>
      </c>
      <c r="F2037" s="71">
        <v>334.93</v>
      </c>
      <c r="G2037" s="71">
        <v>0</v>
      </c>
    </row>
    <row r="2038" spans="2:7" x14ac:dyDescent="0.25">
      <c r="B2038" s="70">
        <v>43595</v>
      </c>
      <c r="C2038" t="s">
        <v>60</v>
      </c>
      <c r="D2038" t="s">
        <v>80</v>
      </c>
      <c r="E2038" t="s">
        <v>300</v>
      </c>
      <c r="F2038" s="71">
        <v>728.97</v>
      </c>
      <c r="G2038" s="71">
        <v>0</v>
      </c>
    </row>
    <row r="2039" spans="2:7" x14ac:dyDescent="0.25">
      <c r="B2039" s="70">
        <v>43595</v>
      </c>
      <c r="C2039" t="s">
        <v>60</v>
      </c>
      <c r="D2039" t="s">
        <v>87</v>
      </c>
      <c r="E2039" t="s">
        <v>300</v>
      </c>
      <c r="F2039" s="71">
        <v>5.08</v>
      </c>
      <c r="G2039" s="71">
        <v>0</v>
      </c>
    </row>
    <row r="2040" spans="2:7" x14ac:dyDescent="0.25">
      <c r="B2040" s="70">
        <v>43595</v>
      </c>
      <c r="C2040" t="s">
        <v>61</v>
      </c>
      <c r="D2040" t="s">
        <v>84</v>
      </c>
      <c r="E2040" t="s">
        <v>300</v>
      </c>
      <c r="F2040" s="71">
        <v>10.25</v>
      </c>
      <c r="G2040" s="71">
        <v>0</v>
      </c>
    </row>
    <row r="2041" spans="2:7" x14ac:dyDescent="0.25">
      <c r="B2041" s="70">
        <v>43596</v>
      </c>
      <c r="C2041" t="s">
        <v>25</v>
      </c>
      <c r="D2041" t="s">
        <v>81</v>
      </c>
      <c r="E2041" t="s">
        <v>153</v>
      </c>
      <c r="F2041" s="71">
        <v>6.4</v>
      </c>
      <c r="G2041" s="71">
        <v>0</v>
      </c>
    </row>
    <row r="2042" spans="2:7" x14ac:dyDescent="0.25">
      <c r="B2042" s="70">
        <v>43598</v>
      </c>
      <c r="C2042" t="s">
        <v>25</v>
      </c>
      <c r="D2042" t="s">
        <v>79</v>
      </c>
      <c r="E2042" t="s">
        <v>302</v>
      </c>
      <c r="F2042" s="71">
        <v>8</v>
      </c>
      <c r="G2042" s="71">
        <v>0</v>
      </c>
    </row>
    <row r="2043" spans="2:7" x14ac:dyDescent="0.25">
      <c r="B2043" s="70">
        <v>43598</v>
      </c>
      <c r="C2043" t="s">
        <v>25</v>
      </c>
      <c r="D2043" t="s">
        <v>87</v>
      </c>
      <c r="E2043" t="s">
        <v>302</v>
      </c>
      <c r="F2043" s="71">
        <v>24.82</v>
      </c>
      <c r="G2043" s="71">
        <v>0</v>
      </c>
    </row>
    <row r="2044" spans="2:7" x14ac:dyDescent="0.25">
      <c r="B2044" s="70">
        <v>43598</v>
      </c>
      <c r="C2044" t="s">
        <v>25</v>
      </c>
      <c r="D2044" t="s">
        <v>87</v>
      </c>
      <c r="E2044" t="s">
        <v>302</v>
      </c>
      <c r="F2044" s="71">
        <v>35</v>
      </c>
      <c r="G2044" s="71">
        <v>0</v>
      </c>
    </row>
    <row r="2045" spans="2:7" x14ac:dyDescent="0.25">
      <c r="B2045" s="70">
        <v>43598</v>
      </c>
      <c r="C2045" t="s">
        <v>25</v>
      </c>
      <c r="D2045" t="s">
        <v>81</v>
      </c>
      <c r="E2045" t="s">
        <v>197</v>
      </c>
      <c r="F2045" s="71">
        <v>3</v>
      </c>
      <c r="G2045" s="71">
        <v>0</v>
      </c>
    </row>
    <row r="2046" spans="2:7" x14ac:dyDescent="0.25">
      <c r="B2046" s="70">
        <v>43598</v>
      </c>
      <c r="C2046" t="s">
        <v>25</v>
      </c>
      <c r="D2046" t="s">
        <v>81</v>
      </c>
      <c r="E2046" t="s">
        <v>207</v>
      </c>
      <c r="F2046" s="71">
        <v>4.2</v>
      </c>
      <c r="G2046" s="71">
        <v>0</v>
      </c>
    </row>
    <row r="2047" spans="2:7" x14ac:dyDescent="0.25">
      <c r="B2047" s="70">
        <v>43598</v>
      </c>
      <c r="C2047" t="s">
        <v>25</v>
      </c>
      <c r="D2047" t="s">
        <v>81</v>
      </c>
      <c r="E2047" t="s">
        <v>195</v>
      </c>
      <c r="F2047" s="71">
        <v>26</v>
      </c>
      <c r="G2047" s="71">
        <v>0</v>
      </c>
    </row>
    <row r="2048" spans="2:7" x14ac:dyDescent="0.25">
      <c r="B2048" s="70">
        <v>43598</v>
      </c>
      <c r="C2048" t="s">
        <v>46</v>
      </c>
      <c r="D2048" t="s">
        <v>84</v>
      </c>
      <c r="E2048" t="s">
        <v>302</v>
      </c>
      <c r="F2048" s="71">
        <v>11</v>
      </c>
      <c r="G2048" s="71">
        <v>0</v>
      </c>
    </row>
    <row r="2049" spans="2:7" x14ac:dyDescent="0.25">
      <c r="B2049" s="70">
        <v>43598</v>
      </c>
      <c r="C2049" t="s">
        <v>21</v>
      </c>
      <c r="D2049" t="s">
        <v>79</v>
      </c>
      <c r="E2049" t="s">
        <v>302</v>
      </c>
      <c r="F2049" s="71">
        <v>8</v>
      </c>
      <c r="G2049" s="71">
        <v>0</v>
      </c>
    </row>
    <row r="2050" spans="2:7" x14ac:dyDescent="0.25">
      <c r="B2050" s="70">
        <v>43598</v>
      </c>
      <c r="C2050" t="s">
        <v>21</v>
      </c>
      <c r="D2050" t="s">
        <v>79</v>
      </c>
      <c r="E2050" t="s">
        <v>302</v>
      </c>
      <c r="F2050" s="71">
        <v>16</v>
      </c>
      <c r="G2050" s="71">
        <v>0</v>
      </c>
    </row>
    <row r="2051" spans="2:7" x14ac:dyDescent="0.25">
      <c r="B2051" s="70">
        <v>43598</v>
      </c>
      <c r="C2051" t="s">
        <v>21</v>
      </c>
      <c r="D2051" t="s">
        <v>79</v>
      </c>
      <c r="E2051" t="s">
        <v>302</v>
      </c>
      <c r="F2051" s="71">
        <v>40</v>
      </c>
      <c r="G2051" s="71">
        <v>0</v>
      </c>
    </row>
    <row r="2052" spans="2:7" x14ac:dyDescent="0.25">
      <c r="B2052" s="70">
        <v>43598</v>
      </c>
      <c r="C2052" t="s">
        <v>21</v>
      </c>
      <c r="D2052" t="s">
        <v>79</v>
      </c>
      <c r="E2052" t="s">
        <v>302</v>
      </c>
      <c r="F2052" s="71">
        <v>48</v>
      </c>
      <c r="G2052" s="71">
        <v>0</v>
      </c>
    </row>
    <row r="2053" spans="2:7" x14ac:dyDescent="0.25">
      <c r="B2053" s="70">
        <v>43598</v>
      </c>
      <c r="C2053" t="s">
        <v>48</v>
      </c>
      <c r="D2053" t="s">
        <v>83</v>
      </c>
      <c r="E2053" t="s">
        <v>302</v>
      </c>
      <c r="F2053" s="71">
        <v>50</v>
      </c>
      <c r="G2053" s="71">
        <v>0</v>
      </c>
    </row>
    <row r="2054" spans="2:7" x14ac:dyDescent="0.25">
      <c r="B2054" s="70">
        <v>43598</v>
      </c>
      <c r="C2054" t="s">
        <v>48</v>
      </c>
      <c r="D2054" t="s">
        <v>80</v>
      </c>
      <c r="E2054" t="s">
        <v>302</v>
      </c>
      <c r="F2054" s="71">
        <v>64.650000000000006</v>
      </c>
      <c r="G2054" s="71">
        <v>0</v>
      </c>
    </row>
    <row r="2055" spans="2:7" x14ac:dyDescent="0.25">
      <c r="B2055" s="70">
        <v>43598</v>
      </c>
      <c r="C2055" t="s">
        <v>24</v>
      </c>
      <c r="D2055" t="s">
        <v>79</v>
      </c>
      <c r="E2055" t="s">
        <v>302</v>
      </c>
      <c r="F2055" s="71">
        <v>8</v>
      </c>
      <c r="G2055" s="71">
        <v>0</v>
      </c>
    </row>
    <row r="2056" spans="2:7" x14ac:dyDescent="0.25">
      <c r="B2056" s="70">
        <v>43598</v>
      </c>
      <c r="C2056" t="s">
        <v>24</v>
      </c>
      <c r="D2056" t="s">
        <v>79</v>
      </c>
      <c r="E2056" t="s">
        <v>302</v>
      </c>
      <c r="F2056" s="71">
        <v>24</v>
      </c>
      <c r="G2056" s="71">
        <v>0</v>
      </c>
    </row>
    <row r="2057" spans="2:7" x14ac:dyDescent="0.25">
      <c r="B2057" s="70">
        <v>43599</v>
      </c>
      <c r="C2057" t="s">
        <v>25</v>
      </c>
      <c r="D2057" t="s">
        <v>79</v>
      </c>
      <c r="E2057" t="s">
        <v>303</v>
      </c>
      <c r="F2057" s="71">
        <v>8</v>
      </c>
      <c r="G2057" s="71">
        <v>0</v>
      </c>
    </row>
    <row r="2058" spans="2:7" x14ac:dyDescent="0.25">
      <c r="B2058" s="70">
        <v>43599</v>
      </c>
      <c r="C2058" t="s">
        <v>25</v>
      </c>
      <c r="D2058" t="s">
        <v>87</v>
      </c>
      <c r="E2058" t="s">
        <v>303</v>
      </c>
      <c r="F2058" s="71">
        <v>0</v>
      </c>
      <c r="G2058" s="71">
        <v>5</v>
      </c>
    </row>
    <row r="2059" spans="2:7" x14ac:dyDescent="0.25">
      <c r="B2059" s="70">
        <v>43599</v>
      </c>
      <c r="C2059" t="s">
        <v>25</v>
      </c>
      <c r="D2059" t="s">
        <v>81</v>
      </c>
      <c r="E2059" t="s">
        <v>138</v>
      </c>
      <c r="F2059" s="71">
        <v>3</v>
      </c>
      <c r="G2059" s="71">
        <v>0</v>
      </c>
    </row>
    <row r="2060" spans="2:7" x14ac:dyDescent="0.25">
      <c r="B2060" s="70">
        <v>43599</v>
      </c>
      <c r="C2060" t="s">
        <v>25</v>
      </c>
      <c r="D2060" t="s">
        <v>81</v>
      </c>
      <c r="E2060" t="s">
        <v>195</v>
      </c>
      <c r="F2060" s="71">
        <v>26</v>
      </c>
      <c r="G2060" s="71">
        <v>0</v>
      </c>
    </row>
    <row r="2061" spans="2:7" x14ac:dyDescent="0.25">
      <c r="B2061" s="70">
        <v>43599</v>
      </c>
      <c r="C2061" t="s">
        <v>25</v>
      </c>
      <c r="D2061" t="s">
        <v>84</v>
      </c>
      <c r="E2061" t="s">
        <v>303</v>
      </c>
      <c r="F2061" s="71">
        <v>12</v>
      </c>
      <c r="G2061" s="71">
        <v>0</v>
      </c>
    </row>
    <row r="2062" spans="2:7" x14ac:dyDescent="0.25">
      <c r="B2062" s="70">
        <v>43599</v>
      </c>
      <c r="C2062" t="s">
        <v>46</v>
      </c>
      <c r="D2062" t="s">
        <v>84</v>
      </c>
      <c r="E2062" t="s">
        <v>303</v>
      </c>
      <c r="F2062" s="71">
        <v>17.68</v>
      </c>
      <c r="G2062" s="71">
        <v>0</v>
      </c>
    </row>
    <row r="2063" spans="2:7" x14ac:dyDescent="0.25">
      <c r="B2063" s="70">
        <v>43599</v>
      </c>
      <c r="C2063" t="s">
        <v>58</v>
      </c>
      <c r="D2063" t="s">
        <v>84</v>
      </c>
      <c r="E2063" t="s">
        <v>303</v>
      </c>
      <c r="F2063" s="71">
        <v>25</v>
      </c>
      <c r="G2063" s="71">
        <v>0</v>
      </c>
    </row>
    <row r="2064" spans="2:7" x14ac:dyDescent="0.25">
      <c r="B2064" s="70">
        <v>43600</v>
      </c>
      <c r="C2064" t="s">
        <v>25</v>
      </c>
      <c r="D2064" t="s">
        <v>79</v>
      </c>
      <c r="E2064" t="s">
        <v>304</v>
      </c>
      <c r="F2064" s="71">
        <v>130</v>
      </c>
      <c r="G2064" s="71">
        <v>0</v>
      </c>
    </row>
    <row r="2065" spans="2:7" x14ac:dyDescent="0.25">
      <c r="B2065" s="70">
        <v>43600</v>
      </c>
      <c r="C2065" t="s">
        <v>25</v>
      </c>
      <c r="D2065" t="s">
        <v>83</v>
      </c>
      <c r="E2065" t="s">
        <v>304</v>
      </c>
      <c r="F2065" s="71">
        <v>50</v>
      </c>
      <c r="G2065" s="71">
        <v>0</v>
      </c>
    </row>
    <row r="2066" spans="2:7" x14ac:dyDescent="0.25">
      <c r="B2066" s="70">
        <v>43600</v>
      </c>
      <c r="C2066" t="s">
        <v>25</v>
      </c>
      <c r="D2066" t="s">
        <v>80</v>
      </c>
      <c r="E2066" t="s">
        <v>304</v>
      </c>
      <c r="F2066" s="71">
        <v>64.95</v>
      </c>
      <c r="G2066" s="71">
        <v>0</v>
      </c>
    </row>
    <row r="2067" spans="2:7" x14ac:dyDescent="0.25">
      <c r="B2067" s="70">
        <v>43600</v>
      </c>
      <c r="C2067" t="s">
        <v>25</v>
      </c>
      <c r="D2067" t="s">
        <v>87</v>
      </c>
      <c r="E2067" t="s">
        <v>304</v>
      </c>
      <c r="F2067" s="71">
        <v>8.6999999999999993</v>
      </c>
      <c r="G2067" s="71">
        <v>0</v>
      </c>
    </row>
    <row r="2068" spans="2:7" x14ac:dyDescent="0.25">
      <c r="B2068" s="70">
        <v>43600</v>
      </c>
      <c r="C2068" t="s">
        <v>25</v>
      </c>
      <c r="D2068" t="s">
        <v>87</v>
      </c>
      <c r="E2068" t="s">
        <v>304</v>
      </c>
      <c r="F2068" s="71">
        <v>19.29</v>
      </c>
      <c r="G2068" s="71">
        <v>0</v>
      </c>
    </row>
    <row r="2069" spans="2:7" x14ac:dyDescent="0.25">
      <c r="B2069" s="70">
        <v>43600</v>
      </c>
      <c r="C2069" t="s">
        <v>25</v>
      </c>
      <c r="D2069" t="s">
        <v>87</v>
      </c>
      <c r="E2069" t="s">
        <v>304</v>
      </c>
      <c r="F2069" s="71">
        <v>22.65</v>
      </c>
      <c r="G2069" s="71">
        <v>0</v>
      </c>
    </row>
    <row r="2070" spans="2:7" x14ac:dyDescent="0.25">
      <c r="B2070" s="70">
        <v>43600</v>
      </c>
      <c r="C2070" t="s">
        <v>25</v>
      </c>
      <c r="D2070" t="s">
        <v>87</v>
      </c>
      <c r="E2070" t="s">
        <v>304</v>
      </c>
      <c r="F2070" s="71">
        <v>31.14</v>
      </c>
      <c r="G2070" s="71">
        <v>0</v>
      </c>
    </row>
    <row r="2071" spans="2:7" x14ac:dyDescent="0.25">
      <c r="B2071" s="70">
        <v>43600</v>
      </c>
      <c r="C2071" t="s">
        <v>25</v>
      </c>
      <c r="D2071" t="s">
        <v>87</v>
      </c>
      <c r="E2071" t="s">
        <v>304</v>
      </c>
      <c r="F2071" s="71">
        <v>92.79</v>
      </c>
      <c r="G2071" s="71">
        <v>0</v>
      </c>
    </row>
    <row r="2072" spans="2:7" x14ac:dyDescent="0.25">
      <c r="B2072" s="70">
        <v>43600</v>
      </c>
      <c r="C2072" t="s">
        <v>25</v>
      </c>
      <c r="D2072" t="s">
        <v>87</v>
      </c>
      <c r="E2072" t="s">
        <v>304</v>
      </c>
      <c r="F2072" s="71">
        <v>122.34</v>
      </c>
      <c r="G2072" s="71">
        <v>0</v>
      </c>
    </row>
    <row r="2073" spans="2:7" x14ac:dyDescent="0.25">
      <c r="B2073" s="70">
        <v>43600</v>
      </c>
      <c r="C2073" t="s">
        <v>25</v>
      </c>
      <c r="D2073" t="s">
        <v>87</v>
      </c>
      <c r="E2073" t="s">
        <v>304</v>
      </c>
      <c r="F2073" s="71">
        <v>142.61000000000001</v>
      </c>
      <c r="G2073" s="71">
        <v>0</v>
      </c>
    </row>
    <row r="2074" spans="2:7" x14ac:dyDescent="0.25">
      <c r="B2074" s="70">
        <v>43600</v>
      </c>
      <c r="C2074" t="s">
        <v>25</v>
      </c>
      <c r="D2074" t="s">
        <v>81</v>
      </c>
      <c r="E2074" t="s">
        <v>212</v>
      </c>
      <c r="F2074" s="71">
        <v>3</v>
      </c>
      <c r="G2074" s="71">
        <v>0</v>
      </c>
    </row>
    <row r="2075" spans="2:7" x14ac:dyDescent="0.25">
      <c r="B2075" s="70">
        <v>43600</v>
      </c>
      <c r="C2075" t="s">
        <v>25</v>
      </c>
      <c r="D2075" t="s">
        <v>81</v>
      </c>
      <c r="E2075" t="s">
        <v>199</v>
      </c>
      <c r="F2075" s="71">
        <v>8.6999999999999993</v>
      </c>
      <c r="G2075" s="71">
        <v>0</v>
      </c>
    </row>
    <row r="2076" spans="2:7" x14ac:dyDescent="0.25">
      <c r="B2076" s="70">
        <v>43600</v>
      </c>
      <c r="C2076" t="s">
        <v>46</v>
      </c>
      <c r="D2076" t="s">
        <v>79</v>
      </c>
      <c r="E2076" t="s">
        <v>304</v>
      </c>
      <c r="F2076" s="71">
        <v>10</v>
      </c>
      <c r="G2076" s="71">
        <v>0</v>
      </c>
    </row>
    <row r="2077" spans="2:7" x14ac:dyDescent="0.25">
      <c r="B2077" s="70">
        <v>43600</v>
      </c>
      <c r="C2077" t="s">
        <v>47</v>
      </c>
      <c r="D2077" t="s">
        <v>84</v>
      </c>
      <c r="E2077" t="s">
        <v>304</v>
      </c>
      <c r="F2077" s="71">
        <v>127.12</v>
      </c>
      <c r="G2077" s="71">
        <v>0</v>
      </c>
    </row>
    <row r="2078" spans="2:7" x14ac:dyDescent="0.25">
      <c r="B2078" s="70">
        <v>43600</v>
      </c>
      <c r="C2078" t="s">
        <v>21</v>
      </c>
      <c r="D2078" t="s">
        <v>79</v>
      </c>
      <c r="E2078" t="s">
        <v>304</v>
      </c>
      <c r="F2078" s="71">
        <v>8</v>
      </c>
      <c r="G2078" s="71">
        <v>0</v>
      </c>
    </row>
    <row r="2079" spans="2:7" x14ac:dyDescent="0.25">
      <c r="B2079" s="70">
        <v>43600</v>
      </c>
      <c r="C2079" t="s">
        <v>21</v>
      </c>
      <c r="D2079" t="s">
        <v>79</v>
      </c>
      <c r="E2079" t="s">
        <v>304</v>
      </c>
      <c r="F2079" s="71">
        <v>16</v>
      </c>
      <c r="G2079" s="71">
        <v>0</v>
      </c>
    </row>
    <row r="2080" spans="2:7" x14ac:dyDescent="0.25">
      <c r="B2080" s="70">
        <v>43600</v>
      </c>
      <c r="C2080" t="s">
        <v>21</v>
      </c>
      <c r="D2080" t="s">
        <v>79</v>
      </c>
      <c r="E2080" t="s">
        <v>304</v>
      </c>
      <c r="F2080" s="71">
        <v>40</v>
      </c>
      <c r="G2080" s="71">
        <v>0</v>
      </c>
    </row>
    <row r="2081" spans="2:7" x14ac:dyDescent="0.25">
      <c r="B2081" s="70">
        <v>43600</v>
      </c>
      <c r="C2081" t="s">
        <v>21</v>
      </c>
      <c r="D2081" t="s">
        <v>79</v>
      </c>
      <c r="E2081" t="s">
        <v>304</v>
      </c>
      <c r="F2081" s="71">
        <v>64</v>
      </c>
      <c r="G2081" s="71">
        <v>0</v>
      </c>
    </row>
    <row r="2082" spans="2:7" x14ac:dyDescent="0.25">
      <c r="B2082" s="70">
        <v>43600</v>
      </c>
      <c r="C2082" t="s">
        <v>21</v>
      </c>
      <c r="D2082" t="s">
        <v>84</v>
      </c>
      <c r="E2082" t="s">
        <v>304</v>
      </c>
      <c r="F2082" s="71">
        <v>152</v>
      </c>
      <c r="G2082" s="71">
        <v>0</v>
      </c>
    </row>
    <row r="2083" spans="2:7" x14ac:dyDescent="0.25">
      <c r="B2083" s="70">
        <v>43600</v>
      </c>
      <c r="C2083" t="s">
        <v>66</v>
      </c>
      <c r="D2083" t="s">
        <v>79</v>
      </c>
      <c r="E2083" t="s">
        <v>304</v>
      </c>
      <c r="F2083" s="71">
        <v>138.59</v>
      </c>
      <c r="G2083" s="71">
        <v>0</v>
      </c>
    </row>
    <row r="2084" spans="2:7" x14ac:dyDescent="0.25">
      <c r="B2084" s="70">
        <v>43600</v>
      </c>
      <c r="C2084" t="s">
        <v>48</v>
      </c>
      <c r="D2084" t="s">
        <v>87</v>
      </c>
      <c r="E2084" t="s">
        <v>304</v>
      </c>
      <c r="F2084" s="71">
        <v>22.86</v>
      </c>
      <c r="G2084" s="71">
        <v>0</v>
      </c>
    </row>
    <row r="2085" spans="2:7" x14ac:dyDescent="0.25">
      <c r="B2085" s="70">
        <v>43600</v>
      </c>
      <c r="C2085" t="s">
        <v>68</v>
      </c>
      <c r="D2085" t="s">
        <v>84</v>
      </c>
      <c r="E2085" t="s">
        <v>304</v>
      </c>
      <c r="F2085" s="71">
        <v>258.66000000000003</v>
      </c>
      <c r="G2085" s="71">
        <v>0</v>
      </c>
    </row>
    <row r="2086" spans="2:7" x14ac:dyDescent="0.25">
      <c r="B2086" s="70">
        <v>43600</v>
      </c>
      <c r="C2086" t="s">
        <v>60</v>
      </c>
      <c r="D2086" t="s">
        <v>83</v>
      </c>
      <c r="E2086" t="s">
        <v>304</v>
      </c>
      <c r="F2086" s="71">
        <v>281.52999999999997</v>
      </c>
      <c r="G2086" s="71">
        <v>0</v>
      </c>
    </row>
    <row r="2087" spans="2:7" x14ac:dyDescent="0.25">
      <c r="B2087" s="70">
        <v>43600</v>
      </c>
      <c r="C2087" t="s">
        <v>60</v>
      </c>
      <c r="D2087" t="s">
        <v>84</v>
      </c>
      <c r="E2087" t="s">
        <v>304</v>
      </c>
      <c r="F2087" s="71">
        <v>10.7</v>
      </c>
      <c r="G2087" s="71">
        <v>0</v>
      </c>
    </row>
    <row r="2088" spans="2:7" x14ac:dyDescent="0.25">
      <c r="B2088" s="70">
        <v>43601</v>
      </c>
      <c r="C2088" t="s">
        <v>25</v>
      </c>
      <c r="D2088" t="s">
        <v>80</v>
      </c>
      <c r="E2088" t="s">
        <v>305</v>
      </c>
      <c r="F2088" s="71">
        <v>112</v>
      </c>
      <c r="G2088" s="71">
        <v>0</v>
      </c>
    </row>
    <row r="2089" spans="2:7" x14ac:dyDescent="0.25">
      <c r="B2089" s="70">
        <v>43601</v>
      </c>
      <c r="C2089" t="s">
        <v>25</v>
      </c>
      <c r="D2089" t="s">
        <v>81</v>
      </c>
      <c r="E2089" t="s">
        <v>122</v>
      </c>
      <c r="F2089" s="71">
        <v>3</v>
      </c>
      <c r="G2089" s="71">
        <v>0</v>
      </c>
    </row>
    <row r="2090" spans="2:7" x14ac:dyDescent="0.25">
      <c r="B2090" s="70">
        <v>43601</v>
      </c>
      <c r="C2090" t="s">
        <v>25</v>
      </c>
      <c r="D2090" t="s">
        <v>81</v>
      </c>
      <c r="E2090" t="s">
        <v>168</v>
      </c>
      <c r="F2090" s="71">
        <v>22.5</v>
      </c>
      <c r="G2090" s="71">
        <v>0</v>
      </c>
    </row>
    <row r="2091" spans="2:7" x14ac:dyDescent="0.25">
      <c r="B2091" s="70">
        <v>43601</v>
      </c>
      <c r="C2091" t="s">
        <v>25</v>
      </c>
      <c r="D2091" t="s">
        <v>81</v>
      </c>
      <c r="E2091" t="s">
        <v>154</v>
      </c>
      <c r="F2091" s="71">
        <v>5</v>
      </c>
      <c r="G2091" s="71">
        <v>0</v>
      </c>
    </row>
    <row r="2092" spans="2:7" x14ac:dyDescent="0.25">
      <c r="B2092" s="70">
        <v>43601</v>
      </c>
      <c r="C2092" t="s">
        <v>25</v>
      </c>
      <c r="D2092" t="s">
        <v>84</v>
      </c>
      <c r="E2092" t="s">
        <v>305</v>
      </c>
      <c r="F2092" s="71">
        <v>110.5</v>
      </c>
      <c r="G2092" s="71">
        <v>0</v>
      </c>
    </row>
    <row r="2093" spans="2:7" x14ac:dyDescent="0.25">
      <c r="B2093" s="70">
        <v>43601</v>
      </c>
      <c r="C2093" t="s">
        <v>54</v>
      </c>
      <c r="D2093" t="s">
        <v>86</v>
      </c>
      <c r="E2093" t="s">
        <v>305</v>
      </c>
      <c r="F2093" s="71">
        <v>0</v>
      </c>
      <c r="G2093" s="71">
        <v>614.4</v>
      </c>
    </row>
    <row r="2094" spans="2:7" x14ac:dyDescent="0.25">
      <c r="B2094" s="70">
        <v>43601</v>
      </c>
      <c r="C2094" t="s">
        <v>46</v>
      </c>
      <c r="D2094" t="s">
        <v>86</v>
      </c>
      <c r="E2094" t="s">
        <v>305</v>
      </c>
      <c r="F2094">
        <v>0</v>
      </c>
      <c r="G2094" s="71">
        <v>191.9</v>
      </c>
    </row>
    <row r="2095" spans="2:7" x14ac:dyDescent="0.25">
      <c r="B2095" s="70">
        <v>43601</v>
      </c>
      <c r="C2095" t="s">
        <v>56</v>
      </c>
      <c r="D2095" t="s">
        <v>84</v>
      </c>
      <c r="E2095" t="s">
        <v>305</v>
      </c>
      <c r="F2095" s="71">
        <v>50</v>
      </c>
      <c r="G2095" s="71">
        <v>0</v>
      </c>
    </row>
    <row r="2096" spans="2:7" x14ac:dyDescent="0.25">
      <c r="B2096" s="70">
        <v>43601</v>
      </c>
      <c r="C2096" t="s">
        <v>57</v>
      </c>
      <c r="D2096" t="s">
        <v>86</v>
      </c>
      <c r="E2096" t="s">
        <v>305</v>
      </c>
      <c r="F2096" s="71">
        <v>0</v>
      </c>
      <c r="G2096" s="71">
        <v>23</v>
      </c>
    </row>
    <row r="2097" spans="2:7" x14ac:dyDescent="0.25">
      <c r="B2097" s="70">
        <v>43601</v>
      </c>
      <c r="C2097" t="s">
        <v>44</v>
      </c>
      <c r="D2097" t="s">
        <v>86</v>
      </c>
      <c r="E2097" t="s">
        <v>305</v>
      </c>
      <c r="F2097">
        <v>0</v>
      </c>
      <c r="G2097" s="71">
        <v>0.6</v>
      </c>
    </row>
    <row r="2098" spans="2:7" x14ac:dyDescent="0.25">
      <c r="B2098" s="70">
        <v>43601</v>
      </c>
      <c r="C2098" t="s">
        <v>21</v>
      </c>
      <c r="D2098" t="s">
        <v>79</v>
      </c>
      <c r="E2098" t="s">
        <v>305</v>
      </c>
      <c r="F2098" s="71">
        <v>8</v>
      </c>
      <c r="G2098" s="71">
        <v>0</v>
      </c>
    </row>
    <row r="2099" spans="2:7" x14ac:dyDescent="0.25">
      <c r="B2099" s="70">
        <v>43601</v>
      </c>
      <c r="C2099" t="s">
        <v>21</v>
      </c>
      <c r="D2099" t="s">
        <v>79</v>
      </c>
      <c r="E2099" t="s">
        <v>305</v>
      </c>
      <c r="F2099" s="71">
        <v>16</v>
      </c>
      <c r="G2099" s="71">
        <v>0</v>
      </c>
    </row>
    <row r="2100" spans="2:7" x14ac:dyDescent="0.25">
      <c r="B2100" s="70">
        <v>43601</v>
      </c>
      <c r="C2100" t="s">
        <v>21</v>
      </c>
      <c r="D2100" t="s">
        <v>79</v>
      </c>
      <c r="E2100" t="s">
        <v>305</v>
      </c>
      <c r="F2100" s="71">
        <v>24</v>
      </c>
      <c r="G2100" s="71">
        <v>0</v>
      </c>
    </row>
    <row r="2101" spans="2:7" x14ac:dyDescent="0.25">
      <c r="B2101" s="70">
        <v>43601</v>
      </c>
      <c r="C2101" t="s">
        <v>21</v>
      </c>
      <c r="D2101" t="s">
        <v>79</v>
      </c>
      <c r="E2101" t="s">
        <v>305</v>
      </c>
      <c r="F2101" s="71">
        <v>40</v>
      </c>
      <c r="G2101" s="71">
        <v>0</v>
      </c>
    </row>
    <row r="2102" spans="2:7" x14ac:dyDescent="0.25">
      <c r="B2102" s="70">
        <v>43601</v>
      </c>
      <c r="C2102" t="s">
        <v>21</v>
      </c>
      <c r="D2102" t="s">
        <v>79</v>
      </c>
      <c r="E2102" t="s">
        <v>305</v>
      </c>
      <c r="F2102" s="71">
        <v>48</v>
      </c>
      <c r="G2102" s="71">
        <v>0</v>
      </c>
    </row>
    <row r="2103" spans="2:7" x14ac:dyDescent="0.25">
      <c r="B2103" s="70">
        <v>43601</v>
      </c>
      <c r="C2103" t="s">
        <v>21</v>
      </c>
      <c r="D2103" t="s">
        <v>84</v>
      </c>
      <c r="E2103" t="s">
        <v>305</v>
      </c>
      <c r="F2103" s="71">
        <v>676</v>
      </c>
      <c r="G2103" s="71">
        <v>0</v>
      </c>
    </row>
    <row r="2104" spans="2:7" x14ac:dyDescent="0.25">
      <c r="B2104" s="70">
        <v>43601</v>
      </c>
      <c r="C2104" t="s">
        <v>66</v>
      </c>
      <c r="D2104" t="s">
        <v>79</v>
      </c>
      <c r="E2104" t="s">
        <v>305</v>
      </c>
      <c r="F2104" s="71">
        <v>159.80000000000001</v>
      </c>
      <c r="G2104" s="71">
        <v>0</v>
      </c>
    </row>
    <row r="2105" spans="2:7" x14ac:dyDescent="0.25">
      <c r="B2105" s="70">
        <v>43601</v>
      </c>
      <c r="C2105" t="s">
        <v>45</v>
      </c>
      <c r="D2105" t="s">
        <v>85</v>
      </c>
      <c r="E2105" t="s">
        <v>305</v>
      </c>
      <c r="F2105" s="71">
        <v>40</v>
      </c>
      <c r="G2105" s="71">
        <v>0</v>
      </c>
    </row>
    <row r="2106" spans="2:7" x14ac:dyDescent="0.25">
      <c r="B2106" s="70">
        <v>43601</v>
      </c>
      <c r="C2106" t="s">
        <v>50</v>
      </c>
      <c r="D2106" t="s">
        <v>84</v>
      </c>
      <c r="E2106" t="s">
        <v>305</v>
      </c>
      <c r="F2106" s="71">
        <v>21.05</v>
      </c>
      <c r="G2106" s="71">
        <v>0</v>
      </c>
    </row>
    <row r="2107" spans="2:7" x14ac:dyDescent="0.25">
      <c r="B2107" s="70">
        <v>43601</v>
      </c>
      <c r="C2107" t="s">
        <v>24</v>
      </c>
      <c r="D2107" t="s">
        <v>79</v>
      </c>
      <c r="E2107" t="s">
        <v>305</v>
      </c>
      <c r="F2107" s="71">
        <v>8</v>
      </c>
      <c r="G2107" s="71">
        <v>0</v>
      </c>
    </row>
    <row r="2108" spans="2:7" x14ac:dyDescent="0.25">
      <c r="B2108" s="70">
        <v>43601</v>
      </c>
      <c r="C2108" t="s">
        <v>24</v>
      </c>
      <c r="D2108" t="s">
        <v>84</v>
      </c>
      <c r="E2108" t="s">
        <v>305</v>
      </c>
      <c r="F2108" s="71">
        <v>182</v>
      </c>
      <c r="G2108" s="71">
        <v>0</v>
      </c>
    </row>
    <row r="2109" spans="2:7" x14ac:dyDescent="0.25">
      <c r="B2109" s="70">
        <v>43601</v>
      </c>
      <c r="C2109" t="s">
        <v>60</v>
      </c>
      <c r="D2109" t="s">
        <v>86</v>
      </c>
      <c r="E2109" t="s">
        <v>305</v>
      </c>
      <c r="F2109" s="71">
        <v>0</v>
      </c>
      <c r="G2109" s="71">
        <v>342.3</v>
      </c>
    </row>
    <row r="2110" spans="2:7" x14ac:dyDescent="0.25">
      <c r="B2110" s="70">
        <v>43601</v>
      </c>
      <c r="C2110" t="s">
        <v>62</v>
      </c>
      <c r="D2110" t="s">
        <v>86</v>
      </c>
      <c r="E2110" t="s">
        <v>305</v>
      </c>
      <c r="F2110">
        <v>0</v>
      </c>
      <c r="G2110" s="71">
        <v>92.1</v>
      </c>
    </row>
    <row r="2111" spans="2:7" x14ac:dyDescent="0.25">
      <c r="B2111" s="70">
        <v>43602</v>
      </c>
      <c r="C2111" t="s">
        <v>25</v>
      </c>
      <c r="D2111" t="s">
        <v>81</v>
      </c>
      <c r="E2111" t="s">
        <v>178</v>
      </c>
      <c r="F2111" s="71">
        <v>9</v>
      </c>
      <c r="G2111" s="71">
        <v>0</v>
      </c>
    </row>
    <row r="2112" spans="2:7" x14ac:dyDescent="0.25">
      <c r="B2112" s="70">
        <v>43602</v>
      </c>
      <c r="C2112" t="s">
        <v>25</v>
      </c>
      <c r="D2112" t="s">
        <v>81</v>
      </c>
      <c r="E2112" t="s">
        <v>168</v>
      </c>
      <c r="F2112" s="71">
        <v>22.5</v>
      </c>
      <c r="G2112" s="71">
        <v>0</v>
      </c>
    </row>
    <row r="2113" spans="2:7" x14ac:dyDescent="0.25">
      <c r="B2113" s="70">
        <v>43602</v>
      </c>
      <c r="C2113" t="s">
        <v>54</v>
      </c>
      <c r="D2113" t="s">
        <v>86</v>
      </c>
      <c r="E2113" t="s">
        <v>306</v>
      </c>
      <c r="F2113" s="71">
        <v>1228.8</v>
      </c>
      <c r="G2113" s="71">
        <v>0</v>
      </c>
    </row>
    <row r="2114" spans="2:7" x14ac:dyDescent="0.25">
      <c r="B2114" s="70">
        <v>43602</v>
      </c>
      <c r="C2114" t="s">
        <v>54</v>
      </c>
      <c r="D2114" t="s">
        <v>106</v>
      </c>
      <c r="E2114" t="s">
        <v>307</v>
      </c>
      <c r="F2114" s="71">
        <v>2.27</v>
      </c>
      <c r="G2114" s="71">
        <v>0</v>
      </c>
    </row>
    <row r="2115" spans="2:7" x14ac:dyDescent="0.25">
      <c r="B2115" s="70">
        <v>43602</v>
      </c>
      <c r="C2115" t="s">
        <v>46</v>
      </c>
      <c r="D2115" t="s">
        <v>86</v>
      </c>
      <c r="E2115" t="s">
        <v>306</v>
      </c>
      <c r="F2115" s="71">
        <v>383.8</v>
      </c>
      <c r="G2115" s="71">
        <v>0</v>
      </c>
    </row>
    <row r="2116" spans="2:7" x14ac:dyDescent="0.25">
      <c r="B2116" s="70">
        <v>43602</v>
      </c>
      <c r="C2116" t="s">
        <v>46</v>
      </c>
      <c r="D2116" t="s">
        <v>84</v>
      </c>
      <c r="E2116" t="s">
        <v>306</v>
      </c>
      <c r="F2116" s="71">
        <v>20.22</v>
      </c>
      <c r="G2116" s="71">
        <v>0</v>
      </c>
    </row>
    <row r="2117" spans="2:7" x14ac:dyDescent="0.25">
      <c r="B2117" s="70">
        <v>43602</v>
      </c>
      <c r="C2117" t="s">
        <v>57</v>
      </c>
      <c r="D2117" t="s">
        <v>79</v>
      </c>
      <c r="E2117" t="s">
        <v>306</v>
      </c>
      <c r="F2117" s="71">
        <v>74.099999999999994</v>
      </c>
      <c r="G2117" s="71">
        <v>0</v>
      </c>
    </row>
    <row r="2118" spans="2:7" x14ac:dyDescent="0.25">
      <c r="B2118" s="70">
        <v>43602</v>
      </c>
      <c r="C2118" t="s">
        <v>57</v>
      </c>
      <c r="D2118" t="s">
        <v>86</v>
      </c>
      <c r="E2118" t="s">
        <v>306</v>
      </c>
      <c r="F2118" s="71">
        <v>46</v>
      </c>
      <c r="G2118" s="71">
        <v>0</v>
      </c>
    </row>
    <row r="2119" spans="2:7" x14ac:dyDescent="0.25">
      <c r="B2119" s="70">
        <v>43602</v>
      </c>
      <c r="C2119" t="s">
        <v>44</v>
      </c>
      <c r="D2119" t="s">
        <v>86</v>
      </c>
      <c r="E2119" t="s">
        <v>306</v>
      </c>
      <c r="F2119" s="71">
        <v>1.2</v>
      </c>
      <c r="G2119" s="71">
        <v>0</v>
      </c>
    </row>
    <row r="2120" spans="2:7" x14ac:dyDescent="0.25">
      <c r="B2120" s="70">
        <v>43602</v>
      </c>
      <c r="C2120" t="s">
        <v>48</v>
      </c>
      <c r="D2120" t="s">
        <v>84</v>
      </c>
      <c r="E2120" t="s">
        <v>306</v>
      </c>
      <c r="F2120" s="71">
        <v>24</v>
      </c>
      <c r="G2120" s="71">
        <v>0</v>
      </c>
    </row>
    <row r="2121" spans="2:7" x14ac:dyDescent="0.25">
      <c r="B2121" s="70">
        <v>43602</v>
      </c>
      <c r="C2121" t="s">
        <v>55</v>
      </c>
      <c r="D2121" t="s">
        <v>84</v>
      </c>
      <c r="E2121" t="s">
        <v>306</v>
      </c>
      <c r="F2121" s="71">
        <v>47.45</v>
      </c>
      <c r="G2121" s="71">
        <v>0</v>
      </c>
    </row>
    <row r="2122" spans="2:7" x14ac:dyDescent="0.25">
      <c r="B2122" s="70">
        <v>43602</v>
      </c>
      <c r="C2122" t="s">
        <v>45</v>
      </c>
      <c r="D2122" t="s">
        <v>82</v>
      </c>
      <c r="E2122" t="s">
        <v>306</v>
      </c>
      <c r="F2122" s="71">
        <v>26.78</v>
      </c>
      <c r="G2122" s="71">
        <v>0</v>
      </c>
    </row>
    <row r="2123" spans="2:7" x14ac:dyDescent="0.25">
      <c r="B2123" s="70">
        <v>43602</v>
      </c>
      <c r="C2123" t="s">
        <v>49</v>
      </c>
      <c r="D2123" t="s">
        <v>84</v>
      </c>
      <c r="E2123" t="s">
        <v>306</v>
      </c>
      <c r="F2123" s="71">
        <v>103.5</v>
      </c>
      <c r="G2123" s="71">
        <v>0</v>
      </c>
    </row>
    <row r="2124" spans="2:7" x14ac:dyDescent="0.25">
      <c r="B2124" s="70">
        <v>43602</v>
      </c>
      <c r="C2124" t="s">
        <v>52</v>
      </c>
      <c r="D2124" t="s">
        <v>84</v>
      </c>
      <c r="E2124" t="s">
        <v>306</v>
      </c>
      <c r="F2124" s="71">
        <v>24</v>
      </c>
      <c r="G2124" s="71">
        <v>0</v>
      </c>
    </row>
    <row r="2125" spans="2:7" x14ac:dyDescent="0.25">
      <c r="B2125" s="70">
        <v>43602</v>
      </c>
      <c r="C2125" t="s">
        <v>58</v>
      </c>
      <c r="D2125" t="s">
        <v>84</v>
      </c>
      <c r="E2125" t="s">
        <v>306</v>
      </c>
      <c r="F2125" s="71">
        <v>63.2</v>
      </c>
      <c r="G2125" s="71">
        <v>0</v>
      </c>
    </row>
    <row r="2126" spans="2:7" x14ac:dyDescent="0.25">
      <c r="B2126" s="70">
        <v>43602</v>
      </c>
      <c r="C2126" t="s">
        <v>60</v>
      </c>
      <c r="D2126" t="s">
        <v>86</v>
      </c>
      <c r="E2126" t="s">
        <v>306</v>
      </c>
      <c r="F2126" s="71">
        <v>684.6</v>
      </c>
      <c r="G2126" s="71">
        <v>0</v>
      </c>
    </row>
    <row r="2127" spans="2:7" x14ac:dyDescent="0.25">
      <c r="B2127" s="70">
        <v>43602</v>
      </c>
      <c r="C2127" t="s">
        <v>62</v>
      </c>
      <c r="D2127" t="s">
        <v>86</v>
      </c>
      <c r="E2127" t="s">
        <v>306</v>
      </c>
      <c r="F2127" s="71">
        <v>184.2</v>
      </c>
      <c r="G2127" s="71">
        <v>0</v>
      </c>
    </row>
    <row r="2128" spans="2:7" x14ac:dyDescent="0.25">
      <c r="B2128" s="70">
        <v>43603</v>
      </c>
      <c r="C2128" t="s">
        <v>25</v>
      </c>
      <c r="D2128" t="s">
        <v>84</v>
      </c>
      <c r="E2128" t="s">
        <v>308</v>
      </c>
      <c r="F2128" s="71">
        <v>12</v>
      </c>
      <c r="G2128" s="71">
        <v>0</v>
      </c>
    </row>
    <row r="2129" spans="2:7" x14ac:dyDescent="0.25">
      <c r="B2129" s="70">
        <v>43603</v>
      </c>
      <c r="C2129" t="s">
        <v>25</v>
      </c>
      <c r="D2129" t="s">
        <v>84</v>
      </c>
      <c r="E2129" t="s">
        <v>308</v>
      </c>
      <c r="F2129" s="71">
        <v>40</v>
      </c>
      <c r="G2129" s="71">
        <v>0</v>
      </c>
    </row>
    <row r="2130" spans="2:7" x14ac:dyDescent="0.25">
      <c r="B2130" s="70">
        <v>43603</v>
      </c>
      <c r="C2130" t="s">
        <v>21</v>
      </c>
      <c r="D2130" t="s">
        <v>79</v>
      </c>
      <c r="E2130" t="s">
        <v>308</v>
      </c>
      <c r="F2130" s="71">
        <v>8</v>
      </c>
      <c r="G2130" s="71">
        <v>0</v>
      </c>
    </row>
    <row r="2131" spans="2:7" x14ac:dyDescent="0.25">
      <c r="B2131" s="70">
        <v>43603</v>
      </c>
      <c r="C2131" t="s">
        <v>21</v>
      </c>
      <c r="D2131" t="s">
        <v>79</v>
      </c>
      <c r="E2131" t="s">
        <v>308</v>
      </c>
      <c r="F2131" s="71">
        <v>16</v>
      </c>
      <c r="G2131" s="71">
        <v>0</v>
      </c>
    </row>
    <row r="2132" spans="2:7" x14ac:dyDescent="0.25">
      <c r="B2132" s="70">
        <v>43603</v>
      </c>
      <c r="C2132" t="s">
        <v>21</v>
      </c>
      <c r="D2132" t="s">
        <v>79</v>
      </c>
      <c r="E2132" t="s">
        <v>308</v>
      </c>
      <c r="F2132" s="71">
        <v>24</v>
      </c>
      <c r="G2132" s="71">
        <v>0</v>
      </c>
    </row>
    <row r="2133" spans="2:7" x14ac:dyDescent="0.25">
      <c r="B2133" s="70">
        <v>43603</v>
      </c>
      <c r="C2133" t="s">
        <v>21</v>
      </c>
      <c r="D2133" t="s">
        <v>79</v>
      </c>
      <c r="E2133" t="s">
        <v>308</v>
      </c>
      <c r="F2133" s="71">
        <v>32</v>
      </c>
      <c r="G2133" s="71">
        <v>0</v>
      </c>
    </row>
    <row r="2134" spans="2:7" x14ac:dyDescent="0.25">
      <c r="B2134" s="70">
        <v>43603</v>
      </c>
      <c r="C2134" t="s">
        <v>21</v>
      </c>
      <c r="D2134" t="s">
        <v>79</v>
      </c>
      <c r="E2134" t="s">
        <v>308</v>
      </c>
      <c r="F2134" s="71">
        <v>40</v>
      </c>
      <c r="G2134" s="71">
        <v>0</v>
      </c>
    </row>
    <row r="2135" spans="2:7" x14ac:dyDescent="0.25">
      <c r="B2135" s="70">
        <v>43603</v>
      </c>
      <c r="C2135" t="s">
        <v>21</v>
      </c>
      <c r="D2135" t="s">
        <v>79</v>
      </c>
      <c r="E2135" t="s">
        <v>308</v>
      </c>
      <c r="F2135" s="71">
        <v>56</v>
      </c>
      <c r="G2135" s="71">
        <v>0</v>
      </c>
    </row>
    <row r="2136" spans="2:7" x14ac:dyDescent="0.25">
      <c r="B2136" s="70">
        <v>43603</v>
      </c>
      <c r="C2136" t="s">
        <v>21</v>
      </c>
      <c r="D2136" t="s">
        <v>79</v>
      </c>
      <c r="E2136" t="s">
        <v>308</v>
      </c>
      <c r="F2136" s="71">
        <v>64</v>
      </c>
      <c r="G2136" s="71">
        <v>0</v>
      </c>
    </row>
    <row r="2137" spans="2:7" x14ac:dyDescent="0.25">
      <c r="B2137" s="70">
        <v>43603</v>
      </c>
      <c r="C2137" t="s">
        <v>21</v>
      </c>
      <c r="D2137" t="s">
        <v>79</v>
      </c>
      <c r="E2137" t="s">
        <v>308</v>
      </c>
      <c r="F2137" s="71">
        <v>80</v>
      </c>
      <c r="G2137" s="71">
        <v>0</v>
      </c>
    </row>
    <row r="2138" spans="2:7" x14ac:dyDescent="0.25">
      <c r="B2138" s="70">
        <v>43603</v>
      </c>
      <c r="C2138" t="s">
        <v>21</v>
      </c>
      <c r="D2138" t="s">
        <v>79</v>
      </c>
      <c r="E2138" t="s">
        <v>308</v>
      </c>
      <c r="F2138" s="71">
        <v>96</v>
      </c>
      <c r="G2138" s="71">
        <v>0</v>
      </c>
    </row>
    <row r="2139" spans="2:7" x14ac:dyDescent="0.25">
      <c r="B2139" s="70">
        <v>43603</v>
      </c>
      <c r="C2139" t="s">
        <v>48</v>
      </c>
      <c r="D2139" t="s">
        <v>85</v>
      </c>
      <c r="E2139" t="s">
        <v>308</v>
      </c>
      <c r="F2139" s="71">
        <v>65.75</v>
      </c>
      <c r="G2139" s="71">
        <v>0</v>
      </c>
    </row>
    <row r="2140" spans="2:7" x14ac:dyDescent="0.25">
      <c r="B2140" s="70">
        <v>43603</v>
      </c>
      <c r="C2140" t="s">
        <v>49</v>
      </c>
      <c r="D2140" t="s">
        <v>84</v>
      </c>
      <c r="E2140" t="s">
        <v>308</v>
      </c>
      <c r="F2140" s="71">
        <v>25.2</v>
      </c>
      <c r="G2140" s="71">
        <v>0</v>
      </c>
    </row>
    <row r="2141" spans="2:7" x14ac:dyDescent="0.25">
      <c r="B2141" s="70">
        <v>43603</v>
      </c>
      <c r="C2141" t="s">
        <v>63</v>
      </c>
      <c r="D2141" t="s">
        <v>79</v>
      </c>
      <c r="E2141" t="s">
        <v>308</v>
      </c>
      <c r="F2141" s="71">
        <v>12.5</v>
      </c>
      <c r="G2141" s="71">
        <v>0</v>
      </c>
    </row>
    <row r="2142" spans="2:7" x14ac:dyDescent="0.25">
      <c r="B2142" s="70">
        <v>43603</v>
      </c>
      <c r="C2142" t="s">
        <v>71</v>
      </c>
      <c r="D2142" t="s">
        <v>85</v>
      </c>
      <c r="E2142" t="s">
        <v>308</v>
      </c>
      <c r="F2142" s="71">
        <v>526.63</v>
      </c>
      <c r="G2142" s="71">
        <v>0</v>
      </c>
    </row>
    <row r="2143" spans="2:7" x14ac:dyDescent="0.25">
      <c r="B2143" s="70">
        <v>43605</v>
      </c>
      <c r="C2143" t="s">
        <v>25</v>
      </c>
      <c r="D2143" t="s">
        <v>84</v>
      </c>
      <c r="E2143" t="s">
        <v>309</v>
      </c>
      <c r="F2143" s="71">
        <v>19</v>
      </c>
      <c r="G2143" s="71">
        <v>0</v>
      </c>
    </row>
    <row r="2144" spans="2:7" x14ac:dyDescent="0.25">
      <c r="B2144" s="70">
        <v>43605</v>
      </c>
      <c r="C2144" t="s">
        <v>21</v>
      </c>
      <c r="D2144" t="s">
        <v>79</v>
      </c>
      <c r="E2144" t="s">
        <v>309</v>
      </c>
      <c r="F2144" s="71">
        <v>56</v>
      </c>
      <c r="G2144" s="71">
        <v>0</v>
      </c>
    </row>
    <row r="2145" spans="2:7" x14ac:dyDescent="0.25">
      <c r="B2145" s="70">
        <v>43605</v>
      </c>
      <c r="C2145" t="s">
        <v>58</v>
      </c>
      <c r="D2145" t="s">
        <v>86</v>
      </c>
      <c r="E2145" t="s">
        <v>309</v>
      </c>
      <c r="F2145" s="71">
        <v>0</v>
      </c>
      <c r="G2145" s="71">
        <v>9.1999999999999993</v>
      </c>
    </row>
    <row r="2146" spans="2:7" x14ac:dyDescent="0.25">
      <c r="B2146" s="70">
        <v>43606</v>
      </c>
      <c r="C2146" t="s">
        <v>25</v>
      </c>
      <c r="D2146" t="s">
        <v>79</v>
      </c>
      <c r="E2146" t="s">
        <v>310</v>
      </c>
      <c r="F2146" s="71">
        <v>8</v>
      </c>
      <c r="G2146" s="71">
        <v>0</v>
      </c>
    </row>
    <row r="2147" spans="2:7" x14ac:dyDescent="0.25">
      <c r="B2147" s="70">
        <v>43606</v>
      </c>
      <c r="C2147" t="s">
        <v>25</v>
      </c>
      <c r="D2147" t="s">
        <v>80</v>
      </c>
      <c r="E2147" t="s">
        <v>310</v>
      </c>
      <c r="F2147" s="71">
        <v>41.3</v>
      </c>
      <c r="G2147" s="71">
        <v>0</v>
      </c>
    </row>
    <row r="2148" spans="2:7" x14ac:dyDescent="0.25">
      <c r="B2148" s="70">
        <v>43606</v>
      </c>
      <c r="C2148" t="s">
        <v>25</v>
      </c>
      <c r="D2148" t="s">
        <v>87</v>
      </c>
      <c r="E2148" t="s">
        <v>310</v>
      </c>
      <c r="F2148" s="71">
        <v>10.99</v>
      </c>
      <c r="G2148" s="71">
        <v>0</v>
      </c>
    </row>
    <row r="2149" spans="2:7" x14ac:dyDescent="0.25">
      <c r="B2149" s="70">
        <v>43606</v>
      </c>
      <c r="C2149" t="s">
        <v>25</v>
      </c>
      <c r="D2149" t="s">
        <v>87</v>
      </c>
      <c r="E2149" t="s">
        <v>310</v>
      </c>
      <c r="F2149" s="71">
        <v>31.5</v>
      </c>
      <c r="G2149" s="71">
        <v>0</v>
      </c>
    </row>
    <row r="2150" spans="2:7" x14ac:dyDescent="0.25">
      <c r="B2150" s="70">
        <v>43606</v>
      </c>
      <c r="C2150" t="s">
        <v>25</v>
      </c>
      <c r="D2150" t="s">
        <v>87</v>
      </c>
      <c r="E2150" t="s">
        <v>310</v>
      </c>
      <c r="F2150" s="71">
        <v>37.31</v>
      </c>
      <c r="G2150" s="71">
        <v>0</v>
      </c>
    </row>
    <row r="2151" spans="2:7" x14ac:dyDescent="0.25">
      <c r="B2151" s="70">
        <v>43606</v>
      </c>
      <c r="C2151" t="s">
        <v>25</v>
      </c>
      <c r="D2151" t="s">
        <v>87</v>
      </c>
      <c r="E2151" t="s">
        <v>310</v>
      </c>
      <c r="F2151" s="71">
        <v>41.97</v>
      </c>
      <c r="G2151" s="71">
        <v>0</v>
      </c>
    </row>
    <row r="2152" spans="2:7" x14ac:dyDescent="0.25">
      <c r="B2152" s="70">
        <v>43606</v>
      </c>
      <c r="C2152" t="s">
        <v>25</v>
      </c>
      <c r="D2152" t="s">
        <v>87</v>
      </c>
      <c r="E2152" t="s">
        <v>310</v>
      </c>
      <c r="F2152" s="71">
        <v>56.62</v>
      </c>
      <c r="G2152" s="71">
        <v>0</v>
      </c>
    </row>
    <row r="2153" spans="2:7" x14ac:dyDescent="0.25">
      <c r="B2153" s="70">
        <v>43606</v>
      </c>
      <c r="C2153" t="s">
        <v>25</v>
      </c>
      <c r="D2153" t="s">
        <v>87</v>
      </c>
      <c r="E2153" t="s">
        <v>310</v>
      </c>
      <c r="F2153" s="71">
        <v>82.55</v>
      </c>
      <c r="G2153" s="71">
        <v>0</v>
      </c>
    </row>
    <row r="2154" spans="2:7" x14ac:dyDescent="0.25">
      <c r="B2154" s="70">
        <v>43606</v>
      </c>
      <c r="C2154" t="s">
        <v>25</v>
      </c>
      <c r="D2154" t="s">
        <v>87</v>
      </c>
      <c r="E2154" t="s">
        <v>310</v>
      </c>
      <c r="F2154" s="71">
        <v>85.82</v>
      </c>
      <c r="G2154" s="71">
        <v>0</v>
      </c>
    </row>
    <row r="2155" spans="2:7" x14ac:dyDescent="0.25">
      <c r="B2155" s="70">
        <v>43606</v>
      </c>
      <c r="C2155" t="s">
        <v>25</v>
      </c>
      <c r="D2155" t="s">
        <v>86</v>
      </c>
      <c r="E2155" t="s">
        <v>310</v>
      </c>
      <c r="F2155" s="71">
        <v>28</v>
      </c>
      <c r="G2155" s="71">
        <v>0</v>
      </c>
    </row>
    <row r="2156" spans="2:7" x14ac:dyDescent="0.25">
      <c r="B2156" s="70">
        <v>43606</v>
      </c>
      <c r="C2156" t="s">
        <v>25</v>
      </c>
      <c r="D2156" t="s">
        <v>81</v>
      </c>
      <c r="E2156" t="s">
        <v>197</v>
      </c>
      <c r="F2156" s="71">
        <v>2</v>
      </c>
      <c r="G2156" s="71">
        <v>0</v>
      </c>
    </row>
    <row r="2157" spans="2:7" x14ac:dyDescent="0.25">
      <c r="B2157" s="70">
        <v>43606</v>
      </c>
      <c r="C2157" t="s">
        <v>25</v>
      </c>
      <c r="D2157" t="s">
        <v>81</v>
      </c>
      <c r="E2157" t="s">
        <v>253</v>
      </c>
      <c r="F2157" s="71">
        <v>10.25</v>
      </c>
      <c r="G2157" s="71">
        <v>0</v>
      </c>
    </row>
    <row r="2158" spans="2:7" x14ac:dyDescent="0.25">
      <c r="B2158" s="70">
        <v>43606</v>
      </c>
      <c r="C2158" t="s">
        <v>25</v>
      </c>
      <c r="D2158" t="s">
        <v>81</v>
      </c>
      <c r="E2158" t="s">
        <v>191</v>
      </c>
      <c r="F2158" s="71">
        <v>22</v>
      </c>
      <c r="G2158" s="71">
        <v>0</v>
      </c>
    </row>
    <row r="2159" spans="2:7" x14ac:dyDescent="0.25">
      <c r="B2159" s="70">
        <v>43606</v>
      </c>
      <c r="C2159" t="s">
        <v>25</v>
      </c>
      <c r="D2159" t="s">
        <v>84</v>
      </c>
      <c r="E2159" t="s">
        <v>310</v>
      </c>
      <c r="F2159" s="71">
        <v>30.77</v>
      </c>
      <c r="G2159" s="71">
        <v>0</v>
      </c>
    </row>
    <row r="2160" spans="2:7" x14ac:dyDescent="0.25">
      <c r="B2160" s="70">
        <v>43606</v>
      </c>
      <c r="C2160" t="s">
        <v>46</v>
      </c>
      <c r="D2160" t="s">
        <v>84</v>
      </c>
      <c r="E2160" t="s">
        <v>310</v>
      </c>
      <c r="F2160" s="71">
        <v>30.35</v>
      </c>
      <c r="G2160" s="71">
        <v>0</v>
      </c>
    </row>
    <row r="2161" spans="2:7" x14ac:dyDescent="0.25">
      <c r="B2161" s="70">
        <v>43606</v>
      </c>
      <c r="C2161" t="s">
        <v>59</v>
      </c>
      <c r="D2161" t="s">
        <v>80</v>
      </c>
      <c r="E2161" t="s">
        <v>310</v>
      </c>
      <c r="F2161" s="71">
        <v>21.58</v>
      </c>
      <c r="G2161" s="71">
        <v>0</v>
      </c>
    </row>
    <row r="2162" spans="2:7" x14ac:dyDescent="0.25">
      <c r="B2162" s="70">
        <v>43606</v>
      </c>
      <c r="C2162" t="s">
        <v>59</v>
      </c>
      <c r="D2162" t="s">
        <v>86</v>
      </c>
      <c r="E2162" t="s">
        <v>310</v>
      </c>
      <c r="F2162" s="71">
        <v>197.95</v>
      </c>
      <c r="G2162" s="71">
        <v>0</v>
      </c>
    </row>
    <row r="2163" spans="2:7" x14ac:dyDescent="0.25">
      <c r="B2163" s="70">
        <v>43606</v>
      </c>
      <c r="C2163" t="s">
        <v>47</v>
      </c>
      <c r="D2163" t="s">
        <v>87</v>
      </c>
      <c r="E2163" t="s">
        <v>310</v>
      </c>
      <c r="F2163" s="71">
        <v>23.29</v>
      </c>
      <c r="G2163" s="71">
        <v>0</v>
      </c>
    </row>
    <row r="2164" spans="2:7" x14ac:dyDescent="0.25">
      <c r="B2164" s="70">
        <v>43606</v>
      </c>
      <c r="C2164" t="s">
        <v>51</v>
      </c>
      <c r="D2164" t="s">
        <v>86</v>
      </c>
      <c r="E2164" t="s">
        <v>310</v>
      </c>
      <c r="F2164" s="71">
        <v>35</v>
      </c>
      <c r="G2164" s="71">
        <v>0</v>
      </c>
    </row>
    <row r="2165" spans="2:7" x14ac:dyDescent="0.25">
      <c r="B2165" s="70">
        <v>43606</v>
      </c>
      <c r="C2165" t="s">
        <v>21</v>
      </c>
      <c r="D2165" t="s">
        <v>79</v>
      </c>
      <c r="E2165" t="s">
        <v>310</v>
      </c>
      <c r="F2165" s="71">
        <v>8</v>
      </c>
      <c r="G2165" s="71">
        <v>0</v>
      </c>
    </row>
    <row r="2166" spans="2:7" x14ac:dyDescent="0.25">
      <c r="B2166" s="70">
        <v>43606</v>
      </c>
      <c r="C2166" t="s">
        <v>21</v>
      </c>
      <c r="D2166" t="s">
        <v>79</v>
      </c>
      <c r="E2166" t="s">
        <v>310</v>
      </c>
      <c r="F2166" s="71">
        <v>16</v>
      </c>
      <c r="G2166" s="71">
        <v>0</v>
      </c>
    </row>
    <row r="2167" spans="2:7" x14ac:dyDescent="0.25">
      <c r="B2167" s="70">
        <v>43606</v>
      </c>
      <c r="C2167" t="s">
        <v>21</v>
      </c>
      <c r="D2167" t="s">
        <v>79</v>
      </c>
      <c r="E2167" t="s">
        <v>310</v>
      </c>
      <c r="F2167" s="71">
        <v>24</v>
      </c>
      <c r="G2167" s="71">
        <v>0</v>
      </c>
    </row>
    <row r="2168" spans="2:7" x14ac:dyDescent="0.25">
      <c r="B2168" s="70">
        <v>43606</v>
      </c>
      <c r="C2168" t="s">
        <v>21</v>
      </c>
      <c r="D2168" t="s">
        <v>79</v>
      </c>
      <c r="E2168" t="s">
        <v>310</v>
      </c>
      <c r="F2168" s="71">
        <v>56</v>
      </c>
      <c r="G2168" s="71">
        <v>0</v>
      </c>
    </row>
    <row r="2169" spans="2:7" x14ac:dyDescent="0.25">
      <c r="B2169" s="70">
        <v>43606</v>
      </c>
      <c r="C2169" t="s">
        <v>21</v>
      </c>
      <c r="D2169" t="s">
        <v>79</v>
      </c>
      <c r="E2169" t="s">
        <v>310</v>
      </c>
      <c r="F2169" s="71">
        <v>72</v>
      </c>
      <c r="G2169" s="71">
        <v>0</v>
      </c>
    </row>
    <row r="2170" spans="2:7" x14ac:dyDescent="0.25">
      <c r="B2170" s="70">
        <v>43606</v>
      </c>
      <c r="C2170" t="s">
        <v>48</v>
      </c>
      <c r="D2170" t="s">
        <v>85</v>
      </c>
      <c r="E2170" t="s">
        <v>310</v>
      </c>
      <c r="F2170" s="71">
        <v>32.68</v>
      </c>
      <c r="G2170" s="71">
        <v>0</v>
      </c>
    </row>
    <row r="2171" spans="2:7" x14ac:dyDescent="0.25">
      <c r="B2171" s="70">
        <v>43606</v>
      </c>
      <c r="C2171" t="s">
        <v>48</v>
      </c>
      <c r="D2171" t="s">
        <v>80</v>
      </c>
      <c r="E2171" t="s">
        <v>310</v>
      </c>
      <c r="F2171" s="71">
        <v>0</v>
      </c>
      <c r="G2171" s="71">
        <v>33.36</v>
      </c>
    </row>
    <row r="2172" spans="2:7" x14ac:dyDescent="0.25">
      <c r="B2172" s="70">
        <v>43606</v>
      </c>
      <c r="C2172" t="s">
        <v>48</v>
      </c>
      <c r="D2172" t="s">
        <v>87</v>
      </c>
      <c r="E2172" t="s">
        <v>310</v>
      </c>
      <c r="F2172" s="71">
        <v>32.1</v>
      </c>
      <c r="G2172" s="71">
        <v>0</v>
      </c>
    </row>
    <row r="2173" spans="2:7" x14ac:dyDescent="0.25">
      <c r="B2173" s="70">
        <v>43606</v>
      </c>
      <c r="C2173" t="s">
        <v>50</v>
      </c>
      <c r="D2173" t="s">
        <v>84</v>
      </c>
      <c r="E2173" t="s">
        <v>310</v>
      </c>
      <c r="F2173" s="71">
        <v>55</v>
      </c>
      <c r="G2173" s="71">
        <v>0</v>
      </c>
    </row>
    <row r="2174" spans="2:7" x14ac:dyDescent="0.25">
      <c r="B2174" s="70">
        <v>43606</v>
      </c>
      <c r="C2174" t="s">
        <v>24</v>
      </c>
      <c r="D2174" t="s">
        <v>79</v>
      </c>
      <c r="E2174" t="s">
        <v>310</v>
      </c>
      <c r="F2174" s="71">
        <v>8</v>
      </c>
      <c r="G2174" s="71">
        <v>0</v>
      </c>
    </row>
    <row r="2175" spans="2:7" x14ac:dyDescent="0.25">
      <c r="B2175" s="70">
        <v>43606</v>
      </c>
      <c r="C2175" t="s">
        <v>61</v>
      </c>
      <c r="D2175" t="s">
        <v>80</v>
      </c>
      <c r="E2175" t="s">
        <v>310</v>
      </c>
      <c r="F2175" s="71">
        <v>64.86</v>
      </c>
      <c r="G2175" s="71">
        <v>0</v>
      </c>
    </row>
    <row r="2176" spans="2:7" x14ac:dyDescent="0.25">
      <c r="B2176" s="70">
        <v>43607</v>
      </c>
      <c r="C2176" t="s">
        <v>25</v>
      </c>
      <c r="D2176" t="s">
        <v>81</v>
      </c>
      <c r="E2176" t="s">
        <v>207</v>
      </c>
      <c r="F2176" s="71">
        <v>16.399999999999999</v>
      </c>
      <c r="G2176" s="71">
        <v>0</v>
      </c>
    </row>
    <row r="2177" spans="2:7" x14ac:dyDescent="0.25">
      <c r="B2177" s="70">
        <v>43607</v>
      </c>
      <c r="C2177" t="s">
        <v>25</v>
      </c>
      <c r="D2177" t="s">
        <v>81</v>
      </c>
      <c r="E2177" t="s">
        <v>216</v>
      </c>
      <c r="F2177" s="71">
        <v>21.6</v>
      </c>
      <c r="G2177" s="71">
        <v>0</v>
      </c>
    </row>
    <row r="2178" spans="2:7" x14ac:dyDescent="0.25">
      <c r="B2178" s="70">
        <v>43607</v>
      </c>
      <c r="C2178" t="s">
        <v>25</v>
      </c>
      <c r="D2178" t="s">
        <v>81</v>
      </c>
      <c r="E2178" t="s">
        <v>176</v>
      </c>
      <c r="F2178" s="71">
        <v>16.399999999999999</v>
      </c>
      <c r="G2178" s="71">
        <v>0</v>
      </c>
    </row>
    <row r="2179" spans="2:7" x14ac:dyDescent="0.25">
      <c r="B2179" s="70">
        <v>43607</v>
      </c>
      <c r="C2179" t="s">
        <v>25</v>
      </c>
      <c r="D2179" t="s">
        <v>81</v>
      </c>
      <c r="E2179" t="s">
        <v>161</v>
      </c>
      <c r="F2179" s="71">
        <v>34.799999999999997</v>
      </c>
      <c r="G2179" s="71">
        <v>0</v>
      </c>
    </row>
    <row r="2180" spans="2:7" x14ac:dyDescent="0.25">
      <c r="B2180" s="70">
        <v>43607</v>
      </c>
      <c r="C2180" t="s">
        <v>25</v>
      </c>
      <c r="D2180" t="s">
        <v>81</v>
      </c>
      <c r="E2180" t="s">
        <v>181</v>
      </c>
      <c r="F2180" s="71">
        <v>16.7</v>
      </c>
      <c r="G2180" s="71">
        <v>0</v>
      </c>
    </row>
    <row r="2181" spans="2:7" x14ac:dyDescent="0.25">
      <c r="B2181" s="70">
        <v>43607</v>
      </c>
      <c r="C2181" t="s">
        <v>25</v>
      </c>
      <c r="D2181" t="s">
        <v>81</v>
      </c>
      <c r="E2181" t="s">
        <v>237</v>
      </c>
      <c r="F2181" s="71">
        <v>9.1999999999999993</v>
      </c>
      <c r="G2181" s="71">
        <v>0</v>
      </c>
    </row>
    <row r="2182" spans="2:7" x14ac:dyDescent="0.25">
      <c r="B2182" s="70">
        <v>43607</v>
      </c>
      <c r="C2182" t="s">
        <v>25</v>
      </c>
      <c r="D2182" t="s">
        <v>84</v>
      </c>
      <c r="E2182" t="s">
        <v>311</v>
      </c>
      <c r="F2182" s="71">
        <v>30</v>
      </c>
      <c r="G2182" s="71">
        <v>0</v>
      </c>
    </row>
    <row r="2183" spans="2:7" x14ac:dyDescent="0.25">
      <c r="B2183" s="70">
        <v>43607</v>
      </c>
      <c r="C2183" t="s">
        <v>25</v>
      </c>
      <c r="D2183" t="s">
        <v>84</v>
      </c>
      <c r="E2183" t="s">
        <v>311</v>
      </c>
      <c r="F2183" s="71">
        <v>39</v>
      </c>
      <c r="G2183" s="71">
        <v>0</v>
      </c>
    </row>
    <row r="2184" spans="2:7" x14ac:dyDescent="0.25">
      <c r="B2184" s="70">
        <v>43607</v>
      </c>
      <c r="C2184" t="s">
        <v>46</v>
      </c>
      <c r="D2184" t="s">
        <v>79</v>
      </c>
      <c r="E2184" t="s">
        <v>311</v>
      </c>
      <c r="F2184" s="71">
        <v>59.8</v>
      </c>
      <c r="G2184" s="71">
        <v>0</v>
      </c>
    </row>
    <row r="2185" spans="2:7" x14ac:dyDescent="0.25">
      <c r="B2185" s="70">
        <v>43607</v>
      </c>
      <c r="C2185" t="s">
        <v>46</v>
      </c>
      <c r="D2185" t="s">
        <v>85</v>
      </c>
      <c r="E2185" t="s">
        <v>311</v>
      </c>
      <c r="F2185" s="71">
        <v>33</v>
      </c>
      <c r="G2185" s="71">
        <v>0</v>
      </c>
    </row>
    <row r="2186" spans="2:7" x14ac:dyDescent="0.25">
      <c r="B2186" s="70">
        <v>43607</v>
      </c>
      <c r="C2186" t="s">
        <v>46</v>
      </c>
      <c r="D2186" t="s">
        <v>84</v>
      </c>
      <c r="E2186" t="s">
        <v>311</v>
      </c>
      <c r="F2186" s="71">
        <v>10</v>
      </c>
      <c r="G2186" s="71">
        <v>0</v>
      </c>
    </row>
    <row r="2187" spans="2:7" x14ac:dyDescent="0.25">
      <c r="B2187" s="70">
        <v>43607</v>
      </c>
      <c r="C2187" t="s">
        <v>21</v>
      </c>
      <c r="D2187" t="s">
        <v>79</v>
      </c>
      <c r="E2187" t="s">
        <v>311</v>
      </c>
      <c r="F2187" s="71">
        <v>8</v>
      </c>
      <c r="G2187" s="71">
        <v>0</v>
      </c>
    </row>
    <row r="2188" spans="2:7" x14ac:dyDescent="0.25">
      <c r="B2188" s="70">
        <v>43607</v>
      </c>
      <c r="C2188" t="s">
        <v>21</v>
      </c>
      <c r="D2188" t="s">
        <v>79</v>
      </c>
      <c r="E2188" t="s">
        <v>311</v>
      </c>
      <c r="F2188" s="71">
        <v>16</v>
      </c>
      <c r="G2188" s="71">
        <v>0</v>
      </c>
    </row>
    <row r="2189" spans="2:7" x14ac:dyDescent="0.25">
      <c r="B2189" s="70">
        <v>43607</v>
      </c>
      <c r="C2189" t="s">
        <v>74</v>
      </c>
      <c r="D2189" t="s">
        <v>85</v>
      </c>
      <c r="E2189" t="s">
        <v>311</v>
      </c>
      <c r="F2189" s="71">
        <v>600</v>
      </c>
      <c r="G2189" s="71">
        <v>0</v>
      </c>
    </row>
    <row r="2190" spans="2:7" x14ac:dyDescent="0.25">
      <c r="B2190" s="70">
        <v>43607</v>
      </c>
      <c r="C2190" t="s">
        <v>49</v>
      </c>
      <c r="D2190" t="s">
        <v>91</v>
      </c>
      <c r="E2190" t="s">
        <v>311</v>
      </c>
      <c r="F2190" s="71">
        <v>50</v>
      </c>
      <c r="G2190" s="71">
        <v>0</v>
      </c>
    </row>
    <row r="2191" spans="2:7" x14ac:dyDescent="0.25">
      <c r="B2191" s="70">
        <v>43607</v>
      </c>
      <c r="C2191" t="s">
        <v>50</v>
      </c>
      <c r="D2191" t="s">
        <v>84</v>
      </c>
      <c r="E2191" t="s">
        <v>311</v>
      </c>
      <c r="F2191" s="71">
        <v>7.78</v>
      </c>
      <c r="G2191" s="71">
        <v>0</v>
      </c>
    </row>
    <row r="2192" spans="2:7" x14ac:dyDescent="0.25">
      <c r="B2192" s="70">
        <v>43607</v>
      </c>
      <c r="C2192" t="s">
        <v>24</v>
      </c>
      <c r="D2192" t="s">
        <v>79</v>
      </c>
      <c r="E2192" t="s">
        <v>311</v>
      </c>
      <c r="F2192" s="71">
        <v>8</v>
      </c>
      <c r="G2192" s="71">
        <v>0</v>
      </c>
    </row>
    <row r="2193" spans="2:7" x14ac:dyDescent="0.25">
      <c r="B2193" s="70">
        <v>43607</v>
      </c>
      <c r="C2193" t="s">
        <v>24</v>
      </c>
      <c r="D2193" t="s">
        <v>79</v>
      </c>
      <c r="E2193" t="s">
        <v>311</v>
      </c>
      <c r="F2193" s="71">
        <v>24</v>
      </c>
      <c r="G2193" s="71">
        <v>0</v>
      </c>
    </row>
    <row r="2194" spans="2:7" x14ac:dyDescent="0.25">
      <c r="B2194" s="70">
        <v>43608</v>
      </c>
      <c r="C2194" t="s">
        <v>25</v>
      </c>
      <c r="D2194" t="s">
        <v>80</v>
      </c>
      <c r="E2194" t="s">
        <v>312</v>
      </c>
      <c r="F2194" s="71">
        <v>0</v>
      </c>
      <c r="G2194" s="71">
        <v>8</v>
      </c>
    </row>
    <row r="2195" spans="2:7" x14ac:dyDescent="0.25">
      <c r="B2195" s="70">
        <v>43608</v>
      </c>
      <c r="C2195" t="s">
        <v>25</v>
      </c>
      <c r="D2195" t="s">
        <v>81</v>
      </c>
      <c r="E2195" t="s">
        <v>275</v>
      </c>
      <c r="F2195" s="71">
        <v>16.399999999999999</v>
      </c>
      <c r="G2195" s="71">
        <v>0</v>
      </c>
    </row>
    <row r="2196" spans="2:7" x14ac:dyDescent="0.25">
      <c r="B2196" s="70">
        <v>43608</v>
      </c>
      <c r="C2196" t="s">
        <v>51</v>
      </c>
      <c r="D2196" t="s">
        <v>84</v>
      </c>
      <c r="E2196" t="s">
        <v>312</v>
      </c>
      <c r="F2196" s="71">
        <v>55.75</v>
      </c>
      <c r="G2196" s="71">
        <v>0</v>
      </c>
    </row>
    <row r="2197" spans="2:7" x14ac:dyDescent="0.25">
      <c r="B2197" s="70">
        <v>43608</v>
      </c>
      <c r="C2197" t="s">
        <v>21</v>
      </c>
      <c r="D2197" t="s">
        <v>79</v>
      </c>
      <c r="E2197" t="s">
        <v>312</v>
      </c>
      <c r="F2197" s="71">
        <v>8</v>
      </c>
      <c r="G2197" s="71">
        <v>0</v>
      </c>
    </row>
    <row r="2198" spans="2:7" x14ac:dyDescent="0.25">
      <c r="B2198" s="70">
        <v>43608</v>
      </c>
      <c r="C2198" t="s">
        <v>21</v>
      </c>
      <c r="D2198" t="s">
        <v>79</v>
      </c>
      <c r="E2198" t="s">
        <v>312</v>
      </c>
      <c r="F2198" s="71">
        <v>16</v>
      </c>
      <c r="G2198" s="71">
        <v>0</v>
      </c>
    </row>
    <row r="2199" spans="2:7" x14ac:dyDescent="0.25">
      <c r="B2199" s="70">
        <v>43608</v>
      </c>
      <c r="C2199" t="s">
        <v>21</v>
      </c>
      <c r="D2199" t="s">
        <v>79</v>
      </c>
      <c r="E2199" t="s">
        <v>312</v>
      </c>
      <c r="F2199" s="71">
        <v>40</v>
      </c>
      <c r="G2199" s="71">
        <v>0</v>
      </c>
    </row>
    <row r="2200" spans="2:7" x14ac:dyDescent="0.25">
      <c r="B2200" s="70">
        <v>43608</v>
      </c>
      <c r="C2200" t="s">
        <v>53</v>
      </c>
      <c r="D2200" t="s">
        <v>86</v>
      </c>
      <c r="E2200" t="s">
        <v>312</v>
      </c>
      <c r="F2200" s="71">
        <v>14</v>
      </c>
      <c r="G2200" s="71">
        <v>0</v>
      </c>
    </row>
    <row r="2201" spans="2:7" x14ac:dyDescent="0.25">
      <c r="B2201" s="70">
        <v>43608</v>
      </c>
      <c r="C2201" t="s">
        <v>71</v>
      </c>
      <c r="D2201" t="s">
        <v>86</v>
      </c>
      <c r="E2201" t="s">
        <v>312</v>
      </c>
      <c r="F2201" s="71">
        <v>0</v>
      </c>
      <c r="G2201" s="71">
        <v>14</v>
      </c>
    </row>
    <row r="2202" spans="2:7" x14ac:dyDescent="0.25">
      <c r="B2202" s="70">
        <v>43608</v>
      </c>
      <c r="C2202" t="s">
        <v>24</v>
      </c>
      <c r="D2202" t="s">
        <v>79</v>
      </c>
      <c r="E2202" t="s">
        <v>312</v>
      </c>
      <c r="F2202" s="71">
        <v>56</v>
      </c>
      <c r="G2202" s="71">
        <v>0</v>
      </c>
    </row>
    <row r="2203" spans="2:7" x14ac:dyDescent="0.25">
      <c r="B2203" s="70">
        <v>43609</v>
      </c>
      <c r="C2203" t="s">
        <v>25</v>
      </c>
      <c r="D2203" t="s">
        <v>80</v>
      </c>
      <c r="E2203" t="s">
        <v>313</v>
      </c>
      <c r="F2203" s="71">
        <v>23.95</v>
      </c>
      <c r="G2203" s="71">
        <v>0</v>
      </c>
    </row>
    <row r="2204" spans="2:7" x14ac:dyDescent="0.25">
      <c r="B2204" s="70">
        <v>43609</v>
      </c>
      <c r="C2204" t="s">
        <v>25</v>
      </c>
      <c r="D2204" t="s">
        <v>80</v>
      </c>
      <c r="E2204" t="s">
        <v>313</v>
      </c>
      <c r="F2204" s="71">
        <v>23.99</v>
      </c>
      <c r="G2204" s="71">
        <v>0</v>
      </c>
    </row>
    <row r="2205" spans="2:7" x14ac:dyDescent="0.25">
      <c r="B2205" s="70">
        <v>43609</v>
      </c>
      <c r="C2205" t="s">
        <v>25</v>
      </c>
      <c r="D2205" t="s">
        <v>80</v>
      </c>
      <c r="E2205" t="s">
        <v>313</v>
      </c>
      <c r="F2205" s="71">
        <v>25.66</v>
      </c>
      <c r="G2205" s="71">
        <v>0</v>
      </c>
    </row>
    <row r="2206" spans="2:7" x14ac:dyDescent="0.25">
      <c r="B2206" s="70">
        <v>43609</v>
      </c>
      <c r="C2206" t="s">
        <v>25</v>
      </c>
      <c r="D2206" t="s">
        <v>80</v>
      </c>
      <c r="E2206" t="s">
        <v>313</v>
      </c>
      <c r="F2206" s="71">
        <v>73.319999999999993</v>
      </c>
      <c r="G2206" s="71">
        <v>0</v>
      </c>
    </row>
    <row r="2207" spans="2:7" x14ac:dyDescent="0.25">
      <c r="B2207" s="70">
        <v>43609</v>
      </c>
      <c r="C2207" t="s">
        <v>25</v>
      </c>
      <c r="D2207" t="s">
        <v>80</v>
      </c>
      <c r="E2207" t="s">
        <v>313</v>
      </c>
      <c r="F2207" s="71">
        <v>148</v>
      </c>
      <c r="G2207" s="71">
        <v>0</v>
      </c>
    </row>
    <row r="2208" spans="2:7" x14ac:dyDescent="0.25">
      <c r="B2208" s="70">
        <v>43609</v>
      </c>
      <c r="C2208" t="s">
        <v>25</v>
      </c>
      <c r="D2208" t="s">
        <v>87</v>
      </c>
      <c r="E2208" t="s">
        <v>313</v>
      </c>
      <c r="F2208" s="71">
        <v>25.97</v>
      </c>
      <c r="G2208" s="71">
        <v>0</v>
      </c>
    </row>
    <row r="2209" spans="2:7" x14ac:dyDescent="0.25">
      <c r="B2209" s="70">
        <v>43609</v>
      </c>
      <c r="C2209" t="s">
        <v>25</v>
      </c>
      <c r="D2209" t="s">
        <v>87</v>
      </c>
      <c r="E2209" t="s">
        <v>313</v>
      </c>
      <c r="F2209" s="71">
        <v>43.73</v>
      </c>
      <c r="G2209" s="71">
        <v>0</v>
      </c>
    </row>
    <row r="2210" spans="2:7" x14ac:dyDescent="0.25">
      <c r="B2210" s="70">
        <v>43609</v>
      </c>
      <c r="C2210" t="s">
        <v>25</v>
      </c>
      <c r="D2210" t="s">
        <v>87</v>
      </c>
      <c r="E2210" t="s">
        <v>313</v>
      </c>
      <c r="F2210" s="71">
        <v>97.75</v>
      </c>
      <c r="G2210" s="71">
        <v>0</v>
      </c>
    </row>
    <row r="2211" spans="2:7" x14ac:dyDescent="0.25">
      <c r="B2211" s="70">
        <v>43609</v>
      </c>
      <c r="C2211" t="s">
        <v>25</v>
      </c>
      <c r="D2211" t="s">
        <v>87</v>
      </c>
      <c r="E2211" t="s">
        <v>313</v>
      </c>
      <c r="F2211" s="71">
        <v>99.51</v>
      </c>
      <c r="G2211" s="71">
        <v>0</v>
      </c>
    </row>
    <row r="2212" spans="2:7" x14ac:dyDescent="0.25">
      <c r="B2212" s="70">
        <v>43609</v>
      </c>
      <c r="C2212" t="s">
        <v>59</v>
      </c>
      <c r="D2212" t="s">
        <v>84</v>
      </c>
      <c r="E2212" t="s">
        <v>313</v>
      </c>
      <c r="F2212" s="71">
        <v>514.4</v>
      </c>
      <c r="G2212" s="71">
        <v>0</v>
      </c>
    </row>
    <row r="2213" spans="2:7" x14ac:dyDescent="0.25">
      <c r="B2213" s="70">
        <v>43609</v>
      </c>
      <c r="C2213" t="s">
        <v>56</v>
      </c>
      <c r="D2213" t="s">
        <v>82</v>
      </c>
      <c r="E2213" t="s">
        <v>313</v>
      </c>
      <c r="F2213" s="71">
        <v>44</v>
      </c>
      <c r="G2213" s="71">
        <v>0</v>
      </c>
    </row>
    <row r="2214" spans="2:7" x14ac:dyDescent="0.25">
      <c r="B2214" s="70">
        <v>43609</v>
      </c>
      <c r="C2214" t="s">
        <v>57</v>
      </c>
      <c r="D2214" t="s">
        <v>80</v>
      </c>
      <c r="E2214" t="s">
        <v>313</v>
      </c>
      <c r="F2214" s="71">
        <v>31.5</v>
      </c>
      <c r="G2214" s="71">
        <v>0</v>
      </c>
    </row>
    <row r="2215" spans="2:7" x14ac:dyDescent="0.25">
      <c r="B2215" s="70">
        <v>43609</v>
      </c>
      <c r="C2215" t="s">
        <v>21</v>
      </c>
      <c r="D2215" t="s">
        <v>79</v>
      </c>
      <c r="E2215" t="s">
        <v>313</v>
      </c>
      <c r="F2215" s="71">
        <v>8</v>
      </c>
      <c r="G2215" s="71">
        <v>0</v>
      </c>
    </row>
    <row r="2216" spans="2:7" x14ac:dyDescent="0.25">
      <c r="B2216" s="70">
        <v>43609</v>
      </c>
      <c r="C2216" t="s">
        <v>66</v>
      </c>
      <c r="D2216" t="s">
        <v>84</v>
      </c>
      <c r="E2216" t="s">
        <v>313</v>
      </c>
      <c r="F2216" s="71">
        <v>10</v>
      </c>
      <c r="G2216" s="71">
        <v>0</v>
      </c>
    </row>
    <row r="2217" spans="2:7" x14ac:dyDescent="0.25">
      <c r="B2217" s="70">
        <v>43609</v>
      </c>
      <c r="C2217" t="s">
        <v>48</v>
      </c>
      <c r="D2217" t="s">
        <v>80</v>
      </c>
      <c r="E2217" t="s">
        <v>313</v>
      </c>
      <c r="F2217" s="71">
        <v>17.5</v>
      </c>
      <c r="G2217" s="71">
        <v>0</v>
      </c>
    </row>
    <row r="2218" spans="2:7" x14ac:dyDescent="0.25">
      <c r="B2218" s="70">
        <v>43609</v>
      </c>
      <c r="C2218" t="s">
        <v>48</v>
      </c>
      <c r="D2218" t="s">
        <v>84</v>
      </c>
      <c r="E2218" t="s">
        <v>313</v>
      </c>
      <c r="F2218" s="71">
        <v>167.3</v>
      </c>
      <c r="G2218" s="71">
        <v>0</v>
      </c>
    </row>
    <row r="2219" spans="2:7" x14ac:dyDescent="0.25">
      <c r="B2219" s="70">
        <v>43609</v>
      </c>
      <c r="C2219" t="s">
        <v>49</v>
      </c>
      <c r="D2219" t="s">
        <v>84</v>
      </c>
      <c r="E2219" t="s">
        <v>313</v>
      </c>
      <c r="F2219" s="71">
        <v>50.5</v>
      </c>
      <c r="G2219" s="71">
        <v>0</v>
      </c>
    </row>
    <row r="2220" spans="2:7" x14ac:dyDescent="0.25">
      <c r="B2220" s="70">
        <v>43609</v>
      </c>
      <c r="C2220" t="s">
        <v>50</v>
      </c>
      <c r="D2220" t="s">
        <v>83</v>
      </c>
      <c r="E2220" t="s">
        <v>313</v>
      </c>
      <c r="F2220" s="71">
        <v>25</v>
      </c>
      <c r="G2220" s="71">
        <v>0</v>
      </c>
    </row>
    <row r="2221" spans="2:7" x14ac:dyDescent="0.25">
      <c r="B2221" s="70">
        <v>43609</v>
      </c>
      <c r="C2221" t="s">
        <v>52</v>
      </c>
      <c r="D2221" t="s">
        <v>84</v>
      </c>
      <c r="E2221" t="s">
        <v>313</v>
      </c>
      <c r="F2221" s="71">
        <v>796.6</v>
      </c>
      <c r="G2221" s="71">
        <v>0</v>
      </c>
    </row>
    <row r="2222" spans="2:7" x14ac:dyDescent="0.25">
      <c r="B2222" s="70">
        <v>43609</v>
      </c>
      <c r="C2222" t="s">
        <v>58</v>
      </c>
      <c r="D2222" t="s">
        <v>84</v>
      </c>
      <c r="E2222" t="s">
        <v>313</v>
      </c>
      <c r="F2222" s="71">
        <v>10</v>
      </c>
      <c r="G2222" s="71">
        <v>0</v>
      </c>
    </row>
    <row r="2223" spans="2:7" x14ac:dyDescent="0.25">
      <c r="B2223" s="70">
        <v>43609</v>
      </c>
      <c r="C2223" t="s">
        <v>53</v>
      </c>
      <c r="D2223" t="s">
        <v>84</v>
      </c>
      <c r="E2223" t="s">
        <v>313</v>
      </c>
      <c r="F2223" s="71">
        <v>5</v>
      </c>
      <c r="G2223" s="71">
        <v>0</v>
      </c>
    </row>
    <row r="2224" spans="2:7" x14ac:dyDescent="0.25">
      <c r="B2224" s="70">
        <v>43609</v>
      </c>
      <c r="C2224" t="s">
        <v>71</v>
      </c>
      <c r="D2224" t="s">
        <v>84</v>
      </c>
      <c r="E2224" t="s">
        <v>313</v>
      </c>
      <c r="F2224" s="71">
        <v>401</v>
      </c>
      <c r="G2224" s="71">
        <v>0</v>
      </c>
    </row>
    <row r="2225" spans="2:7" x14ac:dyDescent="0.25">
      <c r="B2225" s="70">
        <v>43609</v>
      </c>
      <c r="C2225" t="s">
        <v>24</v>
      </c>
      <c r="D2225" t="s">
        <v>79</v>
      </c>
      <c r="E2225" t="s">
        <v>313</v>
      </c>
      <c r="F2225" s="71">
        <v>8</v>
      </c>
      <c r="G2225" s="71">
        <v>0</v>
      </c>
    </row>
    <row r="2226" spans="2:7" x14ac:dyDescent="0.25">
      <c r="B2226" s="70">
        <v>43610</v>
      </c>
      <c r="C2226" t="s">
        <v>25</v>
      </c>
      <c r="D2226" t="s">
        <v>81</v>
      </c>
      <c r="E2226" t="s">
        <v>199</v>
      </c>
      <c r="F2226" s="71">
        <v>7.65</v>
      </c>
      <c r="G2226" s="71">
        <v>0</v>
      </c>
    </row>
    <row r="2227" spans="2:7" x14ac:dyDescent="0.25">
      <c r="B2227" s="70">
        <v>43610</v>
      </c>
      <c r="C2227" t="s">
        <v>25</v>
      </c>
      <c r="D2227" t="s">
        <v>108</v>
      </c>
      <c r="E2227" t="s">
        <v>314</v>
      </c>
      <c r="F2227" s="71">
        <v>39.479999999999997</v>
      </c>
      <c r="G2227" s="71">
        <v>0</v>
      </c>
    </row>
    <row r="2228" spans="2:7" x14ac:dyDescent="0.25">
      <c r="B2228" s="70">
        <v>43610</v>
      </c>
      <c r="C2228" t="s">
        <v>25</v>
      </c>
      <c r="D2228" t="s">
        <v>108</v>
      </c>
      <c r="E2228" t="s">
        <v>314</v>
      </c>
      <c r="F2228" s="71">
        <v>50.38</v>
      </c>
      <c r="G2228" s="71">
        <v>0</v>
      </c>
    </row>
    <row r="2229" spans="2:7" x14ac:dyDescent="0.25">
      <c r="B2229" s="70">
        <v>43610</v>
      </c>
      <c r="C2229" t="s">
        <v>25</v>
      </c>
      <c r="D2229" t="s">
        <v>108</v>
      </c>
      <c r="E2229" t="s">
        <v>314</v>
      </c>
      <c r="F2229" s="71">
        <v>58.94</v>
      </c>
      <c r="G2229" s="71">
        <v>0</v>
      </c>
    </row>
    <row r="2230" spans="2:7" x14ac:dyDescent="0.25">
      <c r="B2230" s="70">
        <v>43610</v>
      </c>
      <c r="C2230" t="s">
        <v>25</v>
      </c>
      <c r="D2230" t="s">
        <v>108</v>
      </c>
      <c r="E2230" t="s">
        <v>314</v>
      </c>
      <c r="F2230" s="71">
        <v>91.9</v>
      </c>
      <c r="G2230" s="71">
        <v>0</v>
      </c>
    </row>
    <row r="2231" spans="2:7" x14ac:dyDescent="0.25">
      <c r="B2231" s="70">
        <v>43610</v>
      </c>
      <c r="C2231" t="s">
        <v>25</v>
      </c>
      <c r="D2231" t="s">
        <v>108</v>
      </c>
      <c r="E2231" t="s">
        <v>314</v>
      </c>
      <c r="F2231" s="71">
        <v>101.66</v>
      </c>
      <c r="G2231" s="71">
        <v>0</v>
      </c>
    </row>
    <row r="2232" spans="2:7" x14ac:dyDescent="0.25">
      <c r="B2232" s="70">
        <v>43610</v>
      </c>
      <c r="C2232" t="s">
        <v>25</v>
      </c>
      <c r="D2232" t="s">
        <v>108</v>
      </c>
      <c r="E2232" t="s">
        <v>314</v>
      </c>
      <c r="F2232" s="71">
        <v>341.28</v>
      </c>
      <c r="G2232" s="71">
        <v>0</v>
      </c>
    </row>
    <row r="2233" spans="2:7" x14ac:dyDescent="0.25">
      <c r="B2233" s="70">
        <v>43610</v>
      </c>
      <c r="C2233" t="s">
        <v>25</v>
      </c>
      <c r="D2233" t="s">
        <v>84</v>
      </c>
      <c r="E2233" t="s">
        <v>315</v>
      </c>
      <c r="F2233" s="71">
        <v>12</v>
      </c>
      <c r="G2233" s="71">
        <v>0</v>
      </c>
    </row>
    <row r="2234" spans="2:7" x14ac:dyDescent="0.25">
      <c r="B2234" s="70">
        <v>43610</v>
      </c>
      <c r="C2234" t="s">
        <v>54</v>
      </c>
      <c r="D2234" t="s">
        <v>108</v>
      </c>
      <c r="E2234" t="s">
        <v>314</v>
      </c>
      <c r="F2234" s="71">
        <v>653.96</v>
      </c>
      <c r="G2234" s="71">
        <v>0</v>
      </c>
    </row>
    <row r="2235" spans="2:7" x14ac:dyDescent="0.25">
      <c r="B2235" s="70">
        <v>43610</v>
      </c>
      <c r="C2235" t="s">
        <v>46</v>
      </c>
      <c r="D2235" t="s">
        <v>108</v>
      </c>
      <c r="E2235" t="s">
        <v>314</v>
      </c>
      <c r="F2235" s="71">
        <v>13.97</v>
      </c>
      <c r="G2235" s="71">
        <v>0</v>
      </c>
    </row>
    <row r="2236" spans="2:7" x14ac:dyDescent="0.25">
      <c r="B2236" s="70">
        <v>43610</v>
      </c>
      <c r="C2236" t="s">
        <v>46</v>
      </c>
      <c r="D2236" t="s">
        <v>84</v>
      </c>
      <c r="E2236" t="s">
        <v>315</v>
      </c>
      <c r="F2236" s="71">
        <v>15.35</v>
      </c>
      <c r="G2236" s="71">
        <v>0</v>
      </c>
    </row>
    <row r="2237" spans="2:7" x14ac:dyDescent="0.25">
      <c r="B2237" s="70">
        <v>43610</v>
      </c>
      <c r="C2237" t="s">
        <v>43</v>
      </c>
      <c r="D2237" t="s">
        <v>79</v>
      </c>
      <c r="E2237" t="s">
        <v>315</v>
      </c>
      <c r="F2237" s="71">
        <v>294.75</v>
      </c>
      <c r="G2237" s="71">
        <v>0</v>
      </c>
    </row>
    <row r="2238" spans="2:7" x14ac:dyDescent="0.25">
      <c r="B2238" s="70">
        <v>43610</v>
      </c>
      <c r="C2238" t="s">
        <v>21</v>
      </c>
      <c r="D2238" t="s">
        <v>79</v>
      </c>
      <c r="E2238" t="s">
        <v>315</v>
      </c>
      <c r="F2238" s="71">
        <v>8</v>
      </c>
      <c r="G2238" s="71">
        <v>0</v>
      </c>
    </row>
    <row r="2239" spans="2:7" x14ac:dyDescent="0.25">
      <c r="B2239" s="70">
        <v>43610</v>
      </c>
      <c r="C2239" t="s">
        <v>21</v>
      </c>
      <c r="D2239" t="s">
        <v>79</v>
      </c>
      <c r="E2239" t="s">
        <v>315</v>
      </c>
      <c r="F2239" s="71">
        <v>24</v>
      </c>
      <c r="G2239" s="71">
        <v>0</v>
      </c>
    </row>
    <row r="2240" spans="2:7" x14ac:dyDescent="0.25">
      <c r="B2240" s="70">
        <v>43610</v>
      </c>
      <c r="C2240" t="s">
        <v>21</v>
      </c>
      <c r="D2240" t="s">
        <v>79</v>
      </c>
      <c r="E2240" t="s">
        <v>315</v>
      </c>
      <c r="F2240" s="71">
        <v>40</v>
      </c>
      <c r="G2240" s="71">
        <v>0</v>
      </c>
    </row>
    <row r="2241" spans="2:7" x14ac:dyDescent="0.25">
      <c r="B2241" s="70">
        <v>43610</v>
      </c>
      <c r="C2241" t="s">
        <v>21</v>
      </c>
      <c r="D2241" t="s">
        <v>80</v>
      </c>
      <c r="E2241" t="s">
        <v>315</v>
      </c>
      <c r="F2241" s="71">
        <v>0</v>
      </c>
      <c r="G2241" s="71">
        <v>16</v>
      </c>
    </row>
    <row r="2242" spans="2:7" x14ac:dyDescent="0.25">
      <c r="B2242" s="70">
        <v>43610</v>
      </c>
      <c r="C2242" t="s">
        <v>21</v>
      </c>
      <c r="D2242" t="s">
        <v>108</v>
      </c>
      <c r="E2242" t="s">
        <v>314</v>
      </c>
      <c r="F2242" s="71">
        <v>19.39</v>
      </c>
      <c r="G2242" s="71">
        <v>0</v>
      </c>
    </row>
    <row r="2243" spans="2:7" x14ac:dyDescent="0.25">
      <c r="B2243" s="70">
        <v>43610</v>
      </c>
      <c r="C2243" t="s">
        <v>21</v>
      </c>
      <c r="D2243" t="s">
        <v>108</v>
      </c>
      <c r="E2243" t="s">
        <v>314</v>
      </c>
      <c r="F2243" s="71">
        <v>25.31</v>
      </c>
      <c r="G2243" s="71">
        <v>0</v>
      </c>
    </row>
    <row r="2244" spans="2:7" x14ac:dyDescent="0.25">
      <c r="B2244" s="70">
        <v>43610</v>
      </c>
      <c r="C2244" t="s">
        <v>21</v>
      </c>
      <c r="D2244" t="s">
        <v>108</v>
      </c>
      <c r="E2244" t="s">
        <v>314</v>
      </c>
      <c r="F2244" s="71">
        <v>28.72</v>
      </c>
      <c r="G2244" s="71">
        <v>0</v>
      </c>
    </row>
    <row r="2245" spans="2:7" x14ac:dyDescent="0.25">
      <c r="B2245" s="70">
        <v>43610</v>
      </c>
      <c r="C2245" t="s">
        <v>21</v>
      </c>
      <c r="D2245" t="s">
        <v>108</v>
      </c>
      <c r="E2245" t="s">
        <v>314</v>
      </c>
      <c r="F2245" s="71">
        <v>31.65</v>
      </c>
      <c r="G2245" s="71">
        <v>0</v>
      </c>
    </row>
    <row r="2246" spans="2:7" x14ac:dyDescent="0.25">
      <c r="B2246" s="70">
        <v>43610</v>
      </c>
      <c r="C2246" t="s">
        <v>21</v>
      </c>
      <c r="D2246" t="s">
        <v>108</v>
      </c>
      <c r="E2246" t="s">
        <v>314</v>
      </c>
      <c r="F2246" s="71">
        <v>59.16</v>
      </c>
      <c r="G2246" s="71">
        <v>0</v>
      </c>
    </row>
    <row r="2247" spans="2:7" x14ac:dyDescent="0.25">
      <c r="B2247" s="70">
        <v>43610</v>
      </c>
      <c r="C2247" t="s">
        <v>21</v>
      </c>
      <c r="D2247" t="s">
        <v>108</v>
      </c>
      <c r="E2247" t="s">
        <v>314</v>
      </c>
      <c r="F2247" s="71">
        <v>60.62</v>
      </c>
      <c r="G2247" s="71">
        <v>0</v>
      </c>
    </row>
    <row r="2248" spans="2:7" x14ac:dyDescent="0.25">
      <c r="B2248" s="70">
        <v>43610</v>
      </c>
      <c r="C2248" t="s">
        <v>21</v>
      </c>
      <c r="D2248" t="s">
        <v>108</v>
      </c>
      <c r="E2248" t="s">
        <v>314</v>
      </c>
      <c r="F2248" s="71">
        <v>122.35</v>
      </c>
      <c r="G2248" s="71">
        <v>0</v>
      </c>
    </row>
    <row r="2249" spans="2:7" x14ac:dyDescent="0.25">
      <c r="B2249" s="70">
        <v>43610</v>
      </c>
      <c r="C2249" t="s">
        <v>21</v>
      </c>
      <c r="D2249" t="s">
        <v>108</v>
      </c>
      <c r="E2249" t="s">
        <v>314</v>
      </c>
      <c r="F2249" s="71">
        <v>159.69999999999999</v>
      </c>
      <c r="G2249" s="71">
        <v>0</v>
      </c>
    </row>
    <row r="2250" spans="2:7" x14ac:dyDescent="0.25">
      <c r="B2250" s="70">
        <v>43610</v>
      </c>
      <c r="C2250" t="s">
        <v>21</v>
      </c>
      <c r="D2250" t="s">
        <v>108</v>
      </c>
      <c r="E2250" t="s">
        <v>314</v>
      </c>
      <c r="F2250" s="71">
        <v>210.56</v>
      </c>
      <c r="G2250" s="71">
        <v>0</v>
      </c>
    </row>
    <row r="2251" spans="2:7" x14ac:dyDescent="0.25">
      <c r="B2251" s="70">
        <v>43610</v>
      </c>
      <c r="C2251" t="s">
        <v>21</v>
      </c>
      <c r="D2251" t="s">
        <v>108</v>
      </c>
      <c r="E2251" t="s">
        <v>314</v>
      </c>
      <c r="F2251" s="71">
        <v>213.47</v>
      </c>
      <c r="G2251" s="71">
        <v>0</v>
      </c>
    </row>
    <row r="2252" spans="2:7" x14ac:dyDescent="0.25">
      <c r="B2252" s="70">
        <v>43610</v>
      </c>
      <c r="C2252" t="s">
        <v>21</v>
      </c>
      <c r="D2252" t="s">
        <v>108</v>
      </c>
      <c r="E2252" t="s">
        <v>314</v>
      </c>
      <c r="F2252" s="71">
        <v>226.28</v>
      </c>
      <c r="G2252" s="71">
        <v>0</v>
      </c>
    </row>
    <row r="2253" spans="2:7" x14ac:dyDescent="0.25">
      <c r="B2253" s="70">
        <v>43610</v>
      </c>
      <c r="C2253" t="s">
        <v>21</v>
      </c>
      <c r="D2253" t="s">
        <v>108</v>
      </c>
      <c r="E2253" t="s">
        <v>314</v>
      </c>
      <c r="F2253" s="71">
        <v>250.08</v>
      </c>
      <c r="G2253" s="71">
        <v>0</v>
      </c>
    </row>
    <row r="2254" spans="2:7" x14ac:dyDescent="0.25">
      <c r="B2254" s="70">
        <v>43610</v>
      </c>
      <c r="C2254" t="s">
        <v>21</v>
      </c>
      <c r="D2254" t="s">
        <v>108</v>
      </c>
      <c r="E2254" t="s">
        <v>314</v>
      </c>
      <c r="F2254" s="71">
        <v>250.17</v>
      </c>
      <c r="G2254" s="71">
        <v>0</v>
      </c>
    </row>
    <row r="2255" spans="2:7" x14ac:dyDescent="0.25">
      <c r="B2255" s="70">
        <v>43610</v>
      </c>
      <c r="C2255" t="s">
        <v>21</v>
      </c>
      <c r="D2255" t="s">
        <v>108</v>
      </c>
      <c r="E2255" t="s">
        <v>314</v>
      </c>
      <c r="F2255" s="71">
        <v>277.51</v>
      </c>
      <c r="G2255" s="71">
        <v>0</v>
      </c>
    </row>
    <row r="2256" spans="2:7" x14ac:dyDescent="0.25">
      <c r="B2256" s="70">
        <v>43610</v>
      </c>
      <c r="C2256" t="s">
        <v>21</v>
      </c>
      <c r="D2256" t="s">
        <v>108</v>
      </c>
      <c r="E2256" t="s">
        <v>314</v>
      </c>
      <c r="F2256" s="71">
        <v>305.62</v>
      </c>
      <c r="G2256" s="71">
        <v>0</v>
      </c>
    </row>
    <row r="2257" spans="2:7" x14ac:dyDescent="0.25">
      <c r="B2257" s="70">
        <v>43610</v>
      </c>
      <c r="C2257" t="s">
        <v>21</v>
      </c>
      <c r="D2257" t="s">
        <v>108</v>
      </c>
      <c r="E2257" t="s">
        <v>314</v>
      </c>
      <c r="F2257" s="71">
        <v>365.4</v>
      </c>
      <c r="G2257" s="71">
        <v>0</v>
      </c>
    </row>
    <row r="2258" spans="2:7" x14ac:dyDescent="0.25">
      <c r="B2258" s="70">
        <v>43610</v>
      </c>
      <c r="C2258" t="s">
        <v>21</v>
      </c>
      <c r="D2258" t="s">
        <v>108</v>
      </c>
      <c r="E2258" t="s">
        <v>314</v>
      </c>
      <c r="F2258" s="71">
        <v>473.77</v>
      </c>
      <c r="G2258" s="71">
        <v>0</v>
      </c>
    </row>
    <row r="2259" spans="2:7" x14ac:dyDescent="0.25">
      <c r="B2259" s="70">
        <v>43610</v>
      </c>
      <c r="C2259" t="s">
        <v>21</v>
      </c>
      <c r="D2259" t="s">
        <v>108</v>
      </c>
      <c r="E2259" t="s">
        <v>314</v>
      </c>
      <c r="F2259" s="71">
        <v>486.39</v>
      </c>
      <c r="G2259" s="71">
        <v>0</v>
      </c>
    </row>
    <row r="2260" spans="2:7" x14ac:dyDescent="0.25">
      <c r="B2260" s="70">
        <v>43610</v>
      </c>
      <c r="C2260" t="s">
        <v>21</v>
      </c>
      <c r="D2260" t="s">
        <v>108</v>
      </c>
      <c r="E2260" t="s">
        <v>314</v>
      </c>
      <c r="F2260" s="71">
        <v>522.20000000000005</v>
      </c>
      <c r="G2260" s="71">
        <v>0</v>
      </c>
    </row>
    <row r="2261" spans="2:7" x14ac:dyDescent="0.25">
      <c r="B2261" s="70">
        <v>43610</v>
      </c>
      <c r="C2261" t="s">
        <v>21</v>
      </c>
      <c r="D2261" t="s">
        <v>108</v>
      </c>
      <c r="E2261" t="s">
        <v>314</v>
      </c>
      <c r="F2261" s="71">
        <v>554.16</v>
      </c>
      <c r="G2261" s="71">
        <v>0</v>
      </c>
    </row>
    <row r="2262" spans="2:7" x14ac:dyDescent="0.25">
      <c r="B2262" s="70">
        <v>43610</v>
      </c>
      <c r="C2262" t="s">
        <v>21</v>
      </c>
      <c r="D2262" t="s">
        <v>108</v>
      </c>
      <c r="E2262" t="s">
        <v>314</v>
      </c>
      <c r="F2262" s="71">
        <v>637.09</v>
      </c>
      <c r="G2262" s="71">
        <v>0</v>
      </c>
    </row>
    <row r="2263" spans="2:7" x14ac:dyDescent="0.25">
      <c r="B2263" s="70">
        <v>43610</v>
      </c>
      <c r="C2263" t="s">
        <v>21</v>
      </c>
      <c r="D2263" t="s">
        <v>108</v>
      </c>
      <c r="E2263" t="s">
        <v>314</v>
      </c>
      <c r="F2263" s="71">
        <v>703.22</v>
      </c>
      <c r="G2263" s="71">
        <v>0</v>
      </c>
    </row>
    <row r="2264" spans="2:7" x14ac:dyDescent="0.25">
      <c r="B2264" s="70">
        <v>43610</v>
      </c>
      <c r="C2264" t="s">
        <v>21</v>
      </c>
      <c r="D2264" t="s">
        <v>108</v>
      </c>
      <c r="E2264" t="s">
        <v>314</v>
      </c>
      <c r="F2264" s="71">
        <v>808.05</v>
      </c>
      <c r="G2264" s="71">
        <v>0</v>
      </c>
    </row>
    <row r="2265" spans="2:7" x14ac:dyDescent="0.25">
      <c r="B2265" s="70">
        <v>43610</v>
      </c>
      <c r="C2265" t="s">
        <v>21</v>
      </c>
      <c r="D2265" t="s">
        <v>108</v>
      </c>
      <c r="E2265" t="s">
        <v>314</v>
      </c>
      <c r="F2265" s="71">
        <v>936.65</v>
      </c>
      <c r="G2265" s="71">
        <v>0</v>
      </c>
    </row>
    <row r="2266" spans="2:7" x14ac:dyDescent="0.25">
      <c r="B2266" s="70">
        <v>43610</v>
      </c>
      <c r="C2266" t="s">
        <v>21</v>
      </c>
      <c r="D2266" t="s">
        <v>108</v>
      </c>
      <c r="E2266" t="s">
        <v>314</v>
      </c>
      <c r="F2266" s="71">
        <v>980.37</v>
      </c>
      <c r="G2266" s="71">
        <v>0</v>
      </c>
    </row>
    <row r="2267" spans="2:7" x14ac:dyDescent="0.25">
      <c r="B2267" s="70">
        <v>43610</v>
      </c>
      <c r="C2267" t="s">
        <v>21</v>
      </c>
      <c r="D2267" t="s">
        <v>108</v>
      </c>
      <c r="E2267" t="s">
        <v>314</v>
      </c>
      <c r="F2267" s="71">
        <v>1045.49</v>
      </c>
      <c r="G2267" s="71">
        <v>0</v>
      </c>
    </row>
    <row r="2268" spans="2:7" x14ac:dyDescent="0.25">
      <c r="B2268" s="70">
        <v>43610</v>
      </c>
      <c r="C2268" t="s">
        <v>21</v>
      </c>
      <c r="D2268" t="s">
        <v>108</v>
      </c>
      <c r="E2268" t="s">
        <v>314</v>
      </c>
      <c r="F2268" s="71">
        <v>1334.36</v>
      </c>
      <c r="G2268" s="71">
        <v>0</v>
      </c>
    </row>
    <row r="2269" spans="2:7" x14ac:dyDescent="0.25">
      <c r="B2269" s="70">
        <v>43610</v>
      </c>
      <c r="C2269" t="s">
        <v>21</v>
      </c>
      <c r="D2269" t="s">
        <v>84</v>
      </c>
      <c r="E2269" t="s">
        <v>315</v>
      </c>
      <c r="F2269" s="71">
        <v>24</v>
      </c>
      <c r="G2269" s="71">
        <v>0</v>
      </c>
    </row>
    <row r="2270" spans="2:7" x14ac:dyDescent="0.25">
      <c r="B2270" s="70">
        <v>43610</v>
      </c>
      <c r="C2270" t="s">
        <v>50</v>
      </c>
      <c r="D2270" t="s">
        <v>108</v>
      </c>
      <c r="E2270" t="s">
        <v>314</v>
      </c>
      <c r="F2270" s="71">
        <v>11432.58</v>
      </c>
      <c r="G2270" s="71">
        <v>0</v>
      </c>
    </row>
    <row r="2271" spans="2:7" x14ac:dyDescent="0.25">
      <c r="B2271" s="70">
        <v>43610</v>
      </c>
      <c r="C2271" t="s">
        <v>52</v>
      </c>
      <c r="D2271" t="s">
        <v>108</v>
      </c>
      <c r="E2271" t="s">
        <v>314</v>
      </c>
      <c r="F2271" s="71">
        <v>328.77</v>
      </c>
      <c r="G2271" s="71">
        <v>0</v>
      </c>
    </row>
    <row r="2272" spans="2:7" x14ac:dyDescent="0.25">
      <c r="B2272" s="70">
        <v>43610</v>
      </c>
      <c r="C2272" t="s">
        <v>58</v>
      </c>
      <c r="D2272" t="s">
        <v>84</v>
      </c>
      <c r="E2272" t="s">
        <v>315</v>
      </c>
      <c r="F2272" s="71">
        <v>10</v>
      </c>
      <c r="G2272" s="71">
        <v>0</v>
      </c>
    </row>
    <row r="2273" spans="2:7" x14ac:dyDescent="0.25">
      <c r="B2273" s="70">
        <v>43610</v>
      </c>
      <c r="C2273" t="s">
        <v>71</v>
      </c>
      <c r="D2273" t="s">
        <v>82</v>
      </c>
      <c r="E2273" t="s">
        <v>315</v>
      </c>
      <c r="F2273" s="71">
        <v>50.25</v>
      </c>
      <c r="G2273" s="71">
        <v>0</v>
      </c>
    </row>
    <row r="2274" spans="2:7" x14ac:dyDescent="0.25">
      <c r="B2274" s="70">
        <v>43610</v>
      </c>
      <c r="C2274" t="s">
        <v>68</v>
      </c>
      <c r="D2274" t="s">
        <v>85</v>
      </c>
      <c r="E2274" t="s">
        <v>315</v>
      </c>
      <c r="F2274" s="71">
        <v>1501.66</v>
      </c>
      <c r="G2274" s="71">
        <v>0</v>
      </c>
    </row>
    <row r="2275" spans="2:7" x14ac:dyDescent="0.25">
      <c r="B2275" s="70">
        <v>43610</v>
      </c>
      <c r="C2275" t="s">
        <v>24</v>
      </c>
      <c r="D2275" t="s">
        <v>79</v>
      </c>
      <c r="E2275" t="s">
        <v>315</v>
      </c>
      <c r="F2275" s="71">
        <v>8</v>
      </c>
      <c r="G2275" s="71">
        <v>0</v>
      </c>
    </row>
    <row r="2276" spans="2:7" x14ac:dyDescent="0.25">
      <c r="B2276" s="70">
        <v>43610</v>
      </c>
      <c r="C2276" t="s">
        <v>24</v>
      </c>
      <c r="D2276" t="s">
        <v>108</v>
      </c>
      <c r="E2276" t="s">
        <v>314</v>
      </c>
      <c r="F2276" s="71">
        <v>10.27</v>
      </c>
      <c r="G2276" s="71">
        <v>0</v>
      </c>
    </row>
    <row r="2277" spans="2:7" x14ac:dyDescent="0.25">
      <c r="B2277" s="70">
        <v>43610</v>
      </c>
      <c r="C2277" t="s">
        <v>24</v>
      </c>
      <c r="D2277" t="s">
        <v>108</v>
      </c>
      <c r="E2277" t="s">
        <v>314</v>
      </c>
      <c r="F2277" s="71">
        <v>11.08</v>
      </c>
      <c r="G2277" s="71">
        <v>0</v>
      </c>
    </row>
    <row r="2278" spans="2:7" x14ac:dyDescent="0.25">
      <c r="B2278" s="70">
        <v>43610</v>
      </c>
      <c r="C2278" t="s">
        <v>24</v>
      </c>
      <c r="D2278" t="s">
        <v>108</v>
      </c>
      <c r="E2278" t="s">
        <v>314</v>
      </c>
      <c r="F2278" s="71">
        <v>19.329999999999998</v>
      </c>
      <c r="G2278" s="71">
        <v>0</v>
      </c>
    </row>
    <row r="2279" spans="2:7" x14ac:dyDescent="0.25">
      <c r="B2279" s="70">
        <v>43610</v>
      </c>
      <c r="C2279" t="s">
        <v>24</v>
      </c>
      <c r="D2279" t="s">
        <v>108</v>
      </c>
      <c r="E2279" t="s">
        <v>314</v>
      </c>
      <c r="F2279" s="71">
        <v>31.22</v>
      </c>
      <c r="G2279" s="71">
        <v>0</v>
      </c>
    </row>
    <row r="2280" spans="2:7" x14ac:dyDescent="0.25">
      <c r="B2280" s="70">
        <v>43610</v>
      </c>
      <c r="C2280" t="s">
        <v>24</v>
      </c>
      <c r="D2280" t="s">
        <v>108</v>
      </c>
      <c r="E2280" t="s">
        <v>314</v>
      </c>
      <c r="F2280" s="71">
        <v>32.130000000000003</v>
      </c>
      <c r="G2280" s="71">
        <v>0</v>
      </c>
    </row>
    <row r="2281" spans="2:7" x14ac:dyDescent="0.25">
      <c r="B2281" s="70">
        <v>43610</v>
      </c>
      <c r="C2281" t="s">
        <v>24</v>
      </c>
      <c r="D2281" t="s">
        <v>108</v>
      </c>
      <c r="E2281" t="s">
        <v>314</v>
      </c>
      <c r="F2281" s="71">
        <v>37.630000000000003</v>
      </c>
      <c r="G2281" s="71">
        <v>0</v>
      </c>
    </row>
    <row r="2282" spans="2:7" x14ac:dyDescent="0.25">
      <c r="B2282" s="70">
        <v>43610</v>
      </c>
      <c r="C2282" t="s">
        <v>24</v>
      </c>
      <c r="D2282" t="s">
        <v>108</v>
      </c>
      <c r="E2282" t="s">
        <v>314</v>
      </c>
      <c r="F2282" s="71">
        <v>38.090000000000003</v>
      </c>
      <c r="G2282" s="71">
        <v>0</v>
      </c>
    </row>
    <row r="2283" spans="2:7" x14ac:dyDescent="0.25">
      <c r="B2283" s="70">
        <v>43610</v>
      </c>
      <c r="C2283" t="s">
        <v>24</v>
      </c>
      <c r="D2283" t="s">
        <v>108</v>
      </c>
      <c r="E2283" t="s">
        <v>314</v>
      </c>
      <c r="F2283" s="71">
        <v>51.31</v>
      </c>
      <c r="G2283" s="71">
        <v>0</v>
      </c>
    </row>
    <row r="2284" spans="2:7" x14ac:dyDescent="0.25">
      <c r="B2284" s="70">
        <v>43610</v>
      </c>
      <c r="C2284" t="s">
        <v>24</v>
      </c>
      <c r="D2284" t="s">
        <v>108</v>
      </c>
      <c r="E2284" t="s">
        <v>314</v>
      </c>
      <c r="F2284" s="71">
        <v>73.849999999999994</v>
      </c>
      <c r="G2284" s="71">
        <v>0</v>
      </c>
    </row>
    <row r="2285" spans="2:7" x14ac:dyDescent="0.25">
      <c r="B2285" s="70">
        <v>43610</v>
      </c>
      <c r="C2285" t="s">
        <v>24</v>
      </c>
      <c r="D2285" t="s">
        <v>108</v>
      </c>
      <c r="E2285" t="s">
        <v>314</v>
      </c>
      <c r="F2285" s="71">
        <v>76.97</v>
      </c>
      <c r="G2285" s="71">
        <v>0</v>
      </c>
    </row>
    <row r="2286" spans="2:7" x14ac:dyDescent="0.25">
      <c r="B2286" s="70">
        <v>43610</v>
      </c>
      <c r="C2286" t="s">
        <v>24</v>
      </c>
      <c r="D2286" t="s">
        <v>108</v>
      </c>
      <c r="E2286" t="s">
        <v>314</v>
      </c>
      <c r="F2286" s="71">
        <v>83.96</v>
      </c>
      <c r="G2286" s="71">
        <v>0</v>
      </c>
    </row>
    <row r="2287" spans="2:7" x14ac:dyDescent="0.25">
      <c r="B2287" s="70">
        <v>43610</v>
      </c>
      <c r="C2287" t="s">
        <v>24</v>
      </c>
      <c r="D2287" t="s">
        <v>108</v>
      </c>
      <c r="E2287" t="s">
        <v>314</v>
      </c>
      <c r="F2287" s="71">
        <v>125.74</v>
      </c>
      <c r="G2287" s="71">
        <v>0</v>
      </c>
    </row>
    <row r="2288" spans="2:7" x14ac:dyDescent="0.25">
      <c r="B2288" s="70">
        <v>43610</v>
      </c>
      <c r="C2288" t="s">
        <v>24</v>
      </c>
      <c r="D2288" t="s">
        <v>108</v>
      </c>
      <c r="E2288" t="s">
        <v>314</v>
      </c>
      <c r="F2288" s="71">
        <v>150.13</v>
      </c>
      <c r="G2288" s="71">
        <v>0</v>
      </c>
    </row>
    <row r="2289" spans="2:7" x14ac:dyDescent="0.25">
      <c r="B2289" s="70">
        <v>43610</v>
      </c>
      <c r="C2289" t="s">
        <v>24</v>
      </c>
      <c r="D2289" t="s">
        <v>108</v>
      </c>
      <c r="E2289" t="s">
        <v>314</v>
      </c>
      <c r="F2289" s="71">
        <v>199.9</v>
      </c>
      <c r="G2289" s="71">
        <v>0</v>
      </c>
    </row>
    <row r="2290" spans="2:7" x14ac:dyDescent="0.25">
      <c r="B2290" s="70">
        <v>43610</v>
      </c>
      <c r="C2290" t="s">
        <v>24</v>
      </c>
      <c r="D2290" t="s">
        <v>108</v>
      </c>
      <c r="E2290" t="s">
        <v>314</v>
      </c>
      <c r="F2290" s="71">
        <v>269.23</v>
      </c>
      <c r="G2290" s="71">
        <v>0</v>
      </c>
    </row>
    <row r="2291" spans="2:7" x14ac:dyDescent="0.25">
      <c r="B2291" s="70">
        <v>43610</v>
      </c>
      <c r="C2291" t="s">
        <v>61</v>
      </c>
      <c r="D2291" t="s">
        <v>108</v>
      </c>
      <c r="E2291" t="s">
        <v>314</v>
      </c>
      <c r="F2291" s="71">
        <v>516.86</v>
      </c>
      <c r="G2291" s="71">
        <v>0</v>
      </c>
    </row>
    <row r="2292" spans="2:7" x14ac:dyDescent="0.25">
      <c r="B2292" s="70">
        <v>43612</v>
      </c>
      <c r="C2292" t="s">
        <v>25</v>
      </c>
      <c r="D2292" t="s">
        <v>85</v>
      </c>
      <c r="E2292" t="s">
        <v>316</v>
      </c>
      <c r="F2292" s="71">
        <v>187.5</v>
      </c>
      <c r="G2292" s="71">
        <v>0</v>
      </c>
    </row>
    <row r="2293" spans="2:7" x14ac:dyDescent="0.25">
      <c r="B2293" s="70">
        <v>43612</v>
      </c>
      <c r="C2293" t="s">
        <v>25</v>
      </c>
      <c r="D2293" t="s">
        <v>83</v>
      </c>
      <c r="E2293" t="s">
        <v>316</v>
      </c>
      <c r="F2293" s="71">
        <v>17.989999999999998</v>
      </c>
      <c r="G2293" s="71">
        <v>0</v>
      </c>
    </row>
    <row r="2294" spans="2:7" x14ac:dyDescent="0.25">
      <c r="B2294" s="70">
        <v>43612</v>
      </c>
      <c r="C2294" t="s">
        <v>25</v>
      </c>
      <c r="D2294" t="s">
        <v>83</v>
      </c>
      <c r="E2294" t="s">
        <v>316</v>
      </c>
      <c r="F2294" s="71">
        <v>30</v>
      </c>
      <c r="G2294" s="71">
        <v>0</v>
      </c>
    </row>
    <row r="2295" spans="2:7" x14ac:dyDescent="0.25">
      <c r="B2295" s="70">
        <v>43612</v>
      </c>
      <c r="C2295" t="s">
        <v>25</v>
      </c>
      <c r="D2295" t="s">
        <v>80</v>
      </c>
      <c r="E2295" t="s">
        <v>316</v>
      </c>
      <c r="F2295" s="71">
        <v>10.199999999999999</v>
      </c>
      <c r="G2295" s="71">
        <v>0</v>
      </c>
    </row>
    <row r="2296" spans="2:7" x14ac:dyDescent="0.25">
      <c r="B2296" s="70">
        <v>43612</v>
      </c>
      <c r="C2296" t="s">
        <v>25</v>
      </c>
      <c r="D2296" t="s">
        <v>80</v>
      </c>
      <c r="E2296" t="s">
        <v>316</v>
      </c>
      <c r="F2296" s="71">
        <v>35.979999999999997</v>
      </c>
      <c r="G2296" s="71">
        <v>0</v>
      </c>
    </row>
    <row r="2297" spans="2:7" x14ac:dyDescent="0.25">
      <c r="B2297" s="70">
        <v>43612</v>
      </c>
      <c r="C2297" t="s">
        <v>25</v>
      </c>
      <c r="D2297" t="s">
        <v>80</v>
      </c>
      <c r="E2297" t="s">
        <v>316</v>
      </c>
      <c r="F2297" s="71">
        <v>40.5</v>
      </c>
      <c r="G2297" s="71">
        <v>0</v>
      </c>
    </row>
    <row r="2298" spans="2:7" x14ac:dyDescent="0.25">
      <c r="B2298" s="70">
        <v>43612</v>
      </c>
      <c r="C2298" t="s">
        <v>25</v>
      </c>
      <c r="D2298" t="s">
        <v>80</v>
      </c>
      <c r="E2298" t="s">
        <v>316</v>
      </c>
      <c r="F2298" s="71">
        <v>55.64</v>
      </c>
      <c r="G2298" s="71">
        <v>0</v>
      </c>
    </row>
    <row r="2299" spans="2:7" x14ac:dyDescent="0.25">
      <c r="B2299" s="70">
        <v>43612</v>
      </c>
      <c r="C2299" t="s">
        <v>25</v>
      </c>
      <c r="D2299" t="s">
        <v>87</v>
      </c>
      <c r="E2299" t="s">
        <v>316</v>
      </c>
      <c r="F2299" s="71">
        <v>10.49</v>
      </c>
      <c r="G2299" s="71">
        <v>0</v>
      </c>
    </row>
    <row r="2300" spans="2:7" x14ac:dyDescent="0.25">
      <c r="B2300" s="70">
        <v>43612</v>
      </c>
      <c r="C2300" t="s">
        <v>25</v>
      </c>
      <c r="D2300" t="s">
        <v>87</v>
      </c>
      <c r="E2300" t="s">
        <v>316</v>
      </c>
      <c r="F2300" s="71">
        <v>28.39</v>
      </c>
      <c r="G2300" s="71">
        <v>0</v>
      </c>
    </row>
    <row r="2301" spans="2:7" x14ac:dyDescent="0.25">
      <c r="B2301" s="70">
        <v>43612</v>
      </c>
      <c r="C2301" t="s">
        <v>25</v>
      </c>
      <c r="D2301" t="s">
        <v>87</v>
      </c>
      <c r="E2301" t="s">
        <v>316</v>
      </c>
      <c r="F2301" s="71">
        <v>48.16</v>
      </c>
      <c r="G2301" s="71">
        <v>0</v>
      </c>
    </row>
    <row r="2302" spans="2:7" x14ac:dyDescent="0.25">
      <c r="B2302" s="70">
        <v>43612</v>
      </c>
      <c r="C2302" t="s">
        <v>25</v>
      </c>
      <c r="D2302" t="s">
        <v>87</v>
      </c>
      <c r="E2302" t="s">
        <v>316</v>
      </c>
      <c r="F2302" s="71">
        <v>94.47</v>
      </c>
      <c r="G2302" s="71">
        <v>0</v>
      </c>
    </row>
    <row r="2303" spans="2:7" x14ac:dyDescent="0.25">
      <c r="B2303" s="70">
        <v>43612</v>
      </c>
      <c r="C2303" t="s">
        <v>25</v>
      </c>
      <c r="D2303" t="s">
        <v>87</v>
      </c>
      <c r="E2303" t="s">
        <v>316</v>
      </c>
      <c r="F2303" s="71">
        <v>116.42</v>
      </c>
      <c r="G2303" s="71">
        <v>0</v>
      </c>
    </row>
    <row r="2304" spans="2:7" x14ac:dyDescent="0.25">
      <c r="B2304" s="70">
        <v>43612</v>
      </c>
      <c r="C2304" t="s">
        <v>25</v>
      </c>
      <c r="D2304" t="s">
        <v>87</v>
      </c>
      <c r="E2304" t="s">
        <v>316</v>
      </c>
      <c r="F2304" s="71">
        <v>160</v>
      </c>
      <c r="G2304" s="71">
        <v>0</v>
      </c>
    </row>
    <row r="2305" spans="2:7" x14ac:dyDescent="0.25">
      <c r="B2305" s="70">
        <v>43612</v>
      </c>
      <c r="C2305" t="s">
        <v>25</v>
      </c>
      <c r="D2305" t="s">
        <v>81</v>
      </c>
      <c r="E2305" t="s">
        <v>138</v>
      </c>
      <c r="F2305" s="71">
        <v>2.7</v>
      </c>
      <c r="G2305" s="71">
        <v>0</v>
      </c>
    </row>
    <row r="2306" spans="2:7" x14ac:dyDescent="0.25">
      <c r="B2306" s="70">
        <v>43612</v>
      </c>
      <c r="C2306" t="s">
        <v>25</v>
      </c>
      <c r="D2306" t="s">
        <v>81</v>
      </c>
      <c r="E2306" t="s">
        <v>140</v>
      </c>
      <c r="F2306" s="71">
        <v>2.4</v>
      </c>
      <c r="G2306" s="71">
        <v>0</v>
      </c>
    </row>
    <row r="2307" spans="2:7" x14ac:dyDescent="0.25">
      <c r="B2307" s="70">
        <v>43612</v>
      </c>
      <c r="C2307" t="s">
        <v>25</v>
      </c>
      <c r="D2307" t="s">
        <v>81</v>
      </c>
      <c r="E2307" t="s">
        <v>154</v>
      </c>
      <c r="F2307" s="71">
        <v>12</v>
      </c>
      <c r="G2307" s="71">
        <v>0</v>
      </c>
    </row>
    <row r="2308" spans="2:7" x14ac:dyDescent="0.25">
      <c r="B2308" s="70">
        <v>43612</v>
      </c>
      <c r="C2308" t="s">
        <v>25</v>
      </c>
      <c r="D2308" t="s">
        <v>84</v>
      </c>
      <c r="E2308" t="s">
        <v>316</v>
      </c>
      <c r="F2308" s="71">
        <v>30.77</v>
      </c>
      <c r="G2308" s="71">
        <v>0</v>
      </c>
    </row>
    <row r="2309" spans="2:7" x14ac:dyDescent="0.25">
      <c r="B2309" s="70">
        <v>43612</v>
      </c>
      <c r="C2309" t="s">
        <v>47</v>
      </c>
      <c r="D2309" t="s">
        <v>86</v>
      </c>
      <c r="E2309" t="s">
        <v>316</v>
      </c>
      <c r="F2309" s="71">
        <v>67</v>
      </c>
      <c r="G2309" s="71">
        <v>0</v>
      </c>
    </row>
    <row r="2310" spans="2:7" x14ac:dyDescent="0.25">
      <c r="B2310" s="70">
        <v>43612</v>
      </c>
      <c r="C2310" t="s">
        <v>44</v>
      </c>
      <c r="D2310" t="s">
        <v>87</v>
      </c>
      <c r="E2310" t="s">
        <v>316</v>
      </c>
      <c r="F2310" s="71">
        <v>101.65</v>
      </c>
      <c r="G2310" s="71">
        <v>0</v>
      </c>
    </row>
    <row r="2311" spans="2:7" x14ac:dyDescent="0.25">
      <c r="B2311" s="70">
        <v>43612</v>
      </c>
      <c r="C2311" t="s">
        <v>21</v>
      </c>
      <c r="D2311" t="s">
        <v>79</v>
      </c>
      <c r="E2311" t="s">
        <v>316</v>
      </c>
      <c r="F2311" s="71">
        <v>16</v>
      </c>
      <c r="G2311" s="71">
        <v>0</v>
      </c>
    </row>
    <row r="2312" spans="2:7" x14ac:dyDescent="0.25">
      <c r="B2312" s="70">
        <v>43612</v>
      </c>
      <c r="C2312" t="s">
        <v>48</v>
      </c>
      <c r="D2312" t="s">
        <v>80</v>
      </c>
      <c r="E2312" t="s">
        <v>316</v>
      </c>
      <c r="F2312" s="71">
        <v>24</v>
      </c>
      <c r="G2312" s="71">
        <v>0</v>
      </c>
    </row>
    <row r="2313" spans="2:7" x14ac:dyDescent="0.25">
      <c r="B2313" s="70">
        <v>43612</v>
      </c>
      <c r="C2313" t="s">
        <v>48</v>
      </c>
      <c r="D2313" t="s">
        <v>84</v>
      </c>
      <c r="E2313" t="s">
        <v>316</v>
      </c>
      <c r="F2313" s="71">
        <v>59</v>
      </c>
      <c r="G2313" s="71">
        <v>0</v>
      </c>
    </row>
    <row r="2314" spans="2:7" x14ac:dyDescent="0.25">
      <c r="B2314" s="70">
        <v>43612</v>
      </c>
      <c r="C2314" t="s">
        <v>58</v>
      </c>
      <c r="D2314" t="s">
        <v>84</v>
      </c>
      <c r="E2314" t="s">
        <v>316</v>
      </c>
      <c r="F2314" s="71">
        <v>24</v>
      </c>
      <c r="G2314" s="71">
        <v>0</v>
      </c>
    </row>
    <row r="2315" spans="2:7" x14ac:dyDescent="0.25">
      <c r="B2315" s="70">
        <v>43613</v>
      </c>
      <c r="C2315" t="s">
        <v>25</v>
      </c>
      <c r="D2315" t="s">
        <v>79</v>
      </c>
      <c r="E2315" t="s">
        <v>317</v>
      </c>
      <c r="F2315" s="71">
        <v>8</v>
      </c>
      <c r="G2315" s="71">
        <v>0</v>
      </c>
    </row>
    <row r="2316" spans="2:7" x14ac:dyDescent="0.25">
      <c r="B2316" s="70">
        <v>43613</v>
      </c>
      <c r="C2316" t="s">
        <v>25</v>
      </c>
      <c r="D2316" t="s">
        <v>80</v>
      </c>
      <c r="E2316" t="s">
        <v>317</v>
      </c>
      <c r="F2316" s="71">
        <v>15.66</v>
      </c>
      <c r="G2316" s="71">
        <v>0</v>
      </c>
    </row>
    <row r="2317" spans="2:7" x14ac:dyDescent="0.25">
      <c r="B2317" s="70">
        <v>43613</v>
      </c>
      <c r="C2317" t="s">
        <v>25</v>
      </c>
      <c r="D2317" t="s">
        <v>86</v>
      </c>
      <c r="E2317" t="s">
        <v>317</v>
      </c>
      <c r="F2317" s="71">
        <v>34</v>
      </c>
      <c r="G2317" s="71">
        <v>0</v>
      </c>
    </row>
    <row r="2318" spans="2:7" x14ac:dyDescent="0.25">
      <c r="B2318" s="70">
        <v>43613</v>
      </c>
      <c r="C2318" t="s">
        <v>25</v>
      </c>
      <c r="D2318" t="s">
        <v>81</v>
      </c>
      <c r="E2318" t="s">
        <v>216</v>
      </c>
      <c r="F2318" s="71">
        <v>4.5</v>
      </c>
      <c r="G2318" s="71">
        <v>0</v>
      </c>
    </row>
    <row r="2319" spans="2:7" x14ac:dyDescent="0.25">
      <c r="B2319" s="70">
        <v>43613</v>
      </c>
      <c r="C2319" t="s">
        <v>25</v>
      </c>
      <c r="D2319" t="s">
        <v>81</v>
      </c>
      <c r="E2319" t="s">
        <v>164</v>
      </c>
      <c r="F2319" s="71">
        <v>24</v>
      </c>
      <c r="G2319" s="71">
        <v>0</v>
      </c>
    </row>
    <row r="2320" spans="2:7" x14ac:dyDescent="0.25">
      <c r="B2320" s="70">
        <v>43613</v>
      </c>
      <c r="C2320" t="s">
        <v>59</v>
      </c>
      <c r="D2320" t="s">
        <v>84</v>
      </c>
      <c r="E2320" t="s">
        <v>317</v>
      </c>
      <c r="F2320" s="71">
        <v>120.41</v>
      </c>
      <c r="G2320" s="71">
        <v>0</v>
      </c>
    </row>
    <row r="2321" spans="2:7" x14ac:dyDescent="0.25">
      <c r="B2321" s="70">
        <v>43613</v>
      </c>
      <c r="C2321" t="s">
        <v>51</v>
      </c>
      <c r="D2321" t="s">
        <v>84</v>
      </c>
      <c r="E2321" t="s">
        <v>317</v>
      </c>
      <c r="F2321" s="71">
        <v>226.93</v>
      </c>
      <c r="G2321" s="71">
        <v>0</v>
      </c>
    </row>
    <row r="2322" spans="2:7" x14ac:dyDescent="0.25">
      <c r="B2322" s="70">
        <v>43613</v>
      </c>
      <c r="C2322" t="s">
        <v>21</v>
      </c>
      <c r="D2322" t="s">
        <v>79</v>
      </c>
      <c r="E2322" t="s">
        <v>317</v>
      </c>
      <c r="F2322" s="71">
        <v>8</v>
      </c>
      <c r="G2322" s="71">
        <v>0</v>
      </c>
    </row>
    <row r="2323" spans="2:7" x14ac:dyDescent="0.25">
      <c r="B2323" s="70">
        <v>43613</v>
      </c>
      <c r="C2323" t="s">
        <v>21</v>
      </c>
      <c r="D2323" t="s">
        <v>79</v>
      </c>
      <c r="E2323" t="s">
        <v>317</v>
      </c>
      <c r="F2323" s="71">
        <v>16</v>
      </c>
      <c r="G2323" s="71">
        <v>0</v>
      </c>
    </row>
    <row r="2324" spans="2:7" x14ac:dyDescent="0.25">
      <c r="B2324" s="70">
        <v>43613</v>
      </c>
      <c r="C2324" t="s">
        <v>66</v>
      </c>
      <c r="D2324" t="s">
        <v>79</v>
      </c>
      <c r="E2324" t="s">
        <v>317</v>
      </c>
      <c r="F2324" s="71">
        <v>54.57</v>
      </c>
      <c r="G2324" s="71">
        <v>0</v>
      </c>
    </row>
    <row r="2325" spans="2:7" x14ac:dyDescent="0.25">
      <c r="B2325" s="70">
        <v>43613</v>
      </c>
      <c r="C2325" t="s">
        <v>66</v>
      </c>
      <c r="D2325" t="s">
        <v>84</v>
      </c>
      <c r="E2325" t="s">
        <v>317</v>
      </c>
      <c r="F2325" s="71">
        <v>14.6</v>
      </c>
      <c r="G2325" s="71">
        <v>0</v>
      </c>
    </row>
    <row r="2326" spans="2:7" x14ac:dyDescent="0.25">
      <c r="B2326" s="70">
        <v>43613</v>
      </c>
      <c r="C2326" t="s">
        <v>48</v>
      </c>
      <c r="D2326" t="s">
        <v>84</v>
      </c>
      <c r="E2326" t="s">
        <v>317</v>
      </c>
      <c r="F2326" s="71">
        <v>130</v>
      </c>
      <c r="G2326" s="71">
        <v>0</v>
      </c>
    </row>
    <row r="2327" spans="2:7" x14ac:dyDescent="0.25">
      <c r="B2327" s="70">
        <v>43613</v>
      </c>
      <c r="C2327" t="s">
        <v>45</v>
      </c>
      <c r="D2327" t="s">
        <v>79</v>
      </c>
      <c r="E2327" t="s">
        <v>317</v>
      </c>
      <c r="F2327" s="71">
        <v>117.45</v>
      </c>
      <c r="G2327" s="71">
        <v>0</v>
      </c>
    </row>
    <row r="2328" spans="2:7" x14ac:dyDescent="0.25">
      <c r="B2328" s="70">
        <v>43613</v>
      </c>
      <c r="C2328" t="s">
        <v>50</v>
      </c>
      <c r="D2328" t="s">
        <v>83</v>
      </c>
      <c r="E2328" t="s">
        <v>317</v>
      </c>
      <c r="F2328" s="71">
        <v>175</v>
      </c>
      <c r="G2328" s="71">
        <v>0</v>
      </c>
    </row>
    <row r="2329" spans="2:7" x14ac:dyDescent="0.25">
      <c r="B2329" s="70">
        <v>43614</v>
      </c>
      <c r="C2329" t="s">
        <v>25</v>
      </c>
      <c r="D2329" t="s">
        <v>79</v>
      </c>
      <c r="E2329" t="s">
        <v>318</v>
      </c>
      <c r="F2329" s="71">
        <v>8</v>
      </c>
      <c r="G2329" s="71">
        <v>0</v>
      </c>
    </row>
    <row r="2330" spans="2:7" x14ac:dyDescent="0.25">
      <c r="B2330" s="70">
        <v>43614</v>
      </c>
      <c r="C2330" t="s">
        <v>25</v>
      </c>
      <c r="D2330" t="s">
        <v>86</v>
      </c>
      <c r="E2330" t="s">
        <v>318</v>
      </c>
      <c r="F2330" s="71">
        <v>0</v>
      </c>
      <c r="G2330" s="71">
        <v>57</v>
      </c>
    </row>
    <row r="2331" spans="2:7" x14ac:dyDescent="0.25">
      <c r="B2331" s="70">
        <v>43614</v>
      </c>
      <c r="C2331" t="s">
        <v>25</v>
      </c>
      <c r="D2331" t="s">
        <v>86</v>
      </c>
      <c r="E2331" t="s">
        <v>318</v>
      </c>
      <c r="F2331" s="71">
        <v>0</v>
      </c>
      <c r="G2331" s="71">
        <v>30.77</v>
      </c>
    </row>
    <row r="2332" spans="2:7" x14ac:dyDescent="0.25">
      <c r="B2332" s="70">
        <v>43614</v>
      </c>
      <c r="C2332" t="s">
        <v>25</v>
      </c>
      <c r="D2332" t="s">
        <v>81</v>
      </c>
      <c r="E2332" t="s">
        <v>216</v>
      </c>
      <c r="F2332" s="71">
        <v>4.5</v>
      </c>
      <c r="G2332" s="71">
        <v>0</v>
      </c>
    </row>
    <row r="2333" spans="2:7" x14ac:dyDescent="0.25">
      <c r="B2333" s="70">
        <v>43614</v>
      </c>
      <c r="C2333" t="s">
        <v>25</v>
      </c>
      <c r="D2333" t="s">
        <v>81</v>
      </c>
      <c r="E2333" t="s">
        <v>195</v>
      </c>
      <c r="F2333" s="71">
        <v>9</v>
      </c>
      <c r="G2333" s="71">
        <v>0</v>
      </c>
    </row>
    <row r="2334" spans="2:7" x14ac:dyDescent="0.25">
      <c r="B2334" s="70">
        <v>43614</v>
      </c>
      <c r="C2334" t="s">
        <v>25</v>
      </c>
      <c r="D2334" t="s">
        <v>84</v>
      </c>
      <c r="E2334" t="s">
        <v>318</v>
      </c>
      <c r="F2334" s="71">
        <v>19</v>
      </c>
      <c r="G2334" s="71">
        <v>0</v>
      </c>
    </row>
    <row r="2335" spans="2:7" x14ac:dyDescent="0.25">
      <c r="B2335" s="70">
        <v>43614</v>
      </c>
      <c r="C2335" t="s">
        <v>46</v>
      </c>
      <c r="D2335" t="s">
        <v>84</v>
      </c>
      <c r="E2335" t="s">
        <v>318</v>
      </c>
      <c r="F2335" s="71">
        <v>5</v>
      </c>
      <c r="G2335" s="71">
        <v>0</v>
      </c>
    </row>
    <row r="2336" spans="2:7" x14ac:dyDescent="0.25">
      <c r="B2336" s="70">
        <v>43614</v>
      </c>
      <c r="C2336" t="s">
        <v>47</v>
      </c>
      <c r="D2336" t="s">
        <v>84</v>
      </c>
      <c r="E2336" t="s">
        <v>318</v>
      </c>
      <c r="F2336" s="71">
        <v>42</v>
      </c>
      <c r="G2336" s="71">
        <v>0</v>
      </c>
    </row>
    <row r="2337" spans="2:7" x14ac:dyDescent="0.25">
      <c r="B2337" s="70">
        <v>43614</v>
      </c>
      <c r="C2337" t="s">
        <v>43</v>
      </c>
      <c r="D2337" t="s">
        <v>85</v>
      </c>
      <c r="E2337" t="s">
        <v>318</v>
      </c>
      <c r="F2337" s="71">
        <v>3909</v>
      </c>
      <c r="G2337" s="71">
        <v>0</v>
      </c>
    </row>
    <row r="2338" spans="2:7" x14ac:dyDescent="0.25">
      <c r="B2338" s="70">
        <v>43614</v>
      </c>
      <c r="C2338" t="s">
        <v>21</v>
      </c>
      <c r="D2338" t="s">
        <v>79</v>
      </c>
      <c r="E2338" t="s">
        <v>318</v>
      </c>
      <c r="F2338" s="71">
        <v>8</v>
      </c>
      <c r="G2338" s="71">
        <v>0</v>
      </c>
    </row>
    <row r="2339" spans="2:7" x14ac:dyDescent="0.25">
      <c r="B2339" s="70">
        <v>43614</v>
      </c>
      <c r="C2339" t="s">
        <v>21</v>
      </c>
      <c r="D2339" t="s">
        <v>79</v>
      </c>
      <c r="E2339" t="s">
        <v>318</v>
      </c>
      <c r="F2339" s="71">
        <v>16</v>
      </c>
      <c r="G2339" s="71">
        <v>0</v>
      </c>
    </row>
    <row r="2340" spans="2:7" x14ac:dyDescent="0.25">
      <c r="B2340" s="70">
        <v>43614</v>
      </c>
      <c r="C2340" t="s">
        <v>48</v>
      </c>
      <c r="D2340" t="s">
        <v>109</v>
      </c>
      <c r="E2340" t="s">
        <v>226</v>
      </c>
      <c r="F2340" s="71">
        <v>0</v>
      </c>
      <c r="G2340" s="71">
        <v>10400</v>
      </c>
    </row>
    <row r="2341" spans="2:7" x14ac:dyDescent="0.25">
      <c r="B2341" s="70">
        <v>43614</v>
      </c>
      <c r="C2341" t="s">
        <v>52</v>
      </c>
      <c r="D2341" t="s">
        <v>79</v>
      </c>
      <c r="E2341" t="s">
        <v>318</v>
      </c>
      <c r="F2341" s="71">
        <v>9.08</v>
      </c>
      <c r="G2341" s="71">
        <v>0</v>
      </c>
    </row>
    <row r="2342" spans="2:7" x14ac:dyDescent="0.25">
      <c r="B2342" s="70">
        <v>43614</v>
      </c>
      <c r="C2342" t="s">
        <v>53</v>
      </c>
      <c r="D2342" t="s">
        <v>86</v>
      </c>
      <c r="E2342" t="s">
        <v>318</v>
      </c>
      <c r="F2342" s="71">
        <v>28</v>
      </c>
      <c r="G2342" s="71">
        <v>0</v>
      </c>
    </row>
    <row r="2343" spans="2:7" x14ac:dyDescent="0.25">
      <c r="B2343" s="70">
        <v>43614</v>
      </c>
      <c r="C2343" t="s">
        <v>24</v>
      </c>
      <c r="D2343" t="s">
        <v>79</v>
      </c>
      <c r="E2343" t="s">
        <v>318</v>
      </c>
      <c r="F2343" s="71">
        <v>8</v>
      </c>
      <c r="G2343" s="71">
        <v>0</v>
      </c>
    </row>
    <row r="2344" spans="2:7" x14ac:dyDescent="0.25">
      <c r="B2344" s="70">
        <v>43615</v>
      </c>
      <c r="C2344" t="s">
        <v>25</v>
      </c>
      <c r="D2344" t="s">
        <v>79</v>
      </c>
      <c r="E2344" t="s">
        <v>319</v>
      </c>
      <c r="F2344">
        <v>8</v>
      </c>
      <c r="G2344" s="71">
        <v>0</v>
      </c>
    </row>
    <row r="2345" spans="2:7" x14ac:dyDescent="0.25">
      <c r="B2345" s="70">
        <v>43615</v>
      </c>
      <c r="C2345" t="s">
        <v>25</v>
      </c>
      <c r="D2345" t="s">
        <v>81</v>
      </c>
      <c r="E2345" t="s">
        <v>195</v>
      </c>
      <c r="F2345" s="71">
        <v>9</v>
      </c>
      <c r="G2345" s="71">
        <v>0</v>
      </c>
    </row>
    <row r="2346" spans="2:7" x14ac:dyDescent="0.25">
      <c r="B2346" s="70">
        <v>43615</v>
      </c>
      <c r="C2346" t="s">
        <v>25</v>
      </c>
      <c r="D2346" t="s">
        <v>84</v>
      </c>
      <c r="E2346" t="s">
        <v>319</v>
      </c>
      <c r="F2346" s="71">
        <v>19</v>
      </c>
      <c r="G2346" s="71">
        <v>0</v>
      </c>
    </row>
    <row r="2347" spans="2:7" x14ac:dyDescent="0.25">
      <c r="B2347" s="70">
        <v>43615</v>
      </c>
      <c r="C2347" t="s">
        <v>21</v>
      </c>
      <c r="D2347" t="s">
        <v>79</v>
      </c>
      <c r="E2347" t="s">
        <v>319</v>
      </c>
      <c r="F2347" s="71">
        <v>8</v>
      </c>
      <c r="G2347" s="71">
        <v>0</v>
      </c>
    </row>
    <row r="2348" spans="2:7" x14ac:dyDescent="0.25">
      <c r="B2348" s="70">
        <v>43615</v>
      </c>
      <c r="C2348" t="s">
        <v>21</v>
      </c>
      <c r="D2348" t="s">
        <v>79</v>
      </c>
      <c r="E2348" t="s">
        <v>319</v>
      </c>
      <c r="F2348" s="71">
        <v>16</v>
      </c>
      <c r="G2348" s="71">
        <v>0</v>
      </c>
    </row>
    <row r="2349" spans="2:7" x14ac:dyDescent="0.25">
      <c r="B2349" s="70">
        <v>43615</v>
      </c>
      <c r="C2349" t="s">
        <v>21</v>
      </c>
      <c r="D2349" t="s">
        <v>79</v>
      </c>
      <c r="E2349" t="s">
        <v>319</v>
      </c>
      <c r="F2349" s="71">
        <v>24</v>
      </c>
      <c r="G2349" s="71">
        <v>0</v>
      </c>
    </row>
    <row r="2350" spans="2:7" x14ac:dyDescent="0.25">
      <c r="B2350" s="70">
        <v>43615</v>
      </c>
      <c r="C2350" t="s">
        <v>21</v>
      </c>
      <c r="D2350" t="s">
        <v>79</v>
      </c>
      <c r="E2350" t="s">
        <v>319</v>
      </c>
      <c r="F2350" s="71">
        <v>32</v>
      </c>
      <c r="G2350" s="71">
        <v>0</v>
      </c>
    </row>
    <row r="2351" spans="2:7" x14ac:dyDescent="0.25">
      <c r="B2351" s="70">
        <v>43615</v>
      </c>
      <c r="C2351" t="s">
        <v>58</v>
      </c>
      <c r="D2351" t="s">
        <v>82</v>
      </c>
      <c r="E2351" t="s">
        <v>319</v>
      </c>
      <c r="F2351" s="71">
        <v>20</v>
      </c>
      <c r="G2351" s="71">
        <v>0</v>
      </c>
    </row>
    <row r="2352" spans="2:7" x14ac:dyDescent="0.25">
      <c r="B2352" s="70">
        <v>43615</v>
      </c>
      <c r="C2352" t="s">
        <v>61</v>
      </c>
      <c r="D2352" t="s">
        <v>84</v>
      </c>
      <c r="E2352" t="s">
        <v>319</v>
      </c>
      <c r="F2352" s="71">
        <v>95.6</v>
      </c>
      <c r="G2352" s="71">
        <v>0</v>
      </c>
    </row>
    <row r="2353" spans="2:7" x14ac:dyDescent="0.25">
      <c r="B2353" s="70">
        <v>43616</v>
      </c>
      <c r="C2353" t="s">
        <v>25</v>
      </c>
      <c r="D2353" t="s">
        <v>81</v>
      </c>
      <c r="E2353" t="s">
        <v>217</v>
      </c>
      <c r="F2353" s="71">
        <v>6.75</v>
      </c>
      <c r="G2353" s="71">
        <v>0</v>
      </c>
    </row>
    <row r="2354" spans="2:7" x14ac:dyDescent="0.25">
      <c r="B2354" s="70">
        <v>43616</v>
      </c>
      <c r="C2354" t="s">
        <v>25</v>
      </c>
      <c r="D2354" t="s">
        <v>81</v>
      </c>
      <c r="E2354" t="s">
        <v>155</v>
      </c>
      <c r="F2354" s="71">
        <v>2.25</v>
      </c>
      <c r="G2354" s="71">
        <v>0</v>
      </c>
    </row>
    <row r="2355" spans="2:7" x14ac:dyDescent="0.25">
      <c r="B2355" s="70">
        <v>43616</v>
      </c>
      <c r="C2355" t="s">
        <v>25</v>
      </c>
      <c r="D2355" t="s">
        <v>81</v>
      </c>
      <c r="E2355" t="s">
        <v>320</v>
      </c>
      <c r="F2355" s="71">
        <v>2.65</v>
      </c>
      <c r="G2355" s="71">
        <v>0</v>
      </c>
    </row>
    <row r="2356" spans="2:7" x14ac:dyDescent="0.25">
      <c r="B2356" s="70">
        <v>43617</v>
      </c>
      <c r="C2356" t="s">
        <v>25</v>
      </c>
      <c r="D2356" t="s">
        <v>79</v>
      </c>
      <c r="E2356" t="s">
        <v>321</v>
      </c>
      <c r="F2356" s="71">
        <v>8</v>
      </c>
      <c r="G2356" s="71">
        <v>0</v>
      </c>
    </row>
    <row r="2357" spans="2:7" x14ac:dyDescent="0.25">
      <c r="B2357" s="70">
        <v>43617</v>
      </c>
      <c r="C2357" t="s">
        <v>25</v>
      </c>
      <c r="D2357" t="s">
        <v>85</v>
      </c>
      <c r="E2357" t="s">
        <v>321</v>
      </c>
      <c r="F2357" s="71">
        <v>30</v>
      </c>
      <c r="G2357" s="71">
        <v>0</v>
      </c>
    </row>
    <row r="2358" spans="2:7" x14ac:dyDescent="0.25">
      <c r="B2358" s="70">
        <v>43617</v>
      </c>
      <c r="C2358" t="s">
        <v>25</v>
      </c>
      <c r="D2358" t="s">
        <v>84</v>
      </c>
      <c r="E2358" t="s">
        <v>321</v>
      </c>
      <c r="F2358" s="71">
        <v>144</v>
      </c>
      <c r="G2358" s="71">
        <v>0</v>
      </c>
    </row>
    <row r="2359" spans="2:7" x14ac:dyDescent="0.25">
      <c r="B2359" s="70">
        <v>43617</v>
      </c>
      <c r="C2359" t="s">
        <v>54</v>
      </c>
      <c r="D2359" t="s">
        <v>79</v>
      </c>
      <c r="E2359" t="s">
        <v>321</v>
      </c>
      <c r="F2359" s="71">
        <v>80.489999999999995</v>
      </c>
      <c r="G2359" s="71">
        <v>0</v>
      </c>
    </row>
    <row r="2360" spans="2:7" x14ac:dyDescent="0.25">
      <c r="B2360" s="70">
        <v>43617</v>
      </c>
      <c r="C2360" t="s">
        <v>54</v>
      </c>
      <c r="D2360" t="s">
        <v>86</v>
      </c>
      <c r="E2360" t="s">
        <v>321</v>
      </c>
      <c r="F2360" s="71">
        <v>1227.23</v>
      </c>
      <c r="G2360" s="71">
        <v>0</v>
      </c>
    </row>
    <row r="2361" spans="2:7" x14ac:dyDescent="0.25">
      <c r="B2361" s="70">
        <v>43617</v>
      </c>
      <c r="C2361" t="s">
        <v>46</v>
      </c>
      <c r="D2361" t="s">
        <v>84</v>
      </c>
      <c r="E2361" t="s">
        <v>321</v>
      </c>
      <c r="F2361" s="71">
        <v>10</v>
      </c>
      <c r="G2361" s="71">
        <v>0</v>
      </c>
    </row>
    <row r="2362" spans="2:7" x14ac:dyDescent="0.25">
      <c r="B2362" s="70">
        <v>43617</v>
      </c>
      <c r="C2362" t="s">
        <v>59</v>
      </c>
      <c r="D2362" t="s">
        <v>84</v>
      </c>
      <c r="E2362" t="s">
        <v>321</v>
      </c>
      <c r="F2362" s="71">
        <v>20</v>
      </c>
      <c r="G2362" s="71">
        <v>0</v>
      </c>
    </row>
    <row r="2363" spans="2:7" x14ac:dyDescent="0.25">
      <c r="B2363" s="70">
        <v>43617</v>
      </c>
      <c r="C2363" t="s">
        <v>47</v>
      </c>
      <c r="D2363" t="s">
        <v>84</v>
      </c>
      <c r="E2363" t="s">
        <v>321</v>
      </c>
      <c r="F2363" s="71">
        <v>35</v>
      </c>
      <c r="G2363" s="71">
        <v>0</v>
      </c>
    </row>
    <row r="2364" spans="2:7" x14ac:dyDescent="0.25">
      <c r="B2364" s="70">
        <v>43617</v>
      </c>
      <c r="C2364" t="s">
        <v>51</v>
      </c>
      <c r="D2364" t="s">
        <v>84</v>
      </c>
      <c r="E2364" t="s">
        <v>321</v>
      </c>
      <c r="F2364" s="71">
        <v>163.58000000000001</v>
      </c>
      <c r="G2364" s="71">
        <v>0</v>
      </c>
    </row>
    <row r="2365" spans="2:7" x14ac:dyDescent="0.25">
      <c r="B2365" s="70">
        <v>43617</v>
      </c>
      <c r="C2365" t="s">
        <v>21</v>
      </c>
      <c r="D2365" t="s">
        <v>79</v>
      </c>
      <c r="E2365" t="s">
        <v>321</v>
      </c>
      <c r="F2365" s="71">
        <v>16</v>
      </c>
      <c r="G2365" s="71">
        <v>0</v>
      </c>
    </row>
    <row r="2366" spans="2:7" x14ac:dyDescent="0.25">
      <c r="B2366" s="70">
        <v>43617</v>
      </c>
      <c r="C2366" t="s">
        <v>21</v>
      </c>
      <c r="D2366" t="s">
        <v>79</v>
      </c>
      <c r="E2366" t="s">
        <v>321</v>
      </c>
      <c r="F2366" s="71">
        <v>32</v>
      </c>
      <c r="G2366" s="71">
        <v>0</v>
      </c>
    </row>
    <row r="2367" spans="2:7" x14ac:dyDescent="0.25">
      <c r="B2367" s="70">
        <v>43617</v>
      </c>
      <c r="C2367" t="s">
        <v>21</v>
      </c>
      <c r="D2367" t="s">
        <v>79</v>
      </c>
      <c r="E2367" t="s">
        <v>321</v>
      </c>
      <c r="F2367" s="71">
        <v>56</v>
      </c>
      <c r="G2367" s="71">
        <v>0</v>
      </c>
    </row>
    <row r="2368" spans="2:7" x14ac:dyDescent="0.25">
      <c r="B2368" s="70">
        <v>43617</v>
      </c>
      <c r="C2368" t="s">
        <v>21</v>
      </c>
      <c r="D2368" t="s">
        <v>79</v>
      </c>
      <c r="E2368" t="s">
        <v>321</v>
      </c>
      <c r="F2368" s="71">
        <v>72</v>
      </c>
      <c r="G2368" s="71">
        <v>0</v>
      </c>
    </row>
    <row r="2369" spans="2:7" x14ac:dyDescent="0.25">
      <c r="B2369" s="70">
        <v>43617</v>
      </c>
      <c r="C2369" t="s">
        <v>21</v>
      </c>
      <c r="D2369" t="s">
        <v>79</v>
      </c>
      <c r="E2369" t="s">
        <v>321</v>
      </c>
      <c r="F2369" s="71">
        <v>88</v>
      </c>
      <c r="G2369" s="71">
        <v>0</v>
      </c>
    </row>
    <row r="2370" spans="2:7" x14ac:dyDescent="0.25">
      <c r="B2370" s="70">
        <v>43617</v>
      </c>
      <c r="C2370" t="s">
        <v>21</v>
      </c>
      <c r="D2370" t="s">
        <v>84</v>
      </c>
      <c r="E2370" t="s">
        <v>321</v>
      </c>
      <c r="F2370" s="71">
        <v>234</v>
      </c>
      <c r="G2370" s="71">
        <v>0</v>
      </c>
    </row>
    <row r="2371" spans="2:7" x14ac:dyDescent="0.25">
      <c r="B2371" s="70">
        <v>43617</v>
      </c>
      <c r="C2371" t="s">
        <v>21</v>
      </c>
      <c r="D2371" t="s">
        <v>84</v>
      </c>
      <c r="E2371" t="s">
        <v>321</v>
      </c>
      <c r="F2371" s="71">
        <v>338</v>
      </c>
      <c r="G2371" s="71">
        <v>0</v>
      </c>
    </row>
    <row r="2372" spans="2:7" x14ac:dyDescent="0.25">
      <c r="B2372" s="70">
        <v>43617</v>
      </c>
      <c r="C2372" t="s">
        <v>50</v>
      </c>
      <c r="D2372" t="s">
        <v>85</v>
      </c>
      <c r="E2372" t="s">
        <v>321</v>
      </c>
      <c r="F2372" s="71">
        <v>19.95</v>
      </c>
      <c r="G2372" s="71">
        <v>0</v>
      </c>
    </row>
    <row r="2373" spans="2:7" x14ac:dyDescent="0.25">
      <c r="B2373" s="70">
        <v>43617</v>
      </c>
      <c r="C2373" t="s">
        <v>53</v>
      </c>
      <c r="D2373" t="s">
        <v>84</v>
      </c>
      <c r="E2373" t="s">
        <v>321</v>
      </c>
      <c r="F2373" s="71">
        <v>10</v>
      </c>
      <c r="G2373" s="71">
        <v>0</v>
      </c>
    </row>
    <row r="2374" spans="2:7" x14ac:dyDescent="0.25">
      <c r="B2374" s="70">
        <v>43617</v>
      </c>
      <c r="C2374" t="s">
        <v>24</v>
      </c>
      <c r="D2374" t="s">
        <v>79</v>
      </c>
      <c r="E2374" t="s">
        <v>321</v>
      </c>
      <c r="F2374" s="71">
        <v>8</v>
      </c>
      <c r="G2374" s="71">
        <v>0</v>
      </c>
    </row>
    <row r="2375" spans="2:7" x14ac:dyDescent="0.25">
      <c r="B2375" s="70">
        <v>43617</v>
      </c>
      <c r="C2375" t="s">
        <v>24</v>
      </c>
      <c r="D2375" t="s">
        <v>79</v>
      </c>
      <c r="E2375" t="s">
        <v>321</v>
      </c>
      <c r="F2375" s="71">
        <v>16</v>
      </c>
      <c r="G2375" s="71">
        <v>0</v>
      </c>
    </row>
    <row r="2376" spans="2:7" x14ac:dyDescent="0.25">
      <c r="B2376" s="70">
        <v>43617</v>
      </c>
      <c r="C2376" t="s">
        <v>24</v>
      </c>
      <c r="D2376" t="s">
        <v>84</v>
      </c>
      <c r="E2376" t="s">
        <v>321</v>
      </c>
      <c r="F2376" s="71">
        <v>266</v>
      </c>
      <c r="G2376" s="71">
        <v>0</v>
      </c>
    </row>
    <row r="2377" spans="2:7" x14ac:dyDescent="0.25">
      <c r="B2377" s="70">
        <v>43619</v>
      </c>
      <c r="C2377" t="s">
        <v>25</v>
      </c>
      <c r="D2377" t="s">
        <v>80</v>
      </c>
      <c r="E2377" t="s">
        <v>322</v>
      </c>
      <c r="F2377" s="71">
        <v>9.65</v>
      </c>
      <c r="G2377" s="71">
        <v>0</v>
      </c>
    </row>
    <row r="2378" spans="2:7" x14ac:dyDescent="0.25">
      <c r="B2378" s="70">
        <v>43619</v>
      </c>
      <c r="C2378" t="s">
        <v>25</v>
      </c>
      <c r="D2378" t="s">
        <v>80</v>
      </c>
      <c r="E2378" t="s">
        <v>322</v>
      </c>
      <c r="F2378" s="71">
        <v>13.08</v>
      </c>
      <c r="G2378" s="71">
        <v>0</v>
      </c>
    </row>
    <row r="2379" spans="2:7" x14ac:dyDescent="0.25">
      <c r="B2379" s="70">
        <v>43619</v>
      </c>
      <c r="C2379" t="s">
        <v>25</v>
      </c>
      <c r="D2379" t="s">
        <v>80</v>
      </c>
      <c r="E2379" t="s">
        <v>322</v>
      </c>
      <c r="F2379" s="71">
        <v>23.99</v>
      </c>
      <c r="G2379" s="71">
        <v>0</v>
      </c>
    </row>
    <row r="2380" spans="2:7" x14ac:dyDescent="0.25">
      <c r="B2380" s="70">
        <v>43619</v>
      </c>
      <c r="C2380" t="s">
        <v>25</v>
      </c>
      <c r="D2380" t="s">
        <v>80</v>
      </c>
      <c r="E2380" t="s">
        <v>322</v>
      </c>
      <c r="F2380" s="71">
        <v>24.07</v>
      </c>
      <c r="G2380" s="71">
        <v>0</v>
      </c>
    </row>
    <row r="2381" spans="2:7" x14ac:dyDescent="0.25">
      <c r="B2381" s="70">
        <v>43619</v>
      </c>
      <c r="C2381" t="s">
        <v>25</v>
      </c>
      <c r="D2381" t="s">
        <v>80</v>
      </c>
      <c r="E2381" t="s">
        <v>322</v>
      </c>
      <c r="F2381" s="71">
        <v>104</v>
      </c>
      <c r="G2381" s="71">
        <v>0</v>
      </c>
    </row>
    <row r="2382" spans="2:7" x14ac:dyDescent="0.25">
      <c r="B2382" s="70">
        <v>43619</v>
      </c>
      <c r="C2382" t="s">
        <v>25</v>
      </c>
      <c r="D2382" t="s">
        <v>87</v>
      </c>
      <c r="E2382" t="s">
        <v>322</v>
      </c>
      <c r="F2382" s="71">
        <v>20.45</v>
      </c>
      <c r="G2382" s="71">
        <v>0</v>
      </c>
    </row>
    <row r="2383" spans="2:7" x14ac:dyDescent="0.25">
      <c r="B2383" s="70">
        <v>43619</v>
      </c>
      <c r="C2383" t="s">
        <v>25</v>
      </c>
      <c r="D2383" t="s">
        <v>87</v>
      </c>
      <c r="E2383" t="s">
        <v>322</v>
      </c>
      <c r="F2383" s="71">
        <v>25.47</v>
      </c>
      <c r="G2383" s="71">
        <v>0</v>
      </c>
    </row>
    <row r="2384" spans="2:7" x14ac:dyDescent="0.25">
      <c r="B2384" s="70">
        <v>43619</v>
      </c>
      <c r="C2384" t="s">
        <v>25</v>
      </c>
      <c r="D2384" t="s">
        <v>87</v>
      </c>
      <c r="E2384" t="s">
        <v>322</v>
      </c>
      <c r="F2384" s="71">
        <v>27.45</v>
      </c>
      <c r="G2384" s="71">
        <v>0</v>
      </c>
    </row>
    <row r="2385" spans="2:7" x14ac:dyDescent="0.25">
      <c r="B2385" s="70">
        <v>43619</v>
      </c>
      <c r="C2385" t="s">
        <v>25</v>
      </c>
      <c r="D2385" t="s">
        <v>87</v>
      </c>
      <c r="E2385" t="s">
        <v>322</v>
      </c>
      <c r="F2385" s="71">
        <v>28.75</v>
      </c>
      <c r="G2385" s="71">
        <v>0</v>
      </c>
    </row>
    <row r="2386" spans="2:7" x14ac:dyDescent="0.25">
      <c r="B2386" s="70">
        <v>43619</v>
      </c>
      <c r="C2386" t="s">
        <v>25</v>
      </c>
      <c r="D2386" t="s">
        <v>87</v>
      </c>
      <c r="E2386" t="s">
        <v>322</v>
      </c>
      <c r="F2386" s="71">
        <v>31.38</v>
      </c>
      <c r="G2386" s="71">
        <v>0</v>
      </c>
    </row>
    <row r="2387" spans="2:7" x14ac:dyDescent="0.25">
      <c r="B2387" s="70">
        <v>43619</v>
      </c>
      <c r="C2387" t="s">
        <v>25</v>
      </c>
      <c r="D2387" t="s">
        <v>87</v>
      </c>
      <c r="E2387" t="s">
        <v>322</v>
      </c>
      <c r="F2387" s="71">
        <v>39</v>
      </c>
      <c r="G2387" s="71">
        <v>0</v>
      </c>
    </row>
    <row r="2388" spans="2:7" x14ac:dyDescent="0.25">
      <c r="B2388" s="70">
        <v>43619</v>
      </c>
      <c r="C2388" t="s">
        <v>25</v>
      </c>
      <c r="D2388" t="s">
        <v>87</v>
      </c>
      <c r="E2388" t="s">
        <v>322</v>
      </c>
      <c r="F2388" s="71">
        <v>63.06</v>
      </c>
      <c r="G2388" s="71">
        <v>0</v>
      </c>
    </row>
    <row r="2389" spans="2:7" x14ac:dyDescent="0.25">
      <c r="B2389" s="70">
        <v>43619</v>
      </c>
      <c r="C2389" t="s">
        <v>25</v>
      </c>
      <c r="D2389" t="s">
        <v>87</v>
      </c>
      <c r="E2389" t="s">
        <v>322</v>
      </c>
      <c r="F2389" s="71">
        <v>67.3</v>
      </c>
      <c r="G2389" s="71">
        <v>0</v>
      </c>
    </row>
    <row r="2390" spans="2:7" x14ac:dyDescent="0.25">
      <c r="B2390" s="70">
        <v>43619</v>
      </c>
      <c r="C2390" t="s">
        <v>25</v>
      </c>
      <c r="D2390" t="s">
        <v>87</v>
      </c>
      <c r="E2390" t="s">
        <v>322</v>
      </c>
      <c r="F2390" s="71">
        <v>73.05</v>
      </c>
      <c r="G2390" s="71">
        <v>0</v>
      </c>
    </row>
    <row r="2391" spans="2:7" x14ac:dyDescent="0.25">
      <c r="B2391" s="70">
        <v>43619</v>
      </c>
      <c r="C2391" t="s">
        <v>25</v>
      </c>
      <c r="D2391" t="s">
        <v>87</v>
      </c>
      <c r="E2391" t="s">
        <v>322</v>
      </c>
      <c r="F2391" s="71">
        <v>77.98</v>
      </c>
      <c r="G2391" s="71">
        <v>0</v>
      </c>
    </row>
    <row r="2392" spans="2:7" x14ac:dyDescent="0.25">
      <c r="B2392" s="70">
        <v>43619</v>
      </c>
      <c r="C2392" t="s">
        <v>25</v>
      </c>
      <c r="D2392" t="s">
        <v>87</v>
      </c>
      <c r="E2392" t="s">
        <v>322</v>
      </c>
      <c r="F2392" s="71">
        <v>80.03</v>
      </c>
      <c r="G2392" s="71">
        <v>0</v>
      </c>
    </row>
    <row r="2393" spans="2:7" x14ac:dyDescent="0.25">
      <c r="B2393" s="70">
        <v>43619</v>
      </c>
      <c r="C2393" t="s">
        <v>25</v>
      </c>
      <c r="D2393" t="s">
        <v>87</v>
      </c>
      <c r="E2393" t="s">
        <v>322</v>
      </c>
      <c r="F2393" s="71">
        <v>93.56</v>
      </c>
      <c r="G2393" s="71">
        <v>0</v>
      </c>
    </row>
    <row r="2394" spans="2:7" x14ac:dyDescent="0.25">
      <c r="B2394" s="70">
        <v>43619</v>
      </c>
      <c r="C2394" t="s">
        <v>25</v>
      </c>
      <c r="D2394" t="s">
        <v>87</v>
      </c>
      <c r="E2394" t="s">
        <v>322</v>
      </c>
      <c r="F2394" s="71">
        <v>170.2</v>
      </c>
      <c r="G2394" s="71">
        <v>0</v>
      </c>
    </row>
    <row r="2395" spans="2:7" x14ac:dyDescent="0.25">
      <c r="B2395" s="70">
        <v>43619</v>
      </c>
      <c r="C2395" t="s">
        <v>25</v>
      </c>
      <c r="D2395" t="s">
        <v>81</v>
      </c>
      <c r="E2395" t="s">
        <v>214</v>
      </c>
      <c r="F2395" s="71">
        <v>2.25</v>
      </c>
      <c r="G2395" s="71">
        <v>0</v>
      </c>
    </row>
    <row r="2396" spans="2:7" x14ac:dyDescent="0.25">
      <c r="B2396" s="70">
        <v>43619</v>
      </c>
      <c r="C2396" t="s">
        <v>54</v>
      </c>
      <c r="D2396" t="s">
        <v>80</v>
      </c>
      <c r="E2396" t="s">
        <v>322</v>
      </c>
      <c r="F2396" s="71">
        <v>38.159999999999997</v>
      </c>
      <c r="G2396" s="71">
        <v>0</v>
      </c>
    </row>
    <row r="2397" spans="2:7" x14ac:dyDescent="0.25">
      <c r="B2397" s="70">
        <v>43619</v>
      </c>
      <c r="C2397" t="s">
        <v>59</v>
      </c>
      <c r="D2397" t="s">
        <v>84</v>
      </c>
      <c r="E2397" t="s">
        <v>322</v>
      </c>
      <c r="F2397" s="71">
        <v>57.25</v>
      </c>
      <c r="G2397" s="71">
        <v>0</v>
      </c>
    </row>
    <row r="2398" spans="2:7" x14ac:dyDescent="0.25">
      <c r="B2398" s="70">
        <v>43619</v>
      </c>
      <c r="C2398" t="s">
        <v>44</v>
      </c>
      <c r="D2398" t="s">
        <v>80</v>
      </c>
      <c r="E2398" t="s">
        <v>322</v>
      </c>
      <c r="F2398" s="71">
        <v>65.12</v>
      </c>
      <c r="G2398" s="71">
        <v>0</v>
      </c>
    </row>
    <row r="2399" spans="2:7" x14ac:dyDescent="0.25">
      <c r="B2399" s="70">
        <v>43619</v>
      </c>
      <c r="C2399" t="s">
        <v>21</v>
      </c>
      <c r="D2399" t="s">
        <v>79</v>
      </c>
      <c r="E2399" t="s">
        <v>322</v>
      </c>
      <c r="F2399" s="71">
        <v>8</v>
      </c>
      <c r="G2399" s="71">
        <v>0</v>
      </c>
    </row>
    <row r="2400" spans="2:7" x14ac:dyDescent="0.25">
      <c r="B2400" s="70">
        <v>43619</v>
      </c>
      <c r="C2400" t="s">
        <v>21</v>
      </c>
      <c r="D2400" t="s">
        <v>79</v>
      </c>
      <c r="E2400" t="s">
        <v>322</v>
      </c>
      <c r="F2400" s="71">
        <v>24</v>
      </c>
      <c r="G2400" s="71">
        <v>0</v>
      </c>
    </row>
    <row r="2401" spans="2:7" x14ac:dyDescent="0.25">
      <c r="B2401" s="70">
        <v>43619</v>
      </c>
      <c r="C2401" t="s">
        <v>21</v>
      </c>
      <c r="D2401" t="s">
        <v>79</v>
      </c>
      <c r="E2401" t="s">
        <v>322</v>
      </c>
      <c r="F2401" s="71">
        <v>48</v>
      </c>
      <c r="G2401" s="71">
        <v>0</v>
      </c>
    </row>
    <row r="2402" spans="2:7" x14ac:dyDescent="0.25">
      <c r="B2402" s="70">
        <v>43619</v>
      </c>
      <c r="C2402" t="s">
        <v>48</v>
      </c>
      <c r="D2402" t="s">
        <v>80</v>
      </c>
      <c r="E2402" t="s">
        <v>322</v>
      </c>
      <c r="F2402" s="71">
        <v>94.5</v>
      </c>
      <c r="G2402" s="71">
        <v>0</v>
      </c>
    </row>
    <row r="2403" spans="2:7" x14ac:dyDescent="0.25">
      <c r="B2403" s="70">
        <v>43619</v>
      </c>
      <c r="C2403" t="s">
        <v>48</v>
      </c>
      <c r="D2403" t="s">
        <v>87</v>
      </c>
      <c r="E2403" t="s">
        <v>322</v>
      </c>
      <c r="F2403" s="71">
        <v>18</v>
      </c>
      <c r="G2403" s="71">
        <v>0</v>
      </c>
    </row>
    <row r="2404" spans="2:7" x14ac:dyDescent="0.25">
      <c r="B2404" s="70">
        <v>43619</v>
      </c>
      <c r="C2404" t="s">
        <v>48</v>
      </c>
      <c r="D2404" t="s">
        <v>84</v>
      </c>
      <c r="E2404" t="s">
        <v>322</v>
      </c>
      <c r="F2404" s="71">
        <v>90</v>
      </c>
      <c r="G2404" s="71">
        <v>0</v>
      </c>
    </row>
    <row r="2405" spans="2:7" x14ac:dyDescent="0.25">
      <c r="B2405" s="70">
        <v>43619</v>
      </c>
      <c r="C2405" t="s">
        <v>55</v>
      </c>
      <c r="D2405" t="s">
        <v>85</v>
      </c>
      <c r="E2405" t="s">
        <v>322</v>
      </c>
      <c r="F2405" s="71">
        <v>983.06</v>
      </c>
      <c r="G2405" s="71">
        <v>0</v>
      </c>
    </row>
    <row r="2406" spans="2:7" x14ac:dyDescent="0.25">
      <c r="B2406" s="70">
        <v>43619</v>
      </c>
      <c r="C2406" t="s">
        <v>55</v>
      </c>
      <c r="D2406" t="s">
        <v>87</v>
      </c>
      <c r="E2406" t="s">
        <v>322</v>
      </c>
      <c r="F2406" s="71">
        <v>29.86</v>
      </c>
      <c r="G2406" s="71">
        <v>0</v>
      </c>
    </row>
    <row r="2407" spans="2:7" x14ac:dyDescent="0.25">
      <c r="B2407" s="70">
        <v>43619</v>
      </c>
      <c r="C2407" t="s">
        <v>45</v>
      </c>
      <c r="D2407" t="s">
        <v>86</v>
      </c>
      <c r="E2407" t="s">
        <v>322</v>
      </c>
      <c r="F2407" s="71">
        <v>0</v>
      </c>
      <c r="G2407" s="71">
        <v>26.78</v>
      </c>
    </row>
    <row r="2408" spans="2:7" x14ac:dyDescent="0.25">
      <c r="B2408" s="70">
        <v>43619</v>
      </c>
      <c r="C2408" t="s">
        <v>50</v>
      </c>
      <c r="D2408" t="s">
        <v>83</v>
      </c>
      <c r="E2408" t="s">
        <v>322</v>
      </c>
      <c r="F2408" s="71">
        <v>100</v>
      </c>
      <c r="G2408" s="71">
        <v>0</v>
      </c>
    </row>
    <row r="2409" spans="2:7" x14ac:dyDescent="0.25">
      <c r="B2409" s="70">
        <v>43619</v>
      </c>
      <c r="C2409" t="s">
        <v>50</v>
      </c>
      <c r="D2409" t="s">
        <v>87</v>
      </c>
      <c r="E2409" t="s">
        <v>322</v>
      </c>
      <c r="F2409" s="71">
        <v>183.19</v>
      </c>
      <c r="G2409" s="71">
        <v>0</v>
      </c>
    </row>
    <row r="2410" spans="2:7" x14ac:dyDescent="0.25">
      <c r="B2410" s="70">
        <v>43619</v>
      </c>
      <c r="C2410" t="s">
        <v>69</v>
      </c>
      <c r="D2410" t="s">
        <v>87</v>
      </c>
      <c r="E2410" t="s">
        <v>322</v>
      </c>
      <c r="F2410" s="71">
        <v>96.25</v>
      </c>
      <c r="G2410" s="71">
        <v>0</v>
      </c>
    </row>
    <row r="2411" spans="2:7" x14ac:dyDescent="0.25">
      <c r="B2411" s="70">
        <v>43619</v>
      </c>
      <c r="C2411" t="s">
        <v>24</v>
      </c>
      <c r="D2411" t="s">
        <v>79</v>
      </c>
      <c r="E2411" t="s">
        <v>322</v>
      </c>
      <c r="F2411" s="71">
        <v>8</v>
      </c>
      <c r="G2411" s="71">
        <v>0</v>
      </c>
    </row>
    <row r="2412" spans="2:7" x14ac:dyDescent="0.25">
      <c r="B2412" s="70">
        <v>43619</v>
      </c>
      <c r="C2412" t="s">
        <v>60</v>
      </c>
      <c r="D2412" t="s">
        <v>87</v>
      </c>
      <c r="E2412" t="s">
        <v>322</v>
      </c>
      <c r="F2412" s="71">
        <v>59.68</v>
      </c>
      <c r="G2412" s="71">
        <v>0</v>
      </c>
    </row>
    <row r="2413" spans="2:7" x14ac:dyDescent="0.25">
      <c r="B2413" s="70">
        <v>43620</v>
      </c>
      <c r="C2413" t="s">
        <v>25</v>
      </c>
      <c r="D2413" t="s">
        <v>86</v>
      </c>
      <c r="E2413" t="s">
        <v>323</v>
      </c>
      <c r="F2413" s="71">
        <v>0</v>
      </c>
      <c r="G2413" s="71">
        <v>25.5</v>
      </c>
    </row>
    <row r="2414" spans="2:7" x14ac:dyDescent="0.25">
      <c r="B2414" s="70">
        <v>43620</v>
      </c>
      <c r="C2414" t="s">
        <v>25</v>
      </c>
      <c r="D2414" t="s">
        <v>81</v>
      </c>
      <c r="E2414" t="s">
        <v>138</v>
      </c>
      <c r="F2414" s="71">
        <v>2.4</v>
      </c>
      <c r="G2414" s="71">
        <v>0</v>
      </c>
    </row>
    <row r="2415" spans="2:7" x14ac:dyDescent="0.25">
      <c r="B2415" s="70">
        <v>43620</v>
      </c>
      <c r="C2415" t="s">
        <v>25</v>
      </c>
      <c r="D2415" t="s">
        <v>81</v>
      </c>
      <c r="E2415" t="s">
        <v>158</v>
      </c>
      <c r="F2415" s="71">
        <v>7.35</v>
      </c>
      <c r="G2415" s="71">
        <v>0</v>
      </c>
    </row>
    <row r="2416" spans="2:7" x14ac:dyDescent="0.25">
      <c r="B2416" s="70">
        <v>43620</v>
      </c>
      <c r="C2416" t="s">
        <v>47</v>
      </c>
      <c r="D2416" t="s">
        <v>85</v>
      </c>
      <c r="E2416" t="s">
        <v>323</v>
      </c>
      <c r="F2416" s="71">
        <v>50</v>
      </c>
      <c r="G2416" s="71">
        <v>0</v>
      </c>
    </row>
    <row r="2417" spans="2:7" x14ac:dyDescent="0.25">
      <c r="B2417" s="70">
        <v>43620</v>
      </c>
      <c r="C2417" t="s">
        <v>51</v>
      </c>
      <c r="D2417" t="s">
        <v>84</v>
      </c>
      <c r="E2417" t="s">
        <v>323</v>
      </c>
      <c r="F2417" s="71">
        <v>112.6</v>
      </c>
      <c r="G2417" s="71">
        <v>0</v>
      </c>
    </row>
    <row r="2418" spans="2:7" x14ac:dyDescent="0.25">
      <c r="B2418" s="70">
        <v>43620</v>
      </c>
      <c r="C2418" t="s">
        <v>21</v>
      </c>
      <c r="D2418" t="s">
        <v>79</v>
      </c>
      <c r="E2418" t="s">
        <v>323</v>
      </c>
      <c r="F2418" s="71">
        <v>8</v>
      </c>
      <c r="G2418" s="71">
        <v>0</v>
      </c>
    </row>
    <row r="2419" spans="2:7" x14ac:dyDescent="0.25">
      <c r="B2419" s="70">
        <v>43620</v>
      </c>
      <c r="C2419" t="s">
        <v>21</v>
      </c>
      <c r="D2419" t="s">
        <v>79</v>
      </c>
      <c r="E2419" t="s">
        <v>323</v>
      </c>
      <c r="F2419" s="71">
        <v>16</v>
      </c>
      <c r="G2419" s="71">
        <v>0</v>
      </c>
    </row>
    <row r="2420" spans="2:7" x14ac:dyDescent="0.25">
      <c r="B2420" s="70">
        <v>43620</v>
      </c>
      <c r="C2420" t="s">
        <v>21</v>
      </c>
      <c r="D2420" t="s">
        <v>79</v>
      </c>
      <c r="E2420" t="s">
        <v>323</v>
      </c>
      <c r="F2420" s="71">
        <v>48</v>
      </c>
      <c r="G2420" s="71">
        <v>0</v>
      </c>
    </row>
    <row r="2421" spans="2:7" x14ac:dyDescent="0.25">
      <c r="B2421" s="70">
        <v>43620</v>
      </c>
      <c r="C2421" t="s">
        <v>21</v>
      </c>
      <c r="D2421" t="s">
        <v>79</v>
      </c>
      <c r="E2421" t="s">
        <v>323</v>
      </c>
      <c r="F2421" s="71">
        <v>72</v>
      </c>
      <c r="G2421" s="71">
        <v>0</v>
      </c>
    </row>
    <row r="2422" spans="2:7" x14ac:dyDescent="0.25">
      <c r="B2422" s="70">
        <v>43620</v>
      </c>
      <c r="C2422" t="s">
        <v>21</v>
      </c>
      <c r="D2422" t="s">
        <v>79</v>
      </c>
      <c r="E2422" t="s">
        <v>323</v>
      </c>
      <c r="F2422" s="71">
        <v>104</v>
      </c>
      <c r="G2422" s="71">
        <v>0</v>
      </c>
    </row>
    <row r="2423" spans="2:7" x14ac:dyDescent="0.25">
      <c r="B2423" s="70">
        <v>43620</v>
      </c>
      <c r="C2423" t="s">
        <v>55</v>
      </c>
      <c r="D2423" t="s">
        <v>85</v>
      </c>
      <c r="E2423" t="s">
        <v>323</v>
      </c>
      <c r="F2423" s="71">
        <v>462.62</v>
      </c>
      <c r="G2423" s="71">
        <v>0</v>
      </c>
    </row>
    <row r="2424" spans="2:7" x14ac:dyDescent="0.25">
      <c r="B2424" s="70">
        <v>43620</v>
      </c>
      <c r="C2424" t="s">
        <v>75</v>
      </c>
      <c r="D2424" t="s">
        <v>84</v>
      </c>
      <c r="E2424" t="s">
        <v>323</v>
      </c>
      <c r="F2424" s="71">
        <v>180</v>
      </c>
      <c r="G2424" s="71">
        <v>0</v>
      </c>
    </row>
    <row r="2425" spans="2:7" x14ac:dyDescent="0.25">
      <c r="B2425" s="70">
        <v>43620</v>
      </c>
      <c r="C2425" t="s">
        <v>45</v>
      </c>
      <c r="D2425" t="s">
        <v>85</v>
      </c>
      <c r="E2425" t="s">
        <v>323</v>
      </c>
      <c r="F2425" s="71">
        <v>156.19999999999999</v>
      </c>
      <c r="G2425" s="71">
        <v>0</v>
      </c>
    </row>
    <row r="2426" spans="2:7" x14ac:dyDescent="0.25">
      <c r="B2426" s="70">
        <v>43620</v>
      </c>
      <c r="C2426" t="s">
        <v>50</v>
      </c>
      <c r="D2426" t="s">
        <v>84</v>
      </c>
      <c r="E2426" t="s">
        <v>323</v>
      </c>
      <c r="F2426" s="71">
        <v>4.93</v>
      </c>
      <c r="G2426" s="71">
        <v>0</v>
      </c>
    </row>
    <row r="2427" spans="2:7" x14ac:dyDescent="0.25">
      <c r="B2427" s="70">
        <v>43620</v>
      </c>
      <c r="C2427" t="s">
        <v>67</v>
      </c>
      <c r="D2427" t="s">
        <v>85</v>
      </c>
      <c r="E2427" t="s">
        <v>323</v>
      </c>
      <c r="F2427" s="71">
        <v>5100</v>
      </c>
      <c r="G2427" s="71">
        <v>0</v>
      </c>
    </row>
    <row r="2428" spans="2:7" x14ac:dyDescent="0.25">
      <c r="B2428" s="70">
        <v>43621</v>
      </c>
      <c r="C2428" t="s">
        <v>59</v>
      </c>
      <c r="D2428" t="s">
        <v>82</v>
      </c>
      <c r="E2428" t="s">
        <v>324</v>
      </c>
      <c r="F2428" s="71">
        <v>1304.44</v>
      </c>
      <c r="G2428" s="71">
        <v>0</v>
      </c>
    </row>
    <row r="2429" spans="2:7" x14ac:dyDescent="0.25">
      <c r="B2429" s="70">
        <v>43621</v>
      </c>
      <c r="C2429" t="s">
        <v>56</v>
      </c>
      <c r="D2429" t="s">
        <v>84</v>
      </c>
      <c r="E2429" t="s">
        <v>324</v>
      </c>
      <c r="F2429" s="71">
        <v>82</v>
      </c>
      <c r="G2429" s="71">
        <v>0</v>
      </c>
    </row>
    <row r="2430" spans="2:7" x14ac:dyDescent="0.25">
      <c r="B2430" s="70">
        <v>43621</v>
      </c>
      <c r="C2430" t="s">
        <v>21</v>
      </c>
      <c r="D2430" t="s">
        <v>79</v>
      </c>
      <c r="E2430" t="s">
        <v>324</v>
      </c>
      <c r="F2430" s="71">
        <v>8</v>
      </c>
      <c r="G2430" s="71">
        <v>0</v>
      </c>
    </row>
    <row r="2431" spans="2:7" x14ac:dyDescent="0.25">
      <c r="B2431" s="70">
        <v>43621</v>
      </c>
      <c r="C2431" t="s">
        <v>21</v>
      </c>
      <c r="D2431" t="s">
        <v>79</v>
      </c>
      <c r="E2431" t="s">
        <v>324</v>
      </c>
      <c r="F2431" s="71">
        <v>24</v>
      </c>
      <c r="G2431" s="71">
        <v>0</v>
      </c>
    </row>
    <row r="2432" spans="2:7" x14ac:dyDescent="0.25">
      <c r="B2432" s="70">
        <v>43621</v>
      </c>
      <c r="C2432" t="s">
        <v>66</v>
      </c>
      <c r="D2432" t="s">
        <v>79</v>
      </c>
      <c r="E2432" t="s">
        <v>324</v>
      </c>
      <c r="F2432" s="71">
        <v>39.950000000000003</v>
      </c>
      <c r="G2432" s="71">
        <v>0</v>
      </c>
    </row>
    <row r="2433" spans="2:7" x14ac:dyDescent="0.25">
      <c r="B2433" s="70">
        <v>43621</v>
      </c>
      <c r="C2433" t="s">
        <v>66</v>
      </c>
      <c r="D2433" t="s">
        <v>87</v>
      </c>
      <c r="E2433" t="s">
        <v>324</v>
      </c>
      <c r="F2433" s="71">
        <v>0</v>
      </c>
      <c r="G2433" s="71">
        <v>2550</v>
      </c>
    </row>
    <row r="2434" spans="2:7" x14ac:dyDescent="0.25">
      <c r="B2434" s="70">
        <v>43621</v>
      </c>
      <c r="C2434" t="s">
        <v>48</v>
      </c>
      <c r="D2434" t="s">
        <v>86</v>
      </c>
      <c r="E2434" t="s">
        <v>324</v>
      </c>
      <c r="F2434" s="71">
        <v>4.28</v>
      </c>
      <c r="G2434" s="71">
        <v>0</v>
      </c>
    </row>
    <row r="2435" spans="2:7" x14ac:dyDescent="0.25">
      <c r="B2435" s="70">
        <v>43621</v>
      </c>
      <c r="C2435" t="s">
        <v>53</v>
      </c>
      <c r="D2435" t="s">
        <v>85</v>
      </c>
      <c r="E2435" t="s">
        <v>324</v>
      </c>
      <c r="F2435" s="71">
        <v>342.22</v>
      </c>
      <c r="G2435" s="71">
        <v>0</v>
      </c>
    </row>
    <row r="2436" spans="2:7" x14ac:dyDescent="0.25">
      <c r="B2436" s="70">
        <v>43621</v>
      </c>
      <c r="C2436" t="s">
        <v>71</v>
      </c>
      <c r="D2436" t="s">
        <v>86</v>
      </c>
      <c r="E2436" t="s">
        <v>324</v>
      </c>
      <c r="F2436" s="71">
        <v>1436.31</v>
      </c>
      <c r="G2436" s="71">
        <v>0</v>
      </c>
    </row>
    <row r="2437" spans="2:7" x14ac:dyDescent="0.25">
      <c r="B2437" s="70">
        <v>43621</v>
      </c>
      <c r="C2437" t="s">
        <v>24</v>
      </c>
      <c r="D2437" t="s">
        <v>79</v>
      </c>
      <c r="E2437" t="s">
        <v>324</v>
      </c>
      <c r="F2437" s="71">
        <v>8</v>
      </c>
      <c r="G2437" s="71">
        <v>0</v>
      </c>
    </row>
    <row r="2438" spans="2:7" x14ac:dyDescent="0.25">
      <c r="B2438" s="70">
        <v>43621</v>
      </c>
      <c r="C2438" t="s">
        <v>61</v>
      </c>
      <c r="D2438" t="s">
        <v>86</v>
      </c>
      <c r="E2438" t="s">
        <v>324</v>
      </c>
      <c r="F2438" s="71">
        <v>170</v>
      </c>
      <c r="G2438" s="71">
        <v>0</v>
      </c>
    </row>
    <row r="2439" spans="2:7" x14ac:dyDescent="0.25">
      <c r="B2439" s="70">
        <v>43622</v>
      </c>
      <c r="C2439" t="s">
        <v>25</v>
      </c>
      <c r="D2439" t="s">
        <v>81</v>
      </c>
      <c r="E2439" t="s">
        <v>253</v>
      </c>
      <c r="F2439" s="71">
        <v>2.4</v>
      </c>
      <c r="G2439" s="71">
        <v>0</v>
      </c>
    </row>
    <row r="2440" spans="2:7" x14ac:dyDescent="0.25">
      <c r="B2440" s="70">
        <v>43622</v>
      </c>
      <c r="C2440" t="s">
        <v>25</v>
      </c>
      <c r="D2440" t="s">
        <v>81</v>
      </c>
      <c r="E2440" t="s">
        <v>187</v>
      </c>
      <c r="F2440" s="71">
        <v>6.5</v>
      </c>
      <c r="G2440" s="71">
        <v>0</v>
      </c>
    </row>
    <row r="2441" spans="2:7" x14ac:dyDescent="0.25">
      <c r="B2441" s="70">
        <v>43622</v>
      </c>
      <c r="C2441" t="s">
        <v>25</v>
      </c>
      <c r="D2441" t="s">
        <v>84</v>
      </c>
      <c r="E2441" t="s">
        <v>325</v>
      </c>
      <c r="F2441" s="71">
        <v>12</v>
      </c>
      <c r="G2441" s="71">
        <v>0</v>
      </c>
    </row>
    <row r="2442" spans="2:7" x14ac:dyDescent="0.25">
      <c r="B2442" s="70">
        <v>43622</v>
      </c>
      <c r="C2442" t="s">
        <v>54</v>
      </c>
      <c r="D2442" t="s">
        <v>85</v>
      </c>
      <c r="E2442" t="s">
        <v>325</v>
      </c>
      <c r="F2442" s="71">
        <v>181.06</v>
      </c>
      <c r="G2442" s="71">
        <v>0</v>
      </c>
    </row>
    <row r="2443" spans="2:7" x14ac:dyDescent="0.25">
      <c r="B2443" s="70">
        <v>43622</v>
      </c>
      <c r="C2443" t="s">
        <v>56</v>
      </c>
      <c r="D2443" t="s">
        <v>84</v>
      </c>
      <c r="E2443" t="s">
        <v>325</v>
      </c>
      <c r="F2443" s="71">
        <v>37</v>
      </c>
      <c r="G2443" s="71">
        <v>0</v>
      </c>
    </row>
    <row r="2444" spans="2:7" x14ac:dyDescent="0.25">
      <c r="B2444" s="70">
        <v>43622</v>
      </c>
      <c r="C2444" t="s">
        <v>21</v>
      </c>
      <c r="D2444" t="s">
        <v>79</v>
      </c>
      <c r="E2444" t="s">
        <v>325</v>
      </c>
      <c r="F2444" s="71">
        <v>8</v>
      </c>
      <c r="G2444" s="71">
        <v>0</v>
      </c>
    </row>
    <row r="2445" spans="2:7" x14ac:dyDescent="0.25">
      <c r="B2445" s="70">
        <v>43622</v>
      </c>
      <c r="C2445" t="s">
        <v>21</v>
      </c>
      <c r="D2445" t="s">
        <v>79</v>
      </c>
      <c r="E2445" t="s">
        <v>325</v>
      </c>
      <c r="F2445" s="71">
        <v>16</v>
      </c>
      <c r="G2445" s="71">
        <v>0</v>
      </c>
    </row>
    <row r="2446" spans="2:7" x14ac:dyDescent="0.25">
      <c r="B2446" s="70">
        <v>43622</v>
      </c>
      <c r="C2446" t="s">
        <v>21</v>
      </c>
      <c r="D2446" t="s">
        <v>79</v>
      </c>
      <c r="E2446" t="s">
        <v>325</v>
      </c>
      <c r="F2446" s="71">
        <v>32</v>
      </c>
      <c r="G2446" s="71">
        <v>0</v>
      </c>
    </row>
    <row r="2447" spans="2:7" x14ac:dyDescent="0.25">
      <c r="B2447" s="70">
        <v>43622</v>
      </c>
      <c r="C2447" t="s">
        <v>21</v>
      </c>
      <c r="D2447" t="s">
        <v>110</v>
      </c>
      <c r="E2447" t="s">
        <v>326</v>
      </c>
      <c r="F2447" s="71">
        <v>8</v>
      </c>
      <c r="G2447" s="71">
        <v>0</v>
      </c>
    </row>
    <row r="2448" spans="2:7" x14ac:dyDescent="0.25">
      <c r="B2448" s="70">
        <v>43622</v>
      </c>
      <c r="C2448" t="s">
        <v>21</v>
      </c>
      <c r="D2448" t="s">
        <v>111</v>
      </c>
      <c r="E2448" t="s">
        <v>326</v>
      </c>
      <c r="F2448" s="71">
        <v>24</v>
      </c>
      <c r="G2448" s="71">
        <v>0</v>
      </c>
    </row>
    <row r="2449" spans="2:7" x14ac:dyDescent="0.25">
      <c r="B2449" s="70">
        <v>43622</v>
      </c>
      <c r="C2449" t="s">
        <v>21</v>
      </c>
      <c r="D2449" t="s">
        <v>111</v>
      </c>
      <c r="E2449" t="s">
        <v>326</v>
      </c>
      <c r="F2449" s="71">
        <v>32</v>
      </c>
      <c r="G2449" s="71">
        <v>0</v>
      </c>
    </row>
    <row r="2450" spans="2:7" x14ac:dyDescent="0.25">
      <c r="B2450" s="70">
        <v>43622</v>
      </c>
      <c r="C2450" t="s">
        <v>21</v>
      </c>
      <c r="D2450" t="s">
        <v>111</v>
      </c>
      <c r="E2450" t="s">
        <v>326</v>
      </c>
      <c r="F2450" s="71">
        <v>80</v>
      </c>
      <c r="G2450" s="71">
        <v>0</v>
      </c>
    </row>
    <row r="2451" spans="2:7" x14ac:dyDescent="0.25">
      <c r="B2451" s="70">
        <v>43622</v>
      </c>
      <c r="C2451" t="s">
        <v>49</v>
      </c>
      <c r="D2451" t="s">
        <v>84</v>
      </c>
      <c r="E2451" t="s">
        <v>325</v>
      </c>
      <c r="F2451" s="71">
        <v>150</v>
      </c>
      <c r="G2451" s="71">
        <v>0</v>
      </c>
    </row>
    <row r="2452" spans="2:7" x14ac:dyDescent="0.25">
      <c r="B2452" s="70">
        <v>43622</v>
      </c>
      <c r="C2452" t="s">
        <v>50</v>
      </c>
      <c r="D2452" t="s">
        <v>84</v>
      </c>
      <c r="E2452" t="s">
        <v>325</v>
      </c>
      <c r="F2452" s="71">
        <v>1957.19</v>
      </c>
      <c r="G2452" s="71">
        <v>0</v>
      </c>
    </row>
    <row r="2453" spans="2:7" x14ac:dyDescent="0.25">
      <c r="B2453" s="70">
        <v>43622</v>
      </c>
      <c r="C2453" t="s">
        <v>24</v>
      </c>
      <c r="D2453" t="s">
        <v>79</v>
      </c>
      <c r="E2453" t="s">
        <v>325</v>
      </c>
      <c r="F2453" s="71">
        <v>8</v>
      </c>
      <c r="G2453" s="71">
        <v>0</v>
      </c>
    </row>
    <row r="2454" spans="2:7" x14ac:dyDescent="0.25">
      <c r="B2454" s="70">
        <v>43622</v>
      </c>
      <c r="C2454" t="s">
        <v>60</v>
      </c>
      <c r="D2454" t="s">
        <v>84</v>
      </c>
      <c r="E2454" t="s">
        <v>325</v>
      </c>
      <c r="F2454" s="71">
        <v>12.75</v>
      </c>
      <c r="G2454" s="71">
        <v>0</v>
      </c>
    </row>
    <row r="2455" spans="2:7" x14ac:dyDescent="0.25">
      <c r="B2455" s="70">
        <v>43623</v>
      </c>
      <c r="C2455" t="s">
        <v>25</v>
      </c>
      <c r="D2455" t="s">
        <v>81</v>
      </c>
      <c r="E2455" t="s">
        <v>153</v>
      </c>
      <c r="F2455" s="71">
        <v>3.7</v>
      </c>
      <c r="G2455" s="71">
        <v>0</v>
      </c>
    </row>
    <row r="2456" spans="2:7" x14ac:dyDescent="0.25">
      <c r="B2456" s="70">
        <v>43623</v>
      </c>
      <c r="C2456" t="s">
        <v>25</v>
      </c>
      <c r="D2456" t="s">
        <v>81</v>
      </c>
      <c r="E2456" t="s">
        <v>179</v>
      </c>
      <c r="F2456" s="71">
        <v>1.8</v>
      </c>
      <c r="G2456" s="71">
        <v>0</v>
      </c>
    </row>
    <row r="2457" spans="2:7" x14ac:dyDescent="0.25">
      <c r="B2457" s="70">
        <v>43623</v>
      </c>
      <c r="C2457" t="s">
        <v>59</v>
      </c>
      <c r="D2457" t="s">
        <v>86</v>
      </c>
      <c r="E2457" t="s">
        <v>327</v>
      </c>
      <c r="F2457" s="71">
        <v>174.78</v>
      </c>
      <c r="G2457" s="71">
        <v>0</v>
      </c>
    </row>
    <row r="2458" spans="2:7" x14ac:dyDescent="0.25">
      <c r="B2458" s="70">
        <v>43623</v>
      </c>
      <c r="C2458" t="s">
        <v>21</v>
      </c>
      <c r="D2458" t="s">
        <v>79</v>
      </c>
      <c r="E2458" t="s">
        <v>327</v>
      </c>
      <c r="F2458" s="71">
        <v>8</v>
      </c>
      <c r="G2458" s="71">
        <v>0</v>
      </c>
    </row>
    <row r="2459" spans="2:7" x14ac:dyDescent="0.25">
      <c r="B2459" s="70">
        <v>43623</v>
      </c>
      <c r="C2459" t="s">
        <v>21</v>
      </c>
      <c r="D2459" t="s">
        <v>79</v>
      </c>
      <c r="E2459" t="s">
        <v>327</v>
      </c>
      <c r="F2459" s="71">
        <v>16</v>
      </c>
      <c r="G2459" s="71">
        <v>0</v>
      </c>
    </row>
    <row r="2460" spans="2:7" x14ac:dyDescent="0.25">
      <c r="B2460" s="70">
        <v>43623</v>
      </c>
      <c r="C2460" t="s">
        <v>21</v>
      </c>
      <c r="D2460" t="s">
        <v>79</v>
      </c>
      <c r="E2460" t="s">
        <v>327</v>
      </c>
      <c r="F2460" s="71">
        <v>32</v>
      </c>
      <c r="G2460" s="71">
        <v>0</v>
      </c>
    </row>
    <row r="2461" spans="2:7" x14ac:dyDescent="0.25">
      <c r="B2461" s="70">
        <v>43623</v>
      </c>
      <c r="C2461" t="s">
        <v>21</v>
      </c>
      <c r="D2461" t="s">
        <v>79</v>
      </c>
      <c r="E2461" t="s">
        <v>327</v>
      </c>
      <c r="F2461" s="71">
        <v>48</v>
      </c>
      <c r="G2461" s="71">
        <v>0</v>
      </c>
    </row>
    <row r="2462" spans="2:7" x14ac:dyDescent="0.25">
      <c r="B2462" s="70">
        <v>43623</v>
      </c>
      <c r="C2462" t="s">
        <v>66</v>
      </c>
      <c r="D2462" t="s">
        <v>84</v>
      </c>
      <c r="E2462" t="s">
        <v>327</v>
      </c>
      <c r="F2462" s="71">
        <v>247</v>
      </c>
      <c r="G2462" s="71">
        <v>0</v>
      </c>
    </row>
    <row r="2463" spans="2:7" x14ac:dyDescent="0.25">
      <c r="B2463" s="70">
        <v>43623</v>
      </c>
      <c r="C2463" t="s">
        <v>49</v>
      </c>
      <c r="D2463" t="s">
        <v>84</v>
      </c>
      <c r="E2463" t="s">
        <v>327</v>
      </c>
      <c r="F2463" s="71">
        <v>53</v>
      </c>
      <c r="G2463" s="71">
        <v>0</v>
      </c>
    </row>
    <row r="2464" spans="2:7" x14ac:dyDescent="0.25">
      <c r="B2464" s="70">
        <v>43623</v>
      </c>
      <c r="C2464" t="s">
        <v>50</v>
      </c>
      <c r="D2464" t="s">
        <v>84</v>
      </c>
      <c r="E2464" t="s">
        <v>327</v>
      </c>
      <c r="F2464" s="71">
        <v>8.82</v>
      </c>
      <c r="G2464" s="71">
        <v>0</v>
      </c>
    </row>
    <row r="2465" spans="2:7" x14ac:dyDescent="0.25">
      <c r="B2465" s="70">
        <v>43623</v>
      </c>
      <c r="C2465" t="s">
        <v>52</v>
      </c>
      <c r="D2465" t="s">
        <v>84</v>
      </c>
      <c r="E2465" t="s">
        <v>327</v>
      </c>
      <c r="F2465" s="71">
        <v>9.43</v>
      </c>
      <c r="G2465" s="71">
        <v>0</v>
      </c>
    </row>
    <row r="2466" spans="2:7" x14ac:dyDescent="0.25">
      <c r="B2466" s="70">
        <v>43623</v>
      </c>
      <c r="C2466" t="s">
        <v>58</v>
      </c>
      <c r="D2466" t="s">
        <v>84</v>
      </c>
      <c r="E2466" t="s">
        <v>327</v>
      </c>
      <c r="F2466" s="71">
        <v>24</v>
      </c>
      <c r="G2466" s="71">
        <v>0</v>
      </c>
    </row>
    <row r="2467" spans="2:7" x14ac:dyDescent="0.25">
      <c r="B2467" s="70">
        <v>43623</v>
      </c>
      <c r="C2467" t="s">
        <v>71</v>
      </c>
      <c r="D2467" t="s">
        <v>86</v>
      </c>
      <c r="E2467" t="s">
        <v>327</v>
      </c>
      <c r="F2467" s="71">
        <v>421.36</v>
      </c>
      <c r="G2467" s="71">
        <v>0</v>
      </c>
    </row>
    <row r="2468" spans="2:7" x14ac:dyDescent="0.25">
      <c r="B2468" s="70">
        <v>43623</v>
      </c>
      <c r="C2468" t="s">
        <v>24</v>
      </c>
      <c r="D2468" t="s">
        <v>79</v>
      </c>
      <c r="E2468" t="s">
        <v>327</v>
      </c>
      <c r="F2468" s="71">
        <v>8</v>
      </c>
      <c r="G2468" s="71">
        <v>0</v>
      </c>
    </row>
    <row r="2469" spans="2:7" x14ac:dyDescent="0.25">
      <c r="B2469" s="70">
        <v>43624</v>
      </c>
      <c r="C2469" t="s">
        <v>25</v>
      </c>
      <c r="D2469" t="s">
        <v>81</v>
      </c>
      <c r="E2469" t="s">
        <v>253</v>
      </c>
      <c r="F2469" s="71">
        <v>3</v>
      </c>
      <c r="G2469" s="71">
        <v>0</v>
      </c>
    </row>
    <row r="2470" spans="2:7" x14ac:dyDescent="0.25">
      <c r="B2470" s="70">
        <v>43624</v>
      </c>
      <c r="C2470" t="s">
        <v>21</v>
      </c>
      <c r="D2470" t="s">
        <v>79</v>
      </c>
      <c r="E2470" t="s">
        <v>328</v>
      </c>
      <c r="F2470" s="71">
        <v>8</v>
      </c>
      <c r="G2470" s="71">
        <v>0</v>
      </c>
    </row>
    <row r="2471" spans="2:7" x14ac:dyDescent="0.25">
      <c r="B2471" s="70">
        <v>43624</v>
      </c>
      <c r="C2471" t="s">
        <v>21</v>
      </c>
      <c r="D2471" t="s">
        <v>79</v>
      </c>
      <c r="E2471" t="s">
        <v>328</v>
      </c>
      <c r="F2471" s="71">
        <v>16</v>
      </c>
      <c r="G2471" s="71">
        <v>0</v>
      </c>
    </row>
    <row r="2472" spans="2:7" x14ac:dyDescent="0.25">
      <c r="B2472" s="70">
        <v>43624</v>
      </c>
      <c r="C2472" t="s">
        <v>21</v>
      </c>
      <c r="D2472" t="s">
        <v>79</v>
      </c>
      <c r="E2472" t="s">
        <v>328</v>
      </c>
      <c r="F2472" s="71">
        <v>40</v>
      </c>
      <c r="G2472" s="71">
        <v>0</v>
      </c>
    </row>
    <row r="2473" spans="2:7" x14ac:dyDescent="0.25">
      <c r="B2473" s="70">
        <v>43624</v>
      </c>
      <c r="C2473" t="s">
        <v>21</v>
      </c>
      <c r="D2473" t="s">
        <v>80</v>
      </c>
      <c r="E2473" t="s">
        <v>328</v>
      </c>
      <c r="F2473" s="71">
        <v>8</v>
      </c>
      <c r="G2473" s="71">
        <v>0</v>
      </c>
    </row>
    <row r="2474" spans="2:7" x14ac:dyDescent="0.25">
      <c r="B2474" s="70">
        <v>43624</v>
      </c>
      <c r="C2474" t="s">
        <v>21</v>
      </c>
      <c r="D2474" t="s">
        <v>80</v>
      </c>
      <c r="E2474" t="s">
        <v>328</v>
      </c>
      <c r="F2474" s="71">
        <v>24</v>
      </c>
      <c r="G2474" s="71">
        <v>0</v>
      </c>
    </row>
    <row r="2475" spans="2:7" x14ac:dyDescent="0.25">
      <c r="B2475" s="70">
        <v>43624</v>
      </c>
      <c r="C2475" t="s">
        <v>21</v>
      </c>
      <c r="D2475" t="s">
        <v>80</v>
      </c>
      <c r="E2475" t="s">
        <v>328</v>
      </c>
      <c r="F2475" s="71">
        <v>32</v>
      </c>
      <c r="G2475" s="71">
        <v>0</v>
      </c>
    </row>
    <row r="2476" spans="2:7" x14ac:dyDescent="0.25">
      <c r="B2476" s="70">
        <v>43624</v>
      </c>
      <c r="C2476" t="s">
        <v>21</v>
      </c>
      <c r="D2476" t="s">
        <v>80</v>
      </c>
      <c r="E2476" t="s">
        <v>328</v>
      </c>
      <c r="F2476" s="71">
        <v>80</v>
      </c>
      <c r="G2476" s="71">
        <v>0</v>
      </c>
    </row>
    <row r="2477" spans="2:7" x14ac:dyDescent="0.25">
      <c r="B2477" s="70">
        <v>43624</v>
      </c>
      <c r="C2477" t="s">
        <v>48</v>
      </c>
      <c r="D2477" t="s">
        <v>84</v>
      </c>
      <c r="E2477" t="s">
        <v>328</v>
      </c>
      <c r="F2477" s="71">
        <v>60</v>
      </c>
      <c r="G2477" s="71">
        <v>0</v>
      </c>
    </row>
    <row r="2478" spans="2:7" x14ac:dyDescent="0.25">
      <c r="B2478" s="70">
        <v>43624</v>
      </c>
      <c r="C2478" t="s">
        <v>58</v>
      </c>
      <c r="D2478" t="s">
        <v>84</v>
      </c>
      <c r="E2478" t="s">
        <v>328</v>
      </c>
      <c r="F2478" s="71">
        <v>20</v>
      </c>
      <c r="G2478" s="71">
        <v>0</v>
      </c>
    </row>
    <row r="2479" spans="2:7" x14ac:dyDescent="0.25">
      <c r="B2479" s="70">
        <v>43624</v>
      </c>
      <c r="C2479" t="s">
        <v>71</v>
      </c>
      <c r="D2479" t="s">
        <v>84</v>
      </c>
      <c r="E2479" t="s">
        <v>328</v>
      </c>
      <c r="F2479" s="71">
        <v>120</v>
      </c>
      <c r="G2479" s="71">
        <v>0</v>
      </c>
    </row>
    <row r="2480" spans="2:7" x14ac:dyDescent="0.25">
      <c r="B2480" s="70">
        <v>43624</v>
      </c>
      <c r="C2480" t="s">
        <v>24</v>
      </c>
      <c r="D2480" t="s">
        <v>79</v>
      </c>
      <c r="E2480" t="s">
        <v>328</v>
      </c>
      <c r="F2480" s="71">
        <v>8</v>
      </c>
      <c r="G2480" s="71">
        <v>0</v>
      </c>
    </row>
    <row r="2481" spans="2:7" x14ac:dyDescent="0.25">
      <c r="B2481" s="70">
        <v>43624</v>
      </c>
      <c r="C2481" t="s">
        <v>24</v>
      </c>
      <c r="D2481" t="s">
        <v>80</v>
      </c>
      <c r="E2481" t="s">
        <v>328</v>
      </c>
      <c r="F2481">
        <v>8</v>
      </c>
      <c r="G2481" s="71">
        <v>0</v>
      </c>
    </row>
    <row r="2482" spans="2:7" x14ac:dyDescent="0.25">
      <c r="B2482" s="70">
        <v>43626</v>
      </c>
      <c r="C2482" t="s">
        <v>25</v>
      </c>
      <c r="D2482" t="s">
        <v>79</v>
      </c>
      <c r="E2482" t="s">
        <v>329</v>
      </c>
      <c r="F2482">
        <v>8</v>
      </c>
      <c r="G2482" s="71">
        <v>0</v>
      </c>
    </row>
    <row r="2483" spans="2:7" x14ac:dyDescent="0.25">
      <c r="B2483" s="70">
        <v>43626</v>
      </c>
      <c r="C2483" t="s">
        <v>25</v>
      </c>
      <c r="D2483" t="s">
        <v>80</v>
      </c>
      <c r="E2483" t="s">
        <v>329</v>
      </c>
      <c r="F2483" s="71">
        <v>30.25</v>
      </c>
      <c r="G2483" s="71">
        <v>0</v>
      </c>
    </row>
    <row r="2484" spans="2:7" x14ac:dyDescent="0.25">
      <c r="B2484" s="70">
        <v>43626</v>
      </c>
      <c r="C2484" t="s">
        <v>25</v>
      </c>
      <c r="D2484" t="s">
        <v>80</v>
      </c>
      <c r="E2484" t="s">
        <v>329</v>
      </c>
      <c r="F2484" s="71">
        <v>67.5</v>
      </c>
      <c r="G2484" s="71">
        <v>0</v>
      </c>
    </row>
    <row r="2485" spans="2:7" x14ac:dyDescent="0.25">
      <c r="B2485" s="70">
        <v>43626</v>
      </c>
      <c r="C2485" t="s">
        <v>25</v>
      </c>
      <c r="D2485" t="s">
        <v>80</v>
      </c>
      <c r="E2485" t="s">
        <v>329</v>
      </c>
      <c r="F2485" s="71">
        <v>83.03</v>
      </c>
      <c r="G2485" s="71">
        <v>0</v>
      </c>
    </row>
    <row r="2486" spans="2:7" x14ac:dyDescent="0.25">
      <c r="B2486" s="70">
        <v>43626</v>
      </c>
      <c r="C2486" t="s">
        <v>25</v>
      </c>
      <c r="D2486" t="s">
        <v>87</v>
      </c>
      <c r="E2486" t="s">
        <v>329</v>
      </c>
      <c r="F2486" s="71">
        <v>0.27</v>
      </c>
      <c r="G2486" s="71">
        <v>0</v>
      </c>
    </row>
    <row r="2487" spans="2:7" x14ac:dyDescent="0.25">
      <c r="B2487" s="70">
        <v>43626</v>
      </c>
      <c r="C2487" t="s">
        <v>25</v>
      </c>
      <c r="D2487" t="s">
        <v>87</v>
      </c>
      <c r="E2487" t="s">
        <v>329</v>
      </c>
      <c r="F2487" s="71">
        <v>17.190000000000001</v>
      </c>
      <c r="G2487" s="71">
        <v>0</v>
      </c>
    </row>
    <row r="2488" spans="2:7" x14ac:dyDescent="0.25">
      <c r="B2488" s="70">
        <v>43626</v>
      </c>
      <c r="C2488" t="s">
        <v>25</v>
      </c>
      <c r="D2488" t="s">
        <v>87</v>
      </c>
      <c r="E2488" t="s">
        <v>329</v>
      </c>
      <c r="F2488" s="71">
        <v>19.02</v>
      </c>
      <c r="G2488" s="71">
        <v>0</v>
      </c>
    </row>
    <row r="2489" spans="2:7" x14ac:dyDescent="0.25">
      <c r="B2489" s="70">
        <v>43626</v>
      </c>
      <c r="C2489" t="s">
        <v>25</v>
      </c>
      <c r="D2489" t="s">
        <v>87</v>
      </c>
      <c r="E2489" t="s">
        <v>329</v>
      </c>
      <c r="F2489" s="71">
        <v>29.69</v>
      </c>
      <c r="G2489" s="71">
        <v>0</v>
      </c>
    </row>
    <row r="2490" spans="2:7" x14ac:dyDescent="0.25">
      <c r="B2490" s="70">
        <v>43626</v>
      </c>
      <c r="C2490" t="s">
        <v>25</v>
      </c>
      <c r="D2490" t="s">
        <v>87</v>
      </c>
      <c r="E2490" t="s">
        <v>329</v>
      </c>
      <c r="F2490" s="71">
        <v>34.880000000000003</v>
      </c>
      <c r="G2490" s="71">
        <v>0</v>
      </c>
    </row>
    <row r="2491" spans="2:7" x14ac:dyDescent="0.25">
      <c r="B2491" s="70">
        <v>43626</v>
      </c>
      <c r="C2491" t="s">
        <v>25</v>
      </c>
      <c r="D2491" t="s">
        <v>87</v>
      </c>
      <c r="E2491" t="s">
        <v>329</v>
      </c>
      <c r="F2491" s="71">
        <v>42.14</v>
      </c>
      <c r="G2491" s="71">
        <v>0</v>
      </c>
    </row>
    <row r="2492" spans="2:7" x14ac:dyDescent="0.25">
      <c r="B2492" s="70">
        <v>43626</v>
      </c>
      <c r="C2492" t="s">
        <v>25</v>
      </c>
      <c r="D2492" t="s">
        <v>87</v>
      </c>
      <c r="E2492" t="s">
        <v>329</v>
      </c>
      <c r="F2492" s="71">
        <v>50.97</v>
      </c>
      <c r="G2492" s="71">
        <v>0</v>
      </c>
    </row>
    <row r="2493" spans="2:7" x14ac:dyDescent="0.25">
      <c r="B2493" s="70">
        <v>43626</v>
      </c>
      <c r="C2493" t="s">
        <v>25</v>
      </c>
      <c r="D2493" t="s">
        <v>87</v>
      </c>
      <c r="E2493" t="s">
        <v>329</v>
      </c>
      <c r="F2493" s="71">
        <v>99.22</v>
      </c>
      <c r="G2493" s="71">
        <v>0</v>
      </c>
    </row>
    <row r="2494" spans="2:7" x14ac:dyDescent="0.25">
      <c r="B2494" s="70">
        <v>43626</v>
      </c>
      <c r="C2494" t="s">
        <v>25</v>
      </c>
      <c r="D2494" t="s">
        <v>87</v>
      </c>
      <c r="E2494" t="s">
        <v>329</v>
      </c>
      <c r="F2494" s="71">
        <v>245.96</v>
      </c>
      <c r="G2494" s="71">
        <v>0</v>
      </c>
    </row>
    <row r="2495" spans="2:7" x14ac:dyDescent="0.25">
      <c r="B2495" s="70">
        <v>43626</v>
      </c>
      <c r="C2495" t="s">
        <v>25</v>
      </c>
      <c r="D2495" t="s">
        <v>81</v>
      </c>
      <c r="E2495" t="s">
        <v>122</v>
      </c>
      <c r="F2495" s="71">
        <v>2.4</v>
      </c>
      <c r="G2495" s="71">
        <v>0</v>
      </c>
    </row>
    <row r="2496" spans="2:7" x14ac:dyDescent="0.25">
      <c r="B2496" s="70">
        <v>43626</v>
      </c>
      <c r="C2496" t="s">
        <v>25</v>
      </c>
      <c r="D2496" t="s">
        <v>81</v>
      </c>
      <c r="E2496" t="s">
        <v>147</v>
      </c>
      <c r="F2496" s="71">
        <v>3</v>
      </c>
      <c r="G2496" s="71">
        <v>0</v>
      </c>
    </row>
    <row r="2497" spans="2:7" x14ac:dyDescent="0.25">
      <c r="B2497" s="70">
        <v>43626</v>
      </c>
      <c r="C2497" t="s">
        <v>25</v>
      </c>
      <c r="D2497" t="s">
        <v>112</v>
      </c>
      <c r="E2497" t="s">
        <v>330</v>
      </c>
      <c r="F2497" s="71">
        <v>25.32</v>
      </c>
      <c r="G2497" s="71">
        <v>0</v>
      </c>
    </row>
    <row r="2498" spans="2:7" x14ac:dyDescent="0.25">
      <c r="B2498" s="70">
        <v>43626</v>
      </c>
      <c r="C2498" t="s">
        <v>25</v>
      </c>
      <c r="D2498" t="s">
        <v>112</v>
      </c>
      <c r="E2498" t="s">
        <v>330</v>
      </c>
      <c r="F2498" s="71">
        <v>27.14</v>
      </c>
      <c r="G2498" s="71">
        <v>0</v>
      </c>
    </row>
    <row r="2499" spans="2:7" x14ac:dyDescent="0.25">
      <c r="B2499" s="70">
        <v>43626</v>
      </c>
      <c r="C2499" t="s">
        <v>25</v>
      </c>
      <c r="D2499" t="s">
        <v>112</v>
      </c>
      <c r="E2499" t="s">
        <v>330</v>
      </c>
      <c r="F2499" s="71">
        <v>27.65</v>
      </c>
      <c r="G2499" s="71">
        <v>0</v>
      </c>
    </row>
    <row r="2500" spans="2:7" x14ac:dyDescent="0.25">
      <c r="B2500" s="70">
        <v>43626</v>
      </c>
      <c r="C2500" t="s">
        <v>25</v>
      </c>
      <c r="D2500" t="s">
        <v>112</v>
      </c>
      <c r="E2500" t="s">
        <v>330</v>
      </c>
      <c r="F2500" s="71">
        <v>42.39</v>
      </c>
      <c r="G2500" s="71">
        <v>0</v>
      </c>
    </row>
    <row r="2501" spans="2:7" x14ac:dyDescent="0.25">
      <c r="B2501" s="70">
        <v>43626</v>
      </c>
      <c r="C2501" t="s">
        <v>25</v>
      </c>
      <c r="D2501" t="s">
        <v>112</v>
      </c>
      <c r="E2501" t="s">
        <v>330</v>
      </c>
      <c r="F2501" s="71">
        <v>64.22</v>
      </c>
      <c r="G2501" s="71">
        <v>0</v>
      </c>
    </row>
    <row r="2502" spans="2:7" x14ac:dyDescent="0.25">
      <c r="B2502" s="70">
        <v>43626</v>
      </c>
      <c r="C2502" t="s">
        <v>25</v>
      </c>
      <c r="D2502" t="s">
        <v>112</v>
      </c>
      <c r="E2502" t="s">
        <v>330</v>
      </c>
      <c r="F2502" s="71">
        <v>95.62</v>
      </c>
      <c r="G2502" s="71">
        <v>0</v>
      </c>
    </row>
    <row r="2503" spans="2:7" x14ac:dyDescent="0.25">
      <c r="B2503" s="70">
        <v>43626</v>
      </c>
      <c r="C2503" t="s">
        <v>25</v>
      </c>
      <c r="D2503" t="s">
        <v>112</v>
      </c>
      <c r="E2503" t="s">
        <v>330</v>
      </c>
      <c r="F2503" s="71">
        <v>642.38</v>
      </c>
      <c r="G2503" s="71">
        <v>0</v>
      </c>
    </row>
    <row r="2504" spans="2:7" x14ac:dyDescent="0.25">
      <c r="B2504" s="70">
        <v>43626</v>
      </c>
      <c r="C2504" t="s">
        <v>54</v>
      </c>
      <c r="D2504" t="s">
        <v>112</v>
      </c>
      <c r="E2504" t="s">
        <v>330</v>
      </c>
      <c r="F2504" s="71">
        <v>3294.23</v>
      </c>
      <c r="G2504" s="71">
        <v>0</v>
      </c>
    </row>
    <row r="2505" spans="2:7" x14ac:dyDescent="0.25">
      <c r="B2505" s="70">
        <v>43626</v>
      </c>
      <c r="C2505" t="s">
        <v>59</v>
      </c>
      <c r="D2505" t="s">
        <v>80</v>
      </c>
      <c r="E2505" t="s">
        <v>329</v>
      </c>
      <c r="F2505" s="71">
        <v>103</v>
      </c>
      <c r="G2505" s="71">
        <v>0</v>
      </c>
    </row>
    <row r="2506" spans="2:7" x14ac:dyDescent="0.25">
      <c r="B2506" s="70">
        <v>43626</v>
      </c>
      <c r="C2506" t="s">
        <v>47</v>
      </c>
      <c r="D2506" t="s">
        <v>86</v>
      </c>
      <c r="E2506" t="s">
        <v>329</v>
      </c>
      <c r="F2506" s="71">
        <v>270.98</v>
      </c>
      <c r="G2506" s="71">
        <v>0</v>
      </c>
    </row>
    <row r="2507" spans="2:7" x14ac:dyDescent="0.25">
      <c r="B2507" s="70">
        <v>43626</v>
      </c>
      <c r="C2507" t="s">
        <v>47</v>
      </c>
      <c r="D2507" t="s">
        <v>84</v>
      </c>
      <c r="E2507" t="s">
        <v>329</v>
      </c>
      <c r="F2507" s="71">
        <v>12.39</v>
      </c>
      <c r="G2507" s="71">
        <v>0</v>
      </c>
    </row>
    <row r="2508" spans="2:7" x14ac:dyDescent="0.25">
      <c r="B2508" s="70">
        <v>43626</v>
      </c>
      <c r="C2508" t="s">
        <v>51</v>
      </c>
      <c r="D2508" t="s">
        <v>86</v>
      </c>
      <c r="E2508" t="s">
        <v>329</v>
      </c>
      <c r="F2508" s="71">
        <v>295.16000000000003</v>
      </c>
      <c r="G2508" s="71">
        <v>0</v>
      </c>
    </row>
    <row r="2509" spans="2:7" x14ac:dyDescent="0.25">
      <c r="B2509" s="70">
        <v>43626</v>
      </c>
      <c r="C2509" t="s">
        <v>43</v>
      </c>
      <c r="D2509" t="s">
        <v>86</v>
      </c>
      <c r="E2509" t="s">
        <v>329</v>
      </c>
      <c r="F2509" s="71">
        <v>2549.17</v>
      </c>
      <c r="G2509" s="71">
        <v>0</v>
      </c>
    </row>
    <row r="2510" spans="2:7" x14ac:dyDescent="0.25">
      <c r="B2510" s="70">
        <v>43626</v>
      </c>
      <c r="C2510" t="s">
        <v>21</v>
      </c>
      <c r="D2510" t="s">
        <v>79</v>
      </c>
      <c r="E2510" t="s">
        <v>329</v>
      </c>
      <c r="F2510" s="71">
        <v>8</v>
      </c>
      <c r="G2510" s="71">
        <v>0</v>
      </c>
    </row>
    <row r="2511" spans="2:7" x14ac:dyDescent="0.25">
      <c r="B2511" s="70">
        <v>43626</v>
      </c>
      <c r="C2511" t="s">
        <v>21</v>
      </c>
      <c r="D2511" t="s">
        <v>79</v>
      </c>
      <c r="E2511" t="s">
        <v>329</v>
      </c>
      <c r="F2511" s="71">
        <v>16</v>
      </c>
      <c r="G2511" s="71">
        <v>0</v>
      </c>
    </row>
    <row r="2512" spans="2:7" x14ac:dyDescent="0.25">
      <c r="B2512" s="70">
        <v>43626</v>
      </c>
      <c r="C2512" t="s">
        <v>21</v>
      </c>
      <c r="D2512" t="s">
        <v>113</v>
      </c>
      <c r="E2512" t="s">
        <v>331</v>
      </c>
      <c r="F2512" s="71">
        <v>0</v>
      </c>
      <c r="G2512" s="71">
        <v>80</v>
      </c>
    </row>
    <row r="2513" spans="2:7" x14ac:dyDescent="0.25">
      <c r="B2513" s="70">
        <v>43626</v>
      </c>
      <c r="C2513" t="s">
        <v>21</v>
      </c>
      <c r="D2513" t="s">
        <v>113</v>
      </c>
      <c r="E2513" t="s">
        <v>331</v>
      </c>
      <c r="F2513" s="71">
        <v>0</v>
      </c>
      <c r="G2513" s="71">
        <v>32</v>
      </c>
    </row>
    <row r="2514" spans="2:7" x14ac:dyDescent="0.25">
      <c r="B2514" s="70">
        <v>43626</v>
      </c>
      <c r="C2514" t="s">
        <v>21</v>
      </c>
      <c r="D2514" t="s">
        <v>113</v>
      </c>
      <c r="E2514" t="s">
        <v>331</v>
      </c>
      <c r="F2514" s="71">
        <v>0</v>
      </c>
      <c r="G2514" s="71">
        <v>24</v>
      </c>
    </row>
    <row r="2515" spans="2:7" x14ac:dyDescent="0.25">
      <c r="B2515" s="70">
        <v>43626</v>
      </c>
      <c r="C2515" t="s">
        <v>21</v>
      </c>
      <c r="D2515" t="s">
        <v>113</v>
      </c>
      <c r="E2515" t="s">
        <v>331</v>
      </c>
      <c r="F2515" s="71">
        <v>0</v>
      </c>
      <c r="G2515" s="71">
        <v>8</v>
      </c>
    </row>
    <row r="2516" spans="2:7" x14ac:dyDescent="0.25">
      <c r="B2516" s="70">
        <v>43626</v>
      </c>
      <c r="C2516" t="s">
        <v>21</v>
      </c>
      <c r="D2516" t="s">
        <v>112</v>
      </c>
      <c r="E2516" t="s">
        <v>330</v>
      </c>
      <c r="F2516" s="71">
        <v>9.5500000000000007</v>
      </c>
      <c r="G2516" s="71">
        <v>0</v>
      </c>
    </row>
    <row r="2517" spans="2:7" x14ac:dyDescent="0.25">
      <c r="B2517" s="70">
        <v>43626</v>
      </c>
      <c r="C2517" t="s">
        <v>21</v>
      </c>
      <c r="D2517" t="s">
        <v>112</v>
      </c>
      <c r="E2517" t="s">
        <v>330</v>
      </c>
      <c r="F2517" s="71">
        <v>9.8000000000000007</v>
      </c>
      <c r="G2517" s="71">
        <v>0</v>
      </c>
    </row>
    <row r="2518" spans="2:7" x14ac:dyDescent="0.25">
      <c r="B2518" s="70">
        <v>43626</v>
      </c>
      <c r="C2518" t="s">
        <v>21</v>
      </c>
      <c r="D2518" t="s">
        <v>112</v>
      </c>
      <c r="E2518" t="s">
        <v>330</v>
      </c>
      <c r="F2518" s="71">
        <v>12.27</v>
      </c>
      <c r="G2518" s="71">
        <v>0</v>
      </c>
    </row>
    <row r="2519" spans="2:7" x14ac:dyDescent="0.25">
      <c r="B2519" s="70">
        <v>43626</v>
      </c>
      <c r="C2519" t="s">
        <v>21</v>
      </c>
      <c r="D2519" t="s">
        <v>112</v>
      </c>
      <c r="E2519" t="s">
        <v>330</v>
      </c>
      <c r="F2519" s="71">
        <v>31.9</v>
      </c>
      <c r="G2519" s="71">
        <v>0</v>
      </c>
    </row>
    <row r="2520" spans="2:7" x14ac:dyDescent="0.25">
      <c r="B2520" s="70">
        <v>43626</v>
      </c>
      <c r="C2520" t="s">
        <v>21</v>
      </c>
      <c r="D2520" t="s">
        <v>112</v>
      </c>
      <c r="E2520" t="s">
        <v>330</v>
      </c>
      <c r="F2520" s="71">
        <v>75.709999999999994</v>
      </c>
      <c r="G2520" s="71">
        <v>0</v>
      </c>
    </row>
    <row r="2521" spans="2:7" x14ac:dyDescent="0.25">
      <c r="B2521" s="70">
        <v>43626</v>
      </c>
      <c r="C2521" t="s">
        <v>21</v>
      </c>
      <c r="D2521" t="s">
        <v>112</v>
      </c>
      <c r="E2521" t="s">
        <v>330</v>
      </c>
      <c r="F2521" s="71">
        <v>106.5</v>
      </c>
      <c r="G2521" s="71">
        <v>0</v>
      </c>
    </row>
    <row r="2522" spans="2:7" x14ac:dyDescent="0.25">
      <c r="B2522" s="70">
        <v>43626</v>
      </c>
      <c r="C2522" t="s">
        <v>21</v>
      </c>
      <c r="D2522" t="s">
        <v>112</v>
      </c>
      <c r="E2522" t="s">
        <v>330</v>
      </c>
      <c r="F2522" s="71">
        <v>140</v>
      </c>
      <c r="G2522" s="71">
        <v>0</v>
      </c>
    </row>
    <row r="2523" spans="2:7" x14ac:dyDescent="0.25">
      <c r="B2523" s="70">
        <v>43626</v>
      </c>
      <c r="C2523" t="s">
        <v>21</v>
      </c>
      <c r="D2523" t="s">
        <v>112</v>
      </c>
      <c r="E2523" t="s">
        <v>330</v>
      </c>
      <c r="F2523" s="71">
        <v>203.87</v>
      </c>
      <c r="G2523" s="71">
        <v>0</v>
      </c>
    </row>
    <row r="2524" spans="2:7" x14ac:dyDescent="0.25">
      <c r="B2524" s="70">
        <v>43626</v>
      </c>
      <c r="C2524" t="s">
        <v>21</v>
      </c>
      <c r="D2524" t="s">
        <v>112</v>
      </c>
      <c r="E2524" t="s">
        <v>330</v>
      </c>
      <c r="F2524" s="71">
        <v>208.07</v>
      </c>
      <c r="G2524" s="71">
        <v>0</v>
      </c>
    </row>
    <row r="2525" spans="2:7" x14ac:dyDescent="0.25">
      <c r="B2525" s="70">
        <v>43626</v>
      </c>
      <c r="C2525" t="s">
        <v>21</v>
      </c>
      <c r="D2525" t="s">
        <v>112</v>
      </c>
      <c r="E2525" t="s">
        <v>330</v>
      </c>
      <c r="F2525" s="71">
        <v>216.64</v>
      </c>
      <c r="G2525" s="71">
        <v>0</v>
      </c>
    </row>
    <row r="2526" spans="2:7" x14ac:dyDescent="0.25">
      <c r="B2526" s="70">
        <v>43626</v>
      </c>
      <c r="C2526" t="s">
        <v>21</v>
      </c>
      <c r="D2526" t="s">
        <v>112</v>
      </c>
      <c r="E2526" t="s">
        <v>330</v>
      </c>
      <c r="F2526" s="71">
        <v>292.72000000000003</v>
      </c>
      <c r="G2526" s="71">
        <v>0</v>
      </c>
    </row>
    <row r="2527" spans="2:7" x14ac:dyDescent="0.25">
      <c r="B2527" s="70">
        <v>43626</v>
      </c>
      <c r="C2527" t="s">
        <v>21</v>
      </c>
      <c r="D2527" t="s">
        <v>112</v>
      </c>
      <c r="E2527" t="s">
        <v>330</v>
      </c>
      <c r="F2527" s="71">
        <v>306.8</v>
      </c>
      <c r="G2527" s="71">
        <v>0</v>
      </c>
    </row>
    <row r="2528" spans="2:7" x14ac:dyDescent="0.25">
      <c r="B2528" s="70">
        <v>43626</v>
      </c>
      <c r="C2528" t="s">
        <v>21</v>
      </c>
      <c r="D2528" t="s">
        <v>112</v>
      </c>
      <c r="E2528" t="s">
        <v>330</v>
      </c>
      <c r="F2528" s="71">
        <v>307.27999999999997</v>
      </c>
      <c r="G2528" s="71">
        <v>0</v>
      </c>
    </row>
    <row r="2529" spans="2:7" x14ac:dyDescent="0.25">
      <c r="B2529" s="70">
        <v>43626</v>
      </c>
      <c r="C2529" t="s">
        <v>21</v>
      </c>
      <c r="D2529" t="s">
        <v>112</v>
      </c>
      <c r="E2529" t="s">
        <v>330</v>
      </c>
      <c r="F2529" s="71">
        <v>329.75</v>
      </c>
      <c r="G2529" s="71">
        <v>0</v>
      </c>
    </row>
    <row r="2530" spans="2:7" x14ac:dyDescent="0.25">
      <c r="B2530" s="70">
        <v>43626</v>
      </c>
      <c r="C2530" t="s">
        <v>21</v>
      </c>
      <c r="D2530" t="s">
        <v>112</v>
      </c>
      <c r="E2530" t="s">
        <v>330</v>
      </c>
      <c r="F2530" s="71">
        <v>336.32</v>
      </c>
      <c r="G2530" s="71">
        <v>0</v>
      </c>
    </row>
    <row r="2531" spans="2:7" x14ac:dyDescent="0.25">
      <c r="B2531" s="70">
        <v>43626</v>
      </c>
      <c r="C2531" t="s">
        <v>21</v>
      </c>
      <c r="D2531" t="s">
        <v>112</v>
      </c>
      <c r="E2531" t="s">
        <v>330</v>
      </c>
      <c r="F2531" s="71">
        <v>391.96</v>
      </c>
      <c r="G2531" s="71">
        <v>0</v>
      </c>
    </row>
    <row r="2532" spans="2:7" x14ac:dyDescent="0.25">
      <c r="B2532" s="70">
        <v>43626</v>
      </c>
      <c r="C2532" t="s">
        <v>21</v>
      </c>
      <c r="D2532" t="s">
        <v>112</v>
      </c>
      <c r="E2532" t="s">
        <v>330</v>
      </c>
      <c r="F2532" s="71">
        <v>401.95</v>
      </c>
      <c r="G2532" s="71">
        <v>0</v>
      </c>
    </row>
    <row r="2533" spans="2:7" x14ac:dyDescent="0.25">
      <c r="B2533" s="70">
        <v>43626</v>
      </c>
      <c r="C2533" t="s">
        <v>21</v>
      </c>
      <c r="D2533" t="s">
        <v>112</v>
      </c>
      <c r="E2533" t="s">
        <v>330</v>
      </c>
      <c r="F2533" s="71">
        <v>513.57000000000005</v>
      </c>
      <c r="G2533" s="71">
        <v>0</v>
      </c>
    </row>
    <row r="2534" spans="2:7" x14ac:dyDescent="0.25">
      <c r="B2534" s="70">
        <v>43626</v>
      </c>
      <c r="C2534" t="s">
        <v>21</v>
      </c>
      <c r="D2534" t="s">
        <v>112</v>
      </c>
      <c r="E2534" t="s">
        <v>330</v>
      </c>
      <c r="F2534" s="71">
        <v>518.83000000000004</v>
      </c>
      <c r="G2534" s="71">
        <v>0</v>
      </c>
    </row>
    <row r="2535" spans="2:7" x14ac:dyDescent="0.25">
      <c r="B2535" s="70">
        <v>43626</v>
      </c>
      <c r="C2535" t="s">
        <v>21</v>
      </c>
      <c r="D2535" t="s">
        <v>112</v>
      </c>
      <c r="E2535" t="s">
        <v>330</v>
      </c>
      <c r="F2535" s="71">
        <v>683.32</v>
      </c>
      <c r="G2535" s="71">
        <v>0</v>
      </c>
    </row>
    <row r="2536" spans="2:7" x14ac:dyDescent="0.25">
      <c r="B2536" s="70">
        <v>43626</v>
      </c>
      <c r="C2536" t="s">
        <v>21</v>
      </c>
      <c r="D2536" t="s">
        <v>112</v>
      </c>
      <c r="E2536" t="s">
        <v>330</v>
      </c>
      <c r="F2536" s="71">
        <v>695.86</v>
      </c>
      <c r="G2536" s="71">
        <v>0</v>
      </c>
    </row>
    <row r="2537" spans="2:7" x14ac:dyDescent="0.25">
      <c r="B2537" s="70">
        <v>43626</v>
      </c>
      <c r="C2537" t="s">
        <v>21</v>
      </c>
      <c r="D2537" t="s">
        <v>112</v>
      </c>
      <c r="E2537" t="s">
        <v>330</v>
      </c>
      <c r="F2537" s="71">
        <v>860.35</v>
      </c>
      <c r="G2537" s="71">
        <v>0</v>
      </c>
    </row>
    <row r="2538" spans="2:7" x14ac:dyDescent="0.25">
      <c r="B2538" s="70">
        <v>43626</v>
      </c>
      <c r="C2538" t="s">
        <v>21</v>
      </c>
      <c r="D2538" t="s">
        <v>112</v>
      </c>
      <c r="E2538" t="s">
        <v>330</v>
      </c>
      <c r="F2538" s="71">
        <v>985.64</v>
      </c>
      <c r="G2538" s="71">
        <v>0</v>
      </c>
    </row>
    <row r="2539" spans="2:7" x14ac:dyDescent="0.25">
      <c r="B2539" s="70">
        <v>43626</v>
      </c>
      <c r="C2539" t="s">
        <v>21</v>
      </c>
      <c r="D2539" t="s">
        <v>112</v>
      </c>
      <c r="E2539" t="s">
        <v>330</v>
      </c>
      <c r="F2539" s="71">
        <v>1072.24</v>
      </c>
      <c r="G2539" s="71">
        <v>0</v>
      </c>
    </row>
    <row r="2540" spans="2:7" x14ac:dyDescent="0.25">
      <c r="B2540" s="70">
        <v>43626</v>
      </c>
      <c r="C2540" t="s">
        <v>21</v>
      </c>
      <c r="D2540" t="s">
        <v>112</v>
      </c>
      <c r="E2540" t="s">
        <v>330</v>
      </c>
      <c r="F2540" s="71">
        <v>1177.53</v>
      </c>
      <c r="G2540" s="71">
        <v>0</v>
      </c>
    </row>
    <row r="2541" spans="2:7" x14ac:dyDescent="0.25">
      <c r="B2541" s="70">
        <v>43626</v>
      </c>
      <c r="C2541" t="s">
        <v>21</v>
      </c>
      <c r="D2541" t="s">
        <v>112</v>
      </c>
      <c r="E2541" t="s">
        <v>330</v>
      </c>
      <c r="F2541" s="71">
        <v>1708.41</v>
      </c>
      <c r="G2541" s="71">
        <v>0</v>
      </c>
    </row>
    <row r="2542" spans="2:7" x14ac:dyDescent="0.25">
      <c r="B2542" s="70">
        <v>43626</v>
      </c>
      <c r="C2542" t="s">
        <v>66</v>
      </c>
      <c r="D2542" t="s">
        <v>112</v>
      </c>
      <c r="E2542" t="s">
        <v>330</v>
      </c>
      <c r="F2542" s="71">
        <v>132.47</v>
      </c>
      <c r="G2542" s="71">
        <v>0</v>
      </c>
    </row>
    <row r="2543" spans="2:7" x14ac:dyDescent="0.25">
      <c r="B2543" s="70">
        <v>43626</v>
      </c>
      <c r="C2543" t="s">
        <v>48</v>
      </c>
      <c r="D2543" t="s">
        <v>84</v>
      </c>
      <c r="E2543" t="s">
        <v>329</v>
      </c>
      <c r="F2543" s="71">
        <v>263.01</v>
      </c>
      <c r="G2543" s="71">
        <v>0</v>
      </c>
    </row>
    <row r="2544" spans="2:7" x14ac:dyDescent="0.25">
      <c r="B2544" s="70">
        <v>43626</v>
      </c>
      <c r="C2544" t="s">
        <v>55</v>
      </c>
      <c r="D2544" t="s">
        <v>112</v>
      </c>
      <c r="E2544" t="s">
        <v>330</v>
      </c>
      <c r="F2544" s="71">
        <v>24.26</v>
      </c>
      <c r="G2544" s="71">
        <v>0</v>
      </c>
    </row>
    <row r="2545" spans="2:7" x14ac:dyDescent="0.25">
      <c r="B2545" s="70">
        <v>43626</v>
      </c>
      <c r="C2545" t="s">
        <v>45</v>
      </c>
      <c r="D2545" t="s">
        <v>87</v>
      </c>
      <c r="E2545" t="s">
        <v>329</v>
      </c>
      <c r="F2545" s="71">
        <v>40</v>
      </c>
      <c r="G2545" s="71">
        <v>0</v>
      </c>
    </row>
    <row r="2546" spans="2:7" x14ac:dyDescent="0.25">
      <c r="B2546" s="70">
        <v>43626</v>
      </c>
      <c r="C2546" t="s">
        <v>49</v>
      </c>
      <c r="D2546" t="s">
        <v>112</v>
      </c>
      <c r="E2546" t="s">
        <v>330</v>
      </c>
      <c r="F2546" s="71">
        <v>329.69</v>
      </c>
      <c r="G2546" s="71">
        <v>0</v>
      </c>
    </row>
    <row r="2547" spans="2:7" x14ac:dyDescent="0.25">
      <c r="B2547" s="70">
        <v>43626</v>
      </c>
      <c r="C2547" t="s">
        <v>50</v>
      </c>
      <c r="D2547" t="s">
        <v>112</v>
      </c>
      <c r="E2547" t="s">
        <v>330</v>
      </c>
      <c r="F2547" s="71">
        <v>537.59</v>
      </c>
      <c r="G2547" s="71">
        <v>0</v>
      </c>
    </row>
    <row r="2548" spans="2:7" x14ac:dyDescent="0.25">
      <c r="B2548" s="70">
        <v>43626</v>
      </c>
      <c r="C2548" t="s">
        <v>52</v>
      </c>
      <c r="D2548" t="s">
        <v>112</v>
      </c>
      <c r="E2548" t="s">
        <v>330</v>
      </c>
      <c r="F2548" s="71">
        <v>312.97000000000003</v>
      </c>
      <c r="G2548" s="71">
        <v>0</v>
      </c>
    </row>
    <row r="2549" spans="2:7" x14ac:dyDescent="0.25">
      <c r="B2549" s="70">
        <v>43626</v>
      </c>
      <c r="C2549" t="s">
        <v>53</v>
      </c>
      <c r="D2549" t="s">
        <v>112</v>
      </c>
      <c r="E2549" t="s">
        <v>330</v>
      </c>
      <c r="F2549" s="71">
        <v>29.16</v>
      </c>
      <c r="G2549" s="71">
        <v>0</v>
      </c>
    </row>
    <row r="2550" spans="2:7" x14ac:dyDescent="0.25">
      <c r="B2550" s="70">
        <v>43626</v>
      </c>
      <c r="C2550" t="s">
        <v>65</v>
      </c>
      <c r="D2550" t="s">
        <v>84</v>
      </c>
      <c r="E2550" t="s">
        <v>329</v>
      </c>
      <c r="F2550" s="71">
        <v>26.56</v>
      </c>
      <c r="G2550" s="71">
        <v>0</v>
      </c>
    </row>
    <row r="2551" spans="2:7" x14ac:dyDescent="0.25">
      <c r="B2551" s="70">
        <v>43626</v>
      </c>
      <c r="C2551" t="s">
        <v>24</v>
      </c>
      <c r="D2551" t="s">
        <v>79</v>
      </c>
      <c r="E2551" t="s">
        <v>329</v>
      </c>
      <c r="F2551" s="71">
        <v>8</v>
      </c>
      <c r="G2551" s="71">
        <v>0</v>
      </c>
    </row>
    <row r="2552" spans="2:7" x14ac:dyDescent="0.25">
      <c r="B2552" s="70">
        <v>43626</v>
      </c>
      <c r="C2552" t="s">
        <v>24</v>
      </c>
      <c r="D2552" t="s">
        <v>112</v>
      </c>
      <c r="E2552" t="s">
        <v>330</v>
      </c>
      <c r="F2552" s="71">
        <v>12.91</v>
      </c>
      <c r="G2552" s="71">
        <v>0</v>
      </c>
    </row>
    <row r="2553" spans="2:7" x14ac:dyDescent="0.25">
      <c r="B2553" s="70">
        <v>43626</v>
      </c>
      <c r="C2553" t="s">
        <v>24</v>
      </c>
      <c r="D2553" t="s">
        <v>112</v>
      </c>
      <c r="E2553" t="s">
        <v>330</v>
      </c>
      <c r="F2553" s="71">
        <v>22.88</v>
      </c>
      <c r="G2553" s="71">
        <v>0</v>
      </c>
    </row>
    <row r="2554" spans="2:7" x14ac:dyDescent="0.25">
      <c r="B2554" s="70">
        <v>43626</v>
      </c>
      <c r="C2554" t="s">
        <v>24</v>
      </c>
      <c r="D2554" t="s">
        <v>112</v>
      </c>
      <c r="E2554" t="s">
        <v>330</v>
      </c>
      <c r="F2554" s="71">
        <v>28.31</v>
      </c>
      <c r="G2554" s="71">
        <v>0</v>
      </c>
    </row>
    <row r="2555" spans="2:7" x14ac:dyDescent="0.25">
      <c r="B2555" s="70">
        <v>43626</v>
      </c>
      <c r="C2555" t="s">
        <v>24</v>
      </c>
      <c r="D2555" t="s">
        <v>112</v>
      </c>
      <c r="E2555" t="s">
        <v>330</v>
      </c>
      <c r="F2555" s="71">
        <v>31.75</v>
      </c>
      <c r="G2555" s="71">
        <v>0</v>
      </c>
    </row>
    <row r="2556" spans="2:7" x14ac:dyDescent="0.25">
      <c r="B2556" s="70">
        <v>43626</v>
      </c>
      <c r="C2556" t="s">
        <v>24</v>
      </c>
      <c r="D2556" t="s">
        <v>112</v>
      </c>
      <c r="E2556" t="s">
        <v>330</v>
      </c>
      <c r="F2556" s="71">
        <v>48.98</v>
      </c>
      <c r="G2556" s="71">
        <v>0</v>
      </c>
    </row>
    <row r="2557" spans="2:7" x14ac:dyDescent="0.25">
      <c r="B2557" s="70">
        <v>43626</v>
      </c>
      <c r="C2557" t="s">
        <v>24</v>
      </c>
      <c r="D2557" t="s">
        <v>112</v>
      </c>
      <c r="E2557" t="s">
        <v>330</v>
      </c>
      <c r="F2557" s="71">
        <v>48.99</v>
      </c>
      <c r="G2557" s="71">
        <v>0</v>
      </c>
    </row>
    <row r="2558" spans="2:7" x14ac:dyDescent="0.25">
      <c r="B2558" s="70">
        <v>43626</v>
      </c>
      <c r="C2558" t="s">
        <v>24</v>
      </c>
      <c r="D2558" t="s">
        <v>112</v>
      </c>
      <c r="E2558" t="s">
        <v>330</v>
      </c>
      <c r="F2558" s="71">
        <v>55.92</v>
      </c>
      <c r="G2558" s="71">
        <v>0</v>
      </c>
    </row>
    <row r="2559" spans="2:7" x14ac:dyDescent="0.25">
      <c r="B2559" s="70">
        <v>43626</v>
      </c>
      <c r="C2559" t="s">
        <v>24</v>
      </c>
      <c r="D2559" t="s">
        <v>112</v>
      </c>
      <c r="E2559" t="s">
        <v>330</v>
      </c>
      <c r="F2559" s="71">
        <v>72.849999999999994</v>
      </c>
      <c r="G2559" s="71">
        <v>0</v>
      </c>
    </row>
    <row r="2560" spans="2:7" x14ac:dyDescent="0.25">
      <c r="B2560" s="70">
        <v>43626</v>
      </c>
      <c r="C2560" t="s">
        <v>24</v>
      </c>
      <c r="D2560" t="s">
        <v>112</v>
      </c>
      <c r="E2560" t="s">
        <v>330</v>
      </c>
      <c r="F2560" s="71">
        <v>137.13</v>
      </c>
      <c r="G2560" s="71">
        <v>0</v>
      </c>
    </row>
    <row r="2561" spans="2:7" x14ac:dyDescent="0.25">
      <c r="B2561" s="70">
        <v>43627</v>
      </c>
      <c r="C2561" t="s">
        <v>25</v>
      </c>
      <c r="D2561" t="s">
        <v>84</v>
      </c>
      <c r="E2561" t="s">
        <v>332</v>
      </c>
      <c r="F2561" s="71">
        <v>26</v>
      </c>
      <c r="G2561" s="71">
        <v>0</v>
      </c>
    </row>
    <row r="2562" spans="2:7" x14ac:dyDescent="0.25">
      <c r="B2562" s="70">
        <v>43627</v>
      </c>
      <c r="C2562" t="s">
        <v>51</v>
      </c>
      <c r="D2562" t="s">
        <v>84</v>
      </c>
      <c r="E2562" t="s">
        <v>332</v>
      </c>
      <c r="F2562" s="71">
        <v>59.6</v>
      </c>
      <c r="G2562" s="71">
        <v>0</v>
      </c>
    </row>
    <row r="2563" spans="2:7" x14ac:dyDescent="0.25">
      <c r="B2563" s="70">
        <v>43627</v>
      </c>
      <c r="C2563" t="s">
        <v>43</v>
      </c>
      <c r="D2563" t="s">
        <v>84</v>
      </c>
      <c r="E2563" t="s">
        <v>332</v>
      </c>
      <c r="F2563" s="71">
        <v>382.02</v>
      </c>
      <c r="G2563" s="71">
        <v>0</v>
      </c>
    </row>
    <row r="2564" spans="2:7" x14ac:dyDescent="0.25">
      <c r="B2564" s="70">
        <v>43627</v>
      </c>
      <c r="C2564" t="s">
        <v>21</v>
      </c>
      <c r="D2564" t="s">
        <v>79</v>
      </c>
      <c r="E2564" t="s">
        <v>332</v>
      </c>
      <c r="F2564" s="71">
        <v>16</v>
      </c>
      <c r="G2564" s="71">
        <v>0</v>
      </c>
    </row>
    <row r="2565" spans="2:7" x14ac:dyDescent="0.25">
      <c r="B2565" s="70">
        <v>43627</v>
      </c>
      <c r="C2565" t="s">
        <v>24</v>
      </c>
      <c r="D2565" t="s">
        <v>79</v>
      </c>
      <c r="E2565" t="s">
        <v>332</v>
      </c>
      <c r="F2565" s="71">
        <v>8</v>
      </c>
      <c r="G2565" s="71">
        <v>0</v>
      </c>
    </row>
    <row r="2566" spans="2:7" x14ac:dyDescent="0.25">
      <c r="B2566" s="70">
        <v>43628</v>
      </c>
      <c r="C2566" t="s">
        <v>25</v>
      </c>
      <c r="D2566" t="s">
        <v>81</v>
      </c>
      <c r="E2566" t="s">
        <v>333</v>
      </c>
      <c r="F2566" s="71">
        <v>3</v>
      </c>
      <c r="G2566" s="71">
        <v>0</v>
      </c>
    </row>
    <row r="2567" spans="2:7" x14ac:dyDescent="0.25">
      <c r="B2567" s="70">
        <v>43628</v>
      </c>
      <c r="C2567" t="s">
        <v>25</v>
      </c>
      <c r="D2567" t="s">
        <v>81</v>
      </c>
      <c r="E2567" t="s">
        <v>150</v>
      </c>
      <c r="F2567" s="71">
        <v>14</v>
      </c>
      <c r="G2567" s="71">
        <v>0</v>
      </c>
    </row>
    <row r="2568" spans="2:7" x14ac:dyDescent="0.25">
      <c r="B2568" s="70">
        <v>43628</v>
      </c>
      <c r="C2568" t="s">
        <v>51</v>
      </c>
      <c r="D2568" t="s">
        <v>84</v>
      </c>
      <c r="E2568" t="s">
        <v>334</v>
      </c>
      <c r="F2568" s="71">
        <v>13.4</v>
      </c>
      <c r="G2568" s="71">
        <v>0</v>
      </c>
    </row>
    <row r="2569" spans="2:7" x14ac:dyDescent="0.25">
      <c r="B2569" s="70">
        <v>43628</v>
      </c>
      <c r="C2569" t="s">
        <v>21</v>
      </c>
      <c r="D2569" t="s">
        <v>79</v>
      </c>
      <c r="E2569" t="s">
        <v>334</v>
      </c>
      <c r="F2569" s="71">
        <v>8</v>
      </c>
      <c r="G2569" s="71">
        <v>0</v>
      </c>
    </row>
    <row r="2570" spans="2:7" x14ac:dyDescent="0.25">
      <c r="B2570" s="70">
        <v>43628</v>
      </c>
      <c r="C2570" t="s">
        <v>21</v>
      </c>
      <c r="D2570" t="s">
        <v>79</v>
      </c>
      <c r="E2570" t="s">
        <v>334</v>
      </c>
      <c r="F2570" s="71">
        <v>16</v>
      </c>
      <c r="G2570" s="71">
        <v>0</v>
      </c>
    </row>
    <row r="2571" spans="2:7" x14ac:dyDescent="0.25">
      <c r="B2571" s="70">
        <v>43628</v>
      </c>
      <c r="C2571" t="s">
        <v>66</v>
      </c>
      <c r="D2571" t="s">
        <v>79</v>
      </c>
      <c r="E2571" t="s">
        <v>334</v>
      </c>
      <c r="F2571" s="71">
        <v>145.74</v>
      </c>
      <c r="G2571" s="71">
        <v>0</v>
      </c>
    </row>
    <row r="2572" spans="2:7" x14ac:dyDescent="0.25">
      <c r="B2572" s="70">
        <v>43628</v>
      </c>
      <c r="C2572" t="s">
        <v>48</v>
      </c>
      <c r="D2572" t="s">
        <v>85</v>
      </c>
      <c r="E2572" t="s">
        <v>334</v>
      </c>
      <c r="F2572" s="71">
        <v>39</v>
      </c>
      <c r="G2572" s="71">
        <v>0</v>
      </c>
    </row>
    <row r="2573" spans="2:7" x14ac:dyDescent="0.25">
      <c r="B2573" s="70">
        <v>43628</v>
      </c>
      <c r="C2573" t="s">
        <v>45</v>
      </c>
      <c r="D2573" t="s">
        <v>85</v>
      </c>
      <c r="E2573" t="s">
        <v>334</v>
      </c>
      <c r="F2573" s="71">
        <v>101.25</v>
      </c>
      <c r="G2573" s="71">
        <v>0</v>
      </c>
    </row>
    <row r="2574" spans="2:7" x14ac:dyDescent="0.25">
      <c r="B2574" s="70">
        <v>43628</v>
      </c>
      <c r="C2574" t="s">
        <v>53</v>
      </c>
      <c r="D2574" t="s">
        <v>84</v>
      </c>
      <c r="E2574" t="s">
        <v>334</v>
      </c>
      <c r="F2574" s="71">
        <v>42</v>
      </c>
      <c r="G2574" s="71">
        <v>0</v>
      </c>
    </row>
    <row r="2575" spans="2:7" x14ac:dyDescent="0.25">
      <c r="B2575" s="70">
        <v>43628</v>
      </c>
      <c r="C2575" t="s">
        <v>73</v>
      </c>
      <c r="D2575" t="s">
        <v>84</v>
      </c>
      <c r="E2575" t="s">
        <v>334</v>
      </c>
      <c r="F2575" s="71">
        <v>17</v>
      </c>
      <c r="G2575" s="71">
        <v>0</v>
      </c>
    </row>
    <row r="2576" spans="2:7" x14ac:dyDescent="0.25">
      <c r="B2576" s="70">
        <v>43628</v>
      </c>
      <c r="C2576" t="s">
        <v>60</v>
      </c>
      <c r="D2576" t="s">
        <v>85</v>
      </c>
      <c r="E2576" t="s">
        <v>334</v>
      </c>
      <c r="F2576" s="71">
        <v>25.95</v>
      </c>
      <c r="G2576" s="71">
        <v>0</v>
      </c>
    </row>
    <row r="2577" spans="2:7" x14ac:dyDescent="0.25">
      <c r="B2577" s="70">
        <v>43629</v>
      </c>
      <c r="C2577" t="s">
        <v>25</v>
      </c>
      <c r="D2577" t="s">
        <v>81</v>
      </c>
      <c r="E2577" t="s">
        <v>220</v>
      </c>
      <c r="F2577" s="71">
        <v>10.25</v>
      </c>
      <c r="G2577" s="71">
        <v>0</v>
      </c>
    </row>
    <row r="2578" spans="2:7" x14ac:dyDescent="0.25">
      <c r="B2578" s="70">
        <v>43629</v>
      </c>
      <c r="C2578" t="s">
        <v>25</v>
      </c>
      <c r="D2578" t="s">
        <v>81</v>
      </c>
      <c r="E2578" t="s">
        <v>153</v>
      </c>
      <c r="F2578" s="71">
        <v>3.15</v>
      </c>
      <c r="G2578" s="71">
        <v>0</v>
      </c>
    </row>
    <row r="2579" spans="2:7" x14ac:dyDescent="0.25">
      <c r="B2579" s="70">
        <v>43629</v>
      </c>
      <c r="C2579" t="s">
        <v>25</v>
      </c>
      <c r="D2579" t="s">
        <v>81</v>
      </c>
      <c r="E2579" t="s">
        <v>240</v>
      </c>
      <c r="F2579" s="71">
        <v>2.75</v>
      </c>
      <c r="G2579" s="71">
        <v>0</v>
      </c>
    </row>
    <row r="2580" spans="2:7" x14ac:dyDescent="0.25">
      <c r="B2580" s="70">
        <v>43629</v>
      </c>
      <c r="C2580" t="s">
        <v>25</v>
      </c>
      <c r="D2580" t="s">
        <v>81</v>
      </c>
      <c r="E2580" t="s">
        <v>187</v>
      </c>
      <c r="F2580" s="71">
        <v>6</v>
      </c>
      <c r="G2580" s="71">
        <v>0</v>
      </c>
    </row>
    <row r="2581" spans="2:7" x14ac:dyDescent="0.25">
      <c r="B2581" s="70">
        <v>43629</v>
      </c>
      <c r="C2581" t="s">
        <v>25</v>
      </c>
      <c r="D2581" t="s">
        <v>84</v>
      </c>
      <c r="E2581" t="s">
        <v>335</v>
      </c>
      <c r="F2581" s="71">
        <v>12</v>
      </c>
      <c r="G2581" s="71">
        <v>0</v>
      </c>
    </row>
    <row r="2582" spans="2:7" x14ac:dyDescent="0.25">
      <c r="B2582" s="70">
        <v>43629</v>
      </c>
      <c r="C2582" t="s">
        <v>59</v>
      </c>
      <c r="D2582" t="s">
        <v>86</v>
      </c>
      <c r="E2582" t="s">
        <v>335</v>
      </c>
      <c r="F2582" s="71">
        <v>349.6</v>
      </c>
      <c r="G2582" s="71">
        <v>0</v>
      </c>
    </row>
    <row r="2583" spans="2:7" x14ac:dyDescent="0.25">
      <c r="B2583" s="70">
        <v>43629</v>
      </c>
      <c r="C2583" t="s">
        <v>21</v>
      </c>
      <c r="D2583" t="s">
        <v>79</v>
      </c>
      <c r="E2583" t="s">
        <v>335</v>
      </c>
      <c r="F2583" s="71">
        <v>8</v>
      </c>
      <c r="G2583" s="71">
        <v>0</v>
      </c>
    </row>
    <row r="2584" spans="2:7" x14ac:dyDescent="0.25">
      <c r="B2584" s="70">
        <v>43629</v>
      </c>
      <c r="C2584" t="s">
        <v>21</v>
      </c>
      <c r="D2584" t="s">
        <v>79</v>
      </c>
      <c r="E2584" t="s">
        <v>335</v>
      </c>
      <c r="F2584" s="71">
        <v>16</v>
      </c>
      <c r="G2584" s="71">
        <v>0</v>
      </c>
    </row>
    <row r="2585" spans="2:7" x14ac:dyDescent="0.25">
      <c r="B2585" s="70">
        <v>43629</v>
      </c>
      <c r="C2585" t="s">
        <v>48</v>
      </c>
      <c r="D2585" t="s">
        <v>84</v>
      </c>
      <c r="E2585" t="s">
        <v>335</v>
      </c>
      <c r="F2585" s="71">
        <v>38</v>
      </c>
      <c r="G2585" s="71">
        <v>0</v>
      </c>
    </row>
    <row r="2586" spans="2:7" x14ac:dyDescent="0.25">
      <c r="B2586" s="70">
        <v>43629</v>
      </c>
      <c r="C2586" t="s">
        <v>50</v>
      </c>
      <c r="D2586" t="s">
        <v>84</v>
      </c>
      <c r="E2586" t="s">
        <v>335</v>
      </c>
      <c r="F2586" s="71">
        <v>71.489999999999995</v>
      </c>
      <c r="G2586" s="71">
        <v>0</v>
      </c>
    </row>
    <row r="2587" spans="2:7" x14ac:dyDescent="0.25">
      <c r="B2587" s="70">
        <v>43629</v>
      </c>
      <c r="C2587" t="s">
        <v>58</v>
      </c>
      <c r="D2587" t="s">
        <v>84</v>
      </c>
      <c r="E2587" t="s">
        <v>335</v>
      </c>
      <c r="F2587" s="71">
        <v>22.17</v>
      </c>
      <c r="G2587" s="71">
        <v>0</v>
      </c>
    </row>
    <row r="2588" spans="2:7" x14ac:dyDescent="0.25">
      <c r="B2588" s="70">
        <v>43629</v>
      </c>
      <c r="C2588" t="s">
        <v>71</v>
      </c>
      <c r="D2588" t="s">
        <v>86</v>
      </c>
      <c r="E2588" t="s">
        <v>335</v>
      </c>
      <c r="F2588" s="71">
        <v>72.48</v>
      </c>
      <c r="G2588" s="71">
        <v>0</v>
      </c>
    </row>
    <row r="2589" spans="2:7" x14ac:dyDescent="0.25">
      <c r="B2589" s="70">
        <v>43629</v>
      </c>
      <c r="C2589" t="s">
        <v>65</v>
      </c>
      <c r="D2589" t="s">
        <v>84</v>
      </c>
      <c r="E2589" t="s">
        <v>335</v>
      </c>
      <c r="F2589" s="71">
        <v>8.92</v>
      </c>
      <c r="G2589" s="71">
        <v>0</v>
      </c>
    </row>
    <row r="2590" spans="2:7" x14ac:dyDescent="0.25">
      <c r="B2590" s="70">
        <v>43629</v>
      </c>
      <c r="C2590" t="s">
        <v>24</v>
      </c>
      <c r="D2590" t="s">
        <v>79</v>
      </c>
      <c r="E2590" t="s">
        <v>335</v>
      </c>
      <c r="F2590" s="71">
        <v>24</v>
      </c>
      <c r="G2590" s="71">
        <v>0</v>
      </c>
    </row>
    <row r="2591" spans="2:7" x14ac:dyDescent="0.25">
      <c r="B2591" s="70">
        <v>43630</v>
      </c>
      <c r="C2591" t="s">
        <v>25</v>
      </c>
      <c r="D2591" t="s">
        <v>81</v>
      </c>
      <c r="E2591" t="s">
        <v>220</v>
      </c>
      <c r="F2591" s="71">
        <v>2.4</v>
      </c>
      <c r="G2591" s="71">
        <v>0</v>
      </c>
    </row>
    <row r="2592" spans="2:7" x14ac:dyDescent="0.25">
      <c r="B2592" s="70">
        <v>43630</v>
      </c>
      <c r="C2592" t="s">
        <v>25</v>
      </c>
      <c r="D2592" t="s">
        <v>81</v>
      </c>
      <c r="E2592" t="s">
        <v>138</v>
      </c>
      <c r="F2592" s="71">
        <v>8.35</v>
      </c>
      <c r="G2592" s="71">
        <v>0</v>
      </c>
    </row>
    <row r="2593" spans="2:7" x14ac:dyDescent="0.25">
      <c r="B2593" s="70">
        <v>43630</v>
      </c>
      <c r="C2593" t="s">
        <v>25</v>
      </c>
      <c r="D2593" t="s">
        <v>84</v>
      </c>
      <c r="E2593" t="s">
        <v>336</v>
      </c>
      <c r="F2593" s="71">
        <v>12</v>
      </c>
      <c r="G2593" s="71">
        <v>0</v>
      </c>
    </row>
    <row r="2594" spans="2:7" x14ac:dyDescent="0.25">
      <c r="B2594" s="70">
        <v>43630</v>
      </c>
      <c r="C2594" t="s">
        <v>25</v>
      </c>
      <c r="D2594" t="s">
        <v>84</v>
      </c>
      <c r="E2594" t="s">
        <v>336</v>
      </c>
      <c r="F2594" s="71">
        <v>28</v>
      </c>
      <c r="G2594" s="71">
        <v>0</v>
      </c>
    </row>
    <row r="2595" spans="2:7" x14ac:dyDescent="0.25">
      <c r="B2595" s="70">
        <v>43630</v>
      </c>
      <c r="C2595" t="s">
        <v>25</v>
      </c>
      <c r="D2595" t="s">
        <v>84</v>
      </c>
      <c r="E2595" t="s">
        <v>336</v>
      </c>
      <c r="F2595" s="71">
        <v>131</v>
      </c>
      <c r="G2595" s="71">
        <v>0</v>
      </c>
    </row>
    <row r="2596" spans="2:7" x14ac:dyDescent="0.25">
      <c r="B2596" s="70">
        <v>43630</v>
      </c>
      <c r="C2596" t="s">
        <v>59</v>
      </c>
      <c r="D2596" t="s">
        <v>84</v>
      </c>
      <c r="E2596" t="s">
        <v>336</v>
      </c>
      <c r="F2596" s="71">
        <v>97.37</v>
      </c>
      <c r="G2596" s="71">
        <v>0</v>
      </c>
    </row>
    <row r="2597" spans="2:7" x14ac:dyDescent="0.25">
      <c r="B2597" s="70">
        <v>43630</v>
      </c>
      <c r="C2597" t="s">
        <v>56</v>
      </c>
      <c r="D2597" t="s">
        <v>79</v>
      </c>
      <c r="E2597" t="s">
        <v>336</v>
      </c>
      <c r="F2597" s="71">
        <v>22.3</v>
      </c>
      <c r="G2597" s="71">
        <v>0</v>
      </c>
    </row>
    <row r="2598" spans="2:7" x14ac:dyDescent="0.25">
      <c r="B2598" s="70">
        <v>43630</v>
      </c>
      <c r="C2598" t="s">
        <v>21</v>
      </c>
      <c r="D2598" t="s">
        <v>79</v>
      </c>
      <c r="E2598" t="s">
        <v>336</v>
      </c>
      <c r="F2598" s="71">
        <v>8</v>
      </c>
      <c r="G2598" s="71">
        <v>0</v>
      </c>
    </row>
    <row r="2599" spans="2:7" x14ac:dyDescent="0.25">
      <c r="B2599" s="70">
        <v>43630</v>
      </c>
      <c r="C2599" t="s">
        <v>21</v>
      </c>
      <c r="D2599" t="s">
        <v>79</v>
      </c>
      <c r="E2599" t="s">
        <v>336</v>
      </c>
      <c r="F2599" s="71">
        <v>16</v>
      </c>
      <c r="G2599" s="71">
        <v>0</v>
      </c>
    </row>
    <row r="2600" spans="2:7" x14ac:dyDescent="0.25">
      <c r="B2600" s="70">
        <v>43630</v>
      </c>
      <c r="C2600" t="s">
        <v>21</v>
      </c>
      <c r="D2600" t="s">
        <v>79</v>
      </c>
      <c r="E2600" t="s">
        <v>336</v>
      </c>
      <c r="F2600" s="71">
        <v>24</v>
      </c>
      <c r="G2600" s="71">
        <v>0</v>
      </c>
    </row>
    <row r="2601" spans="2:7" x14ac:dyDescent="0.25">
      <c r="B2601" s="70">
        <v>43630</v>
      </c>
      <c r="C2601" t="s">
        <v>21</v>
      </c>
      <c r="D2601" t="s">
        <v>79</v>
      </c>
      <c r="E2601" t="s">
        <v>336</v>
      </c>
      <c r="F2601" s="71">
        <v>48</v>
      </c>
      <c r="G2601" s="71">
        <v>0</v>
      </c>
    </row>
    <row r="2602" spans="2:7" x14ac:dyDescent="0.25">
      <c r="B2602" s="70">
        <v>43630</v>
      </c>
      <c r="C2602" t="s">
        <v>50</v>
      </c>
      <c r="D2602" t="s">
        <v>84</v>
      </c>
      <c r="E2602" t="s">
        <v>336</v>
      </c>
      <c r="F2602" s="71">
        <v>25</v>
      </c>
      <c r="G2602" s="71">
        <v>0</v>
      </c>
    </row>
    <row r="2603" spans="2:7" x14ac:dyDescent="0.25">
      <c r="B2603" s="70">
        <v>43630</v>
      </c>
      <c r="C2603" t="s">
        <v>24</v>
      </c>
      <c r="D2603" t="s">
        <v>79</v>
      </c>
      <c r="E2603" t="s">
        <v>336</v>
      </c>
      <c r="F2603" s="71">
        <v>8</v>
      </c>
      <c r="G2603" s="71">
        <v>0</v>
      </c>
    </row>
    <row r="2604" spans="2:7" x14ac:dyDescent="0.25">
      <c r="B2604" s="70">
        <v>43630</v>
      </c>
      <c r="C2604" t="s">
        <v>24</v>
      </c>
      <c r="D2604" t="s">
        <v>79</v>
      </c>
      <c r="E2604" t="s">
        <v>336</v>
      </c>
      <c r="F2604" s="71">
        <v>32</v>
      </c>
      <c r="G2604" s="71">
        <v>0</v>
      </c>
    </row>
    <row r="2605" spans="2:7" x14ac:dyDescent="0.25">
      <c r="B2605" s="70">
        <v>43630</v>
      </c>
      <c r="C2605" t="s">
        <v>60</v>
      </c>
      <c r="D2605" t="s">
        <v>84</v>
      </c>
      <c r="E2605" t="s">
        <v>336</v>
      </c>
      <c r="F2605" s="71">
        <v>16.05</v>
      </c>
      <c r="G2605" s="71">
        <v>0</v>
      </c>
    </row>
    <row r="2606" spans="2:7" x14ac:dyDescent="0.25">
      <c r="B2606" s="70">
        <v>43631</v>
      </c>
      <c r="C2606" t="s">
        <v>25</v>
      </c>
      <c r="D2606" t="s">
        <v>84</v>
      </c>
      <c r="E2606" t="s">
        <v>337</v>
      </c>
      <c r="F2606" s="71">
        <v>12</v>
      </c>
      <c r="G2606" s="71">
        <v>0</v>
      </c>
    </row>
    <row r="2607" spans="2:7" x14ac:dyDescent="0.25">
      <c r="B2607" s="70">
        <v>43631</v>
      </c>
      <c r="C2607" t="s">
        <v>25</v>
      </c>
      <c r="D2607" t="s">
        <v>84</v>
      </c>
      <c r="E2607" t="s">
        <v>337</v>
      </c>
      <c r="F2607" s="71">
        <v>312</v>
      </c>
      <c r="G2607" s="71">
        <v>0</v>
      </c>
    </row>
    <row r="2608" spans="2:7" x14ac:dyDescent="0.25">
      <c r="B2608" s="70">
        <v>43631</v>
      </c>
      <c r="C2608" t="s">
        <v>25</v>
      </c>
      <c r="D2608" t="s">
        <v>84</v>
      </c>
      <c r="E2608" t="s">
        <v>337</v>
      </c>
      <c r="F2608" s="71">
        <v>359</v>
      </c>
      <c r="G2608" s="71">
        <v>0</v>
      </c>
    </row>
    <row r="2609" spans="2:7" x14ac:dyDescent="0.25">
      <c r="B2609" s="70">
        <v>43631</v>
      </c>
      <c r="C2609" t="s">
        <v>46</v>
      </c>
      <c r="D2609" t="s">
        <v>84</v>
      </c>
      <c r="E2609" t="s">
        <v>337</v>
      </c>
      <c r="F2609" s="71">
        <v>73.53</v>
      </c>
      <c r="G2609" s="71">
        <v>0</v>
      </c>
    </row>
    <row r="2610" spans="2:7" x14ac:dyDescent="0.25">
      <c r="B2610" s="70">
        <v>43631</v>
      </c>
      <c r="C2610" t="s">
        <v>56</v>
      </c>
      <c r="D2610" t="s">
        <v>84</v>
      </c>
      <c r="E2610" t="s">
        <v>337</v>
      </c>
      <c r="F2610" s="71">
        <v>212.87</v>
      </c>
      <c r="G2610" s="71">
        <v>0</v>
      </c>
    </row>
    <row r="2611" spans="2:7" x14ac:dyDescent="0.25">
      <c r="B2611" s="70">
        <v>43631</v>
      </c>
      <c r="C2611" t="s">
        <v>21</v>
      </c>
      <c r="D2611" t="s">
        <v>79</v>
      </c>
      <c r="E2611" t="s">
        <v>337</v>
      </c>
      <c r="F2611" s="71">
        <v>8</v>
      </c>
      <c r="G2611" s="71">
        <v>0</v>
      </c>
    </row>
    <row r="2612" spans="2:7" x14ac:dyDescent="0.25">
      <c r="B2612" s="70">
        <v>43631</v>
      </c>
      <c r="C2612" t="s">
        <v>21</v>
      </c>
      <c r="D2612" t="s">
        <v>79</v>
      </c>
      <c r="E2612" t="s">
        <v>337</v>
      </c>
      <c r="F2612" s="71">
        <v>40</v>
      </c>
      <c r="G2612" s="71">
        <v>0</v>
      </c>
    </row>
    <row r="2613" spans="2:7" x14ac:dyDescent="0.25">
      <c r="B2613" s="70">
        <v>43631</v>
      </c>
      <c r="C2613" t="s">
        <v>21</v>
      </c>
      <c r="D2613" t="s">
        <v>79</v>
      </c>
      <c r="E2613" t="s">
        <v>337</v>
      </c>
      <c r="F2613" s="71">
        <v>48</v>
      </c>
      <c r="G2613" s="71">
        <v>0</v>
      </c>
    </row>
    <row r="2614" spans="2:7" x14ac:dyDescent="0.25">
      <c r="B2614" s="70">
        <v>43631</v>
      </c>
      <c r="C2614" t="s">
        <v>21</v>
      </c>
      <c r="D2614" t="s">
        <v>84</v>
      </c>
      <c r="E2614" t="s">
        <v>337</v>
      </c>
      <c r="F2614" s="71">
        <v>216</v>
      </c>
      <c r="G2614" s="71">
        <v>0</v>
      </c>
    </row>
    <row r="2615" spans="2:7" x14ac:dyDescent="0.25">
      <c r="B2615" s="70">
        <v>43631</v>
      </c>
      <c r="C2615" t="s">
        <v>21</v>
      </c>
      <c r="D2615" t="s">
        <v>84</v>
      </c>
      <c r="E2615" t="s">
        <v>337</v>
      </c>
      <c r="F2615" s="71">
        <v>432</v>
      </c>
      <c r="G2615" s="71">
        <v>0</v>
      </c>
    </row>
    <row r="2616" spans="2:7" x14ac:dyDescent="0.25">
      <c r="B2616" s="70">
        <v>43631</v>
      </c>
      <c r="C2616" t="s">
        <v>55</v>
      </c>
      <c r="D2616" t="s">
        <v>85</v>
      </c>
      <c r="E2616" t="s">
        <v>337</v>
      </c>
      <c r="F2616" s="71">
        <v>19.38</v>
      </c>
      <c r="G2616" s="71">
        <v>0</v>
      </c>
    </row>
    <row r="2617" spans="2:7" x14ac:dyDescent="0.25">
      <c r="B2617" s="70">
        <v>43631</v>
      </c>
      <c r="C2617" t="s">
        <v>65</v>
      </c>
      <c r="D2617" t="s">
        <v>84</v>
      </c>
      <c r="E2617" t="s">
        <v>337</v>
      </c>
      <c r="F2617" s="71">
        <v>46.1</v>
      </c>
      <c r="G2617" s="71">
        <v>0</v>
      </c>
    </row>
    <row r="2618" spans="2:7" x14ac:dyDescent="0.25">
      <c r="B2618" s="70">
        <v>43631</v>
      </c>
      <c r="C2618" t="s">
        <v>24</v>
      </c>
      <c r="D2618" t="s">
        <v>79</v>
      </c>
      <c r="E2618" t="s">
        <v>337</v>
      </c>
      <c r="F2618" s="71">
        <v>8</v>
      </c>
      <c r="G2618" s="71">
        <v>0</v>
      </c>
    </row>
    <row r="2619" spans="2:7" x14ac:dyDescent="0.25">
      <c r="B2619" s="70">
        <v>43633</v>
      </c>
      <c r="C2619" t="s">
        <v>25</v>
      </c>
      <c r="D2619" t="s">
        <v>80</v>
      </c>
      <c r="E2619" t="s">
        <v>338</v>
      </c>
      <c r="F2619" s="71">
        <v>10.91</v>
      </c>
      <c r="G2619" s="71">
        <v>0</v>
      </c>
    </row>
    <row r="2620" spans="2:7" x14ac:dyDescent="0.25">
      <c r="B2620" s="70">
        <v>43633</v>
      </c>
      <c r="C2620" t="s">
        <v>25</v>
      </c>
      <c r="D2620" t="s">
        <v>80</v>
      </c>
      <c r="E2620" t="s">
        <v>338</v>
      </c>
      <c r="F2620" s="71">
        <v>22.07</v>
      </c>
      <c r="G2620" s="71">
        <v>0</v>
      </c>
    </row>
    <row r="2621" spans="2:7" x14ac:dyDescent="0.25">
      <c r="B2621" s="70">
        <v>43633</v>
      </c>
      <c r="C2621" t="s">
        <v>25</v>
      </c>
      <c r="D2621" t="s">
        <v>80</v>
      </c>
      <c r="E2621" t="s">
        <v>338</v>
      </c>
      <c r="F2621" s="71">
        <v>47.98</v>
      </c>
      <c r="G2621" s="71">
        <v>0</v>
      </c>
    </row>
    <row r="2622" spans="2:7" x14ac:dyDescent="0.25">
      <c r="B2622" s="70">
        <v>43633</v>
      </c>
      <c r="C2622" t="s">
        <v>25</v>
      </c>
      <c r="D2622" t="s">
        <v>80</v>
      </c>
      <c r="E2622" t="s">
        <v>338</v>
      </c>
      <c r="F2622" s="71">
        <v>100.96</v>
      </c>
      <c r="G2622" s="71">
        <v>0</v>
      </c>
    </row>
    <row r="2623" spans="2:7" x14ac:dyDescent="0.25">
      <c r="B2623" s="70">
        <v>43633</v>
      </c>
      <c r="C2623" t="s">
        <v>25</v>
      </c>
      <c r="D2623" t="s">
        <v>80</v>
      </c>
      <c r="E2623" t="s">
        <v>338</v>
      </c>
      <c r="F2623" s="71">
        <v>138.56</v>
      </c>
      <c r="G2623" s="71">
        <v>0</v>
      </c>
    </row>
    <row r="2624" spans="2:7" x14ac:dyDescent="0.25">
      <c r="B2624" s="70">
        <v>43633</v>
      </c>
      <c r="C2624" t="s">
        <v>25</v>
      </c>
      <c r="D2624" t="s">
        <v>87</v>
      </c>
      <c r="E2624" t="s">
        <v>338</v>
      </c>
      <c r="F2624" s="71">
        <v>7.1</v>
      </c>
      <c r="G2624" s="71">
        <v>0</v>
      </c>
    </row>
    <row r="2625" spans="2:7" x14ac:dyDescent="0.25">
      <c r="B2625" s="70">
        <v>43633</v>
      </c>
      <c r="C2625" t="s">
        <v>25</v>
      </c>
      <c r="D2625" t="s">
        <v>87</v>
      </c>
      <c r="E2625" t="s">
        <v>338</v>
      </c>
      <c r="F2625" s="71">
        <v>20.85</v>
      </c>
      <c r="G2625" s="71">
        <v>0</v>
      </c>
    </row>
    <row r="2626" spans="2:7" x14ac:dyDescent="0.25">
      <c r="B2626" s="70">
        <v>43633</v>
      </c>
      <c r="C2626" t="s">
        <v>25</v>
      </c>
      <c r="D2626" t="s">
        <v>87</v>
      </c>
      <c r="E2626" t="s">
        <v>338</v>
      </c>
      <c r="F2626" s="71">
        <v>33.25</v>
      </c>
      <c r="G2626" s="71">
        <v>0</v>
      </c>
    </row>
    <row r="2627" spans="2:7" x14ac:dyDescent="0.25">
      <c r="B2627" s="70">
        <v>43633</v>
      </c>
      <c r="C2627" t="s">
        <v>25</v>
      </c>
      <c r="D2627" t="s">
        <v>87</v>
      </c>
      <c r="E2627" t="s">
        <v>338</v>
      </c>
      <c r="F2627" s="71">
        <v>35.06</v>
      </c>
      <c r="G2627" s="71">
        <v>0</v>
      </c>
    </row>
    <row r="2628" spans="2:7" x14ac:dyDescent="0.25">
      <c r="B2628" s="70">
        <v>43633</v>
      </c>
      <c r="C2628" t="s">
        <v>25</v>
      </c>
      <c r="D2628" t="s">
        <v>87</v>
      </c>
      <c r="E2628" t="s">
        <v>338</v>
      </c>
      <c r="F2628" s="71">
        <v>41.83</v>
      </c>
      <c r="G2628" s="71">
        <v>0</v>
      </c>
    </row>
    <row r="2629" spans="2:7" x14ac:dyDescent="0.25">
      <c r="B2629" s="70">
        <v>43633</v>
      </c>
      <c r="C2629" t="s">
        <v>25</v>
      </c>
      <c r="D2629" t="s">
        <v>87</v>
      </c>
      <c r="E2629" t="s">
        <v>338</v>
      </c>
      <c r="F2629" s="71">
        <v>46.97</v>
      </c>
      <c r="G2629" s="71">
        <v>0</v>
      </c>
    </row>
    <row r="2630" spans="2:7" x14ac:dyDescent="0.25">
      <c r="B2630" s="70">
        <v>43633</v>
      </c>
      <c r="C2630" t="s">
        <v>25</v>
      </c>
      <c r="D2630" t="s">
        <v>87</v>
      </c>
      <c r="E2630" t="s">
        <v>338</v>
      </c>
      <c r="F2630" s="71">
        <v>73.510000000000005</v>
      </c>
      <c r="G2630" s="71">
        <v>0</v>
      </c>
    </row>
    <row r="2631" spans="2:7" x14ac:dyDescent="0.25">
      <c r="B2631" s="70">
        <v>43633</v>
      </c>
      <c r="C2631" t="s">
        <v>25</v>
      </c>
      <c r="D2631" t="s">
        <v>87</v>
      </c>
      <c r="E2631" t="s">
        <v>338</v>
      </c>
      <c r="F2631" s="71">
        <v>78</v>
      </c>
      <c r="G2631" s="71">
        <v>0</v>
      </c>
    </row>
    <row r="2632" spans="2:7" x14ac:dyDescent="0.25">
      <c r="B2632" s="70">
        <v>43633</v>
      </c>
      <c r="C2632" t="s">
        <v>25</v>
      </c>
      <c r="D2632" t="s">
        <v>87</v>
      </c>
      <c r="E2632" t="s">
        <v>338</v>
      </c>
      <c r="F2632" s="71">
        <v>79.55</v>
      </c>
      <c r="G2632" s="71">
        <v>0</v>
      </c>
    </row>
    <row r="2633" spans="2:7" x14ac:dyDescent="0.25">
      <c r="B2633" s="70">
        <v>43633</v>
      </c>
      <c r="C2633" t="s">
        <v>25</v>
      </c>
      <c r="D2633" t="s">
        <v>87</v>
      </c>
      <c r="E2633" t="s">
        <v>338</v>
      </c>
      <c r="F2633" s="71">
        <v>82.43</v>
      </c>
      <c r="G2633" s="71">
        <v>0</v>
      </c>
    </row>
    <row r="2634" spans="2:7" x14ac:dyDescent="0.25">
      <c r="B2634" s="70">
        <v>43633</v>
      </c>
      <c r="C2634" t="s">
        <v>25</v>
      </c>
      <c r="D2634" t="s">
        <v>87</v>
      </c>
      <c r="E2634" t="s">
        <v>338</v>
      </c>
      <c r="F2634" s="71">
        <v>112</v>
      </c>
      <c r="G2634" s="71">
        <v>0</v>
      </c>
    </row>
    <row r="2635" spans="2:7" x14ac:dyDescent="0.25">
      <c r="B2635" s="70">
        <v>43633</v>
      </c>
      <c r="C2635" t="s">
        <v>25</v>
      </c>
      <c r="D2635" t="s">
        <v>87</v>
      </c>
      <c r="E2635" t="s">
        <v>338</v>
      </c>
      <c r="F2635" s="71">
        <v>140.03</v>
      </c>
      <c r="G2635" s="71">
        <v>0</v>
      </c>
    </row>
    <row r="2636" spans="2:7" x14ac:dyDescent="0.25">
      <c r="B2636" s="70">
        <v>43633</v>
      </c>
      <c r="C2636" t="s">
        <v>25</v>
      </c>
      <c r="D2636" t="s">
        <v>81</v>
      </c>
      <c r="E2636" t="s">
        <v>164</v>
      </c>
      <c r="F2636" s="71">
        <v>18</v>
      </c>
      <c r="G2636" s="71">
        <v>0</v>
      </c>
    </row>
    <row r="2637" spans="2:7" x14ac:dyDescent="0.25">
      <c r="B2637" s="70">
        <v>43633</v>
      </c>
      <c r="C2637" t="s">
        <v>25</v>
      </c>
      <c r="D2637" t="s">
        <v>81</v>
      </c>
      <c r="E2637" t="s">
        <v>169</v>
      </c>
      <c r="F2637" s="71">
        <v>4.2</v>
      </c>
      <c r="G2637" s="71">
        <v>0</v>
      </c>
    </row>
    <row r="2638" spans="2:7" x14ac:dyDescent="0.25">
      <c r="B2638" s="70">
        <v>43633</v>
      </c>
      <c r="C2638" t="s">
        <v>59</v>
      </c>
      <c r="D2638" t="s">
        <v>80</v>
      </c>
      <c r="E2638" t="s">
        <v>338</v>
      </c>
      <c r="F2638" s="71">
        <v>153.63999999999999</v>
      </c>
      <c r="G2638" s="71">
        <v>0</v>
      </c>
    </row>
    <row r="2639" spans="2:7" x14ac:dyDescent="0.25">
      <c r="B2639" s="70">
        <v>43633</v>
      </c>
      <c r="C2639" t="s">
        <v>51</v>
      </c>
      <c r="D2639" t="s">
        <v>86</v>
      </c>
      <c r="E2639" t="s">
        <v>338</v>
      </c>
      <c r="F2639" s="71">
        <v>56.16</v>
      </c>
      <c r="G2639" s="71">
        <v>0</v>
      </c>
    </row>
    <row r="2640" spans="2:7" x14ac:dyDescent="0.25">
      <c r="B2640" s="70">
        <v>43633</v>
      </c>
      <c r="C2640" t="s">
        <v>44</v>
      </c>
      <c r="D2640" t="s">
        <v>87</v>
      </c>
      <c r="E2640" t="s">
        <v>338</v>
      </c>
      <c r="F2640" s="71">
        <v>27</v>
      </c>
      <c r="G2640" s="71">
        <v>0</v>
      </c>
    </row>
    <row r="2641" spans="2:7" x14ac:dyDescent="0.25">
      <c r="B2641" s="70">
        <v>43633</v>
      </c>
      <c r="C2641" t="s">
        <v>21</v>
      </c>
      <c r="D2641" t="s">
        <v>79</v>
      </c>
      <c r="E2641" t="s">
        <v>338</v>
      </c>
      <c r="F2641" s="71">
        <v>24</v>
      </c>
      <c r="G2641" s="71">
        <v>0</v>
      </c>
    </row>
    <row r="2642" spans="2:7" x14ac:dyDescent="0.25">
      <c r="B2642" s="70">
        <v>43633</v>
      </c>
      <c r="C2642" t="s">
        <v>21</v>
      </c>
      <c r="D2642" t="s">
        <v>79</v>
      </c>
      <c r="E2642" t="s">
        <v>338</v>
      </c>
      <c r="F2642" s="71">
        <v>64</v>
      </c>
      <c r="G2642" s="71">
        <v>0</v>
      </c>
    </row>
    <row r="2643" spans="2:7" x14ac:dyDescent="0.25">
      <c r="B2643" s="70">
        <v>43633</v>
      </c>
      <c r="C2643" t="s">
        <v>48</v>
      </c>
      <c r="D2643" t="s">
        <v>80</v>
      </c>
      <c r="E2643" t="s">
        <v>338</v>
      </c>
      <c r="F2643" s="71">
        <v>57.86</v>
      </c>
      <c r="G2643" s="71">
        <v>0</v>
      </c>
    </row>
    <row r="2644" spans="2:7" x14ac:dyDescent="0.25">
      <c r="B2644" s="70">
        <v>43633</v>
      </c>
      <c r="C2644" t="s">
        <v>71</v>
      </c>
      <c r="D2644" t="s">
        <v>86</v>
      </c>
      <c r="E2644" t="s">
        <v>338</v>
      </c>
      <c r="F2644" s="71">
        <v>261.10000000000002</v>
      </c>
      <c r="G2644" s="71">
        <v>0</v>
      </c>
    </row>
    <row r="2645" spans="2:7" x14ac:dyDescent="0.25">
      <c r="B2645" s="70">
        <v>43633</v>
      </c>
      <c r="C2645" t="s">
        <v>61</v>
      </c>
      <c r="D2645" t="s">
        <v>80</v>
      </c>
      <c r="E2645" t="s">
        <v>338</v>
      </c>
      <c r="F2645" s="71">
        <v>173.06</v>
      </c>
      <c r="G2645" s="71">
        <v>0</v>
      </c>
    </row>
    <row r="2646" spans="2:7" x14ac:dyDescent="0.25">
      <c r="B2646" s="70">
        <v>43633</v>
      </c>
      <c r="C2646" t="s">
        <v>61</v>
      </c>
      <c r="D2646" t="s">
        <v>87</v>
      </c>
      <c r="E2646" t="s">
        <v>338</v>
      </c>
      <c r="F2646" s="71">
        <v>157.21</v>
      </c>
      <c r="G2646" s="71">
        <v>0</v>
      </c>
    </row>
    <row r="2647" spans="2:7" x14ac:dyDescent="0.25">
      <c r="B2647" s="70">
        <v>43634</v>
      </c>
      <c r="C2647" t="s">
        <v>25</v>
      </c>
      <c r="D2647" t="s">
        <v>79</v>
      </c>
      <c r="E2647" t="s">
        <v>339</v>
      </c>
      <c r="F2647" s="71">
        <v>8</v>
      </c>
      <c r="G2647" s="71">
        <v>0</v>
      </c>
    </row>
    <row r="2648" spans="2:7" x14ac:dyDescent="0.25">
      <c r="B2648" s="70">
        <v>43634</v>
      </c>
      <c r="C2648" t="s">
        <v>25</v>
      </c>
      <c r="D2648" t="s">
        <v>85</v>
      </c>
      <c r="E2648" t="s">
        <v>339</v>
      </c>
      <c r="F2648" s="71">
        <v>25</v>
      </c>
      <c r="G2648" s="71">
        <v>0</v>
      </c>
    </row>
    <row r="2649" spans="2:7" x14ac:dyDescent="0.25">
      <c r="B2649" s="70">
        <v>43634</v>
      </c>
      <c r="C2649" t="s">
        <v>25</v>
      </c>
      <c r="D2649" t="s">
        <v>81</v>
      </c>
      <c r="E2649" t="s">
        <v>148</v>
      </c>
      <c r="F2649" s="71">
        <v>12</v>
      </c>
      <c r="G2649" s="71">
        <v>0</v>
      </c>
    </row>
    <row r="2650" spans="2:7" x14ac:dyDescent="0.25">
      <c r="B2650" s="70">
        <v>43634</v>
      </c>
      <c r="C2650" t="s">
        <v>25</v>
      </c>
      <c r="D2650" t="s">
        <v>81</v>
      </c>
      <c r="E2650" t="s">
        <v>137</v>
      </c>
      <c r="F2650" s="71">
        <v>23.25</v>
      </c>
      <c r="G2650" s="71">
        <v>0</v>
      </c>
    </row>
    <row r="2651" spans="2:7" x14ac:dyDescent="0.25">
      <c r="B2651" s="70">
        <v>43634</v>
      </c>
      <c r="C2651" t="s">
        <v>25</v>
      </c>
      <c r="D2651" t="s">
        <v>81</v>
      </c>
      <c r="E2651" t="s">
        <v>207</v>
      </c>
      <c r="F2651" s="71">
        <v>9.5500000000000007</v>
      </c>
      <c r="G2651" s="71">
        <v>0</v>
      </c>
    </row>
    <row r="2652" spans="2:7" x14ac:dyDescent="0.25">
      <c r="B2652" s="70">
        <v>43634</v>
      </c>
      <c r="C2652" t="s">
        <v>25</v>
      </c>
      <c r="D2652" t="s">
        <v>81</v>
      </c>
      <c r="E2652" t="s">
        <v>153</v>
      </c>
      <c r="F2652" s="71">
        <v>3.15</v>
      </c>
      <c r="G2652" s="71">
        <v>0</v>
      </c>
    </row>
    <row r="2653" spans="2:7" x14ac:dyDescent="0.25">
      <c r="B2653" s="70">
        <v>43634</v>
      </c>
      <c r="C2653" t="s">
        <v>25</v>
      </c>
      <c r="D2653" t="s">
        <v>84</v>
      </c>
      <c r="E2653" t="s">
        <v>339</v>
      </c>
      <c r="F2653" s="71">
        <v>12</v>
      </c>
      <c r="G2653" s="71">
        <v>0</v>
      </c>
    </row>
    <row r="2654" spans="2:7" x14ac:dyDescent="0.25">
      <c r="B2654" s="70">
        <v>43634</v>
      </c>
      <c r="C2654" t="s">
        <v>56</v>
      </c>
      <c r="D2654" t="s">
        <v>84</v>
      </c>
      <c r="E2654" t="s">
        <v>339</v>
      </c>
      <c r="F2654" s="71">
        <v>39</v>
      </c>
      <c r="G2654" s="71">
        <v>0</v>
      </c>
    </row>
    <row r="2655" spans="2:7" x14ac:dyDescent="0.25">
      <c r="B2655" s="70">
        <v>43634</v>
      </c>
      <c r="C2655" t="s">
        <v>21</v>
      </c>
      <c r="D2655" t="s">
        <v>79</v>
      </c>
      <c r="E2655" t="s">
        <v>339</v>
      </c>
      <c r="F2655" s="71">
        <v>8</v>
      </c>
      <c r="G2655" s="71">
        <v>0</v>
      </c>
    </row>
    <row r="2656" spans="2:7" x14ac:dyDescent="0.25">
      <c r="B2656" s="70">
        <v>43634</v>
      </c>
      <c r="C2656" t="s">
        <v>21</v>
      </c>
      <c r="D2656" t="s">
        <v>79</v>
      </c>
      <c r="E2656" t="s">
        <v>339</v>
      </c>
      <c r="F2656" s="71">
        <v>16</v>
      </c>
      <c r="G2656" s="71">
        <v>0</v>
      </c>
    </row>
    <row r="2657" spans="2:7" x14ac:dyDescent="0.25">
      <c r="B2657" s="70">
        <v>43634</v>
      </c>
      <c r="C2657" t="s">
        <v>21</v>
      </c>
      <c r="D2657" t="s">
        <v>79</v>
      </c>
      <c r="E2657" t="s">
        <v>339</v>
      </c>
      <c r="F2657" s="71">
        <v>24</v>
      </c>
      <c r="G2657" s="71">
        <v>0</v>
      </c>
    </row>
    <row r="2658" spans="2:7" x14ac:dyDescent="0.25">
      <c r="B2658" s="70">
        <v>43634</v>
      </c>
      <c r="C2658" t="s">
        <v>21</v>
      </c>
      <c r="D2658" t="s">
        <v>79</v>
      </c>
      <c r="E2658" t="s">
        <v>339</v>
      </c>
      <c r="F2658" s="71">
        <v>32</v>
      </c>
      <c r="G2658" s="71">
        <v>0</v>
      </c>
    </row>
    <row r="2659" spans="2:7" x14ac:dyDescent="0.25">
      <c r="B2659" s="70">
        <v>43634</v>
      </c>
      <c r="C2659" t="s">
        <v>21</v>
      </c>
      <c r="D2659" t="s">
        <v>79</v>
      </c>
      <c r="E2659" t="s">
        <v>339</v>
      </c>
      <c r="F2659" s="71">
        <v>40</v>
      </c>
      <c r="G2659" s="71">
        <v>0</v>
      </c>
    </row>
    <row r="2660" spans="2:7" x14ac:dyDescent="0.25">
      <c r="B2660" s="70">
        <v>43634</v>
      </c>
      <c r="C2660" t="s">
        <v>66</v>
      </c>
      <c r="D2660" t="s">
        <v>85</v>
      </c>
      <c r="E2660" t="s">
        <v>339</v>
      </c>
      <c r="F2660" s="71">
        <v>111.79</v>
      </c>
      <c r="G2660" s="71">
        <v>0</v>
      </c>
    </row>
    <row r="2661" spans="2:7" x14ac:dyDescent="0.25">
      <c r="B2661" s="70">
        <v>43634</v>
      </c>
      <c r="C2661" t="s">
        <v>74</v>
      </c>
      <c r="D2661" t="s">
        <v>86</v>
      </c>
      <c r="E2661" t="s">
        <v>339</v>
      </c>
      <c r="F2661" s="71">
        <v>2723.68</v>
      </c>
      <c r="G2661" s="71">
        <v>0</v>
      </c>
    </row>
    <row r="2662" spans="2:7" x14ac:dyDescent="0.25">
      <c r="B2662" s="70">
        <v>43634</v>
      </c>
      <c r="C2662" t="s">
        <v>50</v>
      </c>
      <c r="D2662" t="s">
        <v>84</v>
      </c>
      <c r="E2662" t="s">
        <v>339</v>
      </c>
      <c r="F2662" s="71">
        <v>3.13</v>
      </c>
      <c r="G2662" s="71">
        <v>0</v>
      </c>
    </row>
    <row r="2663" spans="2:7" x14ac:dyDescent="0.25">
      <c r="B2663" s="70">
        <v>43634</v>
      </c>
      <c r="C2663" t="s">
        <v>71</v>
      </c>
      <c r="D2663" t="s">
        <v>86</v>
      </c>
      <c r="E2663" t="s">
        <v>339</v>
      </c>
      <c r="F2663" s="71">
        <v>417.29</v>
      </c>
      <c r="G2663" s="71">
        <v>0</v>
      </c>
    </row>
    <row r="2664" spans="2:7" x14ac:dyDescent="0.25">
      <c r="B2664" s="70">
        <v>43634</v>
      </c>
      <c r="C2664" t="s">
        <v>60</v>
      </c>
      <c r="D2664" t="s">
        <v>85</v>
      </c>
      <c r="E2664" t="s">
        <v>339</v>
      </c>
      <c r="F2664" s="71">
        <v>37.68</v>
      </c>
      <c r="G2664" s="71">
        <v>0</v>
      </c>
    </row>
    <row r="2665" spans="2:7" x14ac:dyDescent="0.25">
      <c r="B2665" s="70">
        <v>43635</v>
      </c>
      <c r="C2665" t="s">
        <v>25</v>
      </c>
      <c r="D2665" t="s">
        <v>81</v>
      </c>
      <c r="E2665" t="s">
        <v>135</v>
      </c>
      <c r="F2665" s="71">
        <v>3</v>
      </c>
      <c r="G2665" s="71">
        <v>0</v>
      </c>
    </row>
    <row r="2666" spans="2:7" x14ac:dyDescent="0.25">
      <c r="B2666" s="70">
        <v>43635</v>
      </c>
      <c r="C2666" t="s">
        <v>25</v>
      </c>
      <c r="D2666" t="s">
        <v>81</v>
      </c>
      <c r="E2666" t="s">
        <v>213</v>
      </c>
      <c r="F2666" s="71">
        <v>22.5</v>
      </c>
      <c r="G2666" s="71">
        <v>0</v>
      </c>
    </row>
    <row r="2667" spans="2:7" x14ac:dyDescent="0.25">
      <c r="B2667" s="70">
        <v>43635</v>
      </c>
      <c r="C2667" t="s">
        <v>25</v>
      </c>
      <c r="D2667" t="s">
        <v>81</v>
      </c>
      <c r="E2667" t="s">
        <v>253</v>
      </c>
      <c r="F2667" s="71">
        <v>2.4</v>
      </c>
      <c r="G2667" s="71">
        <v>0</v>
      </c>
    </row>
    <row r="2668" spans="2:7" x14ac:dyDescent="0.25">
      <c r="B2668" s="70">
        <v>43635</v>
      </c>
      <c r="C2668" t="s">
        <v>25</v>
      </c>
      <c r="D2668" t="s">
        <v>81</v>
      </c>
      <c r="E2668" t="s">
        <v>164</v>
      </c>
      <c r="F2668" s="71">
        <v>24</v>
      </c>
      <c r="G2668" s="71">
        <v>0</v>
      </c>
    </row>
    <row r="2669" spans="2:7" x14ac:dyDescent="0.25">
      <c r="B2669" s="70">
        <v>43635</v>
      </c>
      <c r="C2669" t="s">
        <v>25</v>
      </c>
      <c r="D2669" t="s">
        <v>81</v>
      </c>
      <c r="E2669" t="s">
        <v>217</v>
      </c>
      <c r="F2669" s="71">
        <v>7.6</v>
      </c>
      <c r="G2669" s="71">
        <v>0</v>
      </c>
    </row>
    <row r="2670" spans="2:7" x14ac:dyDescent="0.25">
      <c r="B2670" s="70">
        <v>43635</v>
      </c>
      <c r="C2670" t="s">
        <v>59</v>
      </c>
      <c r="D2670" t="s">
        <v>82</v>
      </c>
      <c r="E2670" t="s">
        <v>340</v>
      </c>
      <c r="F2670" s="71">
        <v>130.16999999999999</v>
      </c>
      <c r="G2670" s="71">
        <v>0</v>
      </c>
    </row>
    <row r="2671" spans="2:7" x14ac:dyDescent="0.25">
      <c r="B2671" s="70">
        <v>43635</v>
      </c>
      <c r="C2671" t="s">
        <v>56</v>
      </c>
      <c r="D2671" t="s">
        <v>84</v>
      </c>
      <c r="E2671" t="s">
        <v>340</v>
      </c>
      <c r="F2671" s="71">
        <v>41</v>
      </c>
      <c r="G2671" s="71">
        <v>0</v>
      </c>
    </row>
    <row r="2672" spans="2:7" x14ac:dyDescent="0.25">
      <c r="B2672" s="70">
        <v>43635</v>
      </c>
      <c r="C2672" t="s">
        <v>21</v>
      </c>
      <c r="D2672" t="s">
        <v>79</v>
      </c>
      <c r="E2672" t="s">
        <v>340</v>
      </c>
      <c r="F2672" s="71">
        <v>8</v>
      </c>
      <c r="G2672" s="71">
        <v>0</v>
      </c>
    </row>
    <row r="2673" spans="2:7" x14ac:dyDescent="0.25">
      <c r="B2673" s="70">
        <v>43635</v>
      </c>
      <c r="C2673" t="s">
        <v>21</v>
      </c>
      <c r="D2673" t="s">
        <v>79</v>
      </c>
      <c r="E2673" t="s">
        <v>340</v>
      </c>
      <c r="F2673" s="71">
        <v>16</v>
      </c>
      <c r="G2673" s="71">
        <v>0</v>
      </c>
    </row>
    <row r="2674" spans="2:7" x14ac:dyDescent="0.25">
      <c r="B2674" s="70">
        <v>43635</v>
      </c>
      <c r="C2674" t="s">
        <v>21</v>
      </c>
      <c r="D2674" t="s">
        <v>79</v>
      </c>
      <c r="E2674" t="s">
        <v>340</v>
      </c>
      <c r="F2674" s="71">
        <v>24</v>
      </c>
      <c r="G2674" s="71">
        <v>0</v>
      </c>
    </row>
    <row r="2675" spans="2:7" x14ac:dyDescent="0.25">
      <c r="B2675" s="70">
        <v>43635</v>
      </c>
      <c r="C2675" t="s">
        <v>21</v>
      </c>
      <c r="D2675" t="s">
        <v>79</v>
      </c>
      <c r="E2675" t="s">
        <v>340</v>
      </c>
      <c r="F2675" s="71">
        <v>56</v>
      </c>
      <c r="G2675" s="71">
        <v>0</v>
      </c>
    </row>
    <row r="2676" spans="2:7" x14ac:dyDescent="0.25">
      <c r="B2676" s="70">
        <v>43635</v>
      </c>
      <c r="C2676" t="s">
        <v>21</v>
      </c>
      <c r="D2676" t="s">
        <v>79</v>
      </c>
      <c r="E2676" t="s">
        <v>340</v>
      </c>
      <c r="F2676" s="71">
        <v>80</v>
      </c>
      <c r="G2676" s="71">
        <v>0</v>
      </c>
    </row>
    <row r="2677" spans="2:7" x14ac:dyDescent="0.25">
      <c r="B2677" s="70">
        <v>43635</v>
      </c>
      <c r="C2677" t="s">
        <v>55</v>
      </c>
      <c r="D2677" t="s">
        <v>85</v>
      </c>
      <c r="E2677" t="s">
        <v>340</v>
      </c>
      <c r="F2677" s="71">
        <v>505.25</v>
      </c>
      <c r="G2677" s="71">
        <v>0</v>
      </c>
    </row>
    <row r="2678" spans="2:7" x14ac:dyDescent="0.25">
      <c r="B2678" s="70">
        <v>43635</v>
      </c>
      <c r="C2678" t="s">
        <v>65</v>
      </c>
      <c r="D2678" t="s">
        <v>84</v>
      </c>
      <c r="E2678" t="s">
        <v>340</v>
      </c>
      <c r="F2678" s="71">
        <v>18.149999999999999</v>
      </c>
      <c r="G2678" s="71">
        <v>0</v>
      </c>
    </row>
    <row r="2679" spans="2:7" x14ac:dyDescent="0.25">
      <c r="B2679" s="70">
        <v>43636</v>
      </c>
      <c r="C2679" t="s">
        <v>25</v>
      </c>
      <c r="D2679" t="s">
        <v>83</v>
      </c>
      <c r="E2679" t="s">
        <v>341</v>
      </c>
      <c r="F2679" s="71">
        <v>23</v>
      </c>
      <c r="G2679" s="71">
        <v>0</v>
      </c>
    </row>
    <row r="2680" spans="2:7" x14ac:dyDescent="0.25">
      <c r="B2680" s="70">
        <v>43636</v>
      </c>
      <c r="C2680" t="s">
        <v>25</v>
      </c>
      <c r="D2680" t="s">
        <v>80</v>
      </c>
      <c r="E2680" t="s">
        <v>341</v>
      </c>
      <c r="F2680" s="71">
        <v>17.989999999999998</v>
      </c>
      <c r="G2680" s="71">
        <v>0</v>
      </c>
    </row>
    <row r="2681" spans="2:7" x14ac:dyDescent="0.25">
      <c r="B2681" s="70">
        <v>43636</v>
      </c>
      <c r="C2681" t="s">
        <v>25</v>
      </c>
      <c r="D2681" t="s">
        <v>87</v>
      </c>
      <c r="E2681" t="s">
        <v>341</v>
      </c>
      <c r="F2681" s="71">
        <v>21.88</v>
      </c>
      <c r="G2681" s="71">
        <v>0</v>
      </c>
    </row>
    <row r="2682" spans="2:7" x14ac:dyDescent="0.25">
      <c r="B2682" s="70">
        <v>43636</v>
      </c>
      <c r="C2682" t="s">
        <v>25</v>
      </c>
      <c r="D2682" t="s">
        <v>87</v>
      </c>
      <c r="E2682" t="s">
        <v>341</v>
      </c>
      <c r="F2682" s="71">
        <v>29.24</v>
      </c>
      <c r="G2682" s="71">
        <v>0</v>
      </c>
    </row>
    <row r="2683" spans="2:7" x14ac:dyDescent="0.25">
      <c r="B2683" s="70">
        <v>43636</v>
      </c>
      <c r="C2683" t="s">
        <v>25</v>
      </c>
      <c r="D2683" t="s">
        <v>87</v>
      </c>
      <c r="E2683" t="s">
        <v>341</v>
      </c>
      <c r="F2683" s="71">
        <v>30.04</v>
      </c>
      <c r="G2683" s="71">
        <v>0</v>
      </c>
    </row>
    <row r="2684" spans="2:7" x14ac:dyDescent="0.25">
      <c r="B2684" s="70">
        <v>43636</v>
      </c>
      <c r="C2684" t="s">
        <v>25</v>
      </c>
      <c r="D2684" t="s">
        <v>87</v>
      </c>
      <c r="E2684" t="s">
        <v>341</v>
      </c>
      <c r="F2684" s="71">
        <v>35.5</v>
      </c>
      <c r="G2684" s="71">
        <v>0</v>
      </c>
    </row>
    <row r="2685" spans="2:7" x14ac:dyDescent="0.25">
      <c r="B2685" s="70">
        <v>43636</v>
      </c>
      <c r="C2685" t="s">
        <v>25</v>
      </c>
      <c r="D2685" t="s">
        <v>87</v>
      </c>
      <c r="E2685" t="s">
        <v>341</v>
      </c>
      <c r="F2685" s="71">
        <v>40.130000000000003</v>
      </c>
      <c r="G2685" s="71">
        <v>0</v>
      </c>
    </row>
    <row r="2686" spans="2:7" x14ac:dyDescent="0.25">
      <c r="B2686" s="70">
        <v>43636</v>
      </c>
      <c r="C2686" t="s">
        <v>25</v>
      </c>
      <c r="D2686" t="s">
        <v>87</v>
      </c>
      <c r="E2686" t="s">
        <v>341</v>
      </c>
      <c r="F2686" s="71">
        <v>84.51</v>
      </c>
      <c r="G2686" s="71">
        <v>0</v>
      </c>
    </row>
    <row r="2687" spans="2:7" x14ac:dyDescent="0.25">
      <c r="B2687" s="70">
        <v>43636</v>
      </c>
      <c r="C2687" t="s">
        <v>25</v>
      </c>
      <c r="D2687" t="s">
        <v>81</v>
      </c>
      <c r="E2687" t="s">
        <v>273</v>
      </c>
      <c r="F2687" s="71">
        <v>1.8</v>
      </c>
      <c r="G2687" s="71">
        <v>0</v>
      </c>
    </row>
    <row r="2688" spans="2:7" x14ac:dyDescent="0.25">
      <c r="B2688" s="70">
        <v>43636</v>
      </c>
      <c r="C2688" t="s">
        <v>25</v>
      </c>
      <c r="D2688" t="s">
        <v>84</v>
      </c>
      <c r="E2688" t="s">
        <v>341</v>
      </c>
      <c r="F2688" s="71">
        <v>12</v>
      </c>
      <c r="G2688" s="71">
        <v>0</v>
      </c>
    </row>
    <row r="2689" spans="2:7" x14ac:dyDescent="0.25">
      <c r="B2689" s="70">
        <v>43636</v>
      </c>
      <c r="C2689" t="s">
        <v>54</v>
      </c>
      <c r="D2689" t="s">
        <v>86</v>
      </c>
      <c r="E2689" t="s">
        <v>341</v>
      </c>
      <c r="F2689" s="71">
        <v>743.3</v>
      </c>
      <c r="G2689" s="71">
        <v>0</v>
      </c>
    </row>
    <row r="2690" spans="2:7" x14ac:dyDescent="0.25">
      <c r="B2690" s="70">
        <v>43636</v>
      </c>
      <c r="C2690" t="s">
        <v>46</v>
      </c>
      <c r="D2690" t="s">
        <v>86</v>
      </c>
      <c r="E2690" t="s">
        <v>341</v>
      </c>
      <c r="F2690" s="71">
        <v>187.45</v>
      </c>
      <c r="G2690" s="71">
        <v>0</v>
      </c>
    </row>
    <row r="2691" spans="2:7" x14ac:dyDescent="0.25">
      <c r="B2691" s="70">
        <v>43636</v>
      </c>
      <c r="C2691" t="s">
        <v>51</v>
      </c>
      <c r="D2691" t="s">
        <v>86</v>
      </c>
      <c r="E2691" t="s">
        <v>341</v>
      </c>
      <c r="F2691" s="71">
        <v>368.12</v>
      </c>
      <c r="G2691" s="71">
        <v>0</v>
      </c>
    </row>
    <row r="2692" spans="2:7" x14ac:dyDescent="0.25">
      <c r="B2692" s="70">
        <v>43636</v>
      </c>
      <c r="C2692" t="s">
        <v>57</v>
      </c>
      <c r="D2692" t="s">
        <v>86</v>
      </c>
      <c r="E2692" t="s">
        <v>341</v>
      </c>
      <c r="F2692" s="71">
        <v>4.5999999999999996</v>
      </c>
      <c r="G2692" s="71">
        <v>0</v>
      </c>
    </row>
    <row r="2693" spans="2:7" x14ac:dyDescent="0.25">
      <c r="B2693" s="70">
        <v>43636</v>
      </c>
      <c r="C2693" t="s">
        <v>21</v>
      </c>
      <c r="D2693" t="s">
        <v>79</v>
      </c>
      <c r="E2693" t="s">
        <v>341</v>
      </c>
      <c r="F2693" s="71">
        <v>8</v>
      </c>
      <c r="G2693" s="71">
        <v>0</v>
      </c>
    </row>
    <row r="2694" spans="2:7" x14ac:dyDescent="0.25">
      <c r="B2694" s="70">
        <v>43636</v>
      </c>
      <c r="C2694" t="s">
        <v>21</v>
      </c>
      <c r="D2694" t="s">
        <v>79</v>
      </c>
      <c r="E2694" t="s">
        <v>341</v>
      </c>
      <c r="F2694" s="71">
        <v>16</v>
      </c>
      <c r="G2694" s="71">
        <v>0</v>
      </c>
    </row>
    <row r="2695" spans="2:7" x14ac:dyDescent="0.25">
      <c r="B2695" s="70">
        <v>43636</v>
      </c>
      <c r="C2695" t="s">
        <v>48</v>
      </c>
      <c r="D2695" t="s">
        <v>80</v>
      </c>
      <c r="E2695" t="s">
        <v>341</v>
      </c>
      <c r="F2695" s="71">
        <v>105.34</v>
      </c>
      <c r="G2695" s="71">
        <v>0</v>
      </c>
    </row>
    <row r="2696" spans="2:7" x14ac:dyDescent="0.25">
      <c r="B2696" s="70">
        <v>43636</v>
      </c>
      <c r="C2696" t="s">
        <v>75</v>
      </c>
      <c r="D2696" t="s">
        <v>86</v>
      </c>
      <c r="E2696" t="s">
        <v>341</v>
      </c>
      <c r="F2696" s="71">
        <v>4902.58</v>
      </c>
      <c r="G2696" s="71">
        <v>0</v>
      </c>
    </row>
    <row r="2697" spans="2:7" x14ac:dyDescent="0.25">
      <c r="B2697" s="70">
        <v>43636</v>
      </c>
      <c r="C2697" t="s">
        <v>45</v>
      </c>
      <c r="D2697" t="s">
        <v>85</v>
      </c>
      <c r="E2697" t="s">
        <v>341</v>
      </c>
      <c r="F2697" s="71">
        <v>28</v>
      </c>
      <c r="G2697" s="71">
        <v>0</v>
      </c>
    </row>
    <row r="2698" spans="2:7" x14ac:dyDescent="0.25">
      <c r="B2698" s="70">
        <v>43636</v>
      </c>
      <c r="C2698" t="s">
        <v>70</v>
      </c>
      <c r="D2698" t="s">
        <v>84</v>
      </c>
      <c r="E2698" t="s">
        <v>341</v>
      </c>
      <c r="F2698" s="71">
        <v>260</v>
      </c>
      <c r="G2698" s="71">
        <v>0</v>
      </c>
    </row>
    <row r="2699" spans="2:7" x14ac:dyDescent="0.25">
      <c r="B2699" s="70">
        <v>43636</v>
      </c>
      <c r="C2699" t="s">
        <v>50</v>
      </c>
      <c r="D2699" t="s">
        <v>84</v>
      </c>
      <c r="E2699" t="s">
        <v>341</v>
      </c>
      <c r="F2699" s="71">
        <v>4.25</v>
      </c>
      <c r="G2699" s="71">
        <v>0</v>
      </c>
    </row>
    <row r="2700" spans="2:7" x14ac:dyDescent="0.25">
      <c r="B2700" s="70">
        <v>43636</v>
      </c>
      <c r="C2700" t="s">
        <v>24</v>
      </c>
      <c r="D2700" t="s">
        <v>79</v>
      </c>
      <c r="E2700" t="s">
        <v>341</v>
      </c>
      <c r="F2700" s="71">
        <v>8</v>
      </c>
      <c r="G2700" s="71">
        <v>0</v>
      </c>
    </row>
    <row r="2701" spans="2:7" x14ac:dyDescent="0.25">
      <c r="B2701" s="70">
        <v>43636</v>
      </c>
      <c r="C2701" t="s">
        <v>60</v>
      </c>
      <c r="D2701" t="s">
        <v>86</v>
      </c>
      <c r="E2701" t="s">
        <v>341</v>
      </c>
      <c r="F2701" s="71">
        <v>395.2</v>
      </c>
      <c r="G2701" s="71">
        <v>0</v>
      </c>
    </row>
    <row r="2702" spans="2:7" x14ac:dyDescent="0.25">
      <c r="B2702" s="70">
        <v>43636</v>
      </c>
      <c r="C2702" t="s">
        <v>62</v>
      </c>
      <c r="D2702" t="s">
        <v>86</v>
      </c>
      <c r="E2702" t="s">
        <v>341</v>
      </c>
      <c r="F2702" s="71">
        <v>150.44999999999999</v>
      </c>
      <c r="G2702" s="71">
        <v>0</v>
      </c>
    </row>
    <row r="2703" spans="2:7" x14ac:dyDescent="0.25">
      <c r="B2703" s="70">
        <v>43637</v>
      </c>
      <c r="C2703" t="s">
        <v>25</v>
      </c>
      <c r="D2703" t="s">
        <v>81</v>
      </c>
      <c r="E2703" t="s">
        <v>122</v>
      </c>
      <c r="F2703" s="71">
        <v>14.7</v>
      </c>
      <c r="G2703" s="71">
        <v>0</v>
      </c>
    </row>
    <row r="2704" spans="2:7" x14ac:dyDescent="0.25">
      <c r="B2704" s="70">
        <v>43637</v>
      </c>
      <c r="C2704" t="s">
        <v>25</v>
      </c>
      <c r="D2704" t="s">
        <v>81</v>
      </c>
      <c r="E2704" t="s">
        <v>216</v>
      </c>
      <c r="F2704" s="71">
        <v>3.5</v>
      </c>
      <c r="G2704" s="71">
        <v>0</v>
      </c>
    </row>
    <row r="2705" spans="2:7" x14ac:dyDescent="0.25">
      <c r="B2705" s="70">
        <v>43637</v>
      </c>
      <c r="C2705" t="s">
        <v>25</v>
      </c>
      <c r="D2705" t="s">
        <v>81</v>
      </c>
      <c r="E2705" t="s">
        <v>195</v>
      </c>
      <c r="F2705" s="71">
        <v>52</v>
      </c>
      <c r="G2705" s="71">
        <v>0</v>
      </c>
    </row>
    <row r="2706" spans="2:7" x14ac:dyDescent="0.25">
      <c r="B2706" s="70">
        <v>43637</v>
      </c>
      <c r="C2706" t="s">
        <v>25</v>
      </c>
      <c r="D2706" t="s">
        <v>81</v>
      </c>
      <c r="E2706" t="s">
        <v>133</v>
      </c>
      <c r="F2706" s="71">
        <v>12.07</v>
      </c>
      <c r="G2706" s="71">
        <v>0</v>
      </c>
    </row>
    <row r="2707" spans="2:7" x14ac:dyDescent="0.25">
      <c r="B2707" s="70">
        <v>43637</v>
      </c>
      <c r="C2707" t="s">
        <v>46</v>
      </c>
      <c r="D2707" t="s">
        <v>84</v>
      </c>
      <c r="E2707" t="s">
        <v>342</v>
      </c>
      <c r="F2707" s="71">
        <v>37</v>
      </c>
      <c r="G2707" s="71">
        <v>0</v>
      </c>
    </row>
    <row r="2708" spans="2:7" x14ac:dyDescent="0.25">
      <c r="B2708" s="70">
        <v>43637</v>
      </c>
      <c r="C2708" t="s">
        <v>59</v>
      </c>
      <c r="D2708" t="s">
        <v>82</v>
      </c>
      <c r="E2708" t="s">
        <v>342</v>
      </c>
      <c r="F2708" s="71">
        <v>1363.47</v>
      </c>
      <c r="G2708" s="71">
        <v>0</v>
      </c>
    </row>
    <row r="2709" spans="2:7" x14ac:dyDescent="0.25">
      <c r="B2709" s="70">
        <v>43637</v>
      </c>
      <c r="C2709" t="s">
        <v>59</v>
      </c>
      <c r="D2709" t="s">
        <v>84</v>
      </c>
      <c r="E2709" t="s">
        <v>342</v>
      </c>
      <c r="F2709" s="71">
        <v>606.51</v>
      </c>
      <c r="G2709" s="71">
        <v>0</v>
      </c>
    </row>
    <row r="2710" spans="2:7" x14ac:dyDescent="0.25">
      <c r="B2710" s="70">
        <v>43637</v>
      </c>
      <c r="C2710" t="s">
        <v>56</v>
      </c>
      <c r="D2710" t="s">
        <v>84</v>
      </c>
      <c r="E2710" t="s">
        <v>342</v>
      </c>
      <c r="F2710" s="71">
        <v>77</v>
      </c>
      <c r="G2710" s="71">
        <v>0</v>
      </c>
    </row>
    <row r="2711" spans="2:7" x14ac:dyDescent="0.25">
      <c r="B2711" s="70">
        <v>43637</v>
      </c>
      <c r="C2711" t="s">
        <v>51</v>
      </c>
      <c r="D2711" t="s">
        <v>84</v>
      </c>
      <c r="E2711" t="s">
        <v>342</v>
      </c>
      <c r="F2711" s="71">
        <v>34.65</v>
      </c>
      <c r="G2711" s="71">
        <v>0</v>
      </c>
    </row>
    <row r="2712" spans="2:7" x14ac:dyDescent="0.25">
      <c r="B2712" s="70">
        <v>43637</v>
      </c>
      <c r="C2712" t="s">
        <v>21</v>
      </c>
      <c r="D2712" t="s">
        <v>79</v>
      </c>
      <c r="E2712" t="s">
        <v>342</v>
      </c>
      <c r="F2712" s="71">
        <v>8</v>
      </c>
      <c r="G2712" s="71">
        <v>0</v>
      </c>
    </row>
    <row r="2713" spans="2:7" x14ac:dyDescent="0.25">
      <c r="B2713" s="70">
        <v>43637</v>
      </c>
      <c r="C2713" t="s">
        <v>21</v>
      </c>
      <c r="D2713" t="s">
        <v>79</v>
      </c>
      <c r="E2713" t="s">
        <v>342</v>
      </c>
      <c r="F2713" s="71">
        <v>16</v>
      </c>
      <c r="G2713" s="71">
        <v>0</v>
      </c>
    </row>
    <row r="2714" spans="2:7" x14ac:dyDescent="0.25">
      <c r="B2714" s="70">
        <v>43637</v>
      </c>
      <c r="C2714" t="s">
        <v>21</v>
      </c>
      <c r="D2714" t="s">
        <v>79</v>
      </c>
      <c r="E2714" t="s">
        <v>342</v>
      </c>
      <c r="F2714" s="71">
        <v>32</v>
      </c>
      <c r="G2714" s="71">
        <v>0</v>
      </c>
    </row>
    <row r="2715" spans="2:7" x14ac:dyDescent="0.25">
      <c r="B2715" s="70">
        <v>43637</v>
      </c>
      <c r="C2715" t="s">
        <v>21</v>
      </c>
      <c r="D2715" t="s">
        <v>79</v>
      </c>
      <c r="E2715" t="s">
        <v>342</v>
      </c>
      <c r="F2715" s="71">
        <v>64</v>
      </c>
      <c r="G2715" s="71">
        <v>0</v>
      </c>
    </row>
    <row r="2716" spans="2:7" x14ac:dyDescent="0.25">
      <c r="B2716" s="70">
        <v>43637</v>
      </c>
      <c r="C2716" t="s">
        <v>66</v>
      </c>
      <c r="D2716" t="s">
        <v>79</v>
      </c>
      <c r="E2716" t="s">
        <v>342</v>
      </c>
      <c r="F2716" s="71">
        <v>119.9</v>
      </c>
      <c r="G2716" s="71">
        <v>0</v>
      </c>
    </row>
    <row r="2717" spans="2:7" x14ac:dyDescent="0.25">
      <c r="B2717" s="70">
        <v>43637</v>
      </c>
      <c r="C2717" t="s">
        <v>48</v>
      </c>
      <c r="D2717" t="s">
        <v>82</v>
      </c>
      <c r="E2717" t="s">
        <v>342</v>
      </c>
      <c r="F2717" s="71">
        <v>70.23</v>
      </c>
      <c r="G2717" s="71">
        <v>0</v>
      </c>
    </row>
    <row r="2718" spans="2:7" x14ac:dyDescent="0.25">
      <c r="B2718" s="70">
        <v>43637</v>
      </c>
      <c r="C2718" t="s">
        <v>48</v>
      </c>
      <c r="D2718" t="s">
        <v>84</v>
      </c>
      <c r="E2718" t="s">
        <v>342</v>
      </c>
      <c r="F2718" s="71">
        <v>40</v>
      </c>
      <c r="G2718" s="71">
        <v>0</v>
      </c>
    </row>
    <row r="2719" spans="2:7" x14ac:dyDescent="0.25">
      <c r="B2719" s="70">
        <v>43637</v>
      </c>
      <c r="C2719" t="s">
        <v>55</v>
      </c>
      <c r="D2719" t="s">
        <v>84</v>
      </c>
      <c r="E2719" t="s">
        <v>342</v>
      </c>
      <c r="F2719" s="71">
        <v>260</v>
      </c>
      <c r="G2719" s="71">
        <v>0</v>
      </c>
    </row>
    <row r="2720" spans="2:7" x14ac:dyDescent="0.25">
      <c r="B2720" s="70">
        <v>43637</v>
      </c>
      <c r="C2720" t="s">
        <v>52</v>
      </c>
      <c r="D2720" t="s">
        <v>84</v>
      </c>
      <c r="E2720" t="s">
        <v>342</v>
      </c>
      <c r="F2720" s="71">
        <v>412.62</v>
      </c>
      <c r="G2720" s="71">
        <v>0</v>
      </c>
    </row>
    <row r="2721" spans="2:7" x14ac:dyDescent="0.25">
      <c r="B2721" s="70">
        <v>43637</v>
      </c>
      <c r="C2721" t="s">
        <v>58</v>
      </c>
      <c r="D2721" t="s">
        <v>84</v>
      </c>
      <c r="E2721" t="s">
        <v>342</v>
      </c>
      <c r="F2721" s="71">
        <v>25</v>
      </c>
      <c r="G2721" s="71">
        <v>0</v>
      </c>
    </row>
    <row r="2722" spans="2:7" x14ac:dyDescent="0.25">
      <c r="B2722" s="70">
        <v>43637</v>
      </c>
      <c r="C2722" t="s">
        <v>65</v>
      </c>
      <c r="D2722" t="s">
        <v>84</v>
      </c>
      <c r="E2722" t="s">
        <v>342</v>
      </c>
      <c r="F2722" s="71">
        <v>152.36000000000001</v>
      </c>
      <c r="G2722" s="71">
        <v>0</v>
      </c>
    </row>
    <row r="2723" spans="2:7" x14ac:dyDescent="0.25">
      <c r="B2723" s="70">
        <v>43637</v>
      </c>
      <c r="C2723" t="s">
        <v>24</v>
      </c>
      <c r="D2723" t="s">
        <v>79</v>
      </c>
      <c r="E2723" t="s">
        <v>342</v>
      </c>
      <c r="F2723" s="71">
        <v>16</v>
      </c>
      <c r="G2723" s="71">
        <v>0</v>
      </c>
    </row>
    <row r="2724" spans="2:7" x14ac:dyDescent="0.25">
      <c r="B2724" s="70">
        <v>43638</v>
      </c>
      <c r="C2724" t="s">
        <v>21</v>
      </c>
      <c r="D2724" t="s">
        <v>79</v>
      </c>
      <c r="E2724" t="s">
        <v>343</v>
      </c>
      <c r="F2724" s="71">
        <v>8</v>
      </c>
      <c r="G2724" s="71">
        <v>0</v>
      </c>
    </row>
    <row r="2725" spans="2:7" x14ac:dyDescent="0.25">
      <c r="B2725" s="70">
        <v>43638</v>
      </c>
      <c r="C2725" t="s">
        <v>21</v>
      </c>
      <c r="D2725" t="s">
        <v>79</v>
      </c>
      <c r="E2725" t="s">
        <v>343</v>
      </c>
      <c r="F2725" s="71">
        <v>16</v>
      </c>
      <c r="G2725" s="71">
        <v>0</v>
      </c>
    </row>
    <row r="2726" spans="2:7" x14ac:dyDescent="0.25">
      <c r="B2726" s="70">
        <v>43638</v>
      </c>
      <c r="C2726" t="s">
        <v>21</v>
      </c>
      <c r="D2726" t="s">
        <v>84</v>
      </c>
      <c r="E2726" t="s">
        <v>343</v>
      </c>
      <c r="F2726" s="71">
        <v>95.7</v>
      </c>
      <c r="G2726" s="71">
        <v>0</v>
      </c>
    </row>
    <row r="2727" spans="2:7" x14ac:dyDescent="0.25">
      <c r="B2727" s="70">
        <v>43638</v>
      </c>
      <c r="C2727" t="s">
        <v>48</v>
      </c>
      <c r="D2727" t="s">
        <v>84</v>
      </c>
      <c r="E2727" t="s">
        <v>343</v>
      </c>
      <c r="F2727" s="71">
        <v>30</v>
      </c>
      <c r="G2727" s="71">
        <v>0</v>
      </c>
    </row>
    <row r="2728" spans="2:7" x14ac:dyDescent="0.25">
      <c r="B2728" s="70">
        <v>43638</v>
      </c>
      <c r="C2728" t="s">
        <v>50</v>
      </c>
      <c r="D2728" t="s">
        <v>84</v>
      </c>
      <c r="E2728" t="s">
        <v>343</v>
      </c>
      <c r="F2728" s="71">
        <v>125</v>
      </c>
      <c r="G2728" s="71">
        <v>0</v>
      </c>
    </row>
    <row r="2729" spans="2:7" x14ac:dyDescent="0.25">
      <c r="B2729" s="70">
        <v>43638</v>
      </c>
      <c r="C2729" t="s">
        <v>65</v>
      </c>
      <c r="D2729" t="s">
        <v>85</v>
      </c>
      <c r="E2729" t="s">
        <v>343</v>
      </c>
      <c r="F2729" s="71">
        <v>30</v>
      </c>
      <c r="G2729" s="71">
        <v>0</v>
      </c>
    </row>
    <row r="2730" spans="2:7" x14ac:dyDescent="0.25">
      <c r="B2730" s="70">
        <v>43638</v>
      </c>
      <c r="C2730" t="s">
        <v>24</v>
      </c>
      <c r="D2730" t="s">
        <v>79</v>
      </c>
      <c r="E2730" t="s">
        <v>343</v>
      </c>
      <c r="F2730" s="71">
        <v>8</v>
      </c>
      <c r="G2730" s="71">
        <v>0</v>
      </c>
    </row>
    <row r="2731" spans="2:7" x14ac:dyDescent="0.25">
      <c r="B2731" s="70">
        <v>43638</v>
      </c>
      <c r="C2731" t="s">
        <v>60</v>
      </c>
      <c r="D2731" t="s">
        <v>85</v>
      </c>
      <c r="E2731" t="s">
        <v>343</v>
      </c>
      <c r="F2731" s="71">
        <v>26.75</v>
      </c>
      <c r="G2731" s="71">
        <v>0</v>
      </c>
    </row>
    <row r="2732" spans="2:7" x14ac:dyDescent="0.25">
      <c r="B2732" s="70">
        <v>43638</v>
      </c>
      <c r="C2732" t="s">
        <v>60</v>
      </c>
      <c r="D2732" t="s">
        <v>84</v>
      </c>
      <c r="E2732" t="s">
        <v>343</v>
      </c>
      <c r="F2732" s="71">
        <v>37.450000000000003</v>
      </c>
      <c r="G2732" s="71">
        <v>0</v>
      </c>
    </row>
    <row r="2733" spans="2:7" x14ac:dyDescent="0.25">
      <c r="B2733" s="70">
        <v>43640</v>
      </c>
      <c r="C2733" t="s">
        <v>25</v>
      </c>
      <c r="D2733" t="s">
        <v>81</v>
      </c>
      <c r="E2733" t="s">
        <v>253</v>
      </c>
      <c r="F2733" s="71">
        <v>2.25</v>
      </c>
      <c r="G2733" s="71">
        <v>0</v>
      </c>
    </row>
    <row r="2734" spans="2:7" x14ac:dyDescent="0.25">
      <c r="B2734" s="70">
        <v>43640</v>
      </c>
      <c r="C2734" t="s">
        <v>25</v>
      </c>
      <c r="D2734" t="s">
        <v>81</v>
      </c>
      <c r="E2734" t="s">
        <v>169</v>
      </c>
      <c r="F2734" s="71">
        <v>1.8</v>
      </c>
      <c r="G2734" s="71">
        <v>0</v>
      </c>
    </row>
    <row r="2735" spans="2:7" x14ac:dyDescent="0.25">
      <c r="B2735" s="70">
        <v>43640</v>
      </c>
      <c r="C2735" t="s">
        <v>21</v>
      </c>
      <c r="D2735" t="s">
        <v>79</v>
      </c>
      <c r="E2735" t="s">
        <v>344</v>
      </c>
      <c r="F2735" s="71">
        <v>24</v>
      </c>
      <c r="G2735" s="71">
        <v>0</v>
      </c>
    </row>
    <row r="2736" spans="2:7" x14ac:dyDescent="0.25">
      <c r="B2736" s="70">
        <v>43640</v>
      </c>
      <c r="C2736" t="s">
        <v>24</v>
      </c>
      <c r="D2736" t="s">
        <v>79</v>
      </c>
      <c r="E2736" t="s">
        <v>344</v>
      </c>
      <c r="F2736" s="71">
        <v>16</v>
      </c>
      <c r="G2736" s="71">
        <v>0</v>
      </c>
    </row>
    <row r="2737" spans="2:7" x14ac:dyDescent="0.25">
      <c r="B2737" s="70">
        <v>43640</v>
      </c>
      <c r="C2737" t="s">
        <v>24</v>
      </c>
      <c r="D2737" t="s">
        <v>79</v>
      </c>
      <c r="E2737" t="s">
        <v>344</v>
      </c>
      <c r="F2737" s="71">
        <v>24</v>
      </c>
      <c r="G2737" s="71">
        <v>0</v>
      </c>
    </row>
    <row r="2738" spans="2:7" x14ac:dyDescent="0.25">
      <c r="B2738" s="70">
        <v>43640</v>
      </c>
      <c r="C2738" t="s">
        <v>60</v>
      </c>
      <c r="D2738" t="s">
        <v>84</v>
      </c>
      <c r="E2738" t="s">
        <v>344</v>
      </c>
      <c r="F2738" s="71">
        <v>10.7</v>
      </c>
      <c r="G2738" s="71">
        <v>0</v>
      </c>
    </row>
    <row r="2739" spans="2:7" x14ac:dyDescent="0.25">
      <c r="B2739" s="70">
        <v>43641</v>
      </c>
      <c r="C2739" t="s">
        <v>25</v>
      </c>
      <c r="D2739" t="s">
        <v>85</v>
      </c>
      <c r="E2739" t="s">
        <v>345</v>
      </c>
      <c r="F2739" s="71">
        <v>72.459999999999994</v>
      </c>
      <c r="G2739" s="71">
        <v>0</v>
      </c>
    </row>
    <row r="2740" spans="2:7" x14ac:dyDescent="0.25">
      <c r="B2740" s="70">
        <v>43641</v>
      </c>
      <c r="C2740" t="s">
        <v>25</v>
      </c>
      <c r="D2740" t="s">
        <v>85</v>
      </c>
      <c r="E2740" t="s">
        <v>345</v>
      </c>
      <c r="F2740" s="71">
        <v>75.12</v>
      </c>
      <c r="G2740" s="71">
        <v>0</v>
      </c>
    </row>
    <row r="2741" spans="2:7" x14ac:dyDescent="0.25">
      <c r="B2741" s="70">
        <v>43641</v>
      </c>
      <c r="C2741" t="s">
        <v>25</v>
      </c>
      <c r="D2741" t="s">
        <v>80</v>
      </c>
      <c r="E2741" t="s">
        <v>345</v>
      </c>
      <c r="F2741" s="71">
        <v>18</v>
      </c>
      <c r="G2741" s="71">
        <v>0</v>
      </c>
    </row>
    <row r="2742" spans="2:7" x14ac:dyDescent="0.25">
      <c r="B2742" s="70">
        <v>43641</v>
      </c>
      <c r="C2742" t="s">
        <v>25</v>
      </c>
      <c r="D2742" t="s">
        <v>80</v>
      </c>
      <c r="E2742" t="s">
        <v>345</v>
      </c>
      <c r="F2742" s="71">
        <v>35.979999999999997</v>
      </c>
      <c r="G2742" s="71">
        <v>0</v>
      </c>
    </row>
    <row r="2743" spans="2:7" x14ac:dyDescent="0.25">
      <c r="B2743" s="70">
        <v>43641</v>
      </c>
      <c r="C2743" t="s">
        <v>25</v>
      </c>
      <c r="D2743" t="s">
        <v>87</v>
      </c>
      <c r="E2743" t="s">
        <v>345</v>
      </c>
      <c r="F2743" s="71">
        <v>11.49</v>
      </c>
      <c r="G2743" s="71">
        <v>0</v>
      </c>
    </row>
    <row r="2744" spans="2:7" x14ac:dyDescent="0.25">
      <c r="B2744" s="70">
        <v>43641</v>
      </c>
      <c r="C2744" t="s">
        <v>25</v>
      </c>
      <c r="D2744" t="s">
        <v>87</v>
      </c>
      <c r="E2744" t="s">
        <v>345</v>
      </c>
      <c r="F2744" s="71">
        <v>18</v>
      </c>
      <c r="G2744" s="71">
        <v>0</v>
      </c>
    </row>
    <row r="2745" spans="2:7" x14ac:dyDescent="0.25">
      <c r="B2745" s="70">
        <v>43641</v>
      </c>
      <c r="C2745" t="s">
        <v>25</v>
      </c>
      <c r="D2745" t="s">
        <v>87</v>
      </c>
      <c r="E2745" t="s">
        <v>345</v>
      </c>
      <c r="F2745" s="71">
        <v>22.27</v>
      </c>
      <c r="G2745" s="71">
        <v>0</v>
      </c>
    </row>
    <row r="2746" spans="2:7" x14ac:dyDescent="0.25">
      <c r="B2746" s="70">
        <v>43641</v>
      </c>
      <c r="C2746" t="s">
        <v>25</v>
      </c>
      <c r="D2746" t="s">
        <v>87</v>
      </c>
      <c r="E2746" t="s">
        <v>345</v>
      </c>
      <c r="F2746" s="71">
        <v>40.26</v>
      </c>
      <c r="G2746" s="71">
        <v>0</v>
      </c>
    </row>
    <row r="2747" spans="2:7" x14ac:dyDescent="0.25">
      <c r="B2747" s="70">
        <v>43641</v>
      </c>
      <c r="C2747" t="s">
        <v>25</v>
      </c>
      <c r="D2747" t="s">
        <v>87</v>
      </c>
      <c r="E2747" t="s">
        <v>345</v>
      </c>
      <c r="F2747" s="71">
        <v>46.99</v>
      </c>
      <c r="G2747" s="71">
        <v>0</v>
      </c>
    </row>
    <row r="2748" spans="2:7" x14ac:dyDescent="0.25">
      <c r="B2748" s="70">
        <v>43641</v>
      </c>
      <c r="C2748" t="s">
        <v>25</v>
      </c>
      <c r="D2748" t="s">
        <v>87</v>
      </c>
      <c r="E2748" t="s">
        <v>345</v>
      </c>
      <c r="F2748" s="71">
        <v>52.06</v>
      </c>
      <c r="G2748" s="71">
        <v>0</v>
      </c>
    </row>
    <row r="2749" spans="2:7" x14ac:dyDescent="0.25">
      <c r="B2749" s="70">
        <v>43641</v>
      </c>
      <c r="C2749" t="s">
        <v>25</v>
      </c>
      <c r="D2749" t="s">
        <v>87</v>
      </c>
      <c r="E2749" t="s">
        <v>345</v>
      </c>
      <c r="F2749" s="71">
        <v>95.71</v>
      </c>
      <c r="G2749" s="71">
        <v>0</v>
      </c>
    </row>
    <row r="2750" spans="2:7" x14ac:dyDescent="0.25">
      <c r="B2750" s="70">
        <v>43641</v>
      </c>
      <c r="C2750" t="s">
        <v>25</v>
      </c>
      <c r="D2750" t="s">
        <v>87</v>
      </c>
      <c r="E2750" t="s">
        <v>345</v>
      </c>
      <c r="F2750" s="71">
        <v>96.89</v>
      </c>
      <c r="G2750" s="71">
        <v>0</v>
      </c>
    </row>
    <row r="2751" spans="2:7" x14ac:dyDescent="0.25">
      <c r="B2751" s="70">
        <v>43641</v>
      </c>
      <c r="C2751" t="s">
        <v>25</v>
      </c>
      <c r="D2751" t="s">
        <v>114</v>
      </c>
      <c r="E2751" t="s">
        <v>346</v>
      </c>
      <c r="F2751" s="71">
        <v>20.86</v>
      </c>
      <c r="G2751" s="71">
        <v>0</v>
      </c>
    </row>
    <row r="2752" spans="2:7" x14ac:dyDescent="0.25">
      <c r="B2752" s="70">
        <v>43641</v>
      </c>
      <c r="C2752" t="s">
        <v>25</v>
      </c>
      <c r="D2752" t="s">
        <v>114</v>
      </c>
      <c r="E2752" t="s">
        <v>346</v>
      </c>
      <c r="F2752" s="71">
        <v>62.72</v>
      </c>
      <c r="G2752" s="71">
        <v>0</v>
      </c>
    </row>
    <row r="2753" spans="2:7" x14ac:dyDescent="0.25">
      <c r="B2753" s="70">
        <v>43641</v>
      </c>
      <c r="C2753" t="s">
        <v>25</v>
      </c>
      <c r="D2753" t="s">
        <v>114</v>
      </c>
      <c r="E2753" t="s">
        <v>346</v>
      </c>
      <c r="F2753" s="71">
        <v>65.63</v>
      </c>
      <c r="G2753" s="71">
        <v>0</v>
      </c>
    </row>
    <row r="2754" spans="2:7" x14ac:dyDescent="0.25">
      <c r="B2754" s="70">
        <v>43641</v>
      </c>
      <c r="C2754" t="s">
        <v>25</v>
      </c>
      <c r="D2754" t="s">
        <v>114</v>
      </c>
      <c r="E2754" t="s">
        <v>346</v>
      </c>
      <c r="F2754" s="71">
        <v>105.95</v>
      </c>
      <c r="G2754" s="71">
        <v>0</v>
      </c>
    </row>
    <row r="2755" spans="2:7" x14ac:dyDescent="0.25">
      <c r="B2755" s="70">
        <v>43641</v>
      </c>
      <c r="C2755" t="s">
        <v>25</v>
      </c>
      <c r="D2755" t="s">
        <v>114</v>
      </c>
      <c r="E2755" t="s">
        <v>346</v>
      </c>
      <c r="F2755" s="71">
        <v>128.72</v>
      </c>
      <c r="G2755" s="71">
        <v>0</v>
      </c>
    </row>
    <row r="2756" spans="2:7" x14ac:dyDescent="0.25">
      <c r="B2756" s="70">
        <v>43641</v>
      </c>
      <c r="C2756" t="s">
        <v>54</v>
      </c>
      <c r="D2756" t="s">
        <v>87</v>
      </c>
      <c r="E2756" t="s">
        <v>345</v>
      </c>
      <c r="F2756" s="71">
        <v>44.94</v>
      </c>
      <c r="G2756" s="71">
        <v>0</v>
      </c>
    </row>
    <row r="2757" spans="2:7" x14ac:dyDescent="0.25">
      <c r="B2757" s="70">
        <v>43641</v>
      </c>
      <c r="C2757" t="s">
        <v>54</v>
      </c>
      <c r="D2757" t="s">
        <v>114</v>
      </c>
      <c r="E2757" t="s">
        <v>346</v>
      </c>
      <c r="F2757" s="71">
        <v>944.15</v>
      </c>
      <c r="G2757" s="71">
        <v>0</v>
      </c>
    </row>
    <row r="2758" spans="2:7" x14ac:dyDescent="0.25">
      <c r="B2758" s="70">
        <v>43641</v>
      </c>
      <c r="C2758" t="s">
        <v>46</v>
      </c>
      <c r="D2758" t="s">
        <v>114</v>
      </c>
      <c r="E2758" t="s">
        <v>346</v>
      </c>
      <c r="F2758" s="71">
        <v>23.05</v>
      </c>
      <c r="G2758" s="71">
        <v>0</v>
      </c>
    </row>
    <row r="2759" spans="2:7" x14ac:dyDescent="0.25">
      <c r="B2759" s="70">
        <v>43641</v>
      </c>
      <c r="C2759" t="s">
        <v>59</v>
      </c>
      <c r="D2759" t="s">
        <v>84</v>
      </c>
      <c r="E2759" t="s">
        <v>345</v>
      </c>
      <c r="F2759" s="71">
        <v>544.79999999999995</v>
      </c>
      <c r="G2759" s="71">
        <v>0</v>
      </c>
    </row>
    <row r="2760" spans="2:7" x14ac:dyDescent="0.25">
      <c r="B2760" s="70">
        <v>43641</v>
      </c>
      <c r="C2760" t="s">
        <v>21</v>
      </c>
      <c r="D2760" t="s">
        <v>79</v>
      </c>
      <c r="E2760" t="s">
        <v>345</v>
      </c>
      <c r="F2760" s="71">
        <v>8</v>
      </c>
      <c r="G2760" s="71">
        <v>0</v>
      </c>
    </row>
    <row r="2761" spans="2:7" x14ac:dyDescent="0.25">
      <c r="B2761" s="70">
        <v>43641</v>
      </c>
      <c r="C2761" t="s">
        <v>21</v>
      </c>
      <c r="D2761" t="s">
        <v>79</v>
      </c>
      <c r="E2761" t="s">
        <v>345</v>
      </c>
      <c r="F2761" s="71">
        <v>16</v>
      </c>
      <c r="G2761" s="71">
        <v>0</v>
      </c>
    </row>
    <row r="2762" spans="2:7" x14ac:dyDescent="0.25">
      <c r="B2762" s="70">
        <v>43641</v>
      </c>
      <c r="C2762" t="s">
        <v>21</v>
      </c>
      <c r="D2762" t="s">
        <v>79</v>
      </c>
      <c r="E2762" t="s">
        <v>345</v>
      </c>
      <c r="F2762" s="71">
        <v>32</v>
      </c>
      <c r="G2762" s="71">
        <v>0</v>
      </c>
    </row>
    <row r="2763" spans="2:7" x14ac:dyDescent="0.25">
      <c r="B2763" s="70">
        <v>43641</v>
      </c>
      <c r="C2763" t="s">
        <v>21</v>
      </c>
      <c r="D2763" t="s">
        <v>79</v>
      </c>
      <c r="E2763" t="s">
        <v>345</v>
      </c>
      <c r="F2763" s="71">
        <v>48</v>
      </c>
      <c r="G2763" s="71">
        <v>0</v>
      </c>
    </row>
    <row r="2764" spans="2:7" x14ac:dyDescent="0.25">
      <c r="B2764" s="70">
        <v>43641</v>
      </c>
      <c r="C2764" t="s">
        <v>21</v>
      </c>
      <c r="D2764" t="s">
        <v>79</v>
      </c>
      <c r="E2764" t="s">
        <v>345</v>
      </c>
      <c r="F2764" s="71">
        <v>80</v>
      </c>
      <c r="G2764" s="71">
        <v>0</v>
      </c>
    </row>
    <row r="2765" spans="2:7" x14ac:dyDescent="0.25">
      <c r="B2765" s="70">
        <v>43641</v>
      </c>
      <c r="C2765" t="s">
        <v>21</v>
      </c>
      <c r="D2765" t="s">
        <v>114</v>
      </c>
      <c r="E2765" t="s">
        <v>346</v>
      </c>
      <c r="F2765" s="71">
        <v>6.79</v>
      </c>
      <c r="G2765" s="71">
        <v>0</v>
      </c>
    </row>
    <row r="2766" spans="2:7" x14ac:dyDescent="0.25">
      <c r="B2766" s="70">
        <v>43641</v>
      </c>
      <c r="C2766" t="s">
        <v>21</v>
      </c>
      <c r="D2766" t="s">
        <v>114</v>
      </c>
      <c r="E2766" t="s">
        <v>346</v>
      </c>
      <c r="F2766" s="71">
        <v>28.91</v>
      </c>
      <c r="G2766" s="71">
        <v>0</v>
      </c>
    </row>
    <row r="2767" spans="2:7" x14ac:dyDescent="0.25">
      <c r="B2767" s="70">
        <v>43641</v>
      </c>
      <c r="C2767" t="s">
        <v>21</v>
      </c>
      <c r="D2767" t="s">
        <v>114</v>
      </c>
      <c r="E2767" t="s">
        <v>346</v>
      </c>
      <c r="F2767" s="71">
        <v>32.5</v>
      </c>
      <c r="G2767" s="71">
        <v>0</v>
      </c>
    </row>
    <row r="2768" spans="2:7" x14ac:dyDescent="0.25">
      <c r="B2768" s="70">
        <v>43641</v>
      </c>
      <c r="C2768" t="s">
        <v>21</v>
      </c>
      <c r="D2768" t="s">
        <v>114</v>
      </c>
      <c r="E2768" t="s">
        <v>346</v>
      </c>
      <c r="F2768" s="71">
        <v>123.55</v>
      </c>
      <c r="G2768" s="71">
        <v>0</v>
      </c>
    </row>
    <row r="2769" spans="2:7" x14ac:dyDescent="0.25">
      <c r="B2769" s="70">
        <v>43641</v>
      </c>
      <c r="C2769" t="s">
        <v>21</v>
      </c>
      <c r="D2769" t="s">
        <v>114</v>
      </c>
      <c r="E2769" t="s">
        <v>346</v>
      </c>
      <c r="F2769" s="71">
        <v>149.97999999999999</v>
      </c>
      <c r="G2769" s="71">
        <v>0</v>
      </c>
    </row>
    <row r="2770" spans="2:7" x14ac:dyDescent="0.25">
      <c r="B2770" s="70">
        <v>43641</v>
      </c>
      <c r="C2770" t="s">
        <v>21</v>
      </c>
      <c r="D2770" t="s">
        <v>114</v>
      </c>
      <c r="E2770" t="s">
        <v>346</v>
      </c>
      <c r="F2770" s="71">
        <v>182.59</v>
      </c>
      <c r="G2770" s="71">
        <v>0</v>
      </c>
    </row>
    <row r="2771" spans="2:7" x14ac:dyDescent="0.25">
      <c r="B2771" s="70">
        <v>43641</v>
      </c>
      <c r="C2771" t="s">
        <v>21</v>
      </c>
      <c r="D2771" t="s">
        <v>114</v>
      </c>
      <c r="E2771" t="s">
        <v>346</v>
      </c>
      <c r="F2771" s="71">
        <v>241.12</v>
      </c>
      <c r="G2771" s="71">
        <v>0</v>
      </c>
    </row>
    <row r="2772" spans="2:7" x14ac:dyDescent="0.25">
      <c r="B2772" s="70">
        <v>43641</v>
      </c>
      <c r="C2772" t="s">
        <v>21</v>
      </c>
      <c r="D2772" t="s">
        <v>114</v>
      </c>
      <c r="E2772" t="s">
        <v>346</v>
      </c>
      <c r="F2772" s="71">
        <v>318.58999999999997</v>
      </c>
      <c r="G2772" s="71">
        <v>0</v>
      </c>
    </row>
    <row r="2773" spans="2:7" x14ac:dyDescent="0.25">
      <c r="B2773" s="70">
        <v>43641</v>
      </c>
      <c r="C2773" t="s">
        <v>21</v>
      </c>
      <c r="D2773" t="s">
        <v>114</v>
      </c>
      <c r="E2773" t="s">
        <v>346</v>
      </c>
      <c r="F2773" s="71">
        <v>318.88</v>
      </c>
      <c r="G2773" s="71">
        <v>0</v>
      </c>
    </row>
    <row r="2774" spans="2:7" x14ac:dyDescent="0.25">
      <c r="B2774" s="70">
        <v>43641</v>
      </c>
      <c r="C2774" t="s">
        <v>21</v>
      </c>
      <c r="D2774" t="s">
        <v>114</v>
      </c>
      <c r="E2774" t="s">
        <v>346</v>
      </c>
      <c r="F2774" s="71">
        <v>330.73</v>
      </c>
      <c r="G2774" s="71">
        <v>0</v>
      </c>
    </row>
    <row r="2775" spans="2:7" x14ac:dyDescent="0.25">
      <c r="B2775" s="70">
        <v>43641</v>
      </c>
      <c r="C2775" t="s">
        <v>21</v>
      </c>
      <c r="D2775" t="s">
        <v>114</v>
      </c>
      <c r="E2775" t="s">
        <v>346</v>
      </c>
      <c r="F2775" s="71">
        <v>351.43</v>
      </c>
      <c r="G2775" s="71">
        <v>0</v>
      </c>
    </row>
    <row r="2776" spans="2:7" x14ac:dyDescent="0.25">
      <c r="B2776" s="70">
        <v>43641</v>
      </c>
      <c r="C2776" t="s">
        <v>21</v>
      </c>
      <c r="D2776" t="s">
        <v>114</v>
      </c>
      <c r="E2776" t="s">
        <v>346</v>
      </c>
      <c r="F2776" s="71">
        <v>402.87</v>
      </c>
      <c r="G2776" s="71">
        <v>0</v>
      </c>
    </row>
    <row r="2777" spans="2:7" x14ac:dyDescent="0.25">
      <c r="B2777" s="70">
        <v>43641</v>
      </c>
      <c r="C2777" t="s">
        <v>21</v>
      </c>
      <c r="D2777" t="s">
        <v>114</v>
      </c>
      <c r="E2777" t="s">
        <v>346</v>
      </c>
      <c r="F2777" s="71">
        <v>414.36</v>
      </c>
      <c r="G2777" s="71">
        <v>0</v>
      </c>
    </row>
    <row r="2778" spans="2:7" x14ac:dyDescent="0.25">
      <c r="B2778" s="70">
        <v>43641</v>
      </c>
      <c r="C2778" t="s">
        <v>21</v>
      </c>
      <c r="D2778" t="s">
        <v>114</v>
      </c>
      <c r="E2778" t="s">
        <v>346</v>
      </c>
      <c r="F2778" s="71">
        <v>478.91</v>
      </c>
      <c r="G2778" s="71">
        <v>0</v>
      </c>
    </row>
    <row r="2779" spans="2:7" x14ac:dyDescent="0.25">
      <c r="B2779" s="70">
        <v>43641</v>
      </c>
      <c r="C2779" t="s">
        <v>21</v>
      </c>
      <c r="D2779" t="s">
        <v>114</v>
      </c>
      <c r="E2779" t="s">
        <v>346</v>
      </c>
      <c r="F2779" s="71">
        <v>507.4</v>
      </c>
      <c r="G2779" s="71">
        <v>0</v>
      </c>
    </row>
    <row r="2780" spans="2:7" x14ac:dyDescent="0.25">
      <c r="B2780" s="70">
        <v>43641</v>
      </c>
      <c r="C2780" t="s">
        <v>21</v>
      </c>
      <c r="D2780" t="s">
        <v>114</v>
      </c>
      <c r="E2780" t="s">
        <v>346</v>
      </c>
      <c r="F2780" s="71">
        <v>583.38</v>
      </c>
      <c r="G2780" s="71">
        <v>0</v>
      </c>
    </row>
    <row r="2781" spans="2:7" x14ac:dyDescent="0.25">
      <c r="B2781" s="70">
        <v>43641</v>
      </c>
      <c r="C2781" t="s">
        <v>21</v>
      </c>
      <c r="D2781" t="s">
        <v>114</v>
      </c>
      <c r="E2781" t="s">
        <v>346</v>
      </c>
      <c r="F2781" s="71">
        <v>594.01</v>
      </c>
      <c r="G2781" s="71">
        <v>0</v>
      </c>
    </row>
    <row r="2782" spans="2:7" x14ac:dyDescent="0.25">
      <c r="B2782" s="70">
        <v>43641</v>
      </c>
      <c r="C2782" t="s">
        <v>21</v>
      </c>
      <c r="D2782" t="s">
        <v>114</v>
      </c>
      <c r="E2782" t="s">
        <v>346</v>
      </c>
      <c r="F2782" s="71">
        <v>617.16</v>
      </c>
      <c r="G2782" s="71">
        <v>0</v>
      </c>
    </row>
    <row r="2783" spans="2:7" x14ac:dyDescent="0.25">
      <c r="B2783" s="70">
        <v>43641</v>
      </c>
      <c r="C2783" t="s">
        <v>21</v>
      </c>
      <c r="D2783" t="s">
        <v>114</v>
      </c>
      <c r="E2783" t="s">
        <v>346</v>
      </c>
      <c r="F2783" s="71">
        <v>635.95000000000005</v>
      </c>
      <c r="G2783" s="71">
        <v>0</v>
      </c>
    </row>
    <row r="2784" spans="2:7" x14ac:dyDescent="0.25">
      <c r="B2784" s="70">
        <v>43641</v>
      </c>
      <c r="C2784" t="s">
        <v>21</v>
      </c>
      <c r="D2784" t="s">
        <v>114</v>
      </c>
      <c r="E2784" t="s">
        <v>346</v>
      </c>
      <c r="F2784" s="71">
        <v>684.15</v>
      </c>
      <c r="G2784" s="71">
        <v>0</v>
      </c>
    </row>
    <row r="2785" spans="2:7" x14ac:dyDescent="0.25">
      <c r="B2785" s="70">
        <v>43641</v>
      </c>
      <c r="C2785" t="s">
        <v>21</v>
      </c>
      <c r="D2785" t="s">
        <v>114</v>
      </c>
      <c r="E2785" t="s">
        <v>346</v>
      </c>
      <c r="F2785" s="71">
        <v>879.61</v>
      </c>
      <c r="G2785" s="71">
        <v>0</v>
      </c>
    </row>
    <row r="2786" spans="2:7" x14ac:dyDescent="0.25">
      <c r="B2786" s="70">
        <v>43641</v>
      </c>
      <c r="C2786" t="s">
        <v>21</v>
      </c>
      <c r="D2786" t="s">
        <v>114</v>
      </c>
      <c r="E2786" t="s">
        <v>346</v>
      </c>
      <c r="F2786" s="71">
        <v>1192.95</v>
      </c>
      <c r="G2786" s="71">
        <v>0</v>
      </c>
    </row>
    <row r="2787" spans="2:7" x14ac:dyDescent="0.25">
      <c r="B2787" s="70">
        <v>43641</v>
      </c>
      <c r="C2787" t="s">
        <v>21</v>
      </c>
      <c r="D2787" t="s">
        <v>114</v>
      </c>
      <c r="E2787" t="s">
        <v>346</v>
      </c>
      <c r="F2787" s="71">
        <v>1352.47</v>
      </c>
      <c r="G2787" s="71">
        <v>0</v>
      </c>
    </row>
    <row r="2788" spans="2:7" x14ac:dyDescent="0.25">
      <c r="B2788" s="70">
        <v>43641</v>
      </c>
      <c r="C2788" t="s">
        <v>21</v>
      </c>
      <c r="D2788" t="s">
        <v>114</v>
      </c>
      <c r="E2788" t="s">
        <v>346</v>
      </c>
      <c r="F2788" s="71">
        <v>1424.84</v>
      </c>
      <c r="G2788" s="71">
        <v>0</v>
      </c>
    </row>
    <row r="2789" spans="2:7" x14ac:dyDescent="0.25">
      <c r="B2789" s="70">
        <v>43641</v>
      </c>
      <c r="C2789" t="s">
        <v>21</v>
      </c>
      <c r="D2789" t="s">
        <v>84</v>
      </c>
      <c r="E2789" t="s">
        <v>345</v>
      </c>
      <c r="F2789" s="71">
        <v>69.599999999999994</v>
      </c>
      <c r="G2789" s="71">
        <v>0</v>
      </c>
    </row>
    <row r="2790" spans="2:7" x14ac:dyDescent="0.25">
      <c r="B2790" s="70">
        <v>43641</v>
      </c>
      <c r="C2790" t="s">
        <v>66</v>
      </c>
      <c r="D2790" t="s">
        <v>84</v>
      </c>
      <c r="E2790" t="s">
        <v>345</v>
      </c>
      <c r="F2790" s="71">
        <v>27.4</v>
      </c>
      <c r="G2790" s="71">
        <v>0</v>
      </c>
    </row>
    <row r="2791" spans="2:7" x14ac:dyDescent="0.25">
      <c r="B2791" s="70">
        <v>43641</v>
      </c>
      <c r="C2791" t="s">
        <v>48</v>
      </c>
      <c r="D2791" t="s">
        <v>80</v>
      </c>
      <c r="E2791" t="s">
        <v>345</v>
      </c>
      <c r="F2791" s="71">
        <v>13.76</v>
      </c>
      <c r="G2791" s="71">
        <v>0</v>
      </c>
    </row>
    <row r="2792" spans="2:7" x14ac:dyDescent="0.25">
      <c r="B2792" s="70">
        <v>43641</v>
      </c>
      <c r="C2792" t="s">
        <v>48</v>
      </c>
      <c r="D2792" t="s">
        <v>114</v>
      </c>
      <c r="E2792" t="s">
        <v>346</v>
      </c>
      <c r="F2792" s="71">
        <v>519.55999999999995</v>
      </c>
      <c r="G2792" s="71">
        <v>0</v>
      </c>
    </row>
    <row r="2793" spans="2:7" x14ac:dyDescent="0.25">
      <c r="B2793" s="70">
        <v>43641</v>
      </c>
      <c r="C2793" t="s">
        <v>48</v>
      </c>
      <c r="D2793" t="s">
        <v>84</v>
      </c>
      <c r="E2793" t="s">
        <v>345</v>
      </c>
      <c r="F2793" s="71">
        <v>1059.9000000000001</v>
      </c>
      <c r="G2793" s="71">
        <v>0</v>
      </c>
    </row>
    <row r="2794" spans="2:7" x14ac:dyDescent="0.25">
      <c r="B2794" s="70">
        <v>43641</v>
      </c>
      <c r="C2794" t="s">
        <v>55</v>
      </c>
      <c r="D2794" t="s">
        <v>85</v>
      </c>
      <c r="E2794" t="s">
        <v>345</v>
      </c>
      <c r="F2794" s="71">
        <v>1379.52</v>
      </c>
      <c r="G2794" s="71">
        <v>0</v>
      </c>
    </row>
    <row r="2795" spans="2:7" x14ac:dyDescent="0.25">
      <c r="B2795" s="70">
        <v>43641</v>
      </c>
      <c r="C2795" t="s">
        <v>49</v>
      </c>
      <c r="D2795" t="s">
        <v>114</v>
      </c>
      <c r="E2795" t="s">
        <v>346</v>
      </c>
      <c r="F2795" s="71">
        <v>1553.8</v>
      </c>
      <c r="G2795" s="71">
        <v>0</v>
      </c>
    </row>
    <row r="2796" spans="2:7" x14ac:dyDescent="0.25">
      <c r="B2796" s="70">
        <v>43641</v>
      </c>
      <c r="C2796" t="s">
        <v>50</v>
      </c>
      <c r="D2796" t="s">
        <v>114</v>
      </c>
      <c r="E2796" t="s">
        <v>346</v>
      </c>
      <c r="F2796" s="71">
        <v>910.15</v>
      </c>
      <c r="G2796" s="71">
        <v>0</v>
      </c>
    </row>
    <row r="2797" spans="2:7" x14ac:dyDescent="0.25">
      <c r="B2797" s="70">
        <v>43641</v>
      </c>
      <c r="C2797" t="s">
        <v>52</v>
      </c>
      <c r="D2797" t="s">
        <v>114</v>
      </c>
      <c r="E2797" t="s">
        <v>346</v>
      </c>
      <c r="F2797" s="71">
        <v>683.57</v>
      </c>
      <c r="G2797" s="71">
        <v>0</v>
      </c>
    </row>
    <row r="2798" spans="2:7" x14ac:dyDescent="0.25">
      <c r="B2798" s="70">
        <v>43641</v>
      </c>
      <c r="C2798" t="s">
        <v>58</v>
      </c>
      <c r="D2798" t="s">
        <v>84</v>
      </c>
      <c r="E2798" t="s">
        <v>345</v>
      </c>
      <c r="F2798" s="71">
        <v>205.8</v>
      </c>
      <c r="G2798" s="71">
        <v>0</v>
      </c>
    </row>
    <row r="2799" spans="2:7" x14ac:dyDescent="0.25">
      <c r="B2799" s="70">
        <v>43641</v>
      </c>
      <c r="C2799" t="s">
        <v>71</v>
      </c>
      <c r="D2799" t="s">
        <v>84</v>
      </c>
      <c r="E2799" t="s">
        <v>345</v>
      </c>
      <c r="F2799" s="71">
        <v>831.18</v>
      </c>
      <c r="G2799" s="71">
        <v>0</v>
      </c>
    </row>
    <row r="2800" spans="2:7" x14ac:dyDescent="0.25">
      <c r="B2800" s="70">
        <v>43641</v>
      </c>
      <c r="C2800" t="s">
        <v>24</v>
      </c>
      <c r="D2800" t="s">
        <v>79</v>
      </c>
      <c r="E2800" t="s">
        <v>345</v>
      </c>
      <c r="F2800" s="71">
        <v>8</v>
      </c>
      <c r="G2800" s="71">
        <v>0</v>
      </c>
    </row>
    <row r="2801" spans="2:7" x14ac:dyDescent="0.25">
      <c r="B2801" s="70">
        <v>43641</v>
      </c>
      <c r="C2801" t="s">
        <v>24</v>
      </c>
      <c r="D2801" t="s">
        <v>114</v>
      </c>
      <c r="E2801" t="s">
        <v>346</v>
      </c>
      <c r="F2801" s="71">
        <v>12.15</v>
      </c>
      <c r="G2801" s="71">
        <v>0</v>
      </c>
    </row>
    <row r="2802" spans="2:7" x14ac:dyDescent="0.25">
      <c r="B2802" s="70">
        <v>43641</v>
      </c>
      <c r="C2802" t="s">
        <v>24</v>
      </c>
      <c r="D2802" t="s">
        <v>114</v>
      </c>
      <c r="E2802" t="s">
        <v>346</v>
      </c>
      <c r="F2802" s="71">
        <v>15.46</v>
      </c>
      <c r="G2802" s="71">
        <v>0</v>
      </c>
    </row>
    <row r="2803" spans="2:7" x14ac:dyDescent="0.25">
      <c r="B2803" s="70">
        <v>43641</v>
      </c>
      <c r="C2803" t="s">
        <v>24</v>
      </c>
      <c r="D2803" t="s">
        <v>114</v>
      </c>
      <c r="E2803" t="s">
        <v>346</v>
      </c>
      <c r="F2803" s="71">
        <v>22.19</v>
      </c>
      <c r="G2803" s="71">
        <v>0</v>
      </c>
    </row>
    <row r="2804" spans="2:7" x14ac:dyDescent="0.25">
      <c r="B2804" s="70">
        <v>43641</v>
      </c>
      <c r="C2804" t="s">
        <v>24</v>
      </c>
      <c r="D2804" t="s">
        <v>114</v>
      </c>
      <c r="E2804" t="s">
        <v>346</v>
      </c>
      <c r="F2804" s="71">
        <v>24.18</v>
      </c>
      <c r="G2804" s="71">
        <v>0</v>
      </c>
    </row>
    <row r="2805" spans="2:7" x14ac:dyDescent="0.25">
      <c r="B2805" s="70">
        <v>43641</v>
      </c>
      <c r="C2805" t="s">
        <v>24</v>
      </c>
      <c r="D2805" t="s">
        <v>114</v>
      </c>
      <c r="E2805" t="s">
        <v>346</v>
      </c>
      <c r="F2805" s="71">
        <v>29.05</v>
      </c>
      <c r="G2805" s="71">
        <v>0</v>
      </c>
    </row>
    <row r="2806" spans="2:7" x14ac:dyDescent="0.25">
      <c r="B2806" s="70">
        <v>43641</v>
      </c>
      <c r="C2806" t="s">
        <v>24</v>
      </c>
      <c r="D2806" t="s">
        <v>114</v>
      </c>
      <c r="E2806" t="s">
        <v>346</v>
      </c>
      <c r="F2806" s="71">
        <v>29.15</v>
      </c>
      <c r="G2806" s="71">
        <v>0</v>
      </c>
    </row>
    <row r="2807" spans="2:7" x14ac:dyDescent="0.25">
      <c r="B2807" s="70">
        <v>43641</v>
      </c>
      <c r="C2807" t="s">
        <v>24</v>
      </c>
      <c r="D2807" t="s">
        <v>114</v>
      </c>
      <c r="E2807" t="s">
        <v>346</v>
      </c>
      <c r="F2807" s="71">
        <v>30.68</v>
      </c>
      <c r="G2807" s="71">
        <v>0</v>
      </c>
    </row>
    <row r="2808" spans="2:7" x14ac:dyDescent="0.25">
      <c r="B2808" s="70">
        <v>43641</v>
      </c>
      <c r="C2808" t="s">
        <v>24</v>
      </c>
      <c r="D2808" t="s">
        <v>114</v>
      </c>
      <c r="E2808" t="s">
        <v>346</v>
      </c>
      <c r="F2808" s="71">
        <v>34.840000000000003</v>
      </c>
      <c r="G2808" s="71">
        <v>0</v>
      </c>
    </row>
    <row r="2809" spans="2:7" x14ac:dyDescent="0.25">
      <c r="B2809" s="70">
        <v>43641</v>
      </c>
      <c r="C2809" t="s">
        <v>24</v>
      </c>
      <c r="D2809" t="s">
        <v>114</v>
      </c>
      <c r="E2809" t="s">
        <v>346</v>
      </c>
      <c r="F2809" s="71">
        <v>50.33</v>
      </c>
      <c r="G2809" s="71">
        <v>0</v>
      </c>
    </row>
    <row r="2810" spans="2:7" x14ac:dyDescent="0.25">
      <c r="B2810" s="70">
        <v>43641</v>
      </c>
      <c r="C2810" t="s">
        <v>24</v>
      </c>
      <c r="D2810" t="s">
        <v>114</v>
      </c>
      <c r="E2810" t="s">
        <v>346</v>
      </c>
      <c r="F2810" s="71">
        <v>58.42</v>
      </c>
      <c r="G2810" s="71">
        <v>0</v>
      </c>
    </row>
    <row r="2811" spans="2:7" x14ac:dyDescent="0.25">
      <c r="B2811" s="70">
        <v>43641</v>
      </c>
      <c r="C2811" t="s">
        <v>24</v>
      </c>
      <c r="D2811" t="s">
        <v>114</v>
      </c>
      <c r="E2811" t="s">
        <v>346</v>
      </c>
      <c r="F2811" s="71">
        <v>81.11</v>
      </c>
      <c r="G2811" s="71">
        <v>0</v>
      </c>
    </row>
    <row r="2812" spans="2:7" x14ac:dyDescent="0.25">
      <c r="B2812" s="70">
        <v>43641</v>
      </c>
      <c r="C2812" t="s">
        <v>24</v>
      </c>
      <c r="D2812" t="s">
        <v>114</v>
      </c>
      <c r="E2812" t="s">
        <v>346</v>
      </c>
      <c r="F2812" s="71">
        <v>119.39</v>
      </c>
      <c r="G2812" s="71">
        <v>0</v>
      </c>
    </row>
    <row r="2813" spans="2:7" x14ac:dyDescent="0.25">
      <c r="B2813" s="70">
        <v>43641</v>
      </c>
      <c r="C2813" t="s">
        <v>24</v>
      </c>
      <c r="D2813" t="s">
        <v>114</v>
      </c>
      <c r="E2813" t="s">
        <v>346</v>
      </c>
      <c r="F2813" s="71">
        <v>275.07</v>
      </c>
      <c r="G2813" s="71">
        <v>0</v>
      </c>
    </row>
    <row r="2814" spans="2:7" x14ac:dyDescent="0.25">
      <c r="B2814" s="70">
        <v>43641</v>
      </c>
      <c r="C2814" t="s">
        <v>60</v>
      </c>
      <c r="D2814" t="s">
        <v>87</v>
      </c>
      <c r="E2814" t="s">
        <v>345</v>
      </c>
      <c r="F2814" s="71">
        <v>129.75</v>
      </c>
      <c r="G2814" s="71">
        <v>0</v>
      </c>
    </row>
    <row r="2815" spans="2:7" x14ac:dyDescent="0.25">
      <c r="B2815" s="70">
        <v>43641</v>
      </c>
      <c r="C2815" t="s">
        <v>61</v>
      </c>
      <c r="D2815" t="s">
        <v>114</v>
      </c>
      <c r="E2815" t="s">
        <v>346</v>
      </c>
      <c r="F2815" s="71">
        <v>83.12</v>
      </c>
      <c r="G2815" s="71">
        <v>0</v>
      </c>
    </row>
    <row r="2816" spans="2:7" x14ac:dyDescent="0.25">
      <c r="B2816" s="70">
        <v>43642</v>
      </c>
      <c r="C2816" t="s">
        <v>25</v>
      </c>
      <c r="D2816" t="s">
        <v>87</v>
      </c>
      <c r="E2816" t="s">
        <v>347</v>
      </c>
      <c r="F2816" s="71">
        <v>23.99</v>
      </c>
      <c r="G2816" s="71">
        <v>0</v>
      </c>
    </row>
    <row r="2817" spans="2:7" x14ac:dyDescent="0.25">
      <c r="B2817" s="70">
        <v>43642</v>
      </c>
      <c r="C2817" t="s">
        <v>25</v>
      </c>
      <c r="D2817" t="s">
        <v>87</v>
      </c>
      <c r="E2817" t="s">
        <v>347</v>
      </c>
      <c r="F2817" s="71">
        <v>59.88</v>
      </c>
      <c r="G2817" s="71">
        <v>0</v>
      </c>
    </row>
    <row r="2818" spans="2:7" x14ac:dyDescent="0.25">
      <c r="B2818" s="70">
        <v>43642</v>
      </c>
      <c r="C2818" t="s">
        <v>25</v>
      </c>
      <c r="D2818" t="s">
        <v>87</v>
      </c>
      <c r="E2818" t="s">
        <v>347</v>
      </c>
      <c r="F2818" s="71">
        <v>60.45</v>
      </c>
      <c r="G2818" s="71">
        <v>0</v>
      </c>
    </row>
    <row r="2819" spans="2:7" x14ac:dyDescent="0.25">
      <c r="B2819" s="70">
        <v>43642</v>
      </c>
      <c r="C2819" t="s">
        <v>25</v>
      </c>
      <c r="D2819" t="s">
        <v>81</v>
      </c>
      <c r="E2819" t="s">
        <v>124</v>
      </c>
      <c r="F2819" s="71">
        <v>14</v>
      </c>
      <c r="G2819" s="71">
        <v>0</v>
      </c>
    </row>
    <row r="2820" spans="2:7" x14ac:dyDescent="0.25">
      <c r="B2820" s="70">
        <v>43642</v>
      </c>
      <c r="C2820" t="s">
        <v>25</v>
      </c>
      <c r="D2820" t="s">
        <v>81</v>
      </c>
      <c r="E2820" t="s">
        <v>217</v>
      </c>
      <c r="F2820" s="71">
        <v>4.75</v>
      </c>
      <c r="G2820" s="71">
        <v>0</v>
      </c>
    </row>
    <row r="2821" spans="2:7" x14ac:dyDescent="0.25">
      <c r="B2821" s="70">
        <v>43642</v>
      </c>
      <c r="C2821" t="s">
        <v>43</v>
      </c>
      <c r="D2821" t="s">
        <v>84</v>
      </c>
      <c r="E2821" t="s">
        <v>347</v>
      </c>
      <c r="F2821" s="71">
        <v>2322.9</v>
      </c>
      <c r="G2821" s="71">
        <v>0</v>
      </c>
    </row>
    <row r="2822" spans="2:7" x14ac:dyDescent="0.25">
      <c r="B2822" s="70">
        <v>43642</v>
      </c>
      <c r="C2822" t="s">
        <v>44</v>
      </c>
      <c r="D2822" t="s">
        <v>80</v>
      </c>
      <c r="E2822" t="s">
        <v>347</v>
      </c>
      <c r="F2822" s="71">
        <v>137.63</v>
      </c>
      <c r="G2822" s="71">
        <v>0</v>
      </c>
    </row>
    <row r="2823" spans="2:7" x14ac:dyDescent="0.25">
      <c r="B2823" s="70">
        <v>43642</v>
      </c>
      <c r="C2823" t="s">
        <v>21</v>
      </c>
      <c r="D2823" t="s">
        <v>79</v>
      </c>
      <c r="E2823" t="s">
        <v>347</v>
      </c>
      <c r="F2823" s="71">
        <v>8</v>
      </c>
      <c r="G2823" s="71">
        <v>0</v>
      </c>
    </row>
    <row r="2824" spans="2:7" x14ac:dyDescent="0.25">
      <c r="B2824" s="70">
        <v>43642</v>
      </c>
      <c r="C2824" t="s">
        <v>21</v>
      </c>
      <c r="D2824" t="s">
        <v>79</v>
      </c>
      <c r="E2824" t="s">
        <v>347</v>
      </c>
      <c r="F2824" s="71">
        <v>24</v>
      </c>
      <c r="G2824" s="71">
        <v>0</v>
      </c>
    </row>
    <row r="2825" spans="2:7" x14ac:dyDescent="0.25">
      <c r="B2825" s="70">
        <v>43642</v>
      </c>
      <c r="C2825" t="s">
        <v>53</v>
      </c>
      <c r="D2825" t="s">
        <v>84</v>
      </c>
      <c r="E2825" t="s">
        <v>347</v>
      </c>
      <c r="F2825" s="71">
        <v>477.97</v>
      </c>
      <c r="G2825" s="71">
        <v>0</v>
      </c>
    </row>
    <row r="2826" spans="2:7" x14ac:dyDescent="0.25">
      <c r="B2826" s="70">
        <v>43643</v>
      </c>
      <c r="C2826" t="s">
        <v>25</v>
      </c>
      <c r="D2826" t="s">
        <v>85</v>
      </c>
      <c r="E2826" t="s">
        <v>348</v>
      </c>
      <c r="F2826" s="71">
        <v>75</v>
      </c>
      <c r="G2826" s="71">
        <v>0</v>
      </c>
    </row>
    <row r="2827" spans="2:7" x14ac:dyDescent="0.25">
      <c r="B2827" s="70">
        <v>43643</v>
      </c>
      <c r="C2827" t="s">
        <v>25</v>
      </c>
      <c r="D2827" t="s">
        <v>81</v>
      </c>
      <c r="E2827" t="s">
        <v>349</v>
      </c>
      <c r="F2827" s="71">
        <v>12</v>
      </c>
      <c r="G2827" s="71">
        <v>0</v>
      </c>
    </row>
    <row r="2828" spans="2:7" x14ac:dyDescent="0.25">
      <c r="B2828" s="70">
        <v>43643</v>
      </c>
      <c r="C2828" t="s">
        <v>25</v>
      </c>
      <c r="D2828" t="s">
        <v>81</v>
      </c>
      <c r="E2828" t="s">
        <v>220</v>
      </c>
      <c r="F2828" s="71">
        <v>10.25</v>
      </c>
      <c r="G2828" s="71">
        <v>0</v>
      </c>
    </row>
    <row r="2829" spans="2:7" x14ac:dyDescent="0.25">
      <c r="B2829" s="70">
        <v>43643</v>
      </c>
      <c r="C2829" t="s">
        <v>25</v>
      </c>
      <c r="D2829" t="s">
        <v>81</v>
      </c>
      <c r="E2829" t="s">
        <v>191</v>
      </c>
      <c r="F2829" s="71">
        <v>22</v>
      </c>
      <c r="G2829" s="71">
        <v>0</v>
      </c>
    </row>
    <row r="2830" spans="2:7" x14ac:dyDescent="0.25">
      <c r="B2830" s="70">
        <v>43643</v>
      </c>
      <c r="C2830" t="s">
        <v>25</v>
      </c>
      <c r="D2830" t="s">
        <v>81</v>
      </c>
      <c r="E2830" t="s">
        <v>241</v>
      </c>
      <c r="F2830" s="71">
        <v>6.4</v>
      </c>
      <c r="G2830" s="71">
        <v>0</v>
      </c>
    </row>
    <row r="2831" spans="2:7" x14ac:dyDescent="0.25">
      <c r="B2831" s="70">
        <v>43643</v>
      </c>
      <c r="C2831" t="s">
        <v>25</v>
      </c>
      <c r="D2831" t="s">
        <v>81</v>
      </c>
      <c r="E2831" t="s">
        <v>273</v>
      </c>
      <c r="F2831" s="71">
        <v>1.8</v>
      </c>
      <c r="G2831" s="71">
        <v>0</v>
      </c>
    </row>
    <row r="2832" spans="2:7" x14ac:dyDescent="0.25">
      <c r="B2832" s="70">
        <v>43643</v>
      </c>
      <c r="C2832" t="s">
        <v>25</v>
      </c>
      <c r="D2832" t="s">
        <v>84</v>
      </c>
      <c r="E2832" t="s">
        <v>348</v>
      </c>
      <c r="F2832" s="71">
        <v>10</v>
      </c>
      <c r="G2832" s="71">
        <v>0</v>
      </c>
    </row>
    <row r="2833" spans="2:7" x14ac:dyDescent="0.25">
      <c r="B2833" s="70">
        <v>43643</v>
      </c>
      <c r="C2833" t="s">
        <v>25</v>
      </c>
      <c r="D2833" t="s">
        <v>84</v>
      </c>
      <c r="E2833" t="s">
        <v>348</v>
      </c>
      <c r="F2833" s="71">
        <v>32</v>
      </c>
      <c r="G2833" s="71">
        <v>0</v>
      </c>
    </row>
    <row r="2834" spans="2:7" x14ac:dyDescent="0.25">
      <c r="B2834" s="70">
        <v>43643</v>
      </c>
      <c r="C2834" t="s">
        <v>25</v>
      </c>
      <c r="D2834" t="s">
        <v>84</v>
      </c>
      <c r="E2834" t="s">
        <v>348</v>
      </c>
      <c r="F2834" s="71">
        <v>76</v>
      </c>
      <c r="G2834" s="71">
        <v>0</v>
      </c>
    </row>
    <row r="2835" spans="2:7" x14ac:dyDescent="0.25">
      <c r="B2835" s="70">
        <v>43643</v>
      </c>
      <c r="C2835" t="s">
        <v>25</v>
      </c>
      <c r="D2835" t="s">
        <v>84</v>
      </c>
      <c r="E2835" t="s">
        <v>348</v>
      </c>
      <c r="F2835" s="71">
        <v>100</v>
      </c>
      <c r="G2835" s="71">
        <v>0</v>
      </c>
    </row>
    <row r="2836" spans="2:7" x14ac:dyDescent="0.25">
      <c r="B2836" s="70">
        <v>43643</v>
      </c>
      <c r="C2836" t="s">
        <v>25</v>
      </c>
      <c r="D2836" t="s">
        <v>84</v>
      </c>
      <c r="E2836" t="s">
        <v>348</v>
      </c>
      <c r="F2836" s="71">
        <v>114</v>
      </c>
      <c r="G2836" s="71">
        <v>0</v>
      </c>
    </row>
    <row r="2837" spans="2:7" x14ac:dyDescent="0.25">
      <c r="B2837" s="70">
        <v>43643</v>
      </c>
      <c r="C2837" t="s">
        <v>54</v>
      </c>
      <c r="D2837" t="s">
        <v>79</v>
      </c>
      <c r="E2837" t="s">
        <v>348</v>
      </c>
      <c r="F2837" s="71">
        <v>18.690000000000001</v>
      </c>
      <c r="G2837" s="71">
        <v>0</v>
      </c>
    </row>
    <row r="2838" spans="2:7" x14ac:dyDescent="0.25">
      <c r="B2838" s="70">
        <v>43643</v>
      </c>
      <c r="C2838" t="s">
        <v>54</v>
      </c>
      <c r="D2838" t="s">
        <v>85</v>
      </c>
      <c r="E2838" t="s">
        <v>348</v>
      </c>
      <c r="F2838" s="71">
        <v>22.5</v>
      </c>
      <c r="G2838" s="71">
        <v>0</v>
      </c>
    </row>
    <row r="2839" spans="2:7" x14ac:dyDescent="0.25">
      <c r="B2839" s="70">
        <v>43643</v>
      </c>
      <c r="C2839" t="s">
        <v>47</v>
      </c>
      <c r="D2839" t="s">
        <v>84</v>
      </c>
      <c r="E2839" t="s">
        <v>348</v>
      </c>
      <c r="F2839" s="71">
        <v>56.55</v>
      </c>
      <c r="G2839" s="71">
        <v>0</v>
      </c>
    </row>
    <row r="2840" spans="2:7" x14ac:dyDescent="0.25">
      <c r="B2840" s="70">
        <v>43643</v>
      </c>
      <c r="C2840" t="s">
        <v>51</v>
      </c>
      <c r="D2840" t="s">
        <v>86</v>
      </c>
      <c r="E2840" t="s">
        <v>348</v>
      </c>
      <c r="F2840" s="71">
        <v>0</v>
      </c>
      <c r="G2840" s="71">
        <v>719.44</v>
      </c>
    </row>
    <row r="2841" spans="2:7" x14ac:dyDescent="0.25">
      <c r="B2841" s="70">
        <v>43643</v>
      </c>
      <c r="C2841" t="s">
        <v>43</v>
      </c>
      <c r="D2841" t="s">
        <v>84</v>
      </c>
      <c r="E2841" t="s">
        <v>348</v>
      </c>
      <c r="F2841" s="71">
        <v>719.83</v>
      </c>
      <c r="G2841" s="71">
        <v>0</v>
      </c>
    </row>
    <row r="2842" spans="2:7" x14ac:dyDescent="0.25">
      <c r="B2842" s="70">
        <v>43643</v>
      </c>
      <c r="C2842" t="s">
        <v>21</v>
      </c>
      <c r="D2842" t="s">
        <v>79</v>
      </c>
      <c r="E2842" t="s">
        <v>348</v>
      </c>
      <c r="F2842" s="71">
        <v>8</v>
      </c>
      <c r="G2842" s="71">
        <v>0</v>
      </c>
    </row>
    <row r="2843" spans="2:7" x14ac:dyDescent="0.25">
      <c r="B2843" s="70">
        <v>43643</v>
      </c>
      <c r="C2843" t="s">
        <v>21</v>
      </c>
      <c r="D2843" t="s">
        <v>79</v>
      </c>
      <c r="E2843" t="s">
        <v>348</v>
      </c>
      <c r="F2843" s="71">
        <v>16</v>
      </c>
      <c r="G2843" s="71">
        <v>0</v>
      </c>
    </row>
    <row r="2844" spans="2:7" x14ac:dyDescent="0.25">
      <c r="B2844" s="70">
        <v>43643</v>
      </c>
      <c r="C2844" t="s">
        <v>21</v>
      </c>
      <c r="D2844" t="s">
        <v>79</v>
      </c>
      <c r="E2844" t="s">
        <v>348</v>
      </c>
      <c r="F2844" s="71">
        <v>24</v>
      </c>
      <c r="G2844" s="71">
        <v>0</v>
      </c>
    </row>
    <row r="2845" spans="2:7" x14ac:dyDescent="0.25">
      <c r="B2845" s="70">
        <v>43643</v>
      </c>
      <c r="C2845" t="s">
        <v>21</v>
      </c>
      <c r="D2845" t="s">
        <v>84</v>
      </c>
      <c r="E2845" t="s">
        <v>348</v>
      </c>
      <c r="F2845" s="71">
        <v>20</v>
      </c>
      <c r="G2845" s="71">
        <v>0</v>
      </c>
    </row>
    <row r="2846" spans="2:7" x14ac:dyDescent="0.25">
      <c r="B2846" s="70">
        <v>43643</v>
      </c>
      <c r="C2846" t="s">
        <v>21</v>
      </c>
      <c r="D2846" t="s">
        <v>84</v>
      </c>
      <c r="E2846" t="s">
        <v>348</v>
      </c>
      <c r="F2846" s="71">
        <v>32</v>
      </c>
      <c r="G2846" s="71">
        <v>0</v>
      </c>
    </row>
    <row r="2847" spans="2:7" x14ac:dyDescent="0.25">
      <c r="B2847" s="70">
        <v>43643</v>
      </c>
      <c r="C2847" t="s">
        <v>48</v>
      </c>
      <c r="D2847" t="s">
        <v>84</v>
      </c>
      <c r="E2847" t="s">
        <v>348</v>
      </c>
      <c r="F2847" s="71">
        <v>168</v>
      </c>
      <c r="G2847" s="71">
        <v>0</v>
      </c>
    </row>
    <row r="2848" spans="2:7" x14ac:dyDescent="0.25">
      <c r="B2848" s="70">
        <v>43643</v>
      </c>
      <c r="C2848" t="s">
        <v>50</v>
      </c>
      <c r="D2848" t="s">
        <v>84</v>
      </c>
      <c r="E2848" t="s">
        <v>348</v>
      </c>
      <c r="F2848" s="71">
        <v>9.3800000000000008</v>
      </c>
      <c r="G2848" s="71">
        <v>0</v>
      </c>
    </row>
    <row r="2849" spans="2:7" x14ac:dyDescent="0.25">
      <c r="B2849" s="70">
        <v>43643</v>
      </c>
      <c r="C2849" t="s">
        <v>58</v>
      </c>
      <c r="D2849" t="s">
        <v>84</v>
      </c>
      <c r="E2849" t="s">
        <v>348</v>
      </c>
      <c r="F2849" s="71">
        <v>25</v>
      </c>
      <c r="G2849" s="71">
        <v>0</v>
      </c>
    </row>
    <row r="2850" spans="2:7" x14ac:dyDescent="0.25">
      <c r="B2850" s="70">
        <v>43643</v>
      </c>
      <c r="C2850" t="s">
        <v>73</v>
      </c>
      <c r="D2850" t="s">
        <v>84</v>
      </c>
      <c r="E2850" t="s">
        <v>348</v>
      </c>
      <c r="F2850" s="71">
        <v>5</v>
      </c>
      <c r="G2850" s="71">
        <v>0</v>
      </c>
    </row>
    <row r="2851" spans="2:7" x14ac:dyDescent="0.25">
      <c r="B2851" s="70">
        <v>43643</v>
      </c>
      <c r="C2851" t="s">
        <v>24</v>
      </c>
      <c r="D2851" t="s">
        <v>79</v>
      </c>
      <c r="E2851" t="s">
        <v>348</v>
      </c>
      <c r="F2851" s="71">
        <v>8</v>
      </c>
      <c r="G2851" s="71">
        <v>0</v>
      </c>
    </row>
    <row r="2852" spans="2:7" x14ac:dyDescent="0.25">
      <c r="B2852" s="70">
        <v>43643</v>
      </c>
      <c r="C2852" t="s">
        <v>24</v>
      </c>
      <c r="D2852" t="s">
        <v>79</v>
      </c>
      <c r="E2852" t="s">
        <v>348</v>
      </c>
      <c r="F2852" s="71">
        <v>16</v>
      </c>
      <c r="G2852" s="71">
        <v>0</v>
      </c>
    </row>
    <row r="2853" spans="2:7" x14ac:dyDescent="0.25">
      <c r="B2853" s="70">
        <v>43643</v>
      </c>
      <c r="C2853" t="s">
        <v>24</v>
      </c>
      <c r="D2853" t="s">
        <v>84</v>
      </c>
      <c r="E2853" t="s">
        <v>348</v>
      </c>
      <c r="F2853" s="71">
        <v>64</v>
      </c>
      <c r="G2853" s="71">
        <v>0</v>
      </c>
    </row>
    <row r="2854" spans="2:7" x14ac:dyDescent="0.25">
      <c r="B2854" s="70">
        <v>43643</v>
      </c>
      <c r="C2854" t="s">
        <v>62</v>
      </c>
      <c r="D2854" t="s">
        <v>84</v>
      </c>
      <c r="E2854" t="s">
        <v>348</v>
      </c>
      <c r="F2854" s="71">
        <v>32</v>
      </c>
      <c r="G2854" s="71">
        <v>0</v>
      </c>
    </row>
    <row r="2855" spans="2:7" x14ac:dyDescent="0.25">
      <c r="B2855" s="70">
        <v>43644</v>
      </c>
      <c r="C2855" t="s">
        <v>25</v>
      </c>
      <c r="D2855" t="s">
        <v>81</v>
      </c>
      <c r="E2855" t="s">
        <v>350</v>
      </c>
      <c r="F2855" s="71">
        <v>16</v>
      </c>
      <c r="G2855" s="71">
        <v>0</v>
      </c>
    </row>
    <row r="2856" spans="2:7" x14ac:dyDescent="0.25">
      <c r="B2856" s="70">
        <v>43644</v>
      </c>
      <c r="C2856" t="s">
        <v>25</v>
      </c>
      <c r="D2856" t="s">
        <v>81</v>
      </c>
      <c r="E2856" t="s">
        <v>164</v>
      </c>
      <c r="F2856" s="71">
        <v>18</v>
      </c>
      <c r="G2856" s="71">
        <v>0</v>
      </c>
    </row>
    <row r="2857" spans="2:7" x14ac:dyDescent="0.25">
      <c r="B2857" s="70">
        <v>43644</v>
      </c>
      <c r="C2857" t="s">
        <v>43</v>
      </c>
      <c r="D2857" t="s">
        <v>86</v>
      </c>
      <c r="E2857" t="s">
        <v>351</v>
      </c>
      <c r="F2857" s="71">
        <v>0</v>
      </c>
      <c r="G2857" s="71">
        <v>382.02</v>
      </c>
    </row>
    <row r="2858" spans="2:7" x14ac:dyDescent="0.25">
      <c r="B2858" s="70">
        <v>43644</v>
      </c>
      <c r="C2858" t="s">
        <v>66</v>
      </c>
      <c r="D2858" t="s">
        <v>82</v>
      </c>
      <c r="E2858" t="s">
        <v>351</v>
      </c>
      <c r="F2858" s="71">
        <v>123</v>
      </c>
      <c r="G2858" s="71">
        <v>0</v>
      </c>
    </row>
    <row r="2859" spans="2:7" x14ac:dyDescent="0.25">
      <c r="B2859" s="70">
        <v>43644</v>
      </c>
      <c r="C2859" t="s">
        <v>67</v>
      </c>
      <c r="D2859" t="s">
        <v>87</v>
      </c>
      <c r="E2859" t="s">
        <v>351</v>
      </c>
      <c r="F2859" s="71">
        <v>1000</v>
      </c>
      <c r="G2859" s="71">
        <v>0</v>
      </c>
    </row>
    <row r="2860" spans="2:7" x14ac:dyDescent="0.25">
      <c r="B2860" s="70">
        <v>43645</v>
      </c>
      <c r="C2860" t="s">
        <v>25</v>
      </c>
      <c r="D2860" t="s">
        <v>81</v>
      </c>
      <c r="E2860" t="s">
        <v>212</v>
      </c>
      <c r="F2860" s="71">
        <v>9</v>
      </c>
      <c r="G2860" s="71">
        <v>0</v>
      </c>
    </row>
    <row r="2861" spans="2:7" x14ac:dyDescent="0.25">
      <c r="B2861" s="70">
        <v>43645</v>
      </c>
      <c r="C2861" t="s">
        <v>25</v>
      </c>
      <c r="D2861" t="s">
        <v>81</v>
      </c>
      <c r="E2861" t="s">
        <v>199</v>
      </c>
      <c r="F2861" s="71">
        <v>8.6999999999999993</v>
      </c>
      <c r="G2861" s="71">
        <v>0</v>
      </c>
    </row>
    <row r="2862" spans="2:7" x14ac:dyDescent="0.25">
      <c r="B2862" s="70">
        <v>43648</v>
      </c>
      <c r="C2862" t="s">
        <v>25</v>
      </c>
      <c r="D2862" t="s">
        <v>79</v>
      </c>
      <c r="E2862" t="s">
        <v>352</v>
      </c>
      <c r="F2862" s="71">
        <v>8</v>
      </c>
      <c r="G2862" s="71">
        <v>0</v>
      </c>
    </row>
    <row r="2863" spans="2:7" x14ac:dyDescent="0.25">
      <c r="B2863" s="70">
        <v>43648</v>
      </c>
      <c r="C2863" t="s">
        <v>25</v>
      </c>
      <c r="D2863" t="s">
        <v>85</v>
      </c>
      <c r="E2863" t="s">
        <v>352</v>
      </c>
      <c r="F2863" s="71">
        <v>30</v>
      </c>
      <c r="G2863" s="71">
        <v>0</v>
      </c>
    </row>
    <row r="2864" spans="2:7" x14ac:dyDescent="0.25">
      <c r="B2864" s="70">
        <v>43648</v>
      </c>
      <c r="C2864" t="s">
        <v>25</v>
      </c>
      <c r="D2864" t="s">
        <v>100</v>
      </c>
      <c r="E2864" t="s">
        <v>353</v>
      </c>
      <c r="F2864" s="71">
        <v>16</v>
      </c>
      <c r="G2864" s="71">
        <v>0</v>
      </c>
    </row>
    <row r="2865" spans="2:7" x14ac:dyDescent="0.25">
      <c r="B2865" s="70">
        <v>43648</v>
      </c>
      <c r="C2865" t="s">
        <v>25</v>
      </c>
      <c r="D2865" t="s">
        <v>81</v>
      </c>
      <c r="E2865" t="s">
        <v>172</v>
      </c>
      <c r="F2865" s="71">
        <v>4.75</v>
      </c>
      <c r="G2865" s="71">
        <v>0</v>
      </c>
    </row>
    <row r="2866" spans="2:7" x14ac:dyDescent="0.25">
      <c r="B2866" s="70">
        <v>43648</v>
      </c>
      <c r="C2866" t="s">
        <v>25</v>
      </c>
      <c r="D2866" t="s">
        <v>81</v>
      </c>
      <c r="E2866" t="s">
        <v>213</v>
      </c>
      <c r="F2866" s="71">
        <v>50</v>
      </c>
      <c r="G2866" s="71">
        <v>0</v>
      </c>
    </row>
    <row r="2867" spans="2:7" x14ac:dyDescent="0.25">
      <c r="B2867" s="70">
        <v>43648</v>
      </c>
      <c r="C2867" t="s">
        <v>25</v>
      </c>
      <c r="D2867" t="s">
        <v>84</v>
      </c>
      <c r="E2867" t="s">
        <v>352</v>
      </c>
      <c r="F2867" s="71">
        <v>120</v>
      </c>
      <c r="G2867" s="71">
        <v>0</v>
      </c>
    </row>
    <row r="2868" spans="2:7" x14ac:dyDescent="0.25">
      <c r="B2868" s="70">
        <v>43648</v>
      </c>
      <c r="C2868" t="s">
        <v>46</v>
      </c>
      <c r="D2868" t="s">
        <v>84</v>
      </c>
      <c r="E2868" t="s">
        <v>352</v>
      </c>
      <c r="F2868" s="71">
        <v>9.9</v>
      </c>
      <c r="G2868" s="71">
        <v>0</v>
      </c>
    </row>
    <row r="2869" spans="2:7" x14ac:dyDescent="0.25">
      <c r="B2869" s="70">
        <v>43648</v>
      </c>
      <c r="C2869" t="s">
        <v>47</v>
      </c>
      <c r="D2869" t="s">
        <v>85</v>
      </c>
      <c r="E2869" t="s">
        <v>352</v>
      </c>
      <c r="F2869" s="71">
        <v>35</v>
      </c>
      <c r="G2869" s="71">
        <v>0</v>
      </c>
    </row>
    <row r="2870" spans="2:7" x14ac:dyDescent="0.25">
      <c r="B2870" s="70">
        <v>43648</v>
      </c>
      <c r="C2870" t="s">
        <v>51</v>
      </c>
      <c r="D2870" t="s">
        <v>84</v>
      </c>
      <c r="E2870" t="s">
        <v>352</v>
      </c>
      <c r="F2870" s="71">
        <v>42.6</v>
      </c>
      <c r="G2870" s="71">
        <v>0</v>
      </c>
    </row>
    <row r="2871" spans="2:7" x14ac:dyDescent="0.25">
      <c r="B2871" s="70">
        <v>43648</v>
      </c>
      <c r="C2871" t="s">
        <v>21</v>
      </c>
      <c r="D2871" t="s">
        <v>79</v>
      </c>
      <c r="E2871" t="s">
        <v>352</v>
      </c>
      <c r="F2871" s="71">
        <v>16</v>
      </c>
      <c r="G2871" s="71">
        <v>0</v>
      </c>
    </row>
    <row r="2872" spans="2:7" x14ac:dyDescent="0.25">
      <c r="B2872" s="70">
        <v>43648</v>
      </c>
      <c r="C2872" t="s">
        <v>21</v>
      </c>
      <c r="D2872" t="s">
        <v>79</v>
      </c>
      <c r="E2872" t="s">
        <v>352</v>
      </c>
      <c r="F2872" s="71">
        <v>32</v>
      </c>
      <c r="G2872" s="71">
        <v>0</v>
      </c>
    </row>
    <row r="2873" spans="2:7" x14ac:dyDescent="0.25">
      <c r="B2873" s="70">
        <v>43648</v>
      </c>
      <c r="C2873" t="s">
        <v>21</v>
      </c>
      <c r="D2873" t="s">
        <v>79</v>
      </c>
      <c r="E2873" t="s">
        <v>352</v>
      </c>
      <c r="F2873" s="71">
        <v>40</v>
      </c>
      <c r="G2873" s="71">
        <v>0</v>
      </c>
    </row>
    <row r="2874" spans="2:7" x14ac:dyDescent="0.25">
      <c r="B2874" s="70">
        <v>43648</v>
      </c>
      <c r="C2874" t="s">
        <v>21</v>
      </c>
      <c r="D2874" t="s">
        <v>79</v>
      </c>
      <c r="E2874" t="s">
        <v>352</v>
      </c>
      <c r="F2874" s="71">
        <v>56</v>
      </c>
      <c r="G2874" s="71">
        <v>0</v>
      </c>
    </row>
    <row r="2875" spans="2:7" x14ac:dyDescent="0.25">
      <c r="B2875" s="70">
        <v>43648</v>
      </c>
      <c r="C2875" t="s">
        <v>21</v>
      </c>
      <c r="D2875" t="s">
        <v>84</v>
      </c>
      <c r="E2875" t="s">
        <v>352</v>
      </c>
      <c r="F2875" s="71">
        <v>182</v>
      </c>
      <c r="G2875" s="71">
        <v>0</v>
      </c>
    </row>
    <row r="2876" spans="2:7" x14ac:dyDescent="0.25">
      <c r="B2876" s="70">
        <v>43648</v>
      </c>
      <c r="C2876" t="s">
        <v>21</v>
      </c>
      <c r="D2876" t="s">
        <v>84</v>
      </c>
      <c r="E2876" t="s">
        <v>352</v>
      </c>
      <c r="F2876" s="71">
        <v>338</v>
      </c>
      <c r="G2876" s="71">
        <v>0</v>
      </c>
    </row>
    <row r="2877" spans="2:7" x14ac:dyDescent="0.25">
      <c r="B2877" s="70">
        <v>43648</v>
      </c>
      <c r="C2877" t="s">
        <v>48</v>
      </c>
      <c r="D2877" t="s">
        <v>84</v>
      </c>
      <c r="E2877" t="s">
        <v>352</v>
      </c>
      <c r="F2877" s="71">
        <v>52</v>
      </c>
      <c r="G2877" s="71">
        <v>0</v>
      </c>
    </row>
    <row r="2878" spans="2:7" x14ac:dyDescent="0.25">
      <c r="B2878" s="70">
        <v>43648</v>
      </c>
      <c r="C2878" t="s">
        <v>53</v>
      </c>
      <c r="D2878" t="s">
        <v>84</v>
      </c>
      <c r="E2878" t="s">
        <v>352</v>
      </c>
      <c r="F2878" s="71">
        <v>5</v>
      </c>
      <c r="G2878" s="71">
        <v>0</v>
      </c>
    </row>
    <row r="2879" spans="2:7" x14ac:dyDescent="0.25">
      <c r="B2879" s="70">
        <v>43648</v>
      </c>
      <c r="C2879" t="s">
        <v>24</v>
      </c>
      <c r="D2879" t="s">
        <v>79</v>
      </c>
      <c r="E2879" t="s">
        <v>352</v>
      </c>
      <c r="F2879" s="71">
        <v>8</v>
      </c>
      <c r="G2879" s="71">
        <v>0</v>
      </c>
    </row>
    <row r="2880" spans="2:7" x14ac:dyDescent="0.25">
      <c r="B2880" s="70">
        <v>43648</v>
      </c>
      <c r="C2880" t="s">
        <v>24</v>
      </c>
      <c r="D2880" t="s">
        <v>79</v>
      </c>
      <c r="E2880" t="s">
        <v>352</v>
      </c>
      <c r="F2880" s="71">
        <v>64</v>
      </c>
      <c r="G2880" s="71">
        <v>0</v>
      </c>
    </row>
    <row r="2881" spans="2:7" x14ac:dyDescent="0.25">
      <c r="B2881" s="70">
        <v>43649</v>
      </c>
      <c r="C2881" t="s">
        <v>25</v>
      </c>
      <c r="D2881" t="s">
        <v>80</v>
      </c>
      <c r="E2881" t="s">
        <v>354</v>
      </c>
      <c r="F2881" s="71">
        <v>88</v>
      </c>
      <c r="G2881" s="71">
        <v>0</v>
      </c>
    </row>
    <row r="2882" spans="2:7" x14ac:dyDescent="0.25">
      <c r="B2882" s="70">
        <v>43649</v>
      </c>
      <c r="C2882" t="s">
        <v>25</v>
      </c>
      <c r="D2882" t="s">
        <v>87</v>
      </c>
      <c r="E2882" t="s">
        <v>354</v>
      </c>
      <c r="F2882" s="71">
        <v>10.99</v>
      </c>
      <c r="G2882" s="71">
        <v>0</v>
      </c>
    </row>
    <row r="2883" spans="2:7" x14ac:dyDescent="0.25">
      <c r="B2883" s="70">
        <v>43649</v>
      </c>
      <c r="C2883" t="s">
        <v>25</v>
      </c>
      <c r="D2883" t="s">
        <v>87</v>
      </c>
      <c r="E2883" t="s">
        <v>354</v>
      </c>
      <c r="F2883" s="71">
        <v>18.690000000000001</v>
      </c>
      <c r="G2883" s="71">
        <v>0</v>
      </c>
    </row>
    <row r="2884" spans="2:7" x14ac:dyDescent="0.25">
      <c r="B2884" s="70">
        <v>43649</v>
      </c>
      <c r="C2884" t="s">
        <v>25</v>
      </c>
      <c r="D2884" t="s">
        <v>87</v>
      </c>
      <c r="E2884" t="s">
        <v>354</v>
      </c>
      <c r="F2884" s="71">
        <v>19.350000000000001</v>
      </c>
      <c r="G2884" s="71">
        <v>0</v>
      </c>
    </row>
    <row r="2885" spans="2:7" x14ac:dyDescent="0.25">
      <c r="B2885" s="70">
        <v>43649</v>
      </c>
      <c r="C2885" t="s">
        <v>25</v>
      </c>
      <c r="D2885" t="s">
        <v>87</v>
      </c>
      <c r="E2885" t="s">
        <v>354</v>
      </c>
      <c r="F2885" s="71">
        <v>61.5</v>
      </c>
      <c r="G2885" s="71">
        <v>0</v>
      </c>
    </row>
    <row r="2886" spans="2:7" x14ac:dyDescent="0.25">
      <c r="B2886" s="70">
        <v>43649</v>
      </c>
      <c r="C2886" t="s">
        <v>25</v>
      </c>
      <c r="D2886" t="s">
        <v>87</v>
      </c>
      <c r="E2886" t="s">
        <v>354</v>
      </c>
      <c r="F2886" s="71">
        <v>88.8</v>
      </c>
      <c r="G2886" s="71">
        <v>0</v>
      </c>
    </row>
    <row r="2887" spans="2:7" x14ac:dyDescent="0.25">
      <c r="B2887" s="70">
        <v>43649</v>
      </c>
      <c r="C2887" t="s">
        <v>25</v>
      </c>
      <c r="D2887" t="s">
        <v>87</v>
      </c>
      <c r="E2887" t="s">
        <v>354</v>
      </c>
      <c r="F2887" s="71">
        <v>94.23</v>
      </c>
      <c r="G2887" s="71">
        <v>0</v>
      </c>
    </row>
    <row r="2888" spans="2:7" x14ac:dyDescent="0.25">
      <c r="B2888" s="70">
        <v>43649</v>
      </c>
      <c r="C2888" t="s">
        <v>25</v>
      </c>
      <c r="D2888" t="s">
        <v>87</v>
      </c>
      <c r="E2888" t="s">
        <v>354</v>
      </c>
      <c r="F2888" s="71">
        <v>99.5</v>
      </c>
      <c r="G2888" s="71">
        <v>0</v>
      </c>
    </row>
    <row r="2889" spans="2:7" x14ac:dyDescent="0.25">
      <c r="B2889" s="70">
        <v>43649</v>
      </c>
      <c r="C2889" t="s">
        <v>25</v>
      </c>
      <c r="D2889" t="s">
        <v>87</v>
      </c>
      <c r="E2889" t="s">
        <v>354</v>
      </c>
      <c r="F2889" s="71">
        <v>102.76</v>
      </c>
      <c r="G2889" s="71">
        <v>0</v>
      </c>
    </row>
    <row r="2890" spans="2:7" x14ac:dyDescent="0.25">
      <c r="B2890" s="70">
        <v>43649</v>
      </c>
      <c r="C2890" t="s">
        <v>25</v>
      </c>
      <c r="D2890" t="s">
        <v>87</v>
      </c>
      <c r="E2890" t="s">
        <v>354</v>
      </c>
      <c r="F2890" s="71">
        <v>129.52000000000001</v>
      </c>
      <c r="G2890" s="71">
        <v>0</v>
      </c>
    </row>
    <row r="2891" spans="2:7" x14ac:dyDescent="0.25">
      <c r="B2891" s="70">
        <v>43649</v>
      </c>
      <c r="C2891" t="s">
        <v>25</v>
      </c>
      <c r="D2891" t="s">
        <v>81</v>
      </c>
      <c r="E2891" t="s">
        <v>124</v>
      </c>
      <c r="F2891" s="71">
        <v>6.6</v>
      </c>
      <c r="G2891" s="71">
        <v>0</v>
      </c>
    </row>
    <row r="2892" spans="2:7" x14ac:dyDescent="0.25">
      <c r="B2892" s="70">
        <v>43649</v>
      </c>
      <c r="C2892" t="s">
        <v>56</v>
      </c>
      <c r="D2892" t="s">
        <v>84</v>
      </c>
      <c r="E2892" t="s">
        <v>354</v>
      </c>
      <c r="F2892" s="71">
        <v>136.99</v>
      </c>
      <c r="G2892" s="71">
        <v>0</v>
      </c>
    </row>
    <row r="2893" spans="2:7" x14ac:dyDescent="0.25">
      <c r="B2893" s="70">
        <v>43649</v>
      </c>
      <c r="C2893" t="s">
        <v>51</v>
      </c>
      <c r="D2893" t="s">
        <v>84</v>
      </c>
      <c r="E2893" t="s">
        <v>354</v>
      </c>
      <c r="F2893" s="71">
        <v>213.7</v>
      </c>
      <c r="G2893" s="71">
        <v>0</v>
      </c>
    </row>
    <row r="2894" spans="2:7" x14ac:dyDescent="0.25">
      <c r="B2894" s="70">
        <v>43649</v>
      </c>
      <c r="C2894" t="s">
        <v>43</v>
      </c>
      <c r="D2894" t="s">
        <v>86</v>
      </c>
      <c r="E2894" t="s">
        <v>354</v>
      </c>
      <c r="F2894" s="71">
        <v>1578.84</v>
      </c>
      <c r="G2894" s="71">
        <v>0</v>
      </c>
    </row>
    <row r="2895" spans="2:7" x14ac:dyDescent="0.25">
      <c r="B2895" s="70">
        <v>43649</v>
      </c>
      <c r="C2895" t="s">
        <v>21</v>
      </c>
      <c r="D2895" t="s">
        <v>79</v>
      </c>
      <c r="E2895" t="s">
        <v>354</v>
      </c>
      <c r="F2895" s="71">
        <v>8</v>
      </c>
      <c r="G2895" s="71">
        <v>0</v>
      </c>
    </row>
    <row r="2896" spans="2:7" x14ac:dyDescent="0.25">
      <c r="B2896" s="70">
        <v>43649</v>
      </c>
      <c r="C2896" t="s">
        <v>21</v>
      </c>
      <c r="D2896" t="s">
        <v>79</v>
      </c>
      <c r="E2896" t="s">
        <v>354</v>
      </c>
      <c r="F2896" s="71">
        <v>24</v>
      </c>
      <c r="G2896" s="71">
        <v>0</v>
      </c>
    </row>
    <row r="2897" spans="2:7" x14ac:dyDescent="0.25">
      <c r="B2897" s="70">
        <v>43649</v>
      </c>
      <c r="C2897" t="s">
        <v>21</v>
      </c>
      <c r="D2897" t="s">
        <v>79</v>
      </c>
      <c r="E2897" t="s">
        <v>354</v>
      </c>
      <c r="F2897" s="71">
        <v>32</v>
      </c>
      <c r="G2897" s="71">
        <v>0</v>
      </c>
    </row>
    <row r="2898" spans="2:7" x14ac:dyDescent="0.25">
      <c r="B2898" s="70">
        <v>43649</v>
      </c>
      <c r="C2898" t="s">
        <v>21</v>
      </c>
      <c r="D2898" t="s">
        <v>79</v>
      </c>
      <c r="E2898" t="s">
        <v>354</v>
      </c>
      <c r="F2898" s="71">
        <v>40</v>
      </c>
      <c r="G2898" s="71">
        <v>0</v>
      </c>
    </row>
    <row r="2899" spans="2:7" x14ac:dyDescent="0.25">
      <c r="B2899" s="70">
        <v>43649</v>
      </c>
      <c r="C2899" t="s">
        <v>21</v>
      </c>
      <c r="D2899" t="s">
        <v>79</v>
      </c>
      <c r="E2899" t="s">
        <v>354</v>
      </c>
      <c r="F2899" s="71">
        <v>48</v>
      </c>
      <c r="G2899" s="71">
        <v>0</v>
      </c>
    </row>
    <row r="2900" spans="2:7" x14ac:dyDescent="0.25">
      <c r="B2900" s="70">
        <v>43649</v>
      </c>
      <c r="C2900" t="s">
        <v>21</v>
      </c>
      <c r="D2900" t="s">
        <v>79</v>
      </c>
      <c r="E2900" t="s">
        <v>354</v>
      </c>
      <c r="F2900" s="71">
        <v>56</v>
      </c>
      <c r="G2900" s="71">
        <v>0</v>
      </c>
    </row>
    <row r="2901" spans="2:7" x14ac:dyDescent="0.25">
      <c r="B2901" s="70">
        <v>43649</v>
      </c>
      <c r="C2901" t="s">
        <v>55</v>
      </c>
      <c r="D2901" t="s">
        <v>85</v>
      </c>
      <c r="E2901" t="s">
        <v>354</v>
      </c>
      <c r="F2901" s="71">
        <v>571.85</v>
      </c>
      <c r="G2901" s="71">
        <v>0</v>
      </c>
    </row>
    <row r="2902" spans="2:7" x14ac:dyDescent="0.25">
      <c r="B2902" s="70">
        <v>43649</v>
      </c>
      <c r="C2902" t="s">
        <v>55</v>
      </c>
      <c r="D2902" t="s">
        <v>87</v>
      </c>
      <c r="E2902" t="s">
        <v>354</v>
      </c>
      <c r="F2902" s="71">
        <v>249.75</v>
      </c>
      <c r="G2902" s="71">
        <v>0</v>
      </c>
    </row>
    <row r="2903" spans="2:7" x14ac:dyDescent="0.25">
      <c r="B2903" s="70">
        <v>43649</v>
      </c>
      <c r="C2903" t="s">
        <v>45</v>
      </c>
      <c r="D2903" t="s">
        <v>85</v>
      </c>
      <c r="E2903" t="s">
        <v>354</v>
      </c>
      <c r="F2903" s="71">
        <v>35</v>
      </c>
      <c r="G2903" s="71">
        <v>0</v>
      </c>
    </row>
    <row r="2904" spans="2:7" x14ac:dyDescent="0.25">
      <c r="B2904" s="70">
        <v>43649</v>
      </c>
      <c r="C2904" t="s">
        <v>50</v>
      </c>
      <c r="D2904" t="s">
        <v>85</v>
      </c>
      <c r="E2904" t="s">
        <v>354</v>
      </c>
      <c r="F2904" s="71">
        <v>22.5</v>
      </c>
      <c r="G2904" s="71">
        <v>0</v>
      </c>
    </row>
    <row r="2905" spans="2:7" x14ac:dyDescent="0.25">
      <c r="B2905" s="70">
        <v>43649</v>
      </c>
      <c r="C2905" t="s">
        <v>65</v>
      </c>
      <c r="D2905" t="s">
        <v>84</v>
      </c>
      <c r="E2905" t="s">
        <v>354</v>
      </c>
      <c r="F2905" s="71">
        <v>49</v>
      </c>
      <c r="G2905" s="71">
        <v>0</v>
      </c>
    </row>
    <row r="2906" spans="2:7" x14ac:dyDescent="0.25">
      <c r="B2906" s="70">
        <v>43649</v>
      </c>
      <c r="C2906" t="s">
        <v>73</v>
      </c>
      <c r="D2906" t="s">
        <v>84</v>
      </c>
      <c r="E2906" t="s">
        <v>354</v>
      </c>
      <c r="F2906" s="71">
        <v>119</v>
      </c>
      <c r="G2906" s="71">
        <v>0</v>
      </c>
    </row>
    <row r="2907" spans="2:7" x14ac:dyDescent="0.25">
      <c r="B2907" s="70">
        <v>43649</v>
      </c>
      <c r="C2907" t="s">
        <v>24</v>
      </c>
      <c r="D2907" t="s">
        <v>79</v>
      </c>
      <c r="E2907" t="s">
        <v>354</v>
      </c>
      <c r="F2907" s="71">
        <v>8</v>
      </c>
      <c r="G2907" s="71">
        <v>0</v>
      </c>
    </row>
    <row r="2908" spans="2:7" x14ac:dyDescent="0.25">
      <c r="B2908" s="70">
        <v>43649</v>
      </c>
      <c r="C2908" t="s">
        <v>24</v>
      </c>
      <c r="D2908" t="s">
        <v>79</v>
      </c>
      <c r="E2908" t="s">
        <v>354</v>
      </c>
      <c r="F2908" s="71">
        <v>32</v>
      </c>
      <c r="G2908" s="71">
        <v>0</v>
      </c>
    </row>
    <row r="2909" spans="2:7" x14ac:dyDescent="0.25">
      <c r="B2909" s="70">
        <v>43649</v>
      </c>
      <c r="C2909" t="s">
        <v>60</v>
      </c>
      <c r="D2909" t="s">
        <v>80</v>
      </c>
      <c r="E2909" t="s">
        <v>354</v>
      </c>
      <c r="F2909" s="71">
        <v>264.39999999999998</v>
      </c>
      <c r="G2909" s="71">
        <v>0</v>
      </c>
    </row>
    <row r="2910" spans="2:7" x14ac:dyDescent="0.25">
      <c r="B2910" s="70">
        <v>43649</v>
      </c>
      <c r="C2910" t="s">
        <v>60</v>
      </c>
      <c r="D2910" t="s">
        <v>87</v>
      </c>
      <c r="E2910" t="s">
        <v>354</v>
      </c>
      <c r="F2910" s="71">
        <v>195.78</v>
      </c>
      <c r="G2910" s="71">
        <v>0</v>
      </c>
    </row>
    <row r="2911" spans="2:7" x14ac:dyDescent="0.25">
      <c r="B2911" s="70">
        <v>43649</v>
      </c>
      <c r="C2911" t="s">
        <v>60</v>
      </c>
      <c r="D2911" t="s">
        <v>84</v>
      </c>
      <c r="E2911" t="s">
        <v>354</v>
      </c>
      <c r="F2911" s="71">
        <v>16.05</v>
      </c>
      <c r="G2911" s="71">
        <v>0</v>
      </c>
    </row>
    <row r="2912" spans="2:7" x14ac:dyDescent="0.25">
      <c r="B2912" s="70">
        <v>43650</v>
      </c>
      <c r="C2912" t="s">
        <v>25</v>
      </c>
      <c r="D2912" t="s">
        <v>81</v>
      </c>
      <c r="E2912" t="s">
        <v>144</v>
      </c>
      <c r="F2912" s="71">
        <v>7.45</v>
      </c>
      <c r="G2912" s="71">
        <v>0</v>
      </c>
    </row>
    <row r="2913" spans="2:7" x14ac:dyDescent="0.25">
      <c r="B2913" s="70">
        <v>43650</v>
      </c>
      <c r="C2913" t="s">
        <v>25</v>
      </c>
      <c r="D2913" t="s">
        <v>81</v>
      </c>
      <c r="E2913" t="s">
        <v>153</v>
      </c>
      <c r="F2913" s="71">
        <v>3.7</v>
      </c>
      <c r="G2913" s="71">
        <v>0</v>
      </c>
    </row>
    <row r="2914" spans="2:7" x14ac:dyDescent="0.25">
      <c r="B2914" s="70">
        <v>43650</v>
      </c>
      <c r="C2914" t="s">
        <v>25</v>
      </c>
      <c r="D2914" t="s">
        <v>81</v>
      </c>
      <c r="E2914" t="s">
        <v>237</v>
      </c>
      <c r="F2914">
        <v>3.7</v>
      </c>
      <c r="G2914" s="71">
        <v>0</v>
      </c>
    </row>
    <row r="2915" spans="2:7" x14ac:dyDescent="0.25">
      <c r="B2915" s="70">
        <v>43650</v>
      </c>
      <c r="C2915" t="s">
        <v>76</v>
      </c>
      <c r="D2915" t="s">
        <v>82</v>
      </c>
      <c r="E2915" t="s">
        <v>355</v>
      </c>
      <c r="F2915" s="71">
        <v>1789.9</v>
      </c>
      <c r="G2915" s="71">
        <v>0</v>
      </c>
    </row>
    <row r="2916" spans="2:7" x14ac:dyDescent="0.25">
      <c r="B2916" s="70">
        <v>43650</v>
      </c>
      <c r="C2916" t="s">
        <v>59</v>
      </c>
      <c r="D2916" t="s">
        <v>82</v>
      </c>
      <c r="E2916" t="s">
        <v>355</v>
      </c>
      <c r="F2916" s="71">
        <v>79</v>
      </c>
      <c r="G2916" s="71">
        <v>0</v>
      </c>
    </row>
    <row r="2917" spans="2:7" x14ac:dyDescent="0.25">
      <c r="B2917" s="70">
        <v>43650</v>
      </c>
      <c r="C2917" t="s">
        <v>21</v>
      </c>
      <c r="D2917" t="s">
        <v>79</v>
      </c>
      <c r="E2917" t="s">
        <v>355</v>
      </c>
      <c r="F2917" s="71">
        <v>8</v>
      </c>
      <c r="G2917" s="71">
        <v>0</v>
      </c>
    </row>
    <row r="2918" spans="2:7" x14ac:dyDescent="0.25">
      <c r="B2918" s="70">
        <v>43650</v>
      </c>
      <c r="C2918" t="s">
        <v>21</v>
      </c>
      <c r="D2918" t="s">
        <v>79</v>
      </c>
      <c r="E2918" t="s">
        <v>355</v>
      </c>
      <c r="F2918" s="71">
        <v>16</v>
      </c>
      <c r="G2918" s="71">
        <v>0</v>
      </c>
    </row>
    <row r="2919" spans="2:7" x14ac:dyDescent="0.25">
      <c r="B2919" s="70">
        <v>43650</v>
      </c>
      <c r="C2919" t="s">
        <v>21</v>
      </c>
      <c r="D2919" t="s">
        <v>79</v>
      </c>
      <c r="E2919" t="s">
        <v>355</v>
      </c>
      <c r="F2919" s="71">
        <v>24</v>
      </c>
      <c r="G2919" s="71">
        <v>0</v>
      </c>
    </row>
    <row r="2920" spans="2:7" x14ac:dyDescent="0.25">
      <c r="B2920" s="70">
        <v>43650</v>
      </c>
      <c r="C2920" t="s">
        <v>74</v>
      </c>
      <c r="D2920" t="s">
        <v>86</v>
      </c>
      <c r="E2920" t="s">
        <v>355</v>
      </c>
      <c r="F2920" s="71">
        <v>0</v>
      </c>
      <c r="G2920" s="71">
        <v>2723.68</v>
      </c>
    </row>
    <row r="2921" spans="2:7" x14ac:dyDescent="0.25">
      <c r="B2921" s="70">
        <v>43650</v>
      </c>
      <c r="C2921" t="s">
        <v>71</v>
      </c>
      <c r="D2921" t="s">
        <v>85</v>
      </c>
      <c r="E2921" t="s">
        <v>355</v>
      </c>
      <c r="F2921" s="71">
        <v>77.95</v>
      </c>
      <c r="G2921" s="71">
        <v>0</v>
      </c>
    </row>
    <row r="2922" spans="2:7" x14ac:dyDescent="0.25">
      <c r="B2922" s="70">
        <v>43650</v>
      </c>
      <c r="C2922" t="s">
        <v>24</v>
      </c>
      <c r="D2922" t="s">
        <v>79</v>
      </c>
      <c r="E2922" t="s">
        <v>355</v>
      </c>
      <c r="F2922" s="71">
        <v>8</v>
      </c>
      <c r="G2922" s="71">
        <v>0</v>
      </c>
    </row>
    <row r="2923" spans="2:7" x14ac:dyDescent="0.25">
      <c r="B2923" s="70">
        <v>43650</v>
      </c>
      <c r="C2923" t="s">
        <v>60</v>
      </c>
      <c r="D2923" t="s">
        <v>85</v>
      </c>
      <c r="E2923" t="s">
        <v>355</v>
      </c>
      <c r="F2923" s="71">
        <v>63.2</v>
      </c>
      <c r="G2923" s="71">
        <v>0</v>
      </c>
    </row>
    <row r="2924" spans="2:7" x14ac:dyDescent="0.25">
      <c r="B2924" s="70">
        <v>43651</v>
      </c>
      <c r="C2924" t="s">
        <v>25</v>
      </c>
      <c r="D2924" t="s">
        <v>79</v>
      </c>
      <c r="E2924" t="s">
        <v>356</v>
      </c>
      <c r="F2924" s="71">
        <v>8</v>
      </c>
      <c r="G2924" s="71">
        <v>0</v>
      </c>
    </row>
    <row r="2925" spans="2:7" x14ac:dyDescent="0.25">
      <c r="B2925" s="70">
        <v>43651</v>
      </c>
      <c r="C2925" t="s">
        <v>25</v>
      </c>
      <c r="D2925" t="s">
        <v>85</v>
      </c>
      <c r="E2925" t="s">
        <v>356</v>
      </c>
      <c r="F2925" s="71">
        <v>30</v>
      </c>
      <c r="G2925" s="71">
        <v>0</v>
      </c>
    </row>
    <row r="2926" spans="2:7" x14ac:dyDescent="0.25">
      <c r="B2926" s="70">
        <v>43651</v>
      </c>
      <c r="C2926" t="s">
        <v>25</v>
      </c>
      <c r="D2926" t="s">
        <v>80</v>
      </c>
      <c r="E2926" t="s">
        <v>356</v>
      </c>
      <c r="F2926" s="71">
        <v>46.2</v>
      </c>
      <c r="G2926" s="71">
        <v>0</v>
      </c>
    </row>
    <row r="2927" spans="2:7" x14ac:dyDescent="0.25">
      <c r="B2927" s="70">
        <v>43651</v>
      </c>
      <c r="C2927" t="s">
        <v>25</v>
      </c>
      <c r="D2927" t="s">
        <v>80</v>
      </c>
      <c r="E2927" t="s">
        <v>356</v>
      </c>
      <c r="F2927" s="71">
        <v>124.33</v>
      </c>
      <c r="G2927" s="71">
        <v>0</v>
      </c>
    </row>
    <row r="2928" spans="2:7" x14ac:dyDescent="0.25">
      <c r="B2928" s="70">
        <v>43651</v>
      </c>
      <c r="C2928" t="s">
        <v>25</v>
      </c>
      <c r="D2928" t="s">
        <v>87</v>
      </c>
      <c r="E2928" t="s">
        <v>356</v>
      </c>
      <c r="F2928" s="71">
        <v>23.62</v>
      </c>
      <c r="G2928" s="71">
        <v>0</v>
      </c>
    </row>
    <row r="2929" spans="2:7" x14ac:dyDescent="0.25">
      <c r="B2929" s="70">
        <v>43651</v>
      </c>
      <c r="C2929" t="s">
        <v>25</v>
      </c>
      <c r="D2929" t="s">
        <v>87</v>
      </c>
      <c r="E2929" t="s">
        <v>356</v>
      </c>
      <c r="F2929" s="71">
        <v>27.76</v>
      </c>
      <c r="G2929" s="71">
        <v>0</v>
      </c>
    </row>
    <row r="2930" spans="2:7" x14ac:dyDescent="0.25">
      <c r="B2930" s="70">
        <v>43651</v>
      </c>
      <c r="C2930" t="s">
        <v>25</v>
      </c>
      <c r="D2930" t="s">
        <v>87</v>
      </c>
      <c r="E2930" t="s">
        <v>356</v>
      </c>
      <c r="F2930" s="71">
        <v>31.71</v>
      </c>
      <c r="G2930" s="71">
        <v>0</v>
      </c>
    </row>
    <row r="2931" spans="2:7" x14ac:dyDescent="0.25">
      <c r="B2931" s="70">
        <v>43651</v>
      </c>
      <c r="C2931" t="s">
        <v>25</v>
      </c>
      <c r="D2931" t="s">
        <v>87</v>
      </c>
      <c r="E2931" t="s">
        <v>356</v>
      </c>
      <c r="F2931" s="71">
        <v>72.489999999999995</v>
      </c>
      <c r="G2931" s="71">
        <v>0</v>
      </c>
    </row>
    <row r="2932" spans="2:7" x14ac:dyDescent="0.25">
      <c r="B2932" s="70">
        <v>43651</v>
      </c>
      <c r="C2932" t="s">
        <v>25</v>
      </c>
      <c r="D2932" t="s">
        <v>87</v>
      </c>
      <c r="E2932" t="s">
        <v>356</v>
      </c>
      <c r="F2932" s="71">
        <v>73.05</v>
      </c>
      <c r="G2932" s="71">
        <v>0</v>
      </c>
    </row>
    <row r="2933" spans="2:7" x14ac:dyDescent="0.25">
      <c r="B2933" s="70">
        <v>43651</v>
      </c>
      <c r="C2933" t="s">
        <v>25</v>
      </c>
      <c r="D2933" t="s">
        <v>87</v>
      </c>
      <c r="E2933" t="s">
        <v>356</v>
      </c>
      <c r="F2933" s="71">
        <v>78.95</v>
      </c>
      <c r="G2933" s="71">
        <v>0</v>
      </c>
    </row>
    <row r="2934" spans="2:7" x14ac:dyDescent="0.25">
      <c r="B2934" s="70">
        <v>43651</v>
      </c>
      <c r="C2934" t="s">
        <v>25</v>
      </c>
      <c r="D2934" t="s">
        <v>87</v>
      </c>
      <c r="E2934" t="s">
        <v>356</v>
      </c>
      <c r="F2934" s="71">
        <v>130.54</v>
      </c>
      <c r="G2934" s="71">
        <v>0</v>
      </c>
    </row>
    <row r="2935" spans="2:7" x14ac:dyDescent="0.25">
      <c r="B2935" s="70">
        <v>43651</v>
      </c>
      <c r="C2935" t="s">
        <v>25</v>
      </c>
      <c r="D2935" t="s">
        <v>81</v>
      </c>
      <c r="E2935" t="s">
        <v>178</v>
      </c>
      <c r="F2935" s="71">
        <v>14.25</v>
      </c>
      <c r="G2935" s="71">
        <v>0</v>
      </c>
    </row>
    <row r="2936" spans="2:7" x14ac:dyDescent="0.25">
      <c r="B2936" s="70">
        <v>43651</v>
      </c>
      <c r="C2936" t="s">
        <v>25</v>
      </c>
      <c r="D2936" t="s">
        <v>81</v>
      </c>
      <c r="E2936" t="s">
        <v>208</v>
      </c>
      <c r="F2936" s="71">
        <v>11.15</v>
      </c>
      <c r="G2936" s="71">
        <v>0</v>
      </c>
    </row>
    <row r="2937" spans="2:7" x14ac:dyDescent="0.25">
      <c r="B2937" s="70">
        <v>43651</v>
      </c>
      <c r="C2937" t="s">
        <v>25</v>
      </c>
      <c r="D2937" t="s">
        <v>81</v>
      </c>
      <c r="E2937" t="s">
        <v>138</v>
      </c>
      <c r="F2937" s="71">
        <v>9.1999999999999993</v>
      </c>
      <c r="G2937" s="71">
        <v>0</v>
      </c>
    </row>
    <row r="2938" spans="2:7" x14ac:dyDescent="0.25">
      <c r="B2938" s="70">
        <v>43651</v>
      </c>
      <c r="C2938" t="s">
        <v>25</v>
      </c>
      <c r="D2938" t="s">
        <v>81</v>
      </c>
      <c r="E2938" t="s">
        <v>240</v>
      </c>
      <c r="F2938" s="71">
        <v>4</v>
      </c>
      <c r="G2938" s="71">
        <v>0</v>
      </c>
    </row>
    <row r="2939" spans="2:7" x14ac:dyDescent="0.25">
      <c r="B2939" s="70">
        <v>43651</v>
      </c>
      <c r="C2939" t="s">
        <v>25</v>
      </c>
      <c r="D2939" t="s">
        <v>84</v>
      </c>
      <c r="E2939" t="s">
        <v>356</v>
      </c>
      <c r="F2939" s="71">
        <v>306</v>
      </c>
      <c r="G2939" s="71">
        <v>0</v>
      </c>
    </row>
    <row r="2940" spans="2:7" x14ac:dyDescent="0.25">
      <c r="B2940" s="70">
        <v>43651</v>
      </c>
      <c r="C2940" t="s">
        <v>59</v>
      </c>
      <c r="D2940" t="s">
        <v>84</v>
      </c>
      <c r="E2940" t="s">
        <v>356</v>
      </c>
      <c r="F2940" s="71">
        <v>522.36</v>
      </c>
      <c r="G2940" s="71">
        <v>0</v>
      </c>
    </row>
    <row r="2941" spans="2:7" x14ac:dyDescent="0.25">
      <c r="B2941" s="70">
        <v>43651</v>
      </c>
      <c r="C2941" t="s">
        <v>51</v>
      </c>
      <c r="D2941" t="s">
        <v>84</v>
      </c>
      <c r="E2941" t="s">
        <v>356</v>
      </c>
      <c r="F2941" s="71">
        <v>70.3</v>
      </c>
      <c r="G2941" s="71">
        <v>0</v>
      </c>
    </row>
    <row r="2942" spans="2:7" x14ac:dyDescent="0.25">
      <c r="B2942" s="70">
        <v>43651</v>
      </c>
      <c r="C2942" t="s">
        <v>57</v>
      </c>
      <c r="D2942" t="s">
        <v>80</v>
      </c>
      <c r="E2942" t="s">
        <v>356</v>
      </c>
      <c r="F2942" s="71">
        <v>46.25</v>
      </c>
      <c r="G2942" s="71">
        <v>0</v>
      </c>
    </row>
    <row r="2943" spans="2:7" x14ac:dyDescent="0.25">
      <c r="B2943" s="70">
        <v>43651</v>
      </c>
      <c r="C2943" t="s">
        <v>21</v>
      </c>
      <c r="D2943" t="s">
        <v>79</v>
      </c>
      <c r="E2943" t="s">
        <v>356</v>
      </c>
      <c r="F2943" s="71">
        <v>8</v>
      </c>
      <c r="G2943" s="71">
        <v>0</v>
      </c>
    </row>
    <row r="2944" spans="2:7" x14ac:dyDescent="0.25">
      <c r="B2944" s="70">
        <v>43651</v>
      </c>
      <c r="C2944" t="s">
        <v>21</v>
      </c>
      <c r="D2944" t="s">
        <v>79</v>
      </c>
      <c r="E2944" t="s">
        <v>356</v>
      </c>
      <c r="F2944" s="71">
        <v>16</v>
      </c>
      <c r="G2944" s="71">
        <v>0</v>
      </c>
    </row>
    <row r="2945" spans="2:7" x14ac:dyDescent="0.25">
      <c r="B2945" s="70">
        <v>43651</v>
      </c>
      <c r="C2945" t="s">
        <v>21</v>
      </c>
      <c r="D2945" t="s">
        <v>79</v>
      </c>
      <c r="E2945" t="s">
        <v>356</v>
      </c>
      <c r="F2945" s="71">
        <v>24</v>
      </c>
      <c r="G2945" s="71">
        <v>0</v>
      </c>
    </row>
    <row r="2946" spans="2:7" x14ac:dyDescent="0.25">
      <c r="B2946" s="70">
        <v>43651</v>
      </c>
      <c r="C2946" t="s">
        <v>21</v>
      </c>
      <c r="D2946" t="s">
        <v>79</v>
      </c>
      <c r="E2946" t="s">
        <v>356</v>
      </c>
      <c r="F2946" s="71">
        <v>32</v>
      </c>
      <c r="G2946" s="71">
        <v>0</v>
      </c>
    </row>
    <row r="2947" spans="2:7" x14ac:dyDescent="0.25">
      <c r="B2947" s="70">
        <v>43651</v>
      </c>
      <c r="C2947" t="s">
        <v>21</v>
      </c>
      <c r="D2947" t="s">
        <v>79</v>
      </c>
      <c r="E2947" t="s">
        <v>356</v>
      </c>
      <c r="F2947" s="71">
        <v>40</v>
      </c>
      <c r="G2947" s="71">
        <v>0</v>
      </c>
    </row>
    <row r="2948" spans="2:7" x14ac:dyDescent="0.25">
      <c r="B2948" s="70">
        <v>43651</v>
      </c>
      <c r="C2948" t="s">
        <v>48</v>
      </c>
      <c r="D2948" t="s">
        <v>80</v>
      </c>
      <c r="E2948" t="s">
        <v>356</v>
      </c>
      <c r="F2948" s="71">
        <v>16.75</v>
      </c>
      <c r="G2948" s="71">
        <v>0</v>
      </c>
    </row>
    <row r="2949" spans="2:7" x14ac:dyDescent="0.25">
      <c r="B2949" s="70">
        <v>43651</v>
      </c>
      <c r="C2949" t="s">
        <v>48</v>
      </c>
      <c r="D2949" t="s">
        <v>87</v>
      </c>
      <c r="E2949" t="s">
        <v>356</v>
      </c>
      <c r="F2949" s="71">
        <v>11.26</v>
      </c>
      <c r="G2949" s="71">
        <v>0</v>
      </c>
    </row>
    <row r="2950" spans="2:7" x14ac:dyDescent="0.25">
      <c r="B2950" s="70">
        <v>43651</v>
      </c>
      <c r="C2950" t="s">
        <v>55</v>
      </c>
      <c r="D2950" t="s">
        <v>83</v>
      </c>
      <c r="E2950" t="s">
        <v>356</v>
      </c>
      <c r="F2950" s="71">
        <v>132.72</v>
      </c>
      <c r="G2950" s="71">
        <v>0</v>
      </c>
    </row>
    <row r="2951" spans="2:7" x14ac:dyDescent="0.25">
      <c r="B2951" s="70">
        <v>43651</v>
      </c>
      <c r="C2951" t="s">
        <v>55</v>
      </c>
      <c r="D2951" t="s">
        <v>86</v>
      </c>
      <c r="E2951" t="s">
        <v>356</v>
      </c>
      <c r="F2951" s="71">
        <v>1872.76</v>
      </c>
      <c r="G2951" s="71">
        <v>0</v>
      </c>
    </row>
    <row r="2952" spans="2:7" x14ac:dyDescent="0.25">
      <c r="B2952" s="70">
        <v>43651</v>
      </c>
      <c r="C2952" t="s">
        <v>50</v>
      </c>
      <c r="D2952" t="s">
        <v>84</v>
      </c>
      <c r="E2952" t="s">
        <v>356</v>
      </c>
      <c r="F2952" s="71">
        <v>8.52</v>
      </c>
      <c r="G2952" s="71">
        <v>0</v>
      </c>
    </row>
    <row r="2953" spans="2:7" x14ac:dyDescent="0.25">
      <c r="B2953" s="70">
        <v>43651</v>
      </c>
      <c r="C2953" t="s">
        <v>58</v>
      </c>
      <c r="D2953" t="s">
        <v>84</v>
      </c>
      <c r="E2953" t="s">
        <v>356</v>
      </c>
      <c r="F2953" s="71">
        <v>10</v>
      </c>
      <c r="G2953" s="71">
        <v>0</v>
      </c>
    </row>
    <row r="2954" spans="2:7" x14ac:dyDescent="0.25">
      <c r="B2954" s="70">
        <v>43651</v>
      </c>
      <c r="C2954" t="s">
        <v>53</v>
      </c>
      <c r="D2954" t="s">
        <v>85</v>
      </c>
      <c r="E2954" t="s">
        <v>356</v>
      </c>
      <c r="F2954" s="71">
        <v>455.09</v>
      </c>
      <c r="G2954" s="71">
        <v>0</v>
      </c>
    </row>
    <row r="2955" spans="2:7" x14ac:dyDescent="0.25">
      <c r="B2955" s="70">
        <v>43651</v>
      </c>
      <c r="C2955" t="s">
        <v>77</v>
      </c>
      <c r="D2955" t="s">
        <v>87</v>
      </c>
      <c r="E2955" t="s">
        <v>356</v>
      </c>
      <c r="F2955" s="71">
        <v>2550</v>
      </c>
      <c r="G2955" s="71">
        <v>0</v>
      </c>
    </row>
    <row r="2956" spans="2:7" x14ac:dyDescent="0.25">
      <c r="B2956" s="70">
        <v>43651</v>
      </c>
      <c r="C2956" t="s">
        <v>67</v>
      </c>
      <c r="D2956" t="s">
        <v>87</v>
      </c>
      <c r="E2956" t="s">
        <v>356</v>
      </c>
      <c r="F2956" s="71">
        <v>0</v>
      </c>
      <c r="G2956" s="71">
        <v>2550</v>
      </c>
    </row>
    <row r="2957" spans="2:7" x14ac:dyDescent="0.25">
      <c r="B2957" s="70">
        <v>43651</v>
      </c>
      <c r="C2957" t="s">
        <v>24</v>
      </c>
      <c r="D2957" t="s">
        <v>84</v>
      </c>
      <c r="E2957" t="s">
        <v>356</v>
      </c>
      <c r="F2957" s="71">
        <v>149.5</v>
      </c>
      <c r="G2957" s="71">
        <v>0</v>
      </c>
    </row>
    <row r="2958" spans="2:7" x14ac:dyDescent="0.25">
      <c r="B2958" s="70">
        <v>43651</v>
      </c>
      <c r="C2958" t="s">
        <v>60</v>
      </c>
      <c r="D2958" t="s">
        <v>80</v>
      </c>
      <c r="E2958" t="s">
        <v>356</v>
      </c>
      <c r="F2958" s="71">
        <v>104.05</v>
      </c>
      <c r="G2958" s="71">
        <v>0</v>
      </c>
    </row>
    <row r="2959" spans="2:7" x14ac:dyDescent="0.25">
      <c r="B2959" s="70">
        <v>43651</v>
      </c>
      <c r="C2959" t="s">
        <v>61</v>
      </c>
      <c r="D2959" t="s">
        <v>80</v>
      </c>
      <c r="E2959" t="s">
        <v>356</v>
      </c>
      <c r="F2959" s="71">
        <v>22.86</v>
      </c>
      <c r="G2959" s="71">
        <v>0</v>
      </c>
    </row>
    <row r="2960" spans="2:7" x14ac:dyDescent="0.25">
      <c r="B2960" s="70">
        <v>43651</v>
      </c>
      <c r="C2960" t="s">
        <v>61</v>
      </c>
      <c r="D2960" t="s">
        <v>87</v>
      </c>
      <c r="E2960" t="s">
        <v>356</v>
      </c>
      <c r="F2960" s="71">
        <v>256.23</v>
      </c>
      <c r="G2960" s="71">
        <v>0</v>
      </c>
    </row>
    <row r="2961" spans="2:7" x14ac:dyDescent="0.25">
      <c r="B2961" s="70">
        <v>43654</v>
      </c>
      <c r="C2961" t="s">
        <v>25</v>
      </c>
      <c r="D2961" t="s">
        <v>79</v>
      </c>
      <c r="E2961" t="s">
        <v>357</v>
      </c>
      <c r="F2961" s="71">
        <v>8</v>
      </c>
      <c r="G2961" s="71">
        <v>0</v>
      </c>
    </row>
    <row r="2962" spans="2:7" x14ac:dyDescent="0.25">
      <c r="B2962" s="70">
        <v>43654</v>
      </c>
      <c r="C2962" t="s">
        <v>25</v>
      </c>
      <c r="D2962" t="s">
        <v>87</v>
      </c>
      <c r="E2962" t="s">
        <v>357</v>
      </c>
      <c r="F2962" s="71">
        <v>35</v>
      </c>
      <c r="G2962" s="71">
        <v>0</v>
      </c>
    </row>
    <row r="2963" spans="2:7" x14ac:dyDescent="0.25">
      <c r="B2963" s="70">
        <v>43654</v>
      </c>
      <c r="C2963" t="s">
        <v>25</v>
      </c>
      <c r="D2963" t="s">
        <v>87</v>
      </c>
      <c r="E2963" t="s">
        <v>357</v>
      </c>
      <c r="F2963" s="71">
        <v>35.75</v>
      </c>
      <c r="G2963" s="71">
        <v>0</v>
      </c>
    </row>
    <row r="2964" spans="2:7" x14ac:dyDescent="0.25">
      <c r="B2964" s="70">
        <v>43654</v>
      </c>
      <c r="C2964" t="s">
        <v>25</v>
      </c>
      <c r="D2964" t="s">
        <v>87</v>
      </c>
      <c r="E2964" t="s">
        <v>357</v>
      </c>
      <c r="F2964" s="71">
        <v>82.21</v>
      </c>
      <c r="G2964" s="71">
        <v>0</v>
      </c>
    </row>
    <row r="2965" spans="2:7" x14ac:dyDescent="0.25">
      <c r="B2965" s="70">
        <v>43654</v>
      </c>
      <c r="C2965" t="s">
        <v>25</v>
      </c>
      <c r="D2965" t="s">
        <v>81</v>
      </c>
      <c r="E2965" t="s">
        <v>137</v>
      </c>
      <c r="F2965" s="71">
        <v>9</v>
      </c>
      <c r="G2965" s="71">
        <v>0</v>
      </c>
    </row>
    <row r="2966" spans="2:7" x14ac:dyDescent="0.25">
      <c r="B2966" s="70">
        <v>43654</v>
      </c>
      <c r="C2966" t="s">
        <v>25</v>
      </c>
      <c r="D2966" t="s">
        <v>81</v>
      </c>
      <c r="E2966" t="s">
        <v>172</v>
      </c>
      <c r="F2966" s="71">
        <v>3.7</v>
      </c>
      <c r="G2966" s="71">
        <v>0</v>
      </c>
    </row>
    <row r="2967" spans="2:7" x14ac:dyDescent="0.25">
      <c r="B2967" s="70">
        <v>43654</v>
      </c>
      <c r="C2967" t="s">
        <v>46</v>
      </c>
      <c r="D2967" t="s">
        <v>84</v>
      </c>
      <c r="E2967" t="s">
        <v>357</v>
      </c>
      <c r="F2967" s="71">
        <v>10</v>
      </c>
      <c r="G2967" s="71">
        <v>0</v>
      </c>
    </row>
    <row r="2968" spans="2:7" x14ac:dyDescent="0.25">
      <c r="B2968" s="70">
        <v>43654</v>
      </c>
      <c r="C2968" t="s">
        <v>59</v>
      </c>
      <c r="D2968" t="s">
        <v>86</v>
      </c>
      <c r="E2968" t="s">
        <v>357</v>
      </c>
      <c r="F2968" s="71">
        <v>190.52</v>
      </c>
      <c r="G2968" s="71">
        <v>0</v>
      </c>
    </row>
    <row r="2969" spans="2:7" x14ac:dyDescent="0.25">
      <c r="B2969" s="70">
        <v>43654</v>
      </c>
      <c r="C2969" t="s">
        <v>59</v>
      </c>
      <c r="D2969" t="s">
        <v>84</v>
      </c>
      <c r="E2969" t="s">
        <v>357</v>
      </c>
      <c r="F2969" s="71">
        <v>25</v>
      </c>
      <c r="G2969" s="71">
        <v>0</v>
      </c>
    </row>
    <row r="2970" spans="2:7" x14ac:dyDescent="0.25">
      <c r="B2970" s="70">
        <v>43654</v>
      </c>
      <c r="C2970" t="s">
        <v>56</v>
      </c>
      <c r="D2970" t="s">
        <v>84</v>
      </c>
      <c r="E2970" t="s">
        <v>357</v>
      </c>
      <c r="F2970" s="71">
        <v>72.989999999999995</v>
      </c>
      <c r="G2970" s="71">
        <v>0</v>
      </c>
    </row>
    <row r="2971" spans="2:7" x14ac:dyDescent="0.25">
      <c r="B2971" s="70">
        <v>43654</v>
      </c>
      <c r="C2971" t="s">
        <v>21</v>
      </c>
      <c r="D2971" t="s">
        <v>79</v>
      </c>
      <c r="E2971" t="s">
        <v>357</v>
      </c>
      <c r="F2971" s="71">
        <v>8</v>
      </c>
      <c r="G2971" s="71">
        <v>0</v>
      </c>
    </row>
    <row r="2972" spans="2:7" x14ac:dyDescent="0.25">
      <c r="B2972" s="70">
        <v>43654</v>
      </c>
      <c r="C2972" t="s">
        <v>21</v>
      </c>
      <c r="D2972" t="s">
        <v>79</v>
      </c>
      <c r="E2972" t="s">
        <v>357</v>
      </c>
      <c r="F2972" s="71">
        <v>24</v>
      </c>
      <c r="G2972" s="71">
        <v>0</v>
      </c>
    </row>
    <row r="2973" spans="2:7" x14ac:dyDescent="0.25">
      <c r="B2973" s="70">
        <v>43654</v>
      </c>
      <c r="C2973" t="s">
        <v>21</v>
      </c>
      <c r="D2973" t="s">
        <v>79</v>
      </c>
      <c r="E2973" t="s">
        <v>357</v>
      </c>
      <c r="F2973" s="71">
        <v>32</v>
      </c>
      <c r="G2973" s="71">
        <v>0</v>
      </c>
    </row>
    <row r="2974" spans="2:7" x14ac:dyDescent="0.25">
      <c r="B2974" s="70">
        <v>43654</v>
      </c>
      <c r="C2974" t="s">
        <v>21</v>
      </c>
      <c r="D2974" t="s">
        <v>79</v>
      </c>
      <c r="E2974" t="s">
        <v>357</v>
      </c>
      <c r="F2974" s="71">
        <v>40</v>
      </c>
      <c r="G2974" s="71">
        <v>0</v>
      </c>
    </row>
    <row r="2975" spans="2:7" x14ac:dyDescent="0.25">
      <c r="B2975" s="70">
        <v>43654</v>
      </c>
      <c r="C2975" t="s">
        <v>48</v>
      </c>
      <c r="D2975" t="s">
        <v>84</v>
      </c>
      <c r="E2975" t="s">
        <v>357</v>
      </c>
      <c r="F2975" s="71">
        <v>180</v>
      </c>
      <c r="G2975" s="71">
        <v>0</v>
      </c>
    </row>
    <row r="2976" spans="2:7" x14ac:dyDescent="0.25">
      <c r="B2976" s="70">
        <v>43654</v>
      </c>
      <c r="C2976" t="s">
        <v>49</v>
      </c>
      <c r="D2976" t="s">
        <v>84</v>
      </c>
      <c r="E2976" t="s">
        <v>357</v>
      </c>
      <c r="F2976" s="71">
        <v>150</v>
      </c>
      <c r="G2976" s="71">
        <v>0</v>
      </c>
    </row>
    <row r="2977" spans="2:7" x14ac:dyDescent="0.25">
      <c r="B2977" s="70">
        <v>43654</v>
      </c>
      <c r="C2977" t="s">
        <v>50</v>
      </c>
      <c r="D2977" t="s">
        <v>83</v>
      </c>
      <c r="E2977" t="s">
        <v>357</v>
      </c>
      <c r="F2977" s="71">
        <v>25</v>
      </c>
      <c r="G2977" s="71">
        <v>0</v>
      </c>
    </row>
    <row r="2978" spans="2:7" x14ac:dyDescent="0.25">
      <c r="B2978" s="70">
        <v>43654</v>
      </c>
      <c r="C2978" t="s">
        <v>50</v>
      </c>
      <c r="D2978" t="s">
        <v>87</v>
      </c>
      <c r="E2978" t="s">
        <v>357</v>
      </c>
      <c r="F2978" s="71">
        <v>318.62</v>
      </c>
      <c r="G2978" s="71">
        <v>0</v>
      </c>
    </row>
    <row r="2979" spans="2:7" x14ac:dyDescent="0.25">
      <c r="B2979" s="70">
        <v>43654</v>
      </c>
      <c r="C2979" t="s">
        <v>50</v>
      </c>
      <c r="D2979" t="s">
        <v>84</v>
      </c>
      <c r="E2979" t="s">
        <v>357</v>
      </c>
      <c r="F2979" s="71">
        <v>2017</v>
      </c>
      <c r="G2979" s="71">
        <v>0</v>
      </c>
    </row>
    <row r="2980" spans="2:7" x14ac:dyDescent="0.25">
      <c r="B2980" s="70">
        <v>43654</v>
      </c>
      <c r="C2980" t="s">
        <v>58</v>
      </c>
      <c r="D2980" t="s">
        <v>84</v>
      </c>
      <c r="E2980" t="s">
        <v>357</v>
      </c>
      <c r="F2980" s="71">
        <v>20</v>
      </c>
      <c r="G2980" s="71">
        <v>0</v>
      </c>
    </row>
    <row r="2981" spans="2:7" x14ac:dyDescent="0.25">
      <c r="B2981" s="70">
        <v>43654</v>
      </c>
      <c r="C2981" t="s">
        <v>65</v>
      </c>
      <c r="D2981" t="s">
        <v>87</v>
      </c>
      <c r="E2981" t="s">
        <v>357</v>
      </c>
      <c r="F2981" s="71">
        <v>96</v>
      </c>
      <c r="G2981" s="71">
        <v>0</v>
      </c>
    </row>
    <row r="2982" spans="2:7" x14ac:dyDescent="0.25">
      <c r="B2982" s="70">
        <v>43654</v>
      </c>
      <c r="C2982" t="s">
        <v>65</v>
      </c>
      <c r="D2982" t="s">
        <v>84</v>
      </c>
      <c r="E2982" t="s">
        <v>357</v>
      </c>
      <c r="F2982" s="71">
        <v>64.33</v>
      </c>
      <c r="G2982" s="71">
        <v>0</v>
      </c>
    </row>
    <row r="2983" spans="2:7" x14ac:dyDescent="0.25">
      <c r="B2983" s="70">
        <v>43654</v>
      </c>
      <c r="C2983" t="s">
        <v>24</v>
      </c>
      <c r="D2983" t="s">
        <v>79</v>
      </c>
      <c r="E2983" t="s">
        <v>357</v>
      </c>
      <c r="F2983" s="71">
        <v>8</v>
      </c>
      <c r="G2983" s="71">
        <v>0</v>
      </c>
    </row>
    <row r="2984" spans="2:7" x14ac:dyDescent="0.25">
      <c r="B2984" s="70">
        <v>43654</v>
      </c>
      <c r="C2984" t="s">
        <v>24</v>
      </c>
      <c r="D2984" t="s">
        <v>79</v>
      </c>
      <c r="E2984" t="s">
        <v>357</v>
      </c>
      <c r="F2984" s="71">
        <v>24</v>
      </c>
      <c r="G2984" s="71">
        <v>0</v>
      </c>
    </row>
    <row r="2985" spans="2:7" x14ac:dyDescent="0.25">
      <c r="B2985" s="70">
        <v>43654</v>
      </c>
      <c r="C2985" t="s">
        <v>24</v>
      </c>
      <c r="D2985" t="s">
        <v>79</v>
      </c>
      <c r="E2985" t="s">
        <v>357</v>
      </c>
      <c r="F2985" s="71">
        <v>32</v>
      </c>
      <c r="G2985" s="71">
        <v>0</v>
      </c>
    </row>
    <row r="2986" spans="2:7" x14ac:dyDescent="0.25">
      <c r="B2986" s="70">
        <v>43655</v>
      </c>
      <c r="C2986" t="s">
        <v>25</v>
      </c>
      <c r="D2986" t="s">
        <v>80</v>
      </c>
      <c r="E2986" t="s">
        <v>358</v>
      </c>
      <c r="F2986" s="71">
        <v>0</v>
      </c>
      <c r="G2986" s="71">
        <v>297.8</v>
      </c>
    </row>
    <row r="2987" spans="2:7" x14ac:dyDescent="0.25">
      <c r="B2987" s="70">
        <v>43655</v>
      </c>
      <c r="C2987" t="s">
        <v>25</v>
      </c>
      <c r="D2987" t="s">
        <v>80</v>
      </c>
      <c r="E2987" t="s">
        <v>358</v>
      </c>
      <c r="F2987" s="71">
        <v>0</v>
      </c>
      <c r="G2987" s="71">
        <v>61.6</v>
      </c>
    </row>
    <row r="2988" spans="2:7" x14ac:dyDescent="0.25">
      <c r="B2988" s="70">
        <v>43655</v>
      </c>
      <c r="C2988" t="s">
        <v>25</v>
      </c>
      <c r="D2988" t="s">
        <v>87</v>
      </c>
      <c r="E2988" t="s">
        <v>358</v>
      </c>
      <c r="F2988" s="71">
        <v>61.6</v>
      </c>
      <c r="G2988" s="71">
        <v>0</v>
      </c>
    </row>
    <row r="2989" spans="2:7" x14ac:dyDescent="0.25">
      <c r="B2989" s="70">
        <v>43655</v>
      </c>
      <c r="C2989" t="s">
        <v>25</v>
      </c>
      <c r="D2989" t="s">
        <v>87</v>
      </c>
      <c r="E2989" t="s">
        <v>358</v>
      </c>
      <c r="F2989" s="71">
        <v>297.8</v>
      </c>
      <c r="G2989" s="71">
        <v>0</v>
      </c>
    </row>
    <row r="2990" spans="2:7" x14ac:dyDescent="0.25">
      <c r="B2990" s="70">
        <v>43655</v>
      </c>
      <c r="C2990" t="s">
        <v>25</v>
      </c>
      <c r="D2990" t="s">
        <v>86</v>
      </c>
      <c r="E2990" t="s">
        <v>358</v>
      </c>
      <c r="F2990" s="71">
        <v>0</v>
      </c>
      <c r="G2990" s="71">
        <v>36</v>
      </c>
    </row>
    <row r="2991" spans="2:7" x14ac:dyDescent="0.25">
      <c r="B2991" s="70">
        <v>43655</v>
      </c>
      <c r="C2991" t="s">
        <v>25</v>
      </c>
      <c r="D2991" t="s">
        <v>81</v>
      </c>
      <c r="E2991" t="s">
        <v>179</v>
      </c>
      <c r="F2991" s="71">
        <v>2.4</v>
      </c>
      <c r="G2991" s="71">
        <v>0</v>
      </c>
    </row>
    <row r="2992" spans="2:7" x14ac:dyDescent="0.25">
      <c r="B2992" s="70">
        <v>43655</v>
      </c>
      <c r="C2992" t="s">
        <v>51</v>
      </c>
      <c r="D2992" t="s">
        <v>84</v>
      </c>
      <c r="E2992" t="s">
        <v>358</v>
      </c>
      <c r="F2992" s="71">
        <v>66.569999999999993</v>
      </c>
      <c r="G2992" s="71">
        <v>0</v>
      </c>
    </row>
    <row r="2993" spans="2:7" x14ac:dyDescent="0.25">
      <c r="B2993" s="70">
        <v>43655</v>
      </c>
      <c r="C2993" t="s">
        <v>57</v>
      </c>
      <c r="D2993" t="s">
        <v>79</v>
      </c>
      <c r="E2993" t="s">
        <v>358</v>
      </c>
      <c r="F2993" s="71">
        <v>7.44</v>
      </c>
      <c r="G2993" s="71">
        <v>0</v>
      </c>
    </row>
    <row r="2994" spans="2:7" x14ac:dyDescent="0.25">
      <c r="B2994" s="70">
        <v>43655</v>
      </c>
      <c r="C2994" t="s">
        <v>44</v>
      </c>
      <c r="D2994" t="s">
        <v>83</v>
      </c>
      <c r="E2994" t="s">
        <v>358</v>
      </c>
      <c r="F2994" s="71">
        <v>21.98</v>
      </c>
      <c r="G2994" s="71">
        <v>0</v>
      </c>
    </row>
    <row r="2995" spans="2:7" x14ac:dyDescent="0.25">
      <c r="B2995" s="70">
        <v>43655</v>
      </c>
      <c r="C2995" t="s">
        <v>44</v>
      </c>
      <c r="D2995" t="s">
        <v>80</v>
      </c>
      <c r="E2995" t="s">
        <v>358</v>
      </c>
      <c r="F2995" s="71">
        <v>0</v>
      </c>
      <c r="G2995" s="71">
        <v>21.98</v>
      </c>
    </row>
    <row r="2996" spans="2:7" x14ac:dyDescent="0.25">
      <c r="B2996" s="70">
        <v>43655</v>
      </c>
      <c r="C2996" t="s">
        <v>21</v>
      </c>
      <c r="D2996" t="s">
        <v>79</v>
      </c>
      <c r="E2996" t="s">
        <v>358</v>
      </c>
      <c r="F2996" s="71">
        <v>8</v>
      </c>
      <c r="G2996" s="71">
        <v>0</v>
      </c>
    </row>
    <row r="2997" spans="2:7" x14ac:dyDescent="0.25">
      <c r="B2997" s="70">
        <v>43655</v>
      </c>
      <c r="C2997" t="s">
        <v>21</v>
      </c>
      <c r="D2997" t="s">
        <v>79</v>
      </c>
      <c r="E2997" t="s">
        <v>358</v>
      </c>
      <c r="F2997" s="71">
        <v>16</v>
      </c>
      <c r="G2997" s="71">
        <v>0</v>
      </c>
    </row>
    <row r="2998" spans="2:7" x14ac:dyDescent="0.25">
      <c r="B2998" s="70">
        <v>43655</v>
      </c>
      <c r="C2998" t="s">
        <v>21</v>
      </c>
      <c r="D2998" t="s">
        <v>84</v>
      </c>
      <c r="E2998" t="s">
        <v>358</v>
      </c>
      <c r="F2998" s="71">
        <v>139.19999999999999</v>
      </c>
      <c r="G2998" s="71">
        <v>0</v>
      </c>
    </row>
    <row r="2999" spans="2:7" x14ac:dyDescent="0.25">
      <c r="B2999" s="70">
        <v>43655</v>
      </c>
      <c r="C2999" t="s">
        <v>66</v>
      </c>
      <c r="D2999" t="s">
        <v>80</v>
      </c>
      <c r="E2999" t="s">
        <v>358</v>
      </c>
      <c r="F2999" s="71">
        <v>0</v>
      </c>
      <c r="G2999" s="71">
        <v>119.9</v>
      </c>
    </row>
    <row r="3000" spans="2:7" x14ac:dyDescent="0.25">
      <c r="B3000" s="70">
        <v>43655</v>
      </c>
      <c r="C3000" t="s">
        <v>66</v>
      </c>
      <c r="D3000" t="s">
        <v>87</v>
      </c>
      <c r="E3000" t="s">
        <v>358</v>
      </c>
      <c r="F3000" s="71">
        <v>119.9</v>
      </c>
      <c r="G3000" s="71">
        <v>0</v>
      </c>
    </row>
    <row r="3001" spans="2:7" x14ac:dyDescent="0.25">
      <c r="B3001" s="70">
        <v>43655</v>
      </c>
      <c r="C3001" t="s">
        <v>48</v>
      </c>
      <c r="D3001" t="s">
        <v>85</v>
      </c>
      <c r="E3001" t="s">
        <v>358</v>
      </c>
      <c r="F3001" s="71">
        <v>29.95</v>
      </c>
      <c r="G3001" s="71">
        <v>0</v>
      </c>
    </row>
    <row r="3002" spans="2:7" x14ac:dyDescent="0.25">
      <c r="B3002" s="70">
        <v>43655</v>
      </c>
      <c r="C3002" t="s">
        <v>48</v>
      </c>
      <c r="D3002" t="s">
        <v>82</v>
      </c>
      <c r="E3002" t="s">
        <v>358</v>
      </c>
      <c r="F3002" s="71">
        <v>1170</v>
      </c>
      <c r="G3002" s="71">
        <v>0</v>
      </c>
    </row>
    <row r="3003" spans="2:7" x14ac:dyDescent="0.25">
      <c r="B3003" s="70">
        <v>43655</v>
      </c>
      <c r="C3003" t="s">
        <v>48</v>
      </c>
      <c r="D3003" t="s">
        <v>84</v>
      </c>
      <c r="E3003" t="s">
        <v>358</v>
      </c>
      <c r="F3003" s="71">
        <v>104</v>
      </c>
      <c r="G3003" s="71">
        <v>0</v>
      </c>
    </row>
    <row r="3004" spans="2:7" x14ac:dyDescent="0.25">
      <c r="B3004" s="70">
        <v>43656</v>
      </c>
      <c r="C3004" t="s">
        <v>25</v>
      </c>
      <c r="D3004" t="s">
        <v>81</v>
      </c>
      <c r="E3004" t="s">
        <v>131</v>
      </c>
      <c r="F3004" s="71">
        <v>2.4</v>
      </c>
      <c r="G3004" s="71">
        <v>0</v>
      </c>
    </row>
    <row r="3005" spans="2:7" x14ac:dyDescent="0.25">
      <c r="B3005" s="70">
        <v>43656</v>
      </c>
      <c r="C3005" t="s">
        <v>25</v>
      </c>
      <c r="D3005" t="s">
        <v>115</v>
      </c>
      <c r="E3005" t="s">
        <v>359</v>
      </c>
      <c r="F3005" s="71">
        <v>42.15</v>
      </c>
      <c r="G3005" s="71">
        <v>0</v>
      </c>
    </row>
    <row r="3006" spans="2:7" x14ac:dyDescent="0.25">
      <c r="B3006" s="70">
        <v>43656</v>
      </c>
      <c r="C3006" t="s">
        <v>25</v>
      </c>
      <c r="D3006" t="s">
        <v>115</v>
      </c>
      <c r="E3006" t="s">
        <v>359</v>
      </c>
      <c r="F3006" s="71">
        <v>57.16</v>
      </c>
      <c r="G3006" s="71">
        <v>0</v>
      </c>
    </row>
    <row r="3007" spans="2:7" x14ac:dyDescent="0.25">
      <c r="B3007" s="70">
        <v>43656</v>
      </c>
      <c r="C3007" t="s">
        <v>25</v>
      </c>
      <c r="D3007" t="s">
        <v>115</v>
      </c>
      <c r="E3007" t="s">
        <v>359</v>
      </c>
      <c r="F3007" s="71">
        <v>60.19</v>
      </c>
      <c r="G3007" s="71">
        <v>0</v>
      </c>
    </row>
    <row r="3008" spans="2:7" x14ac:dyDescent="0.25">
      <c r="B3008" s="70">
        <v>43656</v>
      </c>
      <c r="C3008" t="s">
        <v>25</v>
      </c>
      <c r="D3008" t="s">
        <v>115</v>
      </c>
      <c r="E3008" t="s">
        <v>359</v>
      </c>
      <c r="F3008" s="71">
        <v>138.13</v>
      </c>
      <c r="G3008" s="71">
        <v>0</v>
      </c>
    </row>
    <row r="3009" spans="2:7" x14ac:dyDescent="0.25">
      <c r="B3009" s="70">
        <v>43656</v>
      </c>
      <c r="C3009" t="s">
        <v>54</v>
      </c>
      <c r="D3009" t="s">
        <v>115</v>
      </c>
      <c r="E3009" t="s">
        <v>359</v>
      </c>
      <c r="F3009" s="71">
        <v>804.21</v>
      </c>
      <c r="G3009" s="71">
        <v>0</v>
      </c>
    </row>
    <row r="3010" spans="2:7" x14ac:dyDescent="0.25">
      <c r="B3010" s="70">
        <v>43656</v>
      </c>
      <c r="C3010" t="s">
        <v>46</v>
      </c>
      <c r="D3010" t="s">
        <v>115</v>
      </c>
      <c r="E3010" t="s">
        <v>359</v>
      </c>
      <c r="F3010" s="71">
        <v>30.39</v>
      </c>
      <c r="G3010" s="71">
        <v>0</v>
      </c>
    </row>
    <row r="3011" spans="2:7" x14ac:dyDescent="0.25">
      <c r="B3011" s="70">
        <v>43656</v>
      </c>
      <c r="C3011" t="s">
        <v>46</v>
      </c>
      <c r="D3011" t="s">
        <v>84</v>
      </c>
      <c r="E3011" t="s">
        <v>360</v>
      </c>
      <c r="F3011" s="71">
        <v>12</v>
      </c>
      <c r="G3011" s="71">
        <v>0</v>
      </c>
    </row>
    <row r="3012" spans="2:7" x14ac:dyDescent="0.25">
      <c r="B3012" s="70">
        <v>43656</v>
      </c>
      <c r="C3012" t="s">
        <v>59</v>
      </c>
      <c r="D3012" t="s">
        <v>84</v>
      </c>
      <c r="E3012" t="s">
        <v>360</v>
      </c>
      <c r="F3012" s="71">
        <v>869.85</v>
      </c>
      <c r="G3012" s="71">
        <v>0</v>
      </c>
    </row>
    <row r="3013" spans="2:7" x14ac:dyDescent="0.25">
      <c r="B3013" s="70">
        <v>43656</v>
      </c>
      <c r="C3013" t="s">
        <v>21</v>
      </c>
      <c r="D3013" t="s">
        <v>79</v>
      </c>
      <c r="E3013" t="s">
        <v>360</v>
      </c>
      <c r="F3013" s="71">
        <v>8</v>
      </c>
      <c r="G3013" s="71">
        <v>0</v>
      </c>
    </row>
    <row r="3014" spans="2:7" x14ac:dyDescent="0.25">
      <c r="B3014" s="70">
        <v>43656</v>
      </c>
      <c r="C3014" t="s">
        <v>21</v>
      </c>
      <c r="D3014" t="s">
        <v>79</v>
      </c>
      <c r="E3014" t="s">
        <v>360</v>
      </c>
      <c r="F3014" s="71">
        <v>16</v>
      </c>
      <c r="G3014" s="71">
        <v>0</v>
      </c>
    </row>
    <row r="3015" spans="2:7" x14ac:dyDescent="0.25">
      <c r="B3015" s="70">
        <v>43656</v>
      </c>
      <c r="C3015" t="s">
        <v>21</v>
      </c>
      <c r="D3015" t="s">
        <v>79</v>
      </c>
      <c r="E3015" t="s">
        <v>360</v>
      </c>
      <c r="F3015" s="71">
        <v>24</v>
      </c>
      <c r="G3015" s="71">
        <v>0</v>
      </c>
    </row>
    <row r="3016" spans="2:7" x14ac:dyDescent="0.25">
      <c r="B3016" s="70">
        <v>43656</v>
      </c>
      <c r="C3016" t="s">
        <v>21</v>
      </c>
      <c r="D3016" t="s">
        <v>115</v>
      </c>
      <c r="E3016" t="s">
        <v>359</v>
      </c>
      <c r="F3016" s="71">
        <v>28.02</v>
      </c>
      <c r="G3016" s="71">
        <v>0</v>
      </c>
    </row>
    <row r="3017" spans="2:7" x14ac:dyDescent="0.25">
      <c r="B3017" s="70">
        <v>43656</v>
      </c>
      <c r="C3017" t="s">
        <v>21</v>
      </c>
      <c r="D3017" t="s">
        <v>115</v>
      </c>
      <c r="E3017" t="s">
        <v>359</v>
      </c>
      <c r="F3017" s="71">
        <v>29.64</v>
      </c>
      <c r="G3017" s="71">
        <v>0</v>
      </c>
    </row>
    <row r="3018" spans="2:7" x14ac:dyDescent="0.25">
      <c r="B3018" s="70">
        <v>43656</v>
      </c>
      <c r="C3018" t="s">
        <v>21</v>
      </c>
      <c r="D3018" t="s">
        <v>115</v>
      </c>
      <c r="E3018" t="s">
        <v>359</v>
      </c>
      <c r="F3018" s="71">
        <v>121.62</v>
      </c>
      <c r="G3018" s="71">
        <v>0</v>
      </c>
    </row>
    <row r="3019" spans="2:7" x14ac:dyDescent="0.25">
      <c r="B3019" s="70">
        <v>43656</v>
      </c>
      <c r="C3019" t="s">
        <v>21</v>
      </c>
      <c r="D3019" t="s">
        <v>115</v>
      </c>
      <c r="E3019" t="s">
        <v>359</v>
      </c>
      <c r="F3019" s="71">
        <v>132.77000000000001</v>
      </c>
      <c r="G3019" s="71">
        <v>0</v>
      </c>
    </row>
    <row r="3020" spans="2:7" x14ac:dyDescent="0.25">
      <c r="B3020" s="70">
        <v>43656</v>
      </c>
      <c r="C3020" t="s">
        <v>21</v>
      </c>
      <c r="D3020" t="s">
        <v>115</v>
      </c>
      <c r="E3020" t="s">
        <v>359</v>
      </c>
      <c r="F3020" s="71">
        <v>170.64</v>
      </c>
      <c r="G3020" s="71">
        <v>0</v>
      </c>
    </row>
    <row r="3021" spans="2:7" x14ac:dyDescent="0.25">
      <c r="B3021" s="70">
        <v>43656</v>
      </c>
      <c r="C3021" t="s">
        <v>21</v>
      </c>
      <c r="D3021" t="s">
        <v>115</v>
      </c>
      <c r="E3021" t="s">
        <v>359</v>
      </c>
      <c r="F3021" s="71">
        <v>173.81</v>
      </c>
      <c r="G3021" s="71">
        <v>0</v>
      </c>
    </row>
    <row r="3022" spans="2:7" x14ac:dyDescent="0.25">
      <c r="B3022" s="70">
        <v>43656</v>
      </c>
      <c r="C3022" t="s">
        <v>21</v>
      </c>
      <c r="D3022" t="s">
        <v>115</v>
      </c>
      <c r="E3022" t="s">
        <v>359</v>
      </c>
      <c r="F3022" s="71">
        <v>173.93</v>
      </c>
      <c r="G3022" s="71">
        <v>0</v>
      </c>
    </row>
    <row r="3023" spans="2:7" x14ac:dyDescent="0.25">
      <c r="B3023" s="70">
        <v>43656</v>
      </c>
      <c r="C3023" t="s">
        <v>21</v>
      </c>
      <c r="D3023" t="s">
        <v>115</v>
      </c>
      <c r="E3023" t="s">
        <v>359</v>
      </c>
      <c r="F3023" s="71">
        <v>186.05</v>
      </c>
      <c r="G3023" s="71">
        <v>0</v>
      </c>
    </row>
    <row r="3024" spans="2:7" x14ac:dyDescent="0.25">
      <c r="B3024" s="70">
        <v>43656</v>
      </c>
      <c r="C3024" t="s">
        <v>21</v>
      </c>
      <c r="D3024" t="s">
        <v>115</v>
      </c>
      <c r="E3024" t="s">
        <v>359</v>
      </c>
      <c r="F3024" s="71">
        <v>217.88</v>
      </c>
      <c r="G3024" s="71">
        <v>0</v>
      </c>
    </row>
    <row r="3025" spans="2:7" x14ac:dyDescent="0.25">
      <c r="B3025" s="70">
        <v>43656</v>
      </c>
      <c r="C3025" t="s">
        <v>21</v>
      </c>
      <c r="D3025" t="s">
        <v>115</v>
      </c>
      <c r="E3025" t="s">
        <v>359</v>
      </c>
      <c r="F3025" s="71">
        <v>277.51</v>
      </c>
      <c r="G3025" s="71">
        <v>0</v>
      </c>
    </row>
    <row r="3026" spans="2:7" x14ac:dyDescent="0.25">
      <c r="B3026" s="70">
        <v>43656</v>
      </c>
      <c r="C3026" t="s">
        <v>21</v>
      </c>
      <c r="D3026" t="s">
        <v>115</v>
      </c>
      <c r="E3026" t="s">
        <v>359</v>
      </c>
      <c r="F3026" s="71">
        <v>339.11</v>
      </c>
      <c r="G3026" s="71">
        <v>0</v>
      </c>
    </row>
    <row r="3027" spans="2:7" x14ac:dyDescent="0.25">
      <c r="B3027" s="70">
        <v>43656</v>
      </c>
      <c r="C3027" t="s">
        <v>21</v>
      </c>
      <c r="D3027" t="s">
        <v>115</v>
      </c>
      <c r="E3027" t="s">
        <v>359</v>
      </c>
      <c r="F3027" s="71">
        <v>392.27</v>
      </c>
      <c r="G3027" s="71">
        <v>0</v>
      </c>
    </row>
    <row r="3028" spans="2:7" x14ac:dyDescent="0.25">
      <c r="B3028" s="70">
        <v>43656</v>
      </c>
      <c r="C3028" t="s">
        <v>21</v>
      </c>
      <c r="D3028" t="s">
        <v>115</v>
      </c>
      <c r="E3028" t="s">
        <v>359</v>
      </c>
      <c r="F3028" s="71">
        <v>453.9</v>
      </c>
      <c r="G3028" s="71">
        <v>0</v>
      </c>
    </row>
    <row r="3029" spans="2:7" x14ac:dyDescent="0.25">
      <c r="B3029" s="70">
        <v>43656</v>
      </c>
      <c r="C3029" t="s">
        <v>21</v>
      </c>
      <c r="D3029" t="s">
        <v>115</v>
      </c>
      <c r="E3029" t="s">
        <v>359</v>
      </c>
      <c r="F3029" s="71">
        <v>477.64</v>
      </c>
      <c r="G3029" s="71">
        <v>0</v>
      </c>
    </row>
    <row r="3030" spans="2:7" x14ac:dyDescent="0.25">
      <c r="B3030" s="70">
        <v>43656</v>
      </c>
      <c r="C3030" t="s">
        <v>21</v>
      </c>
      <c r="D3030" t="s">
        <v>115</v>
      </c>
      <c r="E3030" t="s">
        <v>359</v>
      </c>
      <c r="F3030" s="71">
        <v>531.46</v>
      </c>
      <c r="G3030" s="71">
        <v>0</v>
      </c>
    </row>
    <row r="3031" spans="2:7" x14ac:dyDescent="0.25">
      <c r="B3031" s="70">
        <v>43656</v>
      </c>
      <c r="C3031" t="s">
        <v>21</v>
      </c>
      <c r="D3031" t="s">
        <v>115</v>
      </c>
      <c r="E3031" t="s">
        <v>359</v>
      </c>
      <c r="F3031" s="71">
        <v>551.41</v>
      </c>
      <c r="G3031" s="71">
        <v>0</v>
      </c>
    </row>
    <row r="3032" spans="2:7" x14ac:dyDescent="0.25">
      <c r="B3032" s="70">
        <v>43656</v>
      </c>
      <c r="C3032" t="s">
        <v>21</v>
      </c>
      <c r="D3032" t="s">
        <v>115</v>
      </c>
      <c r="E3032" t="s">
        <v>359</v>
      </c>
      <c r="F3032" s="71">
        <v>562.02</v>
      </c>
      <c r="G3032" s="71">
        <v>0</v>
      </c>
    </row>
    <row r="3033" spans="2:7" x14ac:dyDescent="0.25">
      <c r="B3033" s="70">
        <v>43656</v>
      </c>
      <c r="C3033" t="s">
        <v>21</v>
      </c>
      <c r="D3033" t="s">
        <v>115</v>
      </c>
      <c r="E3033" t="s">
        <v>359</v>
      </c>
      <c r="F3033" s="71">
        <v>575.63</v>
      </c>
      <c r="G3033" s="71">
        <v>0</v>
      </c>
    </row>
    <row r="3034" spans="2:7" x14ac:dyDescent="0.25">
      <c r="B3034" s="70">
        <v>43656</v>
      </c>
      <c r="C3034" t="s">
        <v>21</v>
      </c>
      <c r="D3034" t="s">
        <v>115</v>
      </c>
      <c r="E3034" t="s">
        <v>359</v>
      </c>
      <c r="F3034" s="71">
        <v>706.08</v>
      </c>
      <c r="G3034" s="71">
        <v>0</v>
      </c>
    </row>
    <row r="3035" spans="2:7" x14ac:dyDescent="0.25">
      <c r="B3035" s="70">
        <v>43656</v>
      </c>
      <c r="C3035" t="s">
        <v>21</v>
      </c>
      <c r="D3035" t="s">
        <v>115</v>
      </c>
      <c r="E3035" t="s">
        <v>359</v>
      </c>
      <c r="F3035" s="71">
        <v>757.32</v>
      </c>
      <c r="G3035" s="71">
        <v>0</v>
      </c>
    </row>
    <row r="3036" spans="2:7" x14ac:dyDescent="0.25">
      <c r="B3036" s="70">
        <v>43656</v>
      </c>
      <c r="C3036" t="s">
        <v>21</v>
      </c>
      <c r="D3036" t="s">
        <v>115</v>
      </c>
      <c r="E3036" t="s">
        <v>359</v>
      </c>
      <c r="F3036" s="71">
        <v>828.89</v>
      </c>
      <c r="G3036" s="71">
        <v>0</v>
      </c>
    </row>
    <row r="3037" spans="2:7" x14ac:dyDescent="0.25">
      <c r="B3037" s="70">
        <v>43656</v>
      </c>
      <c r="C3037" t="s">
        <v>21</v>
      </c>
      <c r="D3037" t="s">
        <v>115</v>
      </c>
      <c r="E3037" t="s">
        <v>359</v>
      </c>
      <c r="F3037" s="71">
        <v>839.9</v>
      </c>
      <c r="G3037" s="71">
        <v>0</v>
      </c>
    </row>
    <row r="3038" spans="2:7" x14ac:dyDescent="0.25">
      <c r="B3038" s="70">
        <v>43656</v>
      </c>
      <c r="C3038" t="s">
        <v>21</v>
      </c>
      <c r="D3038" t="s">
        <v>115</v>
      </c>
      <c r="E3038" t="s">
        <v>359</v>
      </c>
      <c r="F3038" s="71">
        <v>1660.09</v>
      </c>
      <c r="G3038" s="71">
        <v>0</v>
      </c>
    </row>
    <row r="3039" spans="2:7" x14ac:dyDescent="0.25">
      <c r="B3039" s="70">
        <v>43656</v>
      </c>
      <c r="C3039" t="s">
        <v>66</v>
      </c>
      <c r="D3039" t="s">
        <v>115</v>
      </c>
      <c r="E3039" t="s">
        <v>359</v>
      </c>
      <c r="F3039" s="71">
        <v>9.9600000000000009</v>
      </c>
      <c r="G3039" s="71">
        <v>0</v>
      </c>
    </row>
    <row r="3040" spans="2:7" x14ac:dyDescent="0.25">
      <c r="B3040" s="70">
        <v>43656</v>
      </c>
      <c r="C3040" t="s">
        <v>66</v>
      </c>
      <c r="D3040" t="s">
        <v>84</v>
      </c>
      <c r="E3040" t="s">
        <v>360</v>
      </c>
      <c r="F3040" s="71">
        <v>130.18</v>
      </c>
      <c r="G3040" s="71">
        <v>0</v>
      </c>
    </row>
    <row r="3041" spans="2:7" x14ac:dyDescent="0.25">
      <c r="B3041" s="70">
        <v>43656</v>
      </c>
      <c r="C3041" t="s">
        <v>48</v>
      </c>
      <c r="D3041" t="s">
        <v>115</v>
      </c>
      <c r="E3041" t="s">
        <v>359</v>
      </c>
      <c r="F3041" s="71">
        <v>25.14</v>
      </c>
      <c r="G3041" s="71">
        <v>0</v>
      </c>
    </row>
    <row r="3042" spans="2:7" x14ac:dyDescent="0.25">
      <c r="B3042" s="70">
        <v>43656</v>
      </c>
      <c r="C3042" t="s">
        <v>45</v>
      </c>
      <c r="D3042" t="s">
        <v>84</v>
      </c>
      <c r="E3042" t="s">
        <v>360</v>
      </c>
      <c r="F3042" s="71">
        <v>20.85</v>
      </c>
      <c r="G3042" s="71">
        <v>0</v>
      </c>
    </row>
    <row r="3043" spans="2:7" x14ac:dyDescent="0.25">
      <c r="B3043" s="70">
        <v>43656</v>
      </c>
      <c r="C3043" t="s">
        <v>49</v>
      </c>
      <c r="D3043" t="s">
        <v>115</v>
      </c>
      <c r="E3043" t="s">
        <v>359</v>
      </c>
      <c r="F3043" s="71">
        <v>163.72</v>
      </c>
      <c r="G3043" s="71">
        <v>0</v>
      </c>
    </row>
    <row r="3044" spans="2:7" x14ac:dyDescent="0.25">
      <c r="B3044" s="70">
        <v>43656</v>
      </c>
      <c r="C3044" t="s">
        <v>50</v>
      </c>
      <c r="D3044" t="s">
        <v>115</v>
      </c>
      <c r="E3044" t="s">
        <v>359</v>
      </c>
      <c r="F3044" s="71">
        <v>930.71</v>
      </c>
      <c r="G3044" s="71">
        <v>0</v>
      </c>
    </row>
    <row r="3045" spans="2:7" x14ac:dyDescent="0.25">
      <c r="B3045" s="70">
        <v>43656</v>
      </c>
      <c r="C3045" t="s">
        <v>50</v>
      </c>
      <c r="D3045" t="s">
        <v>84</v>
      </c>
      <c r="E3045" t="s">
        <v>360</v>
      </c>
      <c r="F3045" s="71">
        <v>205.5</v>
      </c>
      <c r="G3045" s="71">
        <v>0</v>
      </c>
    </row>
    <row r="3046" spans="2:7" x14ac:dyDescent="0.25">
      <c r="B3046" s="70">
        <v>43656</v>
      </c>
      <c r="C3046" t="s">
        <v>52</v>
      </c>
      <c r="D3046" t="s">
        <v>115</v>
      </c>
      <c r="E3046" t="s">
        <v>359</v>
      </c>
      <c r="F3046" s="71">
        <v>254.94</v>
      </c>
      <c r="G3046" s="71">
        <v>0</v>
      </c>
    </row>
    <row r="3047" spans="2:7" x14ac:dyDescent="0.25">
      <c r="B3047" s="70">
        <v>43656</v>
      </c>
      <c r="C3047" t="s">
        <v>71</v>
      </c>
      <c r="D3047" t="s">
        <v>85</v>
      </c>
      <c r="E3047" t="s">
        <v>360</v>
      </c>
      <c r="F3047" s="71">
        <v>12.5</v>
      </c>
      <c r="G3047" s="71">
        <v>0</v>
      </c>
    </row>
    <row r="3048" spans="2:7" x14ac:dyDescent="0.25">
      <c r="B3048" s="70">
        <v>43656</v>
      </c>
      <c r="C3048" t="s">
        <v>24</v>
      </c>
      <c r="D3048" t="s">
        <v>79</v>
      </c>
      <c r="E3048" t="s">
        <v>360</v>
      </c>
      <c r="F3048" s="71">
        <v>8</v>
      </c>
      <c r="G3048" s="71">
        <v>0</v>
      </c>
    </row>
    <row r="3049" spans="2:7" x14ac:dyDescent="0.25">
      <c r="B3049" s="70">
        <v>43656</v>
      </c>
      <c r="C3049" t="s">
        <v>24</v>
      </c>
      <c r="D3049" t="s">
        <v>79</v>
      </c>
      <c r="E3049" t="s">
        <v>360</v>
      </c>
      <c r="F3049" s="71">
        <v>24</v>
      </c>
      <c r="G3049" s="71">
        <v>0</v>
      </c>
    </row>
    <row r="3050" spans="2:7" x14ac:dyDescent="0.25">
      <c r="B3050" s="70">
        <v>43656</v>
      </c>
      <c r="C3050" t="s">
        <v>24</v>
      </c>
      <c r="D3050" t="s">
        <v>115</v>
      </c>
      <c r="E3050" t="s">
        <v>359</v>
      </c>
      <c r="F3050" s="71">
        <v>7.26</v>
      </c>
      <c r="G3050" s="71">
        <v>0</v>
      </c>
    </row>
    <row r="3051" spans="2:7" x14ac:dyDescent="0.25">
      <c r="B3051" s="70">
        <v>43656</v>
      </c>
      <c r="C3051" t="s">
        <v>24</v>
      </c>
      <c r="D3051" t="s">
        <v>115</v>
      </c>
      <c r="E3051" t="s">
        <v>359</v>
      </c>
      <c r="F3051" s="71">
        <v>13.43</v>
      </c>
      <c r="G3051" s="71">
        <v>0</v>
      </c>
    </row>
    <row r="3052" spans="2:7" x14ac:dyDescent="0.25">
      <c r="B3052" s="70">
        <v>43656</v>
      </c>
      <c r="C3052" t="s">
        <v>24</v>
      </c>
      <c r="D3052" t="s">
        <v>115</v>
      </c>
      <c r="E3052" t="s">
        <v>359</v>
      </c>
      <c r="F3052" s="71">
        <v>17.600000000000001</v>
      </c>
      <c r="G3052" s="71">
        <v>0</v>
      </c>
    </row>
    <row r="3053" spans="2:7" x14ac:dyDescent="0.25">
      <c r="B3053" s="70">
        <v>43656</v>
      </c>
      <c r="C3053" t="s">
        <v>24</v>
      </c>
      <c r="D3053" t="s">
        <v>115</v>
      </c>
      <c r="E3053" t="s">
        <v>359</v>
      </c>
      <c r="F3053" s="71">
        <v>19.899999999999999</v>
      </c>
      <c r="G3053" s="71">
        <v>0</v>
      </c>
    </row>
    <row r="3054" spans="2:7" x14ac:dyDescent="0.25">
      <c r="B3054" s="70">
        <v>43656</v>
      </c>
      <c r="C3054" t="s">
        <v>24</v>
      </c>
      <c r="D3054" t="s">
        <v>115</v>
      </c>
      <c r="E3054" t="s">
        <v>359</v>
      </c>
      <c r="F3054" s="71">
        <v>20.170000000000002</v>
      </c>
      <c r="G3054" s="71">
        <v>0</v>
      </c>
    </row>
    <row r="3055" spans="2:7" x14ac:dyDescent="0.25">
      <c r="B3055" s="70">
        <v>43656</v>
      </c>
      <c r="C3055" t="s">
        <v>24</v>
      </c>
      <c r="D3055" t="s">
        <v>115</v>
      </c>
      <c r="E3055" t="s">
        <v>359</v>
      </c>
      <c r="F3055" s="71">
        <v>23.72</v>
      </c>
      <c r="G3055" s="71">
        <v>0</v>
      </c>
    </row>
    <row r="3056" spans="2:7" x14ac:dyDescent="0.25">
      <c r="B3056" s="70">
        <v>43656</v>
      </c>
      <c r="C3056" t="s">
        <v>24</v>
      </c>
      <c r="D3056" t="s">
        <v>115</v>
      </c>
      <c r="E3056" t="s">
        <v>359</v>
      </c>
      <c r="F3056" s="71">
        <v>26.03</v>
      </c>
      <c r="G3056" s="71">
        <v>0</v>
      </c>
    </row>
    <row r="3057" spans="2:7" x14ac:dyDescent="0.25">
      <c r="B3057" s="70">
        <v>43656</v>
      </c>
      <c r="C3057" t="s">
        <v>24</v>
      </c>
      <c r="D3057" t="s">
        <v>115</v>
      </c>
      <c r="E3057" t="s">
        <v>359</v>
      </c>
      <c r="F3057" s="71">
        <v>27.99</v>
      </c>
      <c r="G3057" s="71">
        <v>0</v>
      </c>
    </row>
    <row r="3058" spans="2:7" x14ac:dyDescent="0.25">
      <c r="B3058" s="70">
        <v>43656</v>
      </c>
      <c r="C3058" t="s">
        <v>24</v>
      </c>
      <c r="D3058" t="s">
        <v>115</v>
      </c>
      <c r="E3058" t="s">
        <v>359</v>
      </c>
      <c r="F3058" s="71">
        <v>29.29</v>
      </c>
      <c r="G3058" s="71">
        <v>0</v>
      </c>
    </row>
    <row r="3059" spans="2:7" x14ac:dyDescent="0.25">
      <c r="B3059" s="70">
        <v>43656</v>
      </c>
      <c r="C3059" t="s">
        <v>24</v>
      </c>
      <c r="D3059" t="s">
        <v>115</v>
      </c>
      <c r="E3059" t="s">
        <v>359</v>
      </c>
      <c r="F3059" s="71">
        <v>29.77</v>
      </c>
      <c r="G3059" s="71">
        <v>0</v>
      </c>
    </row>
    <row r="3060" spans="2:7" x14ac:dyDescent="0.25">
      <c r="B3060" s="70">
        <v>43656</v>
      </c>
      <c r="C3060" t="s">
        <v>24</v>
      </c>
      <c r="D3060" t="s">
        <v>115</v>
      </c>
      <c r="E3060" t="s">
        <v>359</v>
      </c>
      <c r="F3060" s="71">
        <v>31.77</v>
      </c>
      <c r="G3060" s="71">
        <v>0</v>
      </c>
    </row>
    <row r="3061" spans="2:7" x14ac:dyDescent="0.25">
      <c r="B3061" s="70">
        <v>43656</v>
      </c>
      <c r="C3061" t="s">
        <v>24</v>
      </c>
      <c r="D3061" t="s">
        <v>115</v>
      </c>
      <c r="E3061" t="s">
        <v>359</v>
      </c>
      <c r="F3061" s="71">
        <v>33.020000000000003</v>
      </c>
      <c r="G3061" s="71">
        <v>0</v>
      </c>
    </row>
    <row r="3062" spans="2:7" x14ac:dyDescent="0.25">
      <c r="B3062" s="70">
        <v>43656</v>
      </c>
      <c r="C3062" t="s">
        <v>24</v>
      </c>
      <c r="D3062" t="s">
        <v>115</v>
      </c>
      <c r="E3062" t="s">
        <v>359</v>
      </c>
      <c r="F3062" s="71">
        <v>54.25</v>
      </c>
      <c r="G3062" s="71">
        <v>0</v>
      </c>
    </row>
    <row r="3063" spans="2:7" x14ac:dyDescent="0.25">
      <c r="B3063" s="70">
        <v>43656</v>
      </c>
      <c r="C3063" t="s">
        <v>24</v>
      </c>
      <c r="D3063" t="s">
        <v>115</v>
      </c>
      <c r="E3063" t="s">
        <v>359</v>
      </c>
      <c r="F3063" s="71">
        <v>57.69</v>
      </c>
      <c r="G3063" s="71">
        <v>0</v>
      </c>
    </row>
    <row r="3064" spans="2:7" x14ac:dyDescent="0.25">
      <c r="B3064" s="70">
        <v>43656</v>
      </c>
      <c r="C3064" t="s">
        <v>24</v>
      </c>
      <c r="D3064" t="s">
        <v>115</v>
      </c>
      <c r="E3064" t="s">
        <v>359</v>
      </c>
      <c r="F3064" s="71">
        <v>117.15</v>
      </c>
      <c r="G3064" s="71">
        <v>0</v>
      </c>
    </row>
    <row r="3065" spans="2:7" x14ac:dyDescent="0.25">
      <c r="B3065" s="70">
        <v>43656</v>
      </c>
      <c r="C3065" t="s">
        <v>24</v>
      </c>
      <c r="D3065" t="s">
        <v>115</v>
      </c>
      <c r="E3065" t="s">
        <v>359</v>
      </c>
      <c r="F3065" s="71">
        <v>122.52</v>
      </c>
      <c r="G3065" s="71">
        <v>0</v>
      </c>
    </row>
    <row r="3066" spans="2:7" x14ac:dyDescent="0.25">
      <c r="B3066" s="70">
        <v>43656</v>
      </c>
      <c r="C3066" t="s">
        <v>24</v>
      </c>
      <c r="D3066" t="s">
        <v>115</v>
      </c>
      <c r="E3066" t="s">
        <v>359</v>
      </c>
      <c r="F3066" s="71">
        <v>136.5</v>
      </c>
      <c r="G3066" s="71">
        <v>0</v>
      </c>
    </row>
    <row r="3067" spans="2:7" x14ac:dyDescent="0.25">
      <c r="B3067" s="70">
        <v>43656</v>
      </c>
      <c r="C3067" t="s">
        <v>61</v>
      </c>
      <c r="D3067" t="s">
        <v>84</v>
      </c>
      <c r="E3067" t="s">
        <v>360</v>
      </c>
      <c r="F3067" s="71">
        <v>125.68</v>
      </c>
      <c r="G3067" s="71">
        <v>0</v>
      </c>
    </row>
    <row r="3068" spans="2:7" x14ac:dyDescent="0.25">
      <c r="B3068" s="70">
        <v>43657</v>
      </c>
      <c r="C3068" t="s">
        <v>25</v>
      </c>
      <c r="D3068" t="s">
        <v>81</v>
      </c>
      <c r="E3068" t="s">
        <v>158</v>
      </c>
      <c r="F3068" s="71">
        <v>1.8</v>
      </c>
      <c r="G3068" s="71">
        <v>0</v>
      </c>
    </row>
    <row r="3069" spans="2:7" x14ac:dyDescent="0.25">
      <c r="B3069" s="70">
        <v>43657</v>
      </c>
      <c r="C3069" t="s">
        <v>25</v>
      </c>
      <c r="D3069" t="s">
        <v>81</v>
      </c>
      <c r="E3069" t="s">
        <v>164</v>
      </c>
      <c r="F3069" s="71">
        <v>5</v>
      </c>
      <c r="G3069" s="71">
        <v>0</v>
      </c>
    </row>
    <row r="3070" spans="2:7" x14ac:dyDescent="0.25">
      <c r="B3070" s="70">
        <v>43657</v>
      </c>
      <c r="C3070" t="s">
        <v>25</v>
      </c>
      <c r="D3070" t="s">
        <v>81</v>
      </c>
      <c r="E3070" t="s">
        <v>179</v>
      </c>
      <c r="F3070" s="71">
        <v>2.4</v>
      </c>
      <c r="G3070" s="71">
        <v>0</v>
      </c>
    </row>
    <row r="3071" spans="2:7" x14ac:dyDescent="0.25">
      <c r="B3071" s="70">
        <v>43657</v>
      </c>
      <c r="C3071" t="s">
        <v>46</v>
      </c>
      <c r="D3071" t="s">
        <v>80</v>
      </c>
      <c r="E3071" t="s">
        <v>361</v>
      </c>
      <c r="F3071" s="71">
        <v>0</v>
      </c>
      <c r="G3071" s="71">
        <v>30</v>
      </c>
    </row>
    <row r="3072" spans="2:7" x14ac:dyDescent="0.25">
      <c r="B3072" s="70">
        <v>43657</v>
      </c>
      <c r="C3072" t="s">
        <v>46</v>
      </c>
      <c r="D3072" t="s">
        <v>86</v>
      </c>
      <c r="E3072" t="s">
        <v>361</v>
      </c>
      <c r="F3072" s="71">
        <v>30</v>
      </c>
      <c r="G3072" s="71">
        <v>0</v>
      </c>
    </row>
    <row r="3073" spans="2:7" x14ac:dyDescent="0.25">
      <c r="B3073" s="70">
        <v>43657</v>
      </c>
      <c r="C3073" t="s">
        <v>47</v>
      </c>
      <c r="D3073" t="s">
        <v>80</v>
      </c>
      <c r="E3073" t="s">
        <v>361</v>
      </c>
      <c r="F3073" s="71">
        <v>0</v>
      </c>
      <c r="G3073" s="71">
        <v>68.680000000000007</v>
      </c>
    </row>
    <row r="3074" spans="2:7" x14ac:dyDescent="0.25">
      <c r="B3074" s="70">
        <v>43657</v>
      </c>
      <c r="C3074" t="s">
        <v>47</v>
      </c>
      <c r="D3074" t="s">
        <v>86</v>
      </c>
      <c r="E3074" t="s">
        <v>361</v>
      </c>
      <c r="F3074" s="71">
        <v>68.680000000000007</v>
      </c>
      <c r="G3074" s="71">
        <v>0</v>
      </c>
    </row>
    <row r="3075" spans="2:7" x14ac:dyDescent="0.25">
      <c r="B3075" s="70">
        <v>43657</v>
      </c>
      <c r="C3075" t="s">
        <v>47</v>
      </c>
      <c r="D3075" t="s">
        <v>84</v>
      </c>
      <c r="E3075" t="s">
        <v>361</v>
      </c>
      <c r="F3075" s="71">
        <v>58.3</v>
      </c>
      <c r="G3075" s="71">
        <v>0</v>
      </c>
    </row>
    <row r="3076" spans="2:7" x14ac:dyDescent="0.25">
      <c r="B3076" s="70">
        <v>43657</v>
      </c>
      <c r="C3076" t="s">
        <v>43</v>
      </c>
      <c r="D3076" t="s">
        <v>85</v>
      </c>
      <c r="E3076" t="s">
        <v>361</v>
      </c>
      <c r="F3076" s="71">
        <v>147.5</v>
      </c>
      <c r="G3076" s="71">
        <v>0</v>
      </c>
    </row>
    <row r="3077" spans="2:7" x14ac:dyDescent="0.25">
      <c r="B3077" s="70">
        <v>43657</v>
      </c>
      <c r="C3077" t="s">
        <v>21</v>
      </c>
      <c r="D3077" t="s">
        <v>79</v>
      </c>
      <c r="E3077" t="s">
        <v>361</v>
      </c>
      <c r="F3077" s="71">
        <v>8</v>
      </c>
      <c r="G3077" s="71">
        <v>0</v>
      </c>
    </row>
    <row r="3078" spans="2:7" x14ac:dyDescent="0.25">
      <c r="B3078" s="70">
        <v>43657</v>
      </c>
      <c r="C3078" t="s">
        <v>21</v>
      </c>
      <c r="D3078" t="s">
        <v>79</v>
      </c>
      <c r="E3078" t="s">
        <v>361</v>
      </c>
      <c r="F3078" s="71">
        <v>16</v>
      </c>
      <c r="G3078" s="71">
        <v>0</v>
      </c>
    </row>
    <row r="3079" spans="2:7" x14ac:dyDescent="0.25">
      <c r="B3079" s="70">
        <v>43657</v>
      </c>
      <c r="C3079" t="s">
        <v>78</v>
      </c>
      <c r="D3079" t="s">
        <v>91</v>
      </c>
      <c r="E3079" t="s">
        <v>361</v>
      </c>
      <c r="F3079" s="71">
        <v>12.83</v>
      </c>
      <c r="G3079" s="71">
        <v>0</v>
      </c>
    </row>
    <row r="3080" spans="2:7" x14ac:dyDescent="0.25">
      <c r="B3080" s="70">
        <v>43657</v>
      </c>
      <c r="C3080" t="s">
        <v>66</v>
      </c>
      <c r="D3080" t="s">
        <v>80</v>
      </c>
      <c r="E3080" t="s">
        <v>361</v>
      </c>
      <c r="F3080" s="71">
        <v>0</v>
      </c>
      <c r="G3080" s="71">
        <v>10</v>
      </c>
    </row>
    <row r="3081" spans="2:7" x14ac:dyDescent="0.25">
      <c r="B3081" s="70">
        <v>43657</v>
      </c>
      <c r="C3081" t="s">
        <v>66</v>
      </c>
      <c r="D3081" t="s">
        <v>86</v>
      </c>
      <c r="E3081" t="s">
        <v>361</v>
      </c>
      <c r="F3081" s="71">
        <v>10</v>
      </c>
      <c r="G3081" s="71">
        <v>0</v>
      </c>
    </row>
    <row r="3082" spans="2:7" x14ac:dyDescent="0.25">
      <c r="B3082" s="70">
        <v>43657</v>
      </c>
      <c r="C3082" t="s">
        <v>55</v>
      </c>
      <c r="D3082" t="s">
        <v>84</v>
      </c>
      <c r="E3082" t="s">
        <v>361</v>
      </c>
      <c r="F3082" s="71">
        <v>30</v>
      </c>
      <c r="G3082" s="71">
        <v>0</v>
      </c>
    </row>
    <row r="3083" spans="2:7" x14ac:dyDescent="0.25">
      <c r="B3083" s="70">
        <v>43657</v>
      </c>
      <c r="C3083" t="s">
        <v>45</v>
      </c>
      <c r="D3083" t="s">
        <v>84</v>
      </c>
      <c r="E3083" t="s">
        <v>361</v>
      </c>
      <c r="F3083" s="71">
        <v>12.9</v>
      </c>
      <c r="G3083" s="71">
        <v>0</v>
      </c>
    </row>
    <row r="3084" spans="2:7" x14ac:dyDescent="0.25">
      <c r="B3084" s="70">
        <v>43657</v>
      </c>
      <c r="C3084" t="s">
        <v>50</v>
      </c>
      <c r="D3084" t="s">
        <v>84</v>
      </c>
      <c r="E3084" t="s">
        <v>361</v>
      </c>
      <c r="F3084" s="71">
        <v>20</v>
      </c>
      <c r="G3084" s="71">
        <v>0</v>
      </c>
    </row>
    <row r="3085" spans="2:7" x14ac:dyDescent="0.25">
      <c r="B3085" s="70">
        <v>43657</v>
      </c>
      <c r="C3085" t="s">
        <v>52</v>
      </c>
      <c r="D3085" t="s">
        <v>85</v>
      </c>
      <c r="E3085" t="s">
        <v>361</v>
      </c>
      <c r="F3085" s="71">
        <v>60.7</v>
      </c>
      <c r="G3085" s="71">
        <v>0</v>
      </c>
    </row>
    <row r="3086" spans="2:7" x14ac:dyDescent="0.25">
      <c r="B3086" s="70">
        <v>43657</v>
      </c>
      <c r="C3086" t="s">
        <v>52</v>
      </c>
      <c r="D3086" t="s">
        <v>80</v>
      </c>
      <c r="E3086" t="s">
        <v>361</v>
      </c>
      <c r="F3086" s="71">
        <v>0</v>
      </c>
      <c r="G3086" s="71">
        <v>10</v>
      </c>
    </row>
    <row r="3087" spans="2:7" x14ac:dyDescent="0.25">
      <c r="B3087" s="70">
        <v>43657</v>
      </c>
      <c r="C3087" t="s">
        <v>52</v>
      </c>
      <c r="D3087" t="s">
        <v>86</v>
      </c>
      <c r="E3087" t="s">
        <v>361</v>
      </c>
      <c r="F3087" s="71">
        <v>10</v>
      </c>
      <c r="G3087" s="71">
        <v>0</v>
      </c>
    </row>
    <row r="3088" spans="2:7" x14ac:dyDescent="0.25">
      <c r="B3088" s="70">
        <v>43657</v>
      </c>
      <c r="C3088" t="s">
        <v>63</v>
      </c>
      <c r="D3088" t="s">
        <v>80</v>
      </c>
      <c r="E3088" t="s">
        <v>361</v>
      </c>
      <c r="F3088" s="71">
        <v>0</v>
      </c>
      <c r="G3088" s="71">
        <v>93.15</v>
      </c>
    </row>
    <row r="3089" spans="2:7" x14ac:dyDescent="0.25">
      <c r="B3089" s="70">
        <v>43657</v>
      </c>
      <c r="C3089" t="s">
        <v>63</v>
      </c>
      <c r="D3089" t="s">
        <v>86</v>
      </c>
      <c r="E3089" t="s">
        <v>361</v>
      </c>
      <c r="F3089" s="71">
        <v>93.15</v>
      </c>
      <c r="G3089" s="71">
        <v>0</v>
      </c>
    </row>
    <row r="3090" spans="2:7" x14ac:dyDescent="0.25">
      <c r="B3090" s="70">
        <v>43657</v>
      </c>
      <c r="C3090" t="s">
        <v>24</v>
      </c>
      <c r="D3090" t="s">
        <v>79</v>
      </c>
      <c r="E3090" t="s">
        <v>361</v>
      </c>
      <c r="F3090" s="71">
        <v>8</v>
      </c>
      <c r="G3090" s="71">
        <v>0</v>
      </c>
    </row>
    <row r="3091" spans="2:7" x14ac:dyDescent="0.25">
      <c r="B3091" s="70">
        <v>43657</v>
      </c>
      <c r="C3091" t="s">
        <v>24</v>
      </c>
      <c r="D3091" t="s">
        <v>79</v>
      </c>
      <c r="E3091" t="s">
        <v>361</v>
      </c>
      <c r="F3091" s="71">
        <v>32</v>
      </c>
      <c r="G3091" s="71">
        <v>0</v>
      </c>
    </row>
    <row r="3092" spans="2:7" x14ac:dyDescent="0.25">
      <c r="B3092" s="70">
        <v>43657</v>
      </c>
      <c r="C3092" t="s">
        <v>61</v>
      </c>
      <c r="D3092" t="s">
        <v>80</v>
      </c>
      <c r="E3092" t="s">
        <v>361</v>
      </c>
      <c r="F3092" s="71">
        <v>0</v>
      </c>
      <c r="G3092" s="71">
        <v>20.25</v>
      </c>
    </row>
    <row r="3093" spans="2:7" x14ac:dyDescent="0.25">
      <c r="B3093" s="70">
        <v>43657</v>
      </c>
      <c r="C3093" t="s">
        <v>61</v>
      </c>
      <c r="D3093" t="s">
        <v>86</v>
      </c>
      <c r="E3093" t="s">
        <v>361</v>
      </c>
      <c r="F3093" s="71">
        <v>20.25</v>
      </c>
      <c r="G3093" s="71">
        <v>0</v>
      </c>
    </row>
    <row r="3094" spans="2:7" x14ac:dyDescent="0.25">
      <c r="B3094" s="70">
        <v>43658</v>
      </c>
      <c r="C3094" t="s">
        <v>25</v>
      </c>
      <c r="D3094" t="s">
        <v>80</v>
      </c>
      <c r="E3094" t="s">
        <v>362</v>
      </c>
      <c r="F3094" s="71">
        <v>115.77</v>
      </c>
      <c r="G3094" s="71">
        <v>0</v>
      </c>
    </row>
    <row r="3095" spans="2:7" x14ac:dyDescent="0.25">
      <c r="B3095" s="70">
        <v>43658</v>
      </c>
      <c r="C3095" t="s">
        <v>25</v>
      </c>
      <c r="D3095" t="s">
        <v>87</v>
      </c>
      <c r="E3095" t="s">
        <v>362</v>
      </c>
      <c r="F3095" s="71">
        <v>25</v>
      </c>
      <c r="G3095" s="71">
        <v>0</v>
      </c>
    </row>
    <row r="3096" spans="2:7" x14ac:dyDescent="0.25">
      <c r="B3096" s="70">
        <v>43658</v>
      </c>
      <c r="C3096" t="s">
        <v>25</v>
      </c>
      <c r="D3096" t="s">
        <v>87</v>
      </c>
      <c r="E3096" t="s">
        <v>362</v>
      </c>
      <c r="F3096" s="71">
        <v>28</v>
      </c>
      <c r="G3096" s="71">
        <v>0</v>
      </c>
    </row>
    <row r="3097" spans="2:7" x14ac:dyDescent="0.25">
      <c r="B3097" s="70">
        <v>43658</v>
      </c>
      <c r="C3097" t="s">
        <v>25</v>
      </c>
      <c r="D3097" t="s">
        <v>87</v>
      </c>
      <c r="E3097" t="s">
        <v>362</v>
      </c>
      <c r="F3097" s="71">
        <v>39.950000000000003</v>
      </c>
      <c r="G3097" s="71">
        <v>0</v>
      </c>
    </row>
    <row r="3098" spans="2:7" x14ac:dyDescent="0.25">
      <c r="B3098" s="70">
        <v>43658</v>
      </c>
      <c r="C3098" t="s">
        <v>25</v>
      </c>
      <c r="D3098" t="s">
        <v>87</v>
      </c>
      <c r="E3098" t="s">
        <v>362</v>
      </c>
      <c r="F3098" s="71">
        <v>57.78</v>
      </c>
      <c r="G3098" s="71">
        <v>0</v>
      </c>
    </row>
    <row r="3099" spans="2:7" x14ac:dyDescent="0.25">
      <c r="B3099" s="70">
        <v>43658</v>
      </c>
      <c r="C3099" t="s">
        <v>25</v>
      </c>
      <c r="D3099" t="s">
        <v>87</v>
      </c>
      <c r="E3099" t="s">
        <v>362</v>
      </c>
      <c r="F3099" s="71">
        <v>75.739999999999995</v>
      </c>
      <c r="G3099" s="71">
        <v>0</v>
      </c>
    </row>
    <row r="3100" spans="2:7" x14ac:dyDescent="0.25">
      <c r="B3100" s="70">
        <v>43658</v>
      </c>
      <c r="C3100" t="s">
        <v>25</v>
      </c>
      <c r="D3100" t="s">
        <v>81</v>
      </c>
      <c r="E3100" t="s">
        <v>207</v>
      </c>
      <c r="F3100" s="71">
        <v>9.5500000000000007</v>
      </c>
      <c r="G3100" s="71">
        <v>0</v>
      </c>
    </row>
    <row r="3101" spans="2:7" x14ac:dyDescent="0.25">
      <c r="B3101" s="70">
        <v>43658</v>
      </c>
      <c r="C3101" t="s">
        <v>25</v>
      </c>
      <c r="D3101" t="s">
        <v>81</v>
      </c>
      <c r="E3101" t="s">
        <v>172</v>
      </c>
      <c r="F3101" s="71">
        <v>5.55</v>
      </c>
      <c r="G3101" s="71">
        <v>0</v>
      </c>
    </row>
    <row r="3102" spans="2:7" x14ac:dyDescent="0.25">
      <c r="B3102" s="70">
        <v>43658</v>
      </c>
      <c r="C3102" t="s">
        <v>25</v>
      </c>
      <c r="D3102" t="s">
        <v>81</v>
      </c>
      <c r="E3102" t="s">
        <v>133</v>
      </c>
      <c r="F3102" s="71">
        <v>4.8</v>
      </c>
      <c r="G3102" s="71">
        <v>0</v>
      </c>
    </row>
    <row r="3103" spans="2:7" x14ac:dyDescent="0.25">
      <c r="B3103" s="70">
        <v>43658</v>
      </c>
      <c r="C3103" t="s">
        <v>54</v>
      </c>
      <c r="D3103" t="s">
        <v>86</v>
      </c>
      <c r="E3103" t="s">
        <v>362</v>
      </c>
      <c r="F3103" s="71">
        <v>771.1</v>
      </c>
      <c r="G3103" s="71">
        <v>0</v>
      </c>
    </row>
    <row r="3104" spans="2:7" x14ac:dyDescent="0.25">
      <c r="B3104" s="70">
        <v>43658</v>
      </c>
      <c r="C3104" t="s">
        <v>46</v>
      </c>
      <c r="D3104" t="s">
        <v>86</v>
      </c>
      <c r="E3104" t="s">
        <v>362</v>
      </c>
      <c r="F3104" s="71">
        <v>223.1</v>
      </c>
      <c r="G3104" s="71">
        <v>0</v>
      </c>
    </row>
    <row r="3105" spans="2:7" x14ac:dyDescent="0.25">
      <c r="B3105" s="70">
        <v>43658</v>
      </c>
      <c r="C3105" t="s">
        <v>47</v>
      </c>
      <c r="D3105" t="s">
        <v>80</v>
      </c>
      <c r="E3105" t="s">
        <v>362</v>
      </c>
      <c r="F3105" s="71">
        <v>49.5</v>
      </c>
      <c r="G3105" s="71">
        <v>0</v>
      </c>
    </row>
    <row r="3106" spans="2:7" x14ac:dyDescent="0.25">
      <c r="B3106" s="70">
        <v>43658</v>
      </c>
      <c r="C3106" t="s">
        <v>47</v>
      </c>
      <c r="D3106" t="s">
        <v>87</v>
      </c>
      <c r="E3106" t="s">
        <v>362</v>
      </c>
      <c r="F3106" s="71">
        <v>5.0599999999999996</v>
      </c>
      <c r="G3106" s="71">
        <v>0</v>
      </c>
    </row>
    <row r="3107" spans="2:7" x14ac:dyDescent="0.25">
      <c r="B3107" s="70">
        <v>43658</v>
      </c>
      <c r="C3107" t="s">
        <v>57</v>
      </c>
      <c r="D3107" t="s">
        <v>80</v>
      </c>
      <c r="E3107" t="s">
        <v>362</v>
      </c>
      <c r="F3107" s="71">
        <v>27.57</v>
      </c>
      <c r="G3107" s="71">
        <v>0</v>
      </c>
    </row>
    <row r="3108" spans="2:7" x14ac:dyDescent="0.25">
      <c r="B3108" s="70">
        <v>43658</v>
      </c>
      <c r="C3108" t="s">
        <v>57</v>
      </c>
      <c r="D3108" t="s">
        <v>86</v>
      </c>
      <c r="E3108" t="s">
        <v>362</v>
      </c>
      <c r="F3108" s="71">
        <v>6.9</v>
      </c>
      <c r="G3108" s="71">
        <v>0</v>
      </c>
    </row>
    <row r="3109" spans="2:7" x14ac:dyDescent="0.25">
      <c r="B3109" s="70">
        <v>43658</v>
      </c>
      <c r="C3109" t="s">
        <v>48</v>
      </c>
      <c r="D3109" t="s">
        <v>80</v>
      </c>
      <c r="E3109" t="s">
        <v>362</v>
      </c>
      <c r="F3109" s="71">
        <v>68</v>
      </c>
      <c r="G3109" s="71">
        <v>0</v>
      </c>
    </row>
    <row r="3110" spans="2:7" x14ac:dyDescent="0.25">
      <c r="B3110" s="70">
        <v>43658</v>
      </c>
      <c r="C3110" t="s">
        <v>55</v>
      </c>
      <c r="D3110" t="s">
        <v>86</v>
      </c>
      <c r="E3110" t="s">
        <v>362</v>
      </c>
      <c r="F3110" s="71">
        <v>882.45</v>
      </c>
      <c r="G3110" s="71">
        <v>0</v>
      </c>
    </row>
    <row r="3111" spans="2:7" x14ac:dyDescent="0.25">
      <c r="B3111" s="70">
        <v>43658</v>
      </c>
      <c r="C3111" t="s">
        <v>75</v>
      </c>
      <c r="D3111" t="s">
        <v>80</v>
      </c>
      <c r="E3111" t="s">
        <v>362</v>
      </c>
      <c r="F3111" s="71">
        <v>62.39</v>
      </c>
      <c r="G3111" s="71">
        <v>0</v>
      </c>
    </row>
    <row r="3112" spans="2:7" x14ac:dyDescent="0.25">
      <c r="B3112" s="70">
        <v>43658</v>
      </c>
      <c r="C3112" t="s">
        <v>52</v>
      </c>
      <c r="D3112" t="s">
        <v>87</v>
      </c>
      <c r="E3112" t="s">
        <v>362</v>
      </c>
      <c r="F3112" s="71">
        <v>186.42</v>
      </c>
      <c r="G3112" s="71">
        <v>0</v>
      </c>
    </row>
    <row r="3113" spans="2:7" x14ac:dyDescent="0.25">
      <c r="B3113" s="70">
        <v>43658</v>
      </c>
      <c r="C3113" t="s">
        <v>52</v>
      </c>
      <c r="D3113" t="s">
        <v>86</v>
      </c>
      <c r="E3113" t="s">
        <v>362</v>
      </c>
      <c r="F3113" s="71">
        <v>20.67</v>
      </c>
      <c r="G3113" s="71">
        <v>0</v>
      </c>
    </row>
    <row r="3114" spans="2:7" x14ac:dyDescent="0.25">
      <c r="B3114" s="70">
        <v>43658</v>
      </c>
      <c r="C3114" t="s">
        <v>58</v>
      </c>
      <c r="D3114" t="s">
        <v>84</v>
      </c>
      <c r="E3114" t="s">
        <v>362</v>
      </c>
      <c r="F3114" s="71">
        <v>25</v>
      </c>
      <c r="G3114" s="71">
        <v>0</v>
      </c>
    </row>
    <row r="3115" spans="2:7" x14ac:dyDescent="0.25">
      <c r="B3115" s="70">
        <v>43658</v>
      </c>
      <c r="C3115" t="s">
        <v>24</v>
      </c>
      <c r="D3115" t="s">
        <v>79</v>
      </c>
      <c r="E3115" t="s">
        <v>362</v>
      </c>
      <c r="F3115" s="71">
        <v>16</v>
      </c>
      <c r="G3115" s="71">
        <v>0</v>
      </c>
    </row>
    <row r="3116" spans="2:7" x14ac:dyDescent="0.25">
      <c r="B3116" s="70">
        <v>43658</v>
      </c>
      <c r="C3116" t="s">
        <v>60</v>
      </c>
      <c r="D3116" t="s">
        <v>86</v>
      </c>
      <c r="E3116" t="s">
        <v>362</v>
      </c>
      <c r="F3116" s="71">
        <v>344.25</v>
      </c>
      <c r="G3116" s="71">
        <v>0</v>
      </c>
    </row>
    <row r="3117" spans="2:7" x14ac:dyDescent="0.25">
      <c r="B3117" s="70">
        <v>43658</v>
      </c>
      <c r="C3117" t="s">
        <v>62</v>
      </c>
      <c r="D3117" t="s">
        <v>86</v>
      </c>
      <c r="E3117" t="s">
        <v>362</v>
      </c>
      <c r="F3117" s="71">
        <v>86.05</v>
      </c>
      <c r="G3117" s="71">
        <v>0</v>
      </c>
    </row>
    <row r="3118" spans="2:7" x14ac:dyDescent="0.25">
      <c r="B3118" s="70">
        <v>43659</v>
      </c>
      <c r="C3118" t="s">
        <v>25</v>
      </c>
      <c r="D3118" t="s">
        <v>81</v>
      </c>
      <c r="E3118" t="s">
        <v>133</v>
      </c>
      <c r="F3118" s="71">
        <v>2.4</v>
      </c>
      <c r="G3118" s="71">
        <v>0</v>
      </c>
    </row>
    <row r="3119" spans="2:7" x14ac:dyDescent="0.25">
      <c r="B3119" s="70">
        <v>43659</v>
      </c>
      <c r="C3119" t="s">
        <v>25</v>
      </c>
      <c r="D3119" t="s">
        <v>84</v>
      </c>
      <c r="E3119" t="s">
        <v>363</v>
      </c>
      <c r="F3119" s="71">
        <v>8.9499999999999993</v>
      </c>
      <c r="G3119" s="71">
        <v>0</v>
      </c>
    </row>
    <row r="3120" spans="2:7" x14ac:dyDescent="0.25">
      <c r="B3120" s="70">
        <v>43659</v>
      </c>
      <c r="C3120" t="s">
        <v>25</v>
      </c>
      <c r="D3120" t="s">
        <v>84</v>
      </c>
      <c r="E3120" t="s">
        <v>363</v>
      </c>
      <c r="F3120" s="71">
        <v>12</v>
      </c>
      <c r="G3120" s="71">
        <v>0</v>
      </c>
    </row>
    <row r="3121" spans="2:7" x14ac:dyDescent="0.25">
      <c r="B3121" s="70">
        <v>43659</v>
      </c>
      <c r="C3121" t="s">
        <v>25</v>
      </c>
      <c r="D3121" t="s">
        <v>84</v>
      </c>
      <c r="E3121" t="s">
        <v>363</v>
      </c>
      <c r="F3121" s="71">
        <v>26</v>
      </c>
      <c r="G3121" s="71">
        <v>0</v>
      </c>
    </row>
    <row r="3122" spans="2:7" x14ac:dyDescent="0.25">
      <c r="B3122" s="70">
        <v>43659</v>
      </c>
      <c r="C3122" t="s">
        <v>21</v>
      </c>
      <c r="D3122" t="s">
        <v>79</v>
      </c>
      <c r="E3122" t="s">
        <v>363</v>
      </c>
      <c r="F3122" s="71">
        <v>8</v>
      </c>
      <c r="G3122" s="71">
        <v>0</v>
      </c>
    </row>
    <row r="3123" spans="2:7" x14ac:dyDescent="0.25">
      <c r="B3123" s="70">
        <v>43659</v>
      </c>
      <c r="C3123" t="s">
        <v>21</v>
      </c>
      <c r="D3123" t="s">
        <v>79</v>
      </c>
      <c r="E3123" t="s">
        <v>363</v>
      </c>
      <c r="F3123" s="71">
        <v>16</v>
      </c>
      <c r="G3123" s="71">
        <v>0</v>
      </c>
    </row>
    <row r="3124" spans="2:7" x14ac:dyDescent="0.25">
      <c r="B3124" s="70">
        <v>43659</v>
      </c>
      <c r="C3124" t="s">
        <v>21</v>
      </c>
      <c r="D3124" t="s">
        <v>79</v>
      </c>
      <c r="E3124" t="s">
        <v>363</v>
      </c>
      <c r="F3124" s="71">
        <v>24</v>
      </c>
      <c r="G3124" s="71">
        <v>0</v>
      </c>
    </row>
    <row r="3125" spans="2:7" x14ac:dyDescent="0.25">
      <c r="B3125" s="70">
        <v>43659</v>
      </c>
      <c r="C3125" t="s">
        <v>55</v>
      </c>
      <c r="D3125" t="s">
        <v>84</v>
      </c>
      <c r="E3125" t="s">
        <v>363</v>
      </c>
      <c r="F3125" s="71">
        <v>24.65</v>
      </c>
      <c r="G3125" s="71">
        <v>0</v>
      </c>
    </row>
    <row r="3126" spans="2:7" x14ac:dyDescent="0.25">
      <c r="B3126" s="70">
        <v>43659</v>
      </c>
      <c r="C3126" t="s">
        <v>50</v>
      </c>
      <c r="D3126" t="s">
        <v>84</v>
      </c>
      <c r="E3126" t="s">
        <v>363</v>
      </c>
      <c r="F3126" s="71">
        <v>425</v>
      </c>
      <c r="G3126" s="71">
        <v>0</v>
      </c>
    </row>
    <row r="3127" spans="2:7" x14ac:dyDescent="0.25">
      <c r="B3127" s="70">
        <v>43659</v>
      </c>
      <c r="C3127" t="s">
        <v>65</v>
      </c>
      <c r="D3127" t="s">
        <v>82</v>
      </c>
      <c r="E3127" t="s">
        <v>363</v>
      </c>
      <c r="F3127" s="71">
        <v>70.23</v>
      </c>
      <c r="G3127" s="71">
        <v>0</v>
      </c>
    </row>
    <row r="3128" spans="2:7" x14ac:dyDescent="0.25">
      <c r="B3128" s="70">
        <v>43659</v>
      </c>
      <c r="C3128" t="s">
        <v>65</v>
      </c>
      <c r="D3128" t="s">
        <v>84</v>
      </c>
      <c r="E3128" t="s">
        <v>363</v>
      </c>
      <c r="F3128" s="71">
        <v>26.38</v>
      </c>
      <c r="G3128" s="71">
        <v>0</v>
      </c>
    </row>
    <row r="3129" spans="2:7" x14ac:dyDescent="0.25">
      <c r="B3129" s="70">
        <v>43659</v>
      </c>
      <c r="C3129" t="s">
        <v>24</v>
      </c>
      <c r="D3129" t="s">
        <v>79</v>
      </c>
      <c r="E3129" t="s">
        <v>363</v>
      </c>
      <c r="F3129" s="71">
        <v>8</v>
      </c>
      <c r="G3129" s="71">
        <v>0</v>
      </c>
    </row>
    <row r="3130" spans="2:7" x14ac:dyDescent="0.25">
      <c r="B3130" s="70">
        <v>43659</v>
      </c>
      <c r="C3130" t="s">
        <v>24</v>
      </c>
      <c r="D3130" t="s">
        <v>79</v>
      </c>
      <c r="E3130" t="s">
        <v>363</v>
      </c>
      <c r="F3130" s="71">
        <v>16</v>
      </c>
      <c r="G3130" s="71">
        <v>0</v>
      </c>
    </row>
    <row r="3131" spans="2:7" x14ac:dyDescent="0.25">
      <c r="B3131" s="70">
        <v>43659</v>
      </c>
      <c r="C3131" t="s">
        <v>24</v>
      </c>
      <c r="D3131" t="s">
        <v>79</v>
      </c>
      <c r="E3131" t="s">
        <v>363</v>
      </c>
      <c r="F3131" s="71">
        <v>24</v>
      </c>
      <c r="G3131" s="71">
        <v>0</v>
      </c>
    </row>
    <row r="3132" spans="2:7" x14ac:dyDescent="0.25">
      <c r="B3132" s="70">
        <v>43659</v>
      </c>
      <c r="C3132" t="s">
        <v>60</v>
      </c>
      <c r="D3132" t="s">
        <v>84</v>
      </c>
      <c r="E3132" t="s">
        <v>363</v>
      </c>
      <c r="F3132" s="71">
        <v>16.05</v>
      </c>
      <c r="G3132" s="71">
        <v>0</v>
      </c>
    </row>
    <row r="3133" spans="2:7" x14ac:dyDescent="0.25">
      <c r="B3133" s="70">
        <v>43661</v>
      </c>
      <c r="C3133" t="s">
        <v>25</v>
      </c>
      <c r="D3133" t="s">
        <v>81</v>
      </c>
      <c r="E3133" t="s">
        <v>197</v>
      </c>
      <c r="F3133" s="71">
        <v>2.5</v>
      </c>
      <c r="G3133" s="71">
        <v>0</v>
      </c>
    </row>
    <row r="3134" spans="2:7" x14ac:dyDescent="0.25">
      <c r="B3134" s="70">
        <v>43661</v>
      </c>
      <c r="C3134" t="s">
        <v>25</v>
      </c>
      <c r="D3134" t="s">
        <v>81</v>
      </c>
      <c r="E3134" t="s">
        <v>148</v>
      </c>
      <c r="F3134" s="71">
        <v>10.5</v>
      </c>
      <c r="G3134" s="71">
        <v>0</v>
      </c>
    </row>
    <row r="3135" spans="2:7" x14ac:dyDescent="0.25">
      <c r="B3135" s="70">
        <v>43661</v>
      </c>
      <c r="C3135" t="s">
        <v>25</v>
      </c>
      <c r="D3135" t="s">
        <v>81</v>
      </c>
      <c r="E3135" t="s">
        <v>172</v>
      </c>
      <c r="F3135" s="71">
        <v>4.75</v>
      </c>
      <c r="G3135" s="71">
        <v>0</v>
      </c>
    </row>
    <row r="3136" spans="2:7" x14ac:dyDescent="0.25">
      <c r="B3136" s="70">
        <v>43661</v>
      </c>
      <c r="C3136" t="s">
        <v>25</v>
      </c>
      <c r="D3136" t="s">
        <v>81</v>
      </c>
      <c r="E3136" t="s">
        <v>150</v>
      </c>
      <c r="F3136" s="71">
        <v>14</v>
      </c>
      <c r="G3136" s="71">
        <v>0</v>
      </c>
    </row>
    <row r="3137" spans="2:7" x14ac:dyDescent="0.25">
      <c r="B3137" s="70">
        <v>43661</v>
      </c>
      <c r="C3137" t="s">
        <v>25</v>
      </c>
      <c r="D3137" t="s">
        <v>84</v>
      </c>
      <c r="E3137" t="s">
        <v>364</v>
      </c>
      <c r="F3137" s="71">
        <v>122</v>
      </c>
      <c r="G3137" s="71">
        <v>0</v>
      </c>
    </row>
    <row r="3138" spans="2:7" x14ac:dyDescent="0.25">
      <c r="B3138" s="70">
        <v>43661</v>
      </c>
      <c r="C3138" t="s">
        <v>56</v>
      </c>
      <c r="D3138" t="s">
        <v>84</v>
      </c>
      <c r="E3138" t="s">
        <v>364</v>
      </c>
      <c r="F3138" s="71">
        <v>187.65</v>
      </c>
      <c r="G3138" s="71">
        <v>0</v>
      </c>
    </row>
    <row r="3139" spans="2:7" x14ac:dyDescent="0.25">
      <c r="B3139" s="70">
        <v>43661</v>
      </c>
      <c r="C3139" t="s">
        <v>21</v>
      </c>
      <c r="D3139" t="s">
        <v>79</v>
      </c>
      <c r="E3139" t="s">
        <v>364</v>
      </c>
      <c r="F3139" s="71">
        <v>8</v>
      </c>
      <c r="G3139" s="71">
        <v>0</v>
      </c>
    </row>
    <row r="3140" spans="2:7" x14ac:dyDescent="0.25">
      <c r="B3140" s="70">
        <v>43661</v>
      </c>
      <c r="C3140" t="s">
        <v>21</v>
      </c>
      <c r="D3140" t="s">
        <v>79</v>
      </c>
      <c r="E3140" t="s">
        <v>364</v>
      </c>
      <c r="F3140" s="71">
        <v>16</v>
      </c>
      <c r="G3140" s="71">
        <v>0</v>
      </c>
    </row>
    <row r="3141" spans="2:7" x14ac:dyDescent="0.25">
      <c r="B3141" s="70">
        <v>43661</v>
      </c>
      <c r="C3141" t="s">
        <v>21</v>
      </c>
      <c r="D3141" t="s">
        <v>79</v>
      </c>
      <c r="E3141" t="s">
        <v>364</v>
      </c>
      <c r="F3141" s="71">
        <v>24</v>
      </c>
      <c r="G3141" s="71">
        <v>0</v>
      </c>
    </row>
    <row r="3142" spans="2:7" x14ac:dyDescent="0.25">
      <c r="B3142" s="70">
        <v>43661</v>
      </c>
      <c r="C3142" t="s">
        <v>65</v>
      </c>
      <c r="D3142" t="s">
        <v>84</v>
      </c>
      <c r="E3142" t="s">
        <v>364</v>
      </c>
      <c r="F3142" s="71">
        <v>17.28</v>
      </c>
      <c r="G3142" s="71">
        <v>0</v>
      </c>
    </row>
    <row r="3143" spans="2:7" x14ac:dyDescent="0.25">
      <c r="B3143" s="70">
        <v>43661</v>
      </c>
      <c r="C3143" t="s">
        <v>24</v>
      </c>
      <c r="D3143" t="s">
        <v>79</v>
      </c>
      <c r="E3143" t="s">
        <v>364</v>
      </c>
      <c r="F3143" s="71">
        <v>8</v>
      </c>
      <c r="G3143" s="71">
        <v>0</v>
      </c>
    </row>
    <row r="3144" spans="2:7" x14ac:dyDescent="0.25">
      <c r="B3144" s="70">
        <v>43662</v>
      </c>
      <c r="C3144" t="s">
        <v>25</v>
      </c>
      <c r="D3144" t="s">
        <v>81</v>
      </c>
      <c r="E3144" t="s">
        <v>197</v>
      </c>
      <c r="F3144" s="71">
        <v>5</v>
      </c>
      <c r="G3144" s="71">
        <v>0</v>
      </c>
    </row>
    <row r="3145" spans="2:7" x14ac:dyDescent="0.25">
      <c r="B3145" s="70">
        <v>43662</v>
      </c>
      <c r="C3145" t="s">
        <v>25</v>
      </c>
      <c r="D3145" t="s">
        <v>81</v>
      </c>
      <c r="E3145" t="s">
        <v>195</v>
      </c>
      <c r="F3145" s="71">
        <v>26</v>
      </c>
      <c r="G3145" s="71">
        <v>0</v>
      </c>
    </row>
    <row r="3146" spans="2:7" x14ac:dyDescent="0.25">
      <c r="B3146" s="70">
        <v>43662</v>
      </c>
      <c r="C3146" t="s">
        <v>25</v>
      </c>
      <c r="D3146" t="s">
        <v>81</v>
      </c>
      <c r="E3146" t="s">
        <v>253</v>
      </c>
      <c r="F3146" s="71">
        <v>1.8</v>
      </c>
      <c r="G3146" s="71">
        <v>0</v>
      </c>
    </row>
    <row r="3147" spans="2:7" x14ac:dyDescent="0.25">
      <c r="B3147" s="70">
        <v>43662</v>
      </c>
      <c r="C3147" t="s">
        <v>25</v>
      </c>
      <c r="D3147" t="s">
        <v>84</v>
      </c>
      <c r="E3147" t="s">
        <v>365</v>
      </c>
      <c r="F3147" s="71">
        <v>12</v>
      </c>
      <c r="G3147" s="71">
        <v>0</v>
      </c>
    </row>
    <row r="3148" spans="2:7" x14ac:dyDescent="0.25">
      <c r="B3148" s="70">
        <v>43662</v>
      </c>
      <c r="C3148" t="s">
        <v>56</v>
      </c>
      <c r="D3148" t="s">
        <v>84</v>
      </c>
      <c r="E3148" t="s">
        <v>365</v>
      </c>
      <c r="F3148" s="71">
        <v>38</v>
      </c>
      <c r="G3148" s="71">
        <v>0</v>
      </c>
    </row>
    <row r="3149" spans="2:7" x14ac:dyDescent="0.25">
      <c r="B3149" s="70">
        <v>43662</v>
      </c>
      <c r="C3149" t="s">
        <v>21</v>
      </c>
      <c r="D3149" t="s">
        <v>79</v>
      </c>
      <c r="E3149" t="s">
        <v>365</v>
      </c>
      <c r="F3149" s="71">
        <v>8</v>
      </c>
      <c r="G3149" s="71">
        <v>0</v>
      </c>
    </row>
    <row r="3150" spans="2:7" x14ac:dyDescent="0.25">
      <c r="B3150" s="70">
        <v>43662</v>
      </c>
      <c r="C3150" t="s">
        <v>21</v>
      </c>
      <c r="D3150" t="s">
        <v>79</v>
      </c>
      <c r="E3150" t="s">
        <v>365</v>
      </c>
      <c r="F3150" s="71">
        <v>16</v>
      </c>
      <c r="G3150" s="71">
        <v>0</v>
      </c>
    </row>
    <row r="3151" spans="2:7" x14ac:dyDescent="0.25">
      <c r="B3151" s="70">
        <v>43662</v>
      </c>
      <c r="C3151" t="s">
        <v>21</v>
      </c>
      <c r="D3151" t="s">
        <v>79</v>
      </c>
      <c r="E3151" t="s">
        <v>365</v>
      </c>
      <c r="F3151" s="71">
        <v>32</v>
      </c>
      <c r="G3151" s="71">
        <v>0</v>
      </c>
    </row>
    <row r="3152" spans="2:7" x14ac:dyDescent="0.25">
      <c r="B3152" s="70">
        <v>43662</v>
      </c>
      <c r="C3152" t="s">
        <v>21</v>
      </c>
      <c r="D3152" t="s">
        <v>79</v>
      </c>
      <c r="E3152" t="s">
        <v>365</v>
      </c>
      <c r="F3152" s="71">
        <v>40</v>
      </c>
      <c r="G3152" s="71">
        <v>0</v>
      </c>
    </row>
    <row r="3153" spans="2:7" x14ac:dyDescent="0.25">
      <c r="B3153" s="70">
        <v>43662</v>
      </c>
      <c r="C3153" t="s">
        <v>21</v>
      </c>
      <c r="D3153" t="s">
        <v>84</v>
      </c>
      <c r="E3153" t="s">
        <v>365</v>
      </c>
      <c r="F3153" s="71">
        <v>149.5</v>
      </c>
      <c r="G3153" s="71">
        <v>0</v>
      </c>
    </row>
    <row r="3154" spans="2:7" x14ac:dyDescent="0.25">
      <c r="B3154" s="70">
        <v>43662</v>
      </c>
      <c r="C3154" t="s">
        <v>21</v>
      </c>
      <c r="D3154" t="s">
        <v>84</v>
      </c>
      <c r="E3154" t="s">
        <v>365</v>
      </c>
      <c r="F3154" s="71">
        <v>182</v>
      </c>
      <c r="G3154" s="71">
        <v>0</v>
      </c>
    </row>
    <row r="3155" spans="2:7" x14ac:dyDescent="0.25">
      <c r="B3155" s="70">
        <v>43662</v>
      </c>
      <c r="C3155" t="s">
        <v>21</v>
      </c>
      <c r="D3155" t="s">
        <v>84</v>
      </c>
      <c r="E3155" t="s">
        <v>365</v>
      </c>
      <c r="F3155" s="71">
        <v>338</v>
      </c>
      <c r="G3155" s="71">
        <v>0</v>
      </c>
    </row>
    <row r="3156" spans="2:7" x14ac:dyDescent="0.25">
      <c r="B3156" s="70">
        <v>43662</v>
      </c>
      <c r="C3156" t="s">
        <v>77</v>
      </c>
      <c r="D3156" t="s">
        <v>85</v>
      </c>
      <c r="E3156" t="s">
        <v>365</v>
      </c>
      <c r="F3156" s="71">
        <v>1000</v>
      </c>
      <c r="G3156" s="71">
        <v>0</v>
      </c>
    </row>
    <row r="3157" spans="2:7" x14ac:dyDescent="0.25">
      <c r="B3157" s="70">
        <v>43662</v>
      </c>
      <c r="C3157" t="s">
        <v>24</v>
      </c>
      <c r="D3157" t="s">
        <v>79</v>
      </c>
      <c r="E3157" t="s">
        <v>365</v>
      </c>
      <c r="F3157" s="71">
        <v>8</v>
      </c>
      <c r="G3157" s="71">
        <v>0</v>
      </c>
    </row>
    <row r="3158" spans="2:7" x14ac:dyDescent="0.25">
      <c r="B3158" s="70">
        <v>43662</v>
      </c>
      <c r="C3158" t="s">
        <v>60</v>
      </c>
      <c r="D3158" t="s">
        <v>84</v>
      </c>
      <c r="E3158" t="s">
        <v>365</v>
      </c>
      <c r="F3158" s="71">
        <v>16.05</v>
      </c>
      <c r="G3158" s="71">
        <v>0</v>
      </c>
    </row>
    <row r="3159" spans="2:7" x14ac:dyDescent="0.25">
      <c r="B3159" s="70">
        <v>43663</v>
      </c>
      <c r="C3159" t="s">
        <v>25</v>
      </c>
      <c r="D3159" t="s">
        <v>84</v>
      </c>
      <c r="E3159" t="s">
        <v>366</v>
      </c>
      <c r="F3159" s="71">
        <v>12</v>
      </c>
      <c r="G3159" s="71">
        <v>0</v>
      </c>
    </row>
    <row r="3160" spans="2:7" x14ac:dyDescent="0.25">
      <c r="B3160" s="70">
        <v>43663</v>
      </c>
      <c r="C3160" t="s">
        <v>25</v>
      </c>
      <c r="D3160" t="s">
        <v>84</v>
      </c>
      <c r="E3160" t="s">
        <v>366</v>
      </c>
      <c r="F3160" s="71">
        <v>34</v>
      </c>
      <c r="G3160" s="71">
        <v>0</v>
      </c>
    </row>
    <row r="3161" spans="2:7" x14ac:dyDescent="0.25">
      <c r="B3161" s="70">
        <v>43663</v>
      </c>
      <c r="C3161" t="s">
        <v>54</v>
      </c>
      <c r="D3161" t="s">
        <v>79</v>
      </c>
      <c r="E3161" t="s">
        <v>366</v>
      </c>
      <c r="F3161" s="71">
        <v>153.85</v>
      </c>
      <c r="G3161" s="71">
        <v>0</v>
      </c>
    </row>
    <row r="3162" spans="2:7" x14ac:dyDescent="0.25">
      <c r="B3162" s="70">
        <v>43663</v>
      </c>
      <c r="C3162" t="s">
        <v>54</v>
      </c>
      <c r="D3162" t="s">
        <v>85</v>
      </c>
      <c r="E3162" t="s">
        <v>366</v>
      </c>
      <c r="F3162" s="71">
        <v>71.94</v>
      </c>
      <c r="G3162" s="71">
        <v>0</v>
      </c>
    </row>
    <row r="3163" spans="2:7" x14ac:dyDescent="0.25">
      <c r="B3163" s="70">
        <v>43663</v>
      </c>
      <c r="C3163" t="s">
        <v>46</v>
      </c>
      <c r="D3163" t="s">
        <v>84</v>
      </c>
      <c r="E3163" t="s">
        <v>366</v>
      </c>
      <c r="F3163" s="71">
        <v>96.05</v>
      </c>
      <c r="G3163" s="71">
        <v>0</v>
      </c>
    </row>
    <row r="3164" spans="2:7" x14ac:dyDescent="0.25">
      <c r="B3164" s="70">
        <v>43663</v>
      </c>
      <c r="C3164" t="s">
        <v>47</v>
      </c>
      <c r="D3164" t="s">
        <v>84</v>
      </c>
      <c r="E3164" t="s">
        <v>366</v>
      </c>
      <c r="F3164" s="71">
        <v>855.52</v>
      </c>
      <c r="G3164" s="71">
        <v>0</v>
      </c>
    </row>
    <row r="3165" spans="2:7" x14ac:dyDescent="0.25">
      <c r="B3165" s="70">
        <v>43663</v>
      </c>
      <c r="C3165" t="s">
        <v>21</v>
      </c>
      <c r="D3165" t="s">
        <v>79</v>
      </c>
      <c r="E3165" t="s">
        <v>366</v>
      </c>
      <c r="F3165" s="71">
        <v>8</v>
      </c>
      <c r="G3165" s="71">
        <v>0</v>
      </c>
    </row>
    <row r="3166" spans="2:7" x14ac:dyDescent="0.25">
      <c r="B3166" s="70">
        <v>43663</v>
      </c>
      <c r="C3166" t="s">
        <v>21</v>
      </c>
      <c r="D3166" t="s">
        <v>79</v>
      </c>
      <c r="E3166" t="s">
        <v>366</v>
      </c>
      <c r="F3166" s="71">
        <v>16</v>
      </c>
      <c r="G3166" s="71">
        <v>0</v>
      </c>
    </row>
    <row r="3167" spans="2:7" x14ac:dyDescent="0.25">
      <c r="B3167" s="70">
        <v>43663</v>
      </c>
      <c r="C3167" t="s">
        <v>21</v>
      </c>
      <c r="D3167" t="s">
        <v>79</v>
      </c>
      <c r="E3167" t="s">
        <v>366</v>
      </c>
      <c r="F3167" s="71">
        <v>24</v>
      </c>
      <c r="G3167" s="71">
        <v>0</v>
      </c>
    </row>
    <row r="3168" spans="2:7" x14ac:dyDescent="0.25">
      <c r="B3168" s="70">
        <v>43663</v>
      </c>
      <c r="C3168" t="s">
        <v>21</v>
      </c>
      <c r="D3168" t="s">
        <v>79</v>
      </c>
      <c r="E3168" t="s">
        <v>366</v>
      </c>
      <c r="F3168" s="71">
        <v>56</v>
      </c>
      <c r="G3168" s="71">
        <v>0</v>
      </c>
    </row>
    <row r="3169" spans="2:7" x14ac:dyDescent="0.25">
      <c r="B3169" s="70">
        <v>43663</v>
      </c>
      <c r="C3169" t="s">
        <v>21</v>
      </c>
      <c r="D3169" t="s">
        <v>79</v>
      </c>
      <c r="E3169" t="s">
        <v>366</v>
      </c>
      <c r="F3169" s="71">
        <v>80</v>
      </c>
      <c r="G3169" s="71">
        <v>0</v>
      </c>
    </row>
    <row r="3170" spans="2:7" x14ac:dyDescent="0.25">
      <c r="B3170" s="70">
        <v>43663</v>
      </c>
      <c r="C3170" t="s">
        <v>55</v>
      </c>
      <c r="D3170" t="s">
        <v>84</v>
      </c>
      <c r="E3170" t="s">
        <v>366</v>
      </c>
      <c r="F3170" s="71">
        <v>609</v>
      </c>
      <c r="G3170" s="71">
        <v>0</v>
      </c>
    </row>
    <row r="3171" spans="2:7" x14ac:dyDescent="0.25">
      <c r="B3171" s="70">
        <v>43663</v>
      </c>
      <c r="C3171" t="s">
        <v>24</v>
      </c>
      <c r="D3171" t="s">
        <v>79</v>
      </c>
      <c r="E3171" t="s">
        <v>366</v>
      </c>
      <c r="F3171" s="71">
        <v>8</v>
      </c>
      <c r="G3171" s="71">
        <v>0</v>
      </c>
    </row>
    <row r="3172" spans="2:7" x14ac:dyDescent="0.25">
      <c r="B3172" s="70">
        <v>43664</v>
      </c>
      <c r="C3172" t="s">
        <v>25</v>
      </c>
      <c r="D3172" t="s">
        <v>81</v>
      </c>
      <c r="E3172" t="s">
        <v>217</v>
      </c>
      <c r="F3172" s="71">
        <v>2.25</v>
      </c>
      <c r="G3172" s="71">
        <v>0</v>
      </c>
    </row>
    <row r="3173" spans="2:7" x14ac:dyDescent="0.25">
      <c r="B3173" s="70">
        <v>43664</v>
      </c>
      <c r="C3173" t="s">
        <v>25</v>
      </c>
      <c r="D3173" t="s">
        <v>81</v>
      </c>
      <c r="E3173" t="s">
        <v>179</v>
      </c>
      <c r="F3173" s="71">
        <v>1.8</v>
      </c>
      <c r="G3173" s="71">
        <v>0</v>
      </c>
    </row>
    <row r="3174" spans="2:7" x14ac:dyDescent="0.25">
      <c r="B3174" s="70">
        <v>43664</v>
      </c>
      <c r="C3174" t="s">
        <v>59</v>
      </c>
      <c r="D3174" t="s">
        <v>86</v>
      </c>
      <c r="E3174" t="s">
        <v>367</v>
      </c>
      <c r="F3174" s="71">
        <v>179.24</v>
      </c>
      <c r="G3174" s="71">
        <v>0</v>
      </c>
    </row>
    <row r="3175" spans="2:7" x14ac:dyDescent="0.25">
      <c r="B3175" s="70">
        <v>43664</v>
      </c>
      <c r="C3175" t="s">
        <v>57</v>
      </c>
      <c r="D3175" t="s">
        <v>86</v>
      </c>
      <c r="E3175" t="s">
        <v>367</v>
      </c>
      <c r="F3175" s="71">
        <v>13.8</v>
      </c>
      <c r="G3175" s="71">
        <v>0</v>
      </c>
    </row>
    <row r="3176" spans="2:7" x14ac:dyDescent="0.25">
      <c r="B3176" s="70">
        <v>43664</v>
      </c>
      <c r="C3176" t="s">
        <v>21</v>
      </c>
      <c r="D3176" t="s">
        <v>79</v>
      </c>
      <c r="E3176" t="s">
        <v>367</v>
      </c>
      <c r="F3176" s="71">
        <v>16</v>
      </c>
      <c r="G3176" s="71">
        <v>0</v>
      </c>
    </row>
    <row r="3177" spans="2:7" x14ac:dyDescent="0.25">
      <c r="B3177" s="70">
        <v>43664</v>
      </c>
      <c r="C3177" t="s">
        <v>21</v>
      </c>
      <c r="D3177" t="s">
        <v>79</v>
      </c>
      <c r="E3177" t="s">
        <v>367</v>
      </c>
      <c r="F3177" s="71">
        <v>24</v>
      </c>
      <c r="G3177" s="71">
        <v>0</v>
      </c>
    </row>
    <row r="3178" spans="2:7" x14ac:dyDescent="0.25">
      <c r="B3178" s="70">
        <v>43664</v>
      </c>
      <c r="C3178" t="s">
        <v>21</v>
      </c>
      <c r="D3178" t="s">
        <v>79</v>
      </c>
      <c r="E3178" t="s">
        <v>367</v>
      </c>
      <c r="F3178" s="71">
        <v>32</v>
      </c>
      <c r="G3178" s="71">
        <v>0</v>
      </c>
    </row>
    <row r="3179" spans="2:7" x14ac:dyDescent="0.25">
      <c r="B3179" s="70">
        <v>43664</v>
      </c>
      <c r="C3179" t="s">
        <v>21</v>
      </c>
      <c r="D3179" t="s">
        <v>79</v>
      </c>
      <c r="E3179" t="s">
        <v>367</v>
      </c>
      <c r="F3179" s="71">
        <v>40</v>
      </c>
      <c r="G3179" s="71">
        <v>0</v>
      </c>
    </row>
    <row r="3180" spans="2:7" x14ac:dyDescent="0.25">
      <c r="B3180" s="70">
        <v>43664</v>
      </c>
      <c r="C3180" t="s">
        <v>21</v>
      </c>
      <c r="D3180" t="s">
        <v>79</v>
      </c>
      <c r="E3180" t="s">
        <v>367</v>
      </c>
      <c r="F3180" s="71">
        <v>48</v>
      </c>
      <c r="G3180" s="71">
        <v>0</v>
      </c>
    </row>
    <row r="3181" spans="2:7" x14ac:dyDescent="0.25">
      <c r="B3181" s="70">
        <v>43664</v>
      </c>
      <c r="C3181" t="s">
        <v>21</v>
      </c>
      <c r="D3181" t="s">
        <v>79</v>
      </c>
      <c r="E3181" t="s">
        <v>367</v>
      </c>
      <c r="F3181" s="71">
        <v>56</v>
      </c>
      <c r="G3181" s="71">
        <v>0</v>
      </c>
    </row>
    <row r="3182" spans="2:7" x14ac:dyDescent="0.25">
      <c r="B3182" s="70">
        <v>43664</v>
      </c>
      <c r="C3182" t="s">
        <v>48</v>
      </c>
      <c r="D3182" t="s">
        <v>86</v>
      </c>
      <c r="E3182" t="s">
        <v>367</v>
      </c>
      <c r="F3182" s="71">
        <v>1086.1400000000001</v>
      </c>
      <c r="G3182" s="71">
        <v>0</v>
      </c>
    </row>
    <row r="3183" spans="2:7" x14ac:dyDescent="0.25">
      <c r="B3183" s="70">
        <v>43664</v>
      </c>
      <c r="C3183" t="s">
        <v>48</v>
      </c>
      <c r="D3183" t="s">
        <v>84</v>
      </c>
      <c r="E3183" t="s">
        <v>367</v>
      </c>
      <c r="F3183" s="71">
        <v>40</v>
      </c>
      <c r="G3183" s="71">
        <v>0</v>
      </c>
    </row>
    <row r="3184" spans="2:7" x14ac:dyDescent="0.25">
      <c r="B3184" s="70">
        <v>43664</v>
      </c>
      <c r="C3184" t="s">
        <v>45</v>
      </c>
      <c r="D3184" t="s">
        <v>85</v>
      </c>
      <c r="E3184" t="s">
        <v>367</v>
      </c>
      <c r="F3184" s="71">
        <v>70.900000000000006</v>
      </c>
      <c r="G3184" s="71">
        <v>0</v>
      </c>
    </row>
    <row r="3185" spans="2:7" x14ac:dyDescent="0.25">
      <c r="B3185" s="70">
        <v>43664</v>
      </c>
      <c r="C3185" t="s">
        <v>50</v>
      </c>
      <c r="D3185" t="s">
        <v>79</v>
      </c>
      <c r="E3185" t="s">
        <v>367</v>
      </c>
      <c r="F3185" s="71">
        <v>49.97</v>
      </c>
      <c r="G3185" s="71">
        <v>0</v>
      </c>
    </row>
    <row r="3186" spans="2:7" x14ac:dyDescent="0.25">
      <c r="B3186" s="70">
        <v>43664</v>
      </c>
      <c r="C3186" t="s">
        <v>52</v>
      </c>
      <c r="D3186" t="s">
        <v>85</v>
      </c>
      <c r="E3186" t="s">
        <v>367</v>
      </c>
      <c r="F3186" s="71">
        <v>148.85</v>
      </c>
      <c r="G3186" s="71">
        <v>0</v>
      </c>
    </row>
    <row r="3187" spans="2:7" x14ac:dyDescent="0.25">
      <c r="B3187" s="70">
        <v>43664</v>
      </c>
      <c r="C3187" t="s">
        <v>24</v>
      </c>
      <c r="D3187" t="s">
        <v>79</v>
      </c>
      <c r="E3187" t="s">
        <v>367</v>
      </c>
      <c r="F3187" s="71">
        <v>8</v>
      </c>
      <c r="G3187" s="71">
        <v>0</v>
      </c>
    </row>
    <row r="3188" spans="2:7" x14ac:dyDescent="0.25">
      <c r="B3188" s="70">
        <v>43665</v>
      </c>
      <c r="C3188" t="s">
        <v>25</v>
      </c>
      <c r="D3188" t="s">
        <v>85</v>
      </c>
      <c r="E3188" t="s">
        <v>368</v>
      </c>
      <c r="F3188" s="71">
        <v>30</v>
      </c>
      <c r="G3188" s="71">
        <v>0</v>
      </c>
    </row>
    <row r="3189" spans="2:7" x14ac:dyDescent="0.25">
      <c r="B3189" s="70">
        <v>43665</v>
      </c>
      <c r="C3189" t="s">
        <v>25</v>
      </c>
      <c r="D3189" t="s">
        <v>85</v>
      </c>
      <c r="E3189" t="s">
        <v>368</v>
      </c>
      <c r="F3189" s="71">
        <v>182.25</v>
      </c>
      <c r="G3189" s="71">
        <v>0</v>
      </c>
    </row>
    <row r="3190" spans="2:7" x14ac:dyDescent="0.25">
      <c r="B3190" s="70">
        <v>43665</v>
      </c>
      <c r="C3190" t="s">
        <v>25</v>
      </c>
      <c r="D3190" t="s">
        <v>87</v>
      </c>
      <c r="E3190" t="s">
        <v>368</v>
      </c>
      <c r="F3190" s="71">
        <v>39.950000000000003</v>
      </c>
      <c r="G3190" s="71">
        <v>0</v>
      </c>
    </row>
    <row r="3191" spans="2:7" x14ac:dyDescent="0.25">
      <c r="B3191" s="70">
        <v>43665</v>
      </c>
      <c r="C3191" t="s">
        <v>25</v>
      </c>
      <c r="D3191" t="s">
        <v>87</v>
      </c>
      <c r="E3191" t="s">
        <v>368</v>
      </c>
      <c r="F3191" s="71">
        <v>71.94</v>
      </c>
      <c r="G3191" s="71">
        <v>0</v>
      </c>
    </row>
    <row r="3192" spans="2:7" x14ac:dyDescent="0.25">
      <c r="B3192" s="70">
        <v>43665</v>
      </c>
      <c r="C3192" t="s">
        <v>25</v>
      </c>
      <c r="D3192" t="s">
        <v>81</v>
      </c>
      <c r="E3192" t="s">
        <v>187</v>
      </c>
      <c r="F3192" s="71">
        <v>7.35</v>
      </c>
      <c r="G3192" s="71">
        <v>0</v>
      </c>
    </row>
    <row r="3193" spans="2:7" x14ac:dyDescent="0.25">
      <c r="B3193" s="70">
        <v>43665</v>
      </c>
      <c r="C3193" t="s">
        <v>21</v>
      </c>
      <c r="D3193" t="s">
        <v>79</v>
      </c>
      <c r="E3193" t="s">
        <v>368</v>
      </c>
      <c r="F3193" s="71">
        <v>8</v>
      </c>
      <c r="G3193" s="71">
        <v>0</v>
      </c>
    </row>
    <row r="3194" spans="2:7" x14ac:dyDescent="0.25">
      <c r="B3194" s="70">
        <v>43665</v>
      </c>
      <c r="C3194" t="s">
        <v>21</v>
      </c>
      <c r="D3194" t="s">
        <v>79</v>
      </c>
      <c r="E3194" t="s">
        <v>368</v>
      </c>
      <c r="F3194" s="71">
        <v>16</v>
      </c>
      <c r="G3194" s="71">
        <v>0</v>
      </c>
    </row>
    <row r="3195" spans="2:7" x14ac:dyDescent="0.25">
      <c r="B3195" s="70">
        <v>43665</v>
      </c>
      <c r="C3195" t="s">
        <v>21</v>
      </c>
      <c r="D3195" t="s">
        <v>79</v>
      </c>
      <c r="E3195" t="s">
        <v>368</v>
      </c>
      <c r="F3195" s="71">
        <v>32</v>
      </c>
      <c r="G3195" s="71">
        <v>0</v>
      </c>
    </row>
    <row r="3196" spans="2:7" x14ac:dyDescent="0.25">
      <c r="B3196" s="70">
        <v>43665</v>
      </c>
      <c r="C3196" t="s">
        <v>21</v>
      </c>
      <c r="D3196" t="s">
        <v>79</v>
      </c>
      <c r="E3196" t="s">
        <v>368</v>
      </c>
      <c r="F3196" s="71">
        <v>56</v>
      </c>
      <c r="G3196" s="71">
        <v>0</v>
      </c>
    </row>
    <row r="3197" spans="2:7" x14ac:dyDescent="0.25">
      <c r="B3197" s="70">
        <v>43665</v>
      </c>
      <c r="C3197" t="s">
        <v>21</v>
      </c>
      <c r="D3197" t="s">
        <v>80</v>
      </c>
      <c r="E3197" t="s">
        <v>368</v>
      </c>
      <c r="F3197" s="71">
        <v>0</v>
      </c>
      <c r="G3197" s="71">
        <v>8</v>
      </c>
    </row>
    <row r="3198" spans="2:7" x14ac:dyDescent="0.25">
      <c r="B3198" s="70">
        <v>43665</v>
      </c>
      <c r="C3198" t="s">
        <v>21</v>
      </c>
      <c r="D3198" t="s">
        <v>116</v>
      </c>
      <c r="E3198" t="s">
        <v>369</v>
      </c>
      <c r="F3198" s="71">
        <v>16.68</v>
      </c>
      <c r="G3198" s="71">
        <v>0</v>
      </c>
    </row>
    <row r="3199" spans="2:7" x14ac:dyDescent="0.25">
      <c r="B3199" s="70">
        <v>43665</v>
      </c>
      <c r="C3199" t="s">
        <v>48</v>
      </c>
      <c r="D3199" t="s">
        <v>86</v>
      </c>
      <c r="E3199" t="s">
        <v>368</v>
      </c>
      <c r="F3199" s="71">
        <v>224</v>
      </c>
      <c r="G3199" s="71">
        <v>0</v>
      </c>
    </row>
    <row r="3200" spans="2:7" x14ac:dyDescent="0.25">
      <c r="B3200" s="70">
        <v>43665</v>
      </c>
      <c r="C3200" t="s">
        <v>45</v>
      </c>
      <c r="D3200" t="s">
        <v>85</v>
      </c>
      <c r="E3200" t="s">
        <v>368</v>
      </c>
      <c r="F3200" s="71">
        <v>63.46</v>
      </c>
      <c r="G3200" s="71">
        <v>0</v>
      </c>
    </row>
    <row r="3201" spans="2:7" x14ac:dyDescent="0.25">
      <c r="B3201" s="70">
        <v>43665</v>
      </c>
      <c r="C3201" t="s">
        <v>65</v>
      </c>
      <c r="D3201" t="s">
        <v>85</v>
      </c>
      <c r="E3201" t="s">
        <v>368</v>
      </c>
      <c r="F3201" s="71">
        <v>30</v>
      </c>
      <c r="G3201" s="71">
        <v>0</v>
      </c>
    </row>
    <row r="3202" spans="2:7" x14ac:dyDescent="0.25">
      <c r="B3202" s="70">
        <v>43665</v>
      </c>
      <c r="C3202" t="s">
        <v>65</v>
      </c>
      <c r="D3202" t="s">
        <v>84</v>
      </c>
      <c r="E3202" t="s">
        <v>368</v>
      </c>
      <c r="F3202" s="71">
        <v>8.4</v>
      </c>
      <c r="G3202" s="71">
        <v>0</v>
      </c>
    </row>
    <row r="3203" spans="2:7" x14ac:dyDescent="0.25">
      <c r="B3203" s="70">
        <v>43665</v>
      </c>
      <c r="C3203" t="s">
        <v>24</v>
      </c>
      <c r="D3203" t="s">
        <v>79</v>
      </c>
      <c r="E3203" t="s">
        <v>368</v>
      </c>
      <c r="F3203" s="71">
        <v>8</v>
      </c>
      <c r="G3203" s="71">
        <v>0</v>
      </c>
    </row>
    <row r="3204" spans="2:7" x14ac:dyDescent="0.25">
      <c r="B3204" s="70">
        <v>43665</v>
      </c>
      <c r="C3204" t="s">
        <v>24</v>
      </c>
      <c r="D3204" t="s">
        <v>79</v>
      </c>
      <c r="E3204" t="s">
        <v>368</v>
      </c>
      <c r="F3204" s="71">
        <v>16</v>
      </c>
      <c r="G3204" s="71">
        <v>0</v>
      </c>
    </row>
    <row r="3205" spans="2:7" x14ac:dyDescent="0.25">
      <c r="B3205" s="70">
        <v>43665</v>
      </c>
      <c r="C3205" t="s">
        <v>61</v>
      </c>
      <c r="D3205" t="s">
        <v>84</v>
      </c>
      <c r="E3205" t="s">
        <v>368</v>
      </c>
      <c r="F3205" s="71">
        <v>18.68</v>
      </c>
      <c r="G3205" s="71">
        <v>0</v>
      </c>
    </row>
    <row r="3206" spans="2:7" x14ac:dyDescent="0.25">
      <c r="B3206" s="70">
        <v>43666</v>
      </c>
      <c r="C3206" t="s">
        <v>25</v>
      </c>
      <c r="D3206" t="s">
        <v>84</v>
      </c>
      <c r="E3206" t="s">
        <v>370</v>
      </c>
      <c r="F3206" s="71">
        <v>40</v>
      </c>
      <c r="G3206" s="71">
        <v>0</v>
      </c>
    </row>
    <row r="3207" spans="2:7" x14ac:dyDescent="0.25">
      <c r="B3207" s="70">
        <v>43666</v>
      </c>
      <c r="C3207" t="s">
        <v>21</v>
      </c>
      <c r="D3207" t="s">
        <v>79</v>
      </c>
      <c r="E3207" t="s">
        <v>370</v>
      </c>
      <c r="F3207" s="71">
        <v>8</v>
      </c>
      <c r="G3207" s="71">
        <v>0</v>
      </c>
    </row>
    <row r="3208" spans="2:7" x14ac:dyDescent="0.25">
      <c r="B3208" s="70">
        <v>43666</v>
      </c>
      <c r="C3208" t="s">
        <v>21</v>
      </c>
      <c r="D3208" t="s">
        <v>79</v>
      </c>
      <c r="E3208" t="s">
        <v>370</v>
      </c>
      <c r="F3208" s="71">
        <v>16</v>
      </c>
      <c r="G3208" s="71">
        <v>0</v>
      </c>
    </row>
    <row r="3209" spans="2:7" x14ac:dyDescent="0.25">
      <c r="B3209" s="70">
        <v>43666</v>
      </c>
      <c r="C3209" t="s">
        <v>21</v>
      </c>
      <c r="D3209" t="s">
        <v>79</v>
      </c>
      <c r="E3209" t="s">
        <v>370</v>
      </c>
      <c r="F3209" s="71">
        <v>24</v>
      </c>
      <c r="G3209" s="71">
        <v>0</v>
      </c>
    </row>
    <row r="3210" spans="2:7" x14ac:dyDescent="0.25">
      <c r="B3210" s="70">
        <v>43666</v>
      </c>
      <c r="C3210" t="s">
        <v>21</v>
      </c>
      <c r="D3210" t="s">
        <v>79</v>
      </c>
      <c r="E3210" t="s">
        <v>370</v>
      </c>
      <c r="F3210" s="71">
        <v>32</v>
      </c>
      <c r="G3210" s="71">
        <v>0</v>
      </c>
    </row>
    <row r="3211" spans="2:7" x14ac:dyDescent="0.25">
      <c r="B3211" s="70">
        <v>43666</v>
      </c>
      <c r="C3211" t="s">
        <v>48</v>
      </c>
      <c r="D3211" t="s">
        <v>84</v>
      </c>
      <c r="E3211" t="s">
        <v>370</v>
      </c>
      <c r="F3211" s="71">
        <v>16</v>
      </c>
      <c r="G3211" s="71">
        <v>0</v>
      </c>
    </row>
    <row r="3212" spans="2:7" x14ac:dyDescent="0.25">
      <c r="B3212" s="70">
        <v>43666</v>
      </c>
      <c r="C3212" t="s">
        <v>50</v>
      </c>
      <c r="D3212" t="s">
        <v>84</v>
      </c>
      <c r="E3212" t="s">
        <v>370</v>
      </c>
      <c r="F3212" s="71">
        <v>81</v>
      </c>
      <c r="G3212" s="71">
        <v>0</v>
      </c>
    </row>
    <row r="3213" spans="2:7" x14ac:dyDescent="0.25">
      <c r="B3213" s="70">
        <v>43666</v>
      </c>
      <c r="C3213" t="s">
        <v>24</v>
      </c>
      <c r="D3213" t="s">
        <v>79</v>
      </c>
      <c r="E3213" t="s">
        <v>370</v>
      </c>
      <c r="F3213" s="71">
        <v>8</v>
      </c>
      <c r="G3213" s="71">
        <v>0</v>
      </c>
    </row>
    <row r="3214" spans="2:7" x14ac:dyDescent="0.25">
      <c r="B3214" s="70">
        <v>43668</v>
      </c>
      <c r="C3214" t="s">
        <v>25</v>
      </c>
      <c r="D3214" t="s">
        <v>81</v>
      </c>
      <c r="E3214" t="s">
        <v>371</v>
      </c>
      <c r="F3214" s="71">
        <v>15</v>
      </c>
      <c r="G3214" s="71">
        <v>0</v>
      </c>
    </row>
    <row r="3215" spans="2:7" x14ac:dyDescent="0.25">
      <c r="B3215" s="70">
        <v>43668</v>
      </c>
      <c r="C3215" t="s">
        <v>25</v>
      </c>
      <c r="D3215" t="s">
        <v>81</v>
      </c>
      <c r="E3215" t="s">
        <v>203</v>
      </c>
      <c r="F3215" s="71">
        <v>51.2</v>
      </c>
      <c r="G3215" s="71">
        <v>0</v>
      </c>
    </row>
    <row r="3216" spans="2:7" x14ac:dyDescent="0.25">
      <c r="B3216" s="70">
        <v>43668</v>
      </c>
      <c r="C3216" t="s">
        <v>25</v>
      </c>
      <c r="D3216" t="s">
        <v>81</v>
      </c>
      <c r="E3216" t="s">
        <v>138</v>
      </c>
      <c r="F3216" s="71">
        <v>1.8</v>
      </c>
      <c r="G3216" s="71">
        <v>0</v>
      </c>
    </row>
    <row r="3217" spans="2:7" x14ac:dyDescent="0.25">
      <c r="B3217" s="70">
        <v>43668</v>
      </c>
      <c r="C3217" t="s">
        <v>25</v>
      </c>
      <c r="D3217" t="s">
        <v>81</v>
      </c>
      <c r="E3217" t="s">
        <v>140</v>
      </c>
      <c r="F3217">
        <v>1.8</v>
      </c>
      <c r="G3217" s="71">
        <v>0</v>
      </c>
    </row>
    <row r="3218" spans="2:7" x14ac:dyDescent="0.25">
      <c r="B3218" s="70">
        <v>43668</v>
      </c>
      <c r="C3218" t="s">
        <v>21</v>
      </c>
      <c r="D3218" t="s">
        <v>79</v>
      </c>
      <c r="E3218" t="s">
        <v>372</v>
      </c>
      <c r="F3218" s="71">
        <v>8</v>
      </c>
      <c r="G3218" s="71">
        <v>0</v>
      </c>
    </row>
    <row r="3219" spans="2:7" x14ac:dyDescent="0.25">
      <c r="B3219" s="70">
        <v>43668</v>
      </c>
      <c r="C3219" t="s">
        <v>21</v>
      </c>
      <c r="D3219" t="s">
        <v>79</v>
      </c>
      <c r="E3219" t="s">
        <v>372</v>
      </c>
      <c r="F3219" s="71">
        <v>16</v>
      </c>
      <c r="G3219" s="71">
        <v>0</v>
      </c>
    </row>
    <row r="3220" spans="2:7" x14ac:dyDescent="0.25">
      <c r="B3220" s="70">
        <v>43668</v>
      </c>
      <c r="C3220" t="s">
        <v>66</v>
      </c>
      <c r="D3220" t="s">
        <v>85</v>
      </c>
      <c r="E3220" t="s">
        <v>372</v>
      </c>
      <c r="F3220" s="71">
        <v>4047.41</v>
      </c>
      <c r="G3220" s="71">
        <v>0</v>
      </c>
    </row>
    <row r="3221" spans="2:7" x14ac:dyDescent="0.25">
      <c r="B3221" s="70">
        <v>43668</v>
      </c>
      <c r="C3221" t="s">
        <v>24</v>
      </c>
      <c r="D3221" t="s">
        <v>79</v>
      </c>
      <c r="E3221" t="s">
        <v>372</v>
      </c>
      <c r="F3221" s="71">
        <v>16</v>
      </c>
      <c r="G3221" s="71">
        <v>0</v>
      </c>
    </row>
    <row r="3222" spans="2:7" x14ac:dyDescent="0.25">
      <c r="B3222" s="70">
        <v>43669</v>
      </c>
      <c r="C3222" t="s">
        <v>25</v>
      </c>
      <c r="D3222" t="s">
        <v>85</v>
      </c>
      <c r="E3222" t="s">
        <v>373</v>
      </c>
      <c r="F3222" s="71">
        <v>23.29</v>
      </c>
      <c r="G3222" s="71">
        <v>0</v>
      </c>
    </row>
    <row r="3223" spans="2:7" x14ac:dyDescent="0.25">
      <c r="B3223" s="70">
        <v>43669</v>
      </c>
      <c r="C3223" t="s">
        <v>25</v>
      </c>
      <c r="D3223" t="s">
        <v>80</v>
      </c>
      <c r="E3223" t="s">
        <v>373</v>
      </c>
      <c r="F3223" s="71">
        <v>7.47</v>
      </c>
      <c r="G3223" s="71">
        <v>0</v>
      </c>
    </row>
    <row r="3224" spans="2:7" x14ac:dyDescent="0.25">
      <c r="B3224" s="70">
        <v>43669</v>
      </c>
      <c r="C3224" t="s">
        <v>25</v>
      </c>
      <c r="D3224" t="s">
        <v>80</v>
      </c>
      <c r="E3224" t="s">
        <v>373</v>
      </c>
      <c r="F3224" s="71">
        <v>64</v>
      </c>
      <c r="G3224" s="71">
        <v>0</v>
      </c>
    </row>
    <row r="3225" spans="2:7" x14ac:dyDescent="0.25">
      <c r="B3225" s="70">
        <v>43669</v>
      </c>
      <c r="C3225" t="s">
        <v>25</v>
      </c>
      <c r="D3225" t="s">
        <v>80</v>
      </c>
      <c r="E3225" t="s">
        <v>373</v>
      </c>
      <c r="F3225" s="71">
        <v>71.97</v>
      </c>
      <c r="G3225" s="71">
        <v>0</v>
      </c>
    </row>
    <row r="3226" spans="2:7" x14ac:dyDescent="0.25">
      <c r="B3226" s="70">
        <v>43669</v>
      </c>
      <c r="C3226" t="s">
        <v>25</v>
      </c>
      <c r="D3226" t="s">
        <v>87</v>
      </c>
      <c r="E3226" t="s">
        <v>373</v>
      </c>
      <c r="F3226" s="71">
        <v>10.7</v>
      </c>
      <c r="G3226" s="71">
        <v>0</v>
      </c>
    </row>
    <row r="3227" spans="2:7" x14ac:dyDescent="0.25">
      <c r="B3227" s="70">
        <v>43669</v>
      </c>
      <c r="C3227" t="s">
        <v>25</v>
      </c>
      <c r="D3227" t="s">
        <v>87</v>
      </c>
      <c r="E3227" t="s">
        <v>373</v>
      </c>
      <c r="F3227" s="71">
        <v>14.51</v>
      </c>
      <c r="G3227" s="71">
        <v>0</v>
      </c>
    </row>
    <row r="3228" spans="2:7" x14ac:dyDescent="0.25">
      <c r="B3228" s="70">
        <v>43669</v>
      </c>
      <c r="C3228" t="s">
        <v>25</v>
      </c>
      <c r="D3228" t="s">
        <v>87</v>
      </c>
      <c r="E3228" t="s">
        <v>373</v>
      </c>
      <c r="F3228" s="71">
        <v>15.36</v>
      </c>
      <c r="G3228" s="71">
        <v>0</v>
      </c>
    </row>
    <row r="3229" spans="2:7" x14ac:dyDescent="0.25">
      <c r="B3229" s="70">
        <v>43669</v>
      </c>
      <c r="C3229" t="s">
        <v>25</v>
      </c>
      <c r="D3229" t="s">
        <v>87</v>
      </c>
      <c r="E3229" t="s">
        <v>373</v>
      </c>
      <c r="F3229" s="71">
        <v>21.3</v>
      </c>
      <c r="G3229" s="71">
        <v>0</v>
      </c>
    </row>
    <row r="3230" spans="2:7" x14ac:dyDescent="0.25">
      <c r="B3230" s="70">
        <v>43669</v>
      </c>
      <c r="C3230" t="s">
        <v>25</v>
      </c>
      <c r="D3230" t="s">
        <v>87</v>
      </c>
      <c r="E3230" t="s">
        <v>373</v>
      </c>
      <c r="F3230" s="71">
        <v>32.130000000000003</v>
      </c>
      <c r="G3230" s="71">
        <v>0</v>
      </c>
    </row>
    <row r="3231" spans="2:7" x14ac:dyDescent="0.25">
      <c r="B3231" s="70">
        <v>43669</v>
      </c>
      <c r="C3231" t="s">
        <v>25</v>
      </c>
      <c r="D3231" t="s">
        <v>87</v>
      </c>
      <c r="E3231" t="s">
        <v>373</v>
      </c>
      <c r="F3231" s="71">
        <v>34</v>
      </c>
      <c r="G3231" s="71">
        <v>0</v>
      </c>
    </row>
    <row r="3232" spans="2:7" x14ac:dyDescent="0.25">
      <c r="B3232" s="70">
        <v>43669</v>
      </c>
      <c r="C3232" t="s">
        <v>25</v>
      </c>
      <c r="D3232" t="s">
        <v>87</v>
      </c>
      <c r="E3232" t="s">
        <v>373</v>
      </c>
      <c r="F3232" s="71">
        <v>35.409999999999997</v>
      </c>
      <c r="G3232" s="71">
        <v>0</v>
      </c>
    </row>
    <row r="3233" spans="2:7" x14ac:dyDescent="0.25">
      <c r="B3233" s="70">
        <v>43669</v>
      </c>
      <c r="C3233" t="s">
        <v>25</v>
      </c>
      <c r="D3233" t="s">
        <v>87</v>
      </c>
      <c r="E3233" t="s">
        <v>373</v>
      </c>
      <c r="F3233" s="71">
        <v>36</v>
      </c>
      <c r="G3233" s="71">
        <v>0</v>
      </c>
    </row>
    <row r="3234" spans="2:7" x14ac:dyDescent="0.25">
      <c r="B3234" s="70">
        <v>43669</v>
      </c>
      <c r="C3234" t="s">
        <v>25</v>
      </c>
      <c r="D3234" t="s">
        <v>87</v>
      </c>
      <c r="E3234" t="s">
        <v>373</v>
      </c>
      <c r="F3234" s="71">
        <v>85</v>
      </c>
      <c r="G3234" s="71">
        <v>0</v>
      </c>
    </row>
    <row r="3235" spans="2:7" x14ac:dyDescent="0.25">
      <c r="B3235" s="70">
        <v>43669</v>
      </c>
      <c r="C3235" t="s">
        <v>25</v>
      </c>
      <c r="D3235" t="s">
        <v>87</v>
      </c>
      <c r="E3235" t="s">
        <v>373</v>
      </c>
      <c r="F3235" s="71">
        <v>87.91</v>
      </c>
      <c r="G3235" s="71">
        <v>0</v>
      </c>
    </row>
    <row r="3236" spans="2:7" x14ac:dyDescent="0.25">
      <c r="B3236" s="70">
        <v>43669</v>
      </c>
      <c r="C3236" t="s">
        <v>46</v>
      </c>
      <c r="D3236" t="s">
        <v>80</v>
      </c>
      <c r="E3236" t="s">
        <v>373</v>
      </c>
      <c r="F3236" s="71">
        <v>66.099999999999994</v>
      </c>
      <c r="G3236" s="71">
        <v>0</v>
      </c>
    </row>
    <row r="3237" spans="2:7" x14ac:dyDescent="0.25">
      <c r="B3237" s="70">
        <v>43669</v>
      </c>
      <c r="C3237" t="s">
        <v>46</v>
      </c>
      <c r="D3237" t="s">
        <v>82</v>
      </c>
      <c r="E3237" t="s">
        <v>373</v>
      </c>
      <c r="F3237" s="71">
        <v>96</v>
      </c>
      <c r="G3237" s="71">
        <v>0</v>
      </c>
    </row>
    <row r="3238" spans="2:7" x14ac:dyDescent="0.25">
      <c r="B3238" s="70">
        <v>43669</v>
      </c>
      <c r="C3238" t="s">
        <v>46</v>
      </c>
      <c r="D3238" t="s">
        <v>84</v>
      </c>
      <c r="E3238" t="s">
        <v>373</v>
      </c>
      <c r="F3238" s="71">
        <v>10</v>
      </c>
      <c r="G3238" s="71">
        <v>0</v>
      </c>
    </row>
    <row r="3239" spans="2:7" x14ac:dyDescent="0.25">
      <c r="B3239" s="70">
        <v>43669</v>
      </c>
      <c r="C3239" t="s">
        <v>59</v>
      </c>
      <c r="D3239" t="s">
        <v>82</v>
      </c>
      <c r="E3239" t="s">
        <v>373</v>
      </c>
      <c r="F3239" s="71">
        <v>96</v>
      </c>
      <c r="G3239" s="71">
        <v>0</v>
      </c>
    </row>
    <row r="3240" spans="2:7" x14ac:dyDescent="0.25">
      <c r="B3240" s="70">
        <v>43669</v>
      </c>
      <c r="C3240" t="s">
        <v>47</v>
      </c>
      <c r="D3240" t="s">
        <v>84</v>
      </c>
      <c r="E3240" t="s">
        <v>373</v>
      </c>
      <c r="F3240" s="71">
        <v>21.4</v>
      </c>
      <c r="G3240" s="71">
        <v>0</v>
      </c>
    </row>
    <row r="3241" spans="2:7" x14ac:dyDescent="0.25">
      <c r="B3241" s="70">
        <v>43669</v>
      </c>
      <c r="C3241" t="s">
        <v>57</v>
      </c>
      <c r="D3241" t="s">
        <v>80</v>
      </c>
      <c r="E3241" t="s">
        <v>373</v>
      </c>
      <c r="F3241" s="71">
        <v>15.75</v>
      </c>
      <c r="G3241" s="71">
        <v>0</v>
      </c>
    </row>
    <row r="3242" spans="2:7" x14ac:dyDescent="0.25">
      <c r="B3242" s="70">
        <v>43669</v>
      </c>
      <c r="C3242" t="s">
        <v>44</v>
      </c>
      <c r="D3242" t="s">
        <v>87</v>
      </c>
      <c r="E3242" t="s">
        <v>373</v>
      </c>
      <c r="F3242" s="71">
        <v>27</v>
      </c>
      <c r="G3242" s="71">
        <v>0</v>
      </c>
    </row>
    <row r="3243" spans="2:7" x14ac:dyDescent="0.25">
      <c r="B3243" s="70">
        <v>43669</v>
      </c>
      <c r="C3243" t="s">
        <v>21</v>
      </c>
      <c r="D3243" t="s">
        <v>79</v>
      </c>
      <c r="E3243" t="s">
        <v>373</v>
      </c>
      <c r="F3243" s="71">
        <v>8</v>
      </c>
      <c r="G3243" s="71">
        <v>0</v>
      </c>
    </row>
    <row r="3244" spans="2:7" x14ac:dyDescent="0.25">
      <c r="B3244" s="70">
        <v>43669</v>
      </c>
      <c r="C3244" t="s">
        <v>21</v>
      </c>
      <c r="D3244" t="s">
        <v>79</v>
      </c>
      <c r="E3244" t="s">
        <v>373</v>
      </c>
      <c r="F3244" s="71">
        <v>16</v>
      </c>
      <c r="G3244" s="71">
        <v>0</v>
      </c>
    </row>
    <row r="3245" spans="2:7" x14ac:dyDescent="0.25">
      <c r="B3245" s="70">
        <v>43669</v>
      </c>
      <c r="C3245" t="s">
        <v>21</v>
      </c>
      <c r="D3245" t="s">
        <v>79</v>
      </c>
      <c r="E3245" t="s">
        <v>373</v>
      </c>
      <c r="F3245" s="71">
        <v>24</v>
      </c>
      <c r="G3245" s="71">
        <v>0</v>
      </c>
    </row>
    <row r="3246" spans="2:7" x14ac:dyDescent="0.25">
      <c r="B3246" s="70">
        <v>43669</v>
      </c>
      <c r="C3246" t="s">
        <v>66</v>
      </c>
      <c r="D3246" t="s">
        <v>84</v>
      </c>
      <c r="E3246" t="s">
        <v>373</v>
      </c>
      <c r="F3246" s="71">
        <v>13.91</v>
      </c>
      <c r="G3246" s="71">
        <v>0</v>
      </c>
    </row>
    <row r="3247" spans="2:7" x14ac:dyDescent="0.25">
      <c r="B3247" s="70">
        <v>43669</v>
      </c>
      <c r="C3247" t="s">
        <v>48</v>
      </c>
      <c r="D3247" t="s">
        <v>83</v>
      </c>
      <c r="E3247" t="s">
        <v>373</v>
      </c>
      <c r="F3247" s="71">
        <v>15.5</v>
      </c>
      <c r="G3247" s="71">
        <v>0</v>
      </c>
    </row>
    <row r="3248" spans="2:7" x14ac:dyDescent="0.25">
      <c r="B3248" s="70">
        <v>43669</v>
      </c>
      <c r="C3248" t="s">
        <v>48</v>
      </c>
      <c r="D3248" t="s">
        <v>80</v>
      </c>
      <c r="E3248" t="s">
        <v>373</v>
      </c>
      <c r="F3248" s="71">
        <v>24.16</v>
      </c>
      <c r="G3248" s="71">
        <v>0</v>
      </c>
    </row>
    <row r="3249" spans="2:7" x14ac:dyDescent="0.25">
      <c r="B3249" s="70">
        <v>43669</v>
      </c>
      <c r="C3249" t="s">
        <v>48</v>
      </c>
      <c r="D3249" t="s">
        <v>84</v>
      </c>
      <c r="E3249" t="s">
        <v>373</v>
      </c>
      <c r="F3249" s="71">
        <v>64</v>
      </c>
      <c r="G3249" s="71">
        <v>0</v>
      </c>
    </row>
    <row r="3250" spans="2:7" x14ac:dyDescent="0.25">
      <c r="B3250" s="70">
        <v>43669</v>
      </c>
      <c r="C3250" t="s">
        <v>55</v>
      </c>
      <c r="D3250" t="s">
        <v>83</v>
      </c>
      <c r="E3250" t="s">
        <v>373</v>
      </c>
      <c r="F3250" s="71">
        <v>19.75</v>
      </c>
      <c r="G3250" s="71">
        <v>0</v>
      </c>
    </row>
    <row r="3251" spans="2:7" x14ac:dyDescent="0.25">
      <c r="B3251" s="70">
        <v>43669</v>
      </c>
      <c r="C3251" t="s">
        <v>55</v>
      </c>
      <c r="D3251" t="s">
        <v>80</v>
      </c>
      <c r="E3251" t="s">
        <v>373</v>
      </c>
      <c r="F3251" s="71">
        <v>96.2</v>
      </c>
      <c r="G3251" s="71">
        <v>0</v>
      </c>
    </row>
    <row r="3252" spans="2:7" x14ac:dyDescent="0.25">
      <c r="B3252" s="70">
        <v>43669</v>
      </c>
      <c r="C3252" t="s">
        <v>50</v>
      </c>
      <c r="D3252" t="s">
        <v>85</v>
      </c>
      <c r="E3252" t="s">
        <v>373</v>
      </c>
      <c r="F3252" s="71">
        <v>20</v>
      </c>
      <c r="G3252" s="71">
        <v>0</v>
      </c>
    </row>
    <row r="3253" spans="2:7" x14ac:dyDescent="0.25">
      <c r="B3253" s="70">
        <v>43669</v>
      </c>
      <c r="C3253" t="s">
        <v>71</v>
      </c>
      <c r="D3253" t="s">
        <v>82</v>
      </c>
      <c r="E3253" t="s">
        <v>373</v>
      </c>
      <c r="F3253" s="71">
        <v>50.25</v>
      </c>
      <c r="G3253" s="71">
        <v>0</v>
      </c>
    </row>
    <row r="3254" spans="2:7" x14ac:dyDescent="0.25">
      <c r="B3254" s="70">
        <v>43669</v>
      </c>
      <c r="C3254" t="s">
        <v>65</v>
      </c>
      <c r="D3254" t="s">
        <v>80</v>
      </c>
      <c r="E3254" t="s">
        <v>373</v>
      </c>
      <c r="F3254" s="71">
        <v>98.08</v>
      </c>
      <c r="G3254" s="71">
        <v>0</v>
      </c>
    </row>
    <row r="3255" spans="2:7" x14ac:dyDescent="0.25">
      <c r="B3255" s="70">
        <v>43669</v>
      </c>
      <c r="C3255" t="s">
        <v>65</v>
      </c>
      <c r="D3255" t="s">
        <v>87</v>
      </c>
      <c r="E3255" t="s">
        <v>373</v>
      </c>
      <c r="F3255" s="71">
        <v>32</v>
      </c>
      <c r="G3255" s="71">
        <v>0</v>
      </c>
    </row>
    <row r="3256" spans="2:7" x14ac:dyDescent="0.25">
      <c r="B3256" s="70">
        <v>43669</v>
      </c>
      <c r="C3256" t="s">
        <v>24</v>
      </c>
      <c r="D3256" t="s">
        <v>79</v>
      </c>
      <c r="E3256" t="s">
        <v>373</v>
      </c>
      <c r="F3256" s="71">
        <v>8</v>
      </c>
      <c r="G3256" s="71">
        <v>0</v>
      </c>
    </row>
    <row r="3257" spans="2:7" x14ac:dyDescent="0.25">
      <c r="B3257" s="70">
        <v>43669</v>
      </c>
      <c r="C3257" t="s">
        <v>60</v>
      </c>
      <c r="D3257" t="s">
        <v>80</v>
      </c>
      <c r="E3257" t="s">
        <v>373</v>
      </c>
      <c r="F3257" s="71">
        <v>29.56</v>
      </c>
      <c r="G3257" s="71">
        <v>0</v>
      </c>
    </row>
    <row r="3258" spans="2:7" x14ac:dyDescent="0.25">
      <c r="B3258" s="70">
        <v>43670</v>
      </c>
      <c r="C3258" t="s">
        <v>25</v>
      </c>
      <c r="D3258" t="s">
        <v>80</v>
      </c>
      <c r="E3258" t="s">
        <v>374</v>
      </c>
      <c r="F3258" s="71">
        <v>0</v>
      </c>
      <c r="G3258" s="71">
        <v>64</v>
      </c>
    </row>
    <row r="3259" spans="2:7" x14ac:dyDescent="0.25">
      <c r="B3259" s="70">
        <v>43670</v>
      </c>
      <c r="C3259" t="s">
        <v>25</v>
      </c>
      <c r="D3259" t="s">
        <v>81</v>
      </c>
      <c r="E3259" t="s">
        <v>220</v>
      </c>
      <c r="F3259" s="71">
        <v>3.6</v>
      </c>
      <c r="G3259" s="71">
        <v>0</v>
      </c>
    </row>
    <row r="3260" spans="2:7" x14ac:dyDescent="0.25">
      <c r="B3260" s="70">
        <v>43670</v>
      </c>
      <c r="C3260" t="s">
        <v>25</v>
      </c>
      <c r="D3260" t="s">
        <v>81</v>
      </c>
      <c r="E3260" t="s">
        <v>191</v>
      </c>
      <c r="F3260" s="71">
        <v>44</v>
      </c>
      <c r="G3260" s="71">
        <v>0</v>
      </c>
    </row>
    <row r="3261" spans="2:7" x14ac:dyDescent="0.25">
      <c r="B3261" s="70">
        <v>43670</v>
      </c>
      <c r="C3261" t="s">
        <v>25</v>
      </c>
      <c r="D3261" t="s">
        <v>81</v>
      </c>
      <c r="E3261" t="s">
        <v>140</v>
      </c>
      <c r="F3261" s="71">
        <v>1.8</v>
      </c>
      <c r="G3261" s="71">
        <v>0</v>
      </c>
    </row>
    <row r="3262" spans="2:7" x14ac:dyDescent="0.25">
      <c r="B3262" s="70">
        <v>43670</v>
      </c>
      <c r="C3262" t="s">
        <v>25</v>
      </c>
      <c r="D3262" t="s">
        <v>81</v>
      </c>
      <c r="E3262" t="s">
        <v>132</v>
      </c>
      <c r="F3262" s="71">
        <v>7.65</v>
      </c>
      <c r="G3262" s="71">
        <v>0</v>
      </c>
    </row>
    <row r="3263" spans="2:7" x14ac:dyDescent="0.25">
      <c r="B3263" s="70">
        <v>43670</v>
      </c>
      <c r="C3263" t="s">
        <v>56</v>
      </c>
      <c r="D3263" t="s">
        <v>84</v>
      </c>
      <c r="E3263" t="s">
        <v>374</v>
      </c>
      <c r="F3263" s="71">
        <v>80.849999999999994</v>
      </c>
      <c r="G3263" s="71">
        <v>0</v>
      </c>
    </row>
    <row r="3264" spans="2:7" x14ac:dyDescent="0.25">
      <c r="B3264" s="70">
        <v>43670</v>
      </c>
      <c r="C3264" t="s">
        <v>21</v>
      </c>
      <c r="D3264" t="s">
        <v>79</v>
      </c>
      <c r="E3264" t="s">
        <v>374</v>
      </c>
      <c r="F3264" s="71">
        <v>8</v>
      </c>
      <c r="G3264" s="71">
        <v>0</v>
      </c>
    </row>
    <row r="3265" spans="2:7" x14ac:dyDescent="0.25">
      <c r="B3265" s="70">
        <v>43670</v>
      </c>
      <c r="C3265" t="s">
        <v>21</v>
      </c>
      <c r="D3265" t="s">
        <v>79</v>
      </c>
      <c r="E3265" t="s">
        <v>374</v>
      </c>
      <c r="F3265" s="71">
        <v>24</v>
      </c>
      <c r="G3265" s="71">
        <v>0</v>
      </c>
    </row>
    <row r="3266" spans="2:7" x14ac:dyDescent="0.25">
      <c r="B3266" s="70">
        <v>43670</v>
      </c>
      <c r="C3266" t="s">
        <v>45</v>
      </c>
      <c r="D3266" t="s">
        <v>82</v>
      </c>
      <c r="E3266" t="s">
        <v>374</v>
      </c>
      <c r="F3266" s="71">
        <v>265</v>
      </c>
      <c r="G3266" s="71">
        <v>0</v>
      </c>
    </row>
    <row r="3267" spans="2:7" x14ac:dyDescent="0.25">
      <c r="B3267" s="70">
        <v>43670</v>
      </c>
      <c r="C3267" t="s">
        <v>65</v>
      </c>
      <c r="D3267" t="s">
        <v>84</v>
      </c>
      <c r="E3267" t="s">
        <v>374</v>
      </c>
      <c r="F3267" s="71">
        <v>10.25</v>
      </c>
      <c r="G3267" s="71">
        <v>0</v>
      </c>
    </row>
    <row r="3268" spans="2:7" x14ac:dyDescent="0.25">
      <c r="B3268" s="70">
        <v>43671</v>
      </c>
      <c r="C3268" t="s">
        <v>25</v>
      </c>
      <c r="D3268" t="s">
        <v>81</v>
      </c>
      <c r="E3268" t="s">
        <v>206</v>
      </c>
      <c r="F3268" s="71">
        <v>12.08</v>
      </c>
      <c r="G3268" s="71">
        <v>0</v>
      </c>
    </row>
    <row r="3269" spans="2:7" x14ac:dyDescent="0.25">
      <c r="B3269" s="70">
        <v>43671</v>
      </c>
      <c r="C3269" t="s">
        <v>25</v>
      </c>
      <c r="D3269" t="s">
        <v>81</v>
      </c>
      <c r="E3269" t="s">
        <v>135</v>
      </c>
      <c r="F3269" s="71">
        <v>9.1999999999999993</v>
      </c>
      <c r="G3269" s="71">
        <v>0</v>
      </c>
    </row>
    <row r="3270" spans="2:7" x14ac:dyDescent="0.25">
      <c r="B3270" s="70">
        <v>43671</v>
      </c>
      <c r="C3270" t="s">
        <v>25</v>
      </c>
      <c r="D3270" t="s">
        <v>81</v>
      </c>
      <c r="E3270" t="s">
        <v>122</v>
      </c>
      <c r="F3270" s="71">
        <v>21.9</v>
      </c>
      <c r="G3270" s="71">
        <v>0</v>
      </c>
    </row>
    <row r="3271" spans="2:7" x14ac:dyDescent="0.25">
      <c r="B3271" s="70">
        <v>43671</v>
      </c>
      <c r="C3271" t="s">
        <v>25</v>
      </c>
      <c r="D3271" t="s">
        <v>81</v>
      </c>
      <c r="E3271" t="s">
        <v>275</v>
      </c>
      <c r="F3271" s="71">
        <v>16.399999999999999</v>
      </c>
      <c r="G3271" s="71">
        <v>0</v>
      </c>
    </row>
    <row r="3272" spans="2:7" x14ac:dyDescent="0.25">
      <c r="B3272" s="70">
        <v>43671</v>
      </c>
      <c r="C3272" t="s">
        <v>25</v>
      </c>
      <c r="D3272" t="s">
        <v>81</v>
      </c>
      <c r="E3272" t="s">
        <v>217</v>
      </c>
      <c r="F3272" s="71">
        <v>2.25</v>
      </c>
      <c r="G3272" s="71">
        <v>0</v>
      </c>
    </row>
    <row r="3273" spans="2:7" x14ac:dyDescent="0.25">
      <c r="B3273" s="70">
        <v>43671</v>
      </c>
      <c r="C3273" t="s">
        <v>25</v>
      </c>
      <c r="D3273" t="s">
        <v>81</v>
      </c>
      <c r="E3273" t="s">
        <v>237</v>
      </c>
      <c r="F3273" s="71">
        <v>9.1999999999999993</v>
      </c>
      <c r="G3273" s="71">
        <v>0</v>
      </c>
    </row>
    <row r="3274" spans="2:7" x14ac:dyDescent="0.25">
      <c r="B3274" s="70">
        <v>43671</v>
      </c>
      <c r="C3274" t="s">
        <v>25</v>
      </c>
      <c r="D3274" t="s">
        <v>81</v>
      </c>
      <c r="E3274" t="s">
        <v>127</v>
      </c>
      <c r="F3274" s="71">
        <v>11.3</v>
      </c>
      <c r="G3274" s="71">
        <v>0</v>
      </c>
    </row>
    <row r="3275" spans="2:7" x14ac:dyDescent="0.25">
      <c r="B3275" s="70">
        <v>43671</v>
      </c>
      <c r="C3275" t="s">
        <v>25</v>
      </c>
      <c r="D3275" t="s">
        <v>81</v>
      </c>
      <c r="E3275" t="s">
        <v>133</v>
      </c>
      <c r="F3275" s="71">
        <v>2.4</v>
      </c>
      <c r="G3275" s="71">
        <v>0</v>
      </c>
    </row>
    <row r="3276" spans="2:7" x14ac:dyDescent="0.25">
      <c r="B3276" s="70">
        <v>43671</v>
      </c>
      <c r="C3276" t="s">
        <v>25</v>
      </c>
      <c r="D3276" t="s">
        <v>117</v>
      </c>
      <c r="E3276" t="s">
        <v>375</v>
      </c>
      <c r="F3276" s="71">
        <v>48.33</v>
      </c>
      <c r="G3276" s="71">
        <v>0</v>
      </c>
    </row>
    <row r="3277" spans="2:7" x14ac:dyDescent="0.25">
      <c r="B3277" s="70">
        <v>43671</v>
      </c>
      <c r="C3277" t="s">
        <v>25</v>
      </c>
      <c r="D3277" t="s">
        <v>117</v>
      </c>
      <c r="E3277" t="s">
        <v>375</v>
      </c>
      <c r="F3277" s="71">
        <v>51.37</v>
      </c>
      <c r="G3277" s="71">
        <v>0</v>
      </c>
    </row>
    <row r="3278" spans="2:7" x14ac:dyDescent="0.25">
      <c r="B3278" s="70">
        <v>43671</v>
      </c>
      <c r="C3278" t="s">
        <v>25</v>
      </c>
      <c r="D3278" t="s">
        <v>117</v>
      </c>
      <c r="E3278" t="s">
        <v>375</v>
      </c>
      <c r="F3278" s="71">
        <v>52.96</v>
      </c>
      <c r="G3278" s="71">
        <v>0</v>
      </c>
    </row>
    <row r="3279" spans="2:7" x14ac:dyDescent="0.25">
      <c r="B3279" s="70">
        <v>43671</v>
      </c>
      <c r="C3279" t="s">
        <v>25</v>
      </c>
      <c r="D3279" t="s">
        <v>117</v>
      </c>
      <c r="E3279" t="s">
        <v>375</v>
      </c>
      <c r="F3279" s="71">
        <v>63.58</v>
      </c>
      <c r="G3279" s="71">
        <v>0</v>
      </c>
    </row>
    <row r="3280" spans="2:7" x14ac:dyDescent="0.25">
      <c r="B3280" s="70">
        <v>43671</v>
      </c>
      <c r="C3280" t="s">
        <v>25</v>
      </c>
      <c r="D3280" t="s">
        <v>117</v>
      </c>
      <c r="E3280" t="s">
        <v>375</v>
      </c>
      <c r="F3280" s="71">
        <v>68.180000000000007</v>
      </c>
      <c r="G3280" s="71">
        <v>0</v>
      </c>
    </row>
    <row r="3281" spans="2:7" x14ac:dyDescent="0.25">
      <c r="B3281" s="70">
        <v>43671</v>
      </c>
      <c r="C3281" t="s">
        <v>25</v>
      </c>
      <c r="D3281" t="s">
        <v>117</v>
      </c>
      <c r="E3281" t="s">
        <v>375</v>
      </c>
      <c r="F3281" s="71">
        <v>73.2</v>
      </c>
      <c r="G3281" s="71">
        <v>0</v>
      </c>
    </row>
    <row r="3282" spans="2:7" x14ac:dyDescent="0.25">
      <c r="B3282" s="70">
        <v>43671</v>
      </c>
      <c r="C3282" t="s">
        <v>25</v>
      </c>
      <c r="D3282" t="s">
        <v>84</v>
      </c>
      <c r="E3282" t="s">
        <v>376</v>
      </c>
      <c r="F3282" s="71">
        <v>19</v>
      </c>
      <c r="G3282" s="71">
        <v>0</v>
      </c>
    </row>
    <row r="3283" spans="2:7" x14ac:dyDescent="0.25">
      <c r="B3283" s="70">
        <v>43671</v>
      </c>
      <c r="C3283" t="s">
        <v>54</v>
      </c>
      <c r="D3283" t="s">
        <v>117</v>
      </c>
      <c r="E3283" t="s">
        <v>375</v>
      </c>
      <c r="F3283" s="71">
        <v>1408.96</v>
      </c>
      <c r="G3283" s="71">
        <v>0</v>
      </c>
    </row>
    <row r="3284" spans="2:7" x14ac:dyDescent="0.25">
      <c r="B3284" s="70">
        <v>43671</v>
      </c>
      <c r="C3284" t="s">
        <v>46</v>
      </c>
      <c r="D3284" t="s">
        <v>85</v>
      </c>
      <c r="E3284" t="s">
        <v>376</v>
      </c>
      <c r="F3284" s="71">
        <v>25.95</v>
      </c>
      <c r="G3284" s="71">
        <v>0</v>
      </c>
    </row>
    <row r="3285" spans="2:7" x14ac:dyDescent="0.25">
      <c r="B3285" s="70">
        <v>43671</v>
      </c>
      <c r="C3285" t="s">
        <v>46</v>
      </c>
      <c r="D3285" t="s">
        <v>117</v>
      </c>
      <c r="E3285" t="s">
        <v>375</v>
      </c>
      <c r="F3285" s="71">
        <v>50.79</v>
      </c>
      <c r="G3285" s="71">
        <v>0</v>
      </c>
    </row>
    <row r="3286" spans="2:7" x14ac:dyDescent="0.25">
      <c r="B3286" s="70">
        <v>43671</v>
      </c>
      <c r="C3286" t="s">
        <v>46</v>
      </c>
      <c r="D3286" t="s">
        <v>84</v>
      </c>
      <c r="E3286" t="s">
        <v>376</v>
      </c>
      <c r="F3286" s="71">
        <v>13.8</v>
      </c>
      <c r="G3286" s="71">
        <v>0</v>
      </c>
    </row>
    <row r="3287" spans="2:7" x14ac:dyDescent="0.25">
      <c r="B3287" s="70">
        <v>43671</v>
      </c>
      <c r="C3287" t="s">
        <v>21</v>
      </c>
      <c r="D3287" t="s">
        <v>79</v>
      </c>
      <c r="E3287" t="s">
        <v>376</v>
      </c>
      <c r="F3287" s="71">
        <v>8</v>
      </c>
      <c r="G3287" s="71">
        <v>0</v>
      </c>
    </row>
    <row r="3288" spans="2:7" x14ac:dyDescent="0.25">
      <c r="B3288" s="70">
        <v>43671</v>
      </c>
      <c r="C3288" t="s">
        <v>21</v>
      </c>
      <c r="D3288" t="s">
        <v>117</v>
      </c>
      <c r="E3288" t="s">
        <v>375</v>
      </c>
      <c r="F3288" s="71">
        <v>13.64</v>
      </c>
      <c r="G3288" s="71">
        <v>0</v>
      </c>
    </row>
    <row r="3289" spans="2:7" x14ac:dyDescent="0.25">
      <c r="B3289" s="70">
        <v>43671</v>
      </c>
      <c r="C3289" t="s">
        <v>21</v>
      </c>
      <c r="D3289" t="s">
        <v>117</v>
      </c>
      <c r="E3289" t="s">
        <v>375</v>
      </c>
      <c r="F3289" s="71">
        <v>14.35</v>
      </c>
      <c r="G3289" s="71">
        <v>0</v>
      </c>
    </row>
    <row r="3290" spans="2:7" x14ac:dyDescent="0.25">
      <c r="B3290" s="70">
        <v>43671</v>
      </c>
      <c r="C3290" t="s">
        <v>21</v>
      </c>
      <c r="D3290" t="s">
        <v>117</v>
      </c>
      <c r="E3290" t="s">
        <v>375</v>
      </c>
      <c r="F3290" s="71">
        <v>14.46</v>
      </c>
      <c r="G3290" s="71">
        <v>0</v>
      </c>
    </row>
    <row r="3291" spans="2:7" x14ac:dyDescent="0.25">
      <c r="B3291" s="70">
        <v>43671</v>
      </c>
      <c r="C3291" t="s">
        <v>21</v>
      </c>
      <c r="D3291" t="s">
        <v>117</v>
      </c>
      <c r="E3291" t="s">
        <v>375</v>
      </c>
      <c r="F3291" s="71">
        <v>16.78</v>
      </c>
      <c r="G3291" s="71">
        <v>0</v>
      </c>
    </row>
    <row r="3292" spans="2:7" x14ac:dyDescent="0.25">
      <c r="B3292" s="70">
        <v>43671</v>
      </c>
      <c r="C3292" t="s">
        <v>21</v>
      </c>
      <c r="D3292" t="s">
        <v>117</v>
      </c>
      <c r="E3292" t="s">
        <v>375</v>
      </c>
      <c r="F3292" s="71">
        <v>23.57</v>
      </c>
      <c r="G3292" s="71">
        <v>0</v>
      </c>
    </row>
    <row r="3293" spans="2:7" x14ac:dyDescent="0.25">
      <c r="B3293" s="70">
        <v>43671</v>
      </c>
      <c r="C3293" t="s">
        <v>21</v>
      </c>
      <c r="D3293" t="s">
        <v>117</v>
      </c>
      <c r="E3293" t="s">
        <v>375</v>
      </c>
      <c r="F3293" s="71">
        <v>26.02</v>
      </c>
      <c r="G3293" s="71">
        <v>0</v>
      </c>
    </row>
    <row r="3294" spans="2:7" x14ac:dyDescent="0.25">
      <c r="B3294" s="70">
        <v>43671</v>
      </c>
      <c r="C3294" t="s">
        <v>21</v>
      </c>
      <c r="D3294" t="s">
        <v>117</v>
      </c>
      <c r="E3294" t="s">
        <v>375</v>
      </c>
      <c r="F3294" s="71">
        <v>40</v>
      </c>
      <c r="G3294" s="71">
        <v>0</v>
      </c>
    </row>
    <row r="3295" spans="2:7" x14ac:dyDescent="0.25">
      <c r="B3295" s="70">
        <v>43671</v>
      </c>
      <c r="C3295" t="s">
        <v>21</v>
      </c>
      <c r="D3295" t="s">
        <v>117</v>
      </c>
      <c r="E3295" t="s">
        <v>375</v>
      </c>
      <c r="F3295" s="71">
        <v>42.2</v>
      </c>
      <c r="G3295" s="71">
        <v>0</v>
      </c>
    </row>
    <row r="3296" spans="2:7" x14ac:dyDescent="0.25">
      <c r="B3296" s="70">
        <v>43671</v>
      </c>
      <c r="C3296" t="s">
        <v>21</v>
      </c>
      <c r="D3296" t="s">
        <v>117</v>
      </c>
      <c r="E3296" t="s">
        <v>375</v>
      </c>
      <c r="F3296" s="71">
        <v>83.18</v>
      </c>
      <c r="G3296" s="71">
        <v>0</v>
      </c>
    </row>
    <row r="3297" spans="2:7" x14ac:dyDescent="0.25">
      <c r="B3297" s="70">
        <v>43671</v>
      </c>
      <c r="C3297" t="s">
        <v>21</v>
      </c>
      <c r="D3297" t="s">
        <v>117</v>
      </c>
      <c r="E3297" t="s">
        <v>375</v>
      </c>
      <c r="F3297" s="71">
        <v>85.85</v>
      </c>
      <c r="G3297" s="71">
        <v>0</v>
      </c>
    </row>
    <row r="3298" spans="2:7" x14ac:dyDescent="0.25">
      <c r="B3298" s="70">
        <v>43671</v>
      </c>
      <c r="C3298" t="s">
        <v>21</v>
      </c>
      <c r="D3298" t="s">
        <v>117</v>
      </c>
      <c r="E3298" t="s">
        <v>375</v>
      </c>
      <c r="F3298" s="71">
        <v>173.93</v>
      </c>
      <c r="G3298" s="71">
        <v>0</v>
      </c>
    </row>
    <row r="3299" spans="2:7" x14ac:dyDescent="0.25">
      <c r="B3299" s="70">
        <v>43671</v>
      </c>
      <c r="C3299" t="s">
        <v>21</v>
      </c>
      <c r="D3299" t="s">
        <v>117</v>
      </c>
      <c r="E3299" t="s">
        <v>375</v>
      </c>
      <c r="F3299" s="71">
        <v>246.93</v>
      </c>
      <c r="G3299" s="71">
        <v>0</v>
      </c>
    </row>
    <row r="3300" spans="2:7" x14ac:dyDescent="0.25">
      <c r="B3300" s="70">
        <v>43671</v>
      </c>
      <c r="C3300" t="s">
        <v>21</v>
      </c>
      <c r="D3300" t="s">
        <v>117</v>
      </c>
      <c r="E3300" t="s">
        <v>375</v>
      </c>
      <c r="F3300" s="71">
        <v>250.81</v>
      </c>
      <c r="G3300" s="71">
        <v>0</v>
      </c>
    </row>
    <row r="3301" spans="2:7" x14ac:dyDescent="0.25">
      <c r="B3301" s="70">
        <v>43671</v>
      </c>
      <c r="C3301" t="s">
        <v>21</v>
      </c>
      <c r="D3301" t="s">
        <v>117</v>
      </c>
      <c r="E3301" t="s">
        <v>375</v>
      </c>
      <c r="F3301" s="71">
        <v>253.81</v>
      </c>
      <c r="G3301" s="71">
        <v>0</v>
      </c>
    </row>
    <row r="3302" spans="2:7" x14ac:dyDescent="0.25">
      <c r="B3302" s="70">
        <v>43671</v>
      </c>
      <c r="C3302" t="s">
        <v>21</v>
      </c>
      <c r="D3302" t="s">
        <v>117</v>
      </c>
      <c r="E3302" t="s">
        <v>375</v>
      </c>
      <c r="F3302" s="71">
        <v>257.58</v>
      </c>
      <c r="G3302" s="71">
        <v>0</v>
      </c>
    </row>
    <row r="3303" spans="2:7" x14ac:dyDescent="0.25">
      <c r="B3303" s="70">
        <v>43671</v>
      </c>
      <c r="C3303" t="s">
        <v>21</v>
      </c>
      <c r="D3303" t="s">
        <v>117</v>
      </c>
      <c r="E3303" t="s">
        <v>375</v>
      </c>
      <c r="F3303" s="71">
        <v>262.45</v>
      </c>
      <c r="G3303" s="71">
        <v>0</v>
      </c>
    </row>
    <row r="3304" spans="2:7" x14ac:dyDescent="0.25">
      <c r="B3304" s="70">
        <v>43671</v>
      </c>
      <c r="C3304" t="s">
        <v>21</v>
      </c>
      <c r="D3304" t="s">
        <v>117</v>
      </c>
      <c r="E3304" t="s">
        <v>375</v>
      </c>
      <c r="F3304" s="71">
        <v>287.68</v>
      </c>
      <c r="G3304" s="71">
        <v>0</v>
      </c>
    </row>
    <row r="3305" spans="2:7" x14ac:dyDescent="0.25">
      <c r="B3305" s="70">
        <v>43671</v>
      </c>
      <c r="C3305" t="s">
        <v>21</v>
      </c>
      <c r="D3305" t="s">
        <v>117</v>
      </c>
      <c r="E3305" t="s">
        <v>375</v>
      </c>
      <c r="F3305" s="71">
        <v>402.95</v>
      </c>
      <c r="G3305" s="71">
        <v>0</v>
      </c>
    </row>
    <row r="3306" spans="2:7" x14ac:dyDescent="0.25">
      <c r="B3306" s="70">
        <v>43671</v>
      </c>
      <c r="C3306" t="s">
        <v>21</v>
      </c>
      <c r="D3306" t="s">
        <v>117</v>
      </c>
      <c r="E3306" t="s">
        <v>375</v>
      </c>
      <c r="F3306" s="71">
        <v>423.51</v>
      </c>
      <c r="G3306" s="71">
        <v>0</v>
      </c>
    </row>
    <row r="3307" spans="2:7" x14ac:dyDescent="0.25">
      <c r="B3307" s="70">
        <v>43671</v>
      </c>
      <c r="C3307" t="s">
        <v>21</v>
      </c>
      <c r="D3307" t="s">
        <v>117</v>
      </c>
      <c r="E3307" t="s">
        <v>375</v>
      </c>
      <c r="F3307" s="71">
        <v>430.45</v>
      </c>
      <c r="G3307" s="71">
        <v>0</v>
      </c>
    </row>
    <row r="3308" spans="2:7" x14ac:dyDescent="0.25">
      <c r="B3308" s="70">
        <v>43671</v>
      </c>
      <c r="C3308" t="s">
        <v>21</v>
      </c>
      <c r="D3308" t="s">
        <v>117</v>
      </c>
      <c r="E3308" t="s">
        <v>375</v>
      </c>
      <c r="F3308" s="71">
        <v>475.27</v>
      </c>
      <c r="G3308" s="71">
        <v>0</v>
      </c>
    </row>
    <row r="3309" spans="2:7" x14ac:dyDescent="0.25">
      <c r="B3309" s="70">
        <v>43671</v>
      </c>
      <c r="C3309" t="s">
        <v>21</v>
      </c>
      <c r="D3309" t="s">
        <v>117</v>
      </c>
      <c r="E3309" t="s">
        <v>375</v>
      </c>
      <c r="F3309" s="71">
        <v>481.35</v>
      </c>
      <c r="G3309" s="71">
        <v>0</v>
      </c>
    </row>
    <row r="3310" spans="2:7" x14ac:dyDescent="0.25">
      <c r="B3310" s="70">
        <v>43671</v>
      </c>
      <c r="C3310" t="s">
        <v>21</v>
      </c>
      <c r="D3310" t="s">
        <v>117</v>
      </c>
      <c r="E3310" t="s">
        <v>375</v>
      </c>
      <c r="F3310" s="71">
        <v>492.39</v>
      </c>
      <c r="G3310" s="71">
        <v>0</v>
      </c>
    </row>
    <row r="3311" spans="2:7" x14ac:dyDescent="0.25">
      <c r="B3311" s="70">
        <v>43671</v>
      </c>
      <c r="C3311" t="s">
        <v>21</v>
      </c>
      <c r="D3311" t="s">
        <v>117</v>
      </c>
      <c r="E3311" t="s">
        <v>375</v>
      </c>
      <c r="F3311" s="71">
        <v>540.30999999999995</v>
      </c>
      <c r="G3311" s="71">
        <v>0</v>
      </c>
    </row>
    <row r="3312" spans="2:7" x14ac:dyDescent="0.25">
      <c r="B3312" s="70">
        <v>43671</v>
      </c>
      <c r="C3312" t="s">
        <v>21</v>
      </c>
      <c r="D3312" t="s">
        <v>117</v>
      </c>
      <c r="E3312" t="s">
        <v>375</v>
      </c>
      <c r="F3312" s="71">
        <v>566.5</v>
      </c>
      <c r="G3312" s="71">
        <v>0</v>
      </c>
    </row>
    <row r="3313" spans="2:7" x14ac:dyDescent="0.25">
      <c r="B3313" s="70">
        <v>43671</v>
      </c>
      <c r="C3313" t="s">
        <v>21</v>
      </c>
      <c r="D3313" t="s">
        <v>117</v>
      </c>
      <c r="E3313" t="s">
        <v>375</v>
      </c>
      <c r="F3313" s="71">
        <v>635.51</v>
      </c>
      <c r="G3313" s="71">
        <v>0</v>
      </c>
    </row>
    <row r="3314" spans="2:7" x14ac:dyDescent="0.25">
      <c r="B3314" s="70">
        <v>43671</v>
      </c>
      <c r="C3314" t="s">
        <v>21</v>
      </c>
      <c r="D3314" t="s">
        <v>117</v>
      </c>
      <c r="E3314" t="s">
        <v>375</v>
      </c>
      <c r="F3314" s="71">
        <v>812.13</v>
      </c>
      <c r="G3314" s="71">
        <v>0</v>
      </c>
    </row>
    <row r="3315" spans="2:7" x14ac:dyDescent="0.25">
      <c r="B3315" s="70">
        <v>43671</v>
      </c>
      <c r="C3315" t="s">
        <v>21</v>
      </c>
      <c r="D3315" t="s">
        <v>117</v>
      </c>
      <c r="E3315" t="s">
        <v>375</v>
      </c>
      <c r="F3315" s="71">
        <v>834.96</v>
      </c>
      <c r="G3315" s="71">
        <v>0</v>
      </c>
    </row>
    <row r="3316" spans="2:7" x14ac:dyDescent="0.25">
      <c r="B3316" s="70">
        <v>43671</v>
      </c>
      <c r="C3316" t="s">
        <v>21</v>
      </c>
      <c r="D3316" t="s">
        <v>117</v>
      </c>
      <c r="E3316" t="s">
        <v>375</v>
      </c>
      <c r="F3316" s="71">
        <v>873.5</v>
      </c>
      <c r="G3316" s="71">
        <v>0</v>
      </c>
    </row>
    <row r="3317" spans="2:7" x14ac:dyDescent="0.25">
      <c r="B3317" s="70">
        <v>43671</v>
      </c>
      <c r="C3317" t="s">
        <v>21</v>
      </c>
      <c r="D3317" t="s">
        <v>117</v>
      </c>
      <c r="E3317" t="s">
        <v>375</v>
      </c>
      <c r="F3317" s="71">
        <v>1098.96</v>
      </c>
      <c r="G3317" s="71">
        <v>0</v>
      </c>
    </row>
    <row r="3318" spans="2:7" x14ac:dyDescent="0.25">
      <c r="B3318" s="70">
        <v>43671</v>
      </c>
      <c r="C3318" t="s">
        <v>21</v>
      </c>
      <c r="D3318" t="s">
        <v>84</v>
      </c>
      <c r="E3318" t="s">
        <v>376</v>
      </c>
      <c r="F3318" s="71">
        <v>1.8</v>
      </c>
      <c r="G3318" s="71">
        <v>0</v>
      </c>
    </row>
    <row r="3319" spans="2:7" x14ac:dyDescent="0.25">
      <c r="B3319" s="70">
        <v>43671</v>
      </c>
      <c r="C3319" t="s">
        <v>66</v>
      </c>
      <c r="D3319" t="s">
        <v>79</v>
      </c>
      <c r="E3319" t="s">
        <v>376</v>
      </c>
      <c r="F3319" s="71">
        <v>39.619999999999997</v>
      </c>
      <c r="G3319" s="71">
        <v>0</v>
      </c>
    </row>
    <row r="3320" spans="2:7" x14ac:dyDescent="0.25">
      <c r="B3320" s="70">
        <v>43671</v>
      </c>
      <c r="C3320" t="s">
        <v>66</v>
      </c>
      <c r="D3320" t="s">
        <v>117</v>
      </c>
      <c r="E3320" t="s">
        <v>375</v>
      </c>
      <c r="F3320" s="71">
        <v>20.9</v>
      </c>
      <c r="G3320" s="71">
        <v>0</v>
      </c>
    </row>
    <row r="3321" spans="2:7" x14ac:dyDescent="0.25">
      <c r="B3321" s="70">
        <v>43671</v>
      </c>
      <c r="C3321" t="s">
        <v>48</v>
      </c>
      <c r="D3321" t="s">
        <v>117</v>
      </c>
      <c r="E3321" t="s">
        <v>375</v>
      </c>
      <c r="F3321" s="71">
        <v>1499.58</v>
      </c>
      <c r="G3321" s="71">
        <v>0</v>
      </c>
    </row>
    <row r="3322" spans="2:7" x14ac:dyDescent="0.25">
      <c r="B3322" s="70">
        <v>43671</v>
      </c>
      <c r="C3322" t="s">
        <v>48</v>
      </c>
      <c r="D3322" t="s">
        <v>84</v>
      </c>
      <c r="E3322" t="s">
        <v>376</v>
      </c>
      <c r="F3322" s="71">
        <v>450</v>
      </c>
      <c r="G3322" s="71">
        <v>0</v>
      </c>
    </row>
    <row r="3323" spans="2:7" x14ac:dyDescent="0.25">
      <c r="B3323" s="70">
        <v>43671</v>
      </c>
      <c r="C3323" t="s">
        <v>50</v>
      </c>
      <c r="D3323" t="s">
        <v>117</v>
      </c>
      <c r="E3323" t="s">
        <v>375</v>
      </c>
      <c r="F3323" s="71">
        <v>1142.21</v>
      </c>
      <c r="G3323" s="71">
        <v>0</v>
      </c>
    </row>
    <row r="3324" spans="2:7" x14ac:dyDescent="0.25">
      <c r="B3324" s="70">
        <v>43671</v>
      </c>
      <c r="C3324" t="s">
        <v>50</v>
      </c>
      <c r="D3324" t="s">
        <v>84</v>
      </c>
      <c r="E3324" t="s">
        <v>376</v>
      </c>
      <c r="F3324" s="71">
        <v>13.15</v>
      </c>
      <c r="G3324" s="71">
        <v>0</v>
      </c>
    </row>
    <row r="3325" spans="2:7" x14ac:dyDescent="0.25">
      <c r="B3325" s="70">
        <v>43671</v>
      </c>
      <c r="C3325" t="s">
        <v>52</v>
      </c>
      <c r="D3325" t="s">
        <v>117</v>
      </c>
      <c r="E3325" t="s">
        <v>375</v>
      </c>
      <c r="F3325" s="71">
        <v>249.64</v>
      </c>
      <c r="G3325" s="71">
        <v>0</v>
      </c>
    </row>
    <row r="3326" spans="2:7" x14ac:dyDescent="0.25">
      <c r="B3326" s="70">
        <v>43671</v>
      </c>
      <c r="C3326" t="s">
        <v>65</v>
      </c>
      <c r="D3326" t="s">
        <v>84</v>
      </c>
      <c r="E3326" t="s">
        <v>376</v>
      </c>
      <c r="F3326" s="71">
        <v>35.1</v>
      </c>
      <c r="G3326" s="71">
        <v>0</v>
      </c>
    </row>
    <row r="3327" spans="2:7" x14ac:dyDescent="0.25">
      <c r="B3327" s="70">
        <v>43671</v>
      </c>
      <c r="C3327" t="s">
        <v>24</v>
      </c>
      <c r="D3327" t="s">
        <v>117</v>
      </c>
      <c r="E3327" t="s">
        <v>375</v>
      </c>
      <c r="F3327" s="71">
        <v>5.6</v>
      </c>
      <c r="G3327" s="71">
        <v>0</v>
      </c>
    </row>
    <row r="3328" spans="2:7" x14ac:dyDescent="0.25">
      <c r="B3328" s="70">
        <v>43671</v>
      </c>
      <c r="C3328" t="s">
        <v>24</v>
      </c>
      <c r="D3328" t="s">
        <v>117</v>
      </c>
      <c r="E3328" t="s">
        <v>375</v>
      </c>
      <c r="F3328" s="71">
        <v>14.12</v>
      </c>
      <c r="G3328" s="71">
        <v>0</v>
      </c>
    </row>
    <row r="3329" spans="2:7" x14ac:dyDescent="0.25">
      <c r="B3329" s="70">
        <v>43671</v>
      </c>
      <c r="C3329" t="s">
        <v>24</v>
      </c>
      <c r="D3329" t="s">
        <v>117</v>
      </c>
      <c r="E3329" t="s">
        <v>375</v>
      </c>
      <c r="F3329" s="71">
        <v>19.38</v>
      </c>
      <c r="G3329" s="71">
        <v>0</v>
      </c>
    </row>
    <row r="3330" spans="2:7" x14ac:dyDescent="0.25">
      <c r="B3330" s="70">
        <v>43671</v>
      </c>
      <c r="C3330" t="s">
        <v>24</v>
      </c>
      <c r="D3330" t="s">
        <v>117</v>
      </c>
      <c r="E3330" t="s">
        <v>375</v>
      </c>
      <c r="F3330" s="71">
        <v>20.25</v>
      </c>
      <c r="G3330" s="71">
        <v>0</v>
      </c>
    </row>
    <row r="3331" spans="2:7" x14ac:dyDescent="0.25">
      <c r="B3331" s="70">
        <v>43671</v>
      </c>
      <c r="C3331" t="s">
        <v>24</v>
      </c>
      <c r="D3331" t="s">
        <v>117</v>
      </c>
      <c r="E3331" t="s">
        <v>375</v>
      </c>
      <c r="F3331" s="71">
        <v>23.39</v>
      </c>
      <c r="G3331" s="71">
        <v>0</v>
      </c>
    </row>
    <row r="3332" spans="2:7" x14ac:dyDescent="0.25">
      <c r="B3332" s="70">
        <v>43671</v>
      </c>
      <c r="C3332" t="s">
        <v>24</v>
      </c>
      <c r="D3332" t="s">
        <v>117</v>
      </c>
      <c r="E3332" t="s">
        <v>375</v>
      </c>
      <c r="F3332" s="71">
        <v>23.73</v>
      </c>
      <c r="G3332" s="71">
        <v>0</v>
      </c>
    </row>
    <row r="3333" spans="2:7" x14ac:dyDescent="0.25">
      <c r="B3333" s="70">
        <v>43671</v>
      </c>
      <c r="C3333" t="s">
        <v>24</v>
      </c>
      <c r="D3333" t="s">
        <v>117</v>
      </c>
      <c r="E3333" t="s">
        <v>375</v>
      </c>
      <c r="F3333" s="71">
        <v>25.63</v>
      </c>
      <c r="G3333" s="71">
        <v>0</v>
      </c>
    </row>
    <row r="3334" spans="2:7" x14ac:dyDescent="0.25">
      <c r="B3334" s="70">
        <v>43671</v>
      </c>
      <c r="C3334" t="s">
        <v>24</v>
      </c>
      <c r="D3334" t="s">
        <v>117</v>
      </c>
      <c r="E3334" t="s">
        <v>375</v>
      </c>
      <c r="F3334" s="71">
        <v>27.42</v>
      </c>
      <c r="G3334" s="71">
        <v>0</v>
      </c>
    </row>
    <row r="3335" spans="2:7" x14ac:dyDescent="0.25">
      <c r="B3335" s="70">
        <v>43671</v>
      </c>
      <c r="C3335" t="s">
        <v>24</v>
      </c>
      <c r="D3335" t="s">
        <v>117</v>
      </c>
      <c r="E3335" t="s">
        <v>375</v>
      </c>
      <c r="F3335" s="71">
        <v>44.13</v>
      </c>
      <c r="G3335" s="71">
        <v>0</v>
      </c>
    </row>
    <row r="3336" spans="2:7" x14ac:dyDescent="0.25">
      <c r="B3336" s="70">
        <v>43671</v>
      </c>
      <c r="C3336" t="s">
        <v>24</v>
      </c>
      <c r="D3336" t="s">
        <v>117</v>
      </c>
      <c r="E3336" t="s">
        <v>375</v>
      </c>
      <c r="F3336" s="71">
        <v>46.01</v>
      </c>
      <c r="G3336" s="71">
        <v>0</v>
      </c>
    </row>
    <row r="3337" spans="2:7" x14ac:dyDescent="0.25">
      <c r="B3337" s="70">
        <v>43671</v>
      </c>
      <c r="C3337" t="s">
        <v>24</v>
      </c>
      <c r="D3337" t="s">
        <v>117</v>
      </c>
      <c r="E3337" t="s">
        <v>375</v>
      </c>
      <c r="F3337" s="71">
        <v>48.99</v>
      </c>
      <c r="G3337" s="71">
        <v>0</v>
      </c>
    </row>
    <row r="3338" spans="2:7" x14ac:dyDescent="0.25">
      <c r="B3338" s="70">
        <v>43671</v>
      </c>
      <c r="C3338" t="s">
        <v>24</v>
      </c>
      <c r="D3338" t="s">
        <v>117</v>
      </c>
      <c r="E3338" t="s">
        <v>375</v>
      </c>
      <c r="F3338" s="71">
        <v>60.7</v>
      </c>
      <c r="G3338" s="71">
        <v>0</v>
      </c>
    </row>
    <row r="3339" spans="2:7" x14ac:dyDescent="0.25">
      <c r="B3339" s="70">
        <v>43671</v>
      </c>
      <c r="C3339" t="s">
        <v>24</v>
      </c>
      <c r="D3339" t="s">
        <v>117</v>
      </c>
      <c r="E3339" t="s">
        <v>375</v>
      </c>
      <c r="F3339" s="71">
        <v>63.64</v>
      </c>
      <c r="G3339" s="71">
        <v>0</v>
      </c>
    </row>
    <row r="3340" spans="2:7" x14ac:dyDescent="0.25">
      <c r="B3340" s="70">
        <v>43671</v>
      </c>
      <c r="C3340" t="s">
        <v>24</v>
      </c>
      <c r="D3340" t="s">
        <v>117</v>
      </c>
      <c r="E3340" t="s">
        <v>375</v>
      </c>
      <c r="F3340" s="71">
        <v>65.59</v>
      </c>
      <c r="G3340" s="71">
        <v>0</v>
      </c>
    </row>
    <row r="3341" spans="2:7" x14ac:dyDescent="0.25">
      <c r="B3341" s="70">
        <v>43671</v>
      </c>
      <c r="C3341" t="s">
        <v>24</v>
      </c>
      <c r="D3341" t="s">
        <v>117</v>
      </c>
      <c r="E3341" t="s">
        <v>375</v>
      </c>
      <c r="F3341" s="71">
        <v>80.47</v>
      </c>
      <c r="G3341" s="71">
        <v>0</v>
      </c>
    </row>
    <row r="3342" spans="2:7" x14ac:dyDescent="0.25">
      <c r="B3342" s="70">
        <v>43671</v>
      </c>
      <c r="C3342" t="s">
        <v>24</v>
      </c>
      <c r="D3342" t="s">
        <v>117</v>
      </c>
      <c r="E3342" t="s">
        <v>375</v>
      </c>
      <c r="F3342" s="71">
        <v>85.88</v>
      </c>
      <c r="G3342" s="71">
        <v>0</v>
      </c>
    </row>
    <row r="3343" spans="2:7" x14ac:dyDescent="0.25">
      <c r="B3343" s="70">
        <v>43671</v>
      </c>
      <c r="C3343" t="s">
        <v>24</v>
      </c>
      <c r="D3343" t="s">
        <v>117</v>
      </c>
      <c r="E3343" t="s">
        <v>375</v>
      </c>
      <c r="F3343" s="71">
        <v>107.83</v>
      </c>
      <c r="G3343" s="71">
        <v>0</v>
      </c>
    </row>
    <row r="3344" spans="2:7" x14ac:dyDescent="0.25">
      <c r="B3344" s="70">
        <v>43671</v>
      </c>
      <c r="C3344" t="s">
        <v>24</v>
      </c>
      <c r="D3344" t="s">
        <v>117</v>
      </c>
      <c r="E3344" t="s">
        <v>375</v>
      </c>
      <c r="F3344" s="71">
        <v>130.29</v>
      </c>
      <c r="G3344" s="71">
        <v>0</v>
      </c>
    </row>
    <row r="3345" spans="2:7" x14ac:dyDescent="0.25">
      <c r="B3345" s="70">
        <v>43671</v>
      </c>
      <c r="C3345" t="s">
        <v>24</v>
      </c>
      <c r="D3345" t="s">
        <v>117</v>
      </c>
      <c r="E3345" t="s">
        <v>375</v>
      </c>
      <c r="F3345" s="71">
        <v>132.22</v>
      </c>
      <c r="G3345" s="71">
        <v>0</v>
      </c>
    </row>
    <row r="3346" spans="2:7" x14ac:dyDescent="0.25">
      <c r="B3346" s="70">
        <v>43671</v>
      </c>
      <c r="C3346" t="s">
        <v>24</v>
      </c>
      <c r="D3346" t="s">
        <v>117</v>
      </c>
      <c r="E3346" t="s">
        <v>375</v>
      </c>
      <c r="F3346" s="71">
        <v>144.43</v>
      </c>
      <c r="G3346" s="71">
        <v>0</v>
      </c>
    </row>
    <row r="3347" spans="2:7" x14ac:dyDescent="0.25">
      <c r="B3347" s="70">
        <v>43671</v>
      </c>
      <c r="C3347" t="s">
        <v>24</v>
      </c>
      <c r="D3347" t="s">
        <v>117</v>
      </c>
      <c r="E3347" t="s">
        <v>375</v>
      </c>
      <c r="F3347" s="71">
        <v>410.35</v>
      </c>
      <c r="G3347" s="71">
        <v>0</v>
      </c>
    </row>
    <row r="3348" spans="2:7" x14ac:dyDescent="0.25">
      <c r="B3348" s="70">
        <v>43672</v>
      </c>
      <c r="C3348" t="s">
        <v>25</v>
      </c>
      <c r="D3348" t="s">
        <v>79</v>
      </c>
      <c r="E3348" t="s">
        <v>377</v>
      </c>
      <c r="F3348" s="71">
        <v>16</v>
      </c>
      <c r="G3348" s="71">
        <v>0</v>
      </c>
    </row>
    <row r="3349" spans="2:7" x14ac:dyDescent="0.25">
      <c r="B3349" s="70">
        <v>43672</v>
      </c>
      <c r="C3349" t="s">
        <v>25</v>
      </c>
      <c r="D3349" t="s">
        <v>80</v>
      </c>
      <c r="E3349" t="s">
        <v>377</v>
      </c>
      <c r="F3349" s="71">
        <v>22.26</v>
      </c>
      <c r="G3349" s="71">
        <v>0</v>
      </c>
    </row>
    <row r="3350" spans="2:7" x14ac:dyDescent="0.25">
      <c r="B3350" s="70">
        <v>43672</v>
      </c>
      <c r="C3350" t="s">
        <v>25</v>
      </c>
      <c r="D3350" t="s">
        <v>80</v>
      </c>
      <c r="E3350" t="s">
        <v>377</v>
      </c>
      <c r="F3350" s="71">
        <v>26.2</v>
      </c>
      <c r="G3350" s="71">
        <v>0</v>
      </c>
    </row>
    <row r="3351" spans="2:7" x14ac:dyDescent="0.25">
      <c r="B3351" s="70">
        <v>43672</v>
      </c>
      <c r="C3351" t="s">
        <v>25</v>
      </c>
      <c r="D3351" t="s">
        <v>80</v>
      </c>
      <c r="E3351" t="s">
        <v>377</v>
      </c>
      <c r="F3351" s="71">
        <v>26.91</v>
      </c>
      <c r="G3351" s="71">
        <v>0</v>
      </c>
    </row>
    <row r="3352" spans="2:7" x14ac:dyDescent="0.25">
      <c r="B3352" s="70">
        <v>43672</v>
      </c>
      <c r="C3352" t="s">
        <v>25</v>
      </c>
      <c r="D3352" t="s">
        <v>80</v>
      </c>
      <c r="E3352" t="s">
        <v>377</v>
      </c>
      <c r="F3352" s="71">
        <v>35.979999999999997</v>
      </c>
      <c r="G3352" s="71">
        <v>0</v>
      </c>
    </row>
    <row r="3353" spans="2:7" x14ac:dyDescent="0.25">
      <c r="B3353" s="70">
        <v>43672</v>
      </c>
      <c r="C3353" t="s">
        <v>25</v>
      </c>
      <c r="D3353" t="s">
        <v>80</v>
      </c>
      <c r="E3353" t="s">
        <v>377</v>
      </c>
      <c r="F3353" s="71">
        <v>39.950000000000003</v>
      </c>
      <c r="G3353" s="71">
        <v>0</v>
      </c>
    </row>
    <row r="3354" spans="2:7" x14ac:dyDescent="0.25">
      <c r="B3354" s="70">
        <v>43672</v>
      </c>
      <c r="C3354" t="s">
        <v>25</v>
      </c>
      <c r="D3354" t="s">
        <v>80</v>
      </c>
      <c r="E3354" t="s">
        <v>377</v>
      </c>
      <c r="F3354" s="71">
        <v>116</v>
      </c>
      <c r="G3354" s="71">
        <v>0</v>
      </c>
    </row>
    <row r="3355" spans="2:7" x14ac:dyDescent="0.25">
      <c r="B3355" s="70">
        <v>43672</v>
      </c>
      <c r="C3355" t="s">
        <v>25</v>
      </c>
      <c r="D3355" t="s">
        <v>87</v>
      </c>
      <c r="E3355" t="s">
        <v>377</v>
      </c>
      <c r="F3355" s="71">
        <v>18</v>
      </c>
      <c r="G3355" s="71">
        <v>0</v>
      </c>
    </row>
    <row r="3356" spans="2:7" x14ac:dyDescent="0.25">
      <c r="B3356" s="70">
        <v>43672</v>
      </c>
      <c r="C3356" t="s">
        <v>25</v>
      </c>
      <c r="D3356" t="s">
        <v>87</v>
      </c>
      <c r="E3356" t="s">
        <v>377</v>
      </c>
      <c r="F3356" s="71">
        <v>30</v>
      </c>
      <c r="G3356" s="71">
        <v>0</v>
      </c>
    </row>
    <row r="3357" spans="2:7" x14ac:dyDescent="0.25">
      <c r="B3357" s="70">
        <v>43672</v>
      </c>
      <c r="C3357" t="s">
        <v>25</v>
      </c>
      <c r="D3357" t="s">
        <v>87</v>
      </c>
      <c r="E3357" t="s">
        <v>377</v>
      </c>
      <c r="F3357" s="71">
        <v>66.45</v>
      </c>
      <c r="G3357" s="71">
        <v>0</v>
      </c>
    </row>
    <row r="3358" spans="2:7" x14ac:dyDescent="0.25">
      <c r="B3358" s="70">
        <v>43672</v>
      </c>
      <c r="C3358" t="s">
        <v>25</v>
      </c>
      <c r="D3358" t="s">
        <v>87</v>
      </c>
      <c r="E3358" t="s">
        <v>377</v>
      </c>
      <c r="F3358" s="71">
        <v>69.55</v>
      </c>
      <c r="G3358" s="71">
        <v>0</v>
      </c>
    </row>
    <row r="3359" spans="2:7" x14ac:dyDescent="0.25">
      <c r="B3359" s="70">
        <v>43672</v>
      </c>
      <c r="C3359" t="s">
        <v>25</v>
      </c>
      <c r="D3359" t="s">
        <v>87</v>
      </c>
      <c r="E3359" t="s">
        <v>377</v>
      </c>
      <c r="F3359" s="71">
        <v>76.81</v>
      </c>
      <c r="G3359" s="71">
        <v>0</v>
      </c>
    </row>
    <row r="3360" spans="2:7" x14ac:dyDescent="0.25">
      <c r="B3360" s="70">
        <v>43672</v>
      </c>
      <c r="C3360" t="s">
        <v>25</v>
      </c>
      <c r="D3360" t="s">
        <v>87</v>
      </c>
      <c r="E3360" t="s">
        <v>377</v>
      </c>
      <c r="F3360" s="71">
        <v>90</v>
      </c>
      <c r="G3360" s="71">
        <v>0</v>
      </c>
    </row>
    <row r="3361" spans="2:7" x14ac:dyDescent="0.25">
      <c r="B3361" s="70">
        <v>43672</v>
      </c>
      <c r="C3361" t="s">
        <v>25</v>
      </c>
      <c r="D3361" t="s">
        <v>87</v>
      </c>
      <c r="E3361" t="s">
        <v>377</v>
      </c>
      <c r="F3361" s="71">
        <v>107.29</v>
      </c>
      <c r="G3361" s="71">
        <v>0</v>
      </c>
    </row>
    <row r="3362" spans="2:7" x14ac:dyDescent="0.25">
      <c r="B3362" s="70">
        <v>43672</v>
      </c>
      <c r="C3362" t="s">
        <v>25</v>
      </c>
      <c r="D3362" t="s">
        <v>87</v>
      </c>
      <c r="E3362" t="s">
        <v>377</v>
      </c>
      <c r="F3362" s="71">
        <v>138</v>
      </c>
      <c r="G3362" s="71">
        <v>0</v>
      </c>
    </row>
    <row r="3363" spans="2:7" x14ac:dyDescent="0.25">
      <c r="B3363" s="70">
        <v>43672</v>
      </c>
      <c r="C3363" t="s">
        <v>25</v>
      </c>
      <c r="D3363" t="s">
        <v>81</v>
      </c>
      <c r="E3363" t="s">
        <v>378</v>
      </c>
      <c r="F3363" s="71">
        <v>8.4</v>
      </c>
      <c r="G3363" s="71">
        <v>0</v>
      </c>
    </row>
    <row r="3364" spans="2:7" x14ac:dyDescent="0.25">
      <c r="B3364" s="70">
        <v>43672</v>
      </c>
      <c r="C3364" t="s">
        <v>25</v>
      </c>
      <c r="D3364" t="s">
        <v>81</v>
      </c>
      <c r="E3364" t="s">
        <v>349</v>
      </c>
      <c r="F3364" s="71">
        <v>12</v>
      </c>
      <c r="G3364" s="71">
        <v>0</v>
      </c>
    </row>
    <row r="3365" spans="2:7" x14ac:dyDescent="0.25">
      <c r="B3365" s="70">
        <v>43672</v>
      </c>
      <c r="C3365" t="s">
        <v>25</v>
      </c>
      <c r="D3365" t="s">
        <v>81</v>
      </c>
      <c r="E3365" t="s">
        <v>172</v>
      </c>
      <c r="F3365" s="71">
        <v>14.35</v>
      </c>
      <c r="G3365" s="71">
        <v>0</v>
      </c>
    </row>
    <row r="3366" spans="2:7" x14ac:dyDescent="0.25">
      <c r="B3366" s="70">
        <v>43672</v>
      </c>
      <c r="C3366" t="s">
        <v>25</v>
      </c>
      <c r="D3366" t="s">
        <v>81</v>
      </c>
      <c r="E3366" t="s">
        <v>158</v>
      </c>
      <c r="F3366" s="71">
        <v>7.35</v>
      </c>
      <c r="G3366" s="71">
        <v>0</v>
      </c>
    </row>
    <row r="3367" spans="2:7" x14ac:dyDescent="0.25">
      <c r="B3367" s="70">
        <v>43672</v>
      </c>
      <c r="C3367" t="s">
        <v>25</v>
      </c>
      <c r="D3367" t="s">
        <v>84</v>
      </c>
      <c r="E3367" t="s">
        <v>377</v>
      </c>
      <c r="F3367" s="71">
        <v>1.8</v>
      </c>
      <c r="G3367" s="71">
        <v>0</v>
      </c>
    </row>
    <row r="3368" spans="2:7" x14ac:dyDescent="0.25">
      <c r="B3368" s="70">
        <v>43672</v>
      </c>
      <c r="C3368" t="s">
        <v>25</v>
      </c>
      <c r="D3368" t="s">
        <v>84</v>
      </c>
      <c r="E3368" t="s">
        <v>377</v>
      </c>
      <c r="F3368" s="71">
        <v>12</v>
      </c>
      <c r="G3368" s="71">
        <v>0</v>
      </c>
    </row>
    <row r="3369" spans="2:7" x14ac:dyDescent="0.25">
      <c r="B3369" s="70">
        <v>43672</v>
      </c>
      <c r="C3369" t="s">
        <v>25</v>
      </c>
      <c r="D3369" t="s">
        <v>84</v>
      </c>
      <c r="E3369" t="s">
        <v>377</v>
      </c>
      <c r="F3369" s="71">
        <v>46</v>
      </c>
      <c r="G3369" s="71">
        <v>0</v>
      </c>
    </row>
    <row r="3370" spans="2:7" x14ac:dyDescent="0.25">
      <c r="B3370" s="70">
        <v>43672</v>
      </c>
      <c r="C3370" t="s">
        <v>25</v>
      </c>
      <c r="D3370" t="s">
        <v>84</v>
      </c>
      <c r="E3370" t="s">
        <v>377</v>
      </c>
      <c r="F3370" s="71">
        <v>1350</v>
      </c>
      <c r="G3370" s="71">
        <v>0</v>
      </c>
    </row>
    <row r="3371" spans="2:7" x14ac:dyDescent="0.25">
      <c r="B3371" s="70">
        <v>43672</v>
      </c>
      <c r="C3371" t="s">
        <v>54</v>
      </c>
      <c r="D3371" t="s">
        <v>85</v>
      </c>
      <c r="E3371" t="s">
        <v>377</v>
      </c>
      <c r="F3371" s="71">
        <v>44.84</v>
      </c>
      <c r="G3371" s="71">
        <v>0</v>
      </c>
    </row>
    <row r="3372" spans="2:7" x14ac:dyDescent="0.25">
      <c r="B3372" s="70">
        <v>43672</v>
      </c>
      <c r="C3372" t="s">
        <v>56</v>
      </c>
      <c r="D3372" t="s">
        <v>84</v>
      </c>
      <c r="E3372" t="s">
        <v>377</v>
      </c>
      <c r="F3372" s="71">
        <v>54.29</v>
      </c>
      <c r="G3372" s="71">
        <v>0</v>
      </c>
    </row>
    <row r="3373" spans="2:7" x14ac:dyDescent="0.25">
      <c r="B3373" s="70">
        <v>43672</v>
      </c>
      <c r="C3373" t="s">
        <v>21</v>
      </c>
      <c r="D3373" t="s">
        <v>79</v>
      </c>
      <c r="E3373" t="s">
        <v>377</v>
      </c>
      <c r="F3373" s="71">
        <v>8</v>
      </c>
      <c r="G3373" s="71">
        <v>0</v>
      </c>
    </row>
    <row r="3374" spans="2:7" x14ac:dyDescent="0.25">
      <c r="B3374" s="70">
        <v>43672</v>
      </c>
      <c r="C3374" t="s">
        <v>21</v>
      </c>
      <c r="D3374" t="s">
        <v>79</v>
      </c>
      <c r="E3374" t="s">
        <v>377</v>
      </c>
      <c r="F3374" s="71">
        <v>16</v>
      </c>
      <c r="G3374" s="71">
        <v>0</v>
      </c>
    </row>
    <row r="3375" spans="2:7" x14ac:dyDescent="0.25">
      <c r="B3375" s="70">
        <v>43672</v>
      </c>
      <c r="C3375" t="s">
        <v>21</v>
      </c>
      <c r="D3375" t="s">
        <v>79</v>
      </c>
      <c r="E3375" t="s">
        <v>377</v>
      </c>
      <c r="F3375" s="71">
        <v>32</v>
      </c>
      <c r="G3375" s="71">
        <v>0</v>
      </c>
    </row>
    <row r="3376" spans="2:7" x14ac:dyDescent="0.25">
      <c r="B3376" s="70">
        <v>43672</v>
      </c>
      <c r="C3376" t="s">
        <v>21</v>
      </c>
      <c r="D3376" t="s">
        <v>84</v>
      </c>
      <c r="E3376" t="s">
        <v>377</v>
      </c>
      <c r="F3376" s="71">
        <v>1.8</v>
      </c>
      <c r="G3376" s="71">
        <v>0</v>
      </c>
    </row>
    <row r="3377" spans="2:7" x14ac:dyDescent="0.25">
      <c r="B3377" s="70">
        <v>43672</v>
      </c>
      <c r="C3377" t="s">
        <v>21</v>
      </c>
      <c r="D3377" t="s">
        <v>84</v>
      </c>
      <c r="E3377" t="s">
        <v>377</v>
      </c>
      <c r="F3377" s="71">
        <v>6</v>
      </c>
      <c r="G3377" s="71">
        <v>0</v>
      </c>
    </row>
    <row r="3378" spans="2:7" x14ac:dyDescent="0.25">
      <c r="B3378" s="70">
        <v>43672</v>
      </c>
      <c r="C3378" t="s">
        <v>66</v>
      </c>
      <c r="D3378" t="s">
        <v>84</v>
      </c>
      <c r="E3378" t="s">
        <v>377</v>
      </c>
      <c r="F3378" s="71">
        <v>75.599999999999994</v>
      </c>
      <c r="G3378" s="71">
        <v>0</v>
      </c>
    </row>
    <row r="3379" spans="2:7" x14ac:dyDescent="0.25">
      <c r="B3379" s="70">
        <v>43672</v>
      </c>
      <c r="C3379" t="s">
        <v>48</v>
      </c>
      <c r="D3379" t="s">
        <v>85</v>
      </c>
      <c r="E3379" t="s">
        <v>377</v>
      </c>
      <c r="F3379" s="71">
        <v>27</v>
      </c>
      <c r="G3379" s="71">
        <v>0</v>
      </c>
    </row>
    <row r="3380" spans="2:7" x14ac:dyDescent="0.25">
      <c r="B3380" s="70">
        <v>43672</v>
      </c>
      <c r="C3380" t="s">
        <v>48</v>
      </c>
      <c r="D3380" t="s">
        <v>87</v>
      </c>
      <c r="E3380" t="s">
        <v>377</v>
      </c>
      <c r="F3380" s="71">
        <v>91.5</v>
      </c>
      <c r="G3380" s="71">
        <v>0</v>
      </c>
    </row>
    <row r="3381" spans="2:7" x14ac:dyDescent="0.25">
      <c r="B3381" s="70">
        <v>43672</v>
      </c>
      <c r="C3381" t="s">
        <v>48</v>
      </c>
      <c r="D3381" t="s">
        <v>84</v>
      </c>
      <c r="E3381" t="s">
        <v>377</v>
      </c>
      <c r="F3381" s="71">
        <v>106</v>
      </c>
      <c r="G3381" s="71">
        <v>0</v>
      </c>
    </row>
    <row r="3382" spans="2:7" x14ac:dyDescent="0.25">
      <c r="B3382" s="70">
        <v>43672</v>
      </c>
      <c r="C3382" t="s">
        <v>63</v>
      </c>
      <c r="D3382" t="s">
        <v>79</v>
      </c>
      <c r="E3382" t="s">
        <v>377</v>
      </c>
      <c r="F3382" s="71">
        <v>18.190000000000001</v>
      </c>
      <c r="G3382" s="71">
        <v>0</v>
      </c>
    </row>
    <row r="3383" spans="2:7" x14ac:dyDescent="0.25">
      <c r="B3383" s="70">
        <v>43672</v>
      </c>
      <c r="C3383" t="s">
        <v>24</v>
      </c>
      <c r="D3383" t="s">
        <v>79</v>
      </c>
      <c r="E3383" t="s">
        <v>377</v>
      </c>
      <c r="F3383" s="71">
        <v>16</v>
      </c>
      <c r="G3383" s="71">
        <v>0</v>
      </c>
    </row>
    <row r="3384" spans="2:7" x14ac:dyDescent="0.25">
      <c r="B3384" s="70">
        <v>43672</v>
      </c>
      <c r="C3384" t="s">
        <v>24</v>
      </c>
      <c r="D3384" t="s">
        <v>79</v>
      </c>
      <c r="E3384" t="s">
        <v>377</v>
      </c>
      <c r="F3384" s="71">
        <v>24</v>
      </c>
      <c r="G3384" s="71">
        <v>0</v>
      </c>
    </row>
    <row r="3385" spans="2:7" x14ac:dyDescent="0.25">
      <c r="B3385" s="70">
        <v>43673</v>
      </c>
      <c r="C3385" t="s">
        <v>25</v>
      </c>
      <c r="D3385" t="s">
        <v>81</v>
      </c>
      <c r="E3385" t="s">
        <v>178</v>
      </c>
      <c r="F3385" s="71">
        <v>9</v>
      </c>
      <c r="G3385" s="71">
        <v>0</v>
      </c>
    </row>
    <row r="3386" spans="2:7" x14ac:dyDescent="0.25">
      <c r="B3386" s="70">
        <v>43673</v>
      </c>
      <c r="C3386" t="s">
        <v>25</v>
      </c>
      <c r="D3386" t="s">
        <v>81</v>
      </c>
      <c r="E3386" t="s">
        <v>169</v>
      </c>
      <c r="F3386" s="71">
        <v>7.35</v>
      </c>
      <c r="G3386" s="71">
        <v>0</v>
      </c>
    </row>
    <row r="3387" spans="2:7" x14ac:dyDescent="0.25">
      <c r="B3387" s="70">
        <v>43673</v>
      </c>
      <c r="C3387" t="s">
        <v>21</v>
      </c>
      <c r="D3387" t="s">
        <v>79</v>
      </c>
      <c r="E3387" t="s">
        <v>379</v>
      </c>
      <c r="F3387" s="71">
        <v>8</v>
      </c>
      <c r="G3387" s="71">
        <v>0</v>
      </c>
    </row>
    <row r="3388" spans="2:7" x14ac:dyDescent="0.25">
      <c r="B3388" s="70">
        <v>43673</v>
      </c>
      <c r="C3388" t="s">
        <v>21</v>
      </c>
      <c r="D3388" t="s">
        <v>79</v>
      </c>
      <c r="E3388" t="s">
        <v>379</v>
      </c>
      <c r="F3388" s="71">
        <v>16</v>
      </c>
      <c r="G3388" s="71">
        <v>0</v>
      </c>
    </row>
    <row r="3389" spans="2:7" x14ac:dyDescent="0.25">
      <c r="B3389" s="70">
        <v>43673</v>
      </c>
      <c r="C3389" t="s">
        <v>21</v>
      </c>
      <c r="D3389" t="s">
        <v>79</v>
      </c>
      <c r="E3389" t="s">
        <v>379</v>
      </c>
      <c r="F3389" s="71">
        <v>24</v>
      </c>
      <c r="G3389" s="71">
        <v>0</v>
      </c>
    </row>
    <row r="3390" spans="2:7" x14ac:dyDescent="0.25">
      <c r="B3390" s="70">
        <v>43673</v>
      </c>
      <c r="C3390" t="s">
        <v>24</v>
      </c>
      <c r="D3390" t="s">
        <v>79</v>
      </c>
      <c r="E3390" t="s">
        <v>379</v>
      </c>
      <c r="F3390" s="71">
        <v>8</v>
      </c>
      <c r="G3390" s="71">
        <v>0</v>
      </c>
    </row>
    <row r="3391" spans="2:7" x14ac:dyDescent="0.25">
      <c r="B3391" s="70">
        <v>43675</v>
      </c>
      <c r="C3391" t="s">
        <v>25</v>
      </c>
      <c r="D3391" t="s">
        <v>80</v>
      </c>
      <c r="E3391" t="s">
        <v>380</v>
      </c>
      <c r="F3391" s="71">
        <v>128</v>
      </c>
      <c r="G3391" s="71">
        <v>0</v>
      </c>
    </row>
    <row r="3392" spans="2:7" x14ac:dyDescent="0.25">
      <c r="B3392" s="70">
        <v>43675</v>
      </c>
      <c r="C3392" t="s">
        <v>25</v>
      </c>
      <c r="D3392" t="s">
        <v>86</v>
      </c>
      <c r="E3392" t="s">
        <v>380</v>
      </c>
      <c r="F3392" s="71">
        <v>0</v>
      </c>
      <c r="G3392" s="71">
        <v>40</v>
      </c>
    </row>
    <row r="3393" spans="2:7" x14ac:dyDescent="0.25">
      <c r="B3393" s="70">
        <v>43675</v>
      </c>
      <c r="C3393" t="s">
        <v>25</v>
      </c>
      <c r="D3393" t="s">
        <v>81</v>
      </c>
      <c r="E3393" t="s">
        <v>178</v>
      </c>
      <c r="F3393" s="71">
        <v>9</v>
      </c>
      <c r="G3393" s="71">
        <v>0</v>
      </c>
    </row>
    <row r="3394" spans="2:7" x14ac:dyDescent="0.25">
      <c r="B3394" s="70">
        <v>43675</v>
      </c>
      <c r="C3394" t="s">
        <v>25</v>
      </c>
      <c r="D3394" t="s">
        <v>81</v>
      </c>
      <c r="E3394" t="s">
        <v>137</v>
      </c>
      <c r="F3394" s="71">
        <v>12</v>
      </c>
      <c r="G3394" s="71">
        <v>0</v>
      </c>
    </row>
    <row r="3395" spans="2:7" x14ac:dyDescent="0.25">
      <c r="B3395" s="70">
        <v>43675</v>
      </c>
      <c r="C3395" t="s">
        <v>25</v>
      </c>
      <c r="D3395" t="s">
        <v>81</v>
      </c>
      <c r="E3395" t="s">
        <v>198</v>
      </c>
      <c r="F3395" s="71">
        <v>9.1999999999999993</v>
      </c>
      <c r="G3395" s="71">
        <v>0</v>
      </c>
    </row>
    <row r="3396" spans="2:7" x14ac:dyDescent="0.25">
      <c r="B3396" s="70">
        <v>43675</v>
      </c>
      <c r="C3396" t="s">
        <v>25</v>
      </c>
      <c r="D3396" t="s">
        <v>81</v>
      </c>
      <c r="E3396" t="s">
        <v>138</v>
      </c>
      <c r="F3396" s="71">
        <v>1.8</v>
      </c>
      <c r="G3396" s="71">
        <v>0</v>
      </c>
    </row>
    <row r="3397" spans="2:7" x14ac:dyDescent="0.25">
      <c r="B3397" s="70">
        <v>43675</v>
      </c>
      <c r="C3397" t="s">
        <v>25</v>
      </c>
      <c r="D3397" t="s">
        <v>81</v>
      </c>
      <c r="E3397" t="s">
        <v>150</v>
      </c>
      <c r="F3397" s="71">
        <v>7</v>
      </c>
      <c r="G3397" s="71">
        <v>0</v>
      </c>
    </row>
    <row r="3398" spans="2:7" x14ac:dyDescent="0.25">
      <c r="B3398" s="70">
        <v>43675</v>
      </c>
      <c r="C3398" t="s">
        <v>25</v>
      </c>
      <c r="D3398" t="s">
        <v>81</v>
      </c>
      <c r="E3398" t="s">
        <v>179</v>
      </c>
      <c r="F3398" s="71">
        <v>7.35</v>
      </c>
      <c r="G3398" s="71">
        <v>0</v>
      </c>
    </row>
    <row r="3399" spans="2:7" x14ac:dyDescent="0.25">
      <c r="B3399" s="70">
        <v>43675</v>
      </c>
      <c r="C3399" t="s">
        <v>59</v>
      </c>
      <c r="D3399" t="s">
        <v>82</v>
      </c>
      <c r="E3399" t="s">
        <v>380</v>
      </c>
      <c r="F3399" s="71">
        <v>149.46</v>
      </c>
      <c r="G3399" s="71">
        <v>0</v>
      </c>
    </row>
    <row r="3400" spans="2:7" x14ac:dyDescent="0.25">
      <c r="B3400" s="70">
        <v>43675</v>
      </c>
      <c r="C3400" t="s">
        <v>59</v>
      </c>
      <c r="D3400" t="s">
        <v>84</v>
      </c>
      <c r="E3400" t="s">
        <v>380</v>
      </c>
      <c r="F3400" s="71">
        <v>40</v>
      </c>
      <c r="G3400" s="71">
        <v>0</v>
      </c>
    </row>
    <row r="3401" spans="2:7" x14ac:dyDescent="0.25">
      <c r="B3401" s="70">
        <v>43675</v>
      </c>
      <c r="C3401" t="s">
        <v>56</v>
      </c>
      <c r="D3401" t="s">
        <v>84</v>
      </c>
      <c r="E3401" t="s">
        <v>380</v>
      </c>
      <c r="F3401" s="71">
        <v>36</v>
      </c>
      <c r="G3401" s="71">
        <v>0</v>
      </c>
    </row>
    <row r="3402" spans="2:7" x14ac:dyDescent="0.25">
      <c r="B3402" s="70">
        <v>43675</v>
      </c>
      <c r="C3402" t="s">
        <v>21</v>
      </c>
      <c r="D3402" t="s">
        <v>79</v>
      </c>
      <c r="E3402" t="s">
        <v>380</v>
      </c>
      <c r="F3402" s="71">
        <v>8</v>
      </c>
      <c r="G3402" s="71">
        <v>0</v>
      </c>
    </row>
    <row r="3403" spans="2:7" x14ac:dyDescent="0.25">
      <c r="B3403" s="70">
        <v>43675</v>
      </c>
      <c r="C3403" t="s">
        <v>66</v>
      </c>
      <c r="D3403" t="s">
        <v>85</v>
      </c>
      <c r="E3403" t="s">
        <v>380</v>
      </c>
      <c r="F3403" s="71">
        <v>990</v>
      </c>
      <c r="G3403" s="71">
        <v>0</v>
      </c>
    </row>
    <row r="3404" spans="2:7" x14ac:dyDescent="0.25">
      <c r="B3404" s="70">
        <v>43675</v>
      </c>
      <c r="C3404" t="s">
        <v>66</v>
      </c>
      <c r="D3404" t="s">
        <v>116</v>
      </c>
      <c r="E3404" t="s">
        <v>381</v>
      </c>
      <c r="F3404" s="71">
        <v>123.3</v>
      </c>
      <c r="G3404" s="71">
        <v>0</v>
      </c>
    </row>
    <row r="3405" spans="2:7" x14ac:dyDescent="0.25">
      <c r="B3405" s="70">
        <v>43675</v>
      </c>
      <c r="C3405" t="s">
        <v>48</v>
      </c>
      <c r="D3405" t="s">
        <v>86</v>
      </c>
      <c r="E3405" t="s">
        <v>380</v>
      </c>
      <c r="F3405" s="71">
        <v>0</v>
      </c>
      <c r="G3405" s="71">
        <v>40</v>
      </c>
    </row>
    <row r="3406" spans="2:7" x14ac:dyDescent="0.25">
      <c r="B3406" s="70">
        <v>43675</v>
      </c>
      <c r="C3406" t="s">
        <v>65</v>
      </c>
      <c r="D3406" t="s">
        <v>82</v>
      </c>
      <c r="E3406" t="s">
        <v>380</v>
      </c>
      <c r="F3406" s="71">
        <v>130.18</v>
      </c>
      <c r="G3406" s="71">
        <v>0</v>
      </c>
    </row>
    <row r="3407" spans="2:7" x14ac:dyDescent="0.25">
      <c r="B3407" s="70">
        <v>43675</v>
      </c>
      <c r="C3407" t="s">
        <v>24</v>
      </c>
      <c r="D3407" t="s">
        <v>79</v>
      </c>
      <c r="E3407" t="s">
        <v>380</v>
      </c>
      <c r="F3407" s="71">
        <v>8</v>
      </c>
      <c r="G3407" s="71">
        <v>0</v>
      </c>
    </row>
    <row r="3408" spans="2:7" x14ac:dyDescent="0.25">
      <c r="B3408" s="70">
        <v>43676</v>
      </c>
      <c r="C3408" t="s">
        <v>25</v>
      </c>
      <c r="D3408" t="s">
        <v>79</v>
      </c>
      <c r="E3408" t="s">
        <v>382</v>
      </c>
      <c r="F3408">
        <v>8</v>
      </c>
      <c r="G3408" s="71">
        <v>0</v>
      </c>
    </row>
    <row r="3409" spans="2:7" x14ac:dyDescent="0.25">
      <c r="B3409" s="70">
        <v>43676</v>
      </c>
      <c r="C3409" t="s">
        <v>25</v>
      </c>
      <c r="D3409" t="s">
        <v>100</v>
      </c>
      <c r="E3409" t="s">
        <v>255</v>
      </c>
      <c r="F3409" s="71">
        <v>42</v>
      </c>
      <c r="G3409" s="71">
        <v>0</v>
      </c>
    </row>
    <row r="3410" spans="2:7" x14ac:dyDescent="0.25">
      <c r="B3410" s="70">
        <v>43676</v>
      </c>
      <c r="C3410" t="s">
        <v>25</v>
      </c>
      <c r="D3410" t="s">
        <v>81</v>
      </c>
      <c r="E3410" t="s">
        <v>371</v>
      </c>
      <c r="F3410" s="71">
        <v>5</v>
      </c>
      <c r="G3410" s="71">
        <v>0</v>
      </c>
    </row>
    <row r="3411" spans="2:7" x14ac:dyDescent="0.25">
      <c r="B3411" s="70">
        <v>43676</v>
      </c>
      <c r="C3411" t="s">
        <v>25</v>
      </c>
      <c r="D3411" t="s">
        <v>81</v>
      </c>
      <c r="E3411" t="s">
        <v>253</v>
      </c>
      <c r="F3411" s="71">
        <v>10.25</v>
      </c>
      <c r="G3411" s="71">
        <v>0</v>
      </c>
    </row>
    <row r="3412" spans="2:7" x14ac:dyDescent="0.25">
      <c r="B3412" s="70">
        <v>43676</v>
      </c>
      <c r="C3412" t="s">
        <v>25</v>
      </c>
      <c r="D3412" t="s">
        <v>81</v>
      </c>
      <c r="E3412" t="s">
        <v>237</v>
      </c>
      <c r="F3412" s="71">
        <v>9.1999999999999993</v>
      </c>
      <c r="G3412" s="71">
        <v>0</v>
      </c>
    </row>
    <row r="3413" spans="2:7" x14ac:dyDescent="0.25">
      <c r="B3413" s="70">
        <v>43676</v>
      </c>
      <c r="C3413" t="s">
        <v>25</v>
      </c>
      <c r="D3413" t="s">
        <v>81</v>
      </c>
      <c r="E3413" t="s">
        <v>179</v>
      </c>
      <c r="F3413" s="71">
        <v>14.55</v>
      </c>
      <c r="G3413" s="71">
        <v>0</v>
      </c>
    </row>
    <row r="3414" spans="2:7" x14ac:dyDescent="0.25">
      <c r="B3414" s="70">
        <v>43676</v>
      </c>
      <c r="C3414" t="s">
        <v>25</v>
      </c>
      <c r="D3414" t="s">
        <v>84</v>
      </c>
      <c r="E3414" t="s">
        <v>382</v>
      </c>
      <c r="F3414" s="71">
        <v>19</v>
      </c>
      <c r="G3414" s="71">
        <v>0</v>
      </c>
    </row>
    <row r="3415" spans="2:7" x14ac:dyDescent="0.25">
      <c r="B3415" s="70">
        <v>43676</v>
      </c>
      <c r="C3415" t="s">
        <v>25</v>
      </c>
      <c r="D3415" t="s">
        <v>84</v>
      </c>
      <c r="E3415" t="s">
        <v>382</v>
      </c>
      <c r="F3415" s="71">
        <v>110.5</v>
      </c>
      <c r="G3415" s="71">
        <v>0</v>
      </c>
    </row>
    <row r="3416" spans="2:7" x14ac:dyDescent="0.25">
      <c r="B3416" s="70">
        <v>43676</v>
      </c>
      <c r="C3416" t="s">
        <v>25</v>
      </c>
      <c r="D3416" t="s">
        <v>84</v>
      </c>
      <c r="E3416" t="s">
        <v>382</v>
      </c>
      <c r="F3416" s="71">
        <v>182</v>
      </c>
      <c r="G3416" s="71">
        <v>0</v>
      </c>
    </row>
    <row r="3417" spans="2:7" x14ac:dyDescent="0.25">
      <c r="B3417" s="70">
        <v>43676</v>
      </c>
      <c r="C3417" t="s">
        <v>46</v>
      </c>
      <c r="D3417" t="s">
        <v>84</v>
      </c>
      <c r="E3417" t="s">
        <v>382</v>
      </c>
      <c r="F3417" s="71">
        <v>109</v>
      </c>
      <c r="G3417" s="71">
        <v>0</v>
      </c>
    </row>
    <row r="3418" spans="2:7" x14ac:dyDescent="0.25">
      <c r="B3418" s="70">
        <v>43676</v>
      </c>
      <c r="C3418" t="s">
        <v>21</v>
      </c>
      <c r="D3418" t="s">
        <v>79</v>
      </c>
      <c r="E3418" t="s">
        <v>382</v>
      </c>
      <c r="F3418" s="71">
        <v>8</v>
      </c>
      <c r="G3418" s="71">
        <v>0</v>
      </c>
    </row>
    <row r="3419" spans="2:7" x14ac:dyDescent="0.25">
      <c r="B3419" s="70">
        <v>43676</v>
      </c>
      <c r="C3419" t="s">
        <v>21</v>
      </c>
      <c r="D3419" t="s">
        <v>79</v>
      </c>
      <c r="E3419" t="s">
        <v>382</v>
      </c>
      <c r="F3419" s="71">
        <v>16</v>
      </c>
      <c r="G3419" s="71">
        <v>0</v>
      </c>
    </row>
    <row r="3420" spans="2:7" x14ac:dyDescent="0.25">
      <c r="B3420" s="70">
        <v>43676</v>
      </c>
      <c r="C3420" t="s">
        <v>21</v>
      </c>
      <c r="D3420" t="s">
        <v>79</v>
      </c>
      <c r="E3420" t="s">
        <v>382</v>
      </c>
      <c r="F3420" s="71">
        <v>24</v>
      </c>
      <c r="G3420" s="71">
        <v>0</v>
      </c>
    </row>
    <row r="3421" spans="2:7" x14ac:dyDescent="0.25">
      <c r="B3421" s="70">
        <v>43676</v>
      </c>
      <c r="C3421" t="s">
        <v>21</v>
      </c>
      <c r="D3421" t="s">
        <v>79</v>
      </c>
      <c r="E3421" t="s">
        <v>382</v>
      </c>
      <c r="F3421" s="71">
        <v>32</v>
      </c>
      <c r="G3421" s="71">
        <v>0</v>
      </c>
    </row>
    <row r="3422" spans="2:7" x14ac:dyDescent="0.25">
      <c r="B3422" s="70">
        <v>43676</v>
      </c>
      <c r="C3422" t="s">
        <v>21</v>
      </c>
      <c r="D3422" t="s">
        <v>79</v>
      </c>
      <c r="E3422" t="s">
        <v>382</v>
      </c>
      <c r="F3422" s="71">
        <v>40</v>
      </c>
      <c r="G3422" s="71">
        <v>0</v>
      </c>
    </row>
    <row r="3423" spans="2:7" x14ac:dyDescent="0.25">
      <c r="B3423" s="70">
        <v>43676</v>
      </c>
      <c r="C3423" t="s">
        <v>21</v>
      </c>
      <c r="D3423" t="s">
        <v>84</v>
      </c>
      <c r="E3423" t="s">
        <v>382</v>
      </c>
      <c r="F3423" s="71">
        <v>572</v>
      </c>
      <c r="G3423" s="71">
        <v>0</v>
      </c>
    </row>
    <row r="3424" spans="2:7" x14ac:dyDescent="0.25">
      <c r="B3424" s="70">
        <v>43676</v>
      </c>
      <c r="C3424" t="s">
        <v>66</v>
      </c>
      <c r="D3424" t="s">
        <v>85</v>
      </c>
      <c r="E3424" t="s">
        <v>382</v>
      </c>
      <c r="F3424" s="71">
        <v>990</v>
      </c>
      <c r="G3424" s="71">
        <v>0</v>
      </c>
    </row>
    <row r="3425" spans="2:7" x14ac:dyDescent="0.25">
      <c r="B3425" s="70">
        <v>43676</v>
      </c>
      <c r="C3425" t="s">
        <v>66</v>
      </c>
      <c r="D3425" t="s">
        <v>87</v>
      </c>
      <c r="E3425" t="s">
        <v>382</v>
      </c>
      <c r="F3425" s="71">
        <v>0</v>
      </c>
      <c r="G3425" s="71">
        <v>990</v>
      </c>
    </row>
    <row r="3426" spans="2:7" x14ac:dyDescent="0.25">
      <c r="B3426" s="70">
        <v>43676</v>
      </c>
      <c r="C3426" t="s">
        <v>66</v>
      </c>
      <c r="D3426" t="s">
        <v>116</v>
      </c>
      <c r="E3426" t="s">
        <v>383</v>
      </c>
      <c r="F3426" s="71">
        <v>138.41</v>
      </c>
      <c r="G3426" s="71">
        <v>0</v>
      </c>
    </row>
    <row r="3427" spans="2:7" x14ac:dyDescent="0.25">
      <c r="B3427" s="70">
        <v>43676</v>
      </c>
      <c r="C3427" t="s">
        <v>48</v>
      </c>
      <c r="D3427" t="s">
        <v>91</v>
      </c>
      <c r="E3427" t="s">
        <v>382</v>
      </c>
      <c r="F3427" s="71">
        <v>81.84</v>
      </c>
      <c r="G3427" s="71">
        <v>0</v>
      </c>
    </row>
    <row r="3428" spans="2:7" x14ac:dyDescent="0.25">
      <c r="B3428" s="70">
        <v>43676</v>
      </c>
      <c r="C3428" t="s">
        <v>48</v>
      </c>
      <c r="D3428" t="s">
        <v>84</v>
      </c>
      <c r="E3428" t="s">
        <v>382</v>
      </c>
      <c r="F3428" s="71">
        <v>32</v>
      </c>
      <c r="G3428" s="71">
        <v>0</v>
      </c>
    </row>
    <row r="3429" spans="2:7" x14ac:dyDescent="0.25">
      <c r="B3429" s="70">
        <v>43676</v>
      </c>
      <c r="C3429" t="s">
        <v>58</v>
      </c>
      <c r="D3429" t="s">
        <v>84</v>
      </c>
      <c r="E3429" t="s">
        <v>382</v>
      </c>
      <c r="F3429" s="71">
        <v>50</v>
      </c>
      <c r="G3429" s="71">
        <v>0</v>
      </c>
    </row>
    <row r="3430" spans="2:7" x14ac:dyDescent="0.25">
      <c r="B3430" s="70">
        <v>43677</v>
      </c>
      <c r="C3430" t="s">
        <v>25</v>
      </c>
      <c r="D3430" t="s">
        <v>81</v>
      </c>
      <c r="E3430" t="s">
        <v>178</v>
      </c>
      <c r="F3430" s="71">
        <v>4.5</v>
      </c>
      <c r="G3430" s="71">
        <v>0</v>
      </c>
    </row>
    <row r="3431" spans="2:7" x14ac:dyDescent="0.25">
      <c r="B3431" s="70">
        <v>43677</v>
      </c>
      <c r="C3431" t="s">
        <v>25</v>
      </c>
      <c r="D3431" t="s">
        <v>81</v>
      </c>
      <c r="E3431" t="s">
        <v>202</v>
      </c>
      <c r="F3431" s="71">
        <v>22.05</v>
      </c>
      <c r="G3431" s="71">
        <v>0</v>
      </c>
    </row>
    <row r="3432" spans="2:7" x14ac:dyDescent="0.25">
      <c r="B3432" s="70">
        <v>43677</v>
      </c>
      <c r="C3432" t="s">
        <v>25</v>
      </c>
      <c r="D3432" t="s">
        <v>81</v>
      </c>
      <c r="E3432" t="s">
        <v>199</v>
      </c>
      <c r="F3432" s="71">
        <v>8.35</v>
      </c>
      <c r="G3432" s="71">
        <v>0</v>
      </c>
    </row>
    <row r="3433" spans="2:7" x14ac:dyDescent="0.25">
      <c r="B3433" s="70">
        <v>43383</v>
      </c>
      <c r="C3433" t="s">
        <v>25</v>
      </c>
      <c r="D3433" t="s">
        <v>85</v>
      </c>
      <c r="E3433" t="s">
        <v>408</v>
      </c>
      <c r="F3433">
        <v>195</v>
      </c>
      <c r="G3433">
        <v>0</v>
      </c>
    </row>
    <row r="3434" spans="2:7" x14ac:dyDescent="0.25">
      <c r="B3434" s="70">
        <v>43383</v>
      </c>
      <c r="C3434" t="s">
        <v>25</v>
      </c>
      <c r="D3434" t="s">
        <v>80</v>
      </c>
      <c r="E3434" t="s">
        <v>408</v>
      </c>
      <c r="F3434">
        <v>27.98</v>
      </c>
      <c r="G3434">
        <v>0</v>
      </c>
    </row>
    <row r="3435" spans="2:7" x14ac:dyDescent="0.25">
      <c r="B3435" s="70">
        <v>43383</v>
      </c>
      <c r="C3435" t="s">
        <v>25</v>
      </c>
      <c r="D3435" t="s">
        <v>80</v>
      </c>
      <c r="E3435" t="s">
        <v>408</v>
      </c>
      <c r="F3435">
        <v>26.12</v>
      </c>
      <c r="G3435">
        <v>0</v>
      </c>
    </row>
    <row r="3436" spans="2:7" x14ac:dyDescent="0.25">
      <c r="B3436" s="70">
        <v>43383</v>
      </c>
      <c r="C3436" t="s">
        <v>25</v>
      </c>
      <c r="D3436" t="s">
        <v>87</v>
      </c>
      <c r="E3436" t="s">
        <v>408</v>
      </c>
      <c r="F3436">
        <v>95</v>
      </c>
      <c r="G3436">
        <v>0</v>
      </c>
    </row>
    <row r="3437" spans="2:7" x14ac:dyDescent="0.25">
      <c r="B3437" s="70">
        <v>43383</v>
      </c>
      <c r="C3437" t="s">
        <v>25</v>
      </c>
      <c r="D3437" t="s">
        <v>87</v>
      </c>
      <c r="E3437" t="s">
        <v>408</v>
      </c>
      <c r="F3437">
        <v>60.31</v>
      </c>
      <c r="G3437">
        <v>0</v>
      </c>
    </row>
    <row r="3438" spans="2:7" x14ac:dyDescent="0.25">
      <c r="B3438" s="70">
        <v>43383</v>
      </c>
      <c r="C3438" t="s">
        <v>25</v>
      </c>
      <c r="D3438" t="s">
        <v>87</v>
      </c>
      <c r="E3438" t="s">
        <v>408</v>
      </c>
      <c r="F3438">
        <v>49.58</v>
      </c>
      <c r="G3438">
        <v>0</v>
      </c>
    </row>
    <row r="3439" spans="2:7" x14ac:dyDescent="0.25">
      <c r="B3439" s="70">
        <v>43383</v>
      </c>
      <c r="C3439" t="s">
        <v>25</v>
      </c>
      <c r="D3439" t="s">
        <v>87</v>
      </c>
      <c r="E3439" t="s">
        <v>408</v>
      </c>
      <c r="F3439">
        <v>89.85</v>
      </c>
      <c r="G3439">
        <v>0</v>
      </c>
    </row>
    <row r="3440" spans="2:7" x14ac:dyDescent="0.25">
      <c r="B3440" s="70">
        <v>43383</v>
      </c>
      <c r="C3440" t="s">
        <v>25</v>
      </c>
      <c r="D3440" t="s">
        <v>87</v>
      </c>
      <c r="E3440" t="s">
        <v>408</v>
      </c>
      <c r="F3440">
        <v>66.97</v>
      </c>
      <c r="G3440">
        <v>0</v>
      </c>
    </row>
    <row r="3441" spans="2:7" x14ac:dyDescent="0.25">
      <c r="B3441" s="70">
        <v>43383</v>
      </c>
      <c r="C3441" t="s">
        <v>25</v>
      </c>
      <c r="D3441" t="s">
        <v>87</v>
      </c>
      <c r="E3441" t="s">
        <v>408</v>
      </c>
      <c r="F3441">
        <v>28.18</v>
      </c>
      <c r="G3441">
        <v>0</v>
      </c>
    </row>
    <row r="3442" spans="2:7" x14ac:dyDescent="0.25">
      <c r="B3442" s="70">
        <v>43383</v>
      </c>
      <c r="C3442" t="s">
        <v>25</v>
      </c>
      <c r="D3442" t="s">
        <v>87</v>
      </c>
      <c r="E3442" t="s">
        <v>408</v>
      </c>
      <c r="F3442">
        <v>22.47</v>
      </c>
      <c r="G3442">
        <v>0</v>
      </c>
    </row>
    <row r="3443" spans="2:7" x14ac:dyDescent="0.25">
      <c r="B3443" s="70">
        <v>43383</v>
      </c>
      <c r="C3443" t="s">
        <v>25</v>
      </c>
      <c r="D3443" t="s">
        <v>87</v>
      </c>
      <c r="E3443" t="s">
        <v>408</v>
      </c>
      <c r="F3443">
        <v>22.51</v>
      </c>
      <c r="G3443">
        <v>0</v>
      </c>
    </row>
    <row r="3444" spans="2:7" x14ac:dyDescent="0.25">
      <c r="B3444" s="70">
        <v>43383</v>
      </c>
      <c r="C3444" t="s">
        <v>25</v>
      </c>
      <c r="D3444" t="s">
        <v>81</v>
      </c>
      <c r="E3444" t="s">
        <v>135</v>
      </c>
      <c r="F3444">
        <v>2.4</v>
      </c>
      <c r="G3444">
        <v>0</v>
      </c>
    </row>
    <row r="3445" spans="2:7" x14ac:dyDescent="0.25">
      <c r="B3445" s="70">
        <v>43383</v>
      </c>
      <c r="C3445" t="s">
        <v>25</v>
      </c>
      <c r="D3445" t="s">
        <v>81</v>
      </c>
      <c r="E3445" t="s">
        <v>124</v>
      </c>
      <c r="F3445">
        <v>2</v>
      </c>
      <c r="G3445">
        <v>0</v>
      </c>
    </row>
    <row r="3446" spans="2:7" x14ac:dyDescent="0.25">
      <c r="B3446" s="70">
        <v>43383</v>
      </c>
      <c r="C3446" t="s">
        <v>25</v>
      </c>
      <c r="D3446" t="s">
        <v>409</v>
      </c>
      <c r="E3446" t="s">
        <v>410</v>
      </c>
      <c r="F3446">
        <v>439.17</v>
      </c>
      <c r="G3446">
        <v>0</v>
      </c>
    </row>
    <row r="3447" spans="2:7" x14ac:dyDescent="0.25">
      <c r="B3447" s="70">
        <v>43383</v>
      </c>
      <c r="C3447" t="s">
        <v>25</v>
      </c>
      <c r="D3447" t="s">
        <v>409</v>
      </c>
      <c r="E3447" t="s">
        <v>410</v>
      </c>
      <c r="F3447">
        <v>40.35</v>
      </c>
      <c r="G3447">
        <v>0</v>
      </c>
    </row>
    <row r="3448" spans="2:7" x14ac:dyDescent="0.25">
      <c r="B3448" s="70">
        <v>43383</v>
      </c>
      <c r="C3448" t="s">
        <v>25</v>
      </c>
      <c r="D3448" t="s">
        <v>409</v>
      </c>
      <c r="E3448" t="s">
        <v>410</v>
      </c>
      <c r="F3448">
        <v>8.85</v>
      </c>
      <c r="G3448">
        <v>0</v>
      </c>
    </row>
    <row r="3449" spans="2:7" x14ac:dyDescent="0.25">
      <c r="B3449" s="70">
        <v>43383</v>
      </c>
      <c r="C3449" t="s">
        <v>54</v>
      </c>
      <c r="D3449" t="s">
        <v>409</v>
      </c>
      <c r="E3449" t="s">
        <v>410</v>
      </c>
      <c r="F3449">
        <v>757.98</v>
      </c>
      <c r="G3449">
        <v>0</v>
      </c>
    </row>
    <row r="3450" spans="2:7" x14ac:dyDescent="0.25">
      <c r="B3450" s="70">
        <v>43383</v>
      </c>
      <c r="C3450" t="s">
        <v>47</v>
      </c>
      <c r="D3450" t="s">
        <v>80</v>
      </c>
      <c r="E3450" t="s">
        <v>408</v>
      </c>
      <c r="F3450">
        <v>112.62</v>
      </c>
      <c r="G3450">
        <v>0</v>
      </c>
    </row>
    <row r="3451" spans="2:7" x14ac:dyDescent="0.25">
      <c r="B3451" s="70">
        <v>43383</v>
      </c>
      <c r="C3451" t="s">
        <v>47</v>
      </c>
      <c r="D3451" t="s">
        <v>86</v>
      </c>
      <c r="E3451" t="s">
        <v>408</v>
      </c>
      <c r="F3451">
        <v>264</v>
      </c>
      <c r="G3451">
        <v>0</v>
      </c>
    </row>
    <row r="3452" spans="2:7" x14ac:dyDescent="0.25">
      <c r="B3452" s="70">
        <v>43383</v>
      </c>
      <c r="C3452" t="s">
        <v>44</v>
      </c>
      <c r="D3452" t="s">
        <v>82</v>
      </c>
      <c r="E3452" t="s">
        <v>408</v>
      </c>
      <c r="F3452">
        <v>21</v>
      </c>
      <c r="G3452">
        <v>0</v>
      </c>
    </row>
    <row r="3453" spans="2:7" x14ac:dyDescent="0.25">
      <c r="B3453" s="70">
        <v>43383</v>
      </c>
      <c r="C3453" t="s">
        <v>21</v>
      </c>
      <c r="D3453" t="s">
        <v>79</v>
      </c>
      <c r="E3453" t="s">
        <v>408</v>
      </c>
      <c r="F3453">
        <v>16</v>
      </c>
      <c r="G3453">
        <v>0</v>
      </c>
    </row>
    <row r="3454" spans="2:7" x14ac:dyDescent="0.25">
      <c r="B3454" s="70">
        <v>43383</v>
      </c>
      <c r="C3454" t="s">
        <v>21</v>
      </c>
      <c r="D3454" t="s">
        <v>79</v>
      </c>
      <c r="E3454" t="s">
        <v>408</v>
      </c>
      <c r="F3454">
        <v>32</v>
      </c>
      <c r="G3454">
        <v>0</v>
      </c>
    </row>
    <row r="3455" spans="2:7" x14ac:dyDescent="0.25">
      <c r="B3455" s="70">
        <v>43383</v>
      </c>
      <c r="C3455" t="s">
        <v>21</v>
      </c>
      <c r="D3455" t="s">
        <v>409</v>
      </c>
      <c r="E3455" t="s">
        <v>410</v>
      </c>
      <c r="F3455">
        <v>15.46</v>
      </c>
      <c r="G3455">
        <v>0</v>
      </c>
    </row>
    <row r="3456" spans="2:7" x14ac:dyDescent="0.25">
      <c r="B3456" s="70">
        <v>43383</v>
      </c>
      <c r="C3456" t="s">
        <v>21</v>
      </c>
      <c r="D3456" t="s">
        <v>409</v>
      </c>
      <c r="E3456" t="s">
        <v>410</v>
      </c>
      <c r="F3456">
        <v>25.11</v>
      </c>
      <c r="G3456">
        <v>0</v>
      </c>
    </row>
    <row r="3457" spans="2:7" x14ac:dyDescent="0.25">
      <c r="B3457" s="70">
        <v>43383</v>
      </c>
      <c r="C3457" t="s">
        <v>21</v>
      </c>
      <c r="D3457" t="s">
        <v>409</v>
      </c>
      <c r="E3457" t="s">
        <v>410</v>
      </c>
      <c r="F3457">
        <v>31.72</v>
      </c>
      <c r="G3457">
        <v>0</v>
      </c>
    </row>
    <row r="3458" spans="2:7" x14ac:dyDescent="0.25">
      <c r="B3458" s="70">
        <v>43383</v>
      </c>
      <c r="C3458" t="s">
        <v>21</v>
      </c>
      <c r="D3458" t="s">
        <v>409</v>
      </c>
      <c r="E3458" t="s">
        <v>410</v>
      </c>
      <c r="F3458">
        <v>110.17</v>
      </c>
      <c r="G3458">
        <v>0</v>
      </c>
    </row>
    <row r="3459" spans="2:7" x14ac:dyDescent="0.25">
      <c r="B3459" s="70">
        <v>43383</v>
      </c>
      <c r="C3459" t="s">
        <v>21</v>
      </c>
      <c r="D3459" t="s">
        <v>409</v>
      </c>
      <c r="E3459" t="s">
        <v>410</v>
      </c>
      <c r="F3459">
        <v>23.9</v>
      </c>
      <c r="G3459">
        <v>0</v>
      </c>
    </row>
    <row r="3460" spans="2:7" x14ac:dyDescent="0.25">
      <c r="B3460" s="70">
        <v>43383</v>
      </c>
      <c r="C3460" t="s">
        <v>21</v>
      </c>
      <c r="D3460" t="s">
        <v>409</v>
      </c>
      <c r="E3460" t="s">
        <v>410</v>
      </c>
      <c r="F3460">
        <v>686.59</v>
      </c>
      <c r="G3460">
        <v>0</v>
      </c>
    </row>
    <row r="3461" spans="2:7" x14ac:dyDescent="0.25">
      <c r="B3461" s="70">
        <v>43383</v>
      </c>
      <c r="C3461" t="s">
        <v>21</v>
      </c>
      <c r="D3461" t="s">
        <v>409</v>
      </c>
      <c r="E3461" t="s">
        <v>410</v>
      </c>
      <c r="F3461">
        <v>49.41</v>
      </c>
      <c r="G3461">
        <v>0</v>
      </c>
    </row>
    <row r="3462" spans="2:7" x14ac:dyDescent="0.25">
      <c r="B3462" s="70">
        <v>43383</v>
      </c>
      <c r="C3462" t="s">
        <v>21</v>
      </c>
      <c r="D3462" t="s">
        <v>409</v>
      </c>
      <c r="E3462" t="s">
        <v>410</v>
      </c>
      <c r="F3462">
        <v>170.87</v>
      </c>
      <c r="G3462">
        <v>0</v>
      </c>
    </row>
    <row r="3463" spans="2:7" x14ac:dyDescent="0.25">
      <c r="B3463" s="70">
        <v>43383</v>
      </c>
      <c r="C3463" t="s">
        <v>21</v>
      </c>
      <c r="D3463" t="s">
        <v>409</v>
      </c>
      <c r="E3463" t="s">
        <v>410</v>
      </c>
      <c r="F3463">
        <v>502.17</v>
      </c>
      <c r="G3463">
        <v>0</v>
      </c>
    </row>
    <row r="3464" spans="2:7" x14ac:dyDescent="0.25">
      <c r="B3464" s="70">
        <v>43383</v>
      </c>
      <c r="C3464" t="s">
        <v>21</v>
      </c>
      <c r="D3464" t="s">
        <v>409</v>
      </c>
      <c r="E3464" t="s">
        <v>410</v>
      </c>
      <c r="F3464">
        <v>15.09</v>
      </c>
      <c r="G3464">
        <v>0</v>
      </c>
    </row>
    <row r="3465" spans="2:7" x14ac:dyDescent="0.25">
      <c r="B3465" s="70">
        <v>43383</v>
      </c>
      <c r="C3465" t="s">
        <v>21</v>
      </c>
      <c r="D3465" t="s">
        <v>409</v>
      </c>
      <c r="E3465" t="s">
        <v>410</v>
      </c>
      <c r="F3465">
        <v>450.39</v>
      </c>
      <c r="G3465">
        <v>0</v>
      </c>
    </row>
    <row r="3466" spans="2:7" x14ac:dyDescent="0.25">
      <c r="B3466" s="70">
        <v>43383</v>
      </c>
      <c r="C3466" t="s">
        <v>21</v>
      </c>
      <c r="D3466" t="s">
        <v>409</v>
      </c>
      <c r="E3466" t="s">
        <v>410</v>
      </c>
      <c r="F3466">
        <v>861.99</v>
      </c>
      <c r="G3466">
        <v>0</v>
      </c>
    </row>
    <row r="3467" spans="2:7" x14ac:dyDescent="0.25">
      <c r="B3467" s="70">
        <v>43383</v>
      </c>
      <c r="C3467" t="s">
        <v>21</v>
      </c>
      <c r="D3467" t="s">
        <v>409</v>
      </c>
      <c r="E3467" t="s">
        <v>410</v>
      </c>
      <c r="F3467">
        <v>24.55</v>
      </c>
      <c r="G3467">
        <v>0</v>
      </c>
    </row>
    <row r="3468" spans="2:7" x14ac:dyDescent="0.25">
      <c r="B3468" s="70">
        <v>43383</v>
      </c>
      <c r="C3468" t="s">
        <v>21</v>
      </c>
      <c r="D3468" t="s">
        <v>409</v>
      </c>
      <c r="E3468" t="s">
        <v>410</v>
      </c>
      <c r="F3468">
        <v>415.3</v>
      </c>
      <c r="G3468">
        <v>0</v>
      </c>
    </row>
    <row r="3469" spans="2:7" x14ac:dyDescent="0.25">
      <c r="B3469" s="70">
        <v>43383</v>
      </c>
      <c r="C3469" t="s">
        <v>21</v>
      </c>
      <c r="D3469" t="s">
        <v>409</v>
      </c>
      <c r="E3469" t="s">
        <v>410</v>
      </c>
      <c r="F3469">
        <v>523.47</v>
      </c>
      <c r="G3469">
        <v>0</v>
      </c>
    </row>
    <row r="3470" spans="2:7" x14ac:dyDescent="0.25">
      <c r="B3470" s="70">
        <v>43383</v>
      </c>
      <c r="C3470" t="s">
        <v>21</v>
      </c>
      <c r="D3470" t="s">
        <v>409</v>
      </c>
      <c r="E3470" t="s">
        <v>410</v>
      </c>
      <c r="F3470">
        <v>503.22</v>
      </c>
      <c r="G3470">
        <v>0</v>
      </c>
    </row>
    <row r="3471" spans="2:7" x14ac:dyDescent="0.25">
      <c r="B3471" s="70">
        <v>43383</v>
      </c>
      <c r="C3471" t="s">
        <v>21</v>
      </c>
      <c r="D3471" t="s">
        <v>409</v>
      </c>
      <c r="E3471" t="s">
        <v>410</v>
      </c>
      <c r="F3471">
        <v>401.01</v>
      </c>
      <c r="G3471">
        <v>0</v>
      </c>
    </row>
    <row r="3472" spans="2:7" x14ac:dyDescent="0.25">
      <c r="B3472" s="70">
        <v>43383</v>
      </c>
      <c r="C3472" t="s">
        <v>21</v>
      </c>
      <c r="D3472" t="s">
        <v>409</v>
      </c>
      <c r="E3472" t="s">
        <v>410</v>
      </c>
      <c r="F3472">
        <v>322.37</v>
      </c>
      <c r="G3472">
        <v>0</v>
      </c>
    </row>
    <row r="3473" spans="2:7" x14ac:dyDescent="0.25">
      <c r="B3473" s="70">
        <v>43383</v>
      </c>
      <c r="C3473" t="s">
        <v>21</v>
      </c>
      <c r="D3473" t="s">
        <v>409</v>
      </c>
      <c r="E3473" t="s">
        <v>410</v>
      </c>
      <c r="F3473">
        <v>96.53</v>
      </c>
      <c r="G3473">
        <v>0</v>
      </c>
    </row>
    <row r="3474" spans="2:7" x14ac:dyDescent="0.25">
      <c r="B3474" s="70">
        <v>43383</v>
      </c>
      <c r="C3474" t="s">
        <v>21</v>
      </c>
      <c r="D3474" t="s">
        <v>409</v>
      </c>
      <c r="E3474" t="s">
        <v>410</v>
      </c>
      <c r="F3474">
        <v>108.73</v>
      </c>
      <c r="G3474">
        <v>0</v>
      </c>
    </row>
    <row r="3475" spans="2:7" x14ac:dyDescent="0.25">
      <c r="B3475" s="70">
        <v>43383</v>
      </c>
      <c r="C3475" t="s">
        <v>21</v>
      </c>
      <c r="D3475" t="s">
        <v>409</v>
      </c>
      <c r="E3475" t="s">
        <v>410</v>
      </c>
      <c r="F3475">
        <v>210.3</v>
      </c>
      <c r="G3475">
        <v>0</v>
      </c>
    </row>
    <row r="3476" spans="2:7" x14ac:dyDescent="0.25">
      <c r="B3476" s="70">
        <v>43383</v>
      </c>
      <c r="C3476" t="s">
        <v>21</v>
      </c>
      <c r="D3476" t="s">
        <v>409</v>
      </c>
      <c r="E3476" t="s">
        <v>410</v>
      </c>
      <c r="F3476">
        <v>24.02</v>
      </c>
      <c r="G3476">
        <v>0</v>
      </c>
    </row>
    <row r="3477" spans="2:7" x14ac:dyDescent="0.25">
      <c r="B3477" s="70">
        <v>43383</v>
      </c>
      <c r="C3477" t="s">
        <v>21</v>
      </c>
      <c r="D3477" t="s">
        <v>409</v>
      </c>
      <c r="E3477" t="s">
        <v>410</v>
      </c>
      <c r="F3477">
        <v>379.72</v>
      </c>
      <c r="G3477">
        <v>0</v>
      </c>
    </row>
    <row r="3478" spans="2:7" x14ac:dyDescent="0.25">
      <c r="B3478" s="70">
        <v>43383</v>
      </c>
      <c r="C3478" t="s">
        <v>21</v>
      </c>
      <c r="D3478" t="s">
        <v>409</v>
      </c>
      <c r="E3478" t="s">
        <v>410</v>
      </c>
      <c r="F3478">
        <v>124.99</v>
      </c>
      <c r="G3478">
        <v>0</v>
      </c>
    </row>
    <row r="3479" spans="2:7" x14ac:dyDescent="0.25">
      <c r="B3479" s="70">
        <v>43383</v>
      </c>
      <c r="C3479" t="s">
        <v>21</v>
      </c>
      <c r="D3479" t="s">
        <v>409</v>
      </c>
      <c r="E3479" t="s">
        <v>410</v>
      </c>
      <c r="F3479">
        <v>196.6</v>
      </c>
      <c r="G3479">
        <v>0</v>
      </c>
    </row>
    <row r="3480" spans="2:7" x14ac:dyDescent="0.25">
      <c r="B3480" s="70">
        <v>43383</v>
      </c>
      <c r="C3480" t="s">
        <v>21</v>
      </c>
      <c r="D3480" t="s">
        <v>409</v>
      </c>
      <c r="E3480" t="s">
        <v>410</v>
      </c>
      <c r="F3480">
        <v>229.55</v>
      </c>
      <c r="G3480">
        <v>0</v>
      </c>
    </row>
    <row r="3481" spans="2:7" x14ac:dyDescent="0.25">
      <c r="B3481" s="70">
        <v>43383</v>
      </c>
      <c r="C3481" t="s">
        <v>21</v>
      </c>
      <c r="D3481" t="s">
        <v>409</v>
      </c>
      <c r="E3481" t="s">
        <v>410</v>
      </c>
      <c r="F3481">
        <v>236.68</v>
      </c>
      <c r="G3481">
        <v>0</v>
      </c>
    </row>
    <row r="3482" spans="2:7" x14ac:dyDescent="0.25">
      <c r="B3482" s="70">
        <v>43383</v>
      </c>
      <c r="C3482" t="s">
        <v>21</v>
      </c>
      <c r="D3482" t="s">
        <v>409</v>
      </c>
      <c r="E3482" t="s">
        <v>410</v>
      </c>
      <c r="F3482">
        <v>580.63</v>
      </c>
      <c r="G3482">
        <v>0</v>
      </c>
    </row>
    <row r="3483" spans="2:7" x14ac:dyDescent="0.25">
      <c r="B3483" s="70">
        <v>43383</v>
      </c>
      <c r="C3483" t="s">
        <v>21</v>
      </c>
      <c r="D3483" t="s">
        <v>409</v>
      </c>
      <c r="E3483" t="s">
        <v>410</v>
      </c>
      <c r="F3483">
        <v>41.1</v>
      </c>
      <c r="G3483">
        <v>0</v>
      </c>
    </row>
    <row r="3484" spans="2:7" x14ac:dyDescent="0.25">
      <c r="B3484" s="70">
        <v>43383</v>
      </c>
      <c r="C3484" t="s">
        <v>21</v>
      </c>
      <c r="D3484" t="s">
        <v>409</v>
      </c>
      <c r="E3484" t="s">
        <v>410</v>
      </c>
      <c r="F3484">
        <v>157.83000000000001</v>
      </c>
      <c r="G3484">
        <v>0</v>
      </c>
    </row>
    <row r="3485" spans="2:7" x14ac:dyDescent="0.25">
      <c r="B3485" s="70">
        <v>43383</v>
      </c>
      <c r="C3485" t="s">
        <v>21</v>
      </c>
      <c r="D3485" t="s">
        <v>409</v>
      </c>
      <c r="E3485" t="s">
        <v>410</v>
      </c>
      <c r="F3485">
        <v>609.58000000000004</v>
      </c>
      <c r="G3485">
        <v>0</v>
      </c>
    </row>
    <row r="3486" spans="2:7" x14ac:dyDescent="0.25">
      <c r="B3486" s="70">
        <v>43383</v>
      </c>
      <c r="C3486" t="s">
        <v>21</v>
      </c>
      <c r="D3486" t="s">
        <v>409</v>
      </c>
      <c r="E3486" t="s">
        <v>410</v>
      </c>
      <c r="F3486">
        <v>8.0500000000000007</v>
      </c>
      <c r="G3486">
        <v>0</v>
      </c>
    </row>
    <row r="3487" spans="2:7" x14ac:dyDescent="0.25">
      <c r="B3487" s="70">
        <v>43383</v>
      </c>
      <c r="C3487" t="s">
        <v>21</v>
      </c>
      <c r="D3487" t="s">
        <v>409</v>
      </c>
      <c r="E3487" t="s">
        <v>410</v>
      </c>
      <c r="F3487">
        <v>48.04</v>
      </c>
      <c r="G3487">
        <v>0</v>
      </c>
    </row>
    <row r="3488" spans="2:7" x14ac:dyDescent="0.25">
      <c r="B3488" s="70">
        <v>43383</v>
      </c>
      <c r="C3488" t="s">
        <v>21</v>
      </c>
      <c r="D3488" t="s">
        <v>409</v>
      </c>
      <c r="E3488" t="s">
        <v>410</v>
      </c>
      <c r="F3488">
        <v>60.4</v>
      </c>
      <c r="G3488">
        <v>0</v>
      </c>
    </row>
    <row r="3489" spans="2:7" x14ac:dyDescent="0.25">
      <c r="B3489" s="70">
        <v>43383</v>
      </c>
      <c r="C3489" t="s">
        <v>66</v>
      </c>
      <c r="D3489" t="s">
        <v>85</v>
      </c>
      <c r="E3489" t="s">
        <v>408</v>
      </c>
      <c r="F3489">
        <v>394.99</v>
      </c>
      <c r="G3489">
        <v>0</v>
      </c>
    </row>
    <row r="3490" spans="2:7" x14ac:dyDescent="0.25">
      <c r="B3490" s="70">
        <v>43383</v>
      </c>
      <c r="C3490" t="s">
        <v>66</v>
      </c>
      <c r="D3490" t="s">
        <v>82</v>
      </c>
      <c r="E3490" t="s">
        <v>408</v>
      </c>
      <c r="F3490">
        <v>7.14</v>
      </c>
      <c r="G3490">
        <v>0</v>
      </c>
    </row>
    <row r="3491" spans="2:7" x14ac:dyDescent="0.25">
      <c r="B3491" s="70">
        <v>43383</v>
      </c>
      <c r="C3491" t="s">
        <v>48</v>
      </c>
      <c r="D3491" t="s">
        <v>85</v>
      </c>
      <c r="E3491" t="s">
        <v>408</v>
      </c>
      <c r="F3491">
        <v>19.32</v>
      </c>
      <c r="G3491">
        <v>0</v>
      </c>
    </row>
    <row r="3492" spans="2:7" x14ac:dyDescent="0.25">
      <c r="B3492" s="70">
        <v>43383</v>
      </c>
      <c r="C3492" t="s">
        <v>55</v>
      </c>
      <c r="D3492" t="s">
        <v>409</v>
      </c>
      <c r="E3492" t="s">
        <v>410</v>
      </c>
      <c r="F3492">
        <v>35.71</v>
      </c>
      <c r="G3492">
        <v>0</v>
      </c>
    </row>
    <row r="3493" spans="2:7" x14ac:dyDescent="0.25">
      <c r="B3493" s="70">
        <v>43383</v>
      </c>
      <c r="C3493" t="s">
        <v>50</v>
      </c>
      <c r="D3493" t="s">
        <v>409</v>
      </c>
      <c r="E3493" t="s">
        <v>410</v>
      </c>
      <c r="F3493">
        <v>19187.669999999998</v>
      </c>
      <c r="G3493">
        <v>0</v>
      </c>
    </row>
    <row r="3494" spans="2:7" x14ac:dyDescent="0.25">
      <c r="B3494" s="70">
        <v>43383</v>
      </c>
      <c r="C3494" t="s">
        <v>52</v>
      </c>
      <c r="D3494" t="s">
        <v>409</v>
      </c>
      <c r="E3494" t="s">
        <v>410</v>
      </c>
      <c r="F3494">
        <v>2622.92</v>
      </c>
      <c r="G3494">
        <v>0</v>
      </c>
    </row>
    <row r="3495" spans="2:7" x14ac:dyDescent="0.25">
      <c r="B3495" s="70">
        <v>43383</v>
      </c>
      <c r="C3495" t="s">
        <v>24</v>
      </c>
      <c r="D3495" t="s">
        <v>79</v>
      </c>
      <c r="E3495" t="s">
        <v>408</v>
      </c>
      <c r="F3495">
        <v>8</v>
      </c>
      <c r="G3495">
        <v>0</v>
      </c>
    </row>
    <row r="3496" spans="2:7" x14ac:dyDescent="0.25">
      <c r="B3496" s="70">
        <v>43383</v>
      </c>
      <c r="C3496" t="s">
        <v>24</v>
      </c>
      <c r="D3496" t="s">
        <v>409</v>
      </c>
      <c r="E3496" t="s">
        <v>410</v>
      </c>
      <c r="F3496">
        <v>6.79</v>
      </c>
      <c r="G3496">
        <v>0</v>
      </c>
    </row>
    <row r="3497" spans="2:7" x14ac:dyDescent="0.25">
      <c r="B3497" s="70">
        <v>43383</v>
      </c>
      <c r="C3497" t="s">
        <v>24</v>
      </c>
      <c r="D3497" t="s">
        <v>409</v>
      </c>
      <c r="E3497" t="s">
        <v>410</v>
      </c>
      <c r="F3497">
        <v>24.18</v>
      </c>
      <c r="G3497">
        <v>0</v>
      </c>
    </row>
    <row r="3498" spans="2:7" x14ac:dyDescent="0.25">
      <c r="B3498" s="70">
        <v>43383</v>
      </c>
      <c r="C3498" t="s">
        <v>24</v>
      </c>
      <c r="D3498" t="s">
        <v>409</v>
      </c>
      <c r="E3498" t="s">
        <v>410</v>
      </c>
      <c r="F3498">
        <v>26.82</v>
      </c>
      <c r="G3498">
        <v>0</v>
      </c>
    </row>
    <row r="3499" spans="2:7" x14ac:dyDescent="0.25">
      <c r="B3499" s="70">
        <v>43383</v>
      </c>
      <c r="C3499" t="s">
        <v>24</v>
      </c>
      <c r="D3499" t="s">
        <v>409</v>
      </c>
      <c r="E3499" t="s">
        <v>410</v>
      </c>
      <c r="F3499">
        <v>39.39</v>
      </c>
      <c r="G3499">
        <v>0</v>
      </c>
    </row>
    <row r="3500" spans="2:7" x14ac:dyDescent="0.25">
      <c r="B3500" s="70">
        <v>43383</v>
      </c>
      <c r="C3500" t="s">
        <v>24</v>
      </c>
      <c r="D3500" t="s">
        <v>409</v>
      </c>
      <c r="E3500" t="s">
        <v>410</v>
      </c>
      <c r="F3500">
        <v>44.52</v>
      </c>
      <c r="G3500">
        <v>0</v>
      </c>
    </row>
    <row r="3501" spans="2:7" x14ac:dyDescent="0.25">
      <c r="B3501" s="70">
        <v>43383</v>
      </c>
      <c r="C3501" t="s">
        <v>24</v>
      </c>
      <c r="D3501" t="s">
        <v>409</v>
      </c>
      <c r="E3501" t="s">
        <v>410</v>
      </c>
      <c r="F3501">
        <v>7.73</v>
      </c>
      <c r="G3501">
        <v>0</v>
      </c>
    </row>
    <row r="3502" spans="2:7" x14ac:dyDescent="0.25">
      <c r="B3502" s="70">
        <v>43383</v>
      </c>
      <c r="C3502" t="s">
        <v>24</v>
      </c>
      <c r="D3502" t="s">
        <v>409</v>
      </c>
      <c r="E3502" t="s">
        <v>410</v>
      </c>
      <c r="F3502">
        <v>85.08</v>
      </c>
      <c r="G3502">
        <v>0</v>
      </c>
    </row>
    <row r="3503" spans="2:7" x14ac:dyDescent="0.25">
      <c r="B3503" s="70">
        <v>43383</v>
      </c>
      <c r="C3503" t="s">
        <v>24</v>
      </c>
      <c r="D3503" t="s">
        <v>409</v>
      </c>
      <c r="E3503" t="s">
        <v>410</v>
      </c>
      <c r="F3503">
        <v>27.29</v>
      </c>
      <c r="G3503">
        <v>0</v>
      </c>
    </row>
    <row r="3504" spans="2:7" x14ac:dyDescent="0.25">
      <c r="B3504" s="70">
        <v>43383</v>
      </c>
      <c r="C3504" t="s">
        <v>24</v>
      </c>
      <c r="D3504" t="s">
        <v>409</v>
      </c>
      <c r="E3504" t="s">
        <v>410</v>
      </c>
      <c r="F3504">
        <v>14.97</v>
      </c>
      <c r="G3504">
        <v>0</v>
      </c>
    </row>
    <row r="3505" spans="2:7" x14ac:dyDescent="0.25">
      <c r="B3505" s="70">
        <v>43383</v>
      </c>
      <c r="C3505" t="s">
        <v>24</v>
      </c>
      <c r="D3505" t="s">
        <v>409</v>
      </c>
      <c r="E3505" t="s">
        <v>410</v>
      </c>
      <c r="F3505">
        <v>24.92</v>
      </c>
      <c r="G3505">
        <v>0</v>
      </c>
    </row>
    <row r="3506" spans="2:7" x14ac:dyDescent="0.25">
      <c r="B3506" s="70">
        <v>43383</v>
      </c>
      <c r="C3506" t="s">
        <v>24</v>
      </c>
      <c r="D3506" t="s">
        <v>409</v>
      </c>
      <c r="E3506" t="s">
        <v>410</v>
      </c>
      <c r="F3506">
        <v>17.760000000000002</v>
      </c>
      <c r="G3506">
        <v>0</v>
      </c>
    </row>
    <row r="3507" spans="2:7" x14ac:dyDescent="0.25">
      <c r="B3507" s="70">
        <v>43383</v>
      </c>
      <c r="C3507" t="s">
        <v>24</v>
      </c>
      <c r="D3507" t="s">
        <v>409</v>
      </c>
      <c r="E3507" t="s">
        <v>410</v>
      </c>
      <c r="F3507">
        <v>26.62</v>
      </c>
      <c r="G3507">
        <v>0</v>
      </c>
    </row>
    <row r="3508" spans="2:7" x14ac:dyDescent="0.25">
      <c r="B3508" s="70">
        <v>43383</v>
      </c>
      <c r="C3508" t="s">
        <v>24</v>
      </c>
      <c r="D3508" t="s">
        <v>409</v>
      </c>
      <c r="E3508" t="s">
        <v>410</v>
      </c>
      <c r="F3508">
        <v>43.57</v>
      </c>
      <c r="G3508">
        <v>0</v>
      </c>
    </row>
    <row r="3509" spans="2:7" x14ac:dyDescent="0.25">
      <c r="B3509" s="70">
        <v>43383</v>
      </c>
      <c r="C3509" t="s">
        <v>24</v>
      </c>
      <c r="D3509" t="s">
        <v>409</v>
      </c>
      <c r="E3509" t="s">
        <v>410</v>
      </c>
      <c r="F3509">
        <v>28.51</v>
      </c>
      <c r="G3509">
        <v>0</v>
      </c>
    </row>
    <row r="3510" spans="2:7" x14ac:dyDescent="0.25">
      <c r="B3510" s="70">
        <v>43383</v>
      </c>
      <c r="C3510" t="s">
        <v>24</v>
      </c>
      <c r="D3510" t="s">
        <v>409</v>
      </c>
      <c r="E3510" t="s">
        <v>410</v>
      </c>
      <c r="F3510">
        <v>10.86</v>
      </c>
      <c r="G3510">
        <v>0</v>
      </c>
    </row>
    <row r="3511" spans="2:7" x14ac:dyDescent="0.25">
      <c r="B3511" s="70">
        <v>43383</v>
      </c>
      <c r="C3511" t="s">
        <v>60</v>
      </c>
      <c r="D3511" t="s">
        <v>87</v>
      </c>
      <c r="E3511" t="s">
        <v>408</v>
      </c>
      <c r="F3511">
        <v>65.86</v>
      </c>
      <c r="G3511">
        <v>0</v>
      </c>
    </row>
    <row r="3512" spans="2:7" x14ac:dyDescent="0.25">
      <c r="B3512" s="70">
        <v>43383</v>
      </c>
      <c r="C3512" t="s">
        <v>60</v>
      </c>
      <c r="D3512" t="s">
        <v>409</v>
      </c>
      <c r="E3512" t="s">
        <v>410</v>
      </c>
      <c r="F3512">
        <v>171.88</v>
      </c>
      <c r="G3512">
        <v>0</v>
      </c>
    </row>
    <row r="3513" spans="2:7" x14ac:dyDescent="0.25">
      <c r="B3513" s="70">
        <v>43383</v>
      </c>
      <c r="C3513" t="s">
        <v>61</v>
      </c>
      <c r="D3513" t="s">
        <v>409</v>
      </c>
      <c r="E3513" t="s">
        <v>410</v>
      </c>
      <c r="F3513">
        <v>833.5</v>
      </c>
      <c r="G3513">
        <v>0</v>
      </c>
    </row>
    <row r="3514" spans="2:7" x14ac:dyDescent="0.25">
      <c r="B3514" s="70">
        <v>43465</v>
      </c>
      <c r="C3514" t="s">
        <v>25</v>
      </c>
      <c r="D3514" t="s">
        <v>81</v>
      </c>
      <c r="E3514" t="s">
        <v>161</v>
      </c>
      <c r="F3514">
        <v>8.6999999999999993</v>
      </c>
      <c r="G3514">
        <v>0</v>
      </c>
    </row>
    <row r="3515" spans="2:7" x14ac:dyDescent="0.25">
      <c r="B3515" s="70">
        <v>43465</v>
      </c>
      <c r="C3515" t="s">
        <v>25</v>
      </c>
      <c r="D3515" t="s">
        <v>81</v>
      </c>
      <c r="E3515" t="s">
        <v>139</v>
      </c>
      <c r="F3515">
        <v>1.8</v>
      </c>
      <c r="G3515">
        <v>0</v>
      </c>
    </row>
    <row r="3516" spans="2:7" x14ac:dyDescent="0.25">
      <c r="B3516" s="70">
        <v>43465</v>
      </c>
      <c r="C3516" t="s">
        <v>25</v>
      </c>
      <c r="D3516" t="s">
        <v>411</v>
      </c>
      <c r="E3516" t="s">
        <v>412</v>
      </c>
      <c r="F3516">
        <v>0</v>
      </c>
      <c r="G3516">
        <v>2746.9</v>
      </c>
    </row>
    <row r="3517" spans="2:7" x14ac:dyDescent="0.25">
      <c r="B3517" s="70">
        <v>43465</v>
      </c>
      <c r="C3517" t="s">
        <v>25</v>
      </c>
      <c r="D3517" t="s">
        <v>411</v>
      </c>
      <c r="E3517" t="s">
        <v>412</v>
      </c>
      <c r="F3517">
        <v>0</v>
      </c>
      <c r="G3517">
        <v>2364</v>
      </c>
    </row>
    <row r="3518" spans="2:7" x14ac:dyDescent="0.25">
      <c r="B3518" s="70">
        <v>43465</v>
      </c>
      <c r="C3518" t="s">
        <v>25</v>
      </c>
      <c r="D3518" t="s">
        <v>411</v>
      </c>
      <c r="E3518" t="s">
        <v>412</v>
      </c>
      <c r="F3518">
        <v>0</v>
      </c>
      <c r="G3518">
        <v>1938.67</v>
      </c>
    </row>
    <row r="3519" spans="2:7" x14ac:dyDescent="0.25">
      <c r="B3519" s="70">
        <v>43465</v>
      </c>
      <c r="C3519" t="s">
        <v>25</v>
      </c>
      <c r="D3519" t="s">
        <v>411</v>
      </c>
      <c r="E3519" t="s">
        <v>412</v>
      </c>
      <c r="F3519">
        <v>0</v>
      </c>
      <c r="G3519">
        <v>1698.61</v>
      </c>
    </row>
    <row r="3520" spans="2:7" x14ac:dyDescent="0.25">
      <c r="B3520" s="70">
        <v>43465</v>
      </c>
      <c r="C3520" t="s">
        <v>25</v>
      </c>
      <c r="D3520" t="s">
        <v>411</v>
      </c>
      <c r="E3520" t="s">
        <v>412</v>
      </c>
      <c r="F3520">
        <v>0</v>
      </c>
      <c r="G3520">
        <v>1634.07</v>
      </c>
    </row>
    <row r="3521" spans="2:7" x14ac:dyDescent="0.25">
      <c r="B3521" s="70">
        <v>43465</v>
      </c>
      <c r="C3521" t="s">
        <v>25</v>
      </c>
      <c r="D3521" t="s">
        <v>411</v>
      </c>
      <c r="E3521" t="s">
        <v>412</v>
      </c>
      <c r="F3521">
        <v>0</v>
      </c>
      <c r="G3521">
        <v>1560.09</v>
      </c>
    </row>
    <row r="3522" spans="2:7" x14ac:dyDescent="0.25">
      <c r="B3522" s="70">
        <v>43465</v>
      </c>
      <c r="C3522" t="s">
        <v>25</v>
      </c>
      <c r="D3522" t="s">
        <v>411</v>
      </c>
      <c r="E3522" t="s">
        <v>412</v>
      </c>
      <c r="F3522">
        <v>0</v>
      </c>
      <c r="G3522">
        <v>1544.52</v>
      </c>
    </row>
    <row r="3523" spans="2:7" x14ac:dyDescent="0.25">
      <c r="B3523" s="70">
        <v>43465</v>
      </c>
      <c r="C3523" t="s">
        <v>25</v>
      </c>
      <c r="D3523" t="s">
        <v>411</v>
      </c>
      <c r="E3523" t="s">
        <v>412</v>
      </c>
      <c r="F3523">
        <v>0</v>
      </c>
      <c r="G3523">
        <v>1544.15</v>
      </c>
    </row>
    <row r="3524" spans="2:7" x14ac:dyDescent="0.25">
      <c r="B3524" s="70">
        <v>43465</v>
      </c>
      <c r="C3524" t="s">
        <v>25</v>
      </c>
      <c r="D3524" t="s">
        <v>411</v>
      </c>
      <c r="E3524" t="s">
        <v>412</v>
      </c>
      <c r="F3524">
        <v>0</v>
      </c>
      <c r="G3524">
        <v>1392.64</v>
      </c>
    </row>
    <row r="3525" spans="2:7" x14ac:dyDescent="0.25">
      <c r="B3525" s="70">
        <v>43465</v>
      </c>
      <c r="C3525" t="s">
        <v>25</v>
      </c>
      <c r="D3525" t="s">
        <v>411</v>
      </c>
      <c r="E3525" t="s">
        <v>412</v>
      </c>
      <c r="F3525">
        <v>0</v>
      </c>
      <c r="G3525">
        <v>1266.1099999999999</v>
      </c>
    </row>
    <row r="3526" spans="2:7" x14ac:dyDescent="0.25">
      <c r="B3526" s="70">
        <v>43465</v>
      </c>
      <c r="C3526" t="s">
        <v>25</v>
      </c>
      <c r="D3526" t="s">
        <v>411</v>
      </c>
      <c r="E3526" t="s">
        <v>412</v>
      </c>
      <c r="F3526">
        <v>0</v>
      </c>
      <c r="G3526">
        <v>1151</v>
      </c>
    </row>
    <row r="3527" spans="2:7" x14ac:dyDescent="0.25">
      <c r="B3527" s="70">
        <v>43465</v>
      </c>
      <c r="C3527" t="s">
        <v>25</v>
      </c>
      <c r="D3527" t="s">
        <v>411</v>
      </c>
      <c r="E3527" t="s">
        <v>412</v>
      </c>
      <c r="F3527">
        <v>0</v>
      </c>
      <c r="G3527">
        <v>1026.32</v>
      </c>
    </row>
    <row r="3528" spans="2:7" x14ac:dyDescent="0.25">
      <c r="B3528" s="70">
        <v>43465</v>
      </c>
      <c r="C3528" t="s">
        <v>25</v>
      </c>
      <c r="D3528" t="s">
        <v>411</v>
      </c>
      <c r="E3528" t="s">
        <v>412</v>
      </c>
      <c r="F3528">
        <v>0</v>
      </c>
      <c r="G3528">
        <v>1022.8</v>
      </c>
    </row>
    <row r="3529" spans="2:7" x14ac:dyDescent="0.25">
      <c r="B3529" s="70">
        <v>43465</v>
      </c>
      <c r="C3529" t="s">
        <v>25</v>
      </c>
      <c r="D3529" t="s">
        <v>411</v>
      </c>
      <c r="E3529" t="s">
        <v>412</v>
      </c>
      <c r="F3529">
        <v>0</v>
      </c>
      <c r="G3529">
        <v>1003.81</v>
      </c>
    </row>
    <row r="3530" spans="2:7" x14ac:dyDescent="0.25">
      <c r="B3530" s="70">
        <v>43465</v>
      </c>
      <c r="C3530" t="s">
        <v>25</v>
      </c>
      <c r="D3530" t="s">
        <v>411</v>
      </c>
      <c r="E3530" t="s">
        <v>412</v>
      </c>
      <c r="F3530">
        <v>0</v>
      </c>
      <c r="G3530">
        <v>986.22</v>
      </c>
    </row>
    <row r="3531" spans="2:7" x14ac:dyDescent="0.25">
      <c r="B3531" s="70">
        <v>43465</v>
      </c>
      <c r="C3531" t="s">
        <v>25</v>
      </c>
      <c r="D3531" t="s">
        <v>411</v>
      </c>
      <c r="E3531" t="s">
        <v>412</v>
      </c>
      <c r="F3531">
        <v>0</v>
      </c>
      <c r="G3531">
        <v>981.18</v>
      </c>
    </row>
    <row r="3532" spans="2:7" x14ac:dyDescent="0.25">
      <c r="B3532" s="70">
        <v>43465</v>
      </c>
      <c r="C3532" t="s">
        <v>25</v>
      </c>
      <c r="D3532" t="s">
        <v>411</v>
      </c>
      <c r="E3532" t="s">
        <v>412</v>
      </c>
      <c r="F3532">
        <v>0</v>
      </c>
      <c r="G3532">
        <v>894.71</v>
      </c>
    </row>
    <row r="3533" spans="2:7" x14ac:dyDescent="0.25">
      <c r="B3533" s="70">
        <v>43465</v>
      </c>
      <c r="C3533" t="s">
        <v>25</v>
      </c>
      <c r="D3533" t="s">
        <v>411</v>
      </c>
      <c r="E3533" t="s">
        <v>412</v>
      </c>
      <c r="F3533">
        <v>0</v>
      </c>
      <c r="G3533">
        <v>869.69</v>
      </c>
    </row>
    <row r="3534" spans="2:7" x14ac:dyDescent="0.25">
      <c r="B3534" s="70">
        <v>43465</v>
      </c>
      <c r="C3534" t="s">
        <v>25</v>
      </c>
      <c r="D3534" t="s">
        <v>411</v>
      </c>
      <c r="E3534" t="s">
        <v>412</v>
      </c>
      <c r="F3534">
        <v>0</v>
      </c>
      <c r="G3534">
        <v>853.49</v>
      </c>
    </row>
    <row r="3535" spans="2:7" x14ac:dyDescent="0.25">
      <c r="B3535" s="70">
        <v>43465</v>
      </c>
      <c r="C3535" t="s">
        <v>25</v>
      </c>
      <c r="D3535" t="s">
        <v>411</v>
      </c>
      <c r="E3535" t="s">
        <v>412</v>
      </c>
      <c r="F3535">
        <v>0</v>
      </c>
      <c r="G3535">
        <v>842.72</v>
      </c>
    </row>
    <row r="3536" spans="2:7" x14ac:dyDescent="0.25">
      <c r="B3536" s="70">
        <v>43465</v>
      </c>
      <c r="C3536" t="s">
        <v>25</v>
      </c>
      <c r="D3536" t="s">
        <v>411</v>
      </c>
      <c r="E3536" t="s">
        <v>412</v>
      </c>
      <c r="F3536">
        <v>0</v>
      </c>
      <c r="G3536">
        <v>835.37</v>
      </c>
    </row>
    <row r="3537" spans="2:7" x14ac:dyDescent="0.25">
      <c r="B3537" s="70">
        <v>43465</v>
      </c>
      <c r="C3537" t="s">
        <v>25</v>
      </c>
      <c r="D3537" t="s">
        <v>411</v>
      </c>
      <c r="E3537" t="s">
        <v>412</v>
      </c>
      <c r="F3537">
        <v>0</v>
      </c>
      <c r="G3537">
        <v>835.33</v>
      </c>
    </row>
    <row r="3538" spans="2:7" x14ac:dyDescent="0.25">
      <c r="B3538" s="70">
        <v>43465</v>
      </c>
      <c r="C3538" t="s">
        <v>25</v>
      </c>
      <c r="D3538" t="s">
        <v>411</v>
      </c>
      <c r="E3538" t="s">
        <v>412</v>
      </c>
      <c r="F3538">
        <v>0</v>
      </c>
      <c r="G3538">
        <v>828.22</v>
      </c>
    </row>
    <row r="3539" spans="2:7" x14ac:dyDescent="0.25">
      <c r="B3539" s="70">
        <v>43465</v>
      </c>
      <c r="C3539" t="s">
        <v>25</v>
      </c>
      <c r="D3539" t="s">
        <v>411</v>
      </c>
      <c r="E3539" t="s">
        <v>412</v>
      </c>
      <c r="F3539">
        <v>0</v>
      </c>
      <c r="G3539">
        <v>824.94</v>
      </c>
    </row>
    <row r="3540" spans="2:7" x14ac:dyDescent="0.25">
      <c r="B3540" s="70">
        <v>43465</v>
      </c>
      <c r="C3540" t="s">
        <v>25</v>
      </c>
      <c r="D3540" t="s">
        <v>411</v>
      </c>
      <c r="E3540" t="s">
        <v>412</v>
      </c>
      <c r="F3540">
        <v>0</v>
      </c>
      <c r="G3540">
        <v>803.33</v>
      </c>
    </row>
    <row r="3541" spans="2:7" x14ac:dyDescent="0.25">
      <c r="B3541" s="70">
        <v>43465</v>
      </c>
      <c r="C3541" t="s">
        <v>25</v>
      </c>
      <c r="D3541" t="s">
        <v>411</v>
      </c>
      <c r="E3541" t="s">
        <v>412</v>
      </c>
      <c r="F3541">
        <v>0</v>
      </c>
      <c r="G3541">
        <v>801.28</v>
      </c>
    </row>
    <row r="3542" spans="2:7" x14ac:dyDescent="0.25">
      <c r="B3542" s="70">
        <v>43465</v>
      </c>
      <c r="C3542" t="s">
        <v>25</v>
      </c>
      <c r="D3542" t="s">
        <v>411</v>
      </c>
      <c r="E3542" t="s">
        <v>412</v>
      </c>
      <c r="F3542">
        <v>0</v>
      </c>
      <c r="G3542">
        <v>772.75</v>
      </c>
    </row>
    <row r="3543" spans="2:7" x14ac:dyDescent="0.25">
      <c r="B3543" s="70">
        <v>43465</v>
      </c>
      <c r="C3543" t="s">
        <v>25</v>
      </c>
      <c r="D3543" t="s">
        <v>411</v>
      </c>
      <c r="E3543" t="s">
        <v>412</v>
      </c>
      <c r="F3543">
        <v>0</v>
      </c>
      <c r="G3543">
        <v>760.82</v>
      </c>
    </row>
    <row r="3544" spans="2:7" x14ac:dyDescent="0.25">
      <c r="B3544" s="70">
        <v>43465</v>
      </c>
      <c r="C3544" t="s">
        <v>25</v>
      </c>
      <c r="D3544" t="s">
        <v>411</v>
      </c>
      <c r="E3544" t="s">
        <v>412</v>
      </c>
      <c r="F3544">
        <v>0</v>
      </c>
      <c r="G3544">
        <v>751.78</v>
      </c>
    </row>
    <row r="3545" spans="2:7" x14ac:dyDescent="0.25">
      <c r="B3545" s="70">
        <v>43465</v>
      </c>
      <c r="C3545" t="s">
        <v>25</v>
      </c>
      <c r="D3545" t="s">
        <v>411</v>
      </c>
      <c r="E3545" t="s">
        <v>412</v>
      </c>
      <c r="F3545">
        <v>0</v>
      </c>
      <c r="G3545">
        <v>737.42</v>
      </c>
    </row>
    <row r="3546" spans="2:7" x14ac:dyDescent="0.25">
      <c r="B3546" s="70">
        <v>43465</v>
      </c>
      <c r="C3546" t="s">
        <v>25</v>
      </c>
      <c r="D3546" t="s">
        <v>411</v>
      </c>
      <c r="E3546" t="s">
        <v>412</v>
      </c>
      <c r="F3546">
        <v>0</v>
      </c>
      <c r="G3546">
        <v>737.23</v>
      </c>
    </row>
    <row r="3547" spans="2:7" x14ac:dyDescent="0.25">
      <c r="B3547" s="70">
        <v>43465</v>
      </c>
      <c r="C3547" t="s">
        <v>25</v>
      </c>
      <c r="D3547" t="s">
        <v>411</v>
      </c>
      <c r="E3547" t="s">
        <v>412</v>
      </c>
      <c r="F3547">
        <v>0</v>
      </c>
      <c r="G3547">
        <v>721.17</v>
      </c>
    </row>
    <row r="3548" spans="2:7" x14ac:dyDescent="0.25">
      <c r="B3548" s="70">
        <v>43465</v>
      </c>
      <c r="C3548" t="s">
        <v>25</v>
      </c>
      <c r="D3548" t="s">
        <v>411</v>
      </c>
      <c r="E3548" t="s">
        <v>412</v>
      </c>
      <c r="F3548">
        <v>0</v>
      </c>
      <c r="G3548">
        <v>710.15</v>
      </c>
    </row>
    <row r="3549" spans="2:7" x14ac:dyDescent="0.25">
      <c r="B3549" s="70">
        <v>43465</v>
      </c>
      <c r="C3549" t="s">
        <v>25</v>
      </c>
      <c r="D3549" t="s">
        <v>411</v>
      </c>
      <c r="E3549" t="s">
        <v>412</v>
      </c>
      <c r="F3549">
        <v>0</v>
      </c>
      <c r="G3549">
        <v>703.1</v>
      </c>
    </row>
    <row r="3550" spans="2:7" x14ac:dyDescent="0.25">
      <c r="B3550" s="70">
        <v>43465</v>
      </c>
      <c r="C3550" t="s">
        <v>25</v>
      </c>
      <c r="D3550" t="s">
        <v>411</v>
      </c>
      <c r="E3550" t="s">
        <v>412</v>
      </c>
      <c r="F3550">
        <v>0</v>
      </c>
      <c r="G3550">
        <v>685.47</v>
      </c>
    </row>
    <row r="3551" spans="2:7" x14ac:dyDescent="0.25">
      <c r="B3551" s="70">
        <v>43465</v>
      </c>
      <c r="C3551" t="s">
        <v>25</v>
      </c>
      <c r="D3551" t="s">
        <v>411</v>
      </c>
      <c r="E3551" t="s">
        <v>412</v>
      </c>
      <c r="F3551">
        <v>0</v>
      </c>
      <c r="G3551">
        <v>660.28</v>
      </c>
    </row>
    <row r="3552" spans="2:7" x14ac:dyDescent="0.25">
      <c r="B3552" s="70">
        <v>43465</v>
      </c>
      <c r="C3552" t="s">
        <v>25</v>
      </c>
      <c r="D3552" t="s">
        <v>411</v>
      </c>
      <c r="E3552" t="s">
        <v>412</v>
      </c>
      <c r="F3552">
        <v>0</v>
      </c>
      <c r="G3552">
        <v>659.3</v>
      </c>
    </row>
    <row r="3553" spans="2:7" x14ac:dyDescent="0.25">
      <c r="B3553" s="70">
        <v>43465</v>
      </c>
      <c r="C3553" t="s">
        <v>25</v>
      </c>
      <c r="D3553" t="s">
        <v>411</v>
      </c>
      <c r="E3553" t="s">
        <v>412</v>
      </c>
      <c r="F3553">
        <v>0</v>
      </c>
      <c r="G3553">
        <v>655.20000000000005</v>
      </c>
    </row>
    <row r="3554" spans="2:7" x14ac:dyDescent="0.25">
      <c r="B3554" s="70">
        <v>43465</v>
      </c>
      <c r="C3554" t="s">
        <v>25</v>
      </c>
      <c r="D3554" t="s">
        <v>411</v>
      </c>
      <c r="E3554" t="s">
        <v>412</v>
      </c>
      <c r="F3554">
        <v>0</v>
      </c>
      <c r="G3554">
        <v>654.14</v>
      </c>
    </row>
    <row r="3555" spans="2:7" x14ac:dyDescent="0.25">
      <c r="B3555" s="70">
        <v>43465</v>
      </c>
      <c r="C3555" t="s">
        <v>25</v>
      </c>
      <c r="D3555" t="s">
        <v>411</v>
      </c>
      <c r="E3555" t="s">
        <v>412</v>
      </c>
      <c r="F3555">
        <v>0</v>
      </c>
      <c r="G3555">
        <v>645.97</v>
      </c>
    </row>
    <row r="3556" spans="2:7" x14ac:dyDescent="0.25">
      <c r="B3556" s="70">
        <v>43465</v>
      </c>
      <c r="C3556" t="s">
        <v>25</v>
      </c>
      <c r="D3556" t="s">
        <v>411</v>
      </c>
      <c r="E3556" t="s">
        <v>412</v>
      </c>
      <c r="F3556">
        <v>0</v>
      </c>
      <c r="G3556">
        <v>643.86</v>
      </c>
    </row>
    <row r="3557" spans="2:7" x14ac:dyDescent="0.25">
      <c r="B3557" s="70">
        <v>43465</v>
      </c>
      <c r="C3557" t="s">
        <v>25</v>
      </c>
      <c r="D3557" t="s">
        <v>411</v>
      </c>
      <c r="E3557" t="s">
        <v>412</v>
      </c>
      <c r="F3557">
        <v>0</v>
      </c>
      <c r="G3557">
        <v>641.25</v>
      </c>
    </row>
    <row r="3558" spans="2:7" x14ac:dyDescent="0.25">
      <c r="B3558" s="70">
        <v>43465</v>
      </c>
      <c r="C3558" t="s">
        <v>25</v>
      </c>
      <c r="D3558" t="s">
        <v>411</v>
      </c>
      <c r="E3558" t="s">
        <v>412</v>
      </c>
      <c r="F3558">
        <v>0</v>
      </c>
      <c r="G3558">
        <v>604.91999999999996</v>
      </c>
    </row>
    <row r="3559" spans="2:7" x14ac:dyDescent="0.25">
      <c r="B3559" s="70">
        <v>43465</v>
      </c>
      <c r="C3559" t="s">
        <v>25</v>
      </c>
      <c r="D3559" t="s">
        <v>411</v>
      </c>
      <c r="E3559" t="s">
        <v>412</v>
      </c>
      <c r="F3559">
        <v>0</v>
      </c>
      <c r="G3559">
        <v>599.23</v>
      </c>
    </row>
    <row r="3560" spans="2:7" x14ac:dyDescent="0.25">
      <c r="B3560" s="70">
        <v>43465</v>
      </c>
      <c r="C3560" t="s">
        <v>25</v>
      </c>
      <c r="D3560" t="s">
        <v>411</v>
      </c>
      <c r="E3560" t="s">
        <v>412</v>
      </c>
      <c r="F3560">
        <v>0</v>
      </c>
      <c r="G3560">
        <v>591.87</v>
      </c>
    </row>
    <row r="3561" spans="2:7" x14ac:dyDescent="0.25">
      <c r="B3561" s="70">
        <v>43465</v>
      </c>
      <c r="C3561" t="s">
        <v>25</v>
      </c>
      <c r="D3561" t="s">
        <v>411</v>
      </c>
      <c r="E3561" t="s">
        <v>412</v>
      </c>
      <c r="F3561">
        <v>0</v>
      </c>
      <c r="G3561">
        <v>591.85</v>
      </c>
    </row>
    <row r="3562" spans="2:7" x14ac:dyDescent="0.25">
      <c r="B3562" s="70">
        <v>43465</v>
      </c>
      <c r="C3562" t="s">
        <v>25</v>
      </c>
      <c r="D3562" t="s">
        <v>411</v>
      </c>
      <c r="E3562" t="s">
        <v>412</v>
      </c>
      <c r="F3562">
        <v>0</v>
      </c>
      <c r="G3562">
        <v>584</v>
      </c>
    </row>
    <row r="3563" spans="2:7" x14ac:dyDescent="0.25">
      <c r="B3563" s="70">
        <v>43465</v>
      </c>
      <c r="C3563" t="s">
        <v>25</v>
      </c>
      <c r="D3563" t="s">
        <v>411</v>
      </c>
      <c r="E3563" t="s">
        <v>412</v>
      </c>
      <c r="F3563">
        <v>0</v>
      </c>
      <c r="G3563">
        <v>582.41</v>
      </c>
    </row>
    <row r="3564" spans="2:7" x14ac:dyDescent="0.25">
      <c r="B3564" s="70">
        <v>43465</v>
      </c>
      <c r="C3564" t="s">
        <v>25</v>
      </c>
      <c r="D3564" t="s">
        <v>411</v>
      </c>
      <c r="E3564" t="s">
        <v>412</v>
      </c>
      <c r="F3564">
        <v>0</v>
      </c>
      <c r="G3564">
        <v>571.4</v>
      </c>
    </row>
    <row r="3565" spans="2:7" x14ac:dyDescent="0.25">
      <c r="B3565" s="70">
        <v>43465</v>
      </c>
      <c r="C3565" t="s">
        <v>25</v>
      </c>
      <c r="D3565" t="s">
        <v>411</v>
      </c>
      <c r="E3565" t="s">
        <v>412</v>
      </c>
      <c r="F3565">
        <v>0</v>
      </c>
      <c r="G3565">
        <v>569.9</v>
      </c>
    </row>
    <row r="3566" spans="2:7" x14ac:dyDescent="0.25">
      <c r="B3566" s="70">
        <v>43465</v>
      </c>
      <c r="C3566" t="s">
        <v>25</v>
      </c>
      <c r="D3566" t="s">
        <v>411</v>
      </c>
      <c r="E3566" t="s">
        <v>412</v>
      </c>
      <c r="F3566">
        <v>0</v>
      </c>
      <c r="G3566">
        <v>564.02</v>
      </c>
    </row>
    <row r="3567" spans="2:7" x14ac:dyDescent="0.25">
      <c r="B3567" s="70">
        <v>43465</v>
      </c>
      <c r="C3567" t="s">
        <v>25</v>
      </c>
      <c r="D3567" t="s">
        <v>411</v>
      </c>
      <c r="E3567" t="s">
        <v>412</v>
      </c>
      <c r="F3567">
        <v>0</v>
      </c>
      <c r="G3567">
        <v>554.47</v>
      </c>
    </row>
    <row r="3568" spans="2:7" x14ac:dyDescent="0.25">
      <c r="B3568" s="70">
        <v>43465</v>
      </c>
      <c r="C3568" t="s">
        <v>25</v>
      </c>
      <c r="D3568" t="s">
        <v>411</v>
      </c>
      <c r="E3568" t="s">
        <v>412</v>
      </c>
      <c r="F3568">
        <v>0</v>
      </c>
      <c r="G3568">
        <v>521.47</v>
      </c>
    </row>
    <row r="3569" spans="2:7" x14ac:dyDescent="0.25">
      <c r="B3569" s="70">
        <v>43465</v>
      </c>
      <c r="C3569" t="s">
        <v>25</v>
      </c>
      <c r="D3569" t="s">
        <v>411</v>
      </c>
      <c r="E3569" t="s">
        <v>412</v>
      </c>
      <c r="F3569">
        <v>0</v>
      </c>
      <c r="G3569">
        <v>489.8</v>
      </c>
    </row>
    <row r="3570" spans="2:7" x14ac:dyDescent="0.25">
      <c r="B3570" s="70">
        <v>43465</v>
      </c>
      <c r="C3570" t="s">
        <v>25</v>
      </c>
      <c r="D3570" t="s">
        <v>411</v>
      </c>
      <c r="E3570" t="s">
        <v>412</v>
      </c>
      <c r="F3570">
        <v>0</v>
      </c>
      <c r="G3570">
        <v>489.3</v>
      </c>
    </row>
    <row r="3571" spans="2:7" x14ac:dyDescent="0.25">
      <c r="B3571" s="70">
        <v>43465</v>
      </c>
      <c r="C3571" t="s">
        <v>25</v>
      </c>
      <c r="D3571" t="s">
        <v>411</v>
      </c>
      <c r="E3571" t="s">
        <v>412</v>
      </c>
      <c r="F3571">
        <v>0</v>
      </c>
      <c r="G3571">
        <v>488</v>
      </c>
    </row>
    <row r="3572" spans="2:7" x14ac:dyDescent="0.25">
      <c r="B3572" s="70">
        <v>43465</v>
      </c>
      <c r="C3572" t="s">
        <v>25</v>
      </c>
      <c r="D3572" t="s">
        <v>411</v>
      </c>
      <c r="E3572" t="s">
        <v>412</v>
      </c>
      <c r="F3572">
        <v>0</v>
      </c>
      <c r="G3572">
        <v>467.32</v>
      </c>
    </row>
    <row r="3573" spans="2:7" x14ac:dyDescent="0.25">
      <c r="B3573" s="70">
        <v>43465</v>
      </c>
      <c r="C3573" t="s">
        <v>25</v>
      </c>
      <c r="D3573" t="s">
        <v>411</v>
      </c>
      <c r="E3573" t="s">
        <v>412</v>
      </c>
      <c r="F3573">
        <v>0</v>
      </c>
      <c r="G3573">
        <v>460.74</v>
      </c>
    </row>
    <row r="3574" spans="2:7" x14ac:dyDescent="0.25">
      <c r="B3574" s="70">
        <v>43465</v>
      </c>
      <c r="C3574" t="s">
        <v>25</v>
      </c>
      <c r="D3574" t="s">
        <v>411</v>
      </c>
      <c r="E3574" t="s">
        <v>412</v>
      </c>
      <c r="F3574">
        <v>0</v>
      </c>
      <c r="G3574">
        <v>454.99</v>
      </c>
    </row>
    <row r="3575" spans="2:7" x14ac:dyDescent="0.25">
      <c r="B3575" s="70">
        <v>43465</v>
      </c>
      <c r="C3575" t="s">
        <v>25</v>
      </c>
      <c r="D3575" t="s">
        <v>411</v>
      </c>
      <c r="E3575" t="s">
        <v>412</v>
      </c>
      <c r="F3575">
        <v>0</v>
      </c>
      <c r="G3575">
        <v>452.75</v>
      </c>
    </row>
    <row r="3576" spans="2:7" x14ac:dyDescent="0.25">
      <c r="B3576" s="70">
        <v>43465</v>
      </c>
      <c r="C3576" t="s">
        <v>25</v>
      </c>
      <c r="D3576" t="s">
        <v>411</v>
      </c>
      <c r="E3576" t="s">
        <v>412</v>
      </c>
      <c r="F3576">
        <v>0</v>
      </c>
      <c r="G3576">
        <v>449.62</v>
      </c>
    </row>
    <row r="3577" spans="2:7" x14ac:dyDescent="0.25">
      <c r="B3577" s="70">
        <v>43465</v>
      </c>
      <c r="C3577" t="s">
        <v>25</v>
      </c>
      <c r="D3577" t="s">
        <v>411</v>
      </c>
      <c r="E3577" t="s">
        <v>412</v>
      </c>
      <c r="F3577">
        <v>0</v>
      </c>
      <c r="G3577">
        <v>446.58</v>
      </c>
    </row>
    <row r="3578" spans="2:7" x14ac:dyDescent="0.25">
      <c r="B3578" s="70">
        <v>43465</v>
      </c>
      <c r="C3578" t="s">
        <v>25</v>
      </c>
      <c r="D3578" t="s">
        <v>411</v>
      </c>
      <c r="E3578" t="s">
        <v>412</v>
      </c>
      <c r="F3578">
        <v>0</v>
      </c>
      <c r="G3578">
        <v>436.8</v>
      </c>
    </row>
    <row r="3579" spans="2:7" x14ac:dyDescent="0.25">
      <c r="B3579" s="70">
        <v>43465</v>
      </c>
      <c r="C3579" t="s">
        <v>25</v>
      </c>
      <c r="D3579" t="s">
        <v>411</v>
      </c>
      <c r="E3579" t="s">
        <v>412</v>
      </c>
      <c r="F3579">
        <v>0</v>
      </c>
      <c r="G3579">
        <v>428.77</v>
      </c>
    </row>
    <row r="3580" spans="2:7" x14ac:dyDescent="0.25">
      <c r="B3580" s="70">
        <v>43465</v>
      </c>
      <c r="C3580" t="s">
        <v>25</v>
      </c>
      <c r="D3580" t="s">
        <v>411</v>
      </c>
      <c r="E3580" t="s">
        <v>412</v>
      </c>
      <c r="F3580">
        <v>0</v>
      </c>
      <c r="G3580">
        <v>421.1</v>
      </c>
    </row>
    <row r="3581" spans="2:7" x14ac:dyDescent="0.25">
      <c r="B3581" s="70">
        <v>43465</v>
      </c>
      <c r="C3581" t="s">
        <v>25</v>
      </c>
      <c r="D3581" t="s">
        <v>411</v>
      </c>
      <c r="E3581" t="s">
        <v>412</v>
      </c>
      <c r="F3581">
        <v>0</v>
      </c>
      <c r="G3581">
        <v>407.49</v>
      </c>
    </row>
    <row r="3582" spans="2:7" x14ac:dyDescent="0.25">
      <c r="B3582" s="70">
        <v>43465</v>
      </c>
      <c r="C3582" t="s">
        <v>25</v>
      </c>
      <c r="D3582" t="s">
        <v>411</v>
      </c>
      <c r="E3582" t="s">
        <v>412</v>
      </c>
      <c r="F3582">
        <v>0</v>
      </c>
      <c r="G3582">
        <v>405.23</v>
      </c>
    </row>
    <row r="3583" spans="2:7" x14ac:dyDescent="0.25">
      <c r="B3583" s="70">
        <v>43465</v>
      </c>
      <c r="C3583" t="s">
        <v>25</v>
      </c>
      <c r="D3583" t="s">
        <v>411</v>
      </c>
      <c r="E3583" t="s">
        <v>412</v>
      </c>
      <c r="F3583">
        <v>0</v>
      </c>
      <c r="G3583">
        <v>402.31</v>
      </c>
    </row>
    <row r="3584" spans="2:7" x14ac:dyDescent="0.25">
      <c r="B3584" s="70">
        <v>43465</v>
      </c>
      <c r="C3584" t="s">
        <v>25</v>
      </c>
      <c r="D3584" t="s">
        <v>411</v>
      </c>
      <c r="E3584" t="s">
        <v>412</v>
      </c>
      <c r="F3584">
        <v>0</v>
      </c>
      <c r="G3584">
        <v>395.86</v>
      </c>
    </row>
    <row r="3585" spans="2:7" x14ac:dyDescent="0.25">
      <c r="B3585" s="70">
        <v>43465</v>
      </c>
      <c r="C3585" t="s">
        <v>25</v>
      </c>
      <c r="D3585" t="s">
        <v>411</v>
      </c>
      <c r="E3585" t="s">
        <v>412</v>
      </c>
      <c r="F3585">
        <v>0</v>
      </c>
      <c r="G3585">
        <v>389.26</v>
      </c>
    </row>
    <row r="3586" spans="2:7" x14ac:dyDescent="0.25">
      <c r="B3586" s="70">
        <v>43465</v>
      </c>
      <c r="C3586" t="s">
        <v>25</v>
      </c>
      <c r="D3586" t="s">
        <v>411</v>
      </c>
      <c r="E3586" t="s">
        <v>412</v>
      </c>
      <c r="F3586">
        <v>0</v>
      </c>
      <c r="G3586">
        <v>389.15</v>
      </c>
    </row>
    <row r="3587" spans="2:7" x14ac:dyDescent="0.25">
      <c r="B3587" s="70">
        <v>43465</v>
      </c>
      <c r="C3587" t="s">
        <v>25</v>
      </c>
      <c r="D3587" t="s">
        <v>411</v>
      </c>
      <c r="E3587" t="s">
        <v>412</v>
      </c>
      <c r="F3587">
        <v>0</v>
      </c>
      <c r="G3587">
        <v>388.61</v>
      </c>
    </row>
    <row r="3588" spans="2:7" x14ac:dyDescent="0.25">
      <c r="B3588" s="70">
        <v>43465</v>
      </c>
      <c r="C3588" t="s">
        <v>25</v>
      </c>
      <c r="D3588" t="s">
        <v>411</v>
      </c>
      <c r="E3588" t="s">
        <v>412</v>
      </c>
      <c r="F3588">
        <v>0</v>
      </c>
      <c r="G3588">
        <v>388</v>
      </c>
    </row>
    <row r="3589" spans="2:7" x14ac:dyDescent="0.25">
      <c r="B3589" s="70">
        <v>43465</v>
      </c>
      <c r="C3589" t="s">
        <v>25</v>
      </c>
      <c r="D3589" t="s">
        <v>411</v>
      </c>
      <c r="E3589" t="s">
        <v>412</v>
      </c>
      <c r="F3589">
        <v>0</v>
      </c>
      <c r="G3589">
        <v>369.1</v>
      </c>
    </row>
    <row r="3590" spans="2:7" x14ac:dyDescent="0.25">
      <c r="B3590" s="70">
        <v>43465</v>
      </c>
      <c r="C3590" t="s">
        <v>25</v>
      </c>
      <c r="D3590" t="s">
        <v>411</v>
      </c>
      <c r="E3590" t="s">
        <v>412</v>
      </c>
      <c r="F3590">
        <v>0</v>
      </c>
      <c r="G3590">
        <v>359.06</v>
      </c>
    </row>
    <row r="3591" spans="2:7" x14ac:dyDescent="0.25">
      <c r="B3591" s="70">
        <v>43465</v>
      </c>
      <c r="C3591" t="s">
        <v>25</v>
      </c>
      <c r="D3591" t="s">
        <v>411</v>
      </c>
      <c r="E3591" t="s">
        <v>412</v>
      </c>
      <c r="F3591">
        <v>0</v>
      </c>
      <c r="G3591">
        <v>353.33</v>
      </c>
    </row>
    <row r="3592" spans="2:7" x14ac:dyDescent="0.25">
      <c r="B3592" s="70">
        <v>43465</v>
      </c>
      <c r="C3592" t="s">
        <v>25</v>
      </c>
      <c r="D3592" t="s">
        <v>411</v>
      </c>
      <c r="E3592" t="s">
        <v>412</v>
      </c>
      <c r="F3592">
        <v>0</v>
      </c>
      <c r="G3592">
        <v>348.31</v>
      </c>
    </row>
    <row r="3593" spans="2:7" x14ac:dyDescent="0.25">
      <c r="B3593" s="70">
        <v>43465</v>
      </c>
      <c r="C3593" t="s">
        <v>25</v>
      </c>
      <c r="D3593" t="s">
        <v>411</v>
      </c>
      <c r="E3593" t="s">
        <v>412</v>
      </c>
      <c r="F3593">
        <v>0</v>
      </c>
      <c r="G3593">
        <v>343.85</v>
      </c>
    </row>
    <row r="3594" spans="2:7" x14ac:dyDescent="0.25">
      <c r="B3594" s="70">
        <v>43465</v>
      </c>
      <c r="C3594" t="s">
        <v>25</v>
      </c>
      <c r="D3594" t="s">
        <v>411</v>
      </c>
      <c r="E3594" t="s">
        <v>412</v>
      </c>
      <c r="F3594">
        <v>0</v>
      </c>
      <c r="G3594">
        <v>340.5</v>
      </c>
    </row>
    <row r="3595" spans="2:7" x14ac:dyDescent="0.25">
      <c r="B3595" s="70">
        <v>43465</v>
      </c>
      <c r="C3595" t="s">
        <v>25</v>
      </c>
      <c r="D3595" t="s">
        <v>411</v>
      </c>
      <c r="E3595" t="s">
        <v>412</v>
      </c>
      <c r="F3595">
        <v>0</v>
      </c>
      <c r="G3595">
        <v>338.72</v>
      </c>
    </row>
    <row r="3596" spans="2:7" x14ac:dyDescent="0.25">
      <c r="B3596" s="70">
        <v>43465</v>
      </c>
      <c r="C3596" t="s">
        <v>25</v>
      </c>
      <c r="D3596" t="s">
        <v>411</v>
      </c>
      <c r="E3596" t="s">
        <v>412</v>
      </c>
      <c r="F3596">
        <v>0</v>
      </c>
      <c r="G3596">
        <v>332.67</v>
      </c>
    </row>
    <row r="3597" spans="2:7" x14ac:dyDescent="0.25">
      <c r="B3597" s="70">
        <v>43465</v>
      </c>
      <c r="C3597" t="s">
        <v>25</v>
      </c>
      <c r="D3597" t="s">
        <v>411</v>
      </c>
      <c r="E3597" t="s">
        <v>412</v>
      </c>
      <c r="F3597">
        <v>0</v>
      </c>
      <c r="G3597">
        <v>325.76</v>
      </c>
    </row>
    <row r="3598" spans="2:7" x14ac:dyDescent="0.25">
      <c r="B3598" s="70">
        <v>43465</v>
      </c>
      <c r="C3598" t="s">
        <v>25</v>
      </c>
      <c r="D3598" t="s">
        <v>411</v>
      </c>
      <c r="E3598" t="s">
        <v>412</v>
      </c>
      <c r="F3598">
        <v>0</v>
      </c>
      <c r="G3598">
        <v>321.58</v>
      </c>
    </row>
    <row r="3599" spans="2:7" x14ac:dyDescent="0.25">
      <c r="B3599" s="70">
        <v>43465</v>
      </c>
      <c r="C3599" t="s">
        <v>25</v>
      </c>
      <c r="D3599" t="s">
        <v>411</v>
      </c>
      <c r="E3599" t="s">
        <v>412</v>
      </c>
      <c r="F3599">
        <v>0</v>
      </c>
      <c r="G3599">
        <v>315.25</v>
      </c>
    </row>
    <row r="3600" spans="2:7" x14ac:dyDescent="0.25">
      <c r="B3600" s="70">
        <v>43465</v>
      </c>
      <c r="C3600" t="s">
        <v>25</v>
      </c>
      <c r="D3600" t="s">
        <v>411</v>
      </c>
      <c r="E3600" t="s">
        <v>412</v>
      </c>
      <c r="F3600">
        <v>0</v>
      </c>
      <c r="G3600">
        <v>314.81</v>
      </c>
    </row>
    <row r="3601" spans="2:7" x14ac:dyDescent="0.25">
      <c r="B3601" s="70">
        <v>43465</v>
      </c>
      <c r="C3601" t="s">
        <v>25</v>
      </c>
      <c r="D3601" t="s">
        <v>411</v>
      </c>
      <c r="E3601" t="s">
        <v>412</v>
      </c>
      <c r="F3601">
        <v>0</v>
      </c>
      <c r="G3601">
        <v>311.75</v>
      </c>
    </row>
    <row r="3602" spans="2:7" x14ac:dyDescent="0.25">
      <c r="B3602" s="70">
        <v>43465</v>
      </c>
      <c r="C3602" t="s">
        <v>25</v>
      </c>
      <c r="D3602" t="s">
        <v>411</v>
      </c>
      <c r="E3602" t="s">
        <v>412</v>
      </c>
      <c r="F3602">
        <v>0</v>
      </c>
      <c r="G3602">
        <v>300.33999999999997</v>
      </c>
    </row>
    <row r="3603" spans="2:7" x14ac:dyDescent="0.25">
      <c r="B3603" s="70">
        <v>43465</v>
      </c>
      <c r="C3603" t="s">
        <v>25</v>
      </c>
      <c r="D3603" t="s">
        <v>411</v>
      </c>
      <c r="E3603" t="s">
        <v>412</v>
      </c>
      <c r="F3603">
        <v>0</v>
      </c>
      <c r="G3603">
        <v>299.77999999999997</v>
      </c>
    </row>
    <row r="3604" spans="2:7" x14ac:dyDescent="0.25">
      <c r="B3604" s="70">
        <v>43465</v>
      </c>
      <c r="C3604" t="s">
        <v>25</v>
      </c>
      <c r="D3604" t="s">
        <v>411</v>
      </c>
      <c r="E3604" t="s">
        <v>412</v>
      </c>
      <c r="F3604">
        <v>0</v>
      </c>
      <c r="G3604">
        <v>299.69</v>
      </c>
    </row>
    <row r="3605" spans="2:7" x14ac:dyDescent="0.25">
      <c r="B3605" s="70">
        <v>43465</v>
      </c>
      <c r="C3605" t="s">
        <v>25</v>
      </c>
      <c r="D3605" t="s">
        <v>411</v>
      </c>
      <c r="E3605" t="s">
        <v>412</v>
      </c>
      <c r="F3605">
        <v>0</v>
      </c>
      <c r="G3605">
        <v>294.36</v>
      </c>
    </row>
    <row r="3606" spans="2:7" x14ac:dyDescent="0.25">
      <c r="B3606" s="70">
        <v>43465</v>
      </c>
      <c r="C3606" t="s">
        <v>25</v>
      </c>
      <c r="D3606" t="s">
        <v>411</v>
      </c>
      <c r="E3606" t="s">
        <v>412</v>
      </c>
      <c r="F3606">
        <v>0</v>
      </c>
      <c r="G3606">
        <v>291.97000000000003</v>
      </c>
    </row>
    <row r="3607" spans="2:7" x14ac:dyDescent="0.25">
      <c r="B3607" s="70">
        <v>43465</v>
      </c>
      <c r="C3607" t="s">
        <v>25</v>
      </c>
      <c r="D3607" t="s">
        <v>411</v>
      </c>
      <c r="E3607" t="s">
        <v>412</v>
      </c>
      <c r="F3607">
        <v>0</v>
      </c>
      <c r="G3607">
        <v>291.83</v>
      </c>
    </row>
    <row r="3608" spans="2:7" x14ac:dyDescent="0.25">
      <c r="B3608" s="70">
        <v>43465</v>
      </c>
      <c r="C3608" t="s">
        <v>25</v>
      </c>
      <c r="D3608" t="s">
        <v>411</v>
      </c>
      <c r="E3608" t="s">
        <v>412</v>
      </c>
      <c r="F3608">
        <v>0</v>
      </c>
      <c r="G3608">
        <v>287.55</v>
      </c>
    </row>
    <row r="3609" spans="2:7" x14ac:dyDescent="0.25">
      <c r="B3609" s="70">
        <v>43465</v>
      </c>
      <c r="C3609" t="s">
        <v>25</v>
      </c>
      <c r="D3609" t="s">
        <v>411</v>
      </c>
      <c r="E3609" t="s">
        <v>412</v>
      </c>
      <c r="F3609">
        <v>0</v>
      </c>
      <c r="G3609">
        <v>282.49</v>
      </c>
    </row>
    <row r="3610" spans="2:7" x14ac:dyDescent="0.25">
      <c r="B3610" s="70">
        <v>43465</v>
      </c>
      <c r="C3610" t="s">
        <v>25</v>
      </c>
      <c r="D3610" t="s">
        <v>411</v>
      </c>
      <c r="E3610" t="s">
        <v>412</v>
      </c>
      <c r="F3610">
        <v>0</v>
      </c>
      <c r="G3610">
        <v>269.43</v>
      </c>
    </row>
    <row r="3611" spans="2:7" x14ac:dyDescent="0.25">
      <c r="B3611" s="70">
        <v>43465</v>
      </c>
      <c r="C3611" t="s">
        <v>25</v>
      </c>
      <c r="D3611" t="s">
        <v>411</v>
      </c>
      <c r="E3611" t="s">
        <v>412</v>
      </c>
      <c r="F3611">
        <v>0</v>
      </c>
      <c r="G3611">
        <v>263.70999999999998</v>
      </c>
    </row>
    <row r="3612" spans="2:7" x14ac:dyDescent="0.25">
      <c r="B3612" s="70">
        <v>43465</v>
      </c>
      <c r="C3612" t="s">
        <v>25</v>
      </c>
      <c r="D3612" t="s">
        <v>411</v>
      </c>
      <c r="E3612" t="s">
        <v>412</v>
      </c>
      <c r="F3612">
        <v>0</v>
      </c>
      <c r="G3612">
        <v>251.37</v>
      </c>
    </row>
    <row r="3613" spans="2:7" x14ac:dyDescent="0.25">
      <c r="B3613" s="70">
        <v>43465</v>
      </c>
      <c r="C3613" t="s">
        <v>25</v>
      </c>
      <c r="D3613" t="s">
        <v>411</v>
      </c>
      <c r="E3613" t="s">
        <v>412</v>
      </c>
      <c r="F3613">
        <v>0</v>
      </c>
      <c r="G3613">
        <v>250.78</v>
      </c>
    </row>
    <row r="3614" spans="2:7" x14ac:dyDescent="0.25">
      <c r="B3614" s="70">
        <v>43465</v>
      </c>
      <c r="C3614" t="s">
        <v>25</v>
      </c>
      <c r="D3614" t="s">
        <v>411</v>
      </c>
      <c r="E3614" t="s">
        <v>412</v>
      </c>
      <c r="F3614">
        <v>0</v>
      </c>
      <c r="G3614">
        <v>248.26</v>
      </c>
    </row>
    <row r="3615" spans="2:7" x14ac:dyDescent="0.25">
      <c r="B3615" s="70">
        <v>43465</v>
      </c>
      <c r="C3615" t="s">
        <v>25</v>
      </c>
      <c r="D3615" t="s">
        <v>411</v>
      </c>
      <c r="E3615" t="s">
        <v>412</v>
      </c>
      <c r="F3615">
        <v>0</v>
      </c>
      <c r="G3615">
        <v>248.23</v>
      </c>
    </row>
    <row r="3616" spans="2:7" x14ac:dyDescent="0.25">
      <c r="B3616" s="70">
        <v>43465</v>
      </c>
      <c r="C3616" t="s">
        <v>25</v>
      </c>
      <c r="D3616" t="s">
        <v>411</v>
      </c>
      <c r="E3616" t="s">
        <v>412</v>
      </c>
      <c r="F3616">
        <v>0</v>
      </c>
      <c r="G3616">
        <v>247.85</v>
      </c>
    </row>
    <row r="3617" spans="2:7" x14ac:dyDescent="0.25">
      <c r="B3617" s="70">
        <v>43465</v>
      </c>
      <c r="C3617" t="s">
        <v>25</v>
      </c>
      <c r="D3617" t="s">
        <v>411</v>
      </c>
      <c r="E3617" t="s">
        <v>412</v>
      </c>
      <c r="F3617">
        <v>0</v>
      </c>
      <c r="G3617">
        <v>247.67</v>
      </c>
    </row>
    <row r="3618" spans="2:7" x14ac:dyDescent="0.25">
      <c r="B3618" s="70">
        <v>43465</v>
      </c>
      <c r="C3618" t="s">
        <v>25</v>
      </c>
      <c r="D3618" t="s">
        <v>411</v>
      </c>
      <c r="E3618" t="s">
        <v>412</v>
      </c>
      <c r="F3618">
        <v>0</v>
      </c>
      <c r="G3618">
        <v>247.66</v>
      </c>
    </row>
    <row r="3619" spans="2:7" x14ac:dyDescent="0.25">
      <c r="B3619" s="70">
        <v>43465</v>
      </c>
      <c r="C3619" t="s">
        <v>25</v>
      </c>
      <c r="D3619" t="s">
        <v>411</v>
      </c>
      <c r="E3619" t="s">
        <v>412</v>
      </c>
      <c r="F3619">
        <v>0</v>
      </c>
      <c r="G3619">
        <v>247.61</v>
      </c>
    </row>
    <row r="3620" spans="2:7" x14ac:dyDescent="0.25">
      <c r="B3620" s="70">
        <v>43465</v>
      </c>
      <c r="C3620" t="s">
        <v>25</v>
      </c>
      <c r="D3620" t="s">
        <v>411</v>
      </c>
      <c r="E3620" t="s">
        <v>412</v>
      </c>
      <c r="F3620">
        <v>0</v>
      </c>
      <c r="G3620">
        <v>245.94</v>
      </c>
    </row>
    <row r="3621" spans="2:7" x14ac:dyDescent="0.25">
      <c r="B3621" s="70">
        <v>43465</v>
      </c>
      <c r="C3621" t="s">
        <v>25</v>
      </c>
      <c r="D3621" t="s">
        <v>411</v>
      </c>
      <c r="E3621" t="s">
        <v>412</v>
      </c>
      <c r="F3621">
        <v>0</v>
      </c>
      <c r="G3621">
        <v>243.4</v>
      </c>
    </row>
    <row r="3622" spans="2:7" x14ac:dyDescent="0.25">
      <c r="B3622" s="70">
        <v>43465</v>
      </c>
      <c r="C3622" t="s">
        <v>25</v>
      </c>
      <c r="D3622" t="s">
        <v>411</v>
      </c>
      <c r="E3622" t="s">
        <v>412</v>
      </c>
      <c r="F3622">
        <v>0</v>
      </c>
      <c r="G3622">
        <v>240.13</v>
      </c>
    </row>
    <row r="3623" spans="2:7" x14ac:dyDescent="0.25">
      <c r="B3623" s="70">
        <v>43465</v>
      </c>
      <c r="C3623" t="s">
        <v>25</v>
      </c>
      <c r="D3623" t="s">
        <v>411</v>
      </c>
      <c r="E3623" t="s">
        <v>412</v>
      </c>
      <c r="F3623">
        <v>0</v>
      </c>
      <c r="G3623">
        <v>230.08</v>
      </c>
    </row>
    <row r="3624" spans="2:7" x14ac:dyDescent="0.25">
      <c r="B3624" s="70">
        <v>43465</v>
      </c>
      <c r="C3624" t="s">
        <v>25</v>
      </c>
      <c r="D3624" t="s">
        <v>411</v>
      </c>
      <c r="E3624" t="s">
        <v>412</v>
      </c>
      <c r="F3624">
        <v>0</v>
      </c>
      <c r="G3624">
        <v>226.14</v>
      </c>
    </row>
    <row r="3625" spans="2:7" x14ac:dyDescent="0.25">
      <c r="B3625" s="70">
        <v>43465</v>
      </c>
      <c r="C3625" t="s">
        <v>25</v>
      </c>
      <c r="D3625" t="s">
        <v>411</v>
      </c>
      <c r="E3625" t="s">
        <v>412</v>
      </c>
      <c r="F3625">
        <v>0</v>
      </c>
      <c r="G3625">
        <v>223.74</v>
      </c>
    </row>
    <row r="3626" spans="2:7" x14ac:dyDescent="0.25">
      <c r="B3626" s="70">
        <v>43465</v>
      </c>
      <c r="C3626" t="s">
        <v>25</v>
      </c>
      <c r="D3626" t="s">
        <v>411</v>
      </c>
      <c r="E3626" t="s">
        <v>412</v>
      </c>
      <c r="F3626">
        <v>0</v>
      </c>
      <c r="G3626">
        <v>220.13</v>
      </c>
    </row>
    <row r="3627" spans="2:7" x14ac:dyDescent="0.25">
      <c r="B3627" s="70">
        <v>43465</v>
      </c>
      <c r="C3627" t="s">
        <v>25</v>
      </c>
      <c r="D3627" t="s">
        <v>411</v>
      </c>
      <c r="E3627" t="s">
        <v>412</v>
      </c>
      <c r="F3627">
        <v>0</v>
      </c>
      <c r="G3627">
        <v>218.73</v>
      </c>
    </row>
    <row r="3628" spans="2:7" x14ac:dyDescent="0.25">
      <c r="B3628" s="70">
        <v>43465</v>
      </c>
      <c r="C3628" t="s">
        <v>25</v>
      </c>
      <c r="D3628" t="s">
        <v>411</v>
      </c>
      <c r="E3628" t="s">
        <v>412</v>
      </c>
      <c r="F3628">
        <v>0</v>
      </c>
      <c r="G3628">
        <v>214.26</v>
      </c>
    </row>
    <row r="3629" spans="2:7" x14ac:dyDescent="0.25">
      <c r="B3629" s="70">
        <v>43465</v>
      </c>
      <c r="C3629" t="s">
        <v>25</v>
      </c>
      <c r="D3629" t="s">
        <v>411</v>
      </c>
      <c r="E3629" t="s">
        <v>412</v>
      </c>
      <c r="F3629">
        <v>0</v>
      </c>
      <c r="G3629">
        <v>213.96</v>
      </c>
    </row>
    <row r="3630" spans="2:7" x14ac:dyDescent="0.25">
      <c r="B3630" s="70">
        <v>43465</v>
      </c>
      <c r="C3630" t="s">
        <v>25</v>
      </c>
      <c r="D3630" t="s">
        <v>411</v>
      </c>
      <c r="E3630" t="s">
        <v>412</v>
      </c>
      <c r="F3630">
        <v>0</v>
      </c>
      <c r="G3630">
        <v>213.4</v>
      </c>
    </row>
    <row r="3631" spans="2:7" x14ac:dyDescent="0.25">
      <c r="B3631" s="70">
        <v>43465</v>
      </c>
      <c r="C3631" t="s">
        <v>25</v>
      </c>
      <c r="D3631" t="s">
        <v>411</v>
      </c>
      <c r="E3631" t="s">
        <v>412</v>
      </c>
      <c r="F3631">
        <v>0</v>
      </c>
      <c r="G3631">
        <v>213</v>
      </c>
    </row>
    <row r="3632" spans="2:7" x14ac:dyDescent="0.25">
      <c r="B3632" s="70">
        <v>43465</v>
      </c>
      <c r="C3632" t="s">
        <v>25</v>
      </c>
      <c r="D3632" t="s">
        <v>411</v>
      </c>
      <c r="E3632" t="s">
        <v>412</v>
      </c>
      <c r="F3632">
        <v>0</v>
      </c>
      <c r="G3632">
        <v>210.85</v>
      </c>
    </row>
    <row r="3633" spans="2:7" x14ac:dyDescent="0.25">
      <c r="B3633" s="70">
        <v>43465</v>
      </c>
      <c r="C3633" t="s">
        <v>25</v>
      </c>
      <c r="D3633" t="s">
        <v>411</v>
      </c>
      <c r="E3633" t="s">
        <v>412</v>
      </c>
      <c r="F3633">
        <v>0</v>
      </c>
      <c r="G3633">
        <v>208.82</v>
      </c>
    </row>
    <row r="3634" spans="2:7" x14ac:dyDescent="0.25">
      <c r="B3634" s="70">
        <v>43465</v>
      </c>
      <c r="C3634" t="s">
        <v>25</v>
      </c>
      <c r="D3634" t="s">
        <v>411</v>
      </c>
      <c r="E3634" t="s">
        <v>412</v>
      </c>
      <c r="F3634">
        <v>0</v>
      </c>
      <c r="G3634">
        <v>207.06</v>
      </c>
    </row>
    <row r="3635" spans="2:7" x14ac:dyDescent="0.25">
      <c r="B3635" s="70">
        <v>43465</v>
      </c>
      <c r="C3635" t="s">
        <v>25</v>
      </c>
      <c r="D3635" t="s">
        <v>411</v>
      </c>
      <c r="E3635" t="s">
        <v>412</v>
      </c>
      <c r="F3635">
        <v>0</v>
      </c>
      <c r="G3635">
        <v>195</v>
      </c>
    </row>
    <row r="3636" spans="2:7" x14ac:dyDescent="0.25">
      <c r="B3636" s="70">
        <v>43465</v>
      </c>
      <c r="C3636" t="s">
        <v>25</v>
      </c>
      <c r="D3636" t="s">
        <v>411</v>
      </c>
      <c r="E3636" t="s">
        <v>412</v>
      </c>
      <c r="F3636">
        <v>0</v>
      </c>
      <c r="G3636">
        <v>191.99</v>
      </c>
    </row>
    <row r="3637" spans="2:7" x14ac:dyDescent="0.25">
      <c r="B3637" s="70">
        <v>43465</v>
      </c>
      <c r="C3637" t="s">
        <v>25</v>
      </c>
      <c r="D3637" t="s">
        <v>411</v>
      </c>
      <c r="E3637" t="s">
        <v>412</v>
      </c>
      <c r="F3637">
        <v>0</v>
      </c>
      <c r="G3637">
        <v>183.12</v>
      </c>
    </row>
    <row r="3638" spans="2:7" x14ac:dyDescent="0.25">
      <c r="B3638" s="70">
        <v>43465</v>
      </c>
      <c r="C3638" t="s">
        <v>25</v>
      </c>
      <c r="D3638" t="s">
        <v>411</v>
      </c>
      <c r="E3638" t="s">
        <v>412</v>
      </c>
      <c r="F3638">
        <v>0</v>
      </c>
      <c r="G3638">
        <v>175.7</v>
      </c>
    </row>
    <row r="3639" spans="2:7" x14ac:dyDescent="0.25">
      <c r="B3639" s="70">
        <v>43465</v>
      </c>
      <c r="C3639" t="s">
        <v>25</v>
      </c>
      <c r="D3639" t="s">
        <v>411</v>
      </c>
      <c r="E3639" t="s">
        <v>412</v>
      </c>
      <c r="F3639">
        <v>0</v>
      </c>
      <c r="G3639">
        <v>171.25</v>
      </c>
    </row>
    <row r="3640" spans="2:7" x14ac:dyDescent="0.25">
      <c r="B3640" s="70">
        <v>43465</v>
      </c>
      <c r="C3640" t="s">
        <v>25</v>
      </c>
      <c r="D3640" t="s">
        <v>411</v>
      </c>
      <c r="E3640" t="s">
        <v>412</v>
      </c>
      <c r="F3640">
        <v>0</v>
      </c>
      <c r="G3640">
        <v>163.19999999999999</v>
      </c>
    </row>
    <row r="3641" spans="2:7" x14ac:dyDescent="0.25">
      <c r="B3641" s="70">
        <v>43465</v>
      </c>
      <c r="C3641" t="s">
        <v>25</v>
      </c>
      <c r="D3641" t="s">
        <v>411</v>
      </c>
      <c r="E3641" t="s">
        <v>412</v>
      </c>
      <c r="F3641">
        <v>0</v>
      </c>
      <c r="G3641">
        <v>160.5</v>
      </c>
    </row>
    <row r="3642" spans="2:7" x14ac:dyDescent="0.25">
      <c r="B3642" s="70">
        <v>43465</v>
      </c>
      <c r="C3642" t="s">
        <v>25</v>
      </c>
      <c r="D3642" t="s">
        <v>411</v>
      </c>
      <c r="E3642" t="s">
        <v>412</v>
      </c>
      <c r="F3642">
        <v>0</v>
      </c>
      <c r="G3642">
        <v>154.49</v>
      </c>
    </row>
    <row r="3643" spans="2:7" x14ac:dyDescent="0.25">
      <c r="B3643" s="70">
        <v>43465</v>
      </c>
      <c r="C3643" t="s">
        <v>25</v>
      </c>
      <c r="D3643" t="s">
        <v>411</v>
      </c>
      <c r="E3643" t="s">
        <v>412</v>
      </c>
      <c r="F3643">
        <v>0</v>
      </c>
      <c r="G3643">
        <v>146.65</v>
      </c>
    </row>
    <row r="3644" spans="2:7" x14ac:dyDescent="0.25">
      <c r="B3644" s="70">
        <v>43465</v>
      </c>
      <c r="C3644" t="s">
        <v>25</v>
      </c>
      <c r="D3644" t="s">
        <v>411</v>
      </c>
      <c r="E3644" t="s">
        <v>412</v>
      </c>
      <c r="F3644">
        <v>0</v>
      </c>
      <c r="G3644">
        <v>136</v>
      </c>
    </row>
    <row r="3645" spans="2:7" x14ac:dyDescent="0.25">
      <c r="B3645" s="70">
        <v>43465</v>
      </c>
      <c r="C3645" t="s">
        <v>25</v>
      </c>
      <c r="D3645" t="s">
        <v>411</v>
      </c>
      <c r="E3645" t="s">
        <v>412</v>
      </c>
      <c r="F3645">
        <v>0</v>
      </c>
      <c r="G3645">
        <v>133.84</v>
      </c>
    </row>
    <row r="3646" spans="2:7" x14ac:dyDescent="0.25">
      <c r="B3646" s="70">
        <v>43465</v>
      </c>
      <c r="C3646" t="s">
        <v>25</v>
      </c>
      <c r="D3646" t="s">
        <v>411</v>
      </c>
      <c r="E3646" t="s">
        <v>412</v>
      </c>
      <c r="F3646">
        <v>0</v>
      </c>
      <c r="G3646">
        <v>133.38</v>
      </c>
    </row>
    <row r="3647" spans="2:7" x14ac:dyDescent="0.25">
      <c r="B3647" s="70">
        <v>43465</v>
      </c>
      <c r="C3647" t="s">
        <v>25</v>
      </c>
      <c r="D3647" t="s">
        <v>411</v>
      </c>
      <c r="E3647" t="s">
        <v>412</v>
      </c>
      <c r="F3647">
        <v>0</v>
      </c>
      <c r="G3647">
        <v>127.21</v>
      </c>
    </row>
    <row r="3648" spans="2:7" x14ac:dyDescent="0.25">
      <c r="B3648" s="70">
        <v>43465</v>
      </c>
      <c r="C3648" t="s">
        <v>25</v>
      </c>
      <c r="D3648" t="s">
        <v>411</v>
      </c>
      <c r="E3648" t="s">
        <v>412</v>
      </c>
      <c r="F3648">
        <v>0</v>
      </c>
      <c r="G3648">
        <v>123.05</v>
      </c>
    </row>
    <row r="3649" spans="2:7" x14ac:dyDescent="0.25">
      <c r="B3649" s="70">
        <v>43465</v>
      </c>
      <c r="C3649" t="s">
        <v>25</v>
      </c>
      <c r="D3649" t="s">
        <v>411</v>
      </c>
      <c r="E3649" t="s">
        <v>412</v>
      </c>
      <c r="F3649">
        <v>0</v>
      </c>
      <c r="G3649">
        <v>119.81</v>
      </c>
    </row>
    <row r="3650" spans="2:7" x14ac:dyDescent="0.25">
      <c r="B3650" s="70">
        <v>43465</v>
      </c>
      <c r="C3650" t="s">
        <v>25</v>
      </c>
      <c r="D3650" t="s">
        <v>411</v>
      </c>
      <c r="E3650" t="s">
        <v>412</v>
      </c>
      <c r="F3650">
        <v>0</v>
      </c>
      <c r="G3650">
        <v>118.25</v>
      </c>
    </row>
    <row r="3651" spans="2:7" x14ac:dyDescent="0.25">
      <c r="B3651" s="70">
        <v>43465</v>
      </c>
      <c r="C3651" t="s">
        <v>25</v>
      </c>
      <c r="D3651" t="s">
        <v>411</v>
      </c>
      <c r="E3651" t="s">
        <v>412</v>
      </c>
      <c r="F3651">
        <v>0</v>
      </c>
      <c r="G3651">
        <v>117.66</v>
      </c>
    </row>
    <row r="3652" spans="2:7" x14ac:dyDescent="0.25">
      <c r="B3652" s="70">
        <v>43465</v>
      </c>
      <c r="C3652" t="s">
        <v>25</v>
      </c>
      <c r="D3652" t="s">
        <v>411</v>
      </c>
      <c r="E3652" t="s">
        <v>412</v>
      </c>
      <c r="F3652">
        <v>0</v>
      </c>
      <c r="G3652">
        <v>117.6</v>
      </c>
    </row>
    <row r="3653" spans="2:7" x14ac:dyDescent="0.25">
      <c r="B3653" s="70">
        <v>43465</v>
      </c>
      <c r="C3653" t="s">
        <v>25</v>
      </c>
      <c r="D3653" t="s">
        <v>411</v>
      </c>
      <c r="E3653" t="s">
        <v>412</v>
      </c>
      <c r="F3653">
        <v>0</v>
      </c>
      <c r="G3653">
        <v>110.8</v>
      </c>
    </row>
    <row r="3654" spans="2:7" x14ac:dyDescent="0.25">
      <c r="B3654" s="70">
        <v>43465</v>
      </c>
      <c r="C3654" t="s">
        <v>25</v>
      </c>
      <c r="D3654" t="s">
        <v>411</v>
      </c>
      <c r="E3654" t="s">
        <v>412</v>
      </c>
      <c r="F3654">
        <v>0</v>
      </c>
      <c r="G3654">
        <v>109.7</v>
      </c>
    </row>
    <row r="3655" spans="2:7" x14ac:dyDescent="0.25">
      <c r="B3655" s="70">
        <v>43465</v>
      </c>
      <c r="C3655" t="s">
        <v>25</v>
      </c>
      <c r="D3655" t="s">
        <v>411</v>
      </c>
      <c r="E3655" t="s">
        <v>412</v>
      </c>
      <c r="F3655">
        <v>0</v>
      </c>
      <c r="G3655">
        <v>108.09</v>
      </c>
    </row>
    <row r="3656" spans="2:7" x14ac:dyDescent="0.25">
      <c r="B3656" s="70">
        <v>43465</v>
      </c>
      <c r="C3656" t="s">
        <v>25</v>
      </c>
      <c r="D3656" t="s">
        <v>411</v>
      </c>
      <c r="E3656" t="s">
        <v>412</v>
      </c>
      <c r="F3656">
        <v>0</v>
      </c>
      <c r="G3656">
        <v>104.35</v>
      </c>
    </row>
    <row r="3657" spans="2:7" x14ac:dyDescent="0.25">
      <c r="B3657" s="70">
        <v>43465</v>
      </c>
      <c r="C3657" t="s">
        <v>25</v>
      </c>
      <c r="D3657" t="s">
        <v>411</v>
      </c>
      <c r="E3657" t="s">
        <v>412</v>
      </c>
      <c r="F3657">
        <v>0</v>
      </c>
      <c r="G3657">
        <v>99.8</v>
      </c>
    </row>
    <row r="3658" spans="2:7" x14ac:dyDescent="0.25">
      <c r="B3658" s="70">
        <v>43465</v>
      </c>
      <c r="C3658" t="s">
        <v>25</v>
      </c>
      <c r="D3658" t="s">
        <v>411</v>
      </c>
      <c r="E3658" t="s">
        <v>412</v>
      </c>
      <c r="F3658">
        <v>0</v>
      </c>
      <c r="G3658">
        <v>98.39</v>
      </c>
    </row>
    <row r="3659" spans="2:7" x14ac:dyDescent="0.25">
      <c r="B3659" s="70">
        <v>43465</v>
      </c>
      <c r="C3659" t="s">
        <v>25</v>
      </c>
      <c r="D3659" t="s">
        <v>411</v>
      </c>
      <c r="E3659" t="s">
        <v>412</v>
      </c>
      <c r="F3659">
        <v>0</v>
      </c>
      <c r="G3659">
        <v>97.05</v>
      </c>
    </row>
    <row r="3660" spans="2:7" x14ac:dyDescent="0.25">
      <c r="B3660" s="70">
        <v>43465</v>
      </c>
      <c r="C3660" t="s">
        <v>25</v>
      </c>
      <c r="D3660" t="s">
        <v>411</v>
      </c>
      <c r="E3660" t="s">
        <v>412</v>
      </c>
      <c r="F3660">
        <v>0</v>
      </c>
      <c r="G3660">
        <v>96.1</v>
      </c>
    </row>
    <row r="3661" spans="2:7" x14ac:dyDescent="0.25">
      <c r="B3661" s="70">
        <v>43465</v>
      </c>
      <c r="C3661" t="s">
        <v>25</v>
      </c>
      <c r="D3661" t="s">
        <v>411</v>
      </c>
      <c r="E3661" t="s">
        <v>412</v>
      </c>
      <c r="F3661">
        <v>0</v>
      </c>
      <c r="G3661">
        <v>96.05</v>
      </c>
    </row>
    <row r="3662" spans="2:7" x14ac:dyDescent="0.25">
      <c r="B3662" s="70">
        <v>43465</v>
      </c>
      <c r="C3662" t="s">
        <v>25</v>
      </c>
      <c r="D3662" t="s">
        <v>411</v>
      </c>
      <c r="E3662" t="s">
        <v>412</v>
      </c>
      <c r="F3662">
        <v>0</v>
      </c>
      <c r="G3662">
        <v>96</v>
      </c>
    </row>
    <row r="3663" spans="2:7" x14ac:dyDescent="0.25">
      <c r="B3663" s="70">
        <v>43465</v>
      </c>
      <c r="C3663" t="s">
        <v>25</v>
      </c>
      <c r="D3663" t="s">
        <v>411</v>
      </c>
      <c r="E3663" t="s">
        <v>412</v>
      </c>
      <c r="F3663">
        <v>0</v>
      </c>
      <c r="G3663">
        <v>95.41</v>
      </c>
    </row>
    <row r="3664" spans="2:7" x14ac:dyDescent="0.25">
      <c r="B3664" s="70">
        <v>43465</v>
      </c>
      <c r="C3664" t="s">
        <v>25</v>
      </c>
      <c r="D3664" t="s">
        <v>411</v>
      </c>
      <c r="E3664" t="s">
        <v>412</v>
      </c>
      <c r="F3664">
        <v>0</v>
      </c>
      <c r="G3664">
        <v>89.6</v>
      </c>
    </row>
    <row r="3665" spans="2:7" x14ac:dyDescent="0.25">
      <c r="B3665" s="70">
        <v>43465</v>
      </c>
      <c r="C3665" t="s">
        <v>25</v>
      </c>
      <c r="D3665" t="s">
        <v>411</v>
      </c>
      <c r="E3665" t="s">
        <v>412</v>
      </c>
      <c r="F3665">
        <v>0</v>
      </c>
      <c r="G3665">
        <v>87.59</v>
      </c>
    </row>
    <row r="3666" spans="2:7" x14ac:dyDescent="0.25">
      <c r="B3666" s="70">
        <v>43465</v>
      </c>
      <c r="C3666" t="s">
        <v>25</v>
      </c>
      <c r="D3666" t="s">
        <v>411</v>
      </c>
      <c r="E3666" t="s">
        <v>412</v>
      </c>
      <c r="F3666">
        <v>0</v>
      </c>
      <c r="G3666">
        <v>87.57</v>
      </c>
    </row>
    <row r="3667" spans="2:7" x14ac:dyDescent="0.25">
      <c r="B3667" s="70">
        <v>43465</v>
      </c>
      <c r="C3667" t="s">
        <v>25</v>
      </c>
      <c r="D3667" t="s">
        <v>411</v>
      </c>
      <c r="E3667" t="s">
        <v>412</v>
      </c>
      <c r="F3667">
        <v>0</v>
      </c>
      <c r="G3667">
        <v>84.25</v>
      </c>
    </row>
    <row r="3668" spans="2:7" x14ac:dyDescent="0.25">
      <c r="B3668" s="70">
        <v>43465</v>
      </c>
      <c r="C3668" t="s">
        <v>25</v>
      </c>
      <c r="D3668" t="s">
        <v>411</v>
      </c>
      <c r="E3668" t="s">
        <v>412</v>
      </c>
      <c r="F3668">
        <v>0</v>
      </c>
      <c r="G3668">
        <v>81.260000000000005</v>
      </c>
    </row>
    <row r="3669" spans="2:7" x14ac:dyDescent="0.25">
      <c r="B3669" s="70">
        <v>43465</v>
      </c>
      <c r="C3669" t="s">
        <v>25</v>
      </c>
      <c r="D3669" t="s">
        <v>411</v>
      </c>
      <c r="E3669" t="s">
        <v>412</v>
      </c>
      <c r="F3669">
        <v>0</v>
      </c>
      <c r="G3669">
        <v>80.87</v>
      </c>
    </row>
    <row r="3670" spans="2:7" x14ac:dyDescent="0.25">
      <c r="B3670" s="70">
        <v>43465</v>
      </c>
      <c r="C3670" t="s">
        <v>25</v>
      </c>
      <c r="D3670" t="s">
        <v>411</v>
      </c>
      <c r="E3670" t="s">
        <v>412</v>
      </c>
      <c r="F3670">
        <v>0</v>
      </c>
      <c r="G3670">
        <v>78.78</v>
      </c>
    </row>
    <row r="3671" spans="2:7" x14ac:dyDescent="0.25">
      <c r="B3671" s="70">
        <v>43465</v>
      </c>
      <c r="C3671" t="s">
        <v>25</v>
      </c>
      <c r="D3671" t="s">
        <v>411</v>
      </c>
      <c r="E3671" t="s">
        <v>412</v>
      </c>
      <c r="F3671">
        <v>0</v>
      </c>
      <c r="G3671">
        <v>78.5</v>
      </c>
    </row>
    <row r="3672" spans="2:7" x14ac:dyDescent="0.25">
      <c r="B3672" s="70">
        <v>43465</v>
      </c>
      <c r="C3672" t="s">
        <v>25</v>
      </c>
      <c r="D3672" t="s">
        <v>411</v>
      </c>
      <c r="E3672" t="s">
        <v>412</v>
      </c>
      <c r="F3672">
        <v>0</v>
      </c>
      <c r="G3672">
        <v>74.75</v>
      </c>
    </row>
    <row r="3673" spans="2:7" x14ac:dyDescent="0.25">
      <c r="B3673" s="70">
        <v>43465</v>
      </c>
      <c r="C3673" t="s">
        <v>25</v>
      </c>
      <c r="D3673" t="s">
        <v>411</v>
      </c>
      <c r="E3673" t="s">
        <v>412</v>
      </c>
      <c r="F3673">
        <v>0</v>
      </c>
      <c r="G3673">
        <v>74.2</v>
      </c>
    </row>
    <row r="3674" spans="2:7" x14ac:dyDescent="0.25">
      <c r="B3674" s="70">
        <v>43465</v>
      </c>
      <c r="C3674" t="s">
        <v>25</v>
      </c>
      <c r="D3674" t="s">
        <v>411</v>
      </c>
      <c r="E3674" t="s">
        <v>412</v>
      </c>
      <c r="F3674">
        <v>0</v>
      </c>
      <c r="G3674">
        <v>74</v>
      </c>
    </row>
    <row r="3675" spans="2:7" x14ac:dyDescent="0.25">
      <c r="B3675" s="70">
        <v>43465</v>
      </c>
      <c r="C3675" t="s">
        <v>25</v>
      </c>
      <c r="D3675" t="s">
        <v>411</v>
      </c>
      <c r="E3675" t="s">
        <v>412</v>
      </c>
      <c r="F3675">
        <v>0</v>
      </c>
      <c r="G3675">
        <v>73.45</v>
      </c>
    </row>
    <row r="3676" spans="2:7" x14ac:dyDescent="0.25">
      <c r="B3676" s="70">
        <v>43465</v>
      </c>
      <c r="C3676" t="s">
        <v>25</v>
      </c>
      <c r="D3676" t="s">
        <v>411</v>
      </c>
      <c r="E3676" t="s">
        <v>412</v>
      </c>
      <c r="F3676">
        <v>0</v>
      </c>
      <c r="G3676">
        <v>73.349999999999994</v>
      </c>
    </row>
    <row r="3677" spans="2:7" x14ac:dyDescent="0.25">
      <c r="B3677" s="70">
        <v>43465</v>
      </c>
      <c r="C3677" t="s">
        <v>25</v>
      </c>
      <c r="D3677" t="s">
        <v>411</v>
      </c>
      <c r="E3677" t="s">
        <v>412</v>
      </c>
      <c r="F3677">
        <v>0</v>
      </c>
      <c r="G3677">
        <v>72.95</v>
      </c>
    </row>
    <row r="3678" spans="2:7" x14ac:dyDescent="0.25">
      <c r="B3678" s="70">
        <v>43465</v>
      </c>
      <c r="C3678" t="s">
        <v>25</v>
      </c>
      <c r="D3678" t="s">
        <v>411</v>
      </c>
      <c r="E3678" t="s">
        <v>412</v>
      </c>
      <c r="F3678">
        <v>0</v>
      </c>
      <c r="G3678">
        <v>72.5</v>
      </c>
    </row>
    <row r="3679" spans="2:7" x14ac:dyDescent="0.25">
      <c r="B3679" s="70">
        <v>43465</v>
      </c>
      <c r="C3679" t="s">
        <v>25</v>
      </c>
      <c r="D3679" t="s">
        <v>411</v>
      </c>
      <c r="E3679" t="s">
        <v>412</v>
      </c>
      <c r="F3679">
        <v>0</v>
      </c>
      <c r="G3679">
        <v>72.040000000000006</v>
      </c>
    </row>
    <row r="3680" spans="2:7" x14ac:dyDescent="0.25">
      <c r="B3680" s="70">
        <v>43465</v>
      </c>
      <c r="C3680" t="s">
        <v>25</v>
      </c>
      <c r="D3680" t="s">
        <v>411</v>
      </c>
      <c r="E3680" t="s">
        <v>412</v>
      </c>
      <c r="F3680">
        <v>0</v>
      </c>
      <c r="G3680">
        <v>71.959999999999994</v>
      </c>
    </row>
    <row r="3681" spans="2:7" x14ac:dyDescent="0.25">
      <c r="B3681" s="70">
        <v>43465</v>
      </c>
      <c r="C3681" t="s">
        <v>25</v>
      </c>
      <c r="D3681" t="s">
        <v>411</v>
      </c>
      <c r="E3681" t="s">
        <v>412</v>
      </c>
      <c r="F3681">
        <v>0</v>
      </c>
      <c r="G3681">
        <v>71.75</v>
      </c>
    </row>
    <row r="3682" spans="2:7" x14ac:dyDescent="0.25">
      <c r="B3682" s="70">
        <v>43465</v>
      </c>
      <c r="C3682" t="s">
        <v>25</v>
      </c>
      <c r="D3682" t="s">
        <v>411</v>
      </c>
      <c r="E3682" t="s">
        <v>412</v>
      </c>
      <c r="F3682">
        <v>0</v>
      </c>
      <c r="G3682">
        <v>71.25</v>
      </c>
    </row>
    <row r="3683" spans="2:7" x14ac:dyDescent="0.25">
      <c r="B3683" s="70">
        <v>43465</v>
      </c>
      <c r="C3683" t="s">
        <v>25</v>
      </c>
      <c r="D3683" t="s">
        <v>411</v>
      </c>
      <c r="E3683" t="s">
        <v>412</v>
      </c>
      <c r="F3683">
        <v>0</v>
      </c>
      <c r="G3683">
        <v>70.819999999999993</v>
      </c>
    </row>
    <row r="3684" spans="2:7" x14ac:dyDescent="0.25">
      <c r="B3684" s="70">
        <v>43465</v>
      </c>
      <c r="C3684" t="s">
        <v>25</v>
      </c>
      <c r="D3684" t="s">
        <v>411</v>
      </c>
      <c r="E3684" t="s">
        <v>412</v>
      </c>
      <c r="F3684">
        <v>0</v>
      </c>
      <c r="G3684">
        <v>68.88</v>
      </c>
    </row>
    <row r="3685" spans="2:7" x14ac:dyDescent="0.25">
      <c r="B3685" s="70">
        <v>43465</v>
      </c>
      <c r="C3685" t="s">
        <v>25</v>
      </c>
      <c r="D3685" t="s">
        <v>411</v>
      </c>
      <c r="E3685" t="s">
        <v>412</v>
      </c>
      <c r="F3685">
        <v>0</v>
      </c>
      <c r="G3685">
        <v>67</v>
      </c>
    </row>
    <row r="3686" spans="2:7" x14ac:dyDescent="0.25">
      <c r="B3686" s="70">
        <v>43465</v>
      </c>
      <c r="C3686" t="s">
        <v>25</v>
      </c>
      <c r="D3686" t="s">
        <v>411</v>
      </c>
      <c r="E3686" t="s">
        <v>412</v>
      </c>
      <c r="F3686">
        <v>0</v>
      </c>
      <c r="G3686">
        <v>66.92</v>
      </c>
    </row>
    <row r="3687" spans="2:7" x14ac:dyDescent="0.25">
      <c r="B3687" s="70">
        <v>43465</v>
      </c>
      <c r="C3687" t="s">
        <v>25</v>
      </c>
      <c r="D3687" t="s">
        <v>411</v>
      </c>
      <c r="E3687" t="s">
        <v>412</v>
      </c>
      <c r="F3687">
        <v>0</v>
      </c>
      <c r="G3687">
        <v>66.27</v>
      </c>
    </row>
    <row r="3688" spans="2:7" x14ac:dyDescent="0.25">
      <c r="B3688" s="70">
        <v>43465</v>
      </c>
      <c r="C3688" t="s">
        <v>25</v>
      </c>
      <c r="D3688" t="s">
        <v>411</v>
      </c>
      <c r="E3688" t="s">
        <v>412</v>
      </c>
      <c r="F3688">
        <v>0</v>
      </c>
      <c r="G3688">
        <v>64.92</v>
      </c>
    </row>
    <row r="3689" spans="2:7" x14ac:dyDescent="0.25">
      <c r="B3689" s="70">
        <v>43465</v>
      </c>
      <c r="C3689" t="s">
        <v>25</v>
      </c>
      <c r="D3689" t="s">
        <v>411</v>
      </c>
      <c r="E3689" t="s">
        <v>412</v>
      </c>
      <c r="F3689">
        <v>0</v>
      </c>
      <c r="G3689">
        <v>63.97</v>
      </c>
    </row>
    <row r="3690" spans="2:7" x14ac:dyDescent="0.25">
      <c r="B3690" s="70">
        <v>43465</v>
      </c>
      <c r="C3690" t="s">
        <v>25</v>
      </c>
      <c r="D3690" t="s">
        <v>411</v>
      </c>
      <c r="E3690" t="s">
        <v>412</v>
      </c>
      <c r="F3690">
        <v>0</v>
      </c>
      <c r="G3690">
        <v>63.19</v>
      </c>
    </row>
    <row r="3691" spans="2:7" x14ac:dyDescent="0.25">
      <c r="B3691" s="70">
        <v>43465</v>
      </c>
      <c r="C3691" t="s">
        <v>25</v>
      </c>
      <c r="D3691" t="s">
        <v>411</v>
      </c>
      <c r="E3691" t="s">
        <v>412</v>
      </c>
      <c r="F3691">
        <v>0</v>
      </c>
      <c r="G3691">
        <v>62.7</v>
      </c>
    </row>
    <row r="3692" spans="2:7" x14ac:dyDescent="0.25">
      <c r="B3692" s="70">
        <v>43465</v>
      </c>
      <c r="C3692" t="s">
        <v>25</v>
      </c>
      <c r="D3692" t="s">
        <v>411</v>
      </c>
      <c r="E3692" t="s">
        <v>412</v>
      </c>
      <c r="F3692">
        <v>0</v>
      </c>
      <c r="G3692">
        <v>61.9</v>
      </c>
    </row>
    <row r="3693" spans="2:7" x14ac:dyDescent="0.25">
      <c r="B3693" s="70">
        <v>43465</v>
      </c>
      <c r="C3693" t="s">
        <v>25</v>
      </c>
      <c r="D3693" t="s">
        <v>411</v>
      </c>
      <c r="E3693" t="s">
        <v>412</v>
      </c>
      <c r="F3693">
        <v>0</v>
      </c>
      <c r="G3693">
        <v>61.05</v>
      </c>
    </row>
    <row r="3694" spans="2:7" x14ac:dyDescent="0.25">
      <c r="B3694" s="70">
        <v>43465</v>
      </c>
      <c r="C3694" t="s">
        <v>25</v>
      </c>
      <c r="D3694" t="s">
        <v>411</v>
      </c>
      <c r="E3694" t="s">
        <v>412</v>
      </c>
      <c r="F3694">
        <v>0</v>
      </c>
      <c r="G3694">
        <v>60.95</v>
      </c>
    </row>
    <row r="3695" spans="2:7" x14ac:dyDescent="0.25">
      <c r="B3695" s="70">
        <v>43465</v>
      </c>
      <c r="C3695" t="s">
        <v>25</v>
      </c>
      <c r="D3695" t="s">
        <v>411</v>
      </c>
      <c r="E3695" t="s">
        <v>412</v>
      </c>
      <c r="F3695">
        <v>0</v>
      </c>
      <c r="G3695">
        <v>60.47</v>
      </c>
    </row>
    <row r="3696" spans="2:7" x14ac:dyDescent="0.25">
      <c r="B3696" s="70">
        <v>43465</v>
      </c>
      <c r="C3696" t="s">
        <v>25</v>
      </c>
      <c r="D3696" t="s">
        <v>411</v>
      </c>
      <c r="E3696" t="s">
        <v>412</v>
      </c>
      <c r="F3696">
        <v>0</v>
      </c>
      <c r="G3696">
        <v>60</v>
      </c>
    </row>
    <row r="3697" spans="2:7" x14ac:dyDescent="0.25">
      <c r="B3697" s="70">
        <v>43465</v>
      </c>
      <c r="C3697" t="s">
        <v>25</v>
      </c>
      <c r="D3697" t="s">
        <v>411</v>
      </c>
      <c r="E3697" t="s">
        <v>412</v>
      </c>
      <c r="F3697">
        <v>0</v>
      </c>
      <c r="G3697">
        <v>59.7</v>
      </c>
    </row>
    <row r="3698" spans="2:7" x14ac:dyDescent="0.25">
      <c r="B3698" s="70">
        <v>43465</v>
      </c>
      <c r="C3698" t="s">
        <v>25</v>
      </c>
      <c r="D3698" t="s">
        <v>411</v>
      </c>
      <c r="E3698" t="s">
        <v>412</v>
      </c>
      <c r="F3698">
        <v>0</v>
      </c>
      <c r="G3698">
        <v>58.15</v>
      </c>
    </row>
    <row r="3699" spans="2:7" x14ac:dyDescent="0.25">
      <c r="B3699" s="70">
        <v>43465</v>
      </c>
      <c r="C3699" t="s">
        <v>25</v>
      </c>
      <c r="D3699" t="s">
        <v>411</v>
      </c>
      <c r="E3699" t="s">
        <v>412</v>
      </c>
      <c r="F3699">
        <v>0</v>
      </c>
      <c r="G3699">
        <v>55.74</v>
      </c>
    </row>
    <row r="3700" spans="2:7" x14ac:dyDescent="0.25">
      <c r="B3700" s="70">
        <v>43465</v>
      </c>
      <c r="C3700" t="s">
        <v>25</v>
      </c>
      <c r="D3700" t="s">
        <v>411</v>
      </c>
      <c r="E3700" t="s">
        <v>412</v>
      </c>
      <c r="F3700">
        <v>0</v>
      </c>
      <c r="G3700">
        <v>55.19</v>
      </c>
    </row>
    <row r="3701" spans="2:7" x14ac:dyDescent="0.25">
      <c r="B3701" s="70">
        <v>43465</v>
      </c>
      <c r="C3701" t="s">
        <v>25</v>
      </c>
      <c r="D3701" t="s">
        <v>411</v>
      </c>
      <c r="E3701" t="s">
        <v>412</v>
      </c>
      <c r="F3701">
        <v>0</v>
      </c>
      <c r="G3701">
        <v>55.15</v>
      </c>
    </row>
    <row r="3702" spans="2:7" x14ac:dyDescent="0.25">
      <c r="B3702" s="70">
        <v>43465</v>
      </c>
      <c r="C3702" t="s">
        <v>25</v>
      </c>
      <c r="D3702" t="s">
        <v>411</v>
      </c>
      <c r="E3702" t="s">
        <v>412</v>
      </c>
      <c r="F3702">
        <v>0</v>
      </c>
      <c r="G3702">
        <v>53.39</v>
      </c>
    </row>
    <row r="3703" spans="2:7" x14ac:dyDescent="0.25">
      <c r="B3703" s="70">
        <v>43465</v>
      </c>
      <c r="C3703" t="s">
        <v>25</v>
      </c>
      <c r="D3703" t="s">
        <v>411</v>
      </c>
      <c r="E3703" t="s">
        <v>412</v>
      </c>
      <c r="F3703">
        <v>0</v>
      </c>
      <c r="G3703">
        <v>52.41</v>
      </c>
    </row>
    <row r="3704" spans="2:7" x14ac:dyDescent="0.25">
      <c r="B3704" s="70">
        <v>43465</v>
      </c>
      <c r="C3704" t="s">
        <v>25</v>
      </c>
      <c r="D3704" t="s">
        <v>411</v>
      </c>
      <c r="E3704" t="s">
        <v>412</v>
      </c>
      <c r="F3704">
        <v>0</v>
      </c>
      <c r="G3704">
        <v>51.45</v>
      </c>
    </row>
    <row r="3705" spans="2:7" x14ac:dyDescent="0.25">
      <c r="B3705" s="70">
        <v>43465</v>
      </c>
      <c r="C3705" t="s">
        <v>25</v>
      </c>
      <c r="D3705" t="s">
        <v>411</v>
      </c>
      <c r="E3705" t="s">
        <v>412</v>
      </c>
      <c r="F3705">
        <v>0</v>
      </c>
      <c r="G3705">
        <v>50.9</v>
      </c>
    </row>
    <row r="3706" spans="2:7" x14ac:dyDescent="0.25">
      <c r="B3706" s="70">
        <v>43465</v>
      </c>
      <c r="C3706" t="s">
        <v>25</v>
      </c>
      <c r="D3706" t="s">
        <v>411</v>
      </c>
      <c r="E3706" t="s">
        <v>412</v>
      </c>
      <c r="F3706">
        <v>0</v>
      </c>
      <c r="G3706">
        <v>50</v>
      </c>
    </row>
    <row r="3707" spans="2:7" x14ac:dyDescent="0.25">
      <c r="B3707" s="70">
        <v>43465</v>
      </c>
      <c r="C3707" t="s">
        <v>25</v>
      </c>
      <c r="D3707" t="s">
        <v>411</v>
      </c>
      <c r="E3707" t="s">
        <v>412</v>
      </c>
      <c r="F3707">
        <v>0</v>
      </c>
      <c r="G3707">
        <v>49.98</v>
      </c>
    </row>
    <row r="3708" spans="2:7" x14ac:dyDescent="0.25">
      <c r="B3708" s="70">
        <v>43465</v>
      </c>
      <c r="C3708" t="s">
        <v>25</v>
      </c>
      <c r="D3708" t="s">
        <v>411</v>
      </c>
      <c r="E3708" t="s">
        <v>412</v>
      </c>
      <c r="F3708">
        <v>0</v>
      </c>
      <c r="G3708">
        <v>49.82</v>
      </c>
    </row>
    <row r="3709" spans="2:7" x14ac:dyDescent="0.25">
      <c r="B3709" s="70">
        <v>43465</v>
      </c>
      <c r="C3709" t="s">
        <v>25</v>
      </c>
      <c r="D3709" t="s">
        <v>411</v>
      </c>
      <c r="E3709" t="s">
        <v>412</v>
      </c>
      <c r="F3709">
        <v>0</v>
      </c>
      <c r="G3709">
        <v>48.48</v>
      </c>
    </row>
    <row r="3710" spans="2:7" x14ac:dyDescent="0.25">
      <c r="B3710" s="70">
        <v>43465</v>
      </c>
      <c r="C3710" t="s">
        <v>25</v>
      </c>
      <c r="D3710" t="s">
        <v>411</v>
      </c>
      <c r="E3710" t="s">
        <v>412</v>
      </c>
      <c r="F3710">
        <v>0</v>
      </c>
      <c r="G3710">
        <v>48</v>
      </c>
    </row>
    <row r="3711" spans="2:7" x14ac:dyDescent="0.25">
      <c r="B3711" s="70">
        <v>43465</v>
      </c>
      <c r="C3711" t="s">
        <v>25</v>
      </c>
      <c r="D3711" t="s">
        <v>411</v>
      </c>
      <c r="E3711" t="s">
        <v>412</v>
      </c>
      <c r="F3711">
        <v>0</v>
      </c>
      <c r="G3711">
        <v>47</v>
      </c>
    </row>
    <row r="3712" spans="2:7" x14ac:dyDescent="0.25">
      <c r="B3712" s="70">
        <v>43465</v>
      </c>
      <c r="C3712" t="s">
        <v>25</v>
      </c>
      <c r="D3712" t="s">
        <v>411</v>
      </c>
      <c r="E3712" t="s">
        <v>412</v>
      </c>
      <c r="F3712">
        <v>0</v>
      </c>
      <c r="G3712">
        <v>46.98</v>
      </c>
    </row>
    <row r="3713" spans="2:7" x14ac:dyDescent="0.25">
      <c r="B3713" s="70">
        <v>43465</v>
      </c>
      <c r="C3713" t="s">
        <v>25</v>
      </c>
      <c r="D3713" t="s">
        <v>411</v>
      </c>
      <c r="E3713" t="s">
        <v>412</v>
      </c>
      <c r="F3713">
        <v>0</v>
      </c>
      <c r="G3713">
        <v>46.55</v>
      </c>
    </row>
    <row r="3714" spans="2:7" x14ac:dyDescent="0.25">
      <c r="B3714" s="70">
        <v>43465</v>
      </c>
      <c r="C3714" t="s">
        <v>25</v>
      </c>
      <c r="D3714" t="s">
        <v>411</v>
      </c>
      <c r="E3714" t="s">
        <v>412</v>
      </c>
      <c r="F3714">
        <v>0</v>
      </c>
      <c r="G3714">
        <v>45.97</v>
      </c>
    </row>
    <row r="3715" spans="2:7" x14ac:dyDescent="0.25">
      <c r="B3715" s="70">
        <v>43465</v>
      </c>
      <c r="C3715" t="s">
        <v>25</v>
      </c>
      <c r="D3715" t="s">
        <v>411</v>
      </c>
      <c r="E3715" t="s">
        <v>412</v>
      </c>
      <c r="F3715">
        <v>0</v>
      </c>
      <c r="G3715">
        <v>45.43</v>
      </c>
    </row>
    <row r="3716" spans="2:7" x14ac:dyDescent="0.25">
      <c r="B3716" s="70">
        <v>43465</v>
      </c>
      <c r="C3716" t="s">
        <v>25</v>
      </c>
      <c r="D3716" t="s">
        <v>411</v>
      </c>
      <c r="E3716" t="s">
        <v>412</v>
      </c>
      <c r="F3716">
        <v>0</v>
      </c>
      <c r="G3716">
        <v>43.65</v>
      </c>
    </row>
    <row r="3717" spans="2:7" x14ac:dyDescent="0.25">
      <c r="B3717" s="70">
        <v>43465</v>
      </c>
      <c r="C3717" t="s">
        <v>25</v>
      </c>
      <c r="D3717" t="s">
        <v>411</v>
      </c>
      <c r="E3717" t="s">
        <v>412</v>
      </c>
      <c r="F3717">
        <v>0</v>
      </c>
      <c r="G3717">
        <v>43.34</v>
      </c>
    </row>
    <row r="3718" spans="2:7" x14ac:dyDescent="0.25">
      <c r="B3718" s="70">
        <v>43465</v>
      </c>
      <c r="C3718" t="s">
        <v>25</v>
      </c>
      <c r="D3718" t="s">
        <v>411</v>
      </c>
      <c r="E3718" t="s">
        <v>412</v>
      </c>
      <c r="F3718">
        <v>0</v>
      </c>
      <c r="G3718">
        <v>43.32</v>
      </c>
    </row>
    <row r="3719" spans="2:7" x14ac:dyDescent="0.25">
      <c r="B3719" s="70">
        <v>43465</v>
      </c>
      <c r="C3719" t="s">
        <v>25</v>
      </c>
      <c r="D3719" t="s">
        <v>411</v>
      </c>
      <c r="E3719" t="s">
        <v>412</v>
      </c>
      <c r="F3719">
        <v>0</v>
      </c>
      <c r="G3719">
        <v>43.29</v>
      </c>
    </row>
    <row r="3720" spans="2:7" x14ac:dyDescent="0.25">
      <c r="B3720" s="70">
        <v>43465</v>
      </c>
      <c r="C3720" t="s">
        <v>25</v>
      </c>
      <c r="D3720" t="s">
        <v>411</v>
      </c>
      <c r="E3720" t="s">
        <v>412</v>
      </c>
      <c r="F3720">
        <v>0</v>
      </c>
      <c r="G3720">
        <v>42.85</v>
      </c>
    </row>
    <row r="3721" spans="2:7" x14ac:dyDescent="0.25">
      <c r="B3721" s="70">
        <v>43465</v>
      </c>
      <c r="C3721" t="s">
        <v>25</v>
      </c>
      <c r="D3721" t="s">
        <v>411</v>
      </c>
      <c r="E3721" t="s">
        <v>412</v>
      </c>
      <c r="F3721">
        <v>0</v>
      </c>
      <c r="G3721">
        <v>41.95</v>
      </c>
    </row>
    <row r="3722" spans="2:7" x14ac:dyDescent="0.25">
      <c r="B3722" s="70">
        <v>43465</v>
      </c>
      <c r="C3722" t="s">
        <v>25</v>
      </c>
      <c r="D3722" t="s">
        <v>411</v>
      </c>
      <c r="E3722" t="s">
        <v>412</v>
      </c>
      <c r="F3722">
        <v>0</v>
      </c>
      <c r="G3722">
        <v>41.49</v>
      </c>
    </row>
    <row r="3723" spans="2:7" x14ac:dyDescent="0.25">
      <c r="B3723" s="70">
        <v>43465</v>
      </c>
      <c r="C3723" t="s">
        <v>25</v>
      </c>
      <c r="D3723" t="s">
        <v>411</v>
      </c>
      <c r="E3723" t="s">
        <v>412</v>
      </c>
      <c r="F3723">
        <v>0</v>
      </c>
      <c r="G3723">
        <v>40</v>
      </c>
    </row>
    <row r="3724" spans="2:7" x14ac:dyDescent="0.25">
      <c r="B3724" s="70">
        <v>43465</v>
      </c>
      <c r="C3724" t="s">
        <v>25</v>
      </c>
      <c r="D3724" t="s">
        <v>411</v>
      </c>
      <c r="E3724" t="s">
        <v>412</v>
      </c>
      <c r="F3724">
        <v>0</v>
      </c>
      <c r="G3724">
        <v>39.979999999999997</v>
      </c>
    </row>
    <row r="3725" spans="2:7" x14ac:dyDescent="0.25">
      <c r="B3725" s="70">
        <v>43465</v>
      </c>
      <c r="C3725" t="s">
        <v>25</v>
      </c>
      <c r="D3725" t="s">
        <v>411</v>
      </c>
      <c r="E3725" t="s">
        <v>412</v>
      </c>
      <c r="F3725">
        <v>0</v>
      </c>
      <c r="G3725">
        <v>38.97</v>
      </c>
    </row>
    <row r="3726" spans="2:7" x14ac:dyDescent="0.25">
      <c r="B3726" s="70">
        <v>43465</v>
      </c>
      <c r="C3726" t="s">
        <v>25</v>
      </c>
      <c r="D3726" t="s">
        <v>411</v>
      </c>
      <c r="E3726" t="s">
        <v>412</v>
      </c>
      <c r="F3726">
        <v>0</v>
      </c>
      <c r="G3726">
        <v>37.47</v>
      </c>
    </row>
    <row r="3727" spans="2:7" x14ac:dyDescent="0.25">
      <c r="B3727" s="70">
        <v>43465</v>
      </c>
      <c r="C3727" t="s">
        <v>25</v>
      </c>
      <c r="D3727" t="s">
        <v>411</v>
      </c>
      <c r="E3727" t="s">
        <v>412</v>
      </c>
      <c r="F3727">
        <v>0</v>
      </c>
      <c r="G3727">
        <v>35.96</v>
      </c>
    </row>
    <row r="3728" spans="2:7" x14ac:dyDescent="0.25">
      <c r="B3728" s="70">
        <v>43465</v>
      </c>
      <c r="C3728" t="s">
        <v>25</v>
      </c>
      <c r="D3728" t="s">
        <v>411</v>
      </c>
      <c r="E3728" t="s">
        <v>412</v>
      </c>
      <c r="F3728">
        <v>0</v>
      </c>
      <c r="G3728">
        <v>34.68</v>
      </c>
    </row>
    <row r="3729" spans="2:7" x14ac:dyDescent="0.25">
      <c r="B3729" s="70">
        <v>43465</v>
      </c>
      <c r="C3729" t="s">
        <v>25</v>
      </c>
      <c r="D3729" t="s">
        <v>411</v>
      </c>
      <c r="E3729" t="s">
        <v>412</v>
      </c>
      <c r="F3729">
        <v>0</v>
      </c>
      <c r="G3729">
        <v>34.64</v>
      </c>
    </row>
    <row r="3730" spans="2:7" x14ac:dyDescent="0.25">
      <c r="B3730" s="70">
        <v>43465</v>
      </c>
      <c r="C3730" t="s">
        <v>25</v>
      </c>
      <c r="D3730" t="s">
        <v>411</v>
      </c>
      <c r="E3730" t="s">
        <v>412</v>
      </c>
      <c r="F3730">
        <v>0</v>
      </c>
      <c r="G3730">
        <v>34.42</v>
      </c>
    </row>
    <row r="3731" spans="2:7" x14ac:dyDescent="0.25">
      <c r="B3731" s="70">
        <v>43465</v>
      </c>
      <c r="C3731" t="s">
        <v>25</v>
      </c>
      <c r="D3731" t="s">
        <v>411</v>
      </c>
      <c r="E3731" t="s">
        <v>412</v>
      </c>
      <c r="F3731">
        <v>0</v>
      </c>
      <c r="G3731">
        <v>33.1</v>
      </c>
    </row>
    <row r="3732" spans="2:7" x14ac:dyDescent="0.25">
      <c r="B3732" s="70">
        <v>43465</v>
      </c>
      <c r="C3732" t="s">
        <v>25</v>
      </c>
      <c r="D3732" t="s">
        <v>411</v>
      </c>
      <c r="E3732" t="s">
        <v>412</v>
      </c>
      <c r="F3732">
        <v>0</v>
      </c>
      <c r="G3732">
        <v>31.98</v>
      </c>
    </row>
    <row r="3733" spans="2:7" x14ac:dyDescent="0.25">
      <c r="B3733" s="70">
        <v>43465</v>
      </c>
      <c r="C3733" t="s">
        <v>25</v>
      </c>
      <c r="D3733" t="s">
        <v>411</v>
      </c>
      <c r="E3733" t="s">
        <v>412</v>
      </c>
      <c r="F3733">
        <v>0</v>
      </c>
      <c r="G3733">
        <v>30.75</v>
      </c>
    </row>
    <row r="3734" spans="2:7" x14ac:dyDescent="0.25">
      <c r="B3734" s="70">
        <v>43465</v>
      </c>
      <c r="C3734" t="s">
        <v>25</v>
      </c>
      <c r="D3734" t="s">
        <v>411</v>
      </c>
      <c r="E3734" t="s">
        <v>412</v>
      </c>
      <c r="F3734">
        <v>0</v>
      </c>
      <c r="G3734">
        <v>30</v>
      </c>
    </row>
    <row r="3735" spans="2:7" x14ac:dyDescent="0.25">
      <c r="B3735" s="70">
        <v>43465</v>
      </c>
      <c r="C3735" t="s">
        <v>25</v>
      </c>
      <c r="D3735" t="s">
        <v>411</v>
      </c>
      <c r="E3735" t="s">
        <v>412</v>
      </c>
      <c r="F3735">
        <v>0</v>
      </c>
      <c r="G3735">
        <v>29.7</v>
      </c>
    </row>
    <row r="3736" spans="2:7" x14ac:dyDescent="0.25">
      <c r="B3736" s="70">
        <v>43465</v>
      </c>
      <c r="C3736" t="s">
        <v>25</v>
      </c>
      <c r="D3736" t="s">
        <v>411</v>
      </c>
      <c r="E3736" t="s">
        <v>412</v>
      </c>
      <c r="F3736">
        <v>0</v>
      </c>
      <c r="G3736">
        <v>29.37</v>
      </c>
    </row>
    <row r="3737" spans="2:7" x14ac:dyDescent="0.25">
      <c r="B3737" s="70">
        <v>43465</v>
      </c>
      <c r="C3737" t="s">
        <v>25</v>
      </c>
      <c r="D3737" t="s">
        <v>411</v>
      </c>
      <c r="E3737" t="s">
        <v>412</v>
      </c>
      <c r="F3737">
        <v>0</v>
      </c>
      <c r="G3737">
        <v>29.35</v>
      </c>
    </row>
    <row r="3738" spans="2:7" x14ac:dyDescent="0.25">
      <c r="B3738" s="70">
        <v>43465</v>
      </c>
      <c r="C3738" t="s">
        <v>25</v>
      </c>
      <c r="D3738" t="s">
        <v>411</v>
      </c>
      <c r="E3738" t="s">
        <v>412</v>
      </c>
      <c r="F3738">
        <v>0</v>
      </c>
      <c r="G3738">
        <v>29.26</v>
      </c>
    </row>
    <row r="3739" spans="2:7" x14ac:dyDescent="0.25">
      <c r="B3739" s="70">
        <v>43465</v>
      </c>
      <c r="C3739" t="s">
        <v>25</v>
      </c>
      <c r="D3739" t="s">
        <v>411</v>
      </c>
      <c r="E3739" t="s">
        <v>412</v>
      </c>
      <c r="F3739">
        <v>0</v>
      </c>
      <c r="G3739">
        <v>28.5</v>
      </c>
    </row>
    <row r="3740" spans="2:7" x14ac:dyDescent="0.25">
      <c r="B3740" s="70">
        <v>43465</v>
      </c>
      <c r="C3740" t="s">
        <v>25</v>
      </c>
      <c r="D3740" t="s">
        <v>411</v>
      </c>
      <c r="E3740" t="s">
        <v>412</v>
      </c>
      <c r="F3740">
        <v>0</v>
      </c>
      <c r="G3740">
        <v>28.35</v>
      </c>
    </row>
    <row r="3741" spans="2:7" x14ac:dyDescent="0.25">
      <c r="B3741" s="70">
        <v>43465</v>
      </c>
      <c r="C3741" t="s">
        <v>25</v>
      </c>
      <c r="D3741" t="s">
        <v>411</v>
      </c>
      <c r="E3741" t="s">
        <v>412</v>
      </c>
      <c r="F3741">
        <v>0</v>
      </c>
      <c r="G3741">
        <v>27.98</v>
      </c>
    </row>
    <row r="3742" spans="2:7" x14ac:dyDescent="0.25">
      <c r="B3742" s="70">
        <v>43465</v>
      </c>
      <c r="C3742" t="s">
        <v>25</v>
      </c>
      <c r="D3742" t="s">
        <v>411</v>
      </c>
      <c r="E3742" t="s">
        <v>412</v>
      </c>
      <c r="F3742">
        <v>0</v>
      </c>
      <c r="G3742">
        <v>27.46</v>
      </c>
    </row>
    <row r="3743" spans="2:7" x14ac:dyDescent="0.25">
      <c r="B3743" s="70">
        <v>43465</v>
      </c>
      <c r="C3743" t="s">
        <v>25</v>
      </c>
      <c r="D3743" t="s">
        <v>411</v>
      </c>
      <c r="E3743" t="s">
        <v>412</v>
      </c>
      <c r="F3743">
        <v>0</v>
      </c>
      <c r="G3743">
        <v>26.94</v>
      </c>
    </row>
    <row r="3744" spans="2:7" x14ac:dyDescent="0.25">
      <c r="B3744" s="70">
        <v>43465</v>
      </c>
      <c r="C3744" t="s">
        <v>25</v>
      </c>
      <c r="D3744" t="s">
        <v>411</v>
      </c>
      <c r="E3744" t="s">
        <v>412</v>
      </c>
      <c r="F3744">
        <v>0</v>
      </c>
      <c r="G3744">
        <v>25.99</v>
      </c>
    </row>
    <row r="3745" spans="2:7" x14ac:dyDescent="0.25">
      <c r="B3745" s="70">
        <v>43465</v>
      </c>
      <c r="C3745" t="s">
        <v>25</v>
      </c>
      <c r="D3745" t="s">
        <v>411</v>
      </c>
      <c r="E3745" t="s">
        <v>412</v>
      </c>
      <c r="F3745">
        <v>0</v>
      </c>
      <c r="G3745">
        <v>25.94</v>
      </c>
    </row>
    <row r="3746" spans="2:7" x14ac:dyDescent="0.25">
      <c r="B3746" s="70">
        <v>43465</v>
      </c>
      <c r="C3746" t="s">
        <v>25</v>
      </c>
      <c r="D3746" t="s">
        <v>411</v>
      </c>
      <c r="E3746" t="s">
        <v>412</v>
      </c>
      <c r="F3746">
        <v>0</v>
      </c>
      <c r="G3746">
        <v>25</v>
      </c>
    </row>
    <row r="3747" spans="2:7" x14ac:dyDescent="0.25">
      <c r="B3747" s="70">
        <v>43465</v>
      </c>
      <c r="C3747" t="s">
        <v>25</v>
      </c>
      <c r="D3747" t="s">
        <v>411</v>
      </c>
      <c r="E3747" t="s">
        <v>412</v>
      </c>
      <c r="F3747">
        <v>0</v>
      </c>
      <c r="G3747">
        <v>24.62</v>
      </c>
    </row>
    <row r="3748" spans="2:7" x14ac:dyDescent="0.25">
      <c r="B3748" s="70">
        <v>43465</v>
      </c>
      <c r="C3748" t="s">
        <v>25</v>
      </c>
      <c r="D3748" t="s">
        <v>411</v>
      </c>
      <c r="E3748" t="s">
        <v>412</v>
      </c>
      <c r="F3748">
        <v>0</v>
      </c>
      <c r="G3748">
        <v>24.1</v>
      </c>
    </row>
    <row r="3749" spans="2:7" x14ac:dyDescent="0.25">
      <c r="B3749" s="70">
        <v>43465</v>
      </c>
      <c r="C3749" t="s">
        <v>25</v>
      </c>
      <c r="D3749" t="s">
        <v>411</v>
      </c>
      <c r="E3749" t="s">
        <v>412</v>
      </c>
      <c r="F3749">
        <v>0</v>
      </c>
      <c r="G3749">
        <v>22.22</v>
      </c>
    </row>
    <row r="3750" spans="2:7" x14ac:dyDescent="0.25">
      <c r="B3750" s="70">
        <v>43465</v>
      </c>
      <c r="C3750" t="s">
        <v>25</v>
      </c>
      <c r="D3750" t="s">
        <v>411</v>
      </c>
      <c r="E3750" t="s">
        <v>412</v>
      </c>
      <c r="F3750">
        <v>0</v>
      </c>
      <c r="G3750">
        <v>21.21</v>
      </c>
    </row>
    <row r="3751" spans="2:7" x14ac:dyDescent="0.25">
      <c r="B3751" s="70">
        <v>43465</v>
      </c>
      <c r="C3751" t="s">
        <v>25</v>
      </c>
      <c r="D3751" t="s">
        <v>411</v>
      </c>
      <c r="E3751" t="s">
        <v>412</v>
      </c>
      <c r="F3751">
        <v>0</v>
      </c>
      <c r="G3751">
        <v>20.45</v>
      </c>
    </row>
    <row r="3752" spans="2:7" x14ac:dyDescent="0.25">
      <c r="B3752" s="70">
        <v>43465</v>
      </c>
      <c r="C3752" t="s">
        <v>25</v>
      </c>
      <c r="D3752" t="s">
        <v>411</v>
      </c>
      <c r="E3752" t="s">
        <v>412</v>
      </c>
      <c r="F3752">
        <v>0</v>
      </c>
      <c r="G3752">
        <v>20</v>
      </c>
    </row>
    <row r="3753" spans="2:7" x14ac:dyDescent="0.25">
      <c r="B3753" s="70">
        <v>43465</v>
      </c>
      <c r="C3753" t="s">
        <v>25</v>
      </c>
      <c r="D3753" t="s">
        <v>411</v>
      </c>
      <c r="E3753" t="s">
        <v>412</v>
      </c>
      <c r="F3753">
        <v>0</v>
      </c>
      <c r="G3753">
        <v>16.149999999999999</v>
      </c>
    </row>
    <row r="3754" spans="2:7" x14ac:dyDescent="0.25">
      <c r="B3754" s="70">
        <v>43465</v>
      </c>
      <c r="C3754" t="s">
        <v>25</v>
      </c>
      <c r="D3754" t="s">
        <v>411</v>
      </c>
      <c r="E3754" t="s">
        <v>412</v>
      </c>
      <c r="F3754">
        <v>0</v>
      </c>
      <c r="G3754">
        <v>16.05</v>
      </c>
    </row>
    <row r="3755" spans="2:7" x14ac:dyDescent="0.25">
      <c r="B3755" s="70">
        <v>43465</v>
      </c>
      <c r="C3755" t="s">
        <v>25</v>
      </c>
      <c r="D3755" t="s">
        <v>411</v>
      </c>
      <c r="E3755" t="s">
        <v>412</v>
      </c>
      <c r="F3755">
        <v>0</v>
      </c>
      <c r="G3755">
        <v>16</v>
      </c>
    </row>
    <row r="3756" spans="2:7" x14ac:dyDescent="0.25">
      <c r="B3756" s="70">
        <v>43465</v>
      </c>
      <c r="C3756" t="s">
        <v>25</v>
      </c>
      <c r="D3756" t="s">
        <v>411</v>
      </c>
      <c r="E3756" t="s">
        <v>412</v>
      </c>
      <c r="F3756">
        <v>0</v>
      </c>
      <c r="G3756">
        <v>15.8</v>
      </c>
    </row>
    <row r="3757" spans="2:7" x14ac:dyDescent="0.25">
      <c r="B3757" s="70">
        <v>43465</v>
      </c>
      <c r="C3757" t="s">
        <v>25</v>
      </c>
      <c r="D3757" t="s">
        <v>411</v>
      </c>
      <c r="E3757" t="s">
        <v>412</v>
      </c>
      <c r="F3757">
        <v>0</v>
      </c>
      <c r="G3757">
        <v>15</v>
      </c>
    </row>
    <row r="3758" spans="2:7" x14ac:dyDescent="0.25">
      <c r="B3758" s="70">
        <v>43465</v>
      </c>
      <c r="C3758" t="s">
        <v>25</v>
      </c>
      <c r="D3758" t="s">
        <v>411</v>
      </c>
      <c r="E3758" t="s">
        <v>412</v>
      </c>
      <c r="F3758">
        <v>0</v>
      </c>
      <c r="G3758">
        <v>14.35</v>
      </c>
    </row>
    <row r="3759" spans="2:7" x14ac:dyDescent="0.25">
      <c r="B3759" s="70">
        <v>43465</v>
      </c>
      <c r="C3759" t="s">
        <v>25</v>
      </c>
      <c r="D3759" t="s">
        <v>411</v>
      </c>
      <c r="E3759" t="s">
        <v>412</v>
      </c>
      <c r="F3759">
        <v>0</v>
      </c>
      <c r="G3759">
        <v>13.25</v>
      </c>
    </row>
    <row r="3760" spans="2:7" x14ac:dyDescent="0.25">
      <c r="B3760" s="70">
        <v>43465</v>
      </c>
      <c r="C3760" t="s">
        <v>25</v>
      </c>
      <c r="D3760" t="s">
        <v>411</v>
      </c>
      <c r="E3760" t="s">
        <v>412</v>
      </c>
      <c r="F3760">
        <v>0</v>
      </c>
      <c r="G3760">
        <v>13.2</v>
      </c>
    </row>
    <row r="3761" spans="2:7" x14ac:dyDescent="0.25">
      <c r="B3761" s="70">
        <v>43465</v>
      </c>
      <c r="C3761" t="s">
        <v>25</v>
      </c>
      <c r="D3761" t="s">
        <v>411</v>
      </c>
      <c r="E3761" t="s">
        <v>412</v>
      </c>
      <c r="F3761">
        <v>0</v>
      </c>
      <c r="G3761">
        <v>12.69</v>
      </c>
    </row>
    <row r="3762" spans="2:7" x14ac:dyDescent="0.25">
      <c r="B3762" s="70">
        <v>43465</v>
      </c>
      <c r="C3762" t="s">
        <v>25</v>
      </c>
      <c r="D3762" t="s">
        <v>411</v>
      </c>
      <c r="E3762" t="s">
        <v>412</v>
      </c>
      <c r="F3762">
        <v>0</v>
      </c>
      <c r="G3762">
        <v>11.9</v>
      </c>
    </row>
    <row r="3763" spans="2:7" x14ac:dyDescent="0.25">
      <c r="B3763" s="70">
        <v>43465</v>
      </c>
      <c r="C3763" t="s">
        <v>25</v>
      </c>
      <c r="D3763" t="s">
        <v>411</v>
      </c>
      <c r="E3763" t="s">
        <v>412</v>
      </c>
      <c r="F3763">
        <v>0</v>
      </c>
      <c r="G3763">
        <v>11.6</v>
      </c>
    </row>
    <row r="3764" spans="2:7" x14ac:dyDescent="0.25">
      <c r="B3764" s="70">
        <v>43465</v>
      </c>
      <c r="C3764" t="s">
        <v>25</v>
      </c>
      <c r="D3764" t="s">
        <v>411</v>
      </c>
      <c r="E3764" t="s">
        <v>412</v>
      </c>
      <c r="F3764">
        <v>0</v>
      </c>
      <c r="G3764">
        <v>9.1999999999999993</v>
      </c>
    </row>
    <row r="3765" spans="2:7" x14ac:dyDescent="0.25">
      <c r="B3765" s="70">
        <v>43465</v>
      </c>
      <c r="C3765" t="s">
        <v>25</v>
      </c>
      <c r="D3765" t="s">
        <v>411</v>
      </c>
      <c r="E3765" t="s">
        <v>412</v>
      </c>
      <c r="F3765">
        <v>0</v>
      </c>
      <c r="G3765">
        <v>8</v>
      </c>
    </row>
    <row r="3766" spans="2:7" x14ac:dyDescent="0.25">
      <c r="B3766" s="70">
        <v>43465</v>
      </c>
      <c r="C3766" t="s">
        <v>25</v>
      </c>
      <c r="D3766" t="s">
        <v>411</v>
      </c>
      <c r="E3766" t="s">
        <v>412</v>
      </c>
      <c r="F3766">
        <v>0</v>
      </c>
      <c r="G3766">
        <v>6.6</v>
      </c>
    </row>
    <row r="3767" spans="2:7" x14ac:dyDescent="0.25">
      <c r="B3767" s="70">
        <v>43465</v>
      </c>
      <c r="C3767" t="s">
        <v>25</v>
      </c>
      <c r="D3767" t="s">
        <v>411</v>
      </c>
      <c r="E3767" t="s">
        <v>412</v>
      </c>
      <c r="F3767">
        <v>0</v>
      </c>
      <c r="G3767">
        <v>4.2</v>
      </c>
    </row>
    <row r="3768" spans="2:7" x14ac:dyDescent="0.25">
      <c r="B3768" s="70">
        <v>43465</v>
      </c>
      <c r="C3768" t="s">
        <v>25</v>
      </c>
      <c r="D3768" t="s">
        <v>411</v>
      </c>
      <c r="E3768" t="s">
        <v>412</v>
      </c>
      <c r="F3768">
        <v>0</v>
      </c>
      <c r="G3768">
        <v>2.5</v>
      </c>
    </row>
    <row r="3769" spans="2:7" x14ac:dyDescent="0.25">
      <c r="B3769" s="70">
        <v>43465</v>
      </c>
      <c r="C3769" t="s">
        <v>54</v>
      </c>
      <c r="D3769" t="s">
        <v>411</v>
      </c>
      <c r="E3769" t="s">
        <v>412</v>
      </c>
      <c r="F3769">
        <v>0</v>
      </c>
      <c r="G3769">
        <v>29631.119999999999</v>
      </c>
    </row>
    <row r="3770" spans="2:7" x14ac:dyDescent="0.25">
      <c r="B3770" s="70">
        <v>43465</v>
      </c>
      <c r="C3770" t="s">
        <v>54</v>
      </c>
      <c r="D3770" t="s">
        <v>411</v>
      </c>
      <c r="E3770" t="s">
        <v>412</v>
      </c>
      <c r="F3770">
        <v>0</v>
      </c>
      <c r="G3770">
        <v>9430.4</v>
      </c>
    </row>
    <row r="3771" spans="2:7" x14ac:dyDescent="0.25">
      <c r="B3771" s="70">
        <v>43465</v>
      </c>
      <c r="C3771" t="s">
        <v>54</v>
      </c>
      <c r="D3771" t="s">
        <v>411</v>
      </c>
      <c r="E3771" t="s">
        <v>412</v>
      </c>
      <c r="F3771">
        <v>0</v>
      </c>
      <c r="G3771">
        <v>3039.58</v>
      </c>
    </row>
    <row r="3772" spans="2:7" x14ac:dyDescent="0.25">
      <c r="B3772" s="70">
        <v>43465</v>
      </c>
      <c r="C3772" t="s">
        <v>54</v>
      </c>
      <c r="D3772" t="s">
        <v>411</v>
      </c>
      <c r="E3772" t="s">
        <v>412</v>
      </c>
      <c r="F3772">
        <v>0</v>
      </c>
      <c r="G3772">
        <v>2262.7600000000002</v>
      </c>
    </row>
    <row r="3773" spans="2:7" x14ac:dyDescent="0.25">
      <c r="B3773" s="70">
        <v>43465</v>
      </c>
      <c r="C3773" t="s">
        <v>54</v>
      </c>
      <c r="D3773" t="s">
        <v>411</v>
      </c>
      <c r="E3773" t="s">
        <v>412</v>
      </c>
      <c r="F3773">
        <v>0</v>
      </c>
      <c r="G3773">
        <v>348.89</v>
      </c>
    </row>
    <row r="3774" spans="2:7" x14ac:dyDescent="0.25">
      <c r="B3774" s="70">
        <v>43465</v>
      </c>
      <c r="C3774" t="s">
        <v>46</v>
      </c>
      <c r="D3774" t="s">
        <v>411</v>
      </c>
      <c r="E3774" t="s">
        <v>412</v>
      </c>
      <c r="F3774">
        <v>0</v>
      </c>
      <c r="G3774">
        <v>6113.41</v>
      </c>
    </row>
    <row r="3775" spans="2:7" x14ac:dyDescent="0.25">
      <c r="B3775" s="70">
        <v>43465</v>
      </c>
      <c r="C3775" t="s">
        <v>46</v>
      </c>
      <c r="D3775" t="s">
        <v>411</v>
      </c>
      <c r="E3775" t="s">
        <v>412</v>
      </c>
      <c r="F3775">
        <v>0</v>
      </c>
      <c r="G3775">
        <v>979.14</v>
      </c>
    </row>
    <row r="3776" spans="2:7" x14ac:dyDescent="0.25">
      <c r="B3776" s="70">
        <v>43465</v>
      </c>
      <c r="C3776" t="s">
        <v>46</v>
      </c>
      <c r="D3776" t="s">
        <v>411</v>
      </c>
      <c r="E3776" t="s">
        <v>412</v>
      </c>
      <c r="F3776">
        <v>0</v>
      </c>
      <c r="G3776">
        <v>640.76</v>
      </c>
    </row>
    <row r="3777" spans="2:7" x14ac:dyDescent="0.25">
      <c r="B3777" s="70">
        <v>43465</v>
      </c>
      <c r="C3777" t="s">
        <v>46</v>
      </c>
      <c r="D3777" t="s">
        <v>411</v>
      </c>
      <c r="E3777" t="s">
        <v>412</v>
      </c>
      <c r="F3777">
        <v>0</v>
      </c>
      <c r="G3777">
        <v>562.07000000000005</v>
      </c>
    </row>
    <row r="3778" spans="2:7" x14ac:dyDescent="0.25">
      <c r="B3778" s="70">
        <v>43465</v>
      </c>
      <c r="C3778" t="s">
        <v>72</v>
      </c>
      <c r="D3778" t="s">
        <v>411</v>
      </c>
      <c r="E3778" t="s">
        <v>412</v>
      </c>
      <c r="F3778">
        <v>0</v>
      </c>
      <c r="G3778">
        <v>200.5</v>
      </c>
    </row>
    <row r="3779" spans="2:7" x14ac:dyDescent="0.25">
      <c r="B3779" s="70">
        <v>43465</v>
      </c>
      <c r="C3779" t="s">
        <v>59</v>
      </c>
      <c r="D3779" t="s">
        <v>411</v>
      </c>
      <c r="E3779" t="s">
        <v>412</v>
      </c>
      <c r="F3779">
        <v>0</v>
      </c>
      <c r="G3779">
        <v>15218.68</v>
      </c>
    </row>
    <row r="3780" spans="2:7" x14ac:dyDescent="0.25">
      <c r="B3780" s="70">
        <v>43465</v>
      </c>
      <c r="C3780" t="s">
        <v>59</v>
      </c>
      <c r="D3780" t="s">
        <v>411</v>
      </c>
      <c r="E3780" t="s">
        <v>412</v>
      </c>
      <c r="F3780">
        <v>0</v>
      </c>
      <c r="G3780">
        <v>2918.42</v>
      </c>
    </row>
    <row r="3781" spans="2:7" x14ac:dyDescent="0.25">
      <c r="B3781" s="70">
        <v>43465</v>
      </c>
      <c r="C3781" t="s">
        <v>59</v>
      </c>
      <c r="D3781" t="s">
        <v>411</v>
      </c>
      <c r="E3781" t="s">
        <v>412</v>
      </c>
      <c r="F3781">
        <v>0</v>
      </c>
      <c r="G3781">
        <v>918.99</v>
      </c>
    </row>
    <row r="3782" spans="2:7" x14ac:dyDescent="0.25">
      <c r="B3782" s="70">
        <v>43465</v>
      </c>
      <c r="C3782" t="s">
        <v>59</v>
      </c>
      <c r="D3782" t="s">
        <v>411</v>
      </c>
      <c r="E3782" t="s">
        <v>412</v>
      </c>
      <c r="F3782">
        <v>0</v>
      </c>
      <c r="G3782">
        <v>167.93</v>
      </c>
    </row>
    <row r="3783" spans="2:7" x14ac:dyDescent="0.25">
      <c r="B3783" s="70">
        <v>43465</v>
      </c>
      <c r="C3783" t="s">
        <v>56</v>
      </c>
      <c r="D3783" t="s">
        <v>411</v>
      </c>
      <c r="E3783" t="s">
        <v>412</v>
      </c>
      <c r="F3783">
        <v>0</v>
      </c>
      <c r="G3783">
        <v>4956.46</v>
      </c>
    </row>
    <row r="3784" spans="2:7" x14ac:dyDescent="0.25">
      <c r="B3784" s="70">
        <v>43465</v>
      </c>
      <c r="C3784" t="s">
        <v>56</v>
      </c>
      <c r="D3784" t="s">
        <v>411</v>
      </c>
      <c r="E3784" t="s">
        <v>412</v>
      </c>
      <c r="F3784">
        <v>0</v>
      </c>
      <c r="G3784">
        <v>12.78</v>
      </c>
    </row>
    <row r="3785" spans="2:7" x14ac:dyDescent="0.25">
      <c r="B3785" s="70">
        <v>43465</v>
      </c>
      <c r="C3785" t="s">
        <v>47</v>
      </c>
      <c r="D3785" t="s">
        <v>411</v>
      </c>
      <c r="E3785" t="s">
        <v>412</v>
      </c>
      <c r="F3785">
        <v>0</v>
      </c>
      <c r="G3785">
        <v>7747.65</v>
      </c>
    </row>
    <row r="3786" spans="2:7" x14ac:dyDescent="0.25">
      <c r="B3786" s="70">
        <v>43465</v>
      </c>
      <c r="C3786" t="s">
        <v>47</v>
      </c>
      <c r="D3786" t="s">
        <v>411</v>
      </c>
      <c r="E3786" t="s">
        <v>412</v>
      </c>
      <c r="F3786">
        <v>0</v>
      </c>
      <c r="G3786">
        <v>3533.74</v>
      </c>
    </row>
    <row r="3787" spans="2:7" x14ac:dyDescent="0.25">
      <c r="B3787" s="70">
        <v>43465</v>
      </c>
      <c r="C3787" t="s">
        <v>47</v>
      </c>
      <c r="D3787" t="s">
        <v>411</v>
      </c>
      <c r="E3787" t="s">
        <v>412</v>
      </c>
      <c r="F3787">
        <v>0</v>
      </c>
      <c r="G3787">
        <v>1616.16</v>
      </c>
    </row>
    <row r="3788" spans="2:7" x14ac:dyDescent="0.25">
      <c r="B3788" s="70">
        <v>43465</v>
      </c>
      <c r="C3788" t="s">
        <v>47</v>
      </c>
      <c r="D3788" t="s">
        <v>411</v>
      </c>
      <c r="E3788" t="s">
        <v>412</v>
      </c>
      <c r="F3788">
        <v>0</v>
      </c>
      <c r="G3788">
        <v>546.02</v>
      </c>
    </row>
    <row r="3789" spans="2:7" x14ac:dyDescent="0.25">
      <c r="B3789" s="70">
        <v>43465</v>
      </c>
      <c r="C3789" t="s">
        <v>47</v>
      </c>
      <c r="D3789" t="s">
        <v>411</v>
      </c>
      <c r="E3789" t="s">
        <v>412</v>
      </c>
      <c r="F3789">
        <v>0</v>
      </c>
      <c r="G3789">
        <v>76.98</v>
      </c>
    </row>
    <row r="3790" spans="2:7" x14ac:dyDescent="0.25">
      <c r="B3790" s="70">
        <v>43465</v>
      </c>
      <c r="C3790" t="s">
        <v>51</v>
      </c>
      <c r="D3790" t="s">
        <v>411</v>
      </c>
      <c r="E3790" t="s">
        <v>412</v>
      </c>
      <c r="F3790">
        <v>0</v>
      </c>
      <c r="G3790">
        <v>10945.81</v>
      </c>
    </row>
    <row r="3791" spans="2:7" x14ac:dyDescent="0.25">
      <c r="B3791" s="70">
        <v>43465</v>
      </c>
      <c r="C3791" t="s">
        <v>51</v>
      </c>
      <c r="D3791" t="s">
        <v>411</v>
      </c>
      <c r="E3791" t="s">
        <v>412</v>
      </c>
      <c r="F3791">
        <v>0</v>
      </c>
      <c r="G3791">
        <v>909.75</v>
      </c>
    </row>
    <row r="3792" spans="2:7" x14ac:dyDescent="0.25">
      <c r="B3792" s="70">
        <v>43465</v>
      </c>
      <c r="C3792" t="s">
        <v>51</v>
      </c>
      <c r="D3792" t="s">
        <v>411</v>
      </c>
      <c r="E3792" t="s">
        <v>412</v>
      </c>
      <c r="F3792">
        <v>0</v>
      </c>
      <c r="G3792">
        <v>375.47</v>
      </c>
    </row>
    <row r="3793" spans="2:7" x14ac:dyDescent="0.25">
      <c r="B3793" s="70">
        <v>43465</v>
      </c>
      <c r="C3793" t="s">
        <v>51</v>
      </c>
      <c r="D3793" t="s">
        <v>411</v>
      </c>
      <c r="E3793" t="s">
        <v>412</v>
      </c>
      <c r="F3793">
        <v>0</v>
      </c>
      <c r="G3793">
        <v>287.02</v>
      </c>
    </row>
    <row r="3794" spans="2:7" x14ac:dyDescent="0.25">
      <c r="B3794" s="70">
        <v>43465</v>
      </c>
      <c r="C3794" t="s">
        <v>57</v>
      </c>
      <c r="D3794" t="s">
        <v>411</v>
      </c>
      <c r="E3794" t="s">
        <v>412</v>
      </c>
      <c r="F3794">
        <v>0</v>
      </c>
      <c r="G3794">
        <v>2785.65</v>
      </c>
    </row>
    <row r="3795" spans="2:7" x14ac:dyDescent="0.25">
      <c r="B3795" s="70">
        <v>43465</v>
      </c>
      <c r="C3795" t="s">
        <v>57</v>
      </c>
      <c r="D3795" t="s">
        <v>411</v>
      </c>
      <c r="E3795" t="s">
        <v>412</v>
      </c>
      <c r="F3795">
        <v>0</v>
      </c>
      <c r="G3795">
        <v>453.63</v>
      </c>
    </row>
    <row r="3796" spans="2:7" x14ac:dyDescent="0.25">
      <c r="B3796" s="70">
        <v>43465</v>
      </c>
      <c r="C3796" t="s">
        <v>57</v>
      </c>
      <c r="D3796" t="s">
        <v>411</v>
      </c>
      <c r="E3796" t="s">
        <v>412</v>
      </c>
      <c r="F3796">
        <v>0</v>
      </c>
      <c r="G3796">
        <v>353.47</v>
      </c>
    </row>
    <row r="3797" spans="2:7" x14ac:dyDescent="0.25">
      <c r="B3797" s="70">
        <v>43465</v>
      </c>
      <c r="C3797" t="s">
        <v>43</v>
      </c>
      <c r="D3797" t="s">
        <v>411</v>
      </c>
      <c r="E3797" t="s">
        <v>412</v>
      </c>
      <c r="F3797">
        <v>0</v>
      </c>
      <c r="G3797">
        <v>7034.18</v>
      </c>
    </row>
    <row r="3798" spans="2:7" x14ac:dyDescent="0.25">
      <c r="B3798" s="70">
        <v>43465</v>
      </c>
      <c r="C3798" t="s">
        <v>43</v>
      </c>
      <c r="D3798" t="s">
        <v>411</v>
      </c>
      <c r="E3798" t="s">
        <v>412</v>
      </c>
      <c r="F3798">
        <v>0</v>
      </c>
      <c r="G3798">
        <v>6415.82</v>
      </c>
    </row>
    <row r="3799" spans="2:7" x14ac:dyDescent="0.25">
      <c r="B3799" s="70">
        <v>43465</v>
      </c>
      <c r="C3799" t="s">
        <v>43</v>
      </c>
      <c r="D3799" t="s">
        <v>411</v>
      </c>
      <c r="E3799" t="s">
        <v>412</v>
      </c>
      <c r="F3799">
        <v>0</v>
      </c>
      <c r="G3799">
        <v>2828.04</v>
      </c>
    </row>
    <row r="3800" spans="2:7" x14ac:dyDescent="0.25">
      <c r="B3800" s="70">
        <v>43465</v>
      </c>
      <c r="C3800" t="s">
        <v>43</v>
      </c>
      <c r="D3800" t="s">
        <v>411</v>
      </c>
      <c r="E3800" t="s">
        <v>412</v>
      </c>
      <c r="F3800">
        <v>0</v>
      </c>
      <c r="G3800">
        <v>807.13</v>
      </c>
    </row>
    <row r="3801" spans="2:7" x14ac:dyDescent="0.25">
      <c r="B3801" s="70">
        <v>43465</v>
      </c>
      <c r="C3801" t="s">
        <v>43</v>
      </c>
      <c r="D3801" t="s">
        <v>411</v>
      </c>
      <c r="E3801" t="s">
        <v>412</v>
      </c>
      <c r="F3801">
        <v>0</v>
      </c>
      <c r="G3801">
        <v>686.36</v>
      </c>
    </row>
    <row r="3802" spans="2:7" x14ac:dyDescent="0.25">
      <c r="B3802" s="70">
        <v>43465</v>
      </c>
      <c r="C3802" t="s">
        <v>44</v>
      </c>
      <c r="D3802" t="s">
        <v>411</v>
      </c>
      <c r="E3802" t="s">
        <v>412</v>
      </c>
      <c r="F3802">
        <v>0</v>
      </c>
      <c r="G3802">
        <v>8974.73</v>
      </c>
    </row>
    <row r="3803" spans="2:7" x14ac:dyDescent="0.25">
      <c r="B3803" s="70">
        <v>43465</v>
      </c>
      <c r="C3803" t="s">
        <v>44</v>
      </c>
      <c r="D3803" t="s">
        <v>411</v>
      </c>
      <c r="E3803" t="s">
        <v>412</v>
      </c>
      <c r="F3803">
        <v>0</v>
      </c>
      <c r="G3803">
        <v>2933.98</v>
      </c>
    </row>
    <row r="3804" spans="2:7" x14ac:dyDescent="0.25">
      <c r="B3804" s="70">
        <v>43465</v>
      </c>
      <c r="C3804" t="s">
        <v>44</v>
      </c>
      <c r="D3804" t="s">
        <v>411</v>
      </c>
      <c r="E3804" t="s">
        <v>412</v>
      </c>
      <c r="F3804">
        <v>0</v>
      </c>
      <c r="G3804">
        <v>2880.13</v>
      </c>
    </row>
    <row r="3805" spans="2:7" x14ac:dyDescent="0.25">
      <c r="B3805" s="70">
        <v>43465</v>
      </c>
      <c r="C3805" t="s">
        <v>44</v>
      </c>
      <c r="D3805" t="s">
        <v>411</v>
      </c>
      <c r="E3805" t="s">
        <v>412</v>
      </c>
      <c r="F3805">
        <v>0</v>
      </c>
      <c r="G3805">
        <v>33.46</v>
      </c>
    </row>
    <row r="3806" spans="2:7" x14ac:dyDescent="0.25">
      <c r="B3806" s="70">
        <v>43465</v>
      </c>
      <c r="C3806" t="s">
        <v>21</v>
      </c>
      <c r="D3806" t="s">
        <v>411</v>
      </c>
      <c r="E3806" t="s">
        <v>412</v>
      </c>
      <c r="F3806">
        <v>0</v>
      </c>
      <c r="G3806">
        <v>28914.81</v>
      </c>
    </row>
    <row r="3807" spans="2:7" x14ac:dyDescent="0.25">
      <c r="B3807" s="70">
        <v>43465</v>
      </c>
      <c r="C3807" t="s">
        <v>21</v>
      </c>
      <c r="D3807" t="s">
        <v>411</v>
      </c>
      <c r="E3807" t="s">
        <v>412</v>
      </c>
      <c r="F3807">
        <v>0</v>
      </c>
      <c r="G3807">
        <v>20550.37</v>
      </c>
    </row>
    <row r="3808" spans="2:7" x14ac:dyDescent="0.25">
      <c r="B3808" s="70">
        <v>43465</v>
      </c>
      <c r="C3808" t="s">
        <v>21</v>
      </c>
      <c r="D3808" t="s">
        <v>411</v>
      </c>
      <c r="E3808" t="s">
        <v>412</v>
      </c>
      <c r="F3808">
        <v>0</v>
      </c>
      <c r="G3808">
        <v>18084.27</v>
      </c>
    </row>
    <row r="3809" spans="2:7" x14ac:dyDescent="0.25">
      <c r="B3809" s="70">
        <v>43465</v>
      </c>
      <c r="C3809" t="s">
        <v>21</v>
      </c>
      <c r="D3809" t="s">
        <v>411</v>
      </c>
      <c r="E3809" t="s">
        <v>412</v>
      </c>
      <c r="F3809">
        <v>0</v>
      </c>
      <c r="G3809">
        <v>14128.72</v>
      </c>
    </row>
    <row r="3810" spans="2:7" x14ac:dyDescent="0.25">
      <c r="B3810" s="70">
        <v>43465</v>
      </c>
      <c r="C3810" t="s">
        <v>21</v>
      </c>
      <c r="D3810" t="s">
        <v>411</v>
      </c>
      <c r="E3810" t="s">
        <v>412</v>
      </c>
      <c r="F3810">
        <v>0</v>
      </c>
      <c r="G3810">
        <v>13776.33</v>
      </c>
    </row>
    <row r="3811" spans="2:7" x14ac:dyDescent="0.25">
      <c r="B3811" s="70">
        <v>43465</v>
      </c>
      <c r="C3811" t="s">
        <v>21</v>
      </c>
      <c r="D3811" t="s">
        <v>411</v>
      </c>
      <c r="E3811" t="s">
        <v>412</v>
      </c>
      <c r="F3811">
        <v>0</v>
      </c>
      <c r="G3811">
        <v>12275.05</v>
      </c>
    </row>
    <row r="3812" spans="2:7" x14ac:dyDescent="0.25">
      <c r="B3812" s="70">
        <v>43465</v>
      </c>
      <c r="C3812" t="s">
        <v>21</v>
      </c>
      <c r="D3812" t="s">
        <v>411</v>
      </c>
      <c r="E3812" t="s">
        <v>412</v>
      </c>
      <c r="F3812">
        <v>0</v>
      </c>
      <c r="G3812">
        <v>11572.06</v>
      </c>
    </row>
    <row r="3813" spans="2:7" x14ac:dyDescent="0.25">
      <c r="B3813" s="70">
        <v>43465</v>
      </c>
      <c r="C3813" t="s">
        <v>21</v>
      </c>
      <c r="D3813" t="s">
        <v>411</v>
      </c>
      <c r="E3813" t="s">
        <v>412</v>
      </c>
      <c r="F3813">
        <v>0</v>
      </c>
      <c r="G3813">
        <v>10469.540000000001</v>
      </c>
    </row>
    <row r="3814" spans="2:7" x14ac:dyDescent="0.25">
      <c r="B3814" s="70">
        <v>43465</v>
      </c>
      <c r="C3814" t="s">
        <v>21</v>
      </c>
      <c r="D3814" t="s">
        <v>411</v>
      </c>
      <c r="E3814" t="s">
        <v>412</v>
      </c>
      <c r="F3814">
        <v>0</v>
      </c>
      <c r="G3814">
        <v>10220.83</v>
      </c>
    </row>
    <row r="3815" spans="2:7" x14ac:dyDescent="0.25">
      <c r="B3815" s="70">
        <v>43465</v>
      </c>
      <c r="C3815" t="s">
        <v>21</v>
      </c>
      <c r="D3815" t="s">
        <v>411</v>
      </c>
      <c r="E3815" t="s">
        <v>412</v>
      </c>
      <c r="F3815">
        <v>0</v>
      </c>
      <c r="G3815">
        <v>9547.69</v>
      </c>
    </row>
    <row r="3816" spans="2:7" x14ac:dyDescent="0.25">
      <c r="B3816" s="70">
        <v>43465</v>
      </c>
      <c r="C3816" t="s">
        <v>21</v>
      </c>
      <c r="D3816" t="s">
        <v>411</v>
      </c>
      <c r="E3816" t="s">
        <v>412</v>
      </c>
      <c r="F3816">
        <v>0</v>
      </c>
      <c r="G3816">
        <v>8514.23</v>
      </c>
    </row>
    <row r="3817" spans="2:7" x14ac:dyDescent="0.25">
      <c r="B3817" s="70">
        <v>43465</v>
      </c>
      <c r="C3817" t="s">
        <v>21</v>
      </c>
      <c r="D3817" t="s">
        <v>411</v>
      </c>
      <c r="E3817" t="s">
        <v>412</v>
      </c>
      <c r="F3817">
        <v>0</v>
      </c>
      <c r="G3817">
        <v>8299.23</v>
      </c>
    </row>
    <row r="3818" spans="2:7" x14ac:dyDescent="0.25">
      <c r="B3818" s="70">
        <v>43465</v>
      </c>
      <c r="C3818" t="s">
        <v>21</v>
      </c>
      <c r="D3818" t="s">
        <v>411</v>
      </c>
      <c r="E3818" t="s">
        <v>412</v>
      </c>
      <c r="F3818">
        <v>0</v>
      </c>
      <c r="G3818">
        <v>7742.17</v>
      </c>
    </row>
    <row r="3819" spans="2:7" x14ac:dyDescent="0.25">
      <c r="B3819" s="70">
        <v>43465</v>
      </c>
      <c r="C3819" t="s">
        <v>21</v>
      </c>
      <c r="D3819" t="s">
        <v>411</v>
      </c>
      <c r="E3819" t="s">
        <v>412</v>
      </c>
      <c r="F3819">
        <v>0</v>
      </c>
      <c r="G3819">
        <v>6432.96</v>
      </c>
    </row>
    <row r="3820" spans="2:7" x14ac:dyDescent="0.25">
      <c r="B3820" s="70">
        <v>43465</v>
      </c>
      <c r="C3820" t="s">
        <v>21</v>
      </c>
      <c r="D3820" t="s">
        <v>411</v>
      </c>
      <c r="E3820" t="s">
        <v>412</v>
      </c>
      <c r="F3820">
        <v>0</v>
      </c>
      <c r="G3820">
        <v>4838.25</v>
      </c>
    </row>
    <row r="3821" spans="2:7" x14ac:dyDescent="0.25">
      <c r="B3821" s="70">
        <v>43465</v>
      </c>
      <c r="C3821" t="s">
        <v>21</v>
      </c>
      <c r="D3821" t="s">
        <v>411</v>
      </c>
      <c r="E3821" t="s">
        <v>412</v>
      </c>
      <c r="F3821">
        <v>0</v>
      </c>
      <c r="G3821">
        <v>4652.25</v>
      </c>
    </row>
    <row r="3822" spans="2:7" x14ac:dyDescent="0.25">
      <c r="B3822" s="70">
        <v>43465</v>
      </c>
      <c r="C3822" t="s">
        <v>21</v>
      </c>
      <c r="D3822" t="s">
        <v>411</v>
      </c>
      <c r="E3822" t="s">
        <v>412</v>
      </c>
      <c r="F3822">
        <v>0</v>
      </c>
      <c r="G3822">
        <v>4525.3100000000004</v>
      </c>
    </row>
    <row r="3823" spans="2:7" x14ac:dyDescent="0.25">
      <c r="B3823" s="70">
        <v>43465</v>
      </c>
      <c r="C3823" t="s">
        <v>21</v>
      </c>
      <c r="D3823" t="s">
        <v>411</v>
      </c>
      <c r="E3823" t="s">
        <v>412</v>
      </c>
      <c r="F3823">
        <v>0</v>
      </c>
      <c r="G3823">
        <v>4232</v>
      </c>
    </row>
    <row r="3824" spans="2:7" x14ac:dyDescent="0.25">
      <c r="B3824" s="70">
        <v>43465</v>
      </c>
      <c r="C3824" t="s">
        <v>21</v>
      </c>
      <c r="D3824" t="s">
        <v>411</v>
      </c>
      <c r="E3824" t="s">
        <v>412</v>
      </c>
      <c r="F3824">
        <v>0</v>
      </c>
      <c r="G3824">
        <v>4185.47</v>
      </c>
    </row>
    <row r="3825" spans="2:7" x14ac:dyDescent="0.25">
      <c r="B3825" s="70">
        <v>43465</v>
      </c>
      <c r="C3825" t="s">
        <v>21</v>
      </c>
      <c r="D3825" t="s">
        <v>411</v>
      </c>
      <c r="E3825" t="s">
        <v>412</v>
      </c>
      <c r="F3825">
        <v>0</v>
      </c>
      <c r="G3825">
        <v>3872</v>
      </c>
    </row>
    <row r="3826" spans="2:7" x14ac:dyDescent="0.25">
      <c r="B3826" s="70">
        <v>43465</v>
      </c>
      <c r="C3826" t="s">
        <v>21</v>
      </c>
      <c r="D3826" t="s">
        <v>411</v>
      </c>
      <c r="E3826" t="s">
        <v>412</v>
      </c>
      <c r="F3826">
        <v>0</v>
      </c>
      <c r="G3826">
        <v>3718.37</v>
      </c>
    </row>
    <row r="3827" spans="2:7" x14ac:dyDescent="0.25">
      <c r="B3827" s="70">
        <v>43465</v>
      </c>
      <c r="C3827" t="s">
        <v>21</v>
      </c>
      <c r="D3827" t="s">
        <v>411</v>
      </c>
      <c r="E3827" t="s">
        <v>412</v>
      </c>
      <c r="F3827">
        <v>0</v>
      </c>
      <c r="G3827">
        <v>3668.11</v>
      </c>
    </row>
    <row r="3828" spans="2:7" x14ac:dyDescent="0.25">
      <c r="B3828" s="70">
        <v>43465</v>
      </c>
      <c r="C3828" t="s">
        <v>21</v>
      </c>
      <c r="D3828" t="s">
        <v>411</v>
      </c>
      <c r="E3828" t="s">
        <v>412</v>
      </c>
      <c r="F3828">
        <v>0</v>
      </c>
      <c r="G3828">
        <v>3600</v>
      </c>
    </row>
    <row r="3829" spans="2:7" x14ac:dyDescent="0.25">
      <c r="B3829" s="70">
        <v>43465</v>
      </c>
      <c r="C3829" t="s">
        <v>21</v>
      </c>
      <c r="D3829" t="s">
        <v>411</v>
      </c>
      <c r="E3829" t="s">
        <v>412</v>
      </c>
      <c r="F3829">
        <v>0</v>
      </c>
      <c r="G3829">
        <v>2899.26</v>
      </c>
    </row>
    <row r="3830" spans="2:7" x14ac:dyDescent="0.25">
      <c r="B3830" s="70">
        <v>43465</v>
      </c>
      <c r="C3830" t="s">
        <v>21</v>
      </c>
      <c r="D3830" t="s">
        <v>411</v>
      </c>
      <c r="E3830" t="s">
        <v>412</v>
      </c>
      <c r="F3830">
        <v>0</v>
      </c>
      <c r="G3830">
        <v>2776</v>
      </c>
    </row>
    <row r="3831" spans="2:7" x14ac:dyDescent="0.25">
      <c r="B3831" s="70">
        <v>43465</v>
      </c>
      <c r="C3831" t="s">
        <v>21</v>
      </c>
      <c r="D3831" t="s">
        <v>411</v>
      </c>
      <c r="E3831" t="s">
        <v>412</v>
      </c>
      <c r="F3831">
        <v>0</v>
      </c>
      <c r="G3831">
        <v>2252</v>
      </c>
    </row>
    <row r="3832" spans="2:7" x14ac:dyDescent="0.25">
      <c r="B3832" s="70">
        <v>43465</v>
      </c>
      <c r="C3832" t="s">
        <v>21</v>
      </c>
      <c r="D3832" t="s">
        <v>411</v>
      </c>
      <c r="E3832" t="s">
        <v>412</v>
      </c>
      <c r="F3832">
        <v>0</v>
      </c>
      <c r="G3832">
        <v>1792</v>
      </c>
    </row>
    <row r="3833" spans="2:7" x14ac:dyDescent="0.25">
      <c r="B3833" s="70">
        <v>43465</v>
      </c>
      <c r="C3833" t="s">
        <v>21</v>
      </c>
      <c r="D3833" t="s">
        <v>411</v>
      </c>
      <c r="E3833" t="s">
        <v>412</v>
      </c>
      <c r="F3833">
        <v>0</v>
      </c>
      <c r="G3833">
        <v>1620</v>
      </c>
    </row>
    <row r="3834" spans="2:7" x14ac:dyDescent="0.25">
      <c r="B3834" s="70">
        <v>43465</v>
      </c>
      <c r="C3834" t="s">
        <v>21</v>
      </c>
      <c r="D3834" t="s">
        <v>411</v>
      </c>
      <c r="E3834" t="s">
        <v>412</v>
      </c>
      <c r="F3834">
        <v>0</v>
      </c>
      <c r="G3834">
        <v>1487.7</v>
      </c>
    </row>
    <row r="3835" spans="2:7" x14ac:dyDescent="0.25">
      <c r="B3835" s="70">
        <v>43465</v>
      </c>
      <c r="C3835" t="s">
        <v>21</v>
      </c>
      <c r="D3835" t="s">
        <v>411</v>
      </c>
      <c r="E3835" t="s">
        <v>412</v>
      </c>
      <c r="F3835">
        <v>0</v>
      </c>
      <c r="G3835">
        <v>1424</v>
      </c>
    </row>
    <row r="3836" spans="2:7" x14ac:dyDescent="0.25">
      <c r="B3836" s="70">
        <v>43465</v>
      </c>
      <c r="C3836" t="s">
        <v>21</v>
      </c>
      <c r="D3836" t="s">
        <v>411</v>
      </c>
      <c r="E3836" t="s">
        <v>412</v>
      </c>
      <c r="F3836">
        <v>0</v>
      </c>
      <c r="G3836">
        <v>1416</v>
      </c>
    </row>
    <row r="3837" spans="2:7" x14ac:dyDescent="0.25">
      <c r="B3837" s="70">
        <v>43465</v>
      </c>
      <c r="C3837" t="s">
        <v>21</v>
      </c>
      <c r="D3837" t="s">
        <v>411</v>
      </c>
      <c r="E3837" t="s">
        <v>412</v>
      </c>
      <c r="F3837">
        <v>0</v>
      </c>
      <c r="G3837">
        <v>1200</v>
      </c>
    </row>
    <row r="3838" spans="2:7" x14ac:dyDescent="0.25">
      <c r="B3838" s="70">
        <v>43465</v>
      </c>
      <c r="C3838" t="s">
        <v>21</v>
      </c>
      <c r="D3838" t="s">
        <v>411</v>
      </c>
      <c r="E3838" t="s">
        <v>412</v>
      </c>
      <c r="F3838">
        <v>0</v>
      </c>
      <c r="G3838">
        <v>1152</v>
      </c>
    </row>
    <row r="3839" spans="2:7" x14ac:dyDescent="0.25">
      <c r="B3839" s="70">
        <v>43465</v>
      </c>
      <c r="C3839" t="s">
        <v>21</v>
      </c>
      <c r="D3839" t="s">
        <v>411</v>
      </c>
      <c r="E3839" t="s">
        <v>412</v>
      </c>
      <c r="F3839">
        <v>0</v>
      </c>
      <c r="G3839">
        <v>968</v>
      </c>
    </row>
    <row r="3840" spans="2:7" x14ac:dyDescent="0.25">
      <c r="B3840" s="70">
        <v>43465</v>
      </c>
      <c r="C3840" t="s">
        <v>21</v>
      </c>
      <c r="D3840" t="s">
        <v>411</v>
      </c>
      <c r="E3840" t="s">
        <v>412</v>
      </c>
      <c r="F3840">
        <v>0</v>
      </c>
      <c r="G3840">
        <v>960</v>
      </c>
    </row>
    <row r="3841" spans="2:7" x14ac:dyDescent="0.25">
      <c r="B3841" s="70">
        <v>43465</v>
      </c>
      <c r="C3841" t="s">
        <v>21</v>
      </c>
      <c r="D3841" t="s">
        <v>411</v>
      </c>
      <c r="E3841" t="s">
        <v>412</v>
      </c>
      <c r="F3841">
        <v>0</v>
      </c>
      <c r="G3841">
        <v>909.37</v>
      </c>
    </row>
    <row r="3842" spans="2:7" x14ac:dyDescent="0.25">
      <c r="B3842" s="70">
        <v>43465</v>
      </c>
      <c r="C3842" t="s">
        <v>21</v>
      </c>
      <c r="D3842" t="s">
        <v>411</v>
      </c>
      <c r="E3842" t="s">
        <v>412</v>
      </c>
      <c r="F3842">
        <v>0</v>
      </c>
      <c r="G3842">
        <v>901.93</v>
      </c>
    </row>
    <row r="3843" spans="2:7" x14ac:dyDescent="0.25">
      <c r="B3843" s="70">
        <v>43465</v>
      </c>
      <c r="C3843" t="s">
        <v>21</v>
      </c>
      <c r="D3843" t="s">
        <v>411</v>
      </c>
      <c r="E3843" t="s">
        <v>412</v>
      </c>
      <c r="F3843">
        <v>0</v>
      </c>
      <c r="G3843">
        <v>856</v>
      </c>
    </row>
    <row r="3844" spans="2:7" x14ac:dyDescent="0.25">
      <c r="B3844" s="70">
        <v>43465</v>
      </c>
      <c r="C3844" t="s">
        <v>21</v>
      </c>
      <c r="D3844" t="s">
        <v>411</v>
      </c>
      <c r="E3844" t="s">
        <v>412</v>
      </c>
      <c r="F3844">
        <v>0</v>
      </c>
      <c r="G3844">
        <v>840</v>
      </c>
    </row>
    <row r="3845" spans="2:7" x14ac:dyDescent="0.25">
      <c r="B3845" s="70">
        <v>43465</v>
      </c>
      <c r="C3845" t="s">
        <v>21</v>
      </c>
      <c r="D3845" t="s">
        <v>411</v>
      </c>
      <c r="E3845" t="s">
        <v>412</v>
      </c>
      <c r="F3845">
        <v>0</v>
      </c>
      <c r="G3845">
        <v>741.73</v>
      </c>
    </row>
    <row r="3846" spans="2:7" x14ac:dyDescent="0.25">
      <c r="B3846" s="70">
        <v>43465</v>
      </c>
      <c r="C3846" t="s">
        <v>21</v>
      </c>
      <c r="D3846" t="s">
        <v>411</v>
      </c>
      <c r="E3846" t="s">
        <v>412</v>
      </c>
      <c r="F3846">
        <v>0</v>
      </c>
      <c r="G3846">
        <v>712</v>
      </c>
    </row>
    <row r="3847" spans="2:7" x14ac:dyDescent="0.25">
      <c r="B3847" s="70">
        <v>43465</v>
      </c>
      <c r="C3847" t="s">
        <v>21</v>
      </c>
      <c r="D3847" t="s">
        <v>411</v>
      </c>
      <c r="E3847" t="s">
        <v>412</v>
      </c>
      <c r="F3847">
        <v>0</v>
      </c>
      <c r="G3847">
        <v>667.86</v>
      </c>
    </row>
    <row r="3848" spans="2:7" x14ac:dyDescent="0.25">
      <c r="B3848" s="70">
        <v>43465</v>
      </c>
      <c r="C3848" t="s">
        <v>21</v>
      </c>
      <c r="D3848" t="s">
        <v>411</v>
      </c>
      <c r="E3848" t="s">
        <v>412</v>
      </c>
      <c r="F3848">
        <v>0</v>
      </c>
      <c r="G3848">
        <v>608</v>
      </c>
    </row>
    <row r="3849" spans="2:7" x14ac:dyDescent="0.25">
      <c r="B3849" s="70">
        <v>43465</v>
      </c>
      <c r="C3849" t="s">
        <v>21</v>
      </c>
      <c r="D3849" t="s">
        <v>411</v>
      </c>
      <c r="E3849" t="s">
        <v>412</v>
      </c>
      <c r="F3849">
        <v>0</v>
      </c>
      <c r="G3849">
        <v>596.84</v>
      </c>
    </row>
    <row r="3850" spans="2:7" x14ac:dyDescent="0.25">
      <c r="B3850" s="70">
        <v>43465</v>
      </c>
      <c r="C3850" t="s">
        <v>21</v>
      </c>
      <c r="D3850" t="s">
        <v>411</v>
      </c>
      <c r="E3850" t="s">
        <v>412</v>
      </c>
      <c r="F3850">
        <v>0</v>
      </c>
      <c r="G3850">
        <v>592</v>
      </c>
    </row>
    <row r="3851" spans="2:7" x14ac:dyDescent="0.25">
      <c r="B3851" s="70">
        <v>43465</v>
      </c>
      <c r="C3851" t="s">
        <v>21</v>
      </c>
      <c r="D3851" t="s">
        <v>411</v>
      </c>
      <c r="E3851" t="s">
        <v>412</v>
      </c>
      <c r="F3851">
        <v>0</v>
      </c>
      <c r="G3851">
        <v>520</v>
      </c>
    </row>
    <row r="3852" spans="2:7" x14ac:dyDescent="0.25">
      <c r="B3852" s="70">
        <v>43465</v>
      </c>
      <c r="C3852" t="s">
        <v>21</v>
      </c>
      <c r="D3852" t="s">
        <v>411</v>
      </c>
      <c r="E3852" t="s">
        <v>412</v>
      </c>
      <c r="F3852">
        <v>0</v>
      </c>
      <c r="G3852">
        <v>492.05</v>
      </c>
    </row>
    <row r="3853" spans="2:7" x14ac:dyDescent="0.25">
      <c r="B3853" s="70">
        <v>43465</v>
      </c>
      <c r="C3853" t="s">
        <v>21</v>
      </c>
      <c r="D3853" t="s">
        <v>411</v>
      </c>
      <c r="E3853" t="s">
        <v>412</v>
      </c>
      <c r="F3853">
        <v>0</v>
      </c>
      <c r="G3853">
        <v>468.25</v>
      </c>
    </row>
    <row r="3854" spans="2:7" x14ac:dyDescent="0.25">
      <c r="B3854" s="70">
        <v>43465</v>
      </c>
      <c r="C3854" t="s">
        <v>21</v>
      </c>
      <c r="D3854" t="s">
        <v>411</v>
      </c>
      <c r="E3854" t="s">
        <v>412</v>
      </c>
      <c r="F3854">
        <v>0</v>
      </c>
      <c r="G3854">
        <v>446.24</v>
      </c>
    </row>
    <row r="3855" spans="2:7" x14ac:dyDescent="0.25">
      <c r="B3855" s="70">
        <v>43465</v>
      </c>
      <c r="C3855" t="s">
        <v>21</v>
      </c>
      <c r="D3855" t="s">
        <v>411</v>
      </c>
      <c r="E3855" t="s">
        <v>412</v>
      </c>
      <c r="F3855">
        <v>0</v>
      </c>
      <c r="G3855">
        <v>435.52</v>
      </c>
    </row>
    <row r="3856" spans="2:7" x14ac:dyDescent="0.25">
      <c r="B3856" s="70">
        <v>43465</v>
      </c>
      <c r="C3856" t="s">
        <v>21</v>
      </c>
      <c r="D3856" t="s">
        <v>411</v>
      </c>
      <c r="E3856" t="s">
        <v>412</v>
      </c>
      <c r="F3856">
        <v>0</v>
      </c>
      <c r="G3856">
        <v>417.98</v>
      </c>
    </row>
    <row r="3857" spans="2:7" x14ac:dyDescent="0.25">
      <c r="B3857" s="70">
        <v>43465</v>
      </c>
      <c r="C3857" t="s">
        <v>21</v>
      </c>
      <c r="D3857" t="s">
        <v>411</v>
      </c>
      <c r="E3857" t="s">
        <v>412</v>
      </c>
      <c r="F3857">
        <v>0</v>
      </c>
      <c r="G3857">
        <v>411.44</v>
      </c>
    </row>
    <row r="3858" spans="2:7" x14ac:dyDescent="0.25">
      <c r="B3858" s="70">
        <v>43465</v>
      </c>
      <c r="C3858" t="s">
        <v>21</v>
      </c>
      <c r="D3858" t="s">
        <v>411</v>
      </c>
      <c r="E3858" t="s">
        <v>412</v>
      </c>
      <c r="F3858">
        <v>0</v>
      </c>
      <c r="G3858">
        <v>409.17</v>
      </c>
    </row>
    <row r="3859" spans="2:7" x14ac:dyDescent="0.25">
      <c r="B3859" s="70">
        <v>43465</v>
      </c>
      <c r="C3859" t="s">
        <v>21</v>
      </c>
      <c r="D3859" t="s">
        <v>411</v>
      </c>
      <c r="E3859" t="s">
        <v>412</v>
      </c>
      <c r="F3859">
        <v>0</v>
      </c>
      <c r="G3859">
        <v>400</v>
      </c>
    </row>
    <row r="3860" spans="2:7" x14ac:dyDescent="0.25">
      <c r="B3860" s="70">
        <v>43465</v>
      </c>
      <c r="C3860" t="s">
        <v>21</v>
      </c>
      <c r="D3860" t="s">
        <v>411</v>
      </c>
      <c r="E3860" t="s">
        <v>412</v>
      </c>
      <c r="F3860">
        <v>0</v>
      </c>
      <c r="G3860">
        <v>381.27</v>
      </c>
    </row>
    <row r="3861" spans="2:7" x14ac:dyDescent="0.25">
      <c r="B3861" s="70">
        <v>43465</v>
      </c>
      <c r="C3861" t="s">
        <v>21</v>
      </c>
      <c r="D3861" t="s">
        <v>411</v>
      </c>
      <c r="E3861" t="s">
        <v>412</v>
      </c>
      <c r="F3861">
        <v>0</v>
      </c>
      <c r="G3861">
        <v>318.02</v>
      </c>
    </row>
    <row r="3862" spans="2:7" x14ac:dyDescent="0.25">
      <c r="B3862" s="70">
        <v>43465</v>
      </c>
      <c r="C3862" t="s">
        <v>21</v>
      </c>
      <c r="D3862" t="s">
        <v>411</v>
      </c>
      <c r="E3862" t="s">
        <v>412</v>
      </c>
      <c r="F3862">
        <v>0</v>
      </c>
      <c r="G3862">
        <v>295.66000000000003</v>
      </c>
    </row>
    <row r="3863" spans="2:7" x14ac:dyDescent="0.25">
      <c r="B3863" s="70">
        <v>43465</v>
      </c>
      <c r="C3863" t="s">
        <v>21</v>
      </c>
      <c r="D3863" t="s">
        <v>411</v>
      </c>
      <c r="E3863" t="s">
        <v>412</v>
      </c>
      <c r="F3863">
        <v>0</v>
      </c>
      <c r="G3863">
        <v>286.37</v>
      </c>
    </row>
    <row r="3864" spans="2:7" x14ac:dyDescent="0.25">
      <c r="B3864" s="70">
        <v>43465</v>
      </c>
      <c r="C3864" t="s">
        <v>21</v>
      </c>
      <c r="D3864" t="s">
        <v>411</v>
      </c>
      <c r="E3864" t="s">
        <v>412</v>
      </c>
      <c r="F3864">
        <v>0</v>
      </c>
      <c r="G3864">
        <v>280</v>
      </c>
    </row>
    <row r="3865" spans="2:7" x14ac:dyDescent="0.25">
      <c r="B3865" s="70">
        <v>43465</v>
      </c>
      <c r="C3865" t="s">
        <v>21</v>
      </c>
      <c r="D3865" t="s">
        <v>411</v>
      </c>
      <c r="E3865" t="s">
        <v>412</v>
      </c>
      <c r="F3865">
        <v>0</v>
      </c>
      <c r="G3865">
        <v>279.20999999999998</v>
      </c>
    </row>
    <row r="3866" spans="2:7" x14ac:dyDescent="0.25">
      <c r="B3866" s="70">
        <v>43465</v>
      </c>
      <c r="C3866" t="s">
        <v>21</v>
      </c>
      <c r="D3866" t="s">
        <v>411</v>
      </c>
      <c r="E3866" t="s">
        <v>412</v>
      </c>
      <c r="F3866">
        <v>0</v>
      </c>
      <c r="G3866">
        <v>275.62</v>
      </c>
    </row>
    <row r="3867" spans="2:7" x14ac:dyDescent="0.25">
      <c r="B3867" s="70">
        <v>43465</v>
      </c>
      <c r="C3867" t="s">
        <v>21</v>
      </c>
      <c r="D3867" t="s">
        <v>411</v>
      </c>
      <c r="E3867" t="s">
        <v>412</v>
      </c>
      <c r="F3867">
        <v>0</v>
      </c>
      <c r="G3867">
        <v>253</v>
      </c>
    </row>
    <row r="3868" spans="2:7" x14ac:dyDescent="0.25">
      <c r="B3868" s="70">
        <v>43465</v>
      </c>
      <c r="C3868" t="s">
        <v>21</v>
      </c>
      <c r="D3868" t="s">
        <v>411</v>
      </c>
      <c r="E3868" t="s">
        <v>412</v>
      </c>
      <c r="F3868">
        <v>0</v>
      </c>
      <c r="G3868">
        <v>243.28</v>
      </c>
    </row>
    <row r="3869" spans="2:7" x14ac:dyDescent="0.25">
      <c r="B3869" s="70">
        <v>43465</v>
      </c>
      <c r="C3869" t="s">
        <v>21</v>
      </c>
      <c r="D3869" t="s">
        <v>411</v>
      </c>
      <c r="E3869" t="s">
        <v>412</v>
      </c>
      <c r="F3869">
        <v>0</v>
      </c>
      <c r="G3869">
        <v>234.56</v>
      </c>
    </row>
    <row r="3870" spans="2:7" x14ac:dyDescent="0.25">
      <c r="B3870" s="70">
        <v>43465</v>
      </c>
      <c r="C3870" t="s">
        <v>21</v>
      </c>
      <c r="D3870" t="s">
        <v>411</v>
      </c>
      <c r="E3870" t="s">
        <v>412</v>
      </c>
      <c r="F3870">
        <v>0</v>
      </c>
      <c r="G3870">
        <v>232</v>
      </c>
    </row>
    <row r="3871" spans="2:7" x14ac:dyDescent="0.25">
      <c r="B3871" s="70">
        <v>43465</v>
      </c>
      <c r="C3871" t="s">
        <v>21</v>
      </c>
      <c r="D3871" t="s">
        <v>411</v>
      </c>
      <c r="E3871" t="s">
        <v>412</v>
      </c>
      <c r="F3871">
        <v>0</v>
      </c>
      <c r="G3871">
        <v>221.7</v>
      </c>
    </row>
    <row r="3872" spans="2:7" x14ac:dyDescent="0.25">
      <c r="B3872" s="70">
        <v>43465</v>
      </c>
      <c r="C3872" t="s">
        <v>21</v>
      </c>
      <c r="D3872" t="s">
        <v>411</v>
      </c>
      <c r="E3872" t="s">
        <v>412</v>
      </c>
      <c r="F3872">
        <v>0</v>
      </c>
      <c r="G3872">
        <v>221</v>
      </c>
    </row>
    <row r="3873" spans="2:7" x14ac:dyDescent="0.25">
      <c r="B3873" s="70">
        <v>43465</v>
      </c>
      <c r="C3873" t="s">
        <v>21</v>
      </c>
      <c r="D3873" t="s">
        <v>411</v>
      </c>
      <c r="E3873" t="s">
        <v>412</v>
      </c>
      <c r="F3873">
        <v>0</v>
      </c>
      <c r="G3873">
        <v>219.53</v>
      </c>
    </row>
    <row r="3874" spans="2:7" x14ac:dyDescent="0.25">
      <c r="B3874" s="70">
        <v>43465</v>
      </c>
      <c r="C3874" t="s">
        <v>21</v>
      </c>
      <c r="D3874" t="s">
        <v>411</v>
      </c>
      <c r="E3874" t="s">
        <v>412</v>
      </c>
      <c r="F3874">
        <v>0</v>
      </c>
      <c r="G3874">
        <v>210.62</v>
      </c>
    </row>
    <row r="3875" spans="2:7" x14ac:dyDescent="0.25">
      <c r="B3875" s="70">
        <v>43465</v>
      </c>
      <c r="C3875" t="s">
        <v>21</v>
      </c>
      <c r="D3875" t="s">
        <v>411</v>
      </c>
      <c r="E3875" t="s">
        <v>412</v>
      </c>
      <c r="F3875">
        <v>0</v>
      </c>
      <c r="G3875">
        <v>195.85</v>
      </c>
    </row>
    <row r="3876" spans="2:7" x14ac:dyDescent="0.25">
      <c r="B3876" s="70">
        <v>43465</v>
      </c>
      <c r="C3876" t="s">
        <v>21</v>
      </c>
      <c r="D3876" t="s">
        <v>411</v>
      </c>
      <c r="E3876" t="s">
        <v>412</v>
      </c>
      <c r="F3876">
        <v>0</v>
      </c>
      <c r="G3876">
        <v>195.11</v>
      </c>
    </row>
    <row r="3877" spans="2:7" x14ac:dyDescent="0.25">
      <c r="B3877" s="70">
        <v>43465</v>
      </c>
      <c r="C3877" t="s">
        <v>21</v>
      </c>
      <c r="D3877" t="s">
        <v>411</v>
      </c>
      <c r="E3877" t="s">
        <v>412</v>
      </c>
      <c r="F3877">
        <v>0</v>
      </c>
      <c r="G3877">
        <v>184</v>
      </c>
    </row>
    <row r="3878" spans="2:7" x14ac:dyDescent="0.25">
      <c r="B3878" s="70">
        <v>43465</v>
      </c>
      <c r="C3878" t="s">
        <v>21</v>
      </c>
      <c r="D3878" t="s">
        <v>411</v>
      </c>
      <c r="E3878" t="s">
        <v>412</v>
      </c>
      <c r="F3878">
        <v>0</v>
      </c>
      <c r="G3878">
        <v>183.42</v>
      </c>
    </row>
    <row r="3879" spans="2:7" x14ac:dyDescent="0.25">
      <c r="B3879" s="70">
        <v>43465</v>
      </c>
      <c r="C3879" t="s">
        <v>21</v>
      </c>
      <c r="D3879" t="s">
        <v>411</v>
      </c>
      <c r="E3879" t="s">
        <v>412</v>
      </c>
      <c r="F3879">
        <v>0</v>
      </c>
      <c r="G3879">
        <v>182.56</v>
      </c>
    </row>
    <row r="3880" spans="2:7" x14ac:dyDescent="0.25">
      <c r="B3880" s="70">
        <v>43465</v>
      </c>
      <c r="C3880" t="s">
        <v>21</v>
      </c>
      <c r="D3880" t="s">
        <v>411</v>
      </c>
      <c r="E3880" t="s">
        <v>412</v>
      </c>
      <c r="F3880">
        <v>0</v>
      </c>
      <c r="G3880">
        <v>153.74</v>
      </c>
    </row>
    <row r="3881" spans="2:7" x14ac:dyDescent="0.25">
      <c r="B3881" s="70">
        <v>43465</v>
      </c>
      <c r="C3881" t="s">
        <v>21</v>
      </c>
      <c r="D3881" t="s">
        <v>411</v>
      </c>
      <c r="E3881" t="s">
        <v>412</v>
      </c>
      <c r="F3881">
        <v>0</v>
      </c>
      <c r="G3881">
        <v>147.72</v>
      </c>
    </row>
    <row r="3882" spans="2:7" x14ac:dyDescent="0.25">
      <c r="B3882" s="70">
        <v>43465</v>
      </c>
      <c r="C3882" t="s">
        <v>21</v>
      </c>
      <c r="D3882" t="s">
        <v>411</v>
      </c>
      <c r="E3882" t="s">
        <v>412</v>
      </c>
      <c r="F3882">
        <v>0</v>
      </c>
      <c r="G3882">
        <v>142.80000000000001</v>
      </c>
    </row>
    <row r="3883" spans="2:7" x14ac:dyDescent="0.25">
      <c r="B3883" s="70">
        <v>43465</v>
      </c>
      <c r="C3883" t="s">
        <v>21</v>
      </c>
      <c r="D3883" t="s">
        <v>411</v>
      </c>
      <c r="E3883" t="s">
        <v>412</v>
      </c>
      <c r="F3883">
        <v>0</v>
      </c>
      <c r="G3883">
        <v>137.41999999999999</v>
      </c>
    </row>
    <row r="3884" spans="2:7" x14ac:dyDescent="0.25">
      <c r="B3884" s="70">
        <v>43465</v>
      </c>
      <c r="C3884" t="s">
        <v>21</v>
      </c>
      <c r="D3884" t="s">
        <v>411</v>
      </c>
      <c r="E3884" t="s">
        <v>412</v>
      </c>
      <c r="F3884">
        <v>0</v>
      </c>
      <c r="G3884">
        <v>136.54</v>
      </c>
    </row>
    <row r="3885" spans="2:7" x14ac:dyDescent="0.25">
      <c r="B3885" s="70">
        <v>43465</v>
      </c>
      <c r="C3885" t="s">
        <v>21</v>
      </c>
      <c r="D3885" t="s">
        <v>411</v>
      </c>
      <c r="E3885" t="s">
        <v>412</v>
      </c>
      <c r="F3885">
        <v>0</v>
      </c>
      <c r="G3885">
        <v>135.25</v>
      </c>
    </row>
    <row r="3886" spans="2:7" x14ac:dyDescent="0.25">
      <c r="B3886" s="70">
        <v>43465</v>
      </c>
      <c r="C3886" t="s">
        <v>21</v>
      </c>
      <c r="D3886" t="s">
        <v>411</v>
      </c>
      <c r="E3886" t="s">
        <v>412</v>
      </c>
      <c r="F3886">
        <v>0</v>
      </c>
      <c r="G3886">
        <v>129.09</v>
      </c>
    </row>
    <row r="3887" spans="2:7" x14ac:dyDescent="0.25">
      <c r="B3887" s="70">
        <v>43465</v>
      </c>
      <c r="C3887" t="s">
        <v>21</v>
      </c>
      <c r="D3887" t="s">
        <v>411</v>
      </c>
      <c r="E3887" t="s">
        <v>412</v>
      </c>
      <c r="F3887">
        <v>0</v>
      </c>
      <c r="G3887">
        <v>123.6</v>
      </c>
    </row>
    <row r="3888" spans="2:7" x14ac:dyDescent="0.25">
      <c r="B3888" s="70">
        <v>43465</v>
      </c>
      <c r="C3888" t="s">
        <v>21</v>
      </c>
      <c r="D3888" t="s">
        <v>411</v>
      </c>
      <c r="E3888" t="s">
        <v>412</v>
      </c>
      <c r="F3888">
        <v>0</v>
      </c>
      <c r="G3888">
        <v>121.12</v>
      </c>
    </row>
    <row r="3889" spans="2:7" x14ac:dyDescent="0.25">
      <c r="B3889" s="70">
        <v>43465</v>
      </c>
      <c r="C3889" t="s">
        <v>21</v>
      </c>
      <c r="D3889" t="s">
        <v>411</v>
      </c>
      <c r="E3889" t="s">
        <v>412</v>
      </c>
      <c r="F3889">
        <v>0</v>
      </c>
      <c r="G3889">
        <v>117.21</v>
      </c>
    </row>
    <row r="3890" spans="2:7" x14ac:dyDescent="0.25">
      <c r="B3890" s="70">
        <v>43465</v>
      </c>
      <c r="C3890" t="s">
        <v>21</v>
      </c>
      <c r="D3890" t="s">
        <v>411</v>
      </c>
      <c r="E3890" t="s">
        <v>412</v>
      </c>
      <c r="F3890">
        <v>0</v>
      </c>
      <c r="G3890">
        <v>113.1</v>
      </c>
    </row>
    <row r="3891" spans="2:7" x14ac:dyDescent="0.25">
      <c r="B3891" s="70">
        <v>43465</v>
      </c>
      <c r="C3891" t="s">
        <v>21</v>
      </c>
      <c r="D3891" t="s">
        <v>411</v>
      </c>
      <c r="E3891" t="s">
        <v>412</v>
      </c>
      <c r="F3891">
        <v>0</v>
      </c>
      <c r="G3891">
        <v>107.12</v>
      </c>
    </row>
    <row r="3892" spans="2:7" x14ac:dyDescent="0.25">
      <c r="B3892" s="70">
        <v>43465</v>
      </c>
      <c r="C3892" t="s">
        <v>21</v>
      </c>
      <c r="D3892" t="s">
        <v>411</v>
      </c>
      <c r="E3892" t="s">
        <v>412</v>
      </c>
      <c r="F3892">
        <v>0</v>
      </c>
      <c r="G3892">
        <v>104.2</v>
      </c>
    </row>
    <row r="3893" spans="2:7" x14ac:dyDescent="0.25">
      <c r="B3893" s="70">
        <v>43465</v>
      </c>
      <c r="C3893" t="s">
        <v>21</v>
      </c>
      <c r="D3893" t="s">
        <v>411</v>
      </c>
      <c r="E3893" t="s">
        <v>412</v>
      </c>
      <c r="F3893">
        <v>0</v>
      </c>
      <c r="G3893">
        <v>81.23</v>
      </c>
    </row>
    <row r="3894" spans="2:7" x14ac:dyDescent="0.25">
      <c r="B3894" s="70">
        <v>43465</v>
      </c>
      <c r="C3894" t="s">
        <v>21</v>
      </c>
      <c r="D3894" t="s">
        <v>411</v>
      </c>
      <c r="E3894" t="s">
        <v>412</v>
      </c>
      <c r="F3894">
        <v>0</v>
      </c>
      <c r="G3894">
        <v>64</v>
      </c>
    </row>
    <row r="3895" spans="2:7" x14ac:dyDescent="0.25">
      <c r="B3895" s="70">
        <v>43465</v>
      </c>
      <c r="C3895" t="s">
        <v>21</v>
      </c>
      <c r="D3895" t="s">
        <v>411</v>
      </c>
      <c r="E3895" t="s">
        <v>412</v>
      </c>
      <c r="F3895">
        <v>0</v>
      </c>
      <c r="G3895">
        <v>60.4</v>
      </c>
    </row>
    <row r="3896" spans="2:7" x14ac:dyDescent="0.25">
      <c r="B3896" s="70">
        <v>43465</v>
      </c>
      <c r="C3896" t="s">
        <v>21</v>
      </c>
      <c r="D3896" t="s">
        <v>411</v>
      </c>
      <c r="E3896" t="s">
        <v>412</v>
      </c>
      <c r="F3896">
        <v>0</v>
      </c>
      <c r="G3896">
        <v>58.52</v>
      </c>
    </row>
    <row r="3897" spans="2:7" x14ac:dyDescent="0.25">
      <c r="B3897" s="70">
        <v>43465</v>
      </c>
      <c r="C3897" t="s">
        <v>21</v>
      </c>
      <c r="D3897" t="s">
        <v>411</v>
      </c>
      <c r="E3897" t="s">
        <v>412</v>
      </c>
      <c r="F3897">
        <v>0</v>
      </c>
      <c r="G3897">
        <v>48</v>
      </c>
    </row>
    <row r="3898" spans="2:7" x14ac:dyDescent="0.25">
      <c r="B3898" s="70">
        <v>43465</v>
      </c>
      <c r="C3898" t="s">
        <v>21</v>
      </c>
      <c r="D3898" t="s">
        <v>411</v>
      </c>
      <c r="E3898" t="s">
        <v>412</v>
      </c>
      <c r="F3898">
        <v>0</v>
      </c>
      <c r="G3898">
        <v>47.4</v>
      </c>
    </row>
    <row r="3899" spans="2:7" x14ac:dyDescent="0.25">
      <c r="B3899" s="70">
        <v>43465</v>
      </c>
      <c r="C3899" t="s">
        <v>21</v>
      </c>
      <c r="D3899" t="s">
        <v>411</v>
      </c>
      <c r="E3899" t="s">
        <v>412</v>
      </c>
      <c r="F3899">
        <v>0</v>
      </c>
      <c r="G3899">
        <v>43.87</v>
      </c>
    </row>
    <row r="3900" spans="2:7" x14ac:dyDescent="0.25">
      <c r="B3900" s="70">
        <v>43465</v>
      </c>
      <c r="C3900" t="s">
        <v>21</v>
      </c>
      <c r="D3900" t="s">
        <v>411</v>
      </c>
      <c r="E3900" t="s">
        <v>412</v>
      </c>
      <c r="F3900">
        <v>0</v>
      </c>
      <c r="G3900">
        <v>40</v>
      </c>
    </row>
    <row r="3901" spans="2:7" x14ac:dyDescent="0.25">
      <c r="B3901" s="70">
        <v>43465</v>
      </c>
      <c r="C3901" t="s">
        <v>21</v>
      </c>
      <c r="D3901" t="s">
        <v>411</v>
      </c>
      <c r="E3901" t="s">
        <v>412</v>
      </c>
      <c r="F3901">
        <v>0</v>
      </c>
      <c r="G3901">
        <v>38.119999999999997</v>
      </c>
    </row>
    <row r="3902" spans="2:7" x14ac:dyDescent="0.25">
      <c r="B3902" s="70">
        <v>43465</v>
      </c>
      <c r="C3902" t="s">
        <v>21</v>
      </c>
      <c r="D3902" t="s">
        <v>411</v>
      </c>
      <c r="E3902" t="s">
        <v>412</v>
      </c>
      <c r="F3902">
        <v>0</v>
      </c>
      <c r="G3902">
        <v>32</v>
      </c>
    </row>
    <row r="3903" spans="2:7" x14ac:dyDescent="0.25">
      <c r="B3903" s="70">
        <v>43465</v>
      </c>
      <c r="C3903" t="s">
        <v>21</v>
      </c>
      <c r="D3903" t="s">
        <v>411</v>
      </c>
      <c r="E3903" t="s">
        <v>412</v>
      </c>
      <c r="F3903">
        <v>0</v>
      </c>
      <c r="G3903">
        <v>26.52</v>
      </c>
    </row>
    <row r="3904" spans="2:7" x14ac:dyDescent="0.25">
      <c r="B3904" s="70">
        <v>43465</v>
      </c>
      <c r="C3904" t="s">
        <v>21</v>
      </c>
      <c r="D3904" t="s">
        <v>411</v>
      </c>
      <c r="E3904" t="s">
        <v>412</v>
      </c>
      <c r="F3904">
        <v>0</v>
      </c>
      <c r="G3904">
        <v>25.11</v>
      </c>
    </row>
    <row r="3905" spans="2:7" x14ac:dyDescent="0.25">
      <c r="B3905" s="70">
        <v>43465</v>
      </c>
      <c r="C3905" t="s">
        <v>21</v>
      </c>
      <c r="D3905" t="s">
        <v>411</v>
      </c>
      <c r="E3905" t="s">
        <v>412</v>
      </c>
      <c r="F3905">
        <v>0</v>
      </c>
      <c r="G3905">
        <v>24</v>
      </c>
    </row>
    <row r="3906" spans="2:7" x14ac:dyDescent="0.25">
      <c r="B3906" s="70">
        <v>43465</v>
      </c>
      <c r="C3906" t="s">
        <v>21</v>
      </c>
      <c r="D3906" t="s">
        <v>411</v>
      </c>
      <c r="E3906" t="s">
        <v>412</v>
      </c>
      <c r="F3906">
        <v>0</v>
      </c>
      <c r="G3906">
        <v>22.57</v>
      </c>
    </row>
    <row r="3907" spans="2:7" x14ac:dyDescent="0.25">
      <c r="B3907" s="70">
        <v>43465</v>
      </c>
      <c r="C3907" t="s">
        <v>21</v>
      </c>
      <c r="D3907" t="s">
        <v>411</v>
      </c>
      <c r="E3907" t="s">
        <v>412</v>
      </c>
      <c r="F3907">
        <v>0</v>
      </c>
      <c r="G3907">
        <v>16.12</v>
      </c>
    </row>
    <row r="3908" spans="2:7" x14ac:dyDescent="0.25">
      <c r="B3908" s="70">
        <v>43465</v>
      </c>
      <c r="C3908" t="s">
        <v>21</v>
      </c>
      <c r="D3908" t="s">
        <v>411</v>
      </c>
      <c r="E3908" t="s">
        <v>412</v>
      </c>
      <c r="F3908">
        <v>0</v>
      </c>
      <c r="G3908">
        <v>16</v>
      </c>
    </row>
    <row r="3909" spans="2:7" x14ac:dyDescent="0.25">
      <c r="B3909" s="70">
        <v>43465</v>
      </c>
      <c r="C3909" t="s">
        <v>21</v>
      </c>
      <c r="D3909" t="s">
        <v>411</v>
      </c>
      <c r="E3909" t="s">
        <v>412</v>
      </c>
      <c r="F3909">
        <v>0</v>
      </c>
      <c r="G3909">
        <v>13.41</v>
      </c>
    </row>
    <row r="3910" spans="2:7" x14ac:dyDescent="0.25">
      <c r="B3910" s="70">
        <v>43465</v>
      </c>
      <c r="C3910" t="s">
        <v>21</v>
      </c>
      <c r="D3910" t="s">
        <v>411</v>
      </c>
      <c r="E3910" t="s">
        <v>412</v>
      </c>
      <c r="F3910">
        <v>0</v>
      </c>
      <c r="G3910">
        <v>12.37</v>
      </c>
    </row>
    <row r="3911" spans="2:7" x14ac:dyDescent="0.25">
      <c r="B3911" s="70">
        <v>43465</v>
      </c>
      <c r="C3911" t="s">
        <v>21</v>
      </c>
      <c r="D3911" t="s">
        <v>411</v>
      </c>
      <c r="E3911" t="s">
        <v>412</v>
      </c>
      <c r="F3911">
        <v>0</v>
      </c>
      <c r="G3911">
        <v>8</v>
      </c>
    </row>
    <row r="3912" spans="2:7" x14ac:dyDescent="0.25">
      <c r="B3912" s="70">
        <v>43465</v>
      </c>
      <c r="C3912" t="s">
        <v>21</v>
      </c>
      <c r="D3912" t="s">
        <v>411</v>
      </c>
      <c r="E3912" t="s">
        <v>412</v>
      </c>
      <c r="F3912">
        <v>0</v>
      </c>
      <c r="G3912">
        <v>6.85</v>
      </c>
    </row>
    <row r="3913" spans="2:7" x14ac:dyDescent="0.25">
      <c r="B3913" s="70">
        <v>43465</v>
      </c>
      <c r="C3913" t="s">
        <v>21</v>
      </c>
      <c r="D3913" t="s">
        <v>411</v>
      </c>
      <c r="E3913" t="s">
        <v>412</v>
      </c>
      <c r="F3913">
        <v>8.4</v>
      </c>
      <c r="G3913">
        <v>0</v>
      </c>
    </row>
    <row r="3914" spans="2:7" x14ac:dyDescent="0.25">
      <c r="B3914" s="70">
        <v>43465</v>
      </c>
      <c r="C3914" t="s">
        <v>78</v>
      </c>
      <c r="D3914" t="s">
        <v>411</v>
      </c>
      <c r="E3914" t="s">
        <v>412</v>
      </c>
      <c r="F3914">
        <v>0</v>
      </c>
      <c r="G3914">
        <v>106.12</v>
      </c>
    </row>
    <row r="3915" spans="2:7" x14ac:dyDescent="0.25">
      <c r="B3915" s="70">
        <v>43465</v>
      </c>
      <c r="C3915" t="s">
        <v>78</v>
      </c>
      <c r="D3915" t="s">
        <v>411</v>
      </c>
      <c r="E3915" t="s">
        <v>412</v>
      </c>
      <c r="F3915">
        <v>0</v>
      </c>
      <c r="G3915">
        <v>51.99</v>
      </c>
    </row>
    <row r="3916" spans="2:7" x14ac:dyDescent="0.25">
      <c r="B3916" s="70">
        <v>43465</v>
      </c>
      <c r="C3916" t="s">
        <v>78</v>
      </c>
      <c r="D3916" t="s">
        <v>411</v>
      </c>
      <c r="E3916" t="s">
        <v>412</v>
      </c>
      <c r="F3916">
        <v>0</v>
      </c>
      <c r="G3916">
        <v>47.56</v>
      </c>
    </row>
    <row r="3917" spans="2:7" x14ac:dyDescent="0.25">
      <c r="B3917" s="70">
        <v>43465</v>
      </c>
      <c r="C3917" t="s">
        <v>66</v>
      </c>
      <c r="D3917" t="s">
        <v>411</v>
      </c>
      <c r="E3917" t="s">
        <v>412</v>
      </c>
      <c r="F3917">
        <v>0</v>
      </c>
      <c r="G3917">
        <v>3530.96</v>
      </c>
    </row>
    <row r="3918" spans="2:7" x14ac:dyDescent="0.25">
      <c r="B3918" s="70">
        <v>43465</v>
      </c>
      <c r="C3918" t="s">
        <v>66</v>
      </c>
      <c r="D3918" t="s">
        <v>411</v>
      </c>
      <c r="E3918" t="s">
        <v>412</v>
      </c>
      <c r="F3918">
        <v>0</v>
      </c>
      <c r="G3918">
        <v>1970.01</v>
      </c>
    </row>
    <row r="3919" spans="2:7" x14ac:dyDescent="0.25">
      <c r="B3919" s="70">
        <v>43465</v>
      </c>
      <c r="C3919" t="s">
        <v>66</v>
      </c>
      <c r="D3919" t="s">
        <v>411</v>
      </c>
      <c r="E3919" t="s">
        <v>412</v>
      </c>
      <c r="F3919">
        <v>0</v>
      </c>
      <c r="G3919">
        <v>880.25</v>
      </c>
    </row>
    <row r="3920" spans="2:7" x14ac:dyDescent="0.25">
      <c r="B3920" s="70">
        <v>43465</v>
      </c>
      <c r="C3920" t="s">
        <v>66</v>
      </c>
      <c r="D3920" t="s">
        <v>411</v>
      </c>
      <c r="E3920" t="s">
        <v>412</v>
      </c>
      <c r="F3920">
        <v>0</v>
      </c>
      <c r="G3920">
        <v>693.29</v>
      </c>
    </row>
    <row r="3921" spans="2:7" x14ac:dyDescent="0.25">
      <c r="B3921" s="70">
        <v>43465</v>
      </c>
      <c r="C3921" t="s">
        <v>66</v>
      </c>
      <c r="D3921" t="s">
        <v>411</v>
      </c>
      <c r="E3921" t="s">
        <v>412</v>
      </c>
      <c r="F3921">
        <v>0</v>
      </c>
      <c r="G3921">
        <v>263.94</v>
      </c>
    </row>
    <row r="3922" spans="2:7" x14ac:dyDescent="0.25">
      <c r="B3922" s="70">
        <v>43465</v>
      </c>
      <c r="C3922" t="s">
        <v>48</v>
      </c>
      <c r="D3922" t="s">
        <v>411</v>
      </c>
      <c r="E3922" t="s">
        <v>412</v>
      </c>
      <c r="F3922">
        <v>0</v>
      </c>
      <c r="G3922">
        <v>138667.6</v>
      </c>
    </row>
    <row r="3923" spans="2:7" x14ac:dyDescent="0.25">
      <c r="B3923" s="70">
        <v>43465</v>
      </c>
      <c r="C3923" t="s">
        <v>48</v>
      </c>
      <c r="D3923" t="s">
        <v>411</v>
      </c>
      <c r="E3923" t="s">
        <v>412</v>
      </c>
      <c r="F3923">
        <v>0</v>
      </c>
      <c r="G3923">
        <v>27734.080000000002</v>
      </c>
    </row>
    <row r="3924" spans="2:7" x14ac:dyDescent="0.25">
      <c r="B3924" s="70">
        <v>43465</v>
      </c>
      <c r="C3924" t="s">
        <v>48</v>
      </c>
      <c r="D3924" t="s">
        <v>411</v>
      </c>
      <c r="E3924" t="s">
        <v>412</v>
      </c>
      <c r="F3924">
        <v>0</v>
      </c>
      <c r="G3924">
        <v>19323.77</v>
      </c>
    </row>
    <row r="3925" spans="2:7" x14ac:dyDescent="0.25">
      <c r="B3925" s="70">
        <v>43465</v>
      </c>
      <c r="C3925" t="s">
        <v>48</v>
      </c>
      <c r="D3925" t="s">
        <v>411</v>
      </c>
      <c r="E3925" t="s">
        <v>412</v>
      </c>
      <c r="F3925">
        <v>0</v>
      </c>
      <c r="G3925">
        <v>4035.26</v>
      </c>
    </row>
    <row r="3926" spans="2:7" x14ac:dyDescent="0.25">
      <c r="B3926" s="70">
        <v>43465</v>
      </c>
      <c r="C3926" t="s">
        <v>48</v>
      </c>
      <c r="D3926" t="s">
        <v>411</v>
      </c>
      <c r="E3926" t="s">
        <v>412</v>
      </c>
      <c r="F3926">
        <v>0</v>
      </c>
      <c r="G3926">
        <v>2116.38</v>
      </c>
    </row>
    <row r="3927" spans="2:7" x14ac:dyDescent="0.25">
      <c r="B3927" s="70">
        <v>43465</v>
      </c>
      <c r="C3927" t="s">
        <v>64</v>
      </c>
      <c r="D3927" t="s">
        <v>411</v>
      </c>
      <c r="E3927" t="s">
        <v>412</v>
      </c>
      <c r="F3927">
        <v>0</v>
      </c>
      <c r="G3927">
        <v>706.98</v>
      </c>
    </row>
    <row r="3928" spans="2:7" x14ac:dyDescent="0.25">
      <c r="B3928" s="70">
        <v>43465</v>
      </c>
      <c r="C3928" t="s">
        <v>64</v>
      </c>
      <c r="D3928" t="s">
        <v>411</v>
      </c>
      <c r="E3928" t="s">
        <v>412</v>
      </c>
      <c r="F3928">
        <v>0</v>
      </c>
      <c r="G3928">
        <v>201.26</v>
      </c>
    </row>
    <row r="3929" spans="2:7" x14ac:dyDescent="0.25">
      <c r="B3929" s="70">
        <v>43465</v>
      </c>
      <c r="C3929" t="s">
        <v>64</v>
      </c>
      <c r="D3929" t="s">
        <v>411</v>
      </c>
      <c r="E3929" t="s">
        <v>412</v>
      </c>
      <c r="F3929">
        <v>0</v>
      </c>
      <c r="G3929">
        <v>200</v>
      </c>
    </row>
    <row r="3930" spans="2:7" x14ac:dyDescent="0.25">
      <c r="B3930" s="70">
        <v>43465</v>
      </c>
      <c r="C3930" t="s">
        <v>64</v>
      </c>
      <c r="D3930" t="s">
        <v>411</v>
      </c>
      <c r="E3930" t="s">
        <v>412</v>
      </c>
      <c r="F3930">
        <v>0</v>
      </c>
      <c r="G3930">
        <v>23.89</v>
      </c>
    </row>
    <row r="3931" spans="2:7" x14ac:dyDescent="0.25">
      <c r="B3931" s="70">
        <v>43465</v>
      </c>
      <c r="C3931" t="s">
        <v>55</v>
      </c>
      <c r="D3931" t="s">
        <v>411</v>
      </c>
      <c r="E3931" t="s">
        <v>412</v>
      </c>
      <c r="F3931">
        <v>0</v>
      </c>
      <c r="G3931">
        <v>7170.13</v>
      </c>
    </row>
    <row r="3932" spans="2:7" x14ac:dyDescent="0.25">
      <c r="B3932" s="70">
        <v>43465</v>
      </c>
      <c r="C3932" t="s">
        <v>55</v>
      </c>
      <c r="D3932" t="s">
        <v>411</v>
      </c>
      <c r="E3932" t="s">
        <v>412</v>
      </c>
      <c r="F3932">
        <v>0</v>
      </c>
      <c r="G3932">
        <v>3913.88</v>
      </c>
    </row>
    <row r="3933" spans="2:7" x14ac:dyDescent="0.25">
      <c r="B3933" s="70">
        <v>43465</v>
      </c>
      <c r="C3933" t="s">
        <v>55</v>
      </c>
      <c r="D3933" t="s">
        <v>411</v>
      </c>
      <c r="E3933" t="s">
        <v>412</v>
      </c>
      <c r="F3933">
        <v>0</v>
      </c>
      <c r="G3933">
        <v>1386.2</v>
      </c>
    </row>
    <row r="3934" spans="2:7" x14ac:dyDescent="0.25">
      <c r="B3934" s="70">
        <v>43465</v>
      </c>
      <c r="C3934" t="s">
        <v>55</v>
      </c>
      <c r="D3934" t="s">
        <v>411</v>
      </c>
      <c r="E3934" t="s">
        <v>412</v>
      </c>
      <c r="F3934">
        <v>0</v>
      </c>
      <c r="G3934">
        <v>1066.3399999999999</v>
      </c>
    </row>
    <row r="3935" spans="2:7" x14ac:dyDescent="0.25">
      <c r="B3935" s="70">
        <v>43465</v>
      </c>
      <c r="C3935" t="s">
        <v>55</v>
      </c>
      <c r="D3935" t="s">
        <v>411</v>
      </c>
      <c r="E3935" t="s">
        <v>412</v>
      </c>
      <c r="F3935">
        <v>0</v>
      </c>
      <c r="G3935">
        <v>278.63</v>
      </c>
    </row>
    <row r="3936" spans="2:7" x14ac:dyDescent="0.25">
      <c r="B3936" s="70">
        <v>43465</v>
      </c>
      <c r="C3936" t="s">
        <v>75</v>
      </c>
      <c r="D3936" t="s">
        <v>411</v>
      </c>
      <c r="E3936" t="s">
        <v>412</v>
      </c>
      <c r="F3936">
        <v>0</v>
      </c>
      <c r="G3936">
        <v>77</v>
      </c>
    </row>
    <row r="3937" spans="2:7" x14ac:dyDescent="0.25">
      <c r="B3937" s="70">
        <v>43465</v>
      </c>
      <c r="C3937" t="s">
        <v>75</v>
      </c>
      <c r="D3937" t="s">
        <v>411</v>
      </c>
      <c r="E3937" t="s">
        <v>412</v>
      </c>
      <c r="F3937">
        <v>0</v>
      </c>
      <c r="G3937">
        <v>52</v>
      </c>
    </row>
    <row r="3938" spans="2:7" x14ac:dyDescent="0.25">
      <c r="B3938" s="70">
        <v>43465</v>
      </c>
      <c r="C3938" t="s">
        <v>45</v>
      </c>
      <c r="D3938" t="s">
        <v>411</v>
      </c>
      <c r="E3938" t="s">
        <v>412</v>
      </c>
      <c r="F3938">
        <v>0</v>
      </c>
      <c r="G3938">
        <v>8748.9599999999991</v>
      </c>
    </row>
    <row r="3939" spans="2:7" x14ac:dyDescent="0.25">
      <c r="B3939" s="70">
        <v>43465</v>
      </c>
      <c r="C3939" t="s">
        <v>45</v>
      </c>
      <c r="D3939" t="s">
        <v>411</v>
      </c>
      <c r="E3939" t="s">
        <v>412</v>
      </c>
      <c r="F3939">
        <v>0</v>
      </c>
      <c r="G3939">
        <v>2868.43</v>
      </c>
    </row>
    <row r="3940" spans="2:7" x14ac:dyDescent="0.25">
      <c r="B3940" s="70">
        <v>43465</v>
      </c>
      <c r="C3940" t="s">
        <v>45</v>
      </c>
      <c r="D3940" t="s">
        <v>411</v>
      </c>
      <c r="E3940" t="s">
        <v>412</v>
      </c>
      <c r="F3940">
        <v>0</v>
      </c>
      <c r="G3940">
        <v>1208.8699999999999</v>
      </c>
    </row>
    <row r="3941" spans="2:7" x14ac:dyDescent="0.25">
      <c r="B3941" s="70">
        <v>43465</v>
      </c>
      <c r="C3941" t="s">
        <v>45</v>
      </c>
      <c r="D3941" t="s">
        <v>411</v>
      </c>
      <c r="E3941" t="s">
        <v>412</v>
      </c>
      <c r="F3941">
        <v>0</v>
      </c>
      <c r="G3941">
        <v>818.92</v>
      </c>
    </row>
    <row r="3942" spans="2:7" x14ac:dyDescent="0.25">
      <c r="B3942" s="70">
        <v>43465</v>
      </c>
      <c r="C3942" t="s">
        <v>45</v>
      </c>
      <c r="D3942" t="s">
        <v>411</v>
      </c>
      <c r="E3942" t="s">
        <v>412</v>
      </c>
      <c r="F3942">
        <v>0</v>
      </c>
      <c r="G3942">
        <v>806.87</v>
      </c>
    </row>
    <row r="3943" spans="2:7" x14ac:dyDescent="0.25">
      <c r="B3943" s="70">
        <v>43465</v>
      </c>
      <c r="C3943" t="s">
        <v>74</v>
      </c>
      <c r="D3943" t="s">
        <v>411</v>
      </c>
      <c r="E3943" t="s">
        <v>412</v>
      </c>
      <c r="F3943">
        <v>0</v>
      </c>
      <c r="G3943">
        <v>6.28</v>
      </c>
    </row>
    <row r="3944" spans="2:7" x14ac:dyDescent="0.25">
      <c r="B3944" s="70">
        <v>43465</v>
      </c>
      <c r="C3944" t="s">
        <v>49</v>
      </c>
      <c r="D3944" t="s">
        <v>411</v>
      </c>
      <c r="E3944" t="s">
        <v>412</v>
      </c>
      <c r="F3944">
        <v>0</v>
      </c>
      <c r="G3944">
        <v>18232.189999999999</v>
      </c>
    </row>
    <row r="3945" spans="2:7" x14ac:dyDescent="0.25">
      <c r="B3945" s="70">
        <v>43465</v>
      </c>
      <c r="C3945" t="s">
        <v>49</v>
      </c>
      <c r="D3945" t="s">
        <v>411</v>
      </c>
      <c r="E3945" t="s">
        <v>412</v>
      </c>
      <c r="F3945">
        <v>0</v>
      </c>
      <c r="G3945">
        <v>10217.549999999999</v>
      </c>
    </row>
    <row r="3946" spans="2:7" x14ac:dyDescent="0.25">
      <c r="B3946" s="70">
        <v>43465</v>
      </c>
      <c r="C3946" t="s">
        <v>49</v>
      </c>
      <c r="D3946" t="s">
        <v>411</v>
      </c>
      <c r="E3946" t="s">
        <v>412</v>
      </c>
      <c r="F3946">
        <v>0</v>
      </c>
      <c r="G3946">
        <v>547.37</v>
      </c>
    </row>
    <row r="3947" spans="2:7" x14ac:dyDescent="0.25">
      <c r="B3947" s="70">
        <v>43465</v>
      </c>
      <c r="C3947" t="s">
        <v>49</v>
      </c>
      <c r="D3947" t="s">
        <v>411</v>
      </c>
      <c r="E3947" t="s">
        <v>412</v>
      </c>
      <c r="F3947">
        <v>0</v>
      </c>
      <c r="G3947">
        <v>335.59</v>
      </c>
    </row>
    <row r="3948" spans="2:7" x14ac:dyDescent="0.25">
      <c r="B3948" s="70">
        <v>43465</v>
      </c>
      <c r="C3948" t="s">
        <v>49</v>
      </c>
      <c r="D3948" t="s">
        <v>411</v>
      </c>
      <c r="E3948" t="s">
        <v>412</v>
      </c>
      <c r="F3948">
        <v>0</v>
      </c>
      <c r="G3948">
        <v>75</v>
      </c>
    </row>
    <row r="3949" spans="2:7" x14ac:dyDescent="0.25">
      <c r="B3949" s="70">
        <v>43465</v>
      </c>
      <c r="C3949" t="s">
        <v>70</v>
      </c>
      <c r="D3949" t="s">
        <v>411</v>
      </c>
      <c r="E3949" t="s">
        <v>412</v>
      </c>
      <c r="F3949">
        <v>0</v>
      </c>
      <c r="G3949">
        <v>3806</v>
      </c>
    </row>
    <row r="3950" spans="2:7" x14ac:dyDescent="0.25">
      <c r="B3950" s="70">
        <v>43465</v>
      </c>
      <c r="C3950" t="s">
        <v>70</v>
      </c>
      <c r="D3950" t="s">
        <v>411</v>
      </c>
      <c r="E3950" t="s">
        <v>412</v>
      </c>
      <c r="F3950">
        <v>0</v>
      </c>
      <c r="G3950">
        <v>520</v>
      </c>
    </row>
    <row r="3951" spans="2:7" x14ac:dyDescent="0.25">
      <c r="B3951" s="70">
        <v>43465</v>
      </c>
      <c r="C3951" t="s">
        <v>50</v>
      </c>
      <c r="D3951" t="s">
        <v>411</v>
      </c>
      <c r="E3951" t="s">
        <v>412</v>
      </c>
      <c r="F3951">
        <v>0</v>
      </c>
      <c r="G3951">
        <v>125050.55</v>
      </c>
    </row>
    <row r="3952" spans="2:7" x14ac:dyDescent="0.25">
      <c r="B3952" s="70">
        <v>43465</v>
      </c>
      <c r="C3952" t="s">
        <v>50</v>
      </c>
      <c r="D3952" t="s">
        <v>411</v>
      </c>
      <c r="E3952" t="s">
        <v>412</v>
      </c>
      <c r="F3952">
        <v>0</v>
      </c>
      <c r="G3952">
        <v>34721.699999999997</v>
      </c>
    </row>
    <row r="3953" spans="2:7" x14ac:dyDescent="0.25">
      <c r="B3953" s="70">
        <v>43465</v>
      </c>
      <c r="C3953" t="s">
        <v>50</v>
      </c>
      <c r="D3953" t="s">
        <v>411</v>
      </c>
      <c r="E3953" t="s">
        <v>412</v>
      </c>
      <c r="F3953">
        <v>0</v>
      </c>
      <c r="G3953">
        <v>5238.29</v>
      </c>
    </row>
    <row r="3954" spans="2:7" x14ac:dyDescent="0.25">
      <c r="B3954" s="70">
        <v>43465</v>
      </c>
      <c r="C3954" t="s">
        <v>50</v>
      </c>
      <c r="D3954" t="s">
        <v>411</v>
      </c>
      <c r="E3954" t="s">
        <v>412</v>
      </c>
      <c r="F3954">
        <v>0</v>
      </c>
      <c r="G3954">
        <v>2498.0100000000002</v>
      </c>
    </row>
    <row r="3955" spans="2:7" x14ac:dyDescent="0.25">
      <c r="B3955" s="70">
        <v>43465</v>
      </c>
      <c r="C3955" t="s">
        <v>50</v>
      </c>
      <c r="D3955" t="s">
        <v>411</v>
      </c>
      <c r="E3955" t="s">
        <v>412</v>
      </c>
      <c r="F3955">
        <v>0</v>
      </c>
      <c r="G3955">
        <v>824.96</v>
      </c>
    </row>
    <row r="3956" spans="2:7" x14ac:dyDescent="0.25">
      <c r="B3956" s="70">
        <v>43465</v>
      </c>
      <c r="C3956" t="s">
        <v>52</v>
      </c>
      <c r="D3956" t="s">
        <v>411</v>
      </c>
      <c r="E3956" t="s">
        <v>412</v>
      </c>
      <c r="F3956">
        <v>0</v>
      </c>
      <c r="G3956">
        <v>16889.43</v>
      </c>
    </row>
    <row r="3957" spans="2:7" x14ac:dyDescent="0.25">
      <c r="B3957" s="70">
        <v>43465</v>
      </c>
      <c r="C3957" t="s">
        <v>52</v>
      </c>
      <c r="D3957" t="s">
        <v>411</v>
      </c>
      <c r="E3957" t="s">
        <v>412</v>
      </c>
      <c r="F3957">
        <v>0</v>
      </c>
      <c r="G3957">
        <v>2024.77</v>
      </c>
    </row>
    <row r="3958" spans="2:7" x14ac:dyDescent="0.25">
      <c r="B3958" s="70">
        <v>43465</v>
      </c>
      <c r="C3958" t="s">
        <v>52</v>
      </c>
      <c r="D3958" t="s">
        <v>411</v>
      </c>
      <c r="E3958" t="s">
        <v>412</v>
      </c>
      <c r="F3958">
        <v>0</v>
      </c>
      <c r="G3958">
        <v>334.16</v>
      </c>
    </row>
    <row r="3959" spans="2:7" x14ac:dyDescent="0.25">
      <c r="B3959" s="70">
        <v>43465</v>
      </c>
      <c r="C3959" t="s">
        <v>52</v>
      </c>
      <c r="D3959" t="s">
        <v>411</v>
      </c>
      <c r="E3959" t="s">
        <v>412</v>
      </c>
      <c r="F3959">
        <v>0</v>
      </c>
      <c r="G3959">
        <v>70</v>
      </c>
    </row>
    <row r="3960" spans="2:7" x14ac:dyDescent="0.25">
      <c r="B3960" s="70">
        <v>43465</v>
      </c>
      <c r="C3960" t="s">
        <v>52</v>
      </c>
      <c r="D3960" t="s">
        <v>411</v>
      </c>
      <c r="E3960" t="s">
        <v>412</v>
      </c>
      <c r="F3960">
        <v>0</v>
      </c>
      <c r="G3960">
        <v>41.71</v>
      </c>
    </row>
    <row r="3961" spans="2:7" x14ac:dyDescent="0.25">
      <c r="B3961" s="70">
        <v>43465</v>
      </c>
      <c r="C3961" t="s">
        <v>69</v>
      </c>
      <c r="D3961" t="s">
        <v>411</v>
      </c>
      <c r="E3961" t="s">
        <v>412</v>
      </c>
      <c r="F3961">
        <v>0</v>
      </c>
      <c r="G3961">
        <v>1250.5</v>
      </c>
    </row>
    <row r="3962" spans="2:7" x14ac:dyDescent="0.25">
      <c r="B3962" s="70">
        <v>43465</v>
      </c>
      <c r="C3962" t="s">
        <v>69</v>
      </c>
      <c r="D3962" t="s">
        <v>411</v>
      </c>
      <c r="E3962" t="s">
        <v>412</v>
      </c>
      <c r="F3962">
        <v>0</v>
      </c>
      <c r="G3962">
        <v>130.24</v>
      </c>
    </row>
    <row r="3963" spans="2:7" x14ac:dyDescent="0.25">
      <c r="B3963" s="70">
        <v>43465</v>
      </c>
      <c r="C3963" t="s">
        <v>58</v>
      </c>
      <c r="D3963" t="s">
        <v>411</v>
      </c>
      <c r="E3963" t="s">
        <v>412</v>
      </c>
      <c r="F3963">
        <v>0</v>
      </c>
      <c r="G3963">
        <v>13255.55</v>
      </c>
    </row>
    <row r="3964" spans="2:7" x14ac:dyDescent="0.25">
      <c r="B3964" s="70">
        <v>43465</v>
      </c>
      <c r="C3964" t="s">
        <v>58</v>
      </c>
      <c r="D3964" t="s">
        <v>411</v>
      </c>
      <c r="E3964" t="s">
        <v>412</v>
      </c>
      <c r="F3964">
        <v>0</v>
      </c>
      <c r="G3964">
        <v>432.97</v>
      </c>
    </row>
    <row r="3965" spans="2:7" x14ac:dyDescent="0.25">
      <c r="B3965" s="70">
        <v>43465</v>
      </c>
      <c r="C3965" t="s">
        <v>58</v>
      </c>
      <c r="D3965" t="s">
        <v>411</v>
      </c>
      <c r="E3965" t="s">
        <v>412</v>
      </c>
      <c r="F3965">
        <v>0</v>
      </c>
      <c r="G3965">
        <v>395.85</v>
      </c>
    </row>
    <row r="3966" spans="2:7" x14ac:dyDescent="0.25">
      <c r="B3966" s="70">
        <v>43465</v>
      </c>
      <c r="C3966" t="s">
        <v>58</v>
      </c>
      <c r="D3966" t="s">
        <v>411</v>
      </c>
      <c r="E3966" t="s">
        <v>412</v>
      </c>
      <c r="F3966">
        <v>0</v>
      </c>
      <c r="G3966">
        <v>372.01</v>
      </c>
    </row>
    <row r="3967" spans="2:7" x14ac:dyDescent="0.25">
      <c r="B3967" s="70">
        <v>43465</v>
      </c>
      <c r="C3967" t="s">
        <v>58</v>
      </c>
      <c r="D3967" t="s">
        <v>411</v>
      </c>
      <c r="E3967" t="s">
        <v>412</v>
      </c>
      <c r="F3967">
        <v>0</v>
      </c>
      <c r="G3967">
        <v>292.89</v>
      </c>
    </row>
    <row r="3968" spans="2:7" x14ac:dyDescent="0.25">
      <c r="B3968" s="70">
        <v>43465</v>
      </c>
      <c r="C3968" t="s">
        <v>53</v>
      </c>
      <c r="D3968" t="s">
        <v>411</v>
      </c>
      <c r="E3968" t="s">
        <v>412</v>
      </c>
      <c r="F3968">
        <v>0</v>
      </c>
      <c r="G3968">
        <v>8574.39</v>
      </c>
    </row>
    <row r="3969" spans="2:7" x14ac:dyDescent="0.25">
      <c r="B3969" s="70">
        <v>43465</v>
      </c>
      <c r="C3969" t="s">
        <v>53</v>
      </c>
      <c r="D3969" t="s">
        <v>411</v>
      </c>
      <c r="E3969" t="s">
        <v>412</v>
      </c>
      <c r="F3969">
        <v>0</v>
      </c>
      <c r="G3969">
        <v>3166.57</v>
      </c>
    </row>
    <row r="3970" spans="2:7" x14ac:dyDescent="0.25">
      <c r="B3970" s="70">
        <v>43465</v>
      </c>
      <c r="C3970" t="s">
        <v>53</v>
      </c>
      <c r="D3970" t="s">
        <v>411</v>
      </c>
      <c r="E3970" t="s">
        <v>412</v>
      </c>
      <c r="F3970">
        <v>0</v>
      </c>
      <c r="G3970">
        <v>1254.9000000000001</v>
      </c>
    </row>
    <row r="3971" spans="2:7" x14ac:dyDescent="0.25">
      <c r="B3971" s="70">
        <v>43465</v>
      </c>
      <c r="C3971" t="s">
        <v>53</v>
      </c>
      <c r="D3971" t="s">
        <v>411</v>
      </c>
      <c r="E3971" t="s">
        <v>412</v>
      </c>
      <c r="F3971">
        <v>0</v>
      </c>
      <c r="G3971">
        <v>101.74</v>
      </c>
    </row>
    <row r="3972" spans="2:7" x14ac:dyDescent="0.25">
      <c r="B3972" s="70">
        <v>43465</v>
      </c>
      <c r="C3972" t="s">
        <v>63</v>
      </c>
      <c r="D3972" t="s">
        <v>411</v>
      </c>
      <c r="E3972" t="s">
        <v>412</v>
      </c>
      <c r="F3972">
        <v>0</v>
      </c>
      <c r="G3972">
        <v>654.17999999999995</v>
      </c>
    </row>
    <row r="3973" spans="2:7" x14ac:dyDescent="0.25">
      <c r="B3973" s="70">
        <v>43465</v>
      </c>
      <c r="C3973" t="s">
        <v>63</v>
      </c>
      <c r="D3973" t="s">
        <v>411</v>
      </c>
      <c r="E3973" t="s">
        <v>412</v>
      </c>
      <c r="F3973">
        <v>0</v>
      </c>
      <c r="G3973">
        <v>70.75</v>
      </c>
    </row>
    <row r="3974" spans="2:7" x14ac:dyDescent="0.25">
      <c r="B3974" s="70">
        <v>43465</v>
      </c>
      <c r="C3974" t="s">
        <v>71</v>
      </c>
      <c r="D3974" t="s">
        <v>411</v>
      </c>
      <c r="E3974" t="s">
        <v>412</v>
      </c>
      <c r="F3974">
        <v>0</v>
      </c>
      <c r="G3974">
        <v>1032.75</v>
      </c>
    </row>
    <row r="3975" spans="2:7" x14ac:dyDescent="0.25">
      <c r="B3975" s="70">
        <v>43465</v>
      </c>
      <c r="C3975" t="s">
        <v>71</v>
      </c>
      <c r="D3975" t="s">
        <v>411</v>
      </c>
      <c r="E3975" t="s">
        <v>412</v>
      </c>
      <c r="F3975">
        <v>0</v>
      </c>
      <c r="G3975">
        <v>883.11</v>
      </c>
    </row>
    <row r="3976" spans="2:7" x14ac:dyDescent="0.25">
      <c r="B3976" s="70">
        <v>43465</v>
      </c>
      <c r="C3976" t="s">
        <v>71</v>
      </c>
      <c r="D3976" t="s">
        <v>411</v>
      </c>
      <c r="E3976" t="s">
        <v>412</v>
      </c>
      <c r="F3976">
        <v>0</v>
      </c>
      <c r="G3976">
        <v>203.9</v>
      </c>
    </row>
    <row r="3977" spans="2:7" x14ac:dyDescent="0.25">
      <c r="B3977" s="70">
        <v>43465</v>
      </c>
      <c r="C3977" t="s">
        <v>68</v>
      </c>
      <c r="D3977" t="s">
        <v>411</v>
      </c>
      <c r="E3977" t="s">
        <v>412</v>
      </c>
      <c r="F3977">
        <v>0</v>
      </c>
      <c r="G3977">
        <v>6997.73</v>
      </c>
    </row>
    <row r="3978" spans="2:7" x14ac:dyDescent="0.25">
      <c r="B3978" s="70">
        <v>43465</v>
      </c>
      <c r="C3978" t="s">
        <v>65</v>
      </c>
      <c r="D3978" t="s">
        <v>411</v>
      </c>
      <c r="E3978" t="s">
        <v>412</v>
      </c>
      <c r="F3978">
        <v>0</v>
      </c>
      <c r="G3978">
        <v>3380.35</v>
      </c>
    </row>
    <row r="3979" spans="2:7" x14ac:dyDescent="0.25">
      <c r="B3979" s="70">
        <v>43465</v>
      </c>
      <c r="C3979" t="s">
        <v>65</v>
      </c>
      <c r="D3979" t="s">
        <v>411</v>
      </c>
      <c r="E3979" t="s">
        <v>412</v>
      </c>
      <c r="F3979">
        <v>0</v>
      </c>
      <c r="G3979">
        <v>2315.27</v>
      </c>
    </row>
    <row r="3980" spans="2:7" x14ac:dyDescent="0.25">
      <c r="B3980" s="70">
        <v>43465</v>
      </c>
      <c r="C3980" t="s">
        <v>65</v>
      </c>
      <c r="D3980" t="s">
        <v>411</v>
      </c>
      <c r="E3980" t="s">
        <v>412</v>
      </c>
      <c r="F3980">
        <v>0</v>
      </c>
      <c r="G3980">
        <v>772.87</v>
      </c>
    </row>
    <row r="3981" spans="2:7" x14ac:dyDescent="0.25">
      <c r="B3981" s="70">
        <v>43465</v>
      </c>
      <c r="C3981" t="s">
        <v>65</v>
      </c>
      <c r="D3981" t="s">
        <v>411</v>
      </c>
      <c r="E3981" t="s">
        <v>412</v>
      </c>
      <c r="F3981">
        <v>0</v>
      </c>
      <c r="G3981">
        <v>306.87</v>
      </c>
    </row>
    <row r="3982" spans="2:7" x14ac:dyDescent="0.25">
      <c r="B3982" s="70">
        <v>43465</v>
      </c>
      <c r="C3982" t="s">
        <v>73</v>
      </c>
      <c r="D3982" t="s">
        <v>411</v>
      </c>
      <c r="E3982" t="s">
        <v>412</v>
      </c>
      <c r="F3982">
        <v>0</v>
      </c>
      <c r="G3982">
        <v>313.3</v>
      </c>
    </row>
    <row r="3983" spans="2:7" x14ac:dyDescent="0.25">
      <c r="B3983" s="70">
        <v>43465</v>
      </c>
      <c r="C3983" t="s">
        <v>73</v>
      </c>
      <c r="D3983" t="s">
        <v>411</v>
      </c>
      <c r="E3983" t="s">
        <v>412</v>
      </c>
      <c r="F3983">
        <v>0</v>
      </c>
      <c r="G3983">
        <v>299.12</v>
      </c>
    </row>
    <row r="3984" spans="2:7" x14ac:dyDescent="0.25">
      <c r="B3984" s="70">
        <v>43465</v>
      </c>
      <c r="C3984" t="s">
        <v>73</v>
      </c>
      <c r="D3984" t="s">
        <v>411</v>
      </c>
      <c r="E3984" t="s">
        <v>412</v>
      </c>
      <c r="F3984">
        <v>0</v>
      </c>
      <c r="G3984">
        <v>97.08</v>
      </c>
    </row>
    <row r="3985" spans="2:7" x14ac:dyDescent="0.25">
      <c r="B3985" s="70">
        <v>43465</v>
      </c>
      <c r="C3985" t="s">
        <v>24</v>
      </c>
      <c r="D3985" t="s">
        <v>411</v>
      </c>
      <c r="E3985" t="s">
        <v>412</v>
      </c>
      <c r="F3985">
        <v>0</v>
      </c>
      <c r="G3985">
        <v>3667.4</v>
      </c>
    </row>
    <row r="3986" spans="2:7" x14ac:dyDescent="0.25">
      <c r="B3986" s="70">
        <v>43465</v>
      </c>
      <c r="C3986" t="s">
        <v>24</v>
      </c>
      <c r="D3986" t="s">
        <v>411</v>
      </c>
      <c r="E3986" t="s">
        <v>412</v>
      </c>
      <c r="F3986">
        <v>0</v>
      </c>
      <c r="G3986">
        <v>2827.76</v>
      </c>
    </row>
    <row r="3987" spans="2:7" x14ac:dyDescent="0.25">
      <c r="B3987" s="70">
        <v>43465</v>
      </c>
      <c r="C3987" t="s">
        <v>24</v>
      </c>
      <c r="D3987" t="s">
        <v>411</v>
      </c>
      <c r="E3987" t="s">
        <v>412</v>
      </c>
      <c r="F3987">
        <v>0</v>
      </c>
      <c r="G3987">
        <v>1224</v>
      </c>
    </row>
    <row r="3988" spans="2:7" x14ac:dyDescent="0.25">
      <c r="B3988" s="70">
        <v>43465</v>
      </c>
      <c r="C3988" t="s">
        <v>24</v>
      </c>
      <c r="D3988" t="s">
        <v>411</v>
      </c>
      <c r="E3988" t="s">
        <v>412</v>
      </c>
      <c r="F3988">
        <v>0</v>
      </c>
      <c r="G3988">
        <v>1144</v>
      </c>
    </row>
    <row r="3989" spans="2:7" x14ac:dyDescent="0.25">
      <c r="B3989" s="70">
        <v>43465</v>
      </c>
      <c r="C3989" t="s">
        <v>24</v>
      </c>
      <c r="D3989" t="s">
        <v>411</v>
      </c>
      <c r="E3989" t="s">
        <v>412</v>
      </c>
      <c r="F3989">
        <v>0</v>
      </c>
      <c r="G3989">
        <v>943.52</v>
      </c>
    </row>
    <row r="3990" spans="2:7" x14ac:dyDescent="0.25">
      <c r="B3990" s="70">
        <v>43465</v>
      </c>
      <c r="C3990" t="s">
        <v>24</v>
      </c>
      <c r="D3990" t="s">
        <v>411</v>
      </c>
      <c r="E3990" t="s">
        <v>412</v>
      </c>
      <c r="F3990">
        <v>0</v>
      </c>
      <c r="G3990">
        <v>860.31</v>
      </c>
    </row>
    <row r="3991" spans="2:7" x14ac:dyDescent="0.25">
      <c r="B3991" s="70">
        <v>43465</v>
      </c>
      <c r="C3991" t="s">
        <v>24</v>
      </c>
      <c r="D3991" t="s">
        <v>411</v>
      </c>
      <c r="E3991" t="s">
        <v>412</v>
      </c>
      <c r="F3991">
        <v>0</v>
      </c>
      <c r="G3991">
        <v>839.97</v>
      </c>
    </row>
    <row r="3992" spans="2:7" x14ac:dyDescent="0.25">
      <c r="B3992" s="70">
        <v>43465</v>
      </c>
      <c r="C3992" t="s">
        <v>24</v>
      </c>
      <c r="D3992" t="s">
        <v>411</v>
      </c>
      <c r="E3992" t="s">
        <v>412</v>
      </c>
      <c r="F3992">
        <v>0</v>
      </c>
      <c r="G3992">
        <v>718</v>
      </c>
    </row>
    <row r="3993" spans="2:7" x14ac:dyDescent="0.25">
      <c r="B3993" s="70">
        <v>43465</v>
      </c>
      <c r="C3993" t="s">
        <v>24</v>
      </c>
      <c r="D3993" t="s">
        <v>411</v>
      </c>
      <c r="E3993" t="s">
        <v>412</v>
      </c>
      <c r="F3993">
        <v>0</v>
      </c>
      <c r="G3993">
        <v>716.46</v>
      </c>
    </row>
    <row r="3994" spans="2:7" x14ac:dyDescent="0.25">
      <c r="B3994" s="70">
        <v>43465</v>
      </c>
      <c r="C3994" t="s">
        <v>24</v>
      </c>
      <c r="D3994" t="s">
        <v>411</v>
      </c>
      <c r="E3994" t="s">
        <v>412</v>
      </c>
      <c r="F3994">
        <v>0</v>
      </c>
      <c r="G3994">
        <v>648.05999999999995</v>
      </c>
    </row>
    <row r="3995" spans="2:7" x14ac:dyDescent="0.25">
      <c r="B3995" s="70">
        <v>43465</v>
      </c>
      <c r="C3995" t="s">
        <v>24</v>
      </c>
      <c r="D3995" t="s">
        <v>411</v>
      </c>
      <c r="E3995" t="s">
        <v>412</v>
      </c>
      <c r="F3995">
        <v>0</v>
      </c>
      <c r="G3995">
        <v>626</v>
      </c>
    </row>
    <row r="3996" spans="2:7" x14ac:dyDescent="0.25">
      <c r="B3996" s="70">
        <v>43465</v>
      </c>
      <c r="C3996" t="s">
        <v>24</v>
      </c>
      <c r="D3996" t="s">
        <v>411</v>
      </c>
      <c r="E3996" t="s">
        <v>412</v>
      </c>
      <c r="F3996">
        <v>0</v>
      </c>
      <c r="G3996">
        <v>600.89</v>
      </c>
    </row>
    <row r="3997" spans="2:7" x14ac:dyDescent="0.25">
      <c r="B3997" s="70">
        <v>43465</v>
      </c>
      <c r="C3997" t="s">
        <v>24</v>
      </c>
      <c r="D3997" t="s">
        <v>411</v>
      </c>
      <c r="E3997" t="s">
        <v>412</v>
      </c>
      <c r="F3997">
        <v>0</v>
      </c>
      <c r="G3997">
        <v>586.5</v>
      </c>
    </row>
    <row r="3998" spans="2:7" x14ac:dyDescent="0.25">
      <c r="B3998" s="70">
        <v>43465</v>
      </c>
      <c r="C3998" t="s">
        <v>24</v>
      </c>
      <c r="D3998" t="s">
        <v>411</v>
      </c>
      <c r="E3998" t="s">
        <v>412</v>
      </c>
      <c r="F3998">
        <v>0</v>
      </c>
      <c r="G3998">
        <v>554.63</v>
      </c>
    </row>
    <row r="3999" spans="2:7" x14ac:dyDescent="0.25">
      <c r="B3999" s="70">
        <v>43465</v>
      </c>
      <c r="C3999" t="s">
        <v>24</v>
      </c>
      <c r="D3999" t="s">
        <v>411</v>
      </c>
      <c r="E3999" t="s">
        <v>412</v>
      </c>
      <c r="F3999">
        <v>0</v>
      </c>
      <c r="G3999">
        <v>550</v>
      </c>
    </row>
    <row r="4000" spans="2:7" x14ac:dyDescent="0.25">
      <c r="B4000" s="70">
        <v>43465</v>
      </c>
      <c r="C4000" t="s">
        <v>24</v>
      </c>
      <c r="D4000" t="s">
        <v>411</v>
      </c>
      <c r="E4000" t="s">
        <v>412</v>
      </c>
      <c r="F4000">
        <v>0</v>
      </c>
      <c r="G4000">
        <v>522.79999999999995</v>
      </c>
    </row>
    <row r="4001" spans="2:7" x14ac:dyDescent="0.25">
      <c r="B4001" s="70">
        <v>43465</v>
      </c>
      <c r="C4001" t="s">
        <v>24</v>
      </c>
      <c r="D4001" t="s">
        <v>411</v>
      </c>
      <c r="E4001" t="s">
        <v>412</v>
      </c>
      <c r="F4001">
        <v>0</v>
      </c>
      <c r="G4001">
        <v>509.7</v>
      </c>
    </row>
    <row r="4002" spans="2:7" x14ac:dyDescent="0.25">
      <c r="B4002" s="70">
        <v>43465</v>
      </c>
      <c r="C4002" t="s">
        <v>24</v>
      </c>
      <c r="D4002" t="s">
        <v>411</v>
      </c>
      <c r="E4002" t="s">
        <v>412</v>
      </c>
      <c r="F4002">
        <v>0</v>
      </c>
      <c r="G4002">
        <v>472.53</v>
      </c>
    </row>
    <row r="4003" spans="2:7" x14ac:dyDescent="0.25">
      <c r="B4003" s="70">
        <v>43465</v>
      </c>
      <c r="C4003" t="s">
        <v>24</v>
      </c>
      <c r="D4003" t="s">
        <v>411</v>
      </c>
      <c r="E4003" t="s">
        <v>412</v>
      </c>
      <c r="F4003">
        <v>0</v>
      </c>
      <c r="G4003">
        <v>453.02</v>
      </c>
    </row>
    <row r="4004" spans="2:7" x14ac:dyDescent="0.25">
      <c r="B4004" s="70">
        <v>43465</v>
      </c>
      <c r="C4004" t="s">
        <v>24</v>
      </c>
      <c r="D4004" t="s">
        <v>411</v>
      </c>
      <c r="E4004" t="s">
        <v>412</v>
      </c>
      <c r="F4004">
        <v>0</v>
      </c>
      <c r="G4004">
        <v>450.79</v>
      </c>
    </row>
    <row r="4005" spans="2:7" x14ac:dyDescent="0.25">
      <c r="B4005" s="70">
        <v>43465</v>
      </c>
      <c r="C4005" t="s">
        <v>24</v>
      </c>
      <c r="D4005" t="s">
        <v>411</v>
      </c>
      <c r="E4005" t="s">
        <v>412</v>
      </c>
      <c r="F4005">
        <v>0</v>
      </c>
      <c r="G4005">
        <v>449.02</v>
      </c>
    </row>
    <row r="4006" spans="2:7" x14ac:dyDescent="0.25">
      <c r="B4006" s="70">
        <v>43465</v>
      </c>
      <c r="C4006" t="s">
        <v>24</v>
      </c>
      <c r="D4006" t="s">
        <v>411</v>
      </c>
      <c r="E4006" t="s">
        <v>412</v>
      </c>
      <c r="F4006">
        <v>0</v>
      </c>
      <c r="G4006">
        <v>384.59</v>
      </c>
    </row>
    <row r="4007" spans="2:7" x14ac:dyDescent="0.25">
      <c r="B4007" s="70">
        <v>43465</v>
      </c>
      <c r="C4007" t="s">
        <v>24</v>
      </c>
      <c r="D4007" t="s">
        <v>411</v>
      </c>
      <c r="E4007" t="s">
        <v>412</v>
      </c>
      <c r="F4007">
        <v>0</v>
      </c>
      <c r="G4007">
        <v>378.31</v>
      </c>
    </row>
    <row r="4008" spans="2:7" x14ac:dyDescent="0.25">
      <c r="B4008" s="70">
        <v>43465</v>
      </c>
      <c r="C4008" t="s">
        <v>24</v>
      </c>
      <c r="D4008" t="s">
        <v>411</v>
      </c>
      <c r="E4008" t="s">
        <v>412</v>
      </c>
      <c r="F4008">
        <v>0</v>
      </c>
      <c r="G4008">
        <v>352</v>
      </c>
    </row>
    <row r="4009" spans="2:7" x14ac:dyDescent="0.25">
      <c r="B4009" s="70">
        <v>43465</v>
      </c>
      <c r="C4009" t="s">
        <v>24</v>
      </c>
      <c r="D4009" t="s">
        <v>411</v>
      </c>
      <c r="E4009" t="s">
        <v>412</v>
      </c>
      <c r="F4009">
        <v>0</v>
      </c>
      <c r="G4009">
        <v>346.5</v>
      </c>
    </row>
    <row r="4010" spans="2:7" x14ac:dyDescent="0.25">
      <c r="B4010" s="70">
        <v>43465</v>
      </c>
      <c r="C4010" t="s">
        <v>24</v>
      </c>
      <c r="D4010" t="s">
        <v>411</v>
      </c>
      <c r="E4010" t="s">
        <v>412</v>
      </c>
      <c r="F4010">
        <v>0</v>
      </c>
      <c r="G4010">
        <v>339.32</v>
      </c>
    </row>
    <row r="4011" spans="2:7" x14ac:dyDescent="0.25">
      <c r="B4011" s="70">
        <v>43465</v>
      </c>
      <c r="C4011" t="s">
        <v>24</v>
      </c>
      <c r="D4011" t="s">
        <v>411</v>
      </c>
      <c r="E4011" t="s">
        <v>412</v>
      </c>
      <c r="F4011">
        <v>0</v>
      </c>
      <c r="G4011">
        <v>313.83</v>
      </c>
    </row>
    <row r="4012" spans="2:7" x14ac:dyDescent="0.25">
      <c r="B4012" s="70">
        <v>43465</v>
      </c>
      <c r="C4012" t="s">
        <v>24</v>
      </c>
      <c r="D4012" t="s">
        <v>411</v>
      </c>
      <c r="E4012" t="s">
        <v>412</v>
      </c>
      <c r="F4012">
        <v>0</v>
      </c>
      <c r="G4012">
        <v>307.38</v>
      </c>
    </row>
    <row r="4013" spans="2:7" x14ac:dyDescent="0.25">
      <c r="B4013" s="70">
        <v>43465</v>
      </c>
      <c r="C4013" t="s">
        <v>24</v>
      </c>
      <c r="D4013" t="s">
        <v>411</v>
      </c>
      <c r="E4013" t="s">
        <v>412</v>
      </c>
      <c r="F4013">
        <v>0</v>
      </c>
      <c r="G4013">
        <v>300.58999999999997</v>
      </c>
    </row>
    <row r="4014" spans="2:7" x14ac:dyDescent="0.25">
      <c r="B4014" s="70">
        <v>43465</v>
      </c>
      <c r="C4014" t="s">
        <v>24</v>
      </c>
      <c r="D4014" t="s">
        <v>411</v>
      </c>
      <c r="E4014" t="s">
        <v>412</v>
      </c>
      <c r="F4014">
        <v>0</v>
      </c>
      <c r="G4014">
        <v>298.82</v>
      </c>
    </row>
    <row r="4015" spans="2:7" x14ac:dyDescent="0.25">
      <c r="B4015" s="70">
        <v>43465</v>
      </c>
      <c r="C4015" t="s">
        <v>24</v>
      </c>
      <c r="D4015" t="s">
        <v>411</v>
      </c>
      <c r="E4015" t="s">
        <v>412</v>
      </c>
      <c r="F4015">
        <v>0</v>
      </c>
      <c r="G4015">
        <v>285.3</v>
      </c>
    </row>
    <row r="4016" spans="2:7" x14ac:dyDescent="0.25">
      <c r="B4016" s="70">
        <v>43465</v>
      </c>
      <c r="C4016" t="s">
        <v>24</v>
      </c>
      <c r="D4016" t="s">
        <v>411</v>
      </c>
      <c r="E4016" t="s">
        <v>412</v>
      </c>
      <c r="F4016">
        <v>0</v>
      </c>
      <c r="G4016">
        <v>241.59</v>
      </c>
    </row>
    <row r="4017" spans="2:7" x14ac:dyDescent="0.25">
      <c r="B4017" s="70">
        <v>43465</v>
      </c>
      <c r="C4017" t="s">
        <v>24</v>
      </c>
      <c r="D4017" t="s">
        <v>411</v>
      </c>
      <c r="E4017" t="s">
        <v>412</v>
      </c>
      <c r="F4017">
        <v>0</v>
      </c>
      <c r="G4017">
        <v>240</v>
      </c>
    </row>
    <row r="4018" spans="2:7" x14ac:dyDescent="0.25">
      <c r="B4018" s="70">
        <v>43465</v>
      </c>
      <c r="C4018" t="s">
        <v>24</v>
      </c>
      <c r="D4018" t="s">
        <v>411</v>
      </c>
      <c r="E4018" t="s">
        <v>412</v>
      </c>
      <c r="F4018">
        <v>0</v>
      </c>
      <c r="G4018">
        <v>232</v>
      </c>
    </row>
    <row r="4019" spans="2:7" x14ac:dyDescent="0.25">
      <c r="B4019" s="70">
        <v>43465</v>
      </c>
      <c r="C4019" t="s">
        <v>24</v>
      </c>
      <c r="D4019" t="s">
        <v>411</v>
      </c>
      <c r="E4019" t="s">
        <v>412</v>
      </c>
      <c r="F4019">
        <v>0</v>
      </c>
      <c r="G4019">
        <v>228.07</v>
      </c>
    </row>
    <row r="4020" spans="2:7" x14ac:dyDescent="0.25">
      <c r="B4020" s="70">
        <v>43465</v>
      </c>
      <c r="C4020" t="s">
        <v>24</v>
      </c>
      <c r="D4020" t="s">
        <v>411</v>
      </c>
      <c r="E4020" t="s">
        <v>412</v>
      </c>
      <c r="F4020">
        <v>0</v>
      </c>
      <c r="G4020">
        <v>221.6</v>
      </c>
    </row>
    <row r="4021" spans="2:7" x14ac:dyDescent="0.25">
      <c r="B4021" s="70">
        <v>43465</v>
      </c>
      <c r="C4021" t="s">
        <v>24</v>
      </c>
      <c r="D4021" t="s">
        <v>411</v>
      </c>
      <c r="E4021" t="s">
        <v>412</v>
      </c>
      <c r="F4021">
        <v>0</v>
      </c>
      <c r="G4021">
        <v>192</v>
      </c>
    </row>
    <row r="4022" spans="2:7" x14ac:dyDescent="0.25">
      <c r="B4022" s="70">
        <v>43465</v>
      </c>
      <c r="C4022" t="s">
        <v>24</v>
      </c>
      <c r="D4022" t="s">
        <v>411</v>
      </c>
      <c r="E4022" t="s">
        <v>412</v>
      </c>
      <c r="F4022">
        <v>0</v>
      </c>
      <c r="G4022">
        <v>190.91</v>
      </c>
    </row>
    <row r="4023" spans="2:7" x14ac:dyDescent="0.25">
      <c r="B4023" s="70">
        <v>43465</v>
      </c>
      <c r="C4023" t="s">
        <v>24</v>
      </c>
      <c r="D4023" t="s">
        <v>411</v>
      </c>
      <c r="E4023" t="s">
        <v>412</v>
      </c>
      <c r="F4023">
        <v>0</v>
      </c>
      <c r="G4023">
        <v>186.53</v>
      </c>
    </row>
    <row r="4024" spans="2:7" x14ac:dyDescent="0.25">
      <c r="B4024" s="70">
        <v>43465</v>
      </c>
      <c r="C4024" t="s">
        <v>24</v>
      </c>
      <c r="D4024" t="s">
        <v>411</v>
      </c>
      <c r="E4024" t="s">
        <v>412</v>
      </c>
      <c r="F4024">
        <v>0</v>
      </c>
      <c r="G4024">
        <v>184</v>
      </c>
    </row>
    <row r="4025" spans="2:7" x14ac:dyDescent="0.25">
      <c r="B4025" s="70">
        <v>43465</v>
      </c>
      <c r="C4025" t="s">
        <v>24</v>
      </c>
      <c r="D4025" t="s">
        <v>411</v>
      </c>
      <c r="E4025" t="s">
        <v>412</v>
      </c>
      <c r="F4025">
        <v>0</v>
      </c>
      <c r="G4025">
        <v>182</v>
      </c>
    </row>
    <row r="4026" spans="2:7" x14ac:dyDescent="0.25">
      <c r="B4026" s="70">
        <v>43465</v>
      </c>
      <c r="C4026" t="s">
        <v>24</v>
      </c>
      <c r="D4026" t="s">
        <v>411</v>
      </c>
      <c r="E4026" t="s">
        <v>412</v>
      </c>
      <c r="F4026">
        <v>0</v>
      </c>
      <c r="G4026">
        <v>168</v>
      </c>
    </row>
    <row r="4027" spans="2:7" x14ac:dyDescent="0.25">
      <c r="B4027" s="70">
        <v>43465</v>
      </c>
      <c r="C4027" t="s">
        <v>24</v>
      </c>
      <c r="D4027" t="s">
        <v>411</v>
      </c>
      <c r="E4027" t="s">
        <v>412</v>
      </c>
      <c r="F4027">
        <v>0</v>
      </c>
      <c r="G4027">
        <v>155.13</v>
      </c>
    </row>
    <row r="4028" spans="2:7" x14ac:dyDescent="0.25">
      <c r="B4028" s="70">
        <v>43465</v>
      </c>
      <c r="C4028" t="s">
        <v>24</v>
      </c>
      <c r="D4028" t="s">
        <v>411</v>
      </c>
      <c r="E4028" t="s">
        <v>412</v>
      </c>
      <c r="F4028">
        <v>0</v>
      </c>
      <c r="G4028">
        <v>128</v>
      </c>
    </row>
    <row r="4029" spans="2:7" x14ac:dyDescent="0.25">
      <c r="B4029" s="70">
        <v>43465</v>
      </c>
      <c r="C4029" t="s">
        <v>24</v>
      </c>
      <c r="D4029" t="s">
        <v>411</v>
      </c>
      <c r="E4029" t="s">
        <v>412</v>
      </c>
      <c r="F4029">
        <v>0</v>
      </c>
      <c r="G4029">
        <v>116.79</v>
      </c>
    </row>
    <row r="4030" spans="2:7" x14ac:dyDescent="0.25">
      <c r="B4030" s="70">
        <v>43465</v>
      </c>
      <c r="C4030" t="s">
        <v>24</v>
      </c>
      <c r="D4030" t="s">
        <v>411</v>
      </c>
      <c r="E4030" t="s">
        <v>412</v>
      </c>
      <c r="F4030">
        <v>0</v>
      </c>
      <c r="G4030">
        <v>112</v>
      </c>
    </row>
    <row r="4031" spans="2:7" x14ac:dyDescent="0.25">
      <c r="B4031" s="70">
        <v>43465</v>
      </c>
      <c r="C4031" t="s">
        <v>24</v>
      </c>
      <c r="D4031" t="s">
        <v>411</v>
      </c>
      <c r="E4031" t="s">
        <v>412</v>
      </c>
      <c r="F4031">
        <v>0</v>
      </c>
      <c r="G4031">
        <v>104</v>
      </c>
    </row>
    <row r="4032" spans="2:7" x14ac:dyDescent="0.25">
      <c r="B4032" s="70">
        <v>43465</v>
      </c>
      <c r="C4032" t="s">
        <v>24</v>
      </c>
      <c r="D4032" t="s">
        <v>411</v>
      </c>
      <c r="E4032" t="s">
        <v>412</v>
      </c>
      <c r="F4032">
        <v>0</v>
      </c>
      <c r="G4032">
        <v>96.29</v>
      </c>
    </row>
    <row r="4033" spans="2:7" x14ac:dyDescent="0.25">
      <c r="B4033" s="70">
        <v>43465</v>
      </c>
      <c r="C4033" t="s">
        <v>24</v>
      </c>
      <c r="D4033" t="s">
        <v>411</v>
      </c>
      <c r="E4033" t="s">
        <v>412</v>
      </c>
      <c r="F4033">
        <v>0</v>
      </c>
      <c r="G4033">
        <v>92.12</v>
      </c>
    </row>
    <row r="4034" spans="2:7" x14ac:dyDescent="0.25">
      <c r="B4034" s="70">
        <v>43465</v>
      </c>
      <c r="C4034" t="s">
        <v>24</v>
      </c>
      <c r="D4034" t="s">
        <v>411</v>
      </c>
      <c r="E4034" t="s">
        <v>412</v>
      </c>
      <c r="F4034">
        <v>0</v>
      </c>
      <c r="G4034">
        <v>80</v>
      </c>
    </row>
    <row r="4035" spans="2:7" x14ac:dyDescent="0.25">
      <c r="B4035" s="70">
        <v>43465</v>
      </c>
      <c r="C4035" t="s">
        <v>24</v>
      </c>
      <c r="D4035" t="s">
        <v>411</v>
      </c>
      <c r="E4035" t="s">
        <v>412</v>
      </c>
      <c r="F4035">
        <v>0</v>
      </c>
      <c r="G4035">
        <v>69.81</v>
      </c>
    </row>
    <row r="4036" spans="2:7" x14ac:dyDescent="0.25">
      <c r="B4036" s="70">
        <v>43465</v>
      </c>
      <c r="C4036" t="s">
        <v>24</v>
      </c>
      <c r="D4036" t="s">
        <v>411</v>
      </c>
      <c r="E4036" t="s">
        <v>412</v>
      </c>
      <c r="F4036">
        <v>0</v>
      </c>
      <c r="G4036">
        <v>59.61</v>
      </c>
    </row>
    <row r="4037" spans="2:7" x14ac:dyDescent="0.25">
      <c r="B4037" s="70">
        <v>43465</v>
      </c>
      <c r="C4037" t="s">
        <v>24</v>
      </c>
      <c r="D4037" t="s">
        <v>411</v>
      </c>
      <c r="E4037" t="s">
        <v>412</v>
      </c>
      <c r="F4037">
        <v>0</v>
      </c>
      <c r="G4037">
        <v>57.29</v>
      </c>
    </row>
    <row r="4038" spans="2:7" x14ac:dyDescent="0.25">
      <c r="B4038" s="70">
        <v>43465</v>
      </c>
      <c r="C4038" t="s">
        <v>24</v>
      </c>
      <c r="D4038" t="s">
        <v>411</v>
      </c>
      <c r="E4038" t="s">
        <v>412</v>
      </c>
      <c r="F4038">
        <v>0</v>
      </c>
      <c r="G4038">
        <v>57.14</v>
      </c>
    </row>
    <row r="4039" spans="2:7" x14ac:dyDescent="0.25">
      <c r="B4039" s="70">
        <v>43465</v>
      </c>
      <c r="C4039" t="s">
        <v>24</v>
      </c>
      <c r="D4039" t="s">
        <v>411</v>
      </c>
      <c r="E4039" t="s">
        <v>412</v>
      </c>
      <c r="F4039">
        <v>0</v>
      </c>
      <c r="G4039">
        <v>48</v>
      </c>
    </row>
    <row r="4040" spans="2:7" x14ac:dyDescent="0.25">
      <c r="B4040" s="70">
        <v>43465</v>
      </c>
      <c r="C4040" t="s">
        <v>24</v>
      </c>
      <c r="D4040" t="s">
        <v>411</v>
      </c>
      <c r="E4040" t="s">
        <v>412</v>
      </c>
      <c r="F4040">
        <v>0</v>
      </c>
      <c r="G4040">
        <v>44.69</v>
      </c>
    </row>
    <row r="4041" spans="2:7" x14ac:dyDescent="0.25">
      <c r="B4041" s="70">
        <v>43465</v>
      </c>
      <c r="C4041" t="s">
        <v>24</v>
      </c>
      <c r="D4041" t="s">
        <v>411</v>
      </c>
      <c r="E4041" t="s">
        <v>412</v>
      </c>
      <c r="F4041">
        <v>0</v>
      </c>
      <c r="G4041">
        <v>40</v>
      </c>
    </row>
    <row r="4042" spans="2:7" x14ac:dyDescent="0.25">
      <c r="B4042" s="70">
        <v>43465</v>
      </c>
      <c r="C4042" t="s">
        <v>24</v>
      </c>
      <c r="D4042" t="s">
        <v>411</v>
      </c>
      <c r="E4042" t="s">
        <v>412</v>
      </c>
      <c r="F4042">
        <v>0</v>
      </c>
      <c r="G4042">
        <v>38</v>
      </c>
    </row>
    <row r="4043" spans="2:7" x14ac:dyDescent="0.25">
      <c r="B4043" s="70">
        <v>43465</v>
      </c>
      <c r="C4043" t="s">
        <v>24</v>
      </c>
      <c r="D4043" t="s">
        <v>411</v>
      </c>
      <c r="E4043" t="s">
        <v>412</v>
      </c>
      <c r="F4043">
        <v>0</v>
      </c>
      <c r="G4043">
        <v>32</v>
      </c>
    </row>
    <row r="4044" spans="2:7" x14ac:dyDescent="0.25">
      <c r="B4044" s="70">
        <v>43465</v>
      </c>
      <c r="C4044" t="s">
        <v>24</v>
      </c>
      <c r="D4044" t="s">
        <v>411</v>
      </c>
      <c r="E4044" t="s">
        <v>412</v>
      </c>
      <c r="F4044">
        <v>0</v>
      </c>
      <c r="G4044">
        <v>29.88</v>
      </c>
    </row>
    <row r="4045" spans="2:7" x14ac:dyDescent="0.25">
      <c r="B4045" s="70">
        <v>43465</v>
      </c>
      <c r="C4045" t="s">
        <v>24</v>
      </c>
      <c r="D4045" t="s">
        <v>411</v>
      </c>
      <c r="E4045" t="s">
        <v>412</v>
      </c>
      <c r="F4045">
        <v>0</v>
      </c>
      <c r="G4045">
        <v>29.35</v>
      </c>
    </row>
    <row r="4046" spans="2:7" x14ac:dyDescent="0.25">
      <c r="B4046" s="70">
        <v>43465</v>
      </c>
      <c r="C4046" t="s">
        <v>24</v>
      </c>
      <c r="D4046" t="s">
        <v>411</v>
      </c>
      <c r="E4046" t="s">
        <v>412</v>
      </c>
      <c r="F4046">
        <v>0</v>
      </c>
      <c r="G4046">
        <v>27.32</v>
      </c>
    </row>
    <row r="4047" spans="2:7" x14ac:dyDescent="0.25">
      <c r="B4047" s="70">
        <v>43465</v>
      </c>
      <c r="C4047" t="s">
        <v>24</v>
      </c>
      <c r="D4047" t="s">
        <v>411</v>
      </c>
      <c r="E4047" t="s">
        <v>412</v>
      </c>
      <c r="F4047">
        <v>0</v>
      </c>
      <c r="G4047">
        <v>27.2</v>
      </c>
    </row>
    <row r="4048" spans="2:7" x14ac:dyDescent="0.25">
      <c r="B4048" s="70">
        <v>43465</v>
      </c>
      <c r="C4048" t="s">
        <v>24</v>
      </c>
      <c r="D4048" t="s">
        <v>411</v>
      </c>
      <c r="E4048" t="s">
        <v>412</v>
      </c>
      <c r="F4048">
        <v>0</v>
      </c>
      <c r="G4048">
        <v>26.49</v>
      </c>
    </row>
    <row r="4049" spans="2:7" x14ac:dyDescent="0.25">
      <c r="B4049" s="70">
        <v>43465</v>
      </c>
      <c r="C4049" t="s">
        <v>24</v>
      </c>
      <c r="D4049" t="s">
        <v>411</v>
      </c>
      <c r="E4049" t="s">
        <v>412</v>
      </c>
      <c r="F4049">
        <v>0</v>
      </c>
      <c r="G4049">
        <v>25.04</v>
      </c>
    </row>
    <row r="4050" spans="2:7" x14ac:dyDescent="0.25">
      <c r="B4050" s="70">
        <v>43465</v>
      </c>
      <c r="C4050" t="s">
        <v>24</v>
      </c>
      <c r="D4050" t="s">
        <v>411</v>
      </c>
      <c r="E4050" t="s">
        <v>412</v>
      </c>
      <c r="F4050">
        <v>0</v>
      </c>
      <c r="G4050">
        <v>24.92</v>
      </c>
    </row>
    <row r="4051" spans="2:7" x14ac:dyDescent="0.25">
      <c r="B4051" s="70">
        <v>43465</v>
      </c>
      <c r="C4051" t="s">
        <v>24</v>
      </c>
      <c r="D4051" t="s">
        <v>411</v>
      </c>
      <c r="E4051" t="s">
        <v>412</v>
      </c>
      <c r="F4051">
        <v>0</v>
      </c>
      <c r="G4051">
        <v>24</v>
      </c>
    </row>
    <row r="4052" spans="2:7" x14ac:dyDescent="0.25">
      <c r="B4052" s="70">
        <v>43465</v>
      </c>
      <c r="C4052" t="s">
        <v>24</v>
      </c>
      <c r="D4052" t="s">
        <v>411</v>
      </c>
      <c r="E4052" t="s">
        <v>412</v>
      </c>
      <c r="F4052">
        <v>0</v>
      </c>
      <c r="G4052">
        <v>23.32</v>
      </c>
    </row>
    <row r="4053" spans="2:7" x14ac:dyDescent="0.25">
      <c r="B4053" s="70">
        <v>43465</v>
      </c>
      <c r="C4053" t="s">
        <v>24</v>
      </c>
      <c r="D4053" t="s">
        <v>411</v>
      </c>
      <c r="E4053" t="s">
        <v>412</v>
      </c>
      <c r="F4053">
        <v>0</v>
      </c>
      <c r="G4053">
        <v>17.649999999999999</v>
      </c>
    </row>
    <row r="4054" spans="2:7" x14ac:dyDescent="0.25">
      <c r="B4054" s="70">
        <v>43465</v>
      </c>
      <c r="C4054" t="s">
        <v>24</v>
      </c>
      <c r="D4054" t="s">
        <v>411</v>
      </c>
      <c r="E4054" t="s">
        <v>412</v>
      </c>
      <c r="F4054">
        <v>0</v>
      </c>
      <c r="G4054">
        <v>16</v>
      </c>
    </row>
    <row r="4055" spans="2:7" x14ac:dyDescent="0.25">
      <c r="B4055" s="70">
        <v>43465</v>
      </c>
      <c r="C4055" t="s">
        <v>24</v>
      </c>
      <c r="D4055" t="s">
        <v>411</v>
      </c>
      <c r="E4055" t="s">
        <v>412</v>
      </c>
      <c r="F4055">
        <v>0</v>
      </c>
      <c r="G4055">
        <v>15.11</v>
      </c>
    </row>
    <row r="4056" spans="2:7" x14ac:dyDescent="0.25">
      <c r="B4056" s="70">
        <v>43465</v>
      </c>
      <c r="C4056" t="s">
        <v>24</v>
      </c>
      <c r="D4056" t="s">
        <v>411</v>
      </c>
      <c r="E4056" t="s">
        <v>412</v>
      </c>
      <c r="F4056">
        <v>0</v>
      </c>
      <c r="G4056">
        <v>14.18</v>
      </c>
    </row>
    <row r="4057" spans="2:7" x14ac:dyDescent="0.25">
      <c r="B4057" s="70">
        <v>43465</v>
      </c>
      <c r="C4057" t="s">
        <v>24</v>
      </c>
      <c r="D4057" t="s">
        <v>411</v>
      </c>
      <c r="E4057" t="s">
        <v>412</v>
      </c>
      <c r="F4057">
        <v>0</v>
      </c>
      <c r="G4057">
        <v>11.3</v>
      </c>
    </row>
    <row r="4058" spans="2:7" x14ac:dyDescent="0.25">
      <c r="B4058" s="70">
        <v>43465</v>
      </c>
      <c r="C4058" t="s">
        <v>24</v>
      </c>
      <c r="D4058" t="s">
        <v>411</v>
      </c>
      <c r="E4058" t="s">
        <v>412</v>
      </c>
      <c r="F4058">
        <v>0</v>
      </c>
      <c r="G4058">
        <v>8</v>
      </c>
    </row>
    <row r="4059" spans="2:7" x14ac:dyDescent="0.25">
      <c r="B4059" s="70">
        <v>43465</v>
      </c>
      <c r="C4059" t="s">
        <v>24</v>
      </c>
      <c r="D4059" t="s">
        <v>411</v>
      </c>
      <c r="E4059" t="s">
        <v>412</v>
      </c>
      <c r="F4059">
        <v>0</v>
      </c>
      <c r="G4059">
        <v>3.15</v>
      </c>
    </row>
    <row r="4060" spans="2:7" x14ac:dyDescent="0.25">
      <c r="B4060" s="70">
        <v>43465</v>
      </c>
      <c r="C4060" t="s">
        <v>60</v>
      </c>
      <c r="D4060" t="s">
        <v>411</v>
      </c>
      <c r="E4060" t="s">
        <v>412</v>
      </c>
      <c r="F4060">
        <v>0</v>
      </c>
      <c r="G4060">
        <v>6820.24</v>
      </c>
    </row>
    <row r="4061" spans="2:7" x14ac:dyDescent="0.25">
      <c r="B4061" s="70">
        <v>43465</v>
      </c>
      <c r="C4061" t="s">
        <v>60</v>
      </c>
      <c r="D4061" t="s">
        <v>411</v>
      </c>
      <c r="E4061" t="s">
        <v>412</v>
      </c>
      <c r="F4061">
        <v>0</v>
      </c>
      <c r="G4061">
        <v>5347.21</v>
      </c>
    </row>
    <row r="4062" spans="2:7" x14ac:dyDescent="0.25">
      <c r="B4062" s="70">
        <v>43465</v>
      </c>
      <c r="C4062" t="s">
        <v>60</v>
      </c>
      <c r="D4062" t="s">
        <v>411</v>
      </c>
      <c r="E4062" t="s">
        <v>412</v>
      </c>
      <c r="F4062">
        <v>0</v>
      </c>
      <c r="G4062">
        <v>4275.12</v>
      </c>
    </row>
    <row r="4063" spans="2:7" x14ac:dyDescent="0.25">
      <c r="B4063" s="70">
        <v>43465</v>
      </c>
      <c r="C4063" t="s">
        <v>60</v>
      </c>
      <c r="D4063" t="s">
        <v>411</v>
      </c>
      <c r="E4063" t="s">
        <v>412</v>
      </c>
      <c r="F4063">
        <v>0</v>
      </c>
      <c r="G4063">
        <v>2496.35</v>
      </c>
    </row>
    <row r="4064" spans="2:7" x14ac:dyDescent="0.25">
      <c r="B4064" s="70">
        <v>43465</v>
      </c>
      <c r="C4064" t="s">
        <v>60</v>
      </c>
      <c r="D4064" t="s">
        <v>411</v>
      </c>
      <c r="E4064" t="s">
        <v>412</v>
      </c>
      <c r="F4064">
        <v>0</v>
      </c>
      <c r="G4064">
        <v>1304.6199999999999</v>
      </c>
    </row>
    <row r="4065" spans="2:7" x14ac:dyDescent="0.25">
      <c r="B4065" s="70">
        <v>43465</v>
      </c>
      <c r="C4065" t="s">
        <v>61</v>
      </c>
      <c r="D4065" t="s">
        <v>411</v>
      </c>
      <c r="E4065" t="s">
        <v>412</v>
      </c>
      <c r="F4065">
        <v>0</v>
      </c>
      <c r="G4065">
        <v>8435.5400000000009</v>
      </c>
    </row>
    <row r="4066" spans="2:7" x14ac:dyDescent="0.25">
      <c r="B4066" s="70">
        <v>43465</v>
      </c>
      <c r="C4066" t="s">
        <v>61</v>
      </c>
      <c r="D4066" t="s">
        <v>411</v>
      </c>
      <c r="E4066" t="s">
        <v>412</v>
      </c>
      <c r="F4066">
        <v>0</v>
      </c>
      <c r="G4066">
        <v>4787.0600000000004</v>
      </c>
    </row>
    <row r="4067" spans="2:7" x14ac:dyDescent="0.25">
      <c r="B4067" s="70">
        <v>43465</v>
      </c>
      <c r="C4067" t="s">
        <v>61</v>
      </c>
      <c r="D4067" t="s">
        <v>411</v>
      </c>
      <c r="E4067" t="s">
        <v>412</v>
      </c>
      <c r="F4067">
        <v>0</v>
      </c>
      <c r="G4067">
        <v>3084.31</v>
      </c>
    </row>
    <row r="4068" spans="2:7" x14ac:dyDescent="0.25">
      <c r="B4068" s="70">
        <v>43465</v>
      </c>
      <c r="C4068" t="s">
        <v>61</v>
      </c>
      <c r="D4068" t="s">
        <v>411</v>
      </c>
      <c r="E4068" t="s">
        <v>412</v>
      </c>
      <c r="F4068">
        <v>0</v>
      </c>
      <c r="G4068">
        <v>333.68</v>
      </c>
    </row>
    <row r="4069" spans="2:7" x14ac:dyDescent="0.25">
      <c r="B4069" s="70">
        <v>43465</v>
      </c>
      <c r="C4069" t="s">
        <v>61</v>
      </c>
      <c r="D4069" t="s">
        <v>411</v>
      </c>
      <c r="E4069" t="s">
        <v>412</v>
      </c>
      <c r="F4069">
        <v>0</v>
      </c>
      <c r="G4069">
        <v>178.85</v>
      </c>
    </row>
    <row r="4070" spans="2:7" x14ac:dyDescent="0.25">
      <c r="B4070" s="70">
        <v>43465</v>
      </c>
      <c r="C4070" t="s">
        <v>62</v>
      </c>
      <c r="D4070" t="s">
        <v>411</v>
      </c>
      <c r="E4070" t="s">
        <v>412</v>
      </c>
      <c r="F4070">
        <v>0</v>
      </c>
      <c r="G4070">
        <v>1629.28</v>
      </c>
    </row>
    <row r="4071" spans="2:7" x14ac:dyDescent="0.25">
      <c r="B4071" s="70">
        <v>43465</v>
      </c>
      <c r="C4071" t="s">
        <v>62</v>
      </c>
      <c r="D4071" t="s">
        <v>411</v>
      </c>
      <c r="E4071" t="s">
        <v>412</v>
      </c>
      <c r="F4071">
        <v>0</v>
      </c>
      <c r="G4071">
        <v>195.02</v>
      </c>
    </row>
    <row r="4072" spans="2:7" x14ac:dyDescent="0.25">
      <c r="B4072" s="70">
        <v>43465</v>
      </c>
      <c r="C4072" t="s">
        <v>413</v>
      </c>
      <c r="D4072" t="s">
        <v>411</v>
      </c>
      <c r="E4072" t="s">
        <v>412</v>
      </c>
      <c r="F4072">
        <v>0</v>
      </c>
      <c r="G4072">
        <v>6332.8</v>
      </c>
    </row>
    <row r="4073" spans="2:7" x14ac:dyDescent="0.25">
      <c r="B4073" s="70">
        <v>43465</v>
      </c>
      <c r="C4073" t="s">
        <v>413</v>
      </c>
      <c r="D4073" t="s">
        <v>411</v>
      </c>
      <c r="E4073" t="s">
        <v>412</v>
      </c>
      <c r="F4073">
        <v>0</v>
      </c>
      <c r="G4073">
        <v>653.6</v>
      </c>
    </row>
    <row r="4074" spans="2:7" x14ac:dyDescent="0.25">
      <c r="B4074" s="70">
        <v>43465</v>
      </c>
      <c r="C4074" t="s">
        <v>413</v>
      </c>
      <c r="D4074" t="s">
        <v>411</v>
      </c>
      <c r="E4074" t="s">
        <v>412</v>
      </c>
      <c r="F4074">
        <v>0</v>
      </c>
      <c r="G4074">
        <v>65.94</v>
      </c>
    </row>
    <row r="4075" spans="2:7" x14ac:dyDescent="0.25">
      <c r="B4075" s="70">
        <v>43465</v>
      </c>
      <c r="C4075" t="s">
        <v>414</v>
      </c>
      <c r="D4075" t="s">
        <v>411</v>
      </c>
      <c r="E4075" t="s">
        <v>412</v>
      </c>
      <c r="F4075">
        <v>0</v>
      </c>
      <c r="G4075">
        <v>4127</v>
      </c>
    </row>
    <row r="4076" spans="2:7" x14ac:dyDescent="0.25">
      <c r="B4076" s="70">
        <v>43465</v>
      </c>
      <c r="C4076" t="s">
        <v>414</v>
      </c>
      <c r="D4076" t="s">
        <v>411</v>
      </c>
      <c r="E4076" t="s">
        <v>412</v>
      </c>
      <c r="F4076">
        <v>0</v>
      </c>
      <c r="G4076">
        <v>2223.9299999999998</v>
      </c>
    </row>
    <row r="4077" spans="2:7" x14ac:dyDescent="0.25">
      <c r="B4077" s="70">
        <v>43465</v>
      </c>
      <c r="C4077" t="s">
        <v>414</v>
      </c>
      <c r="D4077" t="s">
        <v>411</v>
      </c>
      <c r="E4077" t="s">
        <v>412</v>
      </c>
      <c r="F4077">
        <v>0</v>
      </c>
      <c r="G4077">
        <v>1293.83</v>
      </c>
    </row>
    <row r="4078" spans="2:7" x14ac:dyDescent="0.25">
      <c r="B4078" s="70">
        <v>43465</v>
      </c>
      <c r="C4078" t="s">
        <v>414</v>
      </c>
      <c r="D4078" t="s">
        <v>411</v>
      </c>
      <c r="E4078" t="s">
        <v>412</v>
      </c>
      <c r="F4078">
        <v>0</v>
      </c>
      <c r="G4078">
        <v>1027.56</v>
      </c>
    </row>
    <row r="4079" spans="2:7" x14ac:dyDescent="0.25">
      <c r="B4079" s="70">
        <v>43276</v>
      </c>
      <c r="C4079" t="s">
        <v>25</v>
      </c>
      <c r="D4079" t="s">
        <v>81</v>
      </c>
      <c r="E4079" t="s">
        <v>198</v>
      </c>
      <c r="F4079">
        <v>18.399999999999999</v>
      </c>
      <c r="G4079">
        <v>0</v>
      </c>
    </row>
    <row r="4080" spans="2:7" x14ac:dyDescent="0.25">
      <c r="B4080" s="70">
        <v>43276</v>
      </c>
      <c r="C4080" t="s">
        <v>25</v>
      </c>
      <c r="D4080" t="s">
        <v>81</v>
      </c>
      <c r="E4080" t="s">
        <v>273</v>
      </c>
      <c r="F4080">
        <v>1.8</v>
      </c>
      <c r="G4080">
        <v>0</v>
      </c>
    </row>
    <row r="4081" spans="2:7" x14ac:dyDescent="0.25">
      <c r="B4081" s="70">
        <v>43276</v>
      </c>
      <c r="C4081" t="s">
        <v>25</v>
      </c>
      <c r="D4081" t="s">
        <v>415</v>
      </c>
      <c r="E4081" t="s">
        <v>416</v>
      </c>
      <c r="F4081">
        <v>101.33</v>
      </c>
      <c r="G4081">
        <v>0</v>
      </c>
    </row>
    <row r="4082" spans="2:7" x14ac:dyDescent="0.25">
      <c r="B4082" s="70">
        <v>43276</v>
      </c>
      <c r="C4082" t="s">
        <v>25</v>
      </c>
      <c r="D4082" t="s">
        <v>415</v>
      </c>
      <c r="E4082" t="s">
        <v>416</v>
      </c>
      <c r="F4082">
        <v>72.040000000000006</v>
      </c>
      <c r="G4082">
        <v>0</v>
      </c>
    </row>
    <row r="4083" spans="2:7" x14ac:dyDescent="0.25">
      <c r="B4083" s="70">
        <v>43276</v>
      </c>
      <c r="C4083" t="s">
        <v>54</v>
      </c>
      <c r="D4083" t="s">
        <v>415</v>
      </c>
      <c r="E4083" t="s">
        <v>416</v>
      </c>
      <c r="F4083">
        <v>311.67</v>
      </c>
      <c r="G4083">
        <v>0</v>
      </c>
    </row>
    <row r="4084" spans="2:7" x14ac:dyDescent="0.25">
      <c r="B4084" s="70">
        <v>43276</v>
      </c>
      <c r="C4084" t="s">
        <v>72</v>
      </c>
      <c r="D4084" t="s">
        <v>82</v>
      </c>
      <c r="E4084" t="s">
        <v>417</v>
      </c>
      <c r="F4084">
        <v>114.23</v>
      </c>
      <c r="G4084">
        <v>0</v>
      </c>
    </row>
    <row r="4085" spans="2:7" x14ac:dyDescent="0.25">
      <c r="B4085" s="70">
        <v>43276</v>
      </c>
      <c r="C4085" t="s">
        <v>57</v>
      </c>
      <c r="D4085" t="s">
        <v>86</v>
      </c>
      <c r="E4085" t="s">
        <v>417</v>
      </c>
      <c r="F4085">
        <v>13.8</v>
      </c>
      <c r="G4085">
        <v>0</v>
      </c>
    </row>
    <row r="4086" spans="2:7" x14ac:dyDescent="0.25">
      <c r="B4086" s="70">
        <v>43276</v>
      </c>
      <c r="C4086" t="s">
        <v>21</v>
      </c>
      <c r="D4086" t="s">
        <v>79</v>
      </c>
      <c r="E4086" t="s">
        <v>417</v>
      </c>
      <c r="F4086">
        <v>16</v>
      </c>
      <c r="G4086">
        <v>0</v>
      </c>
    </row>
    <row r="4087" spans="2:7" x14ac:dyDescent="0.25">
      <c r="B4087" s="70">
        <v>43276</v>
      </c>
      <c r="C4087" t="s">
        <v>21</v>
      </c>
      <c r="D4087" t="s">
        <v>415</v>
      </c>
      <c r="E4087" t="s">
        <v>416</v>
      </c>
      <c r="F4087">
        <v>21.74</v>
      </c>
      <c r="G4087">
        <v>0</v>
      </c>
    </row>
    <row r="4088" spans="2:7" x14ac:dyDescent="0.25">
      <c r="B4088" s="70">
        <v>43276</v>
      </c>
      <c r="C4088" t="s">
        <v>21</v>
      </c>
      <c r="D4088" t="s">
        <v>415</v>
      </c>
      <c r="E4088" t="s">
        <v>416</v>
      </c>
      <c r="F4088">
        <v>927.86</v>
      </c>
      <c r="G4088">
        <v>0</v>
      </c>
    </row>
    <row r="4089" spans="2:7" x14ac:dyDescent="0.25">
      <c r="B4089" s="70">
        <v>43276</v>
      </c>
      <c r="C4089" t="s">
        <v>21</v>
      </c>
      <c r="D4089" t="s">
        <v>415</v>
      </c>
      <c r="E4089" t="s">
        <v>416</v>
      </c>
      <c r="F4089">
        <v>374.44</v>
      </c>
      <c r="G4089">
        <v>0</v>
      </c>
    </row>
    <row r="4090" spans="2:7" x14ac:dyDescent="0.25">
      <c r="B4090" s="70">
        <v>43276</v>
      </c>
      <c r="C4090" t="s">
        <v>21</v>
      </c>
      <c r="D4090" t="s">
        <v>415</v>
      </c>
      <c r="E4090" t="s">
        <v>416</v>
      </c>
      <c r="F4090">
        <v>598.84</v>
      </c>
      <c r="G4090">
        <v>0</v>
      </c>
    </row>
    <row r="4091" spans="2:7" x14ac:dyDescent="0.25">
      <c r="B4091" s="70">
        <v>43276</v>
      </c>
      <c r="C4091" t="s">
        <v>21</v>
      </c>
      <c r="D4091" t="s">
        <v>415</v>
      </c>
      <c r="E4091" t="s">
        <v>416</v>
      </c>
      <c r="F4091">
        <v>254.33</v>
      </c>
      <c r="G4091">
        <v>0</v>
      </c>
    </row>
    <row r="4092" spans="2:7" x14ac:dyDescent="0.25">
      <c r="B4092" s="70">
        <v>43276</v>
      </c>
      <c r="C4092" t="s">
        <v>21</v>
      </c>
      <c r="D4092" t="s">
        <v>415</v>
      </c>
      <c r="E4092" t="s">
        <v>416</v>
      </c>
      <c r="F4092">
        <v>1283.47</v>
      </c>
      <c r="G4092">
        <v>0</v>
      </c>
    </row>
    <row r="4093" spans="2:7" x14ac:dyDescent="0.25">
      <c r="B4093" s="70">
        <v>43276</v>
      </c>
      <c r="C4093" t="s">
        <v>21</v>
      </c>
      <c r="D4093" t="s">
        <v>415</v>
      </c>
      <c r="E4093" t="s">
        <v>416</v>
      </c>
      <c r="F4093">
        <v>193.81</v>
      </c>
      <c r="G4093">
        <v>0</v>
      </c>
    </row>
    <row r="4094" spans="2:7" x14ac:dyDescent="0.25">
      <c r="B4094" s="70">
        <v>43276</v>
      </c>
      <c r="C4094" t="s">
        <v>21</v>
      </c>
      <c r="D4094" t="s">
        <v>415</v>
      </c>
      <c r="E4094" t="s">
        <v>416</v>
      </c>
      <c r="F4094">
        <v>493.74</v>
      </c>
      <c r="G4094">
        <v>0</v>
      </c>
    </row>
    <row r="4095" spans="2:7" x14ac:dyDescent="0.25">
      <c r="B4095" s="70">
        <v>43276</v>
      </c>
      <c r="C4095" t="s">
        <v>21</v>
      </c>
      <c r="D4095" t="s">
        <v>415</v>
      </c>
      <c r="E4095" t="s">
        <v>416</v>
      </c>
      <c r="F4095">
        <v>98.72</v>
      </c>
      <c r="G4095">
        <v>0</v>
      </c>
    </row>
    <row r="4096" spans="2:7" x14ac:dyDescent="0.25">
      <c r="B4096" s="70">
        <v>43276</v>
      </c>
      <c r="C4096" t="s">
        <v>21</v>
      </c>
      <c r="D4096" t="s">
        <v>415</v>
      </c>
      <c r="E4096" t="s">
        <v>416</v>
      </c>
      <c r="F4096">
        <v>420.53</v>
      </c>
      <c r="G4096">
        <v>0</v>
      </c>
    </row>
    <row r="4097" spans="2:7" x14ac:dyDescent="0.25">
      <c r="B4097" s="70">
        <v>43276</v>
      </c>
      <c r="C4097" t="s">
        <v>21</v>
      </c>
      <c r="D4097" t="s">
        <v>415</v>
      </c>
      <c r="E4097" t="s">
        <v>416</v>
      </c>
      <c r="F4097">
        <v>481.94</v>
      </c>
      <c r="G4097">
        <v>0</v>
      </c>
    </row>
    <row r="4098" spans="2:7" x14ac:dyDescent="0.25">
      <c r="B4098" s="70">
        <v>43276</v>
      </c>
      <c r="C4098" t="s">
        <v>21</v>
      </c>
      <c r="D4098" t="s">
        <v>415</v>
      </c>
      <c r="E4098" t="s">
        <v>416</v>
      </c>
      <c r="F4098">
        <v>88.07</v>
      </c>
      <c r="G4098">
        <v>0</v>
      </c>
    </row>
    <row r="4099" spans="2:7" x14ac:dyDescent="0.25">
      <c r="B4099" s="70">
        <v>43276</v>
      </c>
      <c r="C4099" t="s">
        <v>21</v>
      </c>
      <c r="D4099" t="s">
        <v>415</v>
      </c>
      <c r="E4099" t="s">
        <v>416</v>
      </c>
      <c r="F4099">
        <v>94.97</v>
      </c>
      <c r="G4099">
        <v>0</v>
      </c>
    </row>
    <row r="4100" spans="2:7" x14ac:dyDescent="0.25">
      <c r="B4100" s="70">
        <v>43276</v>
      </c>
      <c r="C4100" t="s">
        <v>21</v>
      </c>
      <c r="D4100" t="s">
        <v>415</v>
      </c>
      <c r="E4100" t="s">
        <v>416</v>
      </c>
      <c r="F4100">
        <v>439.82</v>
      </c>
      <c r="G4100">
        <v>0</v>
      </c>
    </row>
    <row r="4101" spans="2:7" x14ac:dyDescent="0.25">
      <c r="B4101" s="70">
        <v>43276</v>
      </c>
      <c r="C4101" t="s">
        <v>21</v>
      </c>
      <c r="D4101" t="s">
        <v>415</v>
      </c>
      <c r="E4101" t="s">
        <v>416</v>
      </c>
      <c r="F4101">
        <v>102.96</v>
      </c>
      <c r="G4101">
        <v>0</v>
      </c>
    </row>
    <row r="4102" spans="2:7" x14ac:dyDescent="0.25">
      <c r="B4102" s="70">
        <v>43276</v>
      </c>
      <c r="C4102" t="s">
        <v>21</v>
      </c>
      <c r="D4102" t="s">
        <v>415</v>
      </c>
      <c r="E4102" t="s">
        <v>416</v>
      </c>
      <c r="F4102">
        <v>68.73</v>
      </c>
      <c r="G4102">
        <v>0</v>
      </c>
    </row>
    <row r="4103" spans="2:7" x14ac:dyDescent="0.25">
      <c r="B4103" s="70">
        <v>43276</v>
      </c>
      <c r="C4103" t="s">
        <v>21</v>
      </c>
      <c r="D4103" t="s">
        <v>415</v>
      </c>
      <c r="E4103" t="s">
        <v>416</v>
      </c>
      <c r="F4103">
        <v>69.8</v>
      </c>
      <c r="G4103">
        <v>0</v>
      </c>
    </row>
    <row r="4104" spans="2:7" x14ac:dyDescent="0.25">
      <c r="B4104" s="70">
        <v>43276</v>
      </c>
      <c r="C4104" t="s">
        <v>21</v>
      </c>
      <c r="D4104" t="s">
        <v>415</v>
      </c>
      <c r="E4104" t="s">
        <v>416</v>
      </c>
      <c r="F4104">
        <v>221.32</v>
      </c>
      <c r="G4104">
        <v>0</v>
      </c>
    </row>
    <row r="4105" spans="2:7" x14ac:dyDescent="0.25">
      <c r="B4105" s="70">
        <v>43276</v>
      </c>
      <c r="C4105" t="s">
        <v>21</v>
      </c>
      <c r="D4105" t="s">
        <v>415</v>
      </c>
      <c r="E4105" t="s">
        <v>416</v>
      </c>
      <c r="F4105">
        <v>945.08</v>
      </c>
      <c r="G4105">
        <v>0</v>
      </c>
    </row>
    <row r="4106" spans="2:7" x14ac:dyDescent="0.25">
      <c r="B4106" s="70">
        <v>43276</v>
      </c>
      <c r="C4106" t="s">
        <v>21</v>
      </c>
      <c r="D4106" t="s">
        <v>415</v>
      </c>
      <c r="E4106" t="s">
        <v>416</v>
      </c>
      <c r="F4106">
        <v>134.44999999999999</v>
      </c>
      <c r="G4106">
        <v>0</v>
      </c>
    </row>
    <row r="4107" spans="2:7" x14ac:dyDescent="0.25">
      <c r="B4107" s="70">
        <v>43276</v>
      </c>
      <c r="C4107" t="s">
        <v>21</v>
      </c>
      <c r="D4107" t="s">
        <v>415</v>
      </c>
      <c r="E4107" t="s">
        <v>416</v>
      </c>
      <c r="F4107">
        <v>43.04</v>
      </c>
      <c r="G4107">
        <v>0</v>
      </c>
    </row>
    <row r="4108" spans="2:7" x14ac:dyDescent="0.25">
      <c r="B4108" s="70">
        <v>43276</v>
      </c>
      <c r="C4108" t="s">
        <v>21</v>
      </c>
      <c r="D4108" t="s">
        <v>415</v>
      </c>
      <c r="E4108" t="s">
        <v>416</v>
      </c>
      <c r="F4108">
        <v>422.74</v>
      </c>
      <c r="G4108">
        <v>0</v>
      </c>
    </row>
    <row r="4109" spans="2:7" x14ac:dyDescent="0.25">
      <c r="B4109" s="70">
        <v>43276</v>
      </c>
      <c r="C4109" t="s">
        <v>48</v>
      </c>
      <c r="D4109" t="s">
        <v>415</v>
      </c>
      <c r="E4109" t="s">
        <v>416</v>
      </c>
      <c r="F4109">
        <v>313.26</v>
      </c>
      <c r="G4109">
        <v>0</v>
      </c>
    </row>
    <row r="4110" spans="2:7" x14ac:dyDescent="0.25">
      <c r="B4110" s="70">
        <v>43276</v>
      </c>
      <c r="C4110" t="s">
        <v>55</v>
      </c>
      <c r="D4110" t="s">
        <v>415</v>
      </c>
      <c r="E4110" t="s">
        <v>416</v>
      </c>
      <c r="F4110">
        <v>8.99</v>
      </c>
      <c r="G4110">
        <v>0</v>
      </c>
    </row>
    <row r="4111" spans="2:7" x14ac:dyDescent="0.25">
      <c r="B4111" s="70">
        <v>43276</v>
      </c>
      <c r="C4111" t="s">
        <v>49</v>
      </c>
      <c r="D4111" t="s">
        <v>415</v>
      </c>
      <c r="E4111" t="s">
        <v>416</v>
      </c>
      <c r="F4111">
        <v>951.08</v>
      </c>
      <c r="G4111">
        <v>0</v>
      </c>
    </row>
    <row r="4112" spans="2:7" x14ac:dyDescent="0.25">
      <c r="B4112" s="70">
        <v>43276</v>
      </c>
      <c r="C4112" t="s">
        <v>50</v>
      </c>
      <c r="D4112" t="s">
        <v>415</v>
      </c>
      <c r="E4112" t="s">
        <v>416</v>
      </c>
      <c r="F4112">
        <v>5485.2</v>
      </c>
      <c r="G4112">
        <v>0</v>
      </c>
    </row>
    <row r="4113" spans="2:7" x14ac:dyDescent="0.25">
      <c r="B4113" s="70">
        <v>43276</v>
      </c>
      <c r="C4113" t="s">
        <v>52</v>
      </c>
      <c r="D4113" t="s">
        <v>415</v>
      </c>
      <c r="E4113" t="s">
        <v>416</v>
      </c>
      <c r="F4113">
        <v>343.2</v>
      </c>
      <c r="G4113">
        <v>0</v>
      </c>
    </row>
    <row r="4114" spans="2:7" x14ac:dyDescent="0.25">
      <c r="B4114" s="70">
        <v>43276</v>
      </c>
      <c r="C4114" t="s">
        <v>24</v>
      </c>
      <c r="D4114" t="s">
        <v>79</v>
      </c>
      <c r="E4114" t="s">
        <v>417</v>
      </c>
      <c r="F4114">
        <v>8</v>
      </c>
      <c r="G4114">
        <v>0</v>
      </c>
    </row>
    <row r="4115" spans="2:7" x14ac:dyDescent="0.25">
      <c r="B4115" s="70">
        <v>43276</v>
      </c>
      <c r="C4115" t="s">
        <v>24</v>
      </c>
      <c r="D4115" t="s">
        <v>415</v>
      </c>
      <c r="E4115" t="s">
        <v>416</v>
      </c>
      <c r="F4115">
        <v>13.04</v>
      </c>
      <c r="G4115">
        <v>0</v>
      </c>
    </row>
    <row r="4116" spans="2:7" x14ac:dyDescent="0.25">
      <c r="B4116" s="70">
        <v>43276</v>
      </c>
      <c r="C4116" t="s">
        <v>24</v>
      </c>
      <c r="D4116" t="s">
        <v>415</v>
      </c>
      <c r="E4116" t="s">
        <v>416</v>
      </c>
      <c r="F4116">
        <v>13.4</v>
      </c>
      <c r="G4116">
        <v>0</v>
      </c>
    </row>
    <row r="4117" spans="2:7" x14ac:dyDescent="0.25">
      <c r="B4117" s="70">
        <v>43276</v>
      </c>
      <c r="C4117" t="s">
        <v>24</v>
      </c>
      <c r="D4117" t="s">
        <v>415</v>
      </c>
      <c r="E4117" t="s">
        <v>416</v>
      </c>
      <c r="F4117">
        <v>14.18</v>
      </c>
      <c r="G4117">
        <v>0</v>
      </c>
    </row>
    <row r="4118" spans="2:7" x14ac:dyDescent="0.25">
      <c r="B4118" s="70">
        <v>43276</v>
      </c>
      <c r="C4118" t="s">
        <v>24</v>
      </c>
      <c r="D4118" t="s">
        <v>415</v>
      </c>
      <c r="E4118" t="s">
        <v>416</v>
      </c>
      <c r="F4118">
        <v>24.18</v>
      </c>
      <c r="G4118">
        <v>0</v>
      </c>
    </row>
    <row r="4119" spans="2:7" x14ac:dyDescent="0.25">
      <c r="B4119" s="70">
        <v>43276</v>
      </c>
      <c r="C4119" t="s">
        <v>24</v>
      </c>
      <c r="D4119" t="s">
        <v>415</v>
      </c>
      <c r="E4119" t="s">
        <v>416</v>
      </c>
      <c r="F4119">
        <v>28.57</v>
      </c>
      <c r="G4119">
        <v>0</v>
      </c>
    </row>
    <row r="4120" spans="2:7" x14ac:dyDescent="0.25">
      <c r="B4120" s="70">
        <v>43276</v>
      </c>
      <c r="C4120" t="s">
        <v>24</v>
      </c>
      <c r="D4120" t="s">
        <v>415</v>
      </c>
      <c r="E4120" t="s">
        <v>416</v>
      </c>
      <c r="F4120">
        <v>51.51</v>
      </c>
      <c r="G4120">
        <v>0</v>
      </c>
    </row>
    <row r="4121" spans="2:7" x14ac:dyDescent="0.25">
      <c r="B4121" s="70">
        <v>43276</v>
      </c>
      <c r="C4121" t="s">
        <v>24</v>
      </c>
      <c r="D4121" t="s">
        <v>415</v>
      </c>
      <c r="E4121" t="s">
        <v>416</v>
      </c>
      <c r="F4121">
        <v>33.28</v>
      </c>
      <c r="G4121">
        <v>0</v>
      </c>
    </row>
    <row r="4122" spans="2:7" x14ac:dyDescent="0.25">
      <c r="B4122" s="70">
        <v>43276</v>
      </c>
      <c r="C4122" t="s">
        <v>24</v>
      </c>
      <c r="D4122" t="s">
        <v>415</v>
      </c>
      <c r="E4122" t="s">
        <v>416</v>
      </c>
      <c r="F4122">
        <v>8.57</v>
      </c>
      <c r="G4122">
        <v>0</v>
      </c>
    </row>
    <row r="4123" spans="2:7" x14ac:dyDescent="0.25">
      <c r="B4123" s="70">
        <v>43276</v>
      </c>
      <c r="C4123" t="s">
        <v>24</v>
      </c>
      <c r="D4123" t="s">
        <v>415</v>
      </c>
      <c r="E4123" t="s">
        <v>416</v>
      </c>
      <c r="F4123">
        <v>27.87</v>
      </c>
      <c r="G4123">
        <v>0</v>
      </c>
    </row>
    <row r="4124" spans="2:7" x14ac:dyDescent="0.25">
      <c r="B4124" s="70">
        <v>43276</v>
      </c>
      <c r="C4124" t="s">
        <v>24</v>
      </c>
      <c r="D4124" t="s">
        <v>415</v>
      </c>
      <c r="E4124" t="s">
        <v>416</v>
      </c>
      <c r="F4124">
        <v>15.68</v>
      </c>
      <c r="G4124">
        <v>0</v>
      </c>
    </row>
    <row r="4125" spans="2:7" x14ac:dyDescent="0.25">
      <c r="B4125" s="70">
        <v>43276</v>
      </c>
      <c r="C4125" t="s">
        <v>24</v>
      </c>
      <c r="D4125" t="s">
        <v>415</v>
      </c>
      <c r="E4125" t="s">
        <v>416</v>
      </c>
      <c r="F4125">
        <v>58.8</v>
      </c>
      <c r="G4125">
        <v>0</v>
      </c>
    </row>
    <row r="4126" spans="2:7" x14ac:dyDescent="0.25">
      <c r="B4126" s="70">
        <v>43276</v>
      </c>
      <c r="C4126" t="s">
        <v>24</v>
      </c>
      <c r="D4126" t="s">
        <v>415</v>
      </c>
      <c r="E4126" t="s">
        <v>416</v>
      </c>
      <c r="F4126">
        <v>24.94</v>
      </c>
      <c r="G4126">
        <v>0</v>
      </c>
    </row>
    <row r="4127" spans="2:7" x14ac:dyDescent="0.25">
      <c r="B4127" s="70">
        <v>43276</v>
      </c>
      <c r="C4127" t="s">
        <v>24</v>
      </c>
      <c r="D4127" t="s">
        <v>415</v>
      </c>
      <c r="E4127" t="s">
        <v>416</v>
      </c>
      <c r="F4127">
        <v>28.28</v>
      </c>
      <c r="G4127">
        <v>0</v>
      </c>
    </row>
    <row r="4128" spans="2:7" x14ac:dyDescent="0.25">
      <c r="B4128" s="70">
        <v>43337</v>
      </c>
      <c r="C4128" t="s">
        <v>25</v>
      </c>
      <c r="D4128" t="s">
        <v>80</v>
      </c>
      <c r="E4128" t="s">
        <v>418</v>
      </c>
      <c r="F4128">
        <v>104</v>
      </c>
      <c r="G4128">
        <v>0</v>
      </c>
    </row>
    <row r="4129" spans="2:7" x14ac:dyDescent="0.25">
      <c r="B4129" s="70">
        <v>43337</v>
      </c>
      <c r="C4129" t="s">
        <v>25</v>
      </c>
      <c r="D4129" t="s">
        <v>81</v>
      </c>
      <c r="E4129" t="s">
        <v>150</v>
      </c>
      <c r="F4129">
        <v>14</v>
      </c>
      <c r="G4129">
        <v>0</v>
      </c>
    </row>
    <row r="4130" spans="2:7" x14ac:dyDescent="0.25">
      <c r="B4130" s="70">
        <v>43337</v>
      </c>
      <c r="C4130" t="s">
        <v>25</v>
      </c>
      <c r="D4130" t="s">
        <v>81</v>
      </c>
      <c r="E4130" t="s">
        <v>187</v>
      </c>
      <c r="F4130">
        <v>14.55</v>
      </c>
      <c r="G4130">
        <v>0</v>
      </c>
    </row>
    <row r="4131" spans="2:7" x14ac:dyDescent="0.25">
      <c r="B4131" s="70">
        <v>43337</v>
      </c>
      <c r="C4131" t="s">
        <v>25</v>
      </c>
      <c r="D4131" t="s">
        <v>419</v>
      </c>
      <c r="E4131" t="s">
        <v>420</v>
      </c>
      <c r="F4131">
        <v>73.349999999999994</v>
      </c>
      <c r="G4131">
        <v>0</v>
      </c>
    </row>
    <row r="4132" spans="2:7" x14ac:dyDescent="0.25">
      <c r="B4132" s="70">
        <v>43337</v>
      </c>
      <c r="C4132" t="s">
        <v>25</v>
      </c>
      <c r="D4132" t="s">
        <v>419</v>
      </c>
      <c r="E4132" t="s">
        <v>420</v>
      </c>
      <c r="F4132">
        <v>49.82</v>
      </c>
      <c r="G4132">
        <v>0</v>
      </c>
    </row>
    <row r="4133" spans="2:7" x14ac:dyDescent="0.25">
      <c r="B4133" s="70">
        <v>43337</v>
      </c>
      <c r="C4133" t="s">
        <v>25</v>
      </c>
      <c r="D4133" t="s">
        <v>419</v>
      </c>
      <c r="E4133" t="s">
        <v>420</v>
      </c>
      <c r="F4133">
        <v>34.42</v>
      </c>
      <c r="G4133">
        <v>0</v>
      </c>
    </row>
    <row r="4134" spans="2:7" x14ac:dyDescent="0.25">
      <c r="B4134" s="70">
        <v>43337</v>
      </c>
      <c r="C4134" t="s">
        <v>25</v>
      </c>
      <c r="D4134" t="s">
        <v>419</v>
      </c>
      <c r="E4134" t="s">
        <v>420</v>
      </c>
      <c r="F4134">
        <v>28.22</v>
      </c>
      <c r="G4134">
        <v>0</v>
      </c>
    </row>
    <row r="4135" spans="2:7" x14ac:dyDescent="0.25">
      <c r="B4135" s="70">
        <v>43337</v>
      </c>
      <c r="C4135" t="s">
        <v>54</v>
      </c>
      <c r="D4135" t="s">
        <v>419</v>
      </c>
      <c r="E4135" t="s">
        <v>420</v>
      </c>
      <c r="F4135">
        <v>343.02</v>
      </c>
      <c r="G4135">
        <v>0</v>
      </c>
    </row>
    <row r="4136" spans="2:7" x14ac:dyDescent="0.25">
      <c r="B4136" s="70">
        <v>43337</v>
      </c>
      <c r="C4136" t="s">
        <v>46</v>
      </c>
      <c r="D4136" t="s">
        <v>419</v>
      </c>
      <c r="E4136" t="s">
        <v>420</v>
      </c>
      <c r="F4136">
        <v>14.22</v>
      </c>
      <c r="G4136">
        <v>0</v>
      </c>
    </row>
    <row r="4137" spans="2:7" x14ac:dyDescent="0.25">
      <c r="B4137" s="70">
        <v>43337</v>
      </c>
      <c r="C4137" t="s">
        <v>21</v>
      </c>
      <c r="D4137" t="s">
        <v>419</v>
      </c>
      <c r="E4137" t="s">
        <v>420</v>
      </c>
      <c r="F4137">
        <v>12.65</v>
      </c>
      <c r="G4137">
        <v>0</v>
      </c>
    </row>
    <row r="4138" spans="2:7" x14ac:dyDescent="0.25">
      <c r="B4138" s="70">
        <v>43337</v>
      </c>
      <c r="C4138" t="s">
        <v>21</v>
      </c>
      <c r="D4138" t="s">
        <v>419</v>
      </c>
      <c r="E4138" t="s">
        <v>420</v>
      </c>
      <c r="F4138">
        <v>25.14</v>
      </c>
      <c r="G4138">
        <v>0</v>
      </c>
    </row>
    <row r="4139" spans="2:7" x14ac:dyDescent="0.25">
      <c r="B4139" s="70">
        <v>43337</v>
      </c>
      <c r="C4139" t="s">
        <v>21</v>
      </c>
      <c r="D4139" t="s">
        <v>419</v>
      </c>
      <c r="E4139" t="s">
        <v>420</v>
      </c>
      <c r="F4139">
        <v>45.5</v>
      </c>
      <c r="G4139">
        <v>0</v>
      </c>
    </row>
    <row r="4140" spans="2:7" x14ac:dyDescent="0.25">
      <c r="B4140" s="70">
        <v>43337</v>
      </c>
      <c r="C4140" t="s">
        <v>21</v>
      </c>
      <c r="D4140" t="s">
        <v>419</v>
      </c>
      <c r="E4140" t="s">
        <v>420</v>
      </c>
      <c r="F4140">
        <v>45.75</v>
      </c>
      <c r="G4140">
        <v>0</v>
      </c>
    </row>
    <row r="4141" spans="2:7" x14ac:dyDescent="0.25">
      <c r="B4141" s="70">
        <v>43337</v>
      </c>
      <c r="C4141" t="s">
        <v>21</v>
      </c>
      <c r="D4141" t="s">
        <v>419</v>
      </c>
      <c r="E4141" t="s">
        <v>420</v>
      </c>
      <c r="F4141">
        <v>80.37</v>
      </c>
      <c r="G4141">
        <v>0</v>
      </c>
    </row>
    <row r="4142" spans="2:7" x14ac:dyDescent="0.25">
      <c r="B4142" s="70">
        <v>43337</v>
      </c>
      <c r="C4142" t="s">
        <v>21</v>
      </c>
      <c r="D4142" t="s">
        <v>419</v>
      </c>
      <c r="E4142" t="s">
        <v>420</v>
      </c>
      <c r="F4142">
        <v>12.79</v>
      </c>
      <c r="G4142">
        <v>0</v>
      </c>
    </row>
    <row r="4143" spans="2:7" x14ac:dyDescent="0.25">
      <c r="B4143" s="70">
        <v>43337</v>
      </c>
      <c r="C4143" t="s">
        <v>21</v>
      </c>
      <c r="D4143" t="s">
        <v>419</v>
      </c>
      <c r="E4143" t="s">
        <v>420</v>
      </c>
      <c r="F4143">
        <v>60.69</v>
      </c>
      <c r="G4143">
        <v>0</v>
      </c>
    </row>
    <row r="4144" spans="2:7" x14ac:dyDescent="0.25">
      <c r="B4144" s="70">
        <v>43337</v>
      </c>
      <c r="C4144" t="s">
        <v>21</v>
      </c>
      <c r="D4144" t="s">
        <v>419</v>
      </c>
      <c r="E4144" t="s">
        <v>420</v>
      </c>
      <c r="F4144">
        <v>938.84</v>
      </c>
      <c r="G4144">
        <v>0</v>
      </c>
    </row>
    <row r="4145" spans="2:7" x14ac:dyDescent="0.25">
      <c r="B4145" s="70">
        <v>43337</v>
      </c>
      <c r="C4145" t="s">
        <v>21</v>
      </c>
      <c r="D4145" t="s">
        <v>419</v>
      </c>
      <c r="E4145" t="s">
        <v>420</v>
      </c>
      <c r="F4145">
        <v>6.66</v>
      </c>
      <c r="G4145">
        <v>0</v>
      </c>
    </row>
    <row r="4146" spans="2:7" x14ac:dyDescent="0.25">
      <c r="B4146" s="70">
        <v>43337</v>
      </c>
      <c r="C4146" t="s">
        <v>21</v>
      </c>
      <c r="D4146" t="s">
        <v>419</v>
      </c>
      <c r="E4146" t="s">
        <v>420</v>
      </c>
      <c r="F4146">
        <v>281.75</v>
      </c>
      <c r="G4146">
        <v>0</v>
      </c>
    </row>
    <row r="4147" spans="2:7" x14ac:dyDescent="0.25">
      <c r="B4147" s="70">
        <v>43337</v>
      </c>
      <c r="C4147" t="s">
        <v>21</v>
      </c>
      <c r="D4147" t="s">
        <v>419</v>
      </c>
      <c r="E4147" t="s">
        <v>420</v>
      </c>
      <c r="F4147">
        <v>867.93</v>
      </c>
      <c r="G4147">
        <v>0</v>
      </c>
    </row>
    <row r="4148" spans="2:7" x14ac:dyDescent="0.25">
      <c r="B4148" s="70">
        <v>43337</v>
      </c>
      <c r="C4148" t="s">
        <v>21</v>
      </c>
      <c r="D4148" t="s">
        <v>419</v>
      </c>
      <c r="E4148" t="s">
        <v>420</v>
      </c>
      <c r="F4148">
        <v>24.85</v>
      </c>
      <c r="G4148">
        <v>0</v>
      </c>
    </row>
    <row r="4149" spans="2:7" x14ac:dyDescent="0.25">
      <c r="B4149" s="70">
        <v>43337</v>
      </c>
      <c r="C4149" t="s">
        <v>21</v>
      </c>
      <c r="D4149" t="s">
        <v>419</v>
      </c>
      <c r="E4149" t="s">
        <v>420</v>
      </c>
      <c r="F4149">
        <v>403.79</v>
      </c>
      <c r="G4149">
        <v>0</v>
      </c>
    </row>
    <row r="4150" spans="2:7" x14ac:dyDescent="0.25">
      <c r="B4150" s="70">
        <v>43337</v>
      </c>
      <c r="C4150" t="s">
        <v>21</v>
      </c>
      <c r="D4150" t="s">
        <v>419</v>
      </c>
      <c r="E4150" t="s">
        <v>420</v>
      </c>
      <c r="F4150">
        <v>1388.9</v>
      </c>
      <c r="G4150">
        <v>0</v>
      </c>
    </row>
    <row r="4151" spans="2:7" x14ac:dyDescent="0.25">
      <c r="B4151" s="70">
        <v>43337</v>
      </c>
      <c r="C4151" t="s">
        <v>21</v>
      </c>
      <c r="D4151" t="s">
        <v>419</v>
      </c>
      <c r="E4151" t="s">
        <v>420</v>
      </c>
      <c r="F4151">
        <v>327.9</v>
      </c>
      <c r="G4151">
        <v>0</v>
      </c>
    </row>
    <row r="4152" spans="2:7" x14ac:dyDescent="0.25">
      <c r="B4152" s="70">
        <v>43337</v>
      </c>
      <c r="C4152" t="s">
        <v>21</v>
      </c>
      <c r="D4152" t="s">
        <v>419</v>
      </c>
      <c r="E4152" t="s">
        <v>420</v>
      </c>
      <c r="F4152">
        <v>471.52</v>
      </c>
      <c r="G4152">
        <v>0</v>
      </c>
    </row>
    <row r="4153" spans="2:7" x14ac:dyDescent="0.25">
      <c r="B4153" s="70">
        <v>43337</v>
      </c>
      <c r="C4153" t="s">
        <v>21</v>
      </c>
      <c r="D4153" t="s">
        <v>419</v>
      </c>
      <c r="E4153" t="s">
        <v>420</v>
      </c>
      <c r="F4153">
        <v>1473.5</v>
      </c>
      <c r="G4153">
        <v>0</v>
      </c>
    </row>
    <row r="4154" spans="2:7" x14ac:dyDescent="0.25">
      <c r="B4154" s="70">
        <v>43337</v>
      </c>
      <c r="C4154" t="s">
        <v>21</v>
      </c>
      <c r="D4154" t="s">
        <v>419</v>
      </c>
      <c r="E4154" t="s">
        <v>420</v>
      </c>
      <c r="F4154">
        <v>465.27</v>
      </c>
      <c r="G4154">
        <v>0</v>
      </c>
    </row>
    <row r="4155" spans="2:7" x14ac:dyDescent="0.25">
      <c r="B4155" s="70">
        <v>43337</v>
      </c>
      <c r="C4155" t="s">
        <v>21</v>
      </c>
      <c r="D4155" t="s">
        <v>419</v>
      </c>
      <c r="E4155" t="s">
        <v>420</v>
      </c>
      <c r="F4155">
        <v>451.51</v>
      </c>
      <c r="G4155">
        <v>0</v>
      </c>
    </row>
    <row r="4156" spans="2:7" x14ac:dyDescent="0.25">
      <c r="B4156" s="70">
        <v>43337</v>
      </c>
      <c r="C4156" t="s">
        <v>21</v>
      </c>
      <c r="D4156" t="s">
        <v>419</v>
      </c>
      <c r="E4156" t="s">
        <v>420</v>
      </c>
      <c r="F4156">
        <v>83.43</v>
      </c>
      <c r="G4156">
        <v>0</v>
      </c>
    </row>
    <row r="4157" spans="2:7" x14ac:dyDescent="0.25">
      <c r="B4157" s="70">
        <v>43337</v>
      </c>
      <c r="C4157" t="s">
        <v>21</v>
      </c>
      <c r="D4157" t="s">
        <v>419</v>
      </c>
      <c r="E4157" t="s">
        <v>420</v>
      </c>
      <c r="F4157">
        <v>323.60000000000002</v>
      </c>
      <c r="G4157">
        <v>0</v>
      </c>
    </row>
    <row r="4158" spans="2:7" x14ac:dyDescent="0.25">
      <c r="B4158" s="70">
        <v>43337</v>
      </c>
      <c r="C4158" t="s">
        <v>21</v>
      </c>
      <c r="D4158" t="s">
        <v>419</v>
      </c>
      <c r="E4158" t="s">
        <v>420</v>
      </c>
      <c r="F4158">
        <v>51.73</v>
      </c>
      <c r="G4158">
        <v>0</v>
      </c>
    </row>
    <row r="4159" spans="2:7" x14ac:dyDescent="0.25">
      <c r="B4159" s="70">
        <v>43337</v>
      </c>
      <c r="C4159" t="s">
        <v>21</v>
      </c>
      <c r="D4159" t="s">
        <v>419</v>
      </c>
      <c r="E4159" t="s">
        <v>420</v>
      </c>
      <c r="F4159">
        <v>235.92</v>
      </c>
      <c r="G4159">
        <v>0</v>
      </c>
    </row>
    <row r="4160" spans="2:7" x14ac:dyDescent="0.25">
      <c r="B4160" s="70">
        <v>43337</v>
      </c>
      <c r="C4160" t="s">
        <v>21</v>
      </c>
      <c r="D4160" t="s">
        <v>419</v>
      </c>
      <c r="E4160" t="s">
        <v>420</v>
      </c>
      <c r="F4160">
        <v>301.62</v>
      </c>
      <c r="G4160">
        <v>0</v>
      </c>
    </row>
    <row r="4161" spans="2:7" x14ac:dyDescent="0.25">
      <c r="B4161" s="70">
        <v>43337</v>
      </c>
      <c r="C4161" t="s">
        <v>21</v>
      </c>
      <c r="D4161" t="s">
        <v>419</v>
      </c>
      <c r="E4161" t="s">
        <v>420</v>
      </c>
      <c r="F4161">
        <v>246.81</v>
      </c>
      <c r="G4161">
        <v>0</v>
      </c>
    </row>
    <row r="4162" spans="2:7" x14ac:dyDescent="0.25">
      <c r="B4162" s="70">
        <v>43337</v>
      </c>
      <c r="C4162" t="s">
        <v>21</v>
      </c>
      <c r="D4162" t="s">
        <v>419</v>
      </c>
      <c r="E4162" t="s">
        <v>420</v>
      </c>
      <c r="F4162">
        <v>172.65</v>
      </c>
      <c r="G4162">
        <v>0</v>
      </c>
    </row>
    <row r="4163" spans="2:7" x14ac:dyDescent="0.25">
      <c r="B4163" s="70">
        <v>43337</v>
      </c>
      <c r="C4163" t="s">
        <v>21</v>
      </c>
      <c r="D4163" t="s">
        <v>419</v>
      </c>
      <c r="E4163" t="s">
        <v>420</v>
      </c>
      <c r="F4163">
        <v>306.07</v>
      </c>
      <c r="G4163">
        <v>0</v>
      </c>
    </row>
    <row r="4164" spans="2:7" x14ac:dyDescent="0.25">
      <c r="B4164" s="70">
        <v>43337</v>
      </c>
      <c r="C4164" t="s">
        <v>21</v>
      </c>
      <c r="D4164" t="s">
        <v>419</v>
      </c>
      <c r="E4164" t="s">
        <v>420</v>
      </c>
      <c r="F4164">
        <v>9.59</v>
      </c>
      <c r="G4164">
        <v>0</v>
      </c>
    </row>
    <row r="4165" spans="2:7" x14ac:dyDescent="0.25">
      <c r="B4165" s="70">
        <v>43337</v>
      </c>
      <c r="C4165" t="s">
        <v>21</v>
      </c>
      <c r="D4165" t="s">
        <v>419</v>
      </c>
      <c r="E4165" t="s">
        <v>420</v>
      </c>
      <c r="F4165">
        <v>1066.53</v>
      </c>
      <c r="G4165">
        <v>0</v>
      </c>
    </row>
    <row r="4166" spans="2:7" x14ac:dyDescent="0.25">
      <c r="B4166" s="70">
        <v>43337</v>
      </c>
      <c r="C4166" t="s">
        <v>21</v>
      </c>
      <c r="D4166" t="s">
        <v>419</v>
      </c>
      <c r="E4166" t="s">
        <v>420</v>
      </c>
      <c r="F4166">
        <v>51.17</v>
      </c>
      <c r="G4166">
        <v>0</v>
      </c>
    </row>
    <row r="4167" spans="2:7" x14ac:dyDescent="0.25">
      <c r="B4167" s="70">
        <v>43337</v>
      </c>
      <c r="C4167" t="s">
        <v>21</v>
      </c>
      <c r="D4167" t="s">
        <v>419</v>
      </c>
      <c r="E4167" t="s">
        <v>420</v>
      </c>
      <c r="F4167">
        <v>281.07</v>
      </c>
      <c r="G4167">
        <v>0</v>
      </c>
    </row>
    <row r="4168" spans="2:7" x14ac:dyDescent="0.25">
      <c r="B4168" s="70">
        <v>43337</v>
      </c>
      <c r="C4168" t="s">
        <v>21</v>
      </c>
      <c r="D4168" t="s">
        <v>419</v>
      </c>
      <c r="E4168" t="s">
        <v>420</v>
      </c>
      <c r="F4168">
        <v>53.95</v>
      </c>
      <c r="G4168">
        <v>0</v>
      </c>
    </row>
    <row r="4169" spans="2:7" x14ac:dyDescent="0.25">
      <c r="B4169" s="70">
        <v>43337</v>
      </c>
      <c r="C4169" t="s">
        <v>21</v>
      </c>
      <c r="D4169" t="s">
        <v>419</v>
      </c>
      <c r="E4169" t="s">
        <v>420</v>
      </c>
      <c r="F4169">
        <v>661.6</v>
      </c>
      <c r="G4169">
        <v>0</v>
      </c>
    </row>
    <row r="4170" spans="2:7" x14ac:dyDescent="0.25">
      <c r="B4170" s="70">
        <v>43337</v>
      </c>
      <c r="C4170" t="s">
        <v>21</v>
      </c>
      <c r="D4170" t="s">
        <v>419</v>
      </c>
      <c r="E4170" t="s">
        <v>420</v>
      </c>
      <c r="F4170">
        <v>119.59</v>
      </c>
      <c r="G4170">
        <v>0</v>
      </c>
    </row>
    <row r="4171" spans="2:7" x14ac:dyDescent="0.25">
      <c r="B4171" s="70">
        <v>43337</v>
      </c>
      <c r="C4171" t="s">
        <v>55</v>
      </c>
      <c r="D4171" t="s">
        <v>419</v>
      </c>
      <c r="E4171" t="s">
        <v>420</v>
      </c>
      <c r="F4171">
        <v>21.39</v>
      </c>
      <c r="G4171">
        <v>0</v>
      </c>
    </row>
    <row r="4172" spans="2:7" x14ac:dyDescent="0.25">
      <c r="B4172" s="70">
        <v>43337</v>
      </c>
      <c r="C4172" t="s">
        <v>50</v>
      </c>
      <c r="D4172" t="s">
        <v>419</v>
      </c>
      <c r="E4172" t="s">
        <v>420</v>
      </c>
      <c r="F4172">
        <v>3012.69</v>
      </c>
      <c r="G4172">
        <v>0</v>
      </c>
    </row>
    <row r="4173" spans="2:7" x14ac:dyDescent="0.25">
      <c r="B4173" s="70">
        <v>43337</v>
      </c>
      <c r="C4173" t="s">
        <v>52</v>
      </c>
      <c r="D4173" t="s">
        <v>419</v>
      </c>
      <c r="E4173" t="s">
        <v>420</v>
      </c>
      <c r="F4173">
        <v>120.7</v>
      </c>
      <c r="G4173">
        <v>0</v>
      </c>
    </row>
    <row r="4174" spans="2:7" x14ac:dyDescent="0.25">
      <c r="B4174" s="70">
        <v>43337</v>
      </c>
      <c r="C4174" t="s">
        <v>24</v>
      </c>
      <c r="D4174" t="s">
        <v>419</v>
      </c>
      <c r="E4174" t="s">
        <v>420</v>
      </c>
      <c r="F4174">
        <v>29.35</v>
      </c>
      <c r="G4174">
        <v>0</v>
      </c>
    </row>
    <row r="4175" spans="2:7" x14ac:dyDescent="0.25">
      <c r="B4175" s="70">
        <v>43337</v>
      </c>
      <c r="C4175" t="s">
        <v>24</v>
      </c>
      <c r="D4175" t="s">
        <v>419</v>
      </c>
      <c r="E4175" t="s">
        <v>420</v>
      </c>
      <c r="F4175">
        <v>55.37</v>
      </c>
      <c r="G4175">
        <v>0</v>
      </c>
    </row>
    <row r="4176" spans="2:7" x14ac:dyDescent="0.25">
      <c r="B4176" s="70">
        <v>43337</v>
      </c>
      <c r="C4176" t="s">
        <v>24</v>
      </c>
      <c r="D4176" t="s">
        <v>419</v>
      </c>
      <c r="E4176" t="s">
        <v>420</v>
      </c>
      <c r="F4176">
        <v>30.92</v>
      </c>
      <c r="G4176">
        <v>0</v>
      </c>
    </row>
    <row r="4177" spans="2:7" x14ac:dyDescent="0.25">
      <c r="B4177" s="70">
        <v>43337</v>
      </c>
      <c r="C4177" t="s">
        <v>24</v>
      </c>
      <c r="D4177" t="s">
        <v>419</v>
      </c>
      <c r="E4177" t="s">
        <v>420</v>
      </c>
      <c r="F4177">
        <v>43.81</v>
      </c>
      <c r="G4177">
        <v>0</v>
      </c>
    </row>
    <row r="4178" spans="2:7" x14ac:dyDescent="0.25">
      <c r="B4178" s="70">
        <v>43337</v>
      </c>
      <c r="C4178" t="s">
        <v>24</v>
      </c>
      <c r="D4178" t="s">
        <v>419</v>
      </c>
      <c r="E4178" t="s">
        <v>420</v>
      </c>
      <c r="F4178">
        <v>49.7</v>
      </c>
      <c r="G4178">
        <v>0</v>
      </c>
    </row>
    <row r="4179" spans="2:7" x14ac:dyDescent="0.25">
      <c r="B4179" s="70">
        <v>43337</v>
      </c>
      <c r="C4179" t="s">
        <v>24</v>
      </c>
      <c r="D4179" t="s">
        <v>419</v>
      </c>
      <c r="E4179" t="s">
        <v>420</v>
      </c>
      <c r="F4179">
        <v>52.49</v>
      </c>
      <c r="G4179">
        <v>0</v>
      </c>
    </row>
    <row r="4180" spans="2:7" x14ac:dyDescent="0.25">
      <c r="B4180" s="70">
        <v>43337</v>
      </c>
      <c r="C4180" t="s">
        <v>24</v>
      </c>
      <c r="D4180" t="s">
        <v>419</v>
      </c>
      <c r="E4180" t="s">
        <v>420</v>
      </c>
      <c r="F4180">
        <v>24.92</v>
      </c>
      <c r="G4180">
        <v>0</v>
      </c>
    </row>
    <row r="4181" spans="2:7" x14ac:dyDescent="0.25">
      <c r="B4181" s="70">
        <v>43337</v>
      </c>
      <c r="C4181" t="s">
        <v>24</v>
      </c>
      <c r="D4181" t="s">
        <v>419</v>
      </c>
      <c r="E4181" t="s">
        <v>420</v>
      </c>
      <c r="F4181">
        <v>13.86</v>
      </c>
      <c r="G4181">
        <v>0</v>
      </c>
    </row>
    <row r="4182" spans="2:7" x14ac:dyDescent="0.25">
      <c r="B4182" s="70">
        <v>43337</v>
      </c>
      <c r="C4182" t="s">
        <v>24</v>
      </c>
      <c r="D4182" t="s">
        <v>419</v>
      </c>
      <c r="E4182" t="s">
        <v>420</v>
      </c>
      <c r="F4182">
        <v>77.28</v>
      </c>
      <c r="G4182">
        <v>0</v>
      </c>
    </row>
    <row r="4183" spans="2:7" x14ac:dyDescent="0.25">
      <c r="B4183" s="70">
        <v>43337</v>
      </c>
      <c r="C4183" t="s">
        <v>24</v>
      </c>
      <c r="D4183" t="s">
        <v>419</v>
      </c>
      <c r="E4183" t="s">
        <v>420</v>
      </c>
      <c r="F4183">
        <v>28.06</v>
      </c>
      <c r="G4183">
        <v>0</v>
      </c>
    </row>
    <row r="4184" spans="2:7" x14ac:dyDescent="0.25">
      <c r="B4184" s="70">
        <v>43337</v>
      </c>
      <c r="C4184" t="s">
        <v>24</v>
      </c>
      <c r="D4184" t="s">
        <v>419</v>
      </c>
      <c r="E4184" t="s">
        <v>420</v>
      </c>
      <c r="F4184">
        <v>15.39</v>
      </c>
      <c r="G4184">
        <v>0</v>
      </c>
    </row>
    <row r="4185" spans="2:7" x14ac:dyDescent="0.25">
      <c r="B4185" s="70">
        <v>43337</v>
      </c>
      <c r="C4185" t="s">
        <v>60</v>
      </c>
      <c r="D4185" t="s">
        <v>419</v>
      </c>
      <c r="E4185" t="s">
        <v>420</v>
      </c>
      <c r="F4185">
        <v>488.12</v>
      </c>
      <c r="G4185">
        <v>0</v>
      </c>
    </row>
    <row r="4186" spans="2:7" x14ac:dyDescent="0.25">
      <c r="B4186" s="70">
        <v>43368</v>
      </c>
      <c r="C4186" t="s">
        <v>25</v>
      </c>
      <c r="D4186" t="s">
        <v>81</v>
      </c>
      <c r="E4186" t="s">
        <v>173</v>
      </c>
      <c r="F4186">
        <v>10.7</v>
      </c>
      <c r="G4186">
        <v>0</v>
      </c>
    </row>
    <row r="4187" spans="2:7" x14ac:dyDescent="0.25">
      <c r="B4187" s="70">
        <v>43368</v>
      </c>
      <c r="C4187" t="s">
        <v>25</v>
      </c>
      <c r="D4187" t="s">
        <v>81</v>
      </c>
      <c r="E4187" t="s">
        <v>135</v>
      </c>
      <c r="F4187">
        <v>2.25</v>
      </c>
      <c r="G4187">
        <v>0</v>
      </c>
    </row>
    <row r="4188" spans="2:7" x14ac:dyDescent="0.25">
      <c r="B4188" s="70">
        <v>43368</v>
      </c>
      <c r="C4188" t="s">
        <v>25</v>
      </c>
      <c r="D4188" t="s">
        <v>81</v>
      </c>
      <c r="E4188" t="s">
        <v>169</v>
      </c>
      <c r="F4188">
        <v>2.25</v>
      </c>
      <c r="G4188">
        <v>0</v>
      </c>
    </row>
    <row r="4189" spans="2:7" x14ac:dyDescent="0.25">
      <c r="B4189" s="70">
        <v>43368</v>
      </c>
      <c r="C4189" t="s">
        <v>25</v>
      </c>
      <c r="D4189" t="s">
        <v>81</v>
      </c>
      <c r="E4189" t="s">
        <v>132</v>
      </c>
      <c r="F4189">
        <v>1.8</v>
      </c>
      <c r="G4189">
        <v>0</v>
      </c>
    </row>
    <row r="4190" spans="2:7" x14ac:dyDescent="0.25">
      <c r="B4190" s="70">
        <v>43368</v>
      </c>
      <c r="C4190" t="s">
        <v>25</v>
      </c>
      <c r="D4190" t="s">
        <v>421</v>
      </c>
      <c r="E4190" t="s">
        <v>422</v>
      </c>
      <c r="F4190">
        <v>4.6399999999999997</v>
      </c>
      <c r="G4190">
        <v>0</v>
      </c>
    </row>
    <row r="4191" spans="2:7" x14ac:dyDescent="0.25">
      <c r="B4191" s="70">
        <v>43368</v>
      </c>
      <c r="C4191" t="s">
        <v>25</v>
      </c>
      <c r="D4191" t="s">
        <v>421</v>
      </c>
      <c r="E4191" t="s">
        <v>422</v>
      </c>
      <c r="F4191">
        <v>33.21</v>
      </c>
      <c r="G4191">
        <v>0</v>
      </c>
    </row>
    <row r="4192" spans="2:7" x14ac:dyDescent="0.25">
      <c r="B4192" s="70">
        <v>43368</v>
      </c>
      <c r="C4192" t="s">
        <v>25</v>
      </c>
      <c r="D4192" t="s">
        <v>421</v>
      </c>
      <c r="E4192" t="s">
        <v>422</v>
      </c>
      <c r="F4192">
        <v>153.78</v>
      </c>
      <c r="G4192">
        <v>0</v>
      </c>
    </row>
    <row r="4193" spans="2:7" x14ac:dyDescent="0.25">
      <c r="B4193" s="70">
        <v>43368</v>
      </c>
      <c r="C4193" t="s">
        <v>54</v>
      </c>
      <c r="D4193" t="s">
        <v>421</v>
      </c>
      <c r="E4193" t="s">
        <v>422</v>
      </c>
      <c r="F4193">
        <v>513.04999999999995</v>
      </c>
      <c r="G4193">
        <v>0</v>
      </c>
    </row>
    <row r="4194" spans="2:7" x14ac:dyDescent="0.25">
      <c r="B4194" s="70">
        <v>43368</v>
      </c>
      <c r="C4194" t="s">
        <v>46</v>
      </c>
      <c r="D4194" t="s">
        <v>421</v>
      </c>
      <c r="E4194" t="s">
        <v>422</v>
      </c>
      <c r="F4194">
        <v>66.36</v>
      </c>
      <c r="G4194">
        <v>0</v>
      </c>
    </row>
    <row r="4195" spans="2:7" x14ac:dyDescent="0.25">
      <c r="B4195" s="70">
        <v>43368</v>
      </c>
      <c r="C4195" t="s">
        <v>21</v>
      </c>
      <c r="D4195" t="s">
        <v>79</v>
      </c>
      <c r="E4195" t="s">
        <v>423</v>
      </c>
      <c r="F4195">
        <v>8</v>
      </c>
      <c r="G4195">
        <v>0</v>
      </c>
    </row>
    <row r="4196" spans="2:7" x14ac:dyDescent="0.25">
      <c r="B4196" s="70">
        <v>43368</v>
      </c>
      <c r="C4196" t="s">
        <v>21</v>
      </c>
      <c r="D4196" t="s">
        <v>421</v>
      </c>
      <c r="E4196" t="s">
        <v>422</v>
      </c>
      <c r="F4196">
        <v>17</v>
      </c>
      <c r="G4196">
        <v>0</v>
      </c>
    </row>
    <row r="4197" spans="2:7" x14ac:dyDescent="0.25">
      <c r="B4197" s="70">
        <v>43368</v>
      </c>
      <c r="C4197" t="s">
        <v>21</v>
      </c>
      <c r="D4197" t="s">
        <v>421</v>
      </c>
      <c r="E4197" t="s">
        <v>422</v>
      </c>
      <c r="F4197">
        <v>24.25</v>
      </c>
      <c r="G4197">
        <v>0</v>
      </c>
    </row>
    <row r="4198" spans="2:7" x14ac:dyDescent="0.25">
      <c r="B4198" s="70">
        <v>43368</v>
      </c>
      <c r="C4198" t="s">
        <v>21</v>
      </c>
      <c r="D4198" t="s">
        <v>421</v>
      </c>
      <c r="E4198" t="s">
        <v>422</v>
      </c>
      <c r="F4198">
        <v>35.75</v>
      </c>
      <c r="G4198">
        <v>0</v>
      </c>
    </row>
    <row r="4199" spans="2:7" x14ac:dyDescent="0.25">
      <c r="B4199" s="70">
        <v>43368</v>
      </c>
      <c r="C4199" t="s">
        <v>21</v>
      </c>
      <c r="D4199" t="s">
        <v>421</v>
      </c>
      <c r="E4199" t="s">
        <v>422</v>
      </c>
      <c r="F4199">
        <v>36.590000000000003</v>
      </c>
      <c r="G4199">
        <v>0</v>
      </c>
    </row>
    <row r="4200" spans="2:7" x14ac:dyDescent="0.25">
      <c r="B4200" s="70">
        <v>43368</v>
      </c>
      <c r="C4200" t="s">
        <v>21</v>
      </c>
      <c r="D4200" t="s">
        <v>421</v>
      </c>
      <c r="E4200" t="s">
        <v>422</v>
      </c>
      <c r="F4200">
        <v>42.03</v>
      </c>
      <c r="G4200">
        <v>0</v>
      </c>
    </row>
    <row r="4201" spans="2:7" x14ac:dyDescent="0.25">
      <c r="B4201" s="70">
        <v>43368</v>
      </c>
      <c r="C4201" t="s">
        <v>21</v>
      </c>
      <c r="D4201" t="s">
        <v>421</v>
      </c>
      <c r="E4201" t="s">
        <v>422</v>
      </c>
      <c r="F4201">
        <v>297.5</v>
      </c>
      <c r="G4201">
        <v>0</v>
      </c>
    </row>
    <row r="4202" spans="2:7" x14ac:dyDescent="0.25">
      <c r="B4202" s="70">
        <v>43368</v>
      </c>
      <c r="C4202" t="s">
        <v>21</v>
      </c>
      <c r="D4202" t="s">
        <v>421</v>
      </c>
      <c r="E4202" t="s">
        <v>422</v>
      </c>
      <c r="F4202">
        <v>31.39</v>
      </c>
      <c r="G4202">
        <v>0</v>
      </c>
    </row>
    <row r="4203" spans="2:7" x14ac:dyDescent="0.25">
      <c r="B4203" s="70">
        <v>43368</v>
      </c>
      <c r="C4203" t="s">
        <v>21</v>
      </c>
      <c r="D4203" t="s">
        <v>421</v>
      </c>
      <c r="E4203" t="s">
        <v>422</v>
      </c>
      <c r="F4203">
        <v>83.09</v>
      </c>
      <c r="G4203">
        <v>0</v>
      </c>
    </row>
    <row r="4204" spans="2:7" x14ac:dyDescent="0.25">
      <c r="B4204" s="70">
        <v>43368</v>
      </c>
      <c r="C4204" t="s">
        <v>21</v>
      </c>
      <c r="D4204" t="s">
        <v>421</v>
      </c>
      <c r="E4204" t="s">
        <v>422</v>
      </c>
      <c r="F4204">
        <v>1220.46</v>
      </c>
      <c r="G4204">
        <v>0</v>
      </c>
    </row>
    <row r="4205" spans="2:7" x14ac:dyDescent="0.25">
      <c r="B4205" s="70">
        <v>43368</v>
      </c>
      <c r="C4205" t="s">
        <v>21</v>
      </c>
      <c r="D4205" t="s">
        <v>421</v>
      </c>
      <c r="E4205" t="s">
        <v>422</v>
      </c>
      <c r="F4205">
        <v>295.95</v>
      </c>
      <c r="G4205">
        <v>0</v>
      </c>
    </row>
    <row r="4206" spans="2:7" x14ac:dyDescent="0.25">
      <c r="B4206" s="70">
        <v>43368</v>
      </c>
      <c r="C4206" t="s">
        <v>21</v>
      </c>
      <c r="D4206" t="s">
        <v>421</v>
      </c>
      <c r="E4206" t="s">
        <v>422</v>
      </c>
      <c r="F4206">
        <v>1086.4000000000001</v>
      </c>
      <c r="G4206">
        <v>0</v>
      </c>
    </row>
    <row r="4207" spans="2:7" x14ac:dyDescent="0.25">
      <c r="B4207" s="70">
        <v>43368</v>
      </c>
      <c r="C4207" t="s">
        <v>21</v>
      </c>
      <c r="D4207" t="s">
        <v>421</v>
      </c>
      <c r="E4207" t="s">
        <v>422</v>
      </c>
      <c r="F4207">
        <v>28.09</v>
      </c>
      <c r="G4207">
        <v>0</v>
      </c>
    </row>
    <row r="4208" spans="2:7" x14ac:dyDescent="0.25">
      <c r="B4208" s="70">
        <v>43368</v>
      </c>
      <c r="C4208" t="s">
        <v>21</v>
      </c>
      <c r="D4208" t="s">
        <v>421</v>
      </c>
      <c r="E4208" t="s">
        <v>422</v>
      </c>
      <c r="F4208">
        <v>120.64</v>
      </c>
      <c r="G4208">
        <v>0</v>
      </c>
    </row>
    <row r="4209" spans="2:7" x14ac:dyDescent="0.25">
      <c r="B4209" s="70">
        <v>43368</v>
      </c>
      <c r="C4209" t="s">
        <v>21</v>
      </c>
      <c r="D4209" t="s">
        <v>421</v>
      </c>
      <c r="E4209" t="s">
        <v>422</v>
      </c>
      <c r="F4209">
        <v>1092.69</v>
      </c>
      <c r="G4209">
        <v>0</v>
      </c>
    </row>
    <row r="4210" spans="2:7" x14ac:dyDescent="0.25">
      <c r="B4210" s="70">
        <v>43368</v>
      </c>
      <c r="C4210" t="s">
        <v>21</v>
      </c>
      <c r="D4210" t="s">
        <v>421</v>
      </c>
      <c r="E4210" t="s">
        <v>422</v>
      </c>
      <c r="F4210">
        <v>653.11</v>
      </c>
      <c r="G4210">
        <v>0</v>
      </c>
    </row>
    <row r="4211" spans="2:7" x14ac:dyDescent="0.25">
      <c r="B4211" s="70">
        <v>43368</v>
      </c>
      <c r="C4211" t="s">
        <v>21</v>
      </c>
      <c r="D4211" t="s">
        <v>421</v>
      </c>
      <c r="E4211" t="s">
        <v>422</v>
      </c>
      <c r="F4211">
        <v>1197.99</v>
      </c>
      <c r="G4211">
        <v>0</v>
      </c>
    </row>
    <row r="4212" spans="2:7" x14ac:dyDescent="0.25">
      <c r="B4212" s="70">
        <v>43368</v>
      </c>
      <c r="C4212" t="s">
        <v>21</v>
      </c>
      <c r="D4212" t="s">
        <v>421</v>
      </c>
      <c r="E4212" t="s">
        <v>422</v>
      </c>
      <c r="F4212">
        <v>607.30999999999995</v>
      </c>
      <c r="G4212">
        <v>0</v>
      </c>
    </row>
    <row r="4213" spans="2:7" x14ac:dyDescent="0.25">
      <c r="B4213" s="70">
        <v>43368</v>
      </c>
      <c r="C4213" t="s">
        <v>21</v>
      </c>
      <c r="D4213" t="s">
        <v>421</v>
      </c>
      <c r="E4213" t="s">
        <v>422</v>
      </c>
      <c r="F4213">
        <v>591.12</v>
      </c>
      <c r="G4213">
        <v>0</v>
      </c>
    </row>
    <row r="4214" spans="2:7" x14ac:dyDescent="0.25">
      <c r="B4214" s="70">
        <v>43368</v>
      </c>
      <c r="C4214" t="s">
        <v>21</v>
      </c>
      <c r="D4214" t="s">
        <v>421</v>
      </c>
      <c r="E4214" t="s">
        <v>422</v>
      </c>
      <c r="F4214">
        <v>190.22</v>
      </c>
      <c r="G4214">
        <v>0</v>
      </c>
    </row>
    <row r="4215" spans="2:7" x14ac:dyDescent="0.25">
      <c r="B4215" s="70">
        <v>43368</v>
      </c>
      <c r="C4215" t="s">
        <v>21</v>
      </c>
      <c r="D4215" t="s">
        <v>421</v>
      </c>
      <c r="E4215" t="s">
        <v>422</v>
      </c>
      <c r="F4215">
        <v>396.15</v>
      </c>
      <c r="G4215">
        <v>0</v>
      </c>
    </row>
    <row r="4216" spans="2:7" x14ac:dyDescent="0.25">
      <c r="B4216" s="70">
        <v>43368</v>
      </c>
      <c r="C4216" t="s">
        <v>21</v>
      </c>
      <c r="D4216" t="s">
        <v>421</v>
      </c>
      <c r="E4216" t="s">
        <v>422</v>
      </c>
      <c r="F4216">
        <v>465.99</v>
      </c>
      <c r="G4216">
        <v>0</v>
      </c>
    </row>
    <row r="4217" spans="2:7" x14ac:dyDescent="0.25">
      <c r="B4217" s="70">
        <v>43368</v>
      </c>
      <c r="C4217" t="s">
        <v>21</v>
      </c>
      <c r="D4217" t="s">
        <v>421</v>
      </c>
      <c r="E4217" t="s">
        <v>422</v>
      </c>
      <c r="F4217">
        <v>111.56</v>
      </c>
      <c r="G4217">
        <v>0</v>
      </c>
    </row>
    <row r="4218" spans="2:7" x14ac:dyDescent="0.25">
      <c r="B4218" s="70">
        <v>43368</v>
      </c>
      <c r="C4218" t="s">
        <v>21</v>
      </c>
      <c r="D4218" t="s">
        <v>421</v>
      </c>
      <c r="E4218" t="s">
        <v>422</v>
      </c>
      <c r="F4218">
        <v>278.27</v>
      </c>
      <c r="G4218">
        <v>0</v>
      </c>
    </row>
    <row r="4219" spans="2:7" x14ac:dyDescent="0.25">
      <c r="B4219" s="70">
        <v>43368</v>
      </c>
      <c r="C4219" t="s">
        <v>21</v>
      </c>
      <c r="D4219" t="s">
        <v>421</v>
      </c>
      <c r="E4219" t="s">
        <v>422</v>
      </c>
      <c r="F4219">
        <v>138.18</v>
      </c>
      <c r="G4219">
        <v>0</v>
      </c>
    </row>
    <row r="4220" spans="2:7" x14ac:dyDescent="0.25">
      <c r="B4220" s="70">
        <v>43368</v>
      </c>
      <c r="C4220" t="s">
        <v>21</v>
      </c>
      <c r="D4220" t="s">
        <v>421</v>
      </c>
      <c r="E4220" t="s">
        <v>422</v>
      </c>
      <c r="F4220">
        <v>298.35000000000002</v>
      </c>
      <c r="G4220">
        <v>0</v>
      </c>
    </row>
    <row r="4221" spans="2:7" x14ac:dyDescent="0.25">
      <c r="B4221" s="70">
        <v>43368</v>
      </c>
      <c r="C4221" t="s">
        <v>21</v>
      </c>
      <c r="D4221" t="s">
        <v>421</v>
      </c>
      <c r="E4221" t="s">
        <v>422</v>
      </c>
      <c r="F4221">
        <v>23.96</v>
      </c>
      <c r="G4221">
        <v>0</v>
      </c>
    </row>
    <row r="4222" spans="2:7" x14ac:dyDescent="0.25">
      <c r="B4222" s="70">
        <v>43368</v>
      </c>
      <c r="C4222" t="s">
        <v>21</v>
      </c>
      <c r="D4222" t="s">
        <v>421</v>
      </c>
      <c r="E4222" t="s">
        <v>422</v>
      </c>
      <c r="F4222">
        <v>852.46</v>
      </c>
      <c r="G4222">
        <v>0</v>
      </c>
    </row>
    <row r="4223" spans="2:7" x14ac:dyDescent="0.25">
      <c r="B4223" s="70">
        <v>43368</v>
      </c>
      <c r="C4223" t="s">
        <v>21</v>
      </c>
      <c r="D4223" t="s">
        <v>421</v>
      </c>
      <c r="E4223" t="s">
        <v>422</v>
      </c>
      <c r="F4223">
        <v>64.41</v>
      </c>
      <c r="G4223">
        <v>0</v>
      </c>
    </row>
    <row r="4224" spans="2:7" x14ac:dyDescent="0.25">
      <c r="B4224" s="70">
        <v>43368</v>
      </c>
      <c r="C4224" t="s">
        <v>21</v>
      </c>
      <c r="D4224" t="s">
        <v>421</v>
      </c>
      <c r="E4224" t="s">
        <v>422</v>
      </c>
      <c r="F4224">
        <v>566.08000000000004</v>
      </c>
      <c r="G4224">
        <v>0</v>
      </c>
    </row>
    <row r="4225" spans="2:7" x14ac:dyDescent="0.25">
      <c r="B4225" s="70">
        <v>43368</v>
      </c>
      <c r="C4225" t="s">
        <v>21</v>
      </c>
      <c r="D4225" t="s">
        <v>421</v>
      </c>
      <c r="E4225" t="s">
        <v>422</v>
      </c>
      <c r="F4225">
        <v>14.52</v>
      </c>
      <c r="G4225">
        <v>0</v>
      </c>
    </row>
    <row r="4226" spans="2:7" x14ac:dyDescent="0.25">
      <c r="B4226" s="70">
        <v>43368</v>
      </c>
      <c r="C4226" t="s">
        <v>21</v>
      </c>
      <c r="D4226" t="s">
        <v>421</v>
      </c>
      <c r="E4226" t="s">
        <v>422</v>
      </c>
      <c r="F4226">
        <v>16.46</v>
      </c>
      <c r="G4226">
        <v>0</v>
      </c>
    </row>
    <row r="4227" spans="2:7" x14ac:dyDescent="0.25">
      <c r="B4227" s="70">
        <v>43368</v>
      </c>
      <c r="C4227" t="s">
        <v>21</v>
      </c>
      <c r="D4227" t="s">
        <v>421</v>
      </c>
      <c r="E4227" t="s">
        <v>422</v>
      </c>
      <c r="F4227">
        <v>50.21</v>
      </c>
      <c r="G4227">
        <v>0</v>
      </c>
    </row>
    <row r="4228" spans="2:7" x14ac:dyDescent="0.25">
      <c r="B4228" s="70">
        <v>43368</v>
      </c>
      <c r="C4228" t="s">
        <v>21</v>
      </c>
      <c r="D4228" t="s">
        <v>421</v>
      </c>
      <c r="E4228" t="s">
        <v>422</v>
      </c>
      <c r="F4228">
        <v>39.68</v>
      </c>
      <c r="G4228">
        <v>0</v>
      </c>
    </row>
    <row r="4229" spans="2:7" x14ac:dyDescent="0.25">
      <c r="B4229" s="70">
        <v>43368</v>
      </c>
      <c r="C4229" t="s">
        <v>66</v>
      </c>
      <c r="D4229" t="s">
        <v>91</v>
      </c>
      <c r="E4229" t="s">
        <v>423</v>
      </c>
      <c r="F4229">
        <v>101.44</v>
      </c>
      <c r="G4229">
        <v>0</v>
      </c>
    </row>
    <row r="4230" spans="2:7" x14ac:dyDescent="0.25">
      <c r="B4230" s="70">
        <v>43368</v>
      </c>
      <c r="C4230" t="s">
        <v>48</v>
      </c>
      <c r="D4230" t="s">
        <v>421</v>
      </c>
      <c r="E4230" t="s">
        <v>422</v>
      </c>
      <c r="F4230">
        <v>571.72</v>
      </c>
      <c r="G4230">
        <v>0</v>
      </c>
    </row>
    <row r="4231" spans="2:7" x14ac:dyDescent="0.25">
      <c r="B4231" s="70">
        <v>43368</v>
      </c>
      <c r="C4231" t="s">
        <v>55</v>
      </c>
      <c r="D4231" t="s">
        <v>421</v>
      </c>
      <c r="E4231" t="s">
        <v>422</v>
      </c>
      <c r="F4231">
        <v>64.95</v>
      </c>
      <c r="G4231">
        <v>0</v>
      </c>
    </row>
    <row r="4232" spans="2:7" x14ac:dyDescent="0.25">
      <c r="B4232" s="70">
        <v>43368</v>
      </c>
      <c r="C4232" t="s">
        <v>45</v>
      </c>
      <c r="D4232" t="s">
        <v>79</v>
      </c>
      <c r="E4232" t="s">
        <v>423</v>
      </c>
      <c r="F4232">
        <v>376.16</v>
      </c>
      <c r="G4232">
        <v>0</v>
      </c>
    </row>
    <row r="4233" spans="2:7" x14ac:dyDescent="0.25">
      <c r="B4233" s="70">
        <v>43368</v>
      </c>
      <c r="C4233" t="s">
        <v>45</v>
      </c>
      <c r="D4233" t="s">
        <v>85</v>
      </c>
      <c r="E4233" t="s">
        <v>423</v>
      </c>
      <c r="F4233">
        <v>26</v>
      </c>
      <c r="G4233">
        <v>0</v>
      </c>
    </row>
    <row r="4234" spans="2:7" x14ac:dyDescent="0.25">
      <c r="B4234" s="70">
        <v>43368</v>
      </c>
      <c r="C4234" t="s">
        <v>45</v>
      </c>
      <c r="D4234" t="s">
        <v>91</v>
      </c>
      <c r="E4234" t="s">
        <v>423</v>
      </c>
      <c r="F4234">
        <v>201.99</v>
      </c>
      <c r="G4234">
        <v>0</v>
      </c>
    </row>
    <row r="4235" spans="2:7" x14ac:dyDescent="0.25">
      <c r="B4235" s="70">
        <v>43368</v>
      </c>
      <c r="C4235" t="s">
        <v>45</v>
      </c>
      <c r="D4235" t="s">
        <v>421</v>
      </c>
      <c r="E4235" t="s">
        <v>422</v>
      </c>
      <c r="F4235">
        <v>283.48</v>
      </c>
      <c r="G4235">
        <v>0</v>
      </c>
    </row>
    <row r="4236" spans="2:7" x14ac:dyDescent="0.25">
      <c r="B4236" s="70">
        <v>43368</v>
      </c>
      <c r="C4236" t="s">
        <v>49</v>
      </c>
      <c r="D4236" t="s">
        <v>421</v>
      </c>
      <c r="E4236" t="s">
        <v>422</v>
      </c>
      <c r="F4236">
        <v>1650.01</v>
      </c>
      <c r="G4236">
        <v>0</v>
      </c>
    </row>
    <row r="4237" spans="2:7" x14ac:dyDescent="0.25">
      <c r="B4237" s="70">
        <v>43368</v>
      </c>
      <c r="C4237" t="s">
        <v>50</v>
      </c>
      <c r="D4237" t="s">
        <v>421</v>
      </c>
      <c r="E4237" t="s">
        <v>422</v>
      </c>
      <c r="F4237">
        <v>3781.53</v>
      </c>
      <c r="G4237">
        <v>0</v>
      </c>
    </row>
    <row r="4238" spans="2:7" x14ac:dyDescent="0.25">
      <c r="B4238" s="70">
        <v>43368</v>
      </c>
      <c r="C4238" t="s">
        <v>52</v>
      </c>
      <c r="D4238" t="s">
        <v>421</v>
      </c>
      <c r="E4238" t="s">
        <v>422</v>
      </c>
      <c r="F4238">
        <v>437.8</v>
      </c>
      <c r="G4238">
        <v>0</v>
      </c>
    </row>
    <row r="4239" spans="2:7" x14ac:dyDescent="0.25">
      <c r="B4239" s="70">
        <v>43368</v>
      </c>
      <c r="C4239" t="s">
        <v>58</v>
      </c>
      <c r="D4239" t="s">
        <v>79</v>
      </c>
      <c r="E4239" t="s">
        <v>423</v>
      </c>
      <c r="F4239">
        <v>15</v>
      </c>
      <c r="G4239">
        <v>0</v>
      </c>
    </row>
    <row r="4240" spans="2:7" x14ac:dyDescent="0.25">
      <c r="B4240" s="70">
        <v>43368</v>
      </c>
      <c r="C4240" t="s">
        <v>24</v>
      </c>
      <c r="D4240" t="s">
        <v>79</v>
      </c>
      <c r="E4240" t="s">
        <v>423</v>
      </c>
      <c r="F4240">
        <v>8</v>
      </c>
      <c r="G4240">
        <v>0</v>
      </c>
    </row>
    <row r="4241" spans="2:7" x14ac:dyDescent="0.25">
      <c r="B4241" s="70">
        <v>43368</v>
      </c>
      <c r="C4241" t="s">
        <v>24</v>
      </c>
      <c r="D4241" t="s">
        <v>421</v>
      </c>
      <c r="E4241" t="s">
        <v>422</v>
      </c>
      <c r="F4241">
        <v>13.38</v>
      </c>
      <c r="G4241">
        <v>0</v>
      </c>
    </row>
    <row r="4242" spans="2:7" x14ac:dyDescent="0.25">
      <c r="B4242" s="70">
        <v>43368</v>
      </c>
      <c r="C4242" t="s">
        <v>24</v>
      </c>
      <c r="D4242" t="s">
        <v>421</v>
      </c>
      <c r="E4242" t="s">
        <v>422</v>
      </c>
      <c r="F4242">
        <v>27.45</v>
      </c>
      <c r="G4242">
        <v>0</v>
      </c>
    </row>
    <row r="4243" spans="2:7" x14ac:dyDescent="0.25">
      <c r="B4243" s="70">
        <v>43368</v>
      </c>
      <c r="C4243" t="s">
        <v>24</v>
      </c>
      <c r="D4243" t="s">
        <v>421</v>
      </c>
      <c r="E4243" t="s">
        <v>422</v>
      </c>
      <c r="F4243">
        <v>26.82</v>
      </c>
      <c r="G4243">
        <v>0</v>
      </c>
    </row>
    <row r="4244" spans="2:7" x14ac:dyDescent="0.25">
      <c r="B4244" s="70">
        <v>43368</v>
      </c>
      <c r="C4244" t="s">
        <v>24</v>
      </c>
      <c r="D4244" t="s">
        <v>421</v>
      </c>
      <c r="E4244" t="s">
        <v>422</v>
      </c>
      <c r="F4244">
        <v>12.87</v>
      </c>
      <c r="G4244">
        <v>0</v>
      </c>
    </row>
    <row r="4245" spans="2:7" x14ac:dyDescent="0.25">
      <c r="B4245" s="70">
        <v>43368</v>
      </c>
      <c r="C4245" t="s">
        <v>24</v>
      </c>
      <c r="D4245" t="s">
        <v>421</v>
      </c>
      <c r="E4245" t="s">
        <v>422</v>
      </c>
      <c r="F4245">
        <v>5.63</v>
      </c>
      <c r="G4245">
        <v>0</v>
      </c>
    </row>
    <row r="4246" spans="2:7" x14ac:dyDescent="0.25">
      <c r="B4246" s="70">
        <v>43368</v>
      </c>
      <c r="C4246" t="s">
        <v>24</v>
      </c>
      <c r="D4246" t="s">
        <v>421</v>
      </c>
      <c r="E4246" t="s">
        <v>422</v>
      </c>
      <c r="F4246">
        <v>28.7</v>
      </c>
      <c r="G4246">
        <v>0</v>
      </c>
    </row>
    <row r="4247" spans="2:7" x14ac:dyDescent="0.25">
      <c r="B4247" s="70">
        <v>43368</v>
      </c>
      <c r="C4247" t="s">
        <v>24</v>
      </c>
      <c r="D4247" t="s">
        <v>421</v>
      </c>
      <c r="E4247" t="s">
        <v>422</v>
      </c>
      <c r="F4247">
        <v>23.08</v>
      </c>
      <c r="G4247">
        <v>0</v>
      </c>
    </row>
    <row r="4248" spans="2:7" x14ac:dyDescent="0.25">
      <c r="B4248" s="70">
        <v>43368</v>
      </c>
      <c r="C4248" t="s">
        <v>24</v>
      </c>
      <c r="D4248" t="s">
        <v>421</v>
      </c>
      <c r="E4248" t="s">
        <v>422</v>
      </c>
      <c r="F4248">
        <v>33.92</v>
      </c>
      <c r="G4248">
        <v>0</v>
      </c>
    </row>
    <row r="4249" spans="2:7" x14ac:dyDescent="0.25">
      <c r="B4249" s="70">
        <v>43368</v>
      </c>
      <c r="C4249" t="s">
        <v>24</v>
      </c>
      <c r="D4249" t="s">
        <v>421</v>
      </c>
      <c r="E4249" t="s">
        <v>422</v>
      </c>
      <c r="F4249">
        <v>26.86</v>
      </c>
      <c r="G4249">
        <v>0</v>
      </c>
    </row>
    <row r="4250" spans="2:7" x14ac:dyDescent="0.25">
      <c r="B4250" s="70">
        <v>43368</v>
      </c>
      <c r="C4250" t="s">
        <v>24</v>
      </c>
      <c r="D4250" t="s">
        <v>421</v>
      </c>
      <c r="E4250" t="s">
        <v>422</v>
      </c>
      <c r="F4250">
        <v>32.17</v>
      </c>
      <c r="G4250">
        <v>0</v>
      </c>
    </row>
    <row r="4251" spans="2:7" x14ac:dyDescent="0.25">
      <c r="B4251" s="70">
        <v>43368</v>
      </c>
      <c r="C4251" t="s">
        <v>24</v>
      </c>
      <c r="D4251" t="s">
        <v>421</v>
      </c>
      <c r="E4251" t="s">
        <v>422</v>
      </c>
      <c r="F4251">
        <v>28.78</v>
      </c>
      <c r="G4251">
        <v>0</v>
      </c>
    </row>
    <row r="4252" spans="2:7" x14ac:dyDescent="0.25">
      <c r="B4252" s="70">
        <v>43368</v>
      </c>
      <c r="C4252" t="s">
        <v>24</v>
      </c>
      <c r="D4252" t="s">
        <v>421</v>
      </c>
      <c r="E4252" t="s">
        <v>422</v>
      </c>
      <c r="F4252">
        <v>50.06</v>
      </c>
      <c r="G4252">
        <v>0</v>
      </c>
    </row>
    <row r="4253" spans="2:7" x14ac:dyDescent="0.25">
      <c r="B4253" s="70">
        <v>43368</v>
      </c>
      <c r="C4253" t="s">
        <v>24</v>
      </c>
      <c r="D4253" t="s">
        <v>421</v>
      </c>
      <c r="E4253" t="s">
        <v>422</v>
      </c>
      <c r="F4253">
        <v>25.91</v>
      </c>
      <c r="G4253">
        <v>0</v>
      </c>
    </row>
    <row r="4254" spans="2:7" x14ac:dyDescent="0.25">
      <c r="B4254" s="70">
        <v>43368</v>
      </c>
      <c r="C4254" t="s">
        <v>24</v>
      </c>
      <c r="D4254" t="s">
        <v>421</v>
      </c>
      <c r="E4254" t="s">
        <v>422</v>
      </c>
      <c r="F4254">
        <v>94.73</v>
      </c>
      <c r="G4254">
        <v>0</v>
      </c>
    </row>
    <row r="4255" spans="2:7" x14ac:dyDescent="0.25">
      <c r="B4255" s="70">
        <v>43368</v>
      </c>
      <c r="C4255" t="s">
        <v>24</v>
      </c>
      <c r="D4255" t="s">
        <v>421</v>
      </c>
      <c r="E4255" t="s">
        <v>422</v>
      </c>
      <c r="F4255">
        <v>44.56</v>
      </c>
      <c r="G4255">
        <v>0</v>
      </c>
    </row>
    <row r="4256" spans="2:7" x14ac:dyDescent="0.25">
      <c r="B4256" s="70">
        <v>43368</v>
      </c>
      <c r="C4256" t="s">
        <v>60</v>
      </c>
      <c r="D4256" t="s">
        <v>82</v>
      </c>
      <c r="E4256" t="s">
        <v>423</v>
      </c>
      <c r="F4256">
        <v>10.029999999999999</v>
      </c>
      <c r="G4256">
        <v>0</v>
      </c>
    </row>
    <row r="4257" spans="2:7" x14ac:dyDescent="0.25">
      <c r="B4257" s="70">
        <v>43368</v>
      </c>
      <c r="C4257" t="s">
        <v>60</v>
      </c>
      <c r="D4257" t="s">
        <v>421</v>
      </c>
      <c r="E4257" t="s">
        <v>422</v>
      </c>
      <c r="F4257">
        <v>59.34</v>
      </c>
      <c r="G4257">
        <v>0</v>
      </c>
    </row>
    <row r="4258" spans="2:7" x14ac:dyDescent="0.25">
      <c r="B4258" s="70">
        <v>43398</v>
      </c>
      <c r="C4258" t="s">
        <v>25</v>
      </c>
      <c r="D4258" t="s">
        <v>81</v>
      </c>
      <c r="E4258" t="s">
        <v>122</v>
      </c>
      <c r="F4258">
        <v>7.35</v>
      </c>
      <c r="G4258">
        <v>0</v>
      </c>
    </row>
    <row r="4259" spans="2:7" x14ac:dyDescent="0.25">
      <c r="B4259" s="70">
        <v>43398</v>
      </c>
      <c r="C4259" t="s">
        <v>25</v>
      </c>
      <c r="D4259" t="s">
        <v>81</v>
      </c>
      <c r="E4259" t="s">
        <v>240</v>
      </c>
      <c r="F4259">
        <v>5.5</v>
      </c>
      <c r="G4259">
        <v>0</v>
      </c>
    </row>
    <row r="4260" spans="2:7" x14ac:dyDescent="0.25">
      <c r="B4260" s="70">
        <v>43398</v>
      </c>
      <c r="C4260" t="s">
        <v>25</v>
      </c>
      <c r="D4260" t="s">
        <v>81</v>
      </c>
      <c r="E4260" t="s">
        <v>164</v>
      </c>
      <c r="F4260">
        <v>18</v>
      </c>
      <c r="G4260">
        <v>0</v>
      </c>
    </row>
    <row r="4261" spans="2:7" x14ac:dyDescent="0.25">
      <c r="B4261" s="70">
        <v>43398</v>
      </c>
      <c r="C4261" t="s">
        <v>25</v>
      </c>
      <c r="D4261" t="s">
        <v>424</v>
      </c>
      <c r="E4261" t="s">
        <v>425</v>
      </c>
      <c r="F4261">
        <v>39.19</v>
      </c>
      <c r="G4261">
        <v>0</v>
      </c>
    </row>
    <row r="4262" spans="2:7" x14ac:dyDescent="0.25">
      <c r="B4262" s="70">
        <v>43398</v>
      </c>
      <c r="C4262" t="s">
        <v>25</v>
      </c>
      <c r="D4262" t="s">
        <v>424</v>
      </c>
      <c r="E4262" t="s">
        <v>425</v>
      </c>
      <c r="F4262">
        <v>71.12</v>
      </c>
      <c r="G4262">
        <v>0</v>
      </c>
    </row>
    <row r="4263" spans="2:7" x14ac:dyDescent="0.25">
      <c r="B4263" s="70">
        <v>43398</v>
      </c>
      <c r="C4263" t="s">
        <v>25</v>
      </c>
      <c r="D4263" t="s">
        <v>424</v>
      </c>
      <c r="E4263" t="s">
        <v>425</v>
      </c>
      <c r="F4263">
        <v>53.39</v>
      </c>
      <c r="G4263">
        <v>0</v>
      </c>
    </row>
    <row r="4264" spans="2:7" x14ac:dyDescent="0.25">
      <c r="B4264" s="70">
        <v>43398</v>
      </c>
      <c r="C4264" t="s">
        <v>25</v>
      </c>
      <c r="D4264" t="s">
        <v>424</v>
      </c>
      <c r="E4264" t="s">
        <v>425</v>
      </c>
      <c r="F4264">
        <v>66.27</v>
      </c>
      <c r="G4264">
        <v>0</v>
      </c>
    </row>
    <row r="4265" spans="2:7" x14ac:dyDescent="0.25">
      <c r="B4265" s="70">
        <v>43398</v>
      </c>
      <c r="C4265" t="s">
        <v>25</v>
      </c>
      <c r="D4265" t="s">
        <v>424</v>
      </c>
      <c r="E4265" t="s">
        <v>425</v>
      </c>
      <c r="F4265">
        <v>41.65</v>
      </c>
      <c r="G4265">
        <v>0</v>
      </c>
    </row>
    <row r="4266" spans="2:7" x14ac:dyDescent="0.25">
      <c r="B4266" s="70">
        <v>43398</v>
      </c>
      <c r="C4266" t="s">
        <v>25</v>
      </c>
      <c r="D4266" t="s">
        <v>424</v>
      </c>
      <c r="E4266" t="s">
        <v>425</v>
      </c>
      <c r="F4266">
        <v>21.44</v>
      </c>
      <c r="G4266">
        <v>0</v>
      </c>
    </row>
    <row r="4267" spans="2:7" x14ac:dyDescent="0.25">
      <c r="B4267" s="70">
        <v>43398</v>
      </c>
      <c r="C4267" t="s">
        <v>25</v>
      </c>
      <c r="D4267" t="s">
        <v>424</v>
      </c>
      <c r="E4267" t="s">
        <v>425</v>
      </c>
      <c r="F4267">
        <v>20.13</v>
      </c>
      <c r="G4267">
        <v>0</v>
      </c>
    </row>
    <row r="4268" spans="2:7" x14ac:dyDescent="0.25">
      <c r="B4268" s="70">
        <v>43398</v>
      </c>
      <c r="C4268" t="s">
        <v>25</v>
      </c>
      <c r="D4268" t="s">
        <v>424</v>
      </c>
      <c r="E4268" t="s">
        <v>425</v>
      </c>
      <c r="F4268">
        <v>49.33</v>
      </c>
      <c r="G4268">
        <v>0</v>
      </c>
    </row>
    <row r="4269" spans="2:7" x14ac:dyDescent="0.25">
      <c r="B4269" s="70">
        <v>43398</v>
      </c>
      <c r="C4269" t="s">
        <v>25</v>
      </c>
      <c r="D4269" t="s">
        <v>424</v>
      </c>
      <c r="E4269" t="s">
        <v>425</v>
      </c>
      <c r="F4269">
        <v>67.930000000000007</v>
      </c>
      <c r="G4269">
        <v>0</v>
      </c>
    </row>
    <row r="4270" spans="2:7" x14ac:dyDescent="0.25">
      <c r="B4270" s="70">
        <v>43398</v>
      </c>
      <c r="C4270" t="s">
        <v>25</v>
      </c>
      <c r="D4270" t="s">
        <v>424</v>
      </c>
      <c r="E4270" t="s">
        <v>425</v>
      </c>
      <c r="F4270">
        <v>43.44</v>
      </c>
      <c r="G4270">
        <v>0</v>
      </c>
    </row>
    <row r="4271" spans="2:7" x14ac:dyDescent="0.25">
      <c r="B4271" s="70">
        <v>43398</v>
      </c>
      <c r="C4271" t="s">
        <v>25</v>
      </c>
      <c r="D4271" t="s">
        <v>424</v>
      </c>
      <c r="E4271" t="s">
        <v>425</v>
      </c>
      <c r="F4271">
        <v>56.68</v>
      </c>
      <c r="G4271">
        <v>0</v>
      </c>
    </row>
    <row r="4272" spans="2:7" x14ac:dyDescent="0.25">
      <c r="B4272" s="70">
        <v>43398</v>
      </c>
      <c r="C4272" t="s">
        <v>54</v>
      </c>
      <c r="D4272" t="s">
        <v>424</v>
      </c>
      <c r="E4272" t="s">
        <v>425</v>
      </c>
      <c r="F4272">
        <v>858.47</v>
      </c>
      <c r="G4272">
        <v>0</v>
      </c>
    </row>
    <row r="4273" spans="2:7" x14ac:dyDescent="0.25">
      <c r="B4273" s="70">
        <v>43398</v>
      </c>
      <c r="C4273" t="s">
        <v>46</v>
      </c>
      <c r="D4273" t="s">
        <v>424</v>
      </c>
      <c r="E4273" t="s">
        <v>425</v>
      </c>
      <c r="F4273">
        <v>16.79</v>
      </c>
      <c r="G4273">
        <v>0</v>
      </c>
    </row>
    <row r="4274" spans="2:7" x14ac:dyDescent="0.25">
      <c r="B4274" s="70">
        <v>43398</v>
      </c>
      <c r="C4274" t="s">
        <v>21</v>
      </c>
      <c r="D4274" t="s">
        <v>424</v>
      </c>
      <c r="E4274" t="s">
        <v>425</v>
      </c>
      <c r="F4274">
        <v>38.090000000000003</v>
      </c>
      <c r="G4274">
        <v>0</v>
      </c>
    </row>
    <row r="4275" spans="2:7" x14ac:dyDescent="0.25">
      <c r="B4275" s="70">
        <v>43398</v>
      </c>
      <c r="C4275" t="s">
        <v>21</v>
      </c>
      <c r="D4275" t="s">
        <v>424</v>
      </c>
      <c r="E4275" t="s">
        <v>425</v>
      </c>
      <c r="F4275">
        <v>277.51</v>
      </c>
      <c r="G4275">
        <v>0</v>
      </c>
    </row>
    <row r="4276" spans="2:7" x14ac:dyDescent="0.25">
      <c r="B4276" s="70">
        <v>43398</v>
      </c>
      <c r="C4276" t="s">
        <v>21</v>
      </c>
      <c r="D4276" t="s">
        <v>424</v>
      </c>
      <c r="E4276" t="s">
        <v>425</v>
      </c>
      <c r="F4276">
        <v>29.39</v>
      </c>
      <c r="G4276">
        <v>0</v>
      </c>
    </row>
    <row r="4277" spans="2:7" x14ac:dyDescent="0.25">
      <c r="B4277" s="70">
        <v>43398</v>
      </c>
      <c r="C4277" t="s">
        <v>21</v>
      </c>
      <c r="D4277" t="s">
        <v>424</v>
      </c>
      <c r="E4277" t="s">
        <v>425</v>
      </c>
      <c r="F4277">
        <v>578.47</v>
      </c>
      <c r="G4277">
        <v>0</v>
      </c>
    </row>
    <row r="4278" spans="2:7" x14ac:dyDescent="0.25">
      <c r="B4278" s="70">
        <v>43398</v>
      </c>
      <c r="C4278" t="s">
        <v>21</v>
      </c>
      <c r="D4278" t="s">
        <v>424</v>
      </c>
      <c r="E4278" t="s">
        <v>425</v>
      </c>
      <c r="F4278">
        <v>52.52</v>
      </c>
      <c r="G4278">
        <v>0</v>
      </c>
    </row>
    <row r="4279" spans="2:7" x14ac:dyDescent="0.25">
      <c r="B4279" s="70">
        <v>43398</v>
      </c>
      <c r="C4279" t="s">
        <v>21</v>
      </c>
      <c r="D4279" t="s">
        <v>424</v>
      </c>
      <c r="E4279" t="s">
        <v>425</v>
      </c>
      <c r="F4279">
        <v>466.63</v>
      </c>
      <c r="G4279">
        <v>0</v>
      </c>
    </row>
    <row r="4280" spans="2:7" x14ac:dyDescent="0.25">
      <c r="B4280" s="70">
        <v>43398</v>
      </c>
      <c r="C4280" t="s">
        <v>21</v>
      </c>
      <c r="D4280" t="s">
        <v>424</v>
      </c>
      <c r="E4280" t="s">
        <v>425</v>
      </c>
      <c r="F4280">
        <v>581.75</v>
      </c>
      <c r="G4280">
        <v>0</v>
      </c>
    </row>
    <row r="4281" spans="2:7" x14ac:dyDescent="0.25">
      <c r="B4281" s="70">
        <v>43398</v>
      </c>
      <c r="C4281" t="s">
        <v>21</v>
      </c>
      <c r="D4281" t="s">
        <v>424</v>
      </c>
      <c r="E4281" t="s">
        <v>425</v>
      </c>
      <c r="F4281">
        <v>41.72</v>
      </c>
      <c r="G4281">
        <v>0</v>
      </c>
    </row>
    <row r="4282" spans="2:7" x14ac:dyDescent="0.25">
      <c r="B4282" s="70">
        <v>43398</v>
      </c>
      <c r="C4282" t="s">
        <v>21</v>
      </c>
      <c r="D4282" t="s">
        <v>424</v>
      </c>
      <c r="E4282" t="s">
        <v>425</v>
      </c>
      <c r="F4282">
        <v>214.05</v>
      </c>
      <c r="G4282">
        <v>0</v>
      </c>
    </row>
    <row r="4283" spans="2:7" x14ac:dyDescent="0.25">
      <c r="B4283" s="70">
        <v>43398</v>
      </c>
      <c r="C4283" t="s">
        <v>21</v>
      </c>
      <c r="D4283" t="s">
        <v>424</v>
      </c>
      <c r="E4283" t="s">
        <v>425</v>
      </c>
      <c r="F4283">
        <v>261.58999999999997</v>
      </c>
      <c r="G4283">
        <v>0</v>
      </c>
    </row>
    <row r="4284" spans="2:7" x14ac:dyDescent="0.25">
      <c r="B4284" s="70">
        <v>43398</v>
      </c>
      <c r="C4284" t="s">
        <v>21</v>
      </c>
      <c r="D4284" t="s">
        <v>424</v>
      </c>
      <c r="E4284" t="s">
        <v>425</v>
      </c>
      <c r="F4284">
        <v>512.05999999999995</v>
      </c>
      <c r="G4284">
        <v>0</v>
      </c>
    </row>
    <row r="4285" spans="2:7" x14ac:dyDescent="0.25">
      <c r="B4285" s="70">
        <v>43398</v>
      </c>
      <c r="C4285" t="s">
        <v>21</v>
      </c>
      <c r="D4285" t="s">
        <v>424</v>
      </c>
      <c r="E4285" t="s">
        <v>425</v>
      </c>
      <c r="F4285">
        <v>421.31</v>
      </c>
      <c r="G4285">
        <v>0</v>
      </c>
    </row>
    <row r="4286" spans="2:7" x14ac:dyDescent="0.25">
      <c r="B4286" s="70">
        <v>43398</v>
      </c>
      <c r="C4286" t="s">
        <v>21</v>
      </c>
      <c r="D4286" t="s">
        <v>424</v>
      </c>
      <c r="E4286" t="s">
        <v>425</v>
      </c>
      <c r="F4286">
        <v>332.9</v>
      </c>
      <c r="G4286">
        <v>0</v>
      </c>
    </row>
    <row r="4287" spans="2:7" x14ac:dyDescent="0.25">
      <c r="B4287" s="70">
        <v>43398</v>
      </c>
      <c r="C4287" t="s">
        <v>21</v>
      </c>
      <c r="D4287" t="s">
        <v>424</v>
      </c>
      <c r="E4287" t="s">
        <v>425</v>
      </c>
      <c r="F4287">
        <v>389.72</v>
      </c>
      <c r="G4287">
        <v>0</v>
      </c>
    </row>
    <row r="4288" spans="2:7" x14ac:dyDescent="0.25">
      <c r="B4288" s="70">
        <v>43398</v>
      </c>
      <c r="C4288" t="s">
        <v>21</v>
      </c>
      <c r="D4288" t="s">
        <v>424</v>
      </c>
      <c r="E4288" t="s">
        <v>425</v>
      </c>
      <c r="F4288">
        <v>52.32</v>
      </c>
      <c r="G4288">
        <v>0</v>
      </c>
    </row>
    <row r="4289" spans="2:7" x14ac:dyDescent="0.25">
      <c r="B4289" s="70">
        <v>43398</v>
      </c>
      <c r="C4289" t="s">
        <v>21</v>
      </c>
      <c r="D4289" t="s">
        <v>424</v>
      </c>
      <c r="E4289" t="s">
        <v>425</v>
      </c>
      <c r="F4289">
        <v>434.25</v>
      </c>
      <c r="G4289">
        <v>0</v>
      </c>
    </row>
    <row r="4290" spans="2:7" x14ac:dyDescent="0.25">
      <c r="B4290" s="70">
        <v>43398</v>
      </c>
      <c r="C4290" t="s">
        <v>21</v>
      </c>
      <c r="D4290" t="s">
        <v>424</v>
      </c>
      <c r="E4290" t="s">
        <v>425</v>
      </c>
      <c r="F4290">
        <v>359.5</v>
      </c>
      <c r="G4290">
        <v>0</v>
      </c>
    </row>
    <row r="4291" spans="2:7" x14ac:dyDescent="0.25">
      <c r="B4291" s="70">
        <v>43398</v>
      </c>
      <c r="C4291" t="s">
        <v>21</v>
      </c>
      <c r="D4291" t="s">
        <v>424</v>
      </c>
      <c r="E4291" t="s">
        <v>425</v>
      </c>
      <c r="F4291">
        <v>133.29</v>
      </c>
      <c r="G4291">
        <v>0</v>
      </c>
    </row>
    <row r="4292" spans="2:7" x14ac:dyDescent="0.25">
      <c r="B4292" s="70">
        <v>43398</v>
      </c>
      <c r="C4292" t="s">
        <v>21</v>
      </c>
      <c r="D4292" t="s">
        <v>424</v>
      </c>
      <c r="E4292" t="s">
        <v>425</v>
      </c>
      <c r="F4292">
        <v>221.42</v>
      </c>
      <c r="G4292">
        <v>0</v>
      </c>
    </row>
    <row r="4293" spans="2:7" x14ac:dyDescent="0.25">
      <c r="B4293" s="70">
        <v>43398</v>
      </c>
      <c r="C4293" t="s">
        <v>21</v>
      </c>
      <c r="D4293" t="s">
        <v>424</v>
      </c>
      <c r="E4293" t="s">
        <v>425</v>
      </c>
      <c r="F4293">
        <v>39.130000000000003</v>
      </c>
      <c r="G4293">
        <v>0</v>
      </c>
    </row>
    <row r="4294" spans="2:7" x14ac:dyDescent="0.25">
      <c r="B4294" s="70">
        <v>43398</v>
      </c>
      <c r="C4294" t="s">
        <v>21</v>
      </c>
      <c r="D4294" t="s">
        <v>424</v>
      </c>
      <c r="E4294" t="s">
        <v>425</v>
      </c>
      <c r="F4294">
        <v>203.3</v>
      </c>
      <c r="G4294">
        <v>0</v>
      </c>
    </row>
    <row r="4295" spans="2:7" x14ac:dyDescent="0.25">
      <c r="B4295" s="70">
        <v>43398</v>
      </c>
      <c r="C4295" t="s">
        <v>21</v>
      </c>
      <c r="D4295" t="s">
        <v>424</v>
      </c>
      <c r="E4295" t="s">
        <v>425</v>
      </c>
      <c r="F4295">
        <v>247.59</v>
      </c>
      <c r="G4295">
        <v>0</v>
      </c>
    </row>
    <row r="4296" spans="2:7" x14ac:dyDescent="0.25">
      <c r="B4296" s="70">
        <v>43398</v>
      </c>
      <c r="C4296" t="s">
        <v>21</v>
      </c>
      <c r="D4296" t="s">
        <v>424</v>
      </c>
      <c r="E4296" t="s">
        <v>425</v>
      </c>
      <c r="F4296">
        <v>191.55</v>
      </c>
      <c r="G4296">
        <v>0</v>
      </c>
    </row>
    <row r="4297" spans="2:7" x14ac:dyDescent="0.25">
      <c r="B4297" s="70">
        <v>43398</v>
      </c>
      <c r="C4297" t="s">
        <v>21</v>
      </c>
      <c r="D4297" t="s">
        <v>424</v>
      </c>
      <c r="E4297" t="s">
        <v>425</v>
      </c>
      <c r="F4297">
        <v>148.88999999999999</v>
      </c>
      <c r="G4297">
        <v>0</v>
      </c>
    </row>
    <row r="4298" spans="2:7" x14ac:dyDescent="0.25">
      <c r="B4298" s="70">
        <v>43398</v>
      </c>
      <c r="C4298" t="s">
        <v>21</v>
      </c>
      <c r="D4298" t="s">
        <v>424</v>
      </c>
      <c r="E4298" t="s">
        <v>425</v>
      </c>
      <c r="F4298">
        <v>665.7</v>
      </c>
      <c r="G4298">
        <v>0</v>
      </c>
    </row>
    <row r="4299" spans="2:7" x14ac:dyDescent="0.25">
      <c r="B4299" s="70">
        <v>43398</v>
      </c>
      <c r="C4299" t="s">
        <v>21</v>
      </c>
      <c r="D4299" t="s">
        <v>424</v>
      </c>
      <c r="E4299" t="s">
        <v>425</v>
      </c>
      <c r="F4299">
        <v>133.07</v>
      </c>
      <c r="G4299">
        <v>0</v>
      </c>
    </row>
    <row r="4300" spans="2:7" x14ac:dyDescent="0.25">
      <c r="B4300" s="70">
        <v>43398</v>
      </c>
      <c r="C4300" t="s">
        <v>21</v>
      </c>
      <c r="D4300" t="s">
        <v>424</v>
      </c>
      <c r="E4300" t="s">
        <v>425</v>
      </c>
      <c r="F4300">
        <v>118.76</v>
      </c>
      <c r="G4300">
        <v>0</v>
      </c>
    </row>
    <row r="4301" spans="2:7" x14ac:dyDescent="0.25">
      <c r="B4301" s="70">
        <v>43398</v>
      </c>
      <c r="C4301" t="s">
        <v>21</v>
      </c>
      <c r="D4301" t="s">
        <v>424</v>
      </c>
      <c r="E4301" t="s">
        <v>425</v>
      </c>
      <c r="F4301">
        <v>422.93</v>
      </c>
      <c r="G4301">
        <v>0</v>
      </c>
    </row>
    <row r="4302" spans="2:7" x14ac:dyDescent="0.25">
      <c r="B4302" s="70">
        <v>43398</v>
      </c>
      <c r="C4302" t="s">
        <v>21</v>
      </c>
      <c r="D4302" t="s">
        <v>424</v>
      </c>
      <c r="E4302" t="s">
        <v>425</v>
      </c>
      <c r="F4302">
        <v>69.010000000000005</v>
      </c>
      <c r="G4302">
        <v>0</v>
      </c>
    </row>
    <row r="4303" spans="2:7" x14ac:dyDescent="0.25">
      <c r="B4303" s="70">
        <v>43398</v>
      </c>
      <c r="C4303" t="s">
        <v>21</v>
      </c>
      <c r="D4303" t="s">
        <v>424</v>
      </c>
      <c r="E4303" t="s">
        <v>425</v>
      </c>
      <c r="F4303">
        <v>39.68</v>
      </c>
      <c r="G4303">
        <v>0</v>
      </c>
    </row>
    <row r="4304" spans="2:7" x14ac:dyDescent="0.25">
      <c r="B4304" s="70">
        <v>43398</v>
      </c>
      <c r="C4304" t="s">
        <v>48</v>
      </c>
      <c r="D4304" t="s">
        <v>424</v>
      </c>
      <c r="E4304" t="s">
        <v>425</v>
      </c>
      <c r="F4304">
        <v>117.52</v>
      </c>
      <c r="G4304">
        <v>0</v>
      </c>
    </row>
    <row r="4305" spans="2:7" x14ac:dyDescent="0.25">
      <c r="B4305" s="70">
        <v>43398</v>
      </c>
      <c r="C4305" t="s">
        <v>55</v>
      </c>
      <c r="D4305" t="s">
        <v>424</v>
      </c>
      <c r="E4305" t="s">
        <v>425</v>
      </c>
      <c r="F4305">
        <v>35.32</v>
      </c>
      <c r="G4305">
        <v>0</v>
      </c>
    </row>
    <row r="4306" spans="2:7" x14ac:dyDescent="0.25">
      <c r="B4306" s="70">
        <v>43398</v>
      </c>
      <c r="C4306" t="s">
        <v>50</v>
      </c>
      <c r="D4306" t="s">
        <v>424</v>
      </c>
      <c r="E4306" t="s">
        <v>425</v>
      </c>
      <c r="F4306">
        <v>2912.65</v>
      </c>
      <c r="G4306">
        <v>0</v>
      </c>
    </row>
    <row r="4307" spans="2:7" x14ac:dyDescent="0.25">
      <c r="B4307" s="70">
        <v>43398</v>
      </c>
      <c r="C4307" t="s">
        <v>52</v>
      </c>
      <c r="D4307" t="s">
        <v>424</v>
      </c>
      <c r="E4307" t="s">
        <v>425</v>
      </c>
      <c r="F4307">
        <v>144.66999999999999</v>
      </c>
      <c r="G4307">
        <v>0</v>
      </c>
    </row>
    <row r="4308" spans="2:7" x14ac:dyDescent="0.25">
      <c r="B4308" s="70">
        <v>43398</v>
      </c>
      <c r="C4308" t="s">
        <v>24</v>
      </c>
      <c r="D4308" t="s">
        <v>424</v>
      </c>
      <c r="E4308" t="s">
        <v>425</v>
      </c>
      <c r="F4308">
        <v>4.2</v>
      </c>
      <c r="G4308">
        <v>0</v>
      </c>
    </row>
    <row r="4309" spans="2:7" x14ac:dyDescent="0.25">
      <c r="B4309" s="70">
        <v>43398</v>
      </c>
      <c r="C4309" t="s">
        <v>24</v>
      </c>
      <c r="D4309" t="s">
        <v>424</v>
      </c>
      <c r="E4309" t="s">
        <v>425</v>
      </c>
      <c r="F4309">
        <v>30.67</v>
      </c>
      <c r="G4309">
        <v>0</v>
      </c>
    </row>
    <row r="4310" spans="2:7" x14ac:dyDescent="0.25">
      <c r="B4310" s="70">
        <v>43398</v>
      </c>
      <c r="C4310" t="s">
        <v>24</v>
      </c>
      <c r="D4310" t="s">
        <v>424</v>
      </c>
      <c r="E4310" t="s">
        <v>425</v>
      </c>
      <c r="F4310">
        <v>83.96</v>
      </c>
      <c r="G4310">
        <v>0</v>
      </c>
    </row>
    <row r="4311" spans="2:7" x14ac:dyDescent="0.25">
      <c r="B4311" s="70">
        <v>43398</v>
      </c>
      <c r="C4311" t="s">
        <v>24</v>
      </c>
      <c r="D4311" t="s">
        <v>424</v>
      </c>
      <c r="E4311" t="s">
        <v>425</v>
      </c>
      <c r="F4311">
        <v>7.95</v>
      </c>
      <c r="G4311">
        <v>0</v>
      </c>
    </row>
    <row r="4312" spans="2:7" x14ac:dyDescent="0.25">
      <c r="B4312" s="70">
        <v>43398</v>
      </c>
      <c r="C4312" t="s">
        <v>24</v>
      </c>
      <c r="D4312" t="s">
        <v>424</v>
      </c>
      <c r="E4312" t="s">
        <v>425</v>
      </c>
      <c r="F4312">
        <v>50.95</v>
      </c>
      <c r="G4312">
        <v>0</v>
      </c>
    </row>
    <row r="4313" spans="2:7" x14ac:dyDescent="0.25">
      <c r="B4313" s="70">
        <v>43398</v>
      </c>
      <c r="C4313" t="s">
        <v>24</v>
      </c>
      <c r="D4313" t="s">
        <v>424</v>
      </c>
      <c r="E4313" t="s">
        <v>425</v>
      </c>
      <c r="F4313">
        <v>36.14</v>
      </c>
      <c r="G4313">
        <v>0</v>
      </c>
    </row>
    <row r="4314" spans="2:7" x14ac:dyDescent="0.25">
      <c r="B4314" s="70">
        <v>43398</v>
      </c>
      <c r="C4314" t="s">
        <v>24</v>
      </c>
      <c r="D4314" t="s">
        <v>424</v>
      </c>
      <c r="E4314" t="s">
        <v>425</v>
      </c>
      <c r="F4314">
        <v>131.9</v>
      </c>
      <c r="G4314">
        <v>0</v>
      </c>
    </row>
    <row r="4315" spans="2:7" x14ac:dyDescent="0.25">
      <c r="B4315" s="70">
        <v>43398</v>
      </c>
      <c r="C4315" t="s">
        <v>24</v>
      </c>
      <c r="D4315" t="s">
        <v>424</v>
      </c>
      <c r="E4315" t="s">
        <v>425</v>
      </c>
      <c r="F4315">
        <v>25.68</v>
      </c>
      <c r="G4315">
        <v>0</v>
      </c>
    </row>
    <row r="4316" spans="2:7" x14ac:dyDescent="0.25">
      <c r="B4316" s="70">
        <v>43398</v>
      </c>
      <c r="C4316" t="s">
        <v>24</v>
      </c>
      <c r="D4316" t="s">
        <v>424</v>
      </c>
      <c r="E4316" t="s">
        <v>425</v>
      </c>
      <c r="F4316">
        <v>14.42</v>
      </c>
      <c r="G4316">
        <v>0</v>
      </c>
    </row>
    <row r="4317" spans="2:7" x14ac:dyDescent="0.25">
      <c r="B4317" s="70">
        <v>43398</v>
      </c>
      <c r="C4317" t="s">
        <v>24</v>
      </c>
      <c r="D4317" t="s">
        <v>424</v>
      </c>
      <c r="E4317" t="s">
        <v>425</v>
      </c>
      <c r="F4317">
        <v>21.29</v>
      </c>
      <c r="G4317">
        <v>0</v>
      </c>
    </row>
    <row r="4318" spans="2:7" x14ac:dyDescent="0.25">
      <c r="B4318" s="70">
        <v>43398</v>
      </c>
      <c r="C4318" t="s">
        <v>24</v>
      </c>
      <c r="D4318" t="s">
        <v>424</v>
      </c>
      <c r="E4318" t="s">
        <v>425</v>
      </c>
      <c r="F4318">
        <v>33.96</v>
      </c>
      <c r="G4318">
        <v>0</v>
      </c>
    </row>
    <row r="4319" spans="2:7" x14ac:dyDescent="0.25">
      <c r="B4319" s="70">
        <v>43398</v>
      </c>
      <c r="C4319" t="s">
        <v>24</v>
      </c>
      <c r="D4319" t="s">
        <v>424</v>
      </c>
      <c r="E4319" t="s">
        <v>425</v>
      </c>
      <c r="F4319">
        <v>53.28</v>
      </c>
      <c r="G4319">
        <v>0</v>
      </c>
    </row>
    <row r="4320" spans="2:7" x14ac:dyDescent="0.25">
      <c r="B4320" s="70">
        <v>43398</v>
      </c>
      <c r="C4320" t="s">
        <v>24</v>
      </c>
      <c r="D4320" t="s">
        <v>424</v>
      </c>
      <c r="E4320" t="s">
        <v>425</v>
      </c>
      <c r="F4320">
        <v>41.23</v>
      </c>
      <c r="G4320">
        <v>0</v>
      </c>
    </row>
    <row r="4321" spans="2:7" x14ac:dyDescent="0.25">
      <c r="B4321" s="70">
        <v>43398</v>
      </c>
      <c r="C4321" t="s">
        <v>60</v>
      </c>
      <c r="D4321" t="s">
        <v>424</v>
      </c>
      <c r="E4321" t="s">
        <v>425</v>
      </c>
      <c r="F4321">
        <v>97</v>
      </c>
      <c r="G4321">
        <v>0</v>
      </c>
    </row>
    <row r="4322" spans="2:7" x14ac:dyDescent="0.25">
      <c r="B4322" s="70">
        <v>43428</v>
      </c>
      <c r="C4322" t="s">
        <v>25</v>
      </c>
      <c r="D4322" t="s">
        <v>426</v>
      </c>
      <c r="E4322" t="s">
        <v>427</v>
      </c>
      <c r="F4322">
        <v>83.42</v>
      </c>
      <c r="G4322">
        <v>0</v>
      </c>
    </row>
    <row r="4323" spans="2:7" x14ac:dyDescent="0.25">
      <c r="B4323" s="70">
        <v>43428</v>
      </c>
      <c r="C4323" t="s">
        <v>25</v>
      </c>
      <c r="D4323" t="s">
        <v>426</v>
      </c>
      <c r="E4323" t="s">
        <v>427</v>
      </c>
      <c r="F4323">
        <v>38.81</v>
      </c>
      <c r="G4323">
        <v>0</v>
      </c>
    </row>
    <row r="4324" spans="2:7" x14ac:dyDescent="0.25">
      <c r="B4324" s="70">
        <v>43428</v>
      </c>
      <c r="C4324" t="s">
        <v>25</v>
      </c>
      <c r="D4324" t="s">
        <v>426</v>
      </c>
      <c r="E4324" t="s">
        <v>427</v>
      </c>
      <c r="F4324">
        <v>37.049999999999997</v>
      </c>
      <c r="G4324">
        <v>0</v>
      </c>
    </row>
    <row r="4325" spans="2:7" x14ac:dyDescent="0.25">
      <c r="B4325" s="70">
        <v>43428</v>
      </c>
      <c r="C4325" t="s">
        <v>54</v>
      </c>
      <c r="D4325" t="s">
        <v>426</v>
      </c>
      <c r="E4325" t="s">
        <v>427</v>
      </c>
      <c r="F4325">
        <v>415.81</v>
      </c>
      <c r="G4325">
        <v>0</v>
      </c>
    </row>
    <row r="4326" spans="2:7" x14ac:dyDescent="0.25">
      <c r="B4326" s="70">
        <v>43428</v>
      </c>
      <c r="C4326" t="s">
        <v>21</v>
      </c>
      <c r="D4326" t="s">
        <v>426</v>
      </c>
      <c r="E4326" t="s">
        <v>427</v>
      </c>
      <c r="F4326">
        <v>250</v>
      </c>
      <c r="G4326">
        <v>0</v>
      </c>
    </row>
    <row r="4327" spans="2:7" x14ac:dyDescent="0.25">
      <c r="B4327" s="70">
        <v>43428</v>
      </c>
      <c r="C4327" t="s">
        <v>21</v>
      </c>
      <c r="D4327" t="s">
        <v>426</v>
      </c>
      <c r="E4327" t="s">
        <v>427</v>
      </c>
      <c r="F4327">
        <v>784.57</v>
      </c>
      <c r="G4327">
        <v>0</v>
      </c>
    </row>
    <row r="4328" spans="2:7" x14ac:dyDescent="0.25">
      <c r="B4328" s="70">
        <v>43428</v>
      </c>
      <c r="C4328" t="s">
        <v>21</v>
      </c>
      <c r="D4328" t="s">
        <v>426</v>
      </c>
      <c r="E4328" t="s">
        <v>427</v>
      </c>
      <c r="F4328">
        <v>341.38</v>
      </c>
      <c r="G4328">
        <v>0</v>
      </c>
    </row>
    <row r="4329" spans="2:7" x14ac:dyDescent="0.25">
      <c r="B4329" s="70">
        <v>43428</v>
      </c>
      <c r="C4329" t="s">
        <v>21</v>
      </c>
      <c r="D4329" t="s">
        <v>426</v>
      </c>
      <c r="E4329" t="s">
        <v>427</v>
      </c>
      <c r="F4329">
        <v>564.22</v>
      </c>
      <c r="G4329">
        <v>0</v>
      </c>
    </row>
    <row r="4330" spans="2:7" x14ac:dyDescent="0.25">
      <c r="B4330" s="70">
        <v>43428</v>
      </c>
      <c r="C4330" t="s">
        <v>21</v>
      </c>
      <c r="D4330" t="s">
        <v>426</v>
      </c>
      <c r="E4330" t="s">
        <v>427</v>
      </c>
      <c r="F4330">
        <v>36.61</v>
      </c>
      <c r="G4330">
        <v>0</v>
      </c>
    </row>
    <row r="4331" spans="2:7" x14ac:dyDescent="0.25">
      <c r="B4331" s="70">
        <v>43428</v>
      </c>
      <c r="C4331" t="s">
        <v>21</v>
      </c>
      <c r="D4331" t="s">
        <v>426</v>
      </c>
      <c r="E4331" t="s">
        <v>427</v>
      </c>
      <c r="F4331">
        <v>384.79</v>
      </c>
      <c r="G4331">
        <v>0</v>
      </c>
    </row>
    <row r="4332" spans="2:7" x14ac:dyDescent="0.25">
      <c r="B4332" s="70">
        <v>43428</v>
      </c>
      <c r="C4332" t="s">
        <v>21</v>
      </c>
      <c r="D4332" t="s">
        <v>426</v>
      </c>
      <c r="E4332" t="s">
        <v>427</v>
      </c>
      <c r="F4332">
        <v>1129.82</v>
      </c>
      <c r="G4332">
        <v>0</v>
      </c>
    </row>
    <row r="4333" spans="2:7" x14ac:dyDescent="0.25">
      <c r="B4333" s="70">
        <v>43428</v>
      </c>
      <c r="C4333" t="s">
        <v>21</v>
      </c>
      <c r="D4333" t="s">
        <v>426</v>
      </c>
      <c r="E4333" t="s">
        <v>427</v>
      </c>
      <c r="F4333">
        <v>524.77</v>
      </c>
      <c r="G4333">
        <v>0</v>
      </c>
    </row>
    <row r="4334" spans="2:7" x14ac:dyDescent="0.25">
      <c r="B4334" s="70">
        <v>43428</v>
      </c>
      <c r="C4334" t="s">
        <v>21</v>
      </c>
      <c r="D4334" t="s">
        <v>426</v>
      </c>
      <c r="E4334" t="s">
        <v>427</v>
      </c>
      <c r="F4334">
        <v>580.74</v>
      </c>
      <c r="G4334">
        <v>0</v>
      </c>
    </row>
    <row r="4335" spans="2:7" x14ac:dyDescent="0.25">
      <c r="B4335" s="70">
        <v>43428</v>
      </c>
      <c r="C4335" t="s">
        <v>21</v>
      </c>
      <c r="D4335" t="s">
        <v>426</v>
      </c>
      <c r="E4335" t="s">
        <v>427</v>
      </c>
      <c r="F4335">
        <v>631.69000000000005</v>
      </c>
      <c r="G4335">
        <v>0</v>
      </c>
    </row>
    <row r="4336" spans="2:7" x14ac:dyDescent="0.25">
      <c r="B4336" s="70">
        <v>43428</v>
      </c>
      <c r="C4336" t="s">
        <v>21</v>
      </c>
      <c r="D4336" t="s">
        <v>426</v>
      </c>
      <c r="E4336" t="s">
        <v>427</v>
      </c>
      <c r="F4336">
        <v>657.63</v>
      </c>
      <c r="G4336">
        <v>0</v>
      </c>
    </row>
    <row r="4337" spans="2:7" x14ac:dyDescent="0.25">
      <c r="B4337" s="70">
        <v>43428</v>
      </c>
      <c r="C4337" t="s">
        <v>21</v>
      </c>
      <c r="D4337" t="s">
        <v>426</v>
      </c>
      <c r="E4337" t="s">
        <v>427</v>
      </c>
      <c r="F4337">
        <v>54.42</v>
      </c>
      <c r="G4337">
        <v>0</v>
      </c>
    </row>
    <row r="4338" spans="2:7" x14ac:dyDescent="0.25">
      <c r="B4338" s="70">
        <v>43428</v>
      </c>
      <c r="C4338" t="s">
        <v>21</v>
      </c>
      <c r="D4338" t="s">
        <v>426</v>
      </c>
      <c r="E4338" t="s">
        <v>427</v>
      </c>
      <c r="F4338">
        <v>563.71</v>
      </c>
      <c r="G4338">
        <v>0</v>
      </c>
    </row>
    <row r="4339" spans="2:7" x14ac:dyDescent="0.25">
      <c r="B4339" s="70">
        <v>43428</v>
      </c>
      <c r="C4339" t="s">
        <v>21</v>
      </c>
      <c r="D4339" t="s">
        <v>426</v>
      </c>
      <c r="E4339" t="s">
        <v>427</v>
      </c>
      <c r="F4339">
        <v>236.28</v>
      </c>
      <c r="G4339">
        <v>0</v>
      </c>
    </row>
    <row r="4340" spans="2:7" x14ac:dyDescent="0.25">
      <c r="B4340" s="70">
        <v>43428</v>
      </c>
      <c r="C4340" t="s">
        <v>21</v>
      </c>
      <c r="D4340" t="s">
        <v>426</v>
      </c>
      <c r="E4340" t="s">
        <v>427</v>
      </c>
      <c r="F4340">
        <v>253.1</v>
      </c>
      <c r="G4340">
        <v>0</v>
      </c>
    </row>
    <row r="4341" spans="2:7" x14ac:dyDescent="0.25">
      <c r="B4341" s="70">
        <v>43428</v>
      </c>
      <c r="C4341" t="s">
        <v>21</v>
      </c>
      <c r="D4341" t="s">
        <v>426</v>
      </c>
      <c r="E4341" t="s">
        <v>427</v>
      </c>
      <c r="F4341">
        <v>16.12</v>
      </c>
      <c r="G4341">
        <v>0</v>
      </c>
    </row>
    <row r="4342" spans="2:7" x14ac:dyDescent="0.25">
      <c r="B4342" s="70">
        <v>43428</v>
      </c>
      <c r="C4342" t="s">
        <v>21</v>
      </c>
      <c r="D4342" t="s">
        <v>426</v>
      </c>
      <c r="E4342" t="s">
        <v>427</v>
      </c>
      <c r="F4342">
        <v>263.73</v>
      </c>
      <c r="G4342">
        <v>0</v>
      </c>
    </row>
    <row r="4343" spans="2:7" x14ac:dyDescent="0.25">
      <c r="B4343" s="70">
        <v>43428</v>
      </c>
      <c r="C4343" t="s">
        <v>21</v>
      </c>
      <c r="D4343" t="s">
        <v>426</v>
      </c>
      <c r="E4343" t="s">
        <v>427</v>
      </c>
      <c r="F4343">
        <v>228.43</v>
      </c>
      <c r="G4343">
        <v>0</v>
      </c>
    </row>
    <row r="4344" spans="2:7" x14ac:dyDescent="0.25">
      <c r="B4344" s="70">
        <v>43428</v>
      </c>
      <c r="C4344" t="s">
        <v>21</v>
      </c>
      <c r="D4344" t="s">
        <v>426</v>
      </c>
      <c r="E4344" t="s">
        <v>427</v>
      </c>
      <c r="F4344">
        <v>322.63</v>
      </c>
      <c r="G4344">
        <v>0</v>
      </c>
    </row>
    <row r="4345" spans="2:7" x14ac:dyDescent="0.25">
      <c r="B4345" s="70">
        <v>43428</v>
      </c>
      <c r="C4345" t="s">
        <v>21</v>
      </c>
      <c r="D4345" t="s">
        <v>426</v>
      </c>
      <c r="E4345" t="s">
        <v>427</v>
      </c>
      <c r="F4345">
        <v>265.14999999999998</v>
      </c>
      <c r="G4345">
        <v>0</v>
      </c>
    </row>
    <row r="4346" spans="2:7" x14ac:dyDescent="0.25">
      <c r="B4346" s="70">
        <v>43428</v>
      </c>
      <c r="C4346" t="s">
        <v>21</v>
      </c>
      <c r="D4346" t="s">
        <v>426</v>
      </c>
      <c r="E4346" t="s">
        <v>427</v>
      </c>
      <c r="F4346">
        <v>763.6</v>
      </c>
      <c r="G4346">
        <v>0</v>
      </c>
    </row>
    <row r="4347" spans="2:7" x14ac:dyDescent="0.25">
      <c r="B4347" s="70">
        <v>43428</v>
      </c>
      <c r="C4347" t="s">
        <v>21</v>
      </c>
      <c r="D4347" t="s">
        <v>426</v>
      </c>
      <c r="E4347" t="s">
        <v>427</v>
      </c>
      <c r="F4347">
        <v>12.89</v>
      </c>
      <c r="G4347">
        <v>0</v>
      </c>
    </row>
    <row r="4348" spans="2:7" x14ac:dyDescent="0.25">
      <c r="B4348" s="70">
        <v>43428</v>
      </c>
      <c r="C4348" t="s">
        <v>21</v>
      </c>
      <c r="D4348" t="s">
        <v>426</v>
      </c>
      <c r="E4348" t="s">
        <v>427</v>
      </c>
      <c r="F4348">
        <v>189.44</v>
      </c>
      <c r="G4348">
        <v>0</v>
      </c>
    </row>
    <row r="4349" spans="2:7" x14ac:dyDescent="0.25">
      <c r="B4349" s="70">
        <v>43428</v>
      </c>
      <c r="C4349" t="s">
        <v>21</v>
      </c>
      <c r="D4349" t="s">
        <v>426</v>
      </c>
      <c r="E4349" t="s">
        <v>427</v>
      </c>
      <c r="F4349">
        <v>406.42</v>
      </c>
      <c r="G4349">
        <v>0</v>
      </c>
    </row>
    <row r="4350" spans="2:7" x14ac:dyDescent="0.25">
      <c r="B4350" s="70">
        <v>43428</v>
      </c>
      <c r="C4350" t="s">
        <v>21</v>
      </c>
      <c r="D4350" t="s">
        <v>426</v>
      </c>
      <c r="E4350" t="s">
        <v>427</v>
      </c>
      <c r="F4350">
        <v>745.07</v>
      </c>
      <c r="G4350">
        <v>0</v>
      </c>
    </row>
    <row r="4351" spans="2:7" x14ac:dyDescent="0.25">
      <c r="B4351" s="70">
        <v>43428</v>
      </c>
      <c r="C4351" t="s">
        <v>21</v>
      </c>
      <c r="D4351" t="s">
        <v>426</v>
      </c>
      <c r="E4351" t="s">
        <v>427</v>
      </c>
      <c r="F4351">
        <v>266.67</v>
      </c>
      <c r="G4351">
        <v>0</v>
      </c>
    </row>
    <row r="4352" spans="2:7" x14ac:dyDescent="0.25">
      <c r="B4352" s="70">
        <v>43428</v>
      </c>
      <c r="C4352" t="s">
        <v>66</v>
      </c>
      <c r="D4352" t="s">
        <v>82</v>
      </c>
      <c r="E4352" t="s">
        <v>428</v>
      </c>
      <c r="F4352">
        <v>10</v>
      </c>
      <c r="G4352">
        <v>0</v>
      </c>
    </row>
    <row r="4353" spans="2:7" x14ac:dyDescent="0.25">
      <c r="B4353" s="70">
        <v>43428</v>
      </c>
      <c r="C4353" t="s">
        <v>48</v>
      </c>
      <c r="D4353" t="s">
        <v>426</v>
      </c>
      <c r="E4353" t="s">
        <v>427</v>
      </c>
      <c r="F4353">
        <v>340.7</v>
      </c>
      <c r="G4353">
        <v>0</v>
      </c>
    </row>
    <row r="4354" spans="2:7" x14ac:dyDescent="0.25">
      <c r="B4354" s="70">
        <v>43428</v>
      </c>
      <c r="C4354" t="s">
        <v>55</v>
      </c>
      <c r="D4354" t="s">
        <v>82</v>
      </c>
      <c r="E4354" t="s">
        <v>428</v>
      </c>
      <c r="F4354">
        <v>20.5</v>
      </c>
      <c r="G4354">
        <v>0</v>
      </c>
    </row>
    <row r="4355" spans="2:7" x14ac:dyDescent="0.25">
      <c r="B4355" s="70">
        <v>43428</v>
      </c>
      <c r="C4355" t="s">
        <v>55</v>
      </c>
      <c r="D4355" t="s">
        <v>426</v>
      </c>
      <c r="E4355" t="s">
        <v>427</v>
      </c>
      <c r="F4355">
        <v>570.05999999999995</v>
      </c>
      <c r="G4355">
        <v>0</v>
      </c>
    </row>
    <row r="4356" spans="2:7" x14ac:dyDescent="0.25">
      <c r="B4356" s="70">
        <v>43428</v>
      </c>
      <c r="C4356" t="s">
        <v>45</v>
      </c>
      <c r="D4356" t="s">
        <v>85</v>
      </c>
      <c r="E4356" t="s">
        <v>428</v>
      </c>
      <c r="F4356">
        <v>146.9</v>
      </c>
      <c r="G4356">
        <v>0</v>
      </c>
    </row>
    <row r="4357" spans="2:7" x14ac:dyDescent="0.25">
      <c r="B4357" s="70">
        <v>43428</v>
      </c>
      <c r="C4357" t="s">
        <v>50</v>
      </c>
      <c r="D4357" t="s">
        <v>82</v>
      </c>
      <c r="E4357" t="s">
        <v>428</v>
      </c>
      <c r="F4357">
        <v>22.45</v>
      </c>
      <c r="G4357">
        <v>0</v>
      </c>
    </row>
    <row r="4358" spans="2:7" x14ac:dyDescent="0.25">
      <c r="B4358" s="70">
        <v>43428</v>
      </c>
      <c r="C4358" t="s">
        <v>50</v>
      </c>
      <c r="D4358" t="s">
        <v>426</v>
      </c>
      <c r="E4358" t="s">
        <v>427</v>
      </c>
      <c r="F4358">
        <v>2595.87</v>
      </c>
      <c r="G4358">
        <v>0</v>
      </c>
    </row>
    <row r="4359" spans="2:7" x14ac:dyDescent="0.25">
      <c r="B4359" s="70">
        <v>43428</v>
      </c>
      <c r="C4359" t="s">
        <v>52</v>
      </c>
      <c r="D4359" t="s">
        <v>426</v>
      </c>
      <c r="E4359" t="s">
        <v>427</v>
      </c>
      <c r="F4359">
        <v>127.94</v>
      </c>
      <c r="G4359">
        <v>0</v>
      </c>
    </row>
    <row r="4360" spans="2:7" x14ac:dyDescent="0.25">
      <c r="B4360" s="70">
        <v>43428</v>
      </c>
      <c r="C4360" t="s">
        <v>24</v>
      </c>
      <c r="D4360" t="s">
        <v>426</v>
      </c>
      <c r="E4360" t="s">
        <v>427</v>
      </c>
      <c r="F4360">
        <v>13.38</v>
      </c>
      <c r="G4360">
        <v>0</v>
      </c>
    </row>
    <row r="4361" spans="2:7" x14ac:dyDescent="0.25">
      <c r="B4361" s="70">
        <v>43428</v>
      </c>
      <c r="C4361" t="s">
        <v>24</v>
      </c>
      <c r="D4361" t="s">
        <v>426</v>
      </c>
      <c r="E4361" t="s">
        <v>427</v>
      </c>
      <c r="F4361">
        <v>32.549999999999997</v>
      </c>
      <c r="G4361">
        <v>0</v>
      </c>
    </row>
    <row r="4362" spans="2:7" x14ac:dyDescent="0.25">
      <c r="B4362" s="70">
        <v>43428</v>
      </c>
      <c r="C4362" t="s">
        <v>24</v>
      </c>
      <c r="D4362" t="s">
        <v>426</v>
      </c>
      <c r="E4362" t="s">
        <v>427</v>
      </c>
      <c r="F4362">
        <v>69.900000000000006</v>
      </c>
      <c r="G4362">
        <v>0</v>
      </c>
    </row>
    <row r="4363" spans="2:7" x14ac:dyDescent="0.25">
      <c r="B4363" s="70">
        <v>43428</v>
      </c>
      <c r="C4363" t="s">
        <v>24</v>
      </c>
      <c r="D4363" t="s">
        <v>426</v>
      </c>
      <c r="E4363" t="s">
        <v>427</v>
      </c>
      <c r="F4363">
        <v>77.98</v>
      </c>
      <c r="G4363">
        <v>0</v>
      </c>
    </row>
    <row r="4364" spans="2:7" x14ac:dyDescent="0.25">
      <c r="B4364" s="70">
        <v>43428</v>
      </c>
      <c r="C4364" t="s">
        <v>24</v>
      </c>
      <c r="D4364" t="s">
        <v>426</v>
      </c>
      <c r="E4364" t="s">
        <v>427</v>
      </c>
      <c r="F4364">
        <v>81.67</v>
      </c>
      <c r="G4364">
        <v>0</v>
      </c>
    </row>
    <row r="4365" spans="2:7" x14ac:dyDescent="0.25">
      <c r="B4365" s="70">
        <v>43428</v>
      </c>
      <c r="C4365" t="s">
        <v>24</v>
      </c>
      <c r="D4365" t="s">
        <v>426</v>
      </c>
      <c r="E4365" t="s">
        <v>427</v>
      </c>
      <c r="F4365">
        <v>38.840000000000003</v>
      </c>
      <c r="G4365">
        <v>0</v>
      </c>
    </row>
    <row r="4366" spans="2:7" x14ac:dyDescent="0.25">
      <c r="B4366" s="70">
        <v>43428</v>
      </c>
      <c r="C4366" t="s">
        <v>24</v>
      </c>
      <c r="D4366" t="s">
        <v>426</v>
      </c>
      <c r="E4366" t="s">
        <v>427</v>
      </c>
      <c r="F4366">
        <v>13.67</v>
      </c>
      <c r="G4366">
        <v>0</v>
      </c>
    </row>
    <row r="4367" spans="2:7" x14ac:dyDescent="0.25">
      <c r="B4367" s="70">
        <v>43428</v>
      </c>
      <c r="C4367" t="s">
        <v>24</v>
      </c>
      <c r="D4367" t="s">
        <v>426</v>
      </c>
      <c r="E4367" t="s">
        <v>427</v>
      </c>
      <c r="F4367">
        <v>13.61</v>
      </c>
      <c r="G4367">
        <v>0</v>
      </c>
    </row>
    <row r="4368" spans="2:7" x14ac:dyDescent="0.25">
      <c r="B4368" s="70">
        <v>43428</v>
      </c>
      <c r="C4368" t="s">
        <v>24</v>
      </c>
      <c r="D4368" t="s">
        <v>426</v>
      </c>
      <c r="E4368" t="s">
        <v>427</v>
      </c>
      <c r="F4368">
        <v>32.4</v>
      </c>
      <c r="G4368">
        <v>0</v>
      </c>
    </row>
    <row r="4369" spans="2:7" x14ac:dyDescent="0.25">
      <c r="B4369" s="70">
        <v>43428</v>
      </c>
      <c r="C4369" t="s">
        <v>24</v>
      </c>
      <c r="D4369" t="s">
        <v>426</v>
      </c>
      <c r="E4369" t="s">
        <v>427</v>
      </c>
      <c r="F4369">
        <v>11.02</v>
      </c>
      <c r="G4369">
        <v>0</v>
      </c>
    </row>
    <row r="4370" spans="2:7" x14ac:dyDescent="0.25">
      <c r="B4370" s="70">
        <v>43428</v>
      </c>
      <c r="C4370" t="s">
        <v>24</v>
      </c>
      <c r="D4370" t="s">
        <v>426</v>
      </c>
      <c r="E4370" t="s">
        <v>427</v>
      </c>
      <c r="F4370">
        <v>57.12</v>
      </c>
      <c r="G4370">
        <v>0</v>
      </c>
    </row>
    <row r="4371" spans="2:7" x14ac:dyDescent="0.25">
      <c r="B4371" s="70">
        <v>43428</v>
      </c>
      <c r="C4371" t="s">
        <v>24</v>
      </c>
      <c r="D4371" t="s">
        <v>426</v>
      </c>
      <c r="E4371" t="s">
        <v>427</v>
      </c>
      <c r="F4371">
        <v>29.14</v>
      </c>
      <c r="G4371">
        <v>0</v>
      </c>
    </row>
    <row r="4372" spans="2:7" x14ac:dyDescent="0.25">
      <c r="B4372" s="70">
        <v>43428</v>
      </c>
      <c r="C4372" t="s">
        <v>24</v>
      </c>
      <c r="D4372" t="s">
        <v>426</v>
      </c>
      <c r="E4372" t="s">
        <v>427</v>
      </c>
      <c r="F4372">
        <v>22.78</v>
      </c>
      <c r="G4372">
        <v>0</v>
      </c>
    </row>
    <row r="4373" spans="2:7" x14ac:dyDescent="0.25">
      <c r="B4373" s="70">
        <v>43428</v>
      </c>
      <c r="C4373" t="s">
        <v>24</v>
      </c>
      <c r="D4373" t="s">
        <v>426</v>
      </c>
      <c r="E4373" t="s">
        <v>427</v>
      </c>
      <c r="F4373">
        <v>72.040000000000006</v>
      </c>
      <c r="G4373">
        <v>0</v>
      </c>
    </row>
    <row r="4374" spans="2:7" x14ac:dyDescent="0.25">
      <c r="B4374" s="70">
        <v>43428</v>
      </c>
      <c r="C4374" t="s">
        <v>24</v>
      </c>
      <c r="D4374" t="s">
        <v>426</v>
      </c>
      <c r="E4374" t="s">
        <v>427</v>
      </c>
      <c r="F4374">
        <v>84.37</v>
      </c>
      <c r="G4374">
        <v>0</v>
      </c>
    </row>
    <row r="4375" spans="2:7" x14ac:dyDescent="0.25">
      <c r="B4375" s="70">
        <v>43428</v>
      </c>
      <c r="C4375" t="s">
        <v>24</v>
      </c>
      <c r="D4375" t="s">
        <v>426</v>
      </c>
      <c r="E4375" t="s">
        <v>427</v>
      </c>
      <c r="F4375">
        <v>87.19</v>
      </c>
      <c r="G4375">
        <v>0</v>
      </c>
    </row>
    <row r="4376" spans="2:7" x14ac:dyDescent="0.25">
      <c r="B4376" s="70">
        <v>43260</v>
      </c>
      <c r="C4376" t="s">
        <v>25</v>
      </c>
      <c r="D4376" t="s">
        <v>429</v>
      </c>
      <c r="E4376" t="s">
        <v>430</v>
      </c>
      <c r="F4376">
        <v>24</v>
      </c>
      <c r="G4376">
        <v>0</v>
      </c>
    </row>
    <row r="4377" spans="2:7" x14ac:dyDescent="0.25">
      <c r="B4377" s="70">
        <v>43260</v>
      </c>
      <c r="C4377" t="s">
        <v>25</v>
      </c>
      <c r="D4377" t="s">
        <v>429</v>
      </c>
      <c r="E4377" t="s">
        <v>430</v>
      </c>
      <c r="F4377">
        <v>66.569999999999993</v>
      </c>
      <c r="G4377">
        <v>0</v>
      </c>
    </row>
    <row r="4378" spans="2:7" x14ac:dyDescent="0.25">
      <c r="B4378" s="70">
        <v>43260</v>
      </c>
      <c r="C4378" t="s">
        <v>25</v>
      </c>
      <c r="D4378" t="s">
        <v>429</v>
      </c>
      <c r="E4378" t="s">
        <v>430</v>
      </c>
      <c r="F4378">
        <v>54.12</v>
      </c>
      <c r="G4378">
        <v>0</v>
      </c>
    </row>
    <row r="4379" spans="2:7" x14ac:dyDescent="0.25">
      <c r="B4379" s="70">
        <v>43260</v>
      </c>
      <c r="C4379" t="s">
        <v>25</v>
      </c>
      <c r="D4379" t="s">
        <v>429</v>
      </c>
      <c r="E4379" t="s">
        <v>430</v>
      </c>
      <c r="F4379">
        <v>72.33</v>
      </c>
      <c r="G4379">
        <v>0</v>
      </c>
    </row>
    <row r="4380" spans="2:7" x14ac:dyDescent="0.25">
      <c r="B4380" s="70">
        <v>43260</v>
      </c>
      <c r="C4380" t="s">
        <v>25</v>
      </c>
      <c r="D4380" t="s">
        <v>429</v>
      </c>
      <c r="E4380" t="s">
        <v>430</v>
      </c>
      <c r="F4380">
        <v>48.24</v>
      </c>
      <c r="G4380">
        <v>0</v>
      </c>
    </row>
    <row r="4381" spans="2:7" x14ac:dyDescent="0.25">
      <c r="B4381" s="70">
        <v>43260</v>
      </c>
      <c r="C4381" t="s">
        <v>25</v>
      </c>
      <c r="D4381" t="s">
        <v>429</v>
      </c>
      <c r="E4381" t="s">
        <v>430</v>
      </c>
      <c r="F4381">
        <v>21.15</v>
      </c>
      <c r="G4381">
        <v>0</v>
      </c>
    </row>
    <row r="4382" spans="2:7" x14ac:dyDescent="0.25">
      <c r="B4382" s="70">
        <v>43260</v>
      </c>
      <c r="C4382" t="s">
        <v>25</v>
      </c>
      <c r="D4382" t="s">
        <v>429</v>
      </c>
      <c r="E4382" t="s">
        <v>430</v>
      </c>
      <c r="F4382">
        <v>42.85</v>
      </c>
      <c r="G4382">
        <v>0</v>
      </c>
    </row>
    <row r="4383" spans="2:7" x14ac:dyDescent="0.25">
      <c r="B4383" s="70">
        <v>43260</v>
      </c>
      <c r="C4383" t="s">
        <v>25</v>
      </c>
      <c r="D4383" t="s">
        <v>429</v>
      </c>
      <c r="E4383" t="s">
        <v>430</v>
      </c>
      <c r="F4383">
        <v>36.020000000000003</v>
      </c>
      <c r="G4383">
        <v>0</v>
      </c>
    </row>
    <row r="4384" spans="2:7" x14ac:dyDescent="0.25">
      <c r="B4384" s="70">
        <v>43260</v>
      </c>
      <c r="C4384" t="s">
        <v>25</v>
      </c>
      <c r="D4384" t="s">
        <v>429</v>
      </c>
      <c r="E4384" t="s">
        <v>430</v>
      </c>
      <c r="F4384">
        <v>69.349999999999994</v>
      </c>
      <c r="G4384">
        <v>0</v>
      </c>
    </row>
    <row r="4385" spans="2:7" x14ac:dyDescent="0.25">
      <c r="B4385" s="70">
        <v>43260</v>
      </c>
      <c r="C4385" t="s">
        <v>25</v>
      </c>
      <c r="D4385" t="s">
        <v>429</v>
      </c>
      <c r="E4385" t="s">
        <v>430</v>
      </c>
      <c r="F4385">
        <v>33.51</v>
      </c>
      <c r="G4385">
        <v>0</v>
      </c>
    </row>
    <row r="4386" spans="2:7" x14ac:dyDescent="0.25">
      <c r="B4386" s="70">
        <v>43260</v>
      </c>
      <c r="C4386" t="s">
        <v>54</v>
      </c>
      <c r="D4386" t="s">
        <v>429</v>
      </c>
      <c r="E4386" t="s">
        <v>430</v>
      </c>
      <c r="F4386">
        <v>2620.46</v>
      </c>
      <c r="G4386">
        <v>0</v>
      </c>
    </row>
    <row r="4387" spans="2:7" x14ac:dyDescent="0.25">
      <c r="B4387" s="70">
        <v>43260</v>
      </c>
      <c r="C4387" t="s">
        <v>21</v>
      </c>
      <c r="D4387" t="s">
        <v>429</v>
      </c>
      <c r="E4387" t="s">
        <v>430</v>
      </c>
      <c r="F4387">
        <v>941.68</v>
      </c>
      <c r="G4387">
        <v>0</v>
      </c>
    </row>
    <row r="4388" spans="2:7" x14ac:dyDescent="0.25">
      <c r="B4388" s="70">
        <v>43260</v>
      </c>
      <c r="C4388" t="s">
        <v>21</v>
      </c>
      <c r="D4388" t="s">
        <v>429</v>
      </c>
      <c r="E4388" t="s">
        <v>430</v>
      </c>
      <c r="F4388">
        <v>356.87</v>
      </c>
      <c r="G4388">
        <v>0</v>
      </c>
    </row>
    <row r="4389" spans="2:7" x14ac:dyDescent="0.25">
      <c r="B4389" s="70">
        <v>43260</v>
      </c>
      <c r="C4389" t="s">
        <v>21</v>
      </c>
      <c r="D4389" t="s">
        <v>429</v>
      </c>
      <c r="E4389" t="s">
        <v>430</v>
      </c>
      <c r="F4389">
        <v>636.30999999999995</v>
      </c>
      <c r="G4389">
        <v>0</v>
      </c>
    </row>
    <row r="4390" spans="2:7" x14ac:dyDescent="0.25">
      <c r="B4390" s="70">
        <v>43260</v>
      </c>
      <c r="C4390" t="s">
        <v>21</v>
      </c>
      <c r="D4390" t="s">
        <v>429</v>
      </c>
      <c r="E4390" t="s">
        <v>430</v>
      </c>
      <c r="F4390">
        <v>523.71</v>
      </c>
      <c r="G4390">
        <v>0</v>
      </c>
    </row>
    <row r="4391" spans="2:7" x14ac:dyDescent="0.25">
      <c r="B4391" s="70">
        <v>43260</v>
      </c>
      <c r="C4391" t="s">
        <v>21</v>
      </c>
      <c r="D4391" t="s">
        <v>429</v>
      </c>
      <c r="E4391" t="s">
        <v>430</v>
      </c>
      <c r="F4391">
        <v>1317.94</v>
      </c>
      <c r="G4391">
        <v>0</v>
      </c>
    </row>
    <row r="4392" spans="2:7" x14ac:dyDescent="0.25">
      <c r="B4392" s="70">
        <v>43260</v>
      </c>
      <c r="C4392" t="s">
        <v>21</v>
      </c>
      <c r="D4392" t="s">
        <v>429</v>
      </c>
      <c r="E4392" t="s">
        <v>430</v>
      </c>
      <c r="F4392">
        <v>441.03</v>
      </c>
      <c r="G4392">
        <v>0</v>
      </c>
    </row>
    <row r="4393" spans="2:7" x14ac:dyDescent="0.25">
      <c r="B4393" s="70">
        <v>43260</v>
      </c>
      <c r="C4393" t="s">
        <v>21</v>
      </c>
      <c r="D4393" t="s">
        <v>429</v>
      </c>
      <c r="E4393" t="s">
        <v>430</v>
      </c>
      <c r="F4393">
        <v>415.06</v>
      </c>
      <c r="G4393">
        <v>0</v>
      </c>
    </row>
    <row r="4394" spans="2:7" x14ac:dyDescent="0.25">
      <c r="B4394" s="70">
        <v>43260</v>
      </c>
      <c r="C4394" t="s">
        <v>21</v>
      </c>
      <c r="D4394" t="s">
        <v>429</v>
      </c>
      <c r="E4394" t="s">
        <v>430</v>
      </c>
      <c r="F4394">
        <v>556.64</v>
      </c>
      <c r="G4394">
        <v>0</v>
      </c>
    </row>
    <row r="4395" spans="2:7" x14ac:dyDescent="0.25">
      <c r="B4395" s="70">
        <v>43260</v>
      </c>
      <c r="C4395" t="s">
        <v>21</v>
      </c>
      <c r="D4395" t="s">
        <v>429</v>
      </c>
      <c r="E4395" t="s">
        <v>430</v>
      </c>
      <c r="F4395">
        <v>571.73</v>
      </c>
      <c r="G4395">
        <v>0</v>
      </c>
    </row>
    <row r="4396" spans="2:7" x14ac:dyDescent="0.25">
      <c r="B4396" s="70">
        <v>43260</v>
      </c>
      <c r="C4396" t="s">
        <v>21</v>
      </c>
      <c r="D4396" t="s">
        <v>429</v>
      </c>
      <c r="E4396" t="s">
        <v>430</v>
      </c>
      <c r="F4396">
        <v>404.26</v>
      </c>
      <c r="G4396">
        <v>0</v>
      </c>
    </row>
    <row r="4397" spans="2:7" x14ac:dyDescent="0.25">
      <c r="B4397" s="70">
        <v>43260</v>
      </c>
      <c r="C4397" t="s">
        <v>21</v>
      </c>
      <c r="D4397" t="s">
        <v>429</v>
      </c>
      <c r="E4397" t="s">
        <v>430</v>
      </c>
      <c r="F4397">
        <v>147.52000000000001</v>
      </c>
      <c r="G4397">
        <v>0</v>
      </c>
    </row>
    <row r="4398" spans="2:7" x14ac:dyDescent="0.25">
      <c r="B4398" s="70">
        <v>43260</v>
      </c>
      <c r="C4398" t="s">
        <v>21</v>
      </c>
      <c r="D4398" t="s">
        <v>429</v>
      </c>
      <c r="E4398" t="s">
        <v>430</v>
      </c>
      <c r="F4398">
        <v>299.97000000000003</v>
      </c>
      <c r="G4398">
        <v>0</v>
      </c>
    </row>
    <row r="4399" spans="2:7" x14ac:dyDescent="0.25">
      <c r="B4399" s="70">
        <v>43260</v>
      </c>
      <c r="C4399" t="s">
        <v>21</v>
      </c>
      <c r="D4399" t="s">
        <v>429</v>
      </c>
      <c r="E4399" t="s">
        <v>430</v>
      </c>
      <c r="F4399">
        <v>165.96</v>
      </c>
      <c r="G4399">
        <v>0</v>
      </c>
    </row>
    <row r="4400" spans="2:7" x14ac:dyDescent="0.25">
      <c r="B4400" s="70">
        <v>43260</v>
      </c>
      <c r="C4400" t="s">
        <v>21</v>
      </c>
      <c r="D4400" t="s">
        <v>429</v>
      </c>
      <c r="E4400" t="s">
        <v>430</v>
      </c>
      <c r="F4400">
        <v>109.68</v>
      </c>
      <c r="G4400">
        <v>0</v>
      </c>
    </row>
    <row r="4401" spans="2:7" x14ac:dyDescent="0.25">
      <c r="B4401" s="70">
        <v>43260</v>
      </c>
      <c r="C4401" t="s">
        <v>21</v>
      </c>
      <c r="D4401" t="s">
        <v>429</v>
      </c>
      <c r="E4401" t="s">
        <v>430</v>
      </c>
      <c r="F4401">
        <v>162.99</v>
      </c>
      <c r="G4401">
        <v>0</v>
      </c>
    </row>
    <row r="4402" spans="2:7" x14ac:dyDescent="0.25">
      <c r="B4402" s="70">
        <v>43260</v>
      </c>
      <c r="C4402" t="s">
        <v>21</v>
      </c>
      <c r="D4402" t="s">
        <v>429</v>
      </c>
      <c r="E4402" t="s">
        <v>430</v>
      </c>
      <c r="F4402">
        <v>224.45</v>
      </c>
      <c r="G4402">
        <v>0</v>
      </c>
    </row>
    <row r="4403" spans="2:7" x14ac:dyDescent="0.25">
      <c r="B4403" s="70">
        <v>43260</v>
      </c>
      <c r="C4403" t="s">
        <v>21</v>
      </c>
      <c r="D4403" t="s">
        <v>429</v>
      </c>
      <c r="E4403" t="s">
        <v>430</v>
      </c>
      <c r="F4403">
        <v>1082.95</v>
      </c>
      <c r="G4403">
        <v>0</v>
      </c>
    </row>
    <row r="4404" spans="2:7" x14ac:dyDescent="0.25">
      <c r="B4404" s="70">
        <v>43260</v>
      </c>
      <c r="C4404" t="s">
        <v>21</v>
      </c>
      <c r="D4404" t="s">
        <v>429</v>
      </c>
      <c r="E4404" t="s">
        <v>430</v>
      </c>
      <c r="F4404">
        <v>197.67</v>
      </c>
      <c r="G4404">
        <v>0</v>
      </c>
    </row>
    <row r="4405" spans="2:7" x14ac:dyDescent="0.25">
      <c r="B4405" s="70">
        <v>43260</v>
      </c>
      <c r="C4405" t="s">
        <v>21</v>
      </c>
      <c r="D4405" t="s">
        <v>429</v>
      </c>
      <c r="E4405" t="s">
        <v>430</v>
      </c>
      <c r="F4405">
        <v>111.6</v>
      </c>
      <c r="G4405">
        <v>0</v>
      </c>
    </row>
    <row r="4406" spans="2:7" x14ac:dyDescent="0.25">
      <c r="B4406" s="70">
        <v>43260</v>
      </c>
      <c r="C4406" t="s">
        <v>21</v>
      </c>
      <c r="D4406" t="s">
        <v>429</v>
      </c>
      <c r="E4406" t="s">
        <v>430</v>
      </c>
      <c r="F4406">
        <v>426.16</v>
      </c>
      <c r="G4406">
        <v>0</v>
      </c>
    </row>
    <row r="4407" spans="2:7" x14ac:dyDescent="0.25">
      <c r="B4407" s="70">
        <v>43260</v>
      </c>
      <c r="C4407" t="s">
        <v>48</v>
      </c>
      <c r="D4407" t="s">
        <v>429</v>
      </c>
      <c r="E4407" t="s">
        <v>430</v>
      </c>
      <c r="F4407">
        <v>77.819999999999993</v>
      </c>
      <c r="G4407">
        <v>0</v>
      </c>
    </row>
    <row r="4408" spans="2:7" x14ac:dyDescent="0.25">
      <c r="B4408" s="70">
        <v>43260</v>
      </c>
      <c r="C4408" t="s">
        <v>55</v>
      </c>
      <c r="D4408" t="s">
        <v>429</v>
      </c>
      <c r="E4408" t="s">
        <v>430</v>
      </c>
      <c r="F4408">
        <v>114.84</v>
      </c>
      <c r="G4408">
        <v>0</v>
      </c>
    </row>
    <row r="4409" spans="2:7" x14ac:dyDescent="0.25">
      <c r="B4409" s="70">
        <v>43260</v>
      </c>
      <c r="C4409" t="s">
        <v>49</v>
      </c>
      <c r="D4409" t="s">
        <v>429</v>
      </c>
      <c r="E4409" t="s">
        <v>430</v>
      </c>
      <c r="F4409">
        <v>480.62</v>
      </c>
      <c r="G4409">
        <v>0</v>
      </c>
    </row>
    <row r="4410" spans="2:7" x14ac:dyDescent="0.25">
      <c r="B4410" s="70">
        <v>43260</v>
      </c>
      <c r="C4410" t="s">
        <v>50</v>
      </c>
      <c r="D4410" t="s">
        <v>429</v>
      </c>
      <c r="E4410" t="s">
        <v>430</v>
      </c>
      <c r="F4410">
        <v>2846.89</v>
      </c>
      <c r="G4410">
        <v>0</v>
      </c>
    </row>
    <row r="4411" spans="2:7" x14ac:dyDescent="0.25">
      <c r="B4411" s="70">
        <v>43260</v>
      </c>
      <c r="C4411" t="s">
        <v>52</v>
      </c>
      <c r="D4411" t="s">
        <v>429</v>
      </c>
      <c r="E4411" t="s">
        <v>430</v>
      </c>
      <c r="F4411">
        <v>164.44</v>
      </c>
      <c r="G4411">
        <v>0</v>
      </c>
    </row>
    <row r="4412" spans="2:7" x14ac:dyDescent="0.25">
      <c r="B4412" s="70">
        <v>43260</v>
      </c>
      <c r="C4412" t="s">
        <v>24</v>
      </c>
      <c r="D4412" t="s">
        <v>429</v>
      </c>
      <c r="E4412" t="s">
        <v>430</v>
      </c>
      <c r="F4412">
        <v>21.74</v>
      </c>
      <c r="G4412">
        <v>0</v>
      </c>
    </row>
    <row r="4413" spans="2:7" x14ac:dyDescent="0.25">
      <c r="B4413" s="70">
        <v>43260</v>
      </c>
      <c r="C4413" t="s">
        <v>24</v>
      </c>
      <c r="D4413" t="s">
        <v>429</v>
      </c>
      <c r="E4413" t="s">
        <v>430</v>
      </c>
      <c r="F4413">
        <v>28.57</v>
      </c>
      <c r="G4413">
        <v>0</v>
      </c>
    </row>
    <row r="4414" spans="2:7" x14ac:dyDescent="0.25">
      <c r="B4414" s="70">
        <v>43260</v>
      </c>
      <c r="C4414" t="s">
        <v>24</v>
      </c>
      <c r="D4414" t="s">
        <v>429</v>
      </c>
      <c r="E4414" t="s">
        <v>430</v>
      </c>
      <c r="F4414">
        <v>31.74</v>
      </c>
      <c r="G4414">
        <v>0</v>
      </c>
    </row>
    <row r="4415" spans="2:7" x14ac:dyDescent="0.25">
      <c r="B4415" s="70">
        <v>43260</v>
      </c>
      <c r="C4415" t="s">
        <v>24</v>
      </c>
      <c r="D4415" t="s">
        <v>429</v>
      </c>
      <c r="E4415" t="s">
        <v>430</v>
      </c>
      <c r="F4415">
        <v>44.52</v>
      </c>
      <c r="G4415">
        <v>0</v>
      </c>
    </row>
    <row r="4416" spans="2:7" x14ac:dyDescent="0.25">
      <c r="B4416" s="70">
        <v>43260</v>
      </c>
      <c r="C4416" t="s">
        <v>24</v>
      </c>
      <c r="D4416" t="s">
        <v>429</v>
      </c>
      <c r="E4416" t="s">
        <v>430</v>
      </c>
      <c r="F4416">
        <v>59.61</v>
      </c>
      <c r="G4416">
        <v>0</v>
      </c>
    </row>
    <row r="4417" spans="2:7" x14ac:dyDescent="0.25">
      <c r="B4417" s="70">
        <v>43260</v>
      </c>
      <c r="C4417" t="s">
        <v>24</v>
      </c>
      <c r="D4417" t="s">
        <v>429</v>
      </c>
      <c r="E4417" t="s">
        <v>430</v>
      </c>
      <c r="F4417">
        <v>17.350000000000001</v>
      </c>
      <c r="G4417">
        <v>0</v>
      </c>
    </row>
    <row r="4418" spans="2:7" x14ac:dyDescent="0.25">
      <c r="B4418" s="70">
        <v>43260</v>
      </c>
      <c r="C4418" t="s">
        <v>24</v>
      </c>
      <c r="D4418" t="s">
        <v>429</v>
      </c>
      <c r="E4418" t="s">
        <v>430</v>
      </c>
      <c r="F4418">
        <v>51.66</v>
      </c>
      <c r="G4418">
        <v>0</v>
      </c>
    </row>
    <row r="4419" spans="2:7" x14ac:dyDescent="0.25">
      <c r="B4419" s="70">
        <v>43260</v>
      </c>
      <c r="C4419" t="s">
        <v>24</v>
      </c>
      <c r="D4419" t="s">
        <v>429</v>
      </c>
      <c r="E4419" t="s">
        <v>430</v>
      </c>
      <c r="F4419">
        <v>72.03</v>
      </c>
      <c r="G4419">
        <v>0</v>
      </c>
    </row>
    <row r="4420" spans="2:7" x14ac:dyDescent="0.25">
      <c r="B4420" s="70">
        <v>43260</v>
      </c>
      <c r="C4420" t="s">
        <v>24</v>
      </c>
      <c r="D4420" t="s">
        <v>429</v>
      </c>
      <c r="E4420" t="s">
        <v>430</v>
      </c>
      <c r="F4420">
        <v>28.84</v>
      </c>
      <c r="G4420">
        <v>0</v>
      </c>
    </row>
    <row r="4421" spans="2:7" x14ac:dyDescent="0.25">
      <c r="B4421" s="70">
        <v>43260</v>
      </c>
      <c r="C4421" t="s">
        <v>24</v>
      </c>
      <c r="D4421" t="s">
        <v>429</v>
      </c>
      <c r="E4421" t="s">
        <v>430</v>
      </c>
      <c r="F4421">
        <v>26.27</v>
      </c>
      <c r="G4421">
        <v>0</v>
      </c>
    </row>
    <row r="4422" spans="2:7" x14ac:dyDescent="0.25">
      <c r="B4422" s="70">
        <v>43260</v>
      </c>
      <c r="C4422" t="s">
        <v>24</v>
      </c>
      <c r="D4422" t="s">
        <v>429</v>
      </c>
      <c r="E4422" t="s">
        <v>430</v>
      </c>
      <c r="F4422">
        <v>74.63</v>
      </c>
      <c r="G4422">
        <v>0</v>
      </c>
    </row>
    <row r="4423" spans="2:7" x14ac:dyDescent="0.25">
      <c r="B4423" s="70">
        <v>43260</v>
      </c>
      <c r="C4423" t="s">
        <v>24</v>
      </c>
      <c r="D4423" t="s">
        <v>429</v>
      </c>
      <c r="E4423" t="s">
        <v>430</v>
      </c>
      <c r="F4423">
        <v>84.76</v>
      </c>
      <c r="G4423">
        <v>0</v>
      </c>
    </row>
    <row r="4424" spans="2:7" x14ac:dyDescent="0.25">
      <c r="B4424" s="70">
        <v>43260</v>
      </c>
      <c r="C4424" t="s">
        <v>24</v>
      </c>
      <c r="D4424" t="s">
        <v>429</v>
      </c>
      <c r="E4424" t="s">
        <v>430</v>
      </c>
      <c r="F4424">
        <v>21.26</v>
      </c>
      <c r="G4424">
        <v>0</v>
      </c>
    </row>
    <row r="4425" spans="2:7" x14ac:dyDescent="0.25">
      <c r="B4425" s="70">
        <v>43260</v>
      </c>
      <c r="C4425" t="s">
        <v>24</v>
      </c>
      <c r="D4425" t="s">
        <v>429</v>
      </c>
      <c r="E4425" t="s">
        <v>430</v>
      </c>
      <c r="F4425">
        <v>75.209999999999994</v>
      </c>
      <c r="G4425">
        <v>0</v>
      </c>
    </row>
    <row r="4426" spans="2:7" x14ac:dyDescent="0.25">
      <c r="B4426" s="70">
        <v>43453</v>
      </c>
      <c r="C4426" t="s">
        <v>25</v>
      </c>
      <c r="D4426" t="s">
        <v>81</v>
      </c>
      <c r="E4426" t="s">
        <v>135</v>
      </c>
      <c r="F4426">
        <v>6.85</v>
      </c>
      <c r="G4426">
        <v>0</v>
      </c>
    </row>
    <row r="4427" spans="2:7" x14ac:dyDescent="0.25">
      <c r="B4427" s="70">
        <v>43453</v>
      </c>
      <c r="C4427" t="s">
        <v>25</v>
      </c>
      <c r="D4427" t="s">
        <v>81</v>
      </c>
      <c r="E4427" t="s">
        <v>172</v>
      </c>
      <c r="F4427">
        <v>2.9</v>
      </c>
      <c r="G4427">
        <v>0</v>
      </c>
    </row>
    <row r="4428" spans="2:7" x14ac:dyDescent="0.25">
      <c r="B4428" s="70">
        <v>43453</v>
      </c>
      <c r="C4428" t="s">
        <v>25</v>
      </c>
      <c r="D4428" t="s">
        <v>81</v>
      </c>
      <c r="E4428" t="s">
        <v>213</v>
      </c>
      <c r="F4428">
        <v>15</v>
      </c>
      <c r="G4428">
        <v>0</v>
      </c>
    </row>
    <row r="4429" spans="2:7" x14ac:dyDescent="0.25">
      <c r="B4429" s="70">
        <v>43453</v>
      </c>
      <c r="C4429" t="s">
        <v>25</v>
      </c>
      <c r="D4429" t="s">
        <v>81</v>
      </c>
      <c r="E4429" t="s">
        <v>187</v>
      </c>
      <c r="F4429">
        <v>14.55</v>
      </c>
      <c r="G4429">
        <v>0</v>
      </c>
    </row>
    <row r="4430" spans="2:7" x14ac:dyDescent="0.25">
      <c r="B4430" s="70">
        <v>43453</v>
      </c>
      <c r="C4430" t="s">
        <v>25</v>
      </c>
      <c r="D4430" t="s">
        <v>431</v>
      </c>
      <c r="E4430" t="s">
        <v>432</v>
      </c>
      <c r="F4430">
        <v>23.76</v>
      </c>
      <c r="G4430">
        <v>0</v>
      </c>
    </row>
    <row r="4431" spans="2:7" x14ac:dyDescent="0.25">
      <c r="B4431" s="70">
        <v>43453</v>
      </c>
      <c r="C4431" t="s">
        <v>25</v>
      </c>
      <c r="D4431" t="s">
        <v>431</v>
      </c>
      <c r="E4431" t="s">
        <v>432</v>
      </c>
      <c r="F4431">
        <v>150.84</v>
      </c>
      <c r="G4431">
        <v>0</v>
      </c>
    </row>
    <row r="4432" spans="2:7" x14ac:dyDescent="0.25">
      <c r="B4432" s="70">
        <v>43453</v>
      </c>
      <c r="C4432" t="s">
        <v>25</v>
      </c>
      <c r="D4432" t="s">
        <v>431</v>
      </c>
      <c r="E4432" t="s">
        <v>432</v>
      </c>
      <c r="F4432">
        <v>17.47</v>
      </c>
      <c r="G4432">
        <v>0</v>
      </c>
    </row>
    <row r="4433" spans="2:7" x14ac:dyDescent="0.25">
      <c r="B4433" s="70">
        <v>43453</v>
      </c>
      <c r="C4433" t="s">
        <v>54</v>
      </c>
      <c r="D4433" t="s">
        <v>431</v>
      </c>
      <c r="E4433" t="s">
        <v>432</v>
      </c>
      <c r="F4433">
        <v>3585</v>
      </c>
      <c r="G4433">
        <v>0</v>
      </c>
    </row>
    <row r="4434" spans="2:7" x14ac:dyDescent="0.25">
      <c r="B4434" s="70">
        <v>43453</v>
      </c>
      <c r="C4434" t="s">
        <v>46</v>
      </c>
      <c r="D4434" t="s">
        <v>82</v>
      </c>
      <c r="E4434" t="s">
        <v>433</v>
      </c>
      <c r="F4434">
        <v>14.6</v>
      </c>
      <c r="G4434">
        <v>0</v>
      </c>
    </row>
    <row r="4435" spans="2:7" x14ac:dyDescent="0.25">
      <c r="B4435" s="70">
        <v>43453</v>
      </c>
      <c r="C4435" t="s">
        <v>57</v>
      </c>
      <c r="D4435" t="s">
        <v>79</v>
      </c>
      <c r="E4435" t="s">
        <v>433</v>
      </c>
      <c r="F4435">
        <v>77.900000000000006</v>
      </c>
      <c r="G4435">
        <v>0</v>
      </c>
    </row>
    <row r="4436" spans="2:7" x14ac:dyDescent="0.25">
      <c r="B4436" s="70">
        <v>43453</v>
      </c>
      <c r="C4436" t="s">
        <v>43</v>
      </c>
      <c r="D4436" t="s">
        <v>431</v>
      </c>
      <c r="E4436" t="s">
        <v>432</v>
      </c>
      <c r="F4436">
        <v>467.52</v>
      </c>
      <c r="G4436">
        <v>0</v>
      </c>
    </row>
    <row r="4437" spans="2:7" x14ac:dyDescent="0.25">
      <c r="B4437" s="70">
        <v>43453</v>
      </c>
      <c r="C4437" t="s">
        <v>21</v>
      </c>
      <c r="D4437" t="s">
        <v>79</v>
      </c>
      <c r="E4437" t="s">
        <v>433</v>
      </c>
      <c r="F4437">
        <v>8</v>
      </c>
      <c r="G4437">
        <v>0</v>
      </c>
    </row>
    <row r="4438" spans="2:7" x14ac:dyDescent="0.25">
      <c r="B4438" s="70">
        <v>43453</v>
      </c>
      <c r="C4438" t="s">
        <v>21</v>
      </c>
      <c r="D4438" t="s">
        <v>79</v>
      </c>
      <c r="E4438" t="s">
        <v>433</v>
      </c>
      <c r="F4438">
        <v>16</v>
      </c>
      <c r="G4438">
        <v>0</v>
      </c>
    </row>
    <row r="4439" spans="2:7" x14ac:dyDescent="0.25">
      <c r="B4439" s="70">
        <v>43453</v>
      </c>
      <c r="C4439" t="s">
        <v>21</v>
      </c>
      <c r="D4439" t="s">
        <v>79</v>
      </c>
      <c r="E4439" t="s">
        <v>433</v>
      </c>
      <c r="F4439">
        <v>72</v>
      </c>
      <c r="G4439">
        <v>0</v>
      </c>
    </row>
    <row r="4440" spans="2:7" x14ac:dyDescent="0.25">
      <c r="B4440" s="70">
        <v>43453</v>
      </c>
      <c r="C4440" t="s">
        <v>21</v>
      </c>
      <c r="D4440" t="s">
        <v>431</v>
      </c>
      <c r="E4440" t="s">
        <v>432</v>
      </c>
      <c r="F4440">
        <v>728.85</v>
      </c>
      <c r="G4440">
        <v>0</v>
      </c>
    </row>
    <row r="4441" spans="2:7" x14ac:dyDescent="0.25">
      <c r="B4441" s="70">
        <v>43453</v>
      </c>
      <c r="C4441" t="s">
        <v>21</v>
      </c>
      <c r="D4441" t="s">
        <v>431</v>
      </c>
      <c r="E4441" t="s">
        <v>432</v>
      </c>
      <c r="F4441">
        <v>18.77</v>
      </c>
      <c r="G4441">
        <v>0</v>
      </c>
    </row>
    <row r="4442" spans="2:7" x14ac:dyDescent="0.25">
      <c r="B4442" s="70">
        <v>43453</v>
      </c>
      <c r="C4442" t="s">
        <v>21</v>
      </c>
      <c r="D4442" t="s">
        <v>431</v>
      </c>
      <c r="E4442" t="s">
        <v>432</v>
      </c>
      <c r="F4442">
        <v>381.53</v>
      </c>
      <c r="G4442">
        <v>0</v>
      </c>
    </row>
    <row r="4443" spans="2:7" x14ac:dyDescent="0.25">
      <c r="B4443" s="70">
        <v>43453</v>
      </c>
      <c r="C4443" t="s">
        <v>21</v>
      </c>
      <c r="D4443" t="s">
        <v>431</v>
      </c>
      <c r="E4443" t="s">
        <v>432</v>
      </c>
      <c r="F4443">
        <v>816.62</v>
      </c>
      <c r="G4443">
        <v>0</v>
      </c>
    </row>
    <row r="4444" spans="2:7" x14ac:dyDescent="0.25">
      <c r="B4444" s="70">
        <v>43453</v>
      </c>
      <c r="C4444" t="s">
        <v>21</v>
      </c>
      <c r="D4444" t="s">
        <v>431</v>
      </c>
      <c r="E4444" t="s">
        <v>432</v>
      </c>
      <c r="F4444">
        <v>174.44</v>
      </c>
      <c r="G4444">
        <v>0</v>
      </c>
    </row>
    <row r="4445" spans="2:7" x14ac:dyDescent="0.25">
      <c r="B4445" s="70">
        <v>43453</v>
      </c>
      <c r="C4445" t="s">
        <v>21</v>
      </c>
      <c r="D4445" t="s">
        <v>431</v>
      </c>
      <c r="E4445" t="s">
        <v>432</v>
      </c>
      <c r="F4445">
        <v>1708.76</v>
      </c>
      <c r="G4445">
        <v>0</v>
      </c>
    </row>
    <row r="4446" spans="2:7" x14ac:dyDescent="0.25">
      <c r="B4446" s="70">
        <v>43453</v>
      </c>
      <c r="C4446" t="s">
        <v>21</v>
      </c>
      <c r="D4446" t="s">
        <v>431</v>
      </c>
      <c r="E4446" t="s">
        <v>432</v>
      </c>
      <c r="F4446">
        <v>823.91</v>
      </c>
      <c r="G4446">
        <v>0</v>
      </c>
    </row>
    <row r="4447" spans="2:7" x14ac:dyDescent="0.25">
      <c r="B4447" s="70">
        <v>43453</v>
      </c>
      <c r="C4447" t="s">
        <v>21</v>
      </c>
      <c r="D4447" t="s">
        <v>431</v>
      </c>
      <c r="E4447" t="s">
        <v>432</v>
      </c>
      <c r="F4447">
        <v>438.4</v>
      </c>
      <c r="G4447">
        <v>0</v>
      </c>
    </row>
    <row r="4448" spans="2:7" x14ac:dyDescent="0.25">
      <c r="B4448" s="70">
        <v>43453</v>
      </c>
      <c r="C4448" t="s">
        <v>21</v>
      </c>
      <c r="D4448" t="s">
        <v>431</v>
      </c>
      <c r="E4448" t="s">
        <v>432</v>
      </c>
      <c r="F4448">
        <v>685.88</v>
      </c>
      <c r="G4448">
        <v>0</v>
      </c>
    </row>
    <row r="4449" spans="2:7" x14ac:dyDescent="0.25">
      <c r="B4449" s="70">
        <v>43453</v>
      </c>
      <c r="C4449" t="s">
        <v>21</v>
      </c>
      <c r="D4449" t="s">
        <v>431</v>
      </c>
      <c r="E4449" t="s">
        <v>432</v>
      </c>
      <c r="F4449">
        <v>659.88</v>
      </c>
      <c r="G4449">
        <v>0</v>
      </c>
    </row>
    <row r="4450" spans="2:7" x14ac:dyDescent="0.25">
      <c r="B4450" s="70">
        <v>43453</v>
      </c>
      <c r="C4450" t="s">
        <v>21</v>
      </c>
      <c r="D4450" t="s">
        <v>431</v>
      </c>
      <c r="E4450" t="s">
        <v>432</v>
      </c>
      <c r="F4450">
        <v>410.5</v>
      </c>
      <c r="G4450">
        <v>0</v>
      </c>
    </row>
    <row r="4451" spans="2:7" x14ac:dyDescent="0.25">
      <c r="B4451" s="70">
        <v>43453</v>
      </c>
      <c r="C4451" t="s">
        <v>21</v>
      </c>
      <c r="D4451" t="s">
        <v>431</v>
      </c>
      <c r="E4451" t="s">
        <v>432</v>
      </c>
      <c r="F4451">
        <v>132.25</v>
      </c>
      <c r="G4451">
        <v>0</v>
      </c>
    </row>
    <row r="4452" spans="2:7" x14ac:dyDescent="0.25">
      <c r="B4452" s="70">
        <v>43453</v>
      </c>
      <c r="C4452" t="s">
        <v>21</v>
      </c>
      <c r="D4452" t="s">
        <v>431</v>
      </c>
      <c r="E4452" t="s">
        <v>432</v>
      </c>
      <c r="F4452">
        <v>195.92</v>
      </c>
      <c r="G4452">
        <v>0</v>
      </c>
    </row>
    <row r="4453" spans="2:7" x14ac:dyDescent="0.25">
      <c r="B4453" s="70">
        <v>43453</v>
      </c>
      <c r="C4453" t="s">
        <v>21</v>
      </c>
      <c r="D4453" t="s">
        <v>431</v>
      </c>
      <c r="E4453" t="s">
        <v>432</v>
      </c>
      <c r="F4453">
        <v>420.08</v>
      </c>
      <c r="G4453">
        <v>0</v>
      </c>
    </row>
    <row r="4454" spans="2:7" x14ac:dyDescent="0.25">
      <c r="B4454" s="70">
        <v>43453</v>
      </c>
      <c r="C4454" t="s">
        <v>21</v>
      </c>
      <c r="D4454" t="s">
        <v>431</v>
      </c>
      <c r="E4454" t="s">
        <v>432</v>
      </c>
      <c r="F4454">
        <v>151.01</v>
      </c>
      <c r="G4454">
        <v>0</v>
      </c>
    </row>
    <row r="4455" spans="2:7" x14ac:dyDescent="0.25">
      <c r="B4455" s="70">
        <v>43453</v>
      </c>
      <c r="C4455" t="s">
        <v>21</v>
      </c>
      <c r="D4455" t="s">
        <v>431</v>
      </c>
      <c r="E4455" t="s">
        <v>432</v>
      </c>
      <c r="F4455">
        <v>283.88</v>
      </c>
      <c r="G4455">
        <v>0</v>
      </c>
    </row>
    <row r="4456" spans="2:7" x14ac:dyDescent="0.25">
      <c r="B4456" s="70">
        <v>43453</v>
      </c>
      <c r="C4456" t="s">
        <v>21</v>
      </c>
      <c r="D4456" t="s">
        <v>431</v>
      </c>
      <c r="E4456" t="s">
        <v>432</v>
      </c>
      <c r="F4456">
        <v>160.21</v>
      </c>
      <c r="G4456">
        <v>0</v>
      </c>
    </row>
    <row r="4457" spans="2:7" x14ac:dyDescent="0.25">
      <c r="B4457" s="70">
        <v>43453</v>
      </c>
      <c r="C4457" t="s">
        <v>21</v>
      </c>
      <c r="D4457" t="s">
        <v>431</v>
      </c>
      <c r="E4457" t="s">
        <v>432</v>
      </c>
      <c r="F4457">
        <v>414.55</v>
      </c>
      <c r="G4457">
        <v>0</v>
      </c>
    </row>
    <row r="4458" spans="2:7" x14ac:dyDescent="0.25">
      <c r="B4458" s="70">
        <v>43453</v>
      </c>
      <c r="C4458" t="s">
        <v>21</v>
      </c>
      <c r="D4458" t="s">
        <v>431</v>
      </c>
      <c r="E4458" t="s">
        <v>432</v>
      </c>
      <c r="F4458">
        <v>116.28</v>
      </c>
      <c r="G4458">
        <v>0</v>
      </c>
    </row>
    <row r="4459" spans="2:7" x14ac:dyDescent="0.25">
      <c r="B4459" s="70">
        <v>43453</v>
      </c>
      <c r="C4459" t="s">
        <v>21</v>
      </c>
      <c r="D4459" t="s">
        <v>431</v>
      </c>
      <c r="E4459" t="s">
        <v>432</v>
      </c>
      <c r="F4459">
        <v>780.23</v>
      </c>
      <c r="G4459">
        <v>0</v>
      </c>
    </row>
    <row r="4460" spans="2:7" x14ac:dyDescent="0.25">
      <c r="B4460" s="70">
        <v>43453</v>
      </c>
      <c r="C4460" t="s">
        <v>21</v>
      </c>
      <c r="D4460" t="s">
        <v>431</v>
      </c>
      <c r="E4460" t="s">
        <v>432</v>
      </c>
      <c r="F4460">
        <v>244.87</v>
      </c>
      <c r="G4460">
        <v>0</v>
      </c>
    </row>
    <row r="4461" spans="2:7" x14ac:dyDescent="0.25">
      <c r="B4461" s="70">
        <v>43453</v>
      </c>
      <c r="C4461" t="s">
        <v>21</v>
      </c>
      <c r="D4461" t="s">
        <v>431</v>
      </c>
      <c r="E4461" t="s">
        <v>432</v>
      </c>
      <c r="F4461">
        <v>268.98</v>
      </c>
      <c r="G4461">
        <v>0</v>
      </c>
    </row>
    <row r="4462" spans="2:7" x14ac:dyDescent="0.25">
      <c r="B4462" s="70">
        <v>43453</v>
      </c>
      <c r="C4462" t="s">
        <v>21</v>
      </c>
      <c r="D4462" t="s">
        <v>431</v>
      </c>
      <c r="E4462" t="s">
        <v>432</v>
      </c>
      <c r="F4462">
        <v>498.38</v>
      </c>
      <c r="G4462">
        <v>0</v>
      </c>
    </row>
    <row r="4463" spans="2:7" x14ac:dyDescent="0.25">
      <c r="B4463" s="70">
        <v>43453</v>
      </c>
      <c r="C4463" t="s">
        <v>48</v>
      </c>
      <c r="D4463" t="s">
        <v>82</v>
      </c>
      <c r="E4463" t="s">
        <v>433</v>
      </c>
      <c r="F4463">
        <v>85</v>
      </c>
      <c r="G4463">
        <v>0</v>
      </c>
    </row>
    <row r="4464" spans="2:7" x14ac:dyDescent="0.25">
      <c r="B4464" s="70">
        <v>43453</v>
      </c>
      <c r="C4464" t="s">
        <v>48</v>
      </c>
      <c r="D4464" t="s">
        <v>431</v>
      </c>
      <c r="E4464" t="s">
        <v>432</v>
      </c>
      <c r="F4464">
        <v>1744.43</v>
      </c>
      <c r="G4464">
        <v>0</v>
      </c>
    </row>
    <row r="4465" spans="2:7" x14ac:dyDescent="0.25">
      <c r="B4465" s="70">
        <v>43453</v>
      </c>
      <c r="C4465" t="s">
        <v>55</v>
      </c>
      <c r="D4465" t="s">
        <v>431</v>
      </c>
      <c r="E4465" t="s">
        <v>432</v>
      </c>
      <c r="F4465">
        <v>117.78</v>
      </c>
      <c r="G4465">
        <v>0</v>
      </c>
    </row>
    <row r="4466" spans="2:7" x14ac:dyDescent="0.25">
      <c r="B4466" s="70">
        <v>43453</v>
      </c>
      <c r="C4466" t="s">
        <v>49</v>
      </c>
      <c r="D4466" t="s">
        <v>85</v>
      </c>
      <c r="E4466" t="s">
        <v>433</v>
      </c>
      <c r="F4466">
        <v>144</v>
      </c>
      <c r="G4466">
        <v>0</v>
      </c>
    </row>
    <row r="4467" spans="2:7" x14ac:dyDescent="0.25">
      <c r="B4467" s="70">
        <v>43453</v>
      </c>
      <c r="C4467" t="s">
        <v>49</v>
      </c>
      <c r="D4467" t="s">
        <v>431</v>
      </c>
      <c r="E4467" t="s">
        <v>432</v>
      </c>
      <c r="F4467">
        <v>3298.03</v>
      </c>
      <c r="G4467">
        <v>0</v>
      </c>
    </row>
    <row r="4468" spans="2:7" x14ac:dyDescent="0.25">
      <c r="B4468" s="70">
        <v>43453</v>
      </c>
      <c r="C4468" t="s">
        <v>50</v>
      </c>
      <c r="D4468" t="s">
        <v>82</v>
      </c>
      <c r="E4468" t="s">
        <v>433</v>
      </c>
      <c r="F4468">
        <v>11.03</v>
      </c>
      <c r="G4468">
        <v>0</v>
      </c>
    </row>
    <row r="4469" spans="2:7" x14ac:dyDescent="0.25">
      <c r="B4469" s="70">
        <v>43453</v>
      </c>
      <c r="C4469" t="s">
        <v>50</v>
      </c>
      <c r="D4469" t="s">
        <v>431</v>
      </c>
      <c r="E4469" t="s">
        <v>432</v>
      </c>
      <c r="F4469">
        <v>8494.94</v>
      </c>
      <c r="G4469">
        <v>0</v>
      </c>
    </row>
    <row r="4470" spans="2:7" x14ac:dyDescent="0.25">
      <c r="B4470" s="70">
        <v>43453</v>
      </c>
      <c r="C4470" t="s">
        <v>52</v>
      </c>
      <c r="D4470" t="s">
        <v>431</v>
      </c>
      <c r="E4470" t="s">
        <v>432</v>
      </c>
      <c r="F4470">
        <v>783.85</v>
      </c>
      <c r="G4470">
        <v>0</v>
      </c>
    </row>
    <row r="4471" spans="2:7" x14ac:dyDescent="0.25">
      <c r="B4471" s="70">
        <v>43453</v>
      </c>
      <c r="C4471" t="s">
        <v>24</v>
      </c>
      <c r="D4471" t="s">
        <v>79</v>
      </c>
      <c r="E4471" t="s">
        <v>433</v>
      </c>
      <c r="F4471">
        <v>8</v>
      </c>
      <c r="G4471">
        <v>0</v>
      </c>
    </row>
    <row r="4472" spans="2:7" x14ac:dyDescent="0.25">
      <c r="B4472" s="70">
        <v>43453</v>
      </c>
      <c r="C4472" t="s">
        <v>24</v>
      </c>
      <c r="D4472" t="s">
        <v>431</v>
      </c>
      <c r="E4472" t="s">
        <v>432</v>
      </c>
      <c r="F4472">
        <v>27.72</v>
      </c>
      <c r="G4472">
        <v>0</v>
      </c>
    </row>
    <row r="4473" spans="2:7" x14ac:dyDescent="0.25">
      <c r="B4473" s="70">
        <v>43453</v>
      </c>
      <c r="C4473" t="s">
        <v>24</v>
      </c>
      <c r="D4473" t="s">
        <v>431</v>
      </c>
      <c r="E4473" t="s">
        <v>432</v>
      </c>
      <c r="F4473">
        <v>53.34</v>
      </c>
      <c r="G4473">
        <v>0</v>
      </c>
    </row>
    <row r="4474" spans="2:7" x14ac:dyDescent="0.25">
      <c r="B4474" s="70">
        <v>43453</v>
      </c>
      <c r="C4474" t="s">
        <v>24</v>
      </c>
      <c r="D4474" t="s">
        <v>431</v>
      </c>
      <c r="E4474" t="s">
        <v>432</v>
      </c>
      <c r="F4474">
        <v>11.99</v>
      </c>
      <c r="G4474">
        <v>0</v>
      </c>
    </row>
    <row r="4475" spans="2:7" x14ac:dyDescent="0.25">
      <c r="B4475" s="70">
        <v>43453</v>
      </c>
      <c r="C4475" t="s">
        <v>24</v>
      </c>
      <c r="D4475" t="s">
        <v>431</v>
      </c>
      <c r="E4475" t="s">
        <v>432</v>
      </c>
      <c r="F4475">
        <v>66.94</v>
      </c>
      <c r="G4475">
        <v>0</v>
      </c>
    </row>
    <row r="4476" spans="2:7" x14ac:dyDescent="0.25">
      <c r="B4476" s="70">
        <v>43453</v>
      </c>
      <c r="C4476" t="s">
        <v>24</v>
      </c>
      <c r="D4476" t="s">
        <v>431</v>
      </c>
      <c r="E4476" t="s">
        <v>432</v>
      </c>
      <c r="F4476">
        <v>102.33</v>
      </c>
      <c r="G4476">
        <v>0</v>
      </c>
    </row>
    <row r="4477" spans="2:7" x14ac:dyDescent="0.25">
      <c r="B4477" s="70">
        <v>43453</v>
      </c>
      <c r="C4477" t="s">
        <v>24</v>
      </c>
      <c r="D4477" t="s">
        <v>431</v>
      </c>
      <c r="E4477" t="s">
        <v>432</v>
      </c>
      <c r="F4477">
        <v>17.63</v>
      </c>
      <c r="G4477">
        <v>0</v>
      </c>
    </row>
    <row r="4478" spans="2:7" x14ac:dyDescent="0.25">
      <c r="B4478" s="70">
        <v>43453</v>
      </c>
      <c r="C4478" t="s">
        <v>24</v>
      </c>
      <c r="D4478" t="s">
        <v>431</v>
      </c>
      <c r="E4478" t="s">
        <v>432</v>
      </c>
      <c r="F4478">
        <v>15.55</v>
      </c>
      <c r="G4478">
        <v>0</v>
      </c>
    </row>
    <row r="4479" spans="2:7" x14ac:dyDescent="0.25">
      <c r="B4479" s="70">
        <v>43453</v>
      </c>
      <c r="C4479" t="s">
        <v>24</v>
      </c>
      <c r="D4479" t="s">
        <v>431</v>
      </c>
      <c r="E4479" t="s">
        <v>432</v>
      </c>
      <c r="F4479">
        <v>26.62</v>
      </c>
      <c r="G4479">
        <v>0</v>
      </c>
    </row>
    <row r="4480" spans="2:7" x14ac:dyDescent="0.25">
      <c r="B4480" s="70">
        <v>43453</v>
      </c>
      <c r="C4480" t="s">
        <v>24</v>
      </c>
      <c r="D4480" t="s">
        <v>431</v>
      </c>
      <c r="E4480" t="s">
        <v>432</v>
      </c>
      <c r="F4480">
        <v>8.17</v>
      </c>
      <c r="G4480">
        <v>0</v>
      </c>
    </row>
    <row r="4481" spans="2:7" x14ac:dyDescent="0.25">
      <c r="B4481" s="70">
        <v>43453</v>
      </c>
      <c r="C4481" t="s">
        <v>24</v>
      </c>
      <c r="D4481" t="s">
        <v>431</v>
      </c>
      <c r="E4481" t="s">
        <v>432</v>
      </c>
      <c r="F4481">
        <v>31.68</v>
      </c>
      <c r="G4481">
        <v>0</v>
      </c>
    </row>
    <row r="4482" spans="2:7" x14ac:dyDescent="0.25">
      <c r="B4482" s="70">
        <v>43453</v>
      </c>
      <c r="C4482" t="s">
        <v>24</v>
      </c>
      <c r="D4482" t="s">
        <v>431</v>
      </c>
      <c r="E4482" t="s">
        <v>432</v>
      </c>
      <c r="F4482">
        <v>24.9</v>
      </c>
      <c r="G4482">
        <v>0</v>
      </c>
    </row>
    <row r="4483" spans="2:7" x14ac:dyDescent="0.25">
      <c r="B4483" s="70">
        <v>43453</v>
      </c>
      <c r="C4483" t="s">
        <v>24</v>
      </c>
      <c r="D4483" t="s">
        <v>431</v>
      </c>
      <c r="E4483" t="s">
        <v>432</v>
      </c>
      <c r="F4483">
        <v>15.38</v>
      </c>
      <c r="G4483">
        <v>0</v>
      </c>
    </row>
    <row r="4484" spans="2:7" x14ac:dyDescent="0.25">
      <c r="B4484" s="70">
        <v>43453</v>
      </c>
      <c r="C4484" t="s">
        <v>24</v>
      </c>
      <c r="D4484" t="s">
        <v>431</v>
      </c>
      <c r="E4484" t="s">
        <v>432</v>
      </c>
      <c r="F4484">
        <v>16.13</v>
      </c>
      <c r="G4484">
        <v>0</v>
      </c>
    </row>
    <row r="4485" spans="2:7" x14ac:dyDescent="0.25">
      <c r="B4485" s="70">
        <v>43453</v>
      </c>
      <c r="C4485" t="s">
        <v>24</v>
      </c>
      <c r="D4485" t="s">
        <v>431</v>
      </c>
      <c r="E4485" t="s">
        <v>432</v>
      </c>
      <c r="F4485">
        <v>41.82</v>
      </c>
      <c r="G4485">
        <v>0</v>
      </c>
    </row>
    <row r="4486" spans="2:7" x14ac:dyDescent="0.25">
      <c r="B4486" s="70">
        <v>43453</v>
      </c>
      <c r="C4486" t="s">
        <v>60</v>
      </c>
      <c r="D4486" t="s">
        <v>431</v>
      </c>
      <c r="E4486" t="s">
        <v>432</v>
      </c>
      <c r="F4486">
        <v>128.75</v>
      </c>
      <c r="G4486">
        <v>0</v>
      </c>
    </row>
    <row r="4487" spans="2:7" x14ac:dyDescent="0.25">
      <c r="B4487" s="70">
        <v>43453</v>
      </c>
      <c r="C4487" t="s">
        <v>61</v>
      </c>
      <c r="D4487" t="s">
        <v>431</v>
      </c>
      <c r="E4487" t="s">
        <v>432</v>
      </c>
      <c r="F4487">
        <v>205.24</v>
      </c>
      <c r="G4487">
        <v>0</v>
      </c>
    </row>
    <row r="4488" spans="2:7" x14ac:dyDescent="0.25">
      <c r="B4488" s="70">
        <v>43291</v>
      </c>
      <c r="C4488" t="s">
        <v>25</v>
      </c>
      <c r="D4488" t="s">
        <v>81</v>
      </c>
      <c r="E4488" t="s">
        <v>148</v>
      </c>
      <c r="F4488">
        <v>9</v>
      </c>
      <c r="G4488">
        <v>0</v>
      </c>
    </row>
    <row r="4489" spans="2:7" x14ac:dyDescent="0.25">
      <c r="B4489" s="70">
        <v>43291</v>
      </c>
      <c r="C4489" t="s">
        <v>25</v>
      </c>
      <c r="D4489" t="s">
        <v>81</v>
      </c>
      <c r="E4489" t="s">
        <v>161</v>
      </c>
      <c r="F4489">
        <v>5.63</v>
      </c>
      <c r="G4489">
        <v>0</v>
      </c>
    </row>
    <row r="4490" spans="2:7" x14ac:dyDescent="0.25">
      <c r="B4490" s="70">
        <v>43291</v>
      </c>
      <c r="C4490" t="s">
        <v>25</v>
      </c>
      <c r="D4490" t="s">
        <v>81</v>
      </c>
      <c r="E4490" t="s">
        <v>154</v>
      </c>
      <c r="F4490">
        <v>25</v>
      </c>
      <c r="G4490">
        <v>0</v>
      </c>
    </row>
    <row r="4491" spans="2:7" x14ac:dyDescent="0.25">
      <c r="B4491" s="70">
        <v>43291</v>
      </c>
      <c r="C4491" t="s">
        <v>25</v>
      </c>
      <c r="D4491" t="s">
        <v>434</v>
      </c>
      <c r="E4491" t="s">
        <v>435</v>
      </c>
      <c r="F4491">
        <v>54.75</v>
      </c>
      <c r="G4491">
        <v>0</v>
      </c>
    </row>
    <row r="4492" spans="2:7" x14ac:dyDescent="0.25">
      <c r="B4492" s="70">
        <v>43291</v>
      </c>
      <c r="C4492" t="s">
        <v>25</v>
      </c>
      <c r="D4492" t="s">
        <v>434</v>
      </c>
      <c r="E4492" t="s">
        <v>435</v>
      </c>
      <c r="F4492">
        <v>55.58</v>
      </c>
      <c r="G4492">
        <v>0</v>
      </c>
    </row>
    <row r="4493" spans="2:7" x14ac:dyDescent="0.25">
      <c r="B4493" s="70">
        <v>43291</v>
      </c>
      <c r="C4493" t="s">
        <v>25</v>
      </c>
      <c r="D4493" t="s">
        <v>434</v>
      </c>
      <c r="E4493" t="s">
        <v>435</v>
      </c>
      <c r="F4493">
        <v>10.94</v>
      </c>
      <c r="G4493">
        <v>0</v>
      </c>
    </row>
    <row r="4494" spans="2:7" x14ac:dyDescent="0.25">
      <c r="B4494" s="70">
        <v>43291</v>
      </c>
      <c r="C4494" t="s">
        <v>54</v>
      </c>
      <c r="D4494" t="s">
        <v>434</v>
      </c>
      <c r="E4494" t="s">
        <v>435</v>
      </c>
      <c r="F4494">
        <v>512.62</v>
      </c>
      <c r="G4494">
        <v>0</v>
      </c>
    </row>
    <row r="4495" spans="2:7" x14ac:dyDescent="0.25">
      <c r="B4495" s="70">
        <v>43291</v>
      </c>
      <c r="C4495" t="s">
        <v>21</v>
      </c>
      <c r="D4495" t="s">
        <v>434</v>
      </c>
      <c r="E4495" t="s">
        <v>435</v>
      </c>
      <c r="F4495">
        <v>33.25</v>
      </c>
      <c r="G4495">
        <v>0</v>
      </c>
    </row>
    <row r="4496" spans="2:7" x14ac:dyDescent="0.25">
      <c r="B4496" s="70">
        <v>43291</v>
      </c>
      <c r="C4496" t="s">
        <v>21</v>
      </c>
      <c r="D4496" t="s">
        <v>434</v>
      </c>
      <c r="E4496" t="s">
        <v>435</v>
      </c>
      <c r="F4496">
        <v>125.74</v>
      </c>
      <c r="G4496">
        <v>0</v>
      </c>
    </row>
    <row r="4497" spans="2:7" x14ac:dyDescent="0.25">
      <c r="B4497" s="70">
        <v>43291</v>
      </c>
      <c r="C4497" t="s">
        <v>21</v>
      </c>
      <c r="D4497" t="s">
        <v>434</v>
      </c>
      <c r="E4497" t="s">
        <v>435</v>
      </c>
      <c r="F4497">
        <v>23.77</v>
      </c>
      <c r="G4497">
        <v>0</v>
      </c>
    </row>
    <row r="4498" spans="2:7" x14ac:dyDescent="0.25">
      <c r="B4498" s="70">
        <v>43291</v>
      </c>
      <c r="C4498" t="s">
        <v>21</v>
      </c>
      <c r="D4498" t="s">
        <v>434</v>
      </c>
      <c r="E4498" t="s">
        <v>435</v>
      </c>
      <c r="F4498">
        <v>717.88</v>
      </c>
      <c r="G4498">
        <v>0</v>
      </c>
    </row>
    <row r="4499" spans="2:7" x14ac:dyDescent="0.25">
      <c r="B4499" s="70">
        <v>43291</v>
      </c>
      <c r="C4499" t="s">
        <v>21</v>
      </c>
      <c r="D4499" t="s">
        <v>434</v>
      </c>
      <c r="E4499" t="s">
        <v>435</v>
      </c>
      <c r="F4499">
        <v>272.77</v>
      </c>
      <c r="G4499">
        <v>0</v>
      </c>
    </row>
    <row r="4500" spans="2:7" x14ac:dyDescent="0.25">
      <c r="B4500" s="70">
        <v>43291</v>
      </c>
      <c r="C4500" t="s">
        <v>21</v>
      </c>
      <c r="D4500" t="s">
        <v>434</v>
      </c>
      <c r="E4500" t="s">
        <v>435</v>
      </c>
      <c r="F4500">
        <v>24.12</v>
      </c>
      <c r="G4500">
        <v>0</v>
      </c>
    </row>
    <row r="4501" spans="2:7" x14ac:dyDescent="0.25">
      <c r="B4501" s="70">
        <v>43291</v>
      </c>
      <c r="C4501" t="s">
        <v>21</v>
      </c>
      <c r="D4501" t="s">
        <v>434</v>
      </c>
      <c r="E4501" t="s">
        <v>435</v>
      </c>
      <c r="F4501">
        <v>560.16999999999996</v>
      </c>
      <c r="G4501">
        <v>0</v>
      </c>
    </row>
    <row r="4502" spans="2:7" x14ac:dyDescent="0.25">
      <c r="B4502" s="70">
        <v>43291</v>
      </c>
      <c r="C4502" t="s">
        <v>21</v>
      </c>
      <c r="D4502" t="s">
        <v>434</v>
      </c>
      <c r="E4502" t="s">
        <v>435</v>
      </c>
      <c r="F4502">
        <v>429.05</v>
      </c>
      <c r="G4502">
        <v>0</v>
      </c>
    </row>
    <row r="4503" spans="2:7" x14ac:dyDescent="0.25">
      <c r="B4503" s="70">
        <v>43291</v>
      </c>
      <c r="C4503" t="s">
        <v>21</v>
      </c>
      <c r="D4503" t="s">
        <v>434</v>
      </c>
      <c r="E4503" t="s">
        <v>435</v>
      </c>
      <c r="F4503">
        <v>1749.39</v>
      </c>
      <c r="G4503">
        <v>0</v>
      </c>
    </row>
    <row r="4504" spans="2:7" x14ac:dyDescent="0.25">
      <c r="B4504" s="70">
        <v>43291</v>
      </c>
      <c r="C4504" t="s">
        <v>21</v>
      </c>
      <c r="D4504" t="s">
        <v>434</v>
      </c>
      <c r="E4504" t="s">
        <v>435</v>
      </c>
      <c r="F4504">
        <v>178.36</v>
      </c>
      <c r="G4504">
        <v>0</v>
      </c>
    </row>
    <row r="4505" spans="2:7" x14ac:dyDescent="0.25">
      <c r="B4505" s="70">
        <v>43291</v>
      </c>
      <c r="C4505" t="s">
        <v>21</v>
      </c>
      <c r="D4505" t="s">
        <v>434</v>
      </c>
      <c r="E4505" t="s">
        <v>435</v>
      </c>
      <c r="F4505">
        <v>383.97</v>
      </c>
      <c r="G4505">
        <v>0</v>
      </c>
    </row>
    <row r="4506" spans="2:7" x14ac:dyDescent="0.25">
      <c r="B4506" s="70">
        <v>43291</v>
      </c>
      <c r="C4506" t="s">
        <v>21</v>
      </c>
      <c r="D4506" t="s">
        <v>434</v>
      </c>
      <c r="E4506" t="s">
        <v>435</v>
      </c>
      <c r="F4506">
        <v>541.79999999999995</v>
      </c>
      <c r="G4506">
        <v>0</v>
      </c>
    </row>
    <row r="4507" spans="2:7" x14ac:dyDescent="0.25">
      <c r="B4507" s="70">
        <v>43291</v>
      </c>
      <c r="C4507" t="s">
        <v>21</v>
      </c>
      <c r="D4507" t="s">
        <v>434</v>
      </c>
      <c r="E4507" t="s">
        <v>435</v>
      </c>
      <c r="F4507">
        <v>380.09</v>
      </c>
      <c r="G4507">
        <v>0</v>
      </c>
    </row>
    <row r="4508" spans="2:7" x14ac:dyDescent="0.25">
      <c r="B4508" s="70">
        <v>43291</v>
      </c>
      <c r="C4508" t="s">
        <v>21</v>
      </c>
      <c r="D4508" t="s">
        <v>434</v>
      </c>
      <c r="E4508" t="s">
        <v>435</v>
      </c>
      <c r="F4508">
        <v>70.97</v>
      </c>
      <c r="G4508">
        <v>0</v>
      </c>
    </row>
    <row r="4509" spans="2:7" x14ac:dyDescent="0.25">
      <c r="B4509" s="70">
        <v>43291</v>
      </c>
      <c r="C4509" t="s">
        <v>21</v>
      </c>
      <c r="D4509" t="s">
        <v>434</v>
      </c>
      <c r="E4509" t="s">
        <v>435</v>
      </c>
      <c r="F4509">
        <v>387.3</v>
      </c>
      <c r="G4509">
        <v>0</v>
      </c>
    </row>
    <row r="4510" spans="2:7" x14ac:dyDescent="0.25">
      <c r="B4510" s="70">
        <v>43291</v>
      </c>
      <c r="C4510" t="s">
        <v>21</v>
      </c>
      <c r="D4510" t="s">
        <v>434</v>
      </c>
      <c r="E4510" t="s">
        <v>435</v>
      </c>
      <c r="F4510">
        <v>133.16999999999999</v>
      </c>
      <c r="G4510">
        <v>0</v>
      </c>
    </row>
    <row r="4511" spans="2:7" x14ac:dyDescent="0.25">
      <c r="B4511" s="70">
        <v>43291</v>
      </c>
      <c r="C4511" t="s">
        <v>21</v>
      </c>
      <c r="D4511" t="s">
        <v>434</v>
      </c>
      <c r="E4511" t="s">
        <v>435</v>
      </c>
      <c r="F4511">
        <v>40.1</v>
      </c>
      <c r="G4511">
        <v>0</v>
      </c>
    </row>
    <row r="4512" spans="2:7" x14ac:dyDescent="0.25">
      <c r="B4512" s="70">
        <v>43291</v>
      </c>
      <c r="C4512" t="s">
        <v>21</v>
      </c>
      <c r="D4512" t="s">
        <v>434</v>
      </c>
      <c r="E4512" t="s">
        <v>435</v>
      </c>
      <c r="F4512">
        <v>210.16</v>
      </c>
      <c r="G4512">
        <v>0</v>
      </c>
    </row>
    <row r="4513" spans="2:7" x14ac:dyDescent="0.25">
      <c r="B4513" s="70">
        <v>43291</v>
      </c>
      <c r="C4513" t="s">
        <v>21</v>
      </c>
      <c r="D4513" t="s">
        <v>434</v>
      </c>
      <c r="E4513" t="s">
        <v>435</v>
      </c>
      <c r="F4513">
        <v>873.47</v>
      </c>
      <c r="G4513">
        <v>0</v>
      </c>
    </row>
    <row r="4514" spans="2:7" x14ac:dyDescent="0.25">
      <c r="B4514" s="70">
        <v>43291</v>
      </c>
      <c r="C4514" t="s">
        <v>21</v>
      </c>
      <c r="D4514" t="s">
        <v>434</v>
      </c>
      <c r="E4514" t="s">
        <v>435</v>
      </c>
      <c r="F4514">
        <v>170.92</v>
      </c>
      <c r="G4514">
        <v>0</v>
      </c>
    </row>
    <row r="4515" spans="2:7" x14ac:dyDescent="0.25">
      <c r="B4515" s="70">
        <v>43291</v>
      </c>
      <c r="C4515" t="s">
        <v>21</v>
      </c>
      <c r="D4515" t="s">
        <v>434</v>
      </c>
      <c r="E4515" t="s">
        <v>435</v>
      </c>
      <c r="F4515">
        <v>12.88</v>
      </c>
      <c r="G4515">
        <v>0</v>
      </c>
    </row>
    <row r="4516" spans="2:7" x14ac:dyDescent="0.25">
      <c r="B4516" s="70">
        <v>43291</v>
      </c>
      <c r="C4516" t="s">
        <v>21</v>
      </c>
      <c r="D4516" t="s">
        <v>434</v>
      </c>
      <c r="E4516" t="s">
        <v>435</v>
      </c>
      <c r="F4516">
        <v>88.55</v>
      </c>
      <c r="G4516">
        <v>0</v>
      </c>
    </row>
    <row r="4517" spans="2:7" x14ac:dyDescent="0.25">
      <c r="B4517" s="70">
        <v>43291</v>
      </c>
      <c r="C4517" t="s">
        <v>21</v>
      </c>
      <c r="D4517" t="s">
        <v>434</v>
      </c>
      <c r="E4517" t="s">
        <v>435</v>
      </c>
      <c r="F4517">
        <v>413.49</v>
      </c>
      <c r="G4517">
        <v>0</v>
      </c>
    </row>
    <row r="4518" spans="2:7" x14ac:dyDescent="0.25">
      <c r="B4518" s="70">
        <v>43291</v>
      </c>
      <c r="C4518" t="s">
        <v>21</v>
      </c>
      <c r="D4518" t="s">
        <v>434</v>
      </c>
      <c r="E4518" t="s">
        <v>435</v>
      </c>
      <c r="F4518">
        <v>16.670000000000002</v>
      </c>
      <c r="G4518">
        <v>0</v>
      </c>
    </row>
    <row r="4519" spans="2:7" x14ac:dyDescent="0.25">
      <c r="B4519" s="70">
        <v>43291</v>
      </c>
      <c r="C4519" t="s">
        <v>21</v>
      </c>
      <c r="D4519" t="s">
        <v>434</v>
      </c>
      <c r="E4519" t="s">
        <v>435</v>
      </c>
      <c r="F4519">
        <v>73.16</v>
      </c>
      <c r="G4519">
        <v>0</v>
      </c>
    </row>
    <row r="4520" spans="2:7" x14ac:dyDescent="0.25">
      <c r="B4520" s="70">
        <v>43291</v>
      </c>
      <c r="C4520" t="s">
        <v>55</v>
      </c>
      <c r="D4520" t="s">
        <v>434</v>
      </c>
      <c r="E4520" t="s">
        <v>435</v>
      </c>
      <c r="F4520">
        <v>43.71</v>
      </c>
      <c r="G4520">
        <v>0</v>
      </c>
    </row>
    <row r="4521" spans="2:7" x14ac:dyDescent="0.25">
      <c r="B4521" s="70">
        <v>43291</v>
      </c>
      <c r="C4521" t="s">
        <v>49</v>
      </c>
      <c r="D4521" t="s">
        <v>434</v>
      </c>
      <c r="E4521" t="s">
        <v>435</v>
      </c>
      <c r="F4521">
        <v>52.88</v>
      </c>
      <c r="G4521">
        <v>0</v>
      </c>
    </row>
    <row r="4522" spans="2:7" x14ac:dyDescent="0.25">
      <c r="B4522" s="70">
        <v>43291</v>
      </c>
      <c r="C4522" t="s">
        <v>50</v>
      </c>
      <c r="D4522" t="s">
        <v>91</v>
      </c>
      <c r="E4522" t="s">
        <v>436</v>
      </c>
      <c r="F4522">
        <v>75</v>
      </c>
      <c r="G4522">
        <v>0</v>
      </c>
    </row>
    <row r="4523" spans="2:7" x14ac:dyDescent="0.25">
      <c r="B4523" s="70">
        <v>43291</v>
      </c>
      <c r="C4523" t="s">
        <v>50</v>
      </c>
      <c r="D4523" t="s">
        <v>434</v>
      </c>
      <c r="E4523" t="s">
        <v>435</v>
      </c>
      <c r="F4523">
        <v>2715.03</v>
      </c>
      <c r="G4523">
        <v>0</v>
      </c>
    </row>
    <row r="4524" spans="2:7" x14ac:dyDescent="0.25">
      <c r="B4524" s="70">
        <v>43291</v>
      </c>
      <c r="C4524" t="s">
        <v>52</v>
      </c>
      <c r="D4524" t="s">
        <v>434</v>
      </c>
      <c r="E4524" t="s">
        <v>435</v>
      </c>
      <c r="F4524">
        <v>144.66999999999999</v>
      </c>
      <c r="G4524">
        <v>0</v>
      </c>
    </row>
    <row r="4525" spans="2:7" x14ac:dyDescent="0.25">
      <c r="B4525" s="70">
        <v>43291</v>
      </c>
      <c r="C4525" t="s">
        <v>24</v>
      </c>
      <c r="D4525" t="s">
        <v>434</v>
      </c>
      <c r="E4525" t="s">
        <v>435</v>
      </c>
      <c r="F4525">
        <v>80.14</v>
      </c>
      <c r="G4525">
        <v>0</v>
      </c>
    </row>
    <row r="4526" spans="2:7" x14ac:dyDescent="0.25">
      <c r="B4526" s="70">
        <v>43291</v>
      </c>
      <c r="C4526" t="s">
        <v>24</v>
      </c>
      <c r="D4526" t="s">
        <v>434</v>
      </c>
      <c r="E4526" t="s">
        <v>435</v>
      </c>
      <c r="F4526">
        <v>148.30000000000001</v>
      </c>
      <c r="G4526">
        <v>0</v>
      </c>
    </row>
    <row r="4527" spans="2:7" x14ac:dyDescent="0.25">
      <c r="B4527" s="70">
        <v>43291</v>
      </c>
      <c r="C4527" t="s">
        <v>24</v>
      </c>
      <c r="D4527" t="s">
        <v>434</v>
      </c>
      <c r="E4527" t="s">
        <v>435</v>
      </c>
      <c r="F4527">
        <v>24.92</v>
      </c>
      <c r="G4527">
        <v>0</v>
      </c>
    </row>
    <row r="4528" spans="2:7" x14ac:dyDescent="0.25">
      <c r="B4528" s="70">
        <v>43291</v>
      </c>
      <c r="C4528" t="s">
        <v>24</v>
      </c>
      <c r="D4528" t="s">
        <v>434</v>
      </c>
      <c r="E4528" t="s">
        <v>435</v>
      </c>
      <c r="F4528">
        <v>45.96</v>
      </c>
      <c r="G4528">
        <v>0</v>
      </c>
    </row>
    <row r="4529" spans="2:7" x14ac:dyDescent="0.25">
      <c r="B4529" s="70">
        <v>43291</v>
      </c>
      <c r="C4529" t="s">
        <v>24</v>
      </c>
      <c r="D4529" t="s">
        <v>434</v>
      </c>
      <c r="E4529" t="s">
        <v>435</v>
      </c>
      <c r="F4529">
        <v>31.42</v>
      </c>
      <c r="G4529">
        <v>0</v>
      </c>
    </row>
    <row r="4530" spans="2:7" x14ac:dyDescent="0.25">
      <c r="B4530" s="70">
        <v>43291</v>
      </c>
      <c r="C4530" t="s">
        <v>24</v>
      </c>
      <c r="D4530" t="s">
        <v>434</v>
      </c>
      <c r="E4530" t="s">
        <v>435</v>
      </c>
      <c r="F4530">
        <v>154.03</v>
      </c>
      <c r="G4530">
        <v>0</v>
      </c>
    </row>
    <row r="4531" spans="2:7" x14ac:dyDescent="0.25">
      <c r="B4531" s="70">
        <v>43291</v>
      </c>
      <c r="C4531" t="s">
        <v>24</v>
      </c>
      <c r="D4531" t="s">
        <v>434</v>
      </c>
      <c r="E4531" t="s">
        <v>435</v>
      </c>
      <c r="F4531">
        <v>29.74</v>
      </c>
      <c r="G4531">
        <v>0</v>
      </c>
    </row>
    <row r="4532" spans="2:7" x14ac:dyDescent="0.25">
      <c r="B4532" s="70">
        <v>43291</v>
      </c>
      <c r="C4532" t="s">
        <v>24</v>
      </c>
      <c r="D4532" t="s">
        <v>434</v>
      </c>
      <c r="E4532" t="s">
        <v>435</v>
      </c>
      <c r="F4532">
        <v>14.06</v>
      </c>
      <c r="G4532">
        <v>0</v>
      </c>
    </row>
    <row r="4533" spans="2:7" x14ac:dyDescent="0.25">
      <c r="B4533" s="70">
        <v>43291</v>
      </c>
      <c r="C4533" t="s">
        <v>24</v>
      </c>
      <c r="D4533" t="s">
        <v>434</v>
      </c>
      <c r="E4533" t="s">
        <v>435</v>
      </c>
      <c r="F4533">
        <v>30.44</v>
      </c>
      <c r="G4533">
        <v>0</v>
      </c>
    </row>
    <row r="4534" spans="2:7" x14ac:dyDescent="0.25">
      <c r="B4534" s="70">
        <v>43291</v>
      </c>
      <c r="C4534" t="s">
        <v>24</v>
      </c>
      <c r="D4534" t="s">
        <v>434</v>
      </c>
      <c r="E4534" t="s">
        <v>435</v>
      </c>
      <c r="F4534">
        <v>112.18</v>
      </c>
      <c r="G4534">
        <v>0</v>
      </c>
    </row>
    <row r="4535" spans="2:7" x14ac:dyDescent="0.25">
      <c r="B4535" s="70">
        <v>43291</v>
      </c>
      <c r="C4535" t="s">
        <v>24</v>
      </c>
      <c r="D4535" t="s">
        <v>434</v>
      </c>
      <c r="E4535" t="s">
        <v>435</v>
      </c>
      <c r="F4535">
        <v>190.33</v>
      </c>
      <c r="G4535">
        <v>0</v>
      </c>
    </row>
    <row r="4536" spans="2:7" x14ac:dyDescent="0.25">
      <c r="B4536" s="70">
        <v>43291</v>
      </c>
      <c r="C4536" t="s">
        <v>24</v>
      </c>
      <c r="D4536" t="s">
        <v>434</v>
      </c>
      <c r="E4536" t="s">
        <v>435</v>
      </c>
      <c r="F4536">
        <v>7.36</v>
      </c>
      <c r="G4536">
        <v>0</v>
      </c>
    </row>
    <row r="4537" spans="2:7" x14ac:dyDescent="0.25">
      <c r="B4537" s="70">
        <v>43322</v>
      </c>
      <c r="C4537" t="s">
        <v>25</v>
      </c>
      <c r="D4537" t="s">
        <v>79</v>
      </c>
      <c r="E4537" t="s">
        <v>437</v>
      </c>
      <c r="F4537">
        <v>8</v>
      </c>
      <c r="G4537">
        <v>0</v>
      </c>
    </row>
    <row r="4538" spans="2:7" x14ac:dyDescent="0.25">
      <c r="B4538" s="70">
        <v>43322</v>
      </c>
      <c r="C4538" t="s">
        <v>25</v>
      </c>
      <c r="D4538" t="s">
        <v>79</v>
      </c>
      <c r="E4538" t="s">
        <v>437</v>
      </c>
      <c r="F4538">
        <v>29.98</v>
      </c>
      <c r="G4538">
        <v>0</v>
      </c>
    </row>
    <row r="4539" spans="2:7" x14ac:dyDescent="0.25">
      <c r="B4539" s="70">
        <v>43322</v>
      </c>
      <c r="C4539" t="s">
        <v>25</v>
      </c>
      <c r="D4539" t="s">
        <v>81</v>
      </c>
      <c r="E4539" t="s">
        <v>139</v>
      </c>
      <c r="F4539">
        <v>1.8</v>
      </c>
      <c r="G4539">
        <v>0</v>
      </c>
    </row>
    <row r="4540" spans="2:7" x14ac:dyDescent="0.25">
      <c r="B4540" s="70">
        <v>43322</v>
      </c>
      <c r="C4540" t="s">
        <v>25</v>
      </c>
      <c r="D4540" t="s">
        <v>82</v>
      </c>
      <c r="E4540" t="s">
        <v>437</v>
      </c>
      <c r="F4540">
        <v>70</v>
      </c>
      <c r="G4540">
        <v>0</v>
      </c>
    </row>
    <row r="4541" spans="2:7" x14ac:dyDescent="0.25">
      <c r="B4541" s="70">
        <v>43322</v>
      </c>
      <c r="C4541" t="s">
        <v>25</v>
      </c>
      <c r="D4541" t="s">
        <v>82</v>
      </c>
      <c r="E4541" t="s">
        <v>437</v>
      </c>
      <c r="F4541">
        <v>91.5</v>
      </c>
      <c r="G4541">
        <v>0</v>
      </c>
    </row>
    <row r="4542" spans="2:7" x14ac:dyDescent="0.25">
      <c r="B4542" s="70">
        <v>43322</v>
      </c>
      <c r="C4542" t="s">
        <v>25</v>
      </c>
      <c r="D4542" t="s">
        <v>438</v>
      </c>
      <c r="E4542" t="s">
        <v>439</v>
      </c>
      <c r="F4542">
        <v>43.34</v>
      </c>
      <c r="G4542">
        <v>0</v>
      </c>
    </row>
    <row r="4543" spans="2:7" x14ac:dyDescent="0.25">
      <c r="B4543" s="70">
        <v>43322</v>
      </c>
      <c r="C4543" t="s">
        <v>25</v>
      </c>
      <c r="D4543" t="s">
        <v>438</v>
      </c>
      <c r="E4543" t="s">
        <v>439</v>
      </c>
      <c r="F4543">
        <v>45.54</v>
      </c>
      <c r="G4543">
        <v>0</v>
      </c>
    </row>
    <row r="4544" spans="2:7" x14ac:dyDescent="0.25">
      <c r="B4544" s="70">
        <v>43322</v>
      </c>
      <c r="C4544" t="s">
        <v>25</v>
      </c>
      <c r="D4544" t="s">
        <v>438</v>
      </c>
      <c r="E4544" t="s">
        <v>439</v>
      </c>
      <c r="F4544">
        <v>92.26</v>
      </c>
      <c r="G4544">
        <v>0</v>
      </c>
    </row>
    <row r="4545" spans="2:7" x14ac:dyDescent="0.25">
      <c r="B4545" s="70">
        <v>43322</v>
      </c>
      <c r="C4545" t="s">
        <v>25</v>
      </c>
      <c r="D4545" t="s">
        <v>438</v>
      </c>
      <c r="E4545" t="s">
        <v>439</v>
      </c>
      <c r="F4545">
        <v>33.58</v>
      </c>
      <c r="G4545">
        <v>0</v>
      </c>
    </row>
    <row r="4546" spans="2:7" x14ac:dyDescent="0.25">
      <c r="B4546" s="70">
        <v>43322</v>
      </c>
      <c r="C4546" t="s">
        <v>25</v>
      </c>
      <c r="D4546" t="s">
        <v>438</v>
      </c>
      <c r="E4546" t="s">
        <v>439</v>
      </c>
      <c r="F4546">
        <v>68.88</v>
      </c>
      <c r="G4546">
        <v>0</v>
      </c>
    </row>
    <row r="4547" spans="2:7" x14ac:dyDescent="0.25">
      <c r="B4547" s="70">
        <v>43322</v>
      </c>
      <c r="C4547" t="s">
        <v>25</v>
      </c>
      <c r="D4547" t="s">
        <v>438</v>
      </c>
      <c r="E4547" t="s">
        <v>439</v>
      </c>
      <c r="F4547">
        <v>51.1</v>
      </c>
      <c r="G4547">
        <v>0</v>
      </c>
    </row>
    <row r="4548" spans="2:7" x14ac:dyDescent="0.25">
      <c r="B4548" s="70">
        <v>43322</v>
      </c>
      <c r="C4548" t="s">
        <v>25</v>
      </c>
      <c r="D4548" t="s">
        <v>438</v>
      </c>
      <c r="E4548" t="s">
        <v>439</v>
      </c>
      <c r="F4548">
        <v>62.37</v>
      </c>
      <c r="G4548">
        <v>0</v>
      </c>
    </row>
    <row r="4549" spans="2:7" x14ac:dyDescent="0.25">
      <c r="B4549" s="70">
        <v>43322</v>
      </c>
      <c r="C4549" t="s">
        <v>54</v>
      </c>
      <c r="D4549" t="s">
        <v>438</v>
      </c>
      <c r="E4549" t="s">
        <v>439</v>
      </c>
      <c r="F4549">
        <v>1091</v>
      </c>
      <c r="G4549">
        <v>0</v>
      </c>
    </row>
    <row r="4550" spans="2:7" x14ac:dyDescent="0.25">
      <c r="B4550" s="70">
        <v>43322</v>
      </c>
      <c r="C4550" t="s">
        <v>56</v>
      </c>
      <c r="D4550" t="s">
        <v>82</v>
      </c>
      <c r="E4550" t="s">
        <v>437</v>
      </c>
      <c r="F4550">
        <v>93.15</v>
      </c>
      <c r="G4550">
        <v>0</v>
      </c>
    </row>
    <row r="4551" spans="2:7" x14ac:dyDescent="0.25">
      <c r="B4551" s="70">
        <v>43322</v>
      </c>
      <c r="C4551" t="s">
        <v>21</v>
      </c>
      <c r="D4551" t="s">
        <v>79</v>
      </c>
      <c r="E4551" t="s">
        <v>437</v>
      </c>
      <c r="F4551">
        <v>24</v>
      </c>
      <c r="G4551">
        <v>0</v>
      </c>
    </row>
    <row r="4552" spans="2:7" x14ac:dyDescent="0.25">
      <c r="B4552" s="70">
        <v>43322</v>
      </c>
      <c r="C4552" t="s">
        <v>21</v>
      </c>
      <c r="D4552" t="s">
        <v>438</v>
      </c>
      <c r="E4552" t="s">
        <v>439</v>
      </c>
      <c r="F4552">
        <v>25.11</v>
      </c>
      <c r="G4552">
        <v>0</v>
      </c>
    </row>
    <row r="4553" spans="2:7" x14ac:dyDescent="0.25">
      <c r="B4553" s="70">
        <v>43322</v>
      </c>
      <c r="C4553" t="s">
        <v>21</v>
      </c>
      <c r="D4553" t="s">
        <v>438</v>
      </c>
      <c r="E4553" t="s">
        <v>439</v>
      </c>
      <c r="F4553">
        <v>29.5</v>
      </c>
      <c r="G4553">
        <v>0</v>
      </c>
    </row>
    <row r="4554" spans="2:7" x14ac:dyDescent="0.25">
      <c r="B4554" s="70">
        <v>43322</v>
      </c>
      <c r="C4554" t="s">
        <v>21</v>
      </c>
      <c r="D4554" t="s">
        <v>438</v>
      </c>
      <c r="E4554" t="s">
        <v>439</v>
      </c>
      <c r="F4554">
        <v>639.87</v>
      </c>
      <c r="G4554">
        <v>0</v>
      </c>
    </row>
    <row r="4555" spans="2:7" x14ac:dyDescent="0.25">
      <c r="B4555" s="70">
        <v>43322</v>
      </c>
      <c r="C4555" t="s">
        <v>21</v>
      </c>
      <c r="D4555" t="s">
        <v>438</v>
      </c>
      <c r="E4555" t="s">
        <v>439</v>
      </c>
      <c r="F4555">
        <v>234.75</v>
      </c>
      <c r="G4555">
        <v>0</v>
      </c>
    </row>
    <row r="4556" spans="2:7" x14ac:dyDescent="0.25">
      <c r="B4556" s="70">
        <v>43322</v>
      </c>
      <c r="C4556" t="s">
        <v>21</v>
      </c>
      <c r="D4556" t="s">
        <v>438</v>
      </c>
      <c r="E4556" t="s">
        <v>439</v>
      </c>
      <c r="F4556">
        <v>316.97000000000003</v>
      </c>
      <c r="G4556">
        <v>0</v>
      </c>
    </row>
    <row r="4557" spans="2:7" x14ac:dyDescent="0.25">
      <c r="B4557" s="70">
        <v>43322</v>
      </c>
      <c r="C4557" t="s">
        <v>21</v>
      </c>
      <c r="D4557" t="s">
        <v>438</v>
      </c>
      <c r="E4557" t="s">
        <v>439</v>
      </c>
      <c r="F4557">
        <v>10.68</v>
      </c>
      <c r="G4557">
        <v>0</v>
      </c>
    </row>
    <row r="4558" spans="2:7" x14ac:dyDescent="0.25">
      <c r="B4558" s="70">
        <v>43322</v>
      </c>
      <c r="C4558" t="s">
        <v>21</v>
      </c>
      <c r="D4558" t="s">
        <v>438</v>
      </c>
      <c r="E4558" t="s">
        <v>439</v>
      </c>
      <c r="F4558">
        <v>339.37</v>
      </c>
      <c r="G4558">
        <v>0</v>
      </c>
    </row>
    <row r="4559" spans="2:7" x14ac:dyDescent="0.25">
      <c r="B4559" s="70">
        <v>43322</v>
      </c>
      <c r="C4559" t="s">
        <v>21</v>
      </c>
      <c r="D4559" t="s">
        <v>438</v>
      </c>
      <c r="E4559" t="s">
        <v>439</v>
      </c>
      <c r="F4559">
        <v>1520.74</v>
      </c>
      <c r="G4559">
        <v>0</v>
      </c>
    </row>
    <row r="4560" spans="2:7" x14ac:dyDescent="0.25">
      <c r="B4560" s="70">
        <v>43322</v>
      </c>
      <c r="C4560" t="s">
        <v>21</v>
      </c>
      <c r="D4560" t="s">
        <v>438</v>
      </c>
      <c r="E4560" t="s">
        <v>439</v>
      </c>
      <c r="F4560">
        <v>164.81</v>
      </c>
      <c r="G4560">
        <v>0</v>
      </c>
    </row>
    <row r="4561" spans="2:7" x14ac:dyDescent="0.25">
      <c r="B4561" s="70">
        <v>43322</v>
      </c>
      <c r="C4561" t="s">
        <v>21</v>
      </c>
      <c r="D4561" t="s">
        <v>438</v>
      </c>
      <c r="E4561" t="s">
        <v>439</v>
      </c>
      <c r="F4561">
        <v>362.75</v>
      </c>
      <c r="G4561">
        <v>0</v>
      </c>
    </row>
    <row r="4562" spans="2:7" x14ac:dyDescent="0.25">
      <c r="B4562" s="70">
        <v>43322</v>
      </c>
      <c r="C4562" t="s">
        <v>21</v>
      </c>
      <c r="D4562" t="s">
        <v>438</v>
      </c>
      <c r="E4562" t="s">
        <v>439</v>
      </c>
      <c r="F4562">
        <v>496.79</v>
      </c>
      <c r="G4562">
        <v>0</v>
      </c>
    </row>
    <row r="4563" spans="2:7" x14ac:dyDescent="0.25">
      <c r="B4563" s="70">
        <v>43322</v>
      </c>
      <c r="C4563" t="s">
        <v>21</v>
      </c>
      <c r="D4563" t="s">
        <v>438</v>
      </c>
      <c r="E4563" t="s">
        <v>439</v>
      </c>
      <c r="F4563">
        <v>41.48</v>
      </c>
      <c r="G4563">
        <v>0</v>
      </c>
    </row>
    <row r="4564" spans="2:7" x14ac:dyDescent="0.25">
      <c r="B4564" s="70">
        <v>43322</v>
      </c>
      <c r="C4564" t="s">
        <v>21</v>
      </c>
      <c r="D4564" t="s">
        <v>438</v>
      </c>
      <c r="E4564" t="s">
        <v>439</v>
      </c>
      <c r="F4564">
        <v>244</v>
      </c>
      <c r="G4564">
        <v>0</v>
      </c>
    </row>
    <row r="4565" spans="2:7" x14ac:dyDescent="0.25">
      <c r="B4565" s="70">
        <v>43322</v>
      </c>
      <c r="C4565" t="s">
        <v>21</v>
      </c>
      <c r="D4565" t="s">
        <v>438</v>
      </c>
      <c r="E4565" t="s">
        <v>439</v>
      </c>
      <c r="F4565">
        <v>365.79</v>
      </c>
      <c r="G4565">
        <v>0</v>
      </c>
    </row>
    <row r="4566" spans="2:7" x14ac:dyDescent="0.25">
      <c r="B4566" s="70">
        <v>43322</v>
      </c>
      <c r="C4566" t="s">
        <v>21</v>
      </c>
      <c r="D4566" t="s">
        <v>438</v>
      </c>
      <c r="E4566" t="s">
        <v>439</v>
      </c>
      <c r="F4566">
        <v>30.02</v>
      </c>
      <c r="G4566">
        <v>0</v>
      </c>
    </row>
    <row r="4567" spans="2:7" x14ac:dyDescent="0.25">
      <c r="B4567" s="70">
        <v>43322</v>
      </c>
      <c r="C4567" t="s">
        <v>21</v>
      </c>
      <c r="D4567" t="s">
        <v>438</v>
      </c>
      <c r="E4567" t="s">
        <v>439</v>
      </c>
      <c r="F4567">
        <v>86.54</v>
      </c>
      <c r="G4567">
        <v>0</v>
      </c>
    </row>
    <row r="4568" spans="2:7" x14ac:dyDescent="0.25">
      <c r="B4568" s="70">
        <v>43322</v>
      </c>
      <c r="C4568" t="s">
        <v>21</v>
      </c>
      <c r="D4568" t="s">
        <v>438</v>
      </c>
      <c r="E4568" t="s">
        <v>439</v>
      </c>
      <c r="F4568">
        <v>338.3</v>
      </c>
      <c r="G4568">
        <v>0</v>
      </c>
    </row>
    <row r="4569" spans="2:7" x14ac:dyDescent="0.25">
      <c r="B4569" s="70">
        <v>43322</v>
      </c>
      <c r="C4569" t="s">
        <v>21</v>
      </c>
      <c r="D4569" t="s">
        <v>438</v>
      </c>
      <c r="E4569" t="s">
        <v>439</v>
      </c>
      <c r="F4569">
        <v>51.02</v>
      </c>
      <c r="G4569">
        <v>0</v>
      </c>
    </row>
    <row r="4570" spans="2:7" x14ac:dyDescent="0.25">
      <c r="B4570" s="70">
        <v>43322</v>
      </c>
      <c r="C4570" t="s">
        <v>21</v>
      </c>
      <c r="D4570" t="s">
        <v>438</v>
      </c>
      <c r="E4570" t="s">
        <v>439</v>
      </c>
      <c r="F4570">
        <v>145.5</v>
      </c>
      <c r="G4570">
        <v>0</v>
      </c>
    </row>
    <row r="4571" spans="2:7" x14ac:dyDescent="0.25">
      <c r="B4571" s="70">
        <v>43322</v>
      </c>
      <c r="C4571" t="s">
        <v>21</v>
      </c>
      <c r="D4571" t="s">
        <v>438</v>
      </c>
      <c r="E4571" t="s">
        <v>439</v>
      </c>
      <c r="F4571">
        <v>30.14</v>
      </c>
      <c r="G4571">
        <v>0</v>
      </c>
    </row>
    <row r="4572" spans="2:7" x14ac:dyDescent="0.25">
      <c r="B4572" s="70">
        <v>43322</v>
      </c>
      <c r="C4572" t="s">
        <v>21</v>
      </c>
      <c r="D4572" t="s">
        <v>438</v>
      </c>
      <c r="E4572" t="s">
        <v>439</v>
      </c>
      <c r="F4572">
        <v>233.51</v>
      </c>
      <c r="G4572">
        <v>0</v>
      </c>
    </row>
    <row r="4573" spans="2:7" x14ac:dyDescent="0.25">
      <c r="B4573" s="70">
        <v>43322</v>
      </c>
      <c r="C4573" t="s">
        <v>21</v>
      </c>
      <c r="D4573" t="s">
        <v>438</v>
      </c>
      <c r="E4573" t="s">
        <v>439</v>
      </c>
      <c r="F4573">
        <v>228.39</v>
      </c>
      <c r="G4573">
        <v>0</v>
      </c>
    </row>
    <row r="4574" spans="2:7" x14ac:dyDescent="0.25">
      <c r="B4574" s="70">
        <v>43322</v>
      </c>
      <c r="C4574" t="s">
        <v>21</v>
      </c>
      <c r="D4574" t="s">
        <v>438</v>
      </c>
      <c r="E4574" t="s">
        <v>439</v>
      </c>
      <c r="F4574">
        <v>50.1</v>
      </c>
      <c r="G4574">
        <v>0</v>
      </c>
    </row>
    <row r="4575" spans="2:7" x14ac:dyDescent="0.25">
      <c r="B4575" s="70">
        <v>43322</v>
      </c>
      <c r="C4575" t="s">
        <v>21</v>
      </c>
      <c r="D4575" t="s">
        <v>438</v>
      </c>
      <c r="E4575" t="s">
        <v>439</v>
      </c>
      <c r="F4575">
        <v>549.44000000000005</v>
      </c>
      <c r="G4575">
        <v>0</v>
      </c>
    </row>
    <row r="4576" spans="2:7" x14ac:dyDescent="0.25">
      <c r="B4576" s="70">
        <v>43322</v>
      </c>
      <c r="C4576" t="s">
        <v>21</v>
      </c>
      <c r="D4576" t="s">
        <v>438</v>
      </c>
      <c r="E4576" t="s">
        <v>439</v>
      </c>
      <c r="F4576">
        <v>14.1</v>
      </c>
      <c r="G4576">
        <v>0</v>
      </c>
    </row>
    <row r="4577" spans="2:7" x14ac:dyDescent="0.25">
      <c r="B4577" s="70">
        <v>43322</v>
      </c>
      <c r="C4577" t="s">
        <v>21</v>
      </c>
      <c r="D4577" t="s">
        <v>438</v>
      </c>
      <c r="E4577" t="s">
        <v>439</v>
      </c>
      <c r="F4577">
        <v>143.71</v>
      </c>
      <c r="G4577">
        <v>0</v>
      </c>
    </row>
    <row r="4578" spans="2:7" x14ac:dyDescent="0.25">
      <c r="B4578" s="70">
        <v>43322</v>
      </c>
      <c r="C4578" t="s">
        <v>21</v>
      </c>
      <c r="D4578" t="s">
        <v>438</v>
      </c>
      <c r="E4578" t="s">
        <v>439</v>
      </c>
      <c r="F4578">
        <v>106.23</v>
      </c>
      <c r="G4578">
        <v>0</v>
      </c>
    </row>
    <row r="4579" spans="2:7" x14ac:dyDescent="0.25">
      <c r="B4579" s="70">
        <v>43322</v>
      </c>
      <c r="C4579" t="s">
        <v>21</v>
      </c>
      <c r="D4579" t="s">
        <v>438</v>
      </c>
      <c r="E4579" t="s">
        <v>439</v>
      </c>
      <c r="F4579">
        <v>503.99</v>
      </c>
      <c r="G4579">
        <v>0</v>
      </c>
    </row>
    <row r="4580" spans="2:7" x14ac:dyDescent="0.25">
      <c r="B4580" s="70">
        <v>43322</v>
      </c>
      <c r="C4580" t="s">
        <v>21</v>
      </c>
      <c r="D4580" t="s">
        <v>438</v>
      </c>
      <c r="E4580" t="s">
        <v>439</v>
      </c>
      <c r="F4580">
        <v>37.19</v>
      </c>
      <c r="G4580">
        <v>0</v>
      </c>
    </row>
    <row r="4581" spans="2:7" x14ac:dyDescent="0.25">
      <c r="B4581" s="70">
        <v>43322</v>
      </c>
      <c r="C4581" t="s">
        <v>48</v>
      </c>
      <c r="D4581" t="s">
        <v>438</v>
      </c>
      <c r="E4581" t="s">
        <v>439</v>
      </c>
      <c r="F4581">
        <v>1356.16</v>
      </c>
      <c r="G4581">
        <v>0</v>
      </c>
    </row>
    <row r="4582" spans="2:7" x14ac:dyDescent="0.25">
      <c r="B4582" s="70">
        <v>43322</v>
      </c>
      <c r="C4582" t="s">
        <v>55</v>
      </c>
      <c r="D4582" t="s">
        <v>438</v>
      </c>
      <c r="E4582" t="s">
        <v>439</v>
      </c>
      <c r="F4582">
        <v>35.08</v>
      </c>
      <c r="G4582">
        <v>0</v>
      </c>
    </row>
    <row r="4583" spans="2:7" x14ac:dyDescent="0.25">
      <c r="B4583" s="70">
        <v>43322</v>
      </c>
      <c r="C4583" t="s">
        <v>49</v>
      </c>
      <c r="D4583" t="s">
        <v>438</v>
      </c>
      <c r="E4583" t="s">
        <v>439</v>
      </c>
      <c r="F4583">
        <v>435.82</v>
      </c>
      <c r="G4583">
        <v>0</v>
      </c>
    </row>
    <row r="4584" spans="2:7" x14ac:dyDescent="0.25">
      <c r="B4584" s="70">
        <v>43322</v>
      </c>
      <c r="C4584" t="s">
        <v>50</v>
      </c>
      <c r="D4584" t="s">
        <v>82</v>
      </c>
      <c r="E4584" t="s">
        <v>437</v>
      </c>
      <c r="F4584">
        <v>15.46</v>
      </c>
      <c r="G4584">
        <v>0</v>
      </c>
    </row>
    <row r="4585" spans="2:7" x14ac:dyDescent="0.25">
      <c r="B4585" s="70">
        <v>43322</v>
      </c>
      <c r="C4585" t="s">
        <v>50</v>
      </c>
      <c r="D4585" t="s">
        <v>438</v>
      </c>
      <c r="E4585" t="s">
        <v>439</v>
      </c>
      <c r="F4585">
        <v>3292.47</v>
      </c>
      <c r="G4585">
        <v>0</v>
      </c>
    </row>
    <row r="4586" spans="2:7" x14ac:dyDescent="0.25">
      <c r="B4586" s="70">
        <v>43322</v>
      </c>
      <c r="C4586" t="s">
        <v>52</v>
      </c>
      <c r="D4586" t="s">
        <v>438</v>
      </c>
      <c r="E4586" t="s">
        <v>439</v>
      </c>
      <c r="F4586">
        <v>64.55</v>
      </c>
      <c r="G4586">
        <v>0</v>
      </c>
    </row>
    <row r="4587" spans="2:7" x14ac:dyDescent="0.25">
      <c r="B4587" s="70">
        <v>43322</v>
      </c>
      <c r="C4587" t="s">
        <v>58</v>
      </c>
      <c r="D4587" t="s">
        <v>84</v>
      </c>
      <c r="E4587" t="s">
        <v>437</v>
      </c>
      <c r="F4587">
        <v>108.4</v>
      </c>
      <c r="G4587">
        <v>0</v>
      </c>
    </row>
    <row r="4588" spans="2:7" x14ac:dyDescent="0.25">
      <c r="B4588" s="70">
        <v>43322</v>
      </c>
      <c r="C4588" t="s">
        <v>65</v>
      </c>
      <c r="D4588" t="s">
        <v>82</v>
      </c>
      <c r="E4588" t="s">
        <v>437</v>
      </c>
      <c r="F4588">
        <v>7.2</v>
      </c>
      <c r="G4588">
        <v>0</v>
      </c>
    </row>
    <row r="4589" spans="2:7" x14ac:dyDescent="0.25">
      <c r="B4589" s="70">
        <v>43322</v>
      </c>
      <c r="C4589" t="s">
        <v>24</v>
      </c>
      <c r="D4589" t="s">
        <v>438</v>
      </c>
      <c r="E4589" t="s">
        <v>439</v>
      </c>
      <c r="F4589">
        <v>28</v>
      </c>
      <c r="G4589">
        <v>0</v>
      </c>
    </row>
    <row r="4590" spans="2:7" x14ac:dyDescent="0.25">
      <c r="B4590" s="70">
        <v>43322</v>
      </c>
      <c r="C4590" t="s">
        <v>24</v>
      </c>
      <c r="D4590" t="s">
        <v>438</v>
      </c>
      <c r="E4590" t="s">
        <v>439</v>
      </c>
      <c r="F4590">
        <v>31.75</v>
      </c>
      <c r="G4590">
        <v>0</v>
      </c>
    </row>
    <row r="4591" spans="2:7" x14ac:dyDescent="0.25">
      <c r="B4591" s="70">
        <v>43322</v>
      </c>
      <c r="C4591" t="s">
        <v>24</v>
      </c>
      <c r="D4591" t="s">
        <v>438</v>
      </c>
      <c r="E4591" t="s">
        <v>439</v>
      </c>
      <c r="F4591">
        <v>45.75</v>
      </c>
      <c r="G4591">
        <v>0</v>
      </c>
    </row>
    <row r="4592" spans="2:7" x14ac:dyDescent="0.25">
      <c r="B4592" s="70">
        <v>43322</v>
      </c>
      <c r="C4592" t="s">
        <v>24</v>
      </c>
      <c r="D4592" t="s">
        <v>438</v>
      </c>
      <c r="E4592" t="s">
        <v>439</v>
      </c>
      <c r="F4592">
        <v>49.79</v>
      </c>
      <c r="G4592">
        <v>0</v>
      </c>
    </row>
    <row r="4593" spans="2:7" x14ac:dyDescent="0.25">
      <c r="B4593" s="70">
        <v>43322</v>
      </c>
      <c r="C4593" t="s">
        <v>24</v>
      </c>
      <c r="D4593" t="s">
        <v>438</v>
      </c>
      <c r="E4593" t="s">
        <v>439</v>
      </c>
      <c r="F4593">
        <v>52.73</v>
      </c>
      <c r="G4593">
        <v>0</v>
      </c>
    </row>
    <row r="4594" spans="2:7" x14ac:dyDescent="0.25">
      <c r="B4594" s="70">
        <v>43322</v>
      </c>
      <c r="C4594" t="s">
        <v>24</v>
      </c>
      <c r="D4594" t="s">
        <v>438</v>
      </c>
      <c r="E4594" t="s">
        <v>439</v>
      </c>
      <c r="F4594">
        <v>57.73</v>
      </c>
      <c r="G4594">
        <v>0</v>
      </c>
    </row>
    <row r="4595" spans="2:7" x14ac:dyDescent="0.25">
      <c r="B4595" s="70">
        <v>43322</v>
      </c>
      <c r="C4595" t="s">
        <v>24</v>
      </c>
      <c r="D4595" t="s">
        <v>438</v>
      </c>
      <c r="E4595" t="s">
        <v>439</v>
      </c>
      <c r="F4595">
        <v>121.69</v>
      </c>
      <c r="G4595">
        <v>0</v>
      </c>
    </row>
    <row r="4596" spans="2:7" x14ac:dyDescent="0.25">
      <c r="B4596" s="70">
        <v>43322</v>
      </c>
      <c r="C4596" t="s">
        <v>24</v>
      </c>
      <c r="D4596" t="s">
        <v>438</v>
      </c>
      <c r="E4596" t="s">
        <v>439</v>
      </c>
      <c r="F4596">
        <v>13.33</v>
      </c>
      <c r="G4596">
        <v>0</v>
      </c>
    </row>
    <row r="4597" spans="2:7" x14ac:dyDescent="0.25">
      <c r="B4597" s="70">
        <v>43322</v>
      </c>
      <c r="C4597" t="s">
        <v>24</v>
      </c>
      <c r="D4597" t="s">
        <v>438</v>
      </c>
      <c r="E4597" t="s">
        <v>439</v>
      </c>
      <c r="F4597">
        <v>88.67</v>
      </c>
      <c r="G4597">
        <v>0</v>
      </c>
    </row>
    <row r="4598" spans="2:7" x14ac:dyDescent="0.25">
      <c r="B4598" s="70">
        <v>43322</v>
      </c>
      <c r="C4598" t="s">
        <v>24</v>
      </c>
      <c r="D4598" t="s">
        <v>438</v>
      </c>
      <c r="E4598" t="s">
        <v>439</v>
      </c>
      <c r="F4598">
        <v>39.61</v>
      </c>
      <c r="G4598">
        <v>0</v>
      </c>
    </row>
    <row r="4599" spans="2:7" x14ac:dyDescent="0.25">
      <c r="B4599" s="70">
        <v>43322</v>
      </c>
      <c r="C4599" t="s">
        <v>24</v>
      </c>
      <c r="D4599" t="s">
        <v>438</v>
      </c>
      <c r="E4599" t="s">
        <v>439</v>
      </c>
      <c r="F4599">
        <v>17.829999999999998</v>
      </c>
      <c r="G4599">
        <v>0</v>
      </c>
    </row>
    <row r="4600" spans="2:7" x14ac:dyDescent="0.25">
      <c r="B4600" s="70">
        <v>43322</v>
      </c>
      <c r="C4600" t="s">
        <v>24</v>
      </c>
      <c r="D4600" t="s">
        <v>438</v>
      </c>
      <c r="E4600" t="s">
        <v>439</v>
      </c>
      <c r="F4600">
        <v>22.58</v>
      </c>
      <c r="G4600">
        <v>0</v>
      </c>
    </row>
    <row r="4601" spans="2:7" x14ac:dyDescent="0.25">
      <c r="B4601" s="70">
        <v>43322</v>
      </c>
      <c r="C4601" t="s">
        <v>24</v>
      </c>
      <c r="D4601" t="s">
        <v>438</v>
      </c>
      <c r="E4601" t="s">
        <v>439</v>
      </c>
      <c r="F4601">
        <v>28.78</v>
      </c>
      <c r="G4601">
        <v>0</v>
      </c>
    </row>
    <row r="4602" spans="2:7" x14ac:dyDescent="0.25">
      <c r="B4602" s="70">
        <v>43322</v>
      </c>
      <c r="C4602" t="s">
        <v>24</v>
      </c>
      <c r="D4602" t="s">
        <v>438</v>
      </c>
      <c r="E4602" t="s">
        <v>439</v>
      </c>
      <c r="F4602">
        <v>33.15</v>
      </c>
      <c r="G4602">
        <v>0</v>
      </c>
    </row>
    <row r="4603" spans="2:7" x14ac:dyDescent="0.25">
      <c r="B4603" s="70">
        <v>43322</v>
      </c>
      <c r="C4603" t="s">
        <v>24</v>
      </c>
      <c r="D4603" t="s">
        <v>438</v>
      </c>
      <c r="E4603" t="s">
        <v>439</v>
      </c>
      <c r="F4603">
        <v>30.87</v>
      </c>
      <c r="G4603">
        <v>0</v>
      </c>
    </row>
    <row r="4604" spans="2:7" x14ac:dyDescent="0.25">
      <c r="B4604" s="70">
        <v>43322</v>
      </c>
      <c r="C4604" t="s">
        <v>24</v>
      </c>
      <c r="D4604" t="s">
        <v>438</v>
      </c>
      <c r="E4604" t="s">
        <v>439</v>
      </c>
      <c r="F4604">
        <v>169.99</v>
      </c>
      <c r="G4604">
        <v>0</v>
      </c>
    </row>
    <row r="4605" spans="2:7" x14ac:dyDescent="0.25">
      <c r="B4605" s="70">
        <v>43322</v>
      </c>
      <c r="C4605" t="s">
        <v>24</v>
      </c>
      <c r="D4605" t="s">
        <v>438</v>
      </c>
      <c r="E4605" t="s">
        <v>439</v>
      </c>
      <c r="F4605">
        <v>12.88</v>
      </c>
      <c r="G4605">
        <v>0</v>
      </c>
    </row>
    <row r="4606" spans="2:7" x14ac:dyDescent="0.25">
      <c r="B4606" s="70">
        <v>43322</v>
      </c>
      <c r="C4606" t="s">
        <v>24</v>
      </c>
      <c r="D4606" t="s">
        <v>438</v>
      </c>
      <c r="E4606" t="s">
        <v>439</v>
      </c>
      <c r="F4606">
        <v>30.27</v>
      </c>
      <c r="G4606">
        <v>0</v>
      </c>
    </row>
    <row r="4607" spans="2:7" x14ac:dyDescent="0.25">
      <c r="B4607" s="70">
        <v>43322</v>
      </c>
      <c r="C4607" t="s">
        <v>24</v>
      </c>
      <c r="D4607" t="s">
        <v>438</v>
      </c>
      <c r="E4607" t="s">
        <v>439</v>
      </c>
      <c r="F4607">
        <v>86.35</v>
      </c>
      <c r="G4607">
        <v>0</v>
      </c>
    </row>
    <row r="4608" spans="2:7" x14ac:dyDescent="0.25">
      <c r="B4608" s="70">
        <v>43322</v>
      </c>
      <c r="C4608" t="s">
        <v>60</v>
      </c>
      <c r="D4608" t="s">
        <v>438</v>
      </c>
      <c r="E4608" t="s">
        <v>439</v>
      </c>
      <c r="F4608">
        <v>549.17999999999995</v>
      </c>
      <c r="G4608">
        <v>0</v>
      </c>
    </row>
    <row r="4609" spans="2:7" x14ac:dyDescent="0.25">
      <c r="B4609" s="70">
        <v>43322</v>
      </c>
      <c r="C4609" t="s">
        <v>61</v>
      </c>
      <c r="D4609" t="s">
        <v>82</v>
      </c>
      <c r="E4609" t="s">
        <v>437</v>
      </c>
      <c r="F4609">
        <v>10.25</v>
      </c>
      <c r="G4609">
        <v>0</v>
      </c>
    </row>
    <row r="4610" spans="2:7" x14ac:dyDescent="0.25">
      <c r="B4610" s="70">
        <v>43306</v>
      </c>
      <c r="C4610" t="s">
        <v>25</v>
      </c>
      <c r="D4610" t="s">
        <v>81</v>
      </c>
      <c r="E4610" t="s">
        <v>333</v>
      </c>
      <c r="F4610">
        <v>19.5</v>
      </c>
      <c r="G4610">
        <v>0</v>
      </c>
    </row>
    <row r="4611" spans="2:7" x14ac:dyDescent="0.25">
      <c r="B4611" s="70">
        <v>43306</v>
      </c>
      <c r="C4611" t="s">
        <v>25</v>
      </c>
      <c r="D4611" t="s">
        <v>81</v>
      </c>
      <c r="E4611" t="s">
        <v>161</v>
      </c>
      <c r="F4611">
        <v>17.399999999999999</v>
      </c>
      <c r="G4611">
        <v>0</v>
      </c>
    </row>
    <row r="4612" spans="2:7" x14ac:dyDescent="0.25">
      <c r="B4612" s="70">
        <v>43306</v>
      </c>
      <c r="C4612" t="s">
        <v>25</v>
      </c>
      <c r="D4612" t="s">
        <v>81</v>
      </c>
      <c r="E4612" t="s">
        <v>132</v>
      </c>
      <c r="F4612">
        <v>2.4</v>
      </c>
      <c r="G4612">
        <v>0</v>
      </c>
    </row>
    <row r="4613" spans="2:7" x14ac:dyDescent="0.25">
      <c r="B4613" s="70">
        <v>43306</v>
      </c>
      <c r="C4613" t="s">
        <v>25</v>
      </c>
      <c r="D4613" t="s">
        <v>82</v>
      </c>
      <c r="E4613" t="s">
        <v>440</v>
      </c>
      <c r="F4613">
        <v>338</v>
      </c>
      <c r="G4613">
        <v>0</v>
      </c>
    </row>
    <row r="4614" spans="2:7" x14ac:dyDescent="0.25">
      <c r="B4614" s="70">
        <v>43306</v>
      </c>
      <c r="C4614" t="s">
        <v>25</v>
      </c>
      <c r="D4614" t="s">
        <v>441</v>
      </c>
      <c r="E4614" t="s">
        <v>442</v>
      </c>
      <c r="F4614">
        <v>45.24</v>
      </c>
      <c r="G4614">
        <v>0</v>
      </c>
    </row>
    <row r="4615" spans="2:7" x14ac:dyDescent="0.25">
      <c r="B4615" s="70">
        <v>43306</v>
      </c>
      <c r="C4615" t="s">
        <v>25</v>
      </c>
      <c r="D4615" t="s">
        <v>441</v>
      </c>
      <c r="E4615" t="s">
        <v>442</v>
      </c>
      <c r="F4615">
        <v>15.09</v>
      </c>
      <c r="G4615">
        <v>0</v>
      </c>
    </row>
    <row r="4616" spans="2:7" x14ac:dyDescent="0.25">
      <c r="B4616" s="70">
        <v>43306</v>
      </c>
      <c r="C4616" t="s">
        <v>25</v>
      </c>
      <c r="D4616" t="s">
        <v>441</v>
      </c>
      <c r="E4616" t="s">
        <v>442</v>
      </c>
      <c r="F4616">
        <v>52.41</v>
      </c>
      <c r="G4616">
        <v>0</v>
      </c>
    </row>
    <row r="4617" spans="2:7" x14ac:dyDescent="0.25">
      <c r="B4617" s="70">
        <v>43306</v>
      </c>
      <c r="C4617" t="s">
        <v>25</v>
      </c>
      <c r="D4617" t="s">
        <v>441</v>
      </c>
      <c r="E4617" t="s">
        <v>442</v>
      </c>
      <c r="F4617">
        <v>86.75</v>
      </c>
      <c r="G4617">
        <v>0</v>
      </c>
    </row>
    <row r="4618" spans="2:7" x14ac:dyDescent="0.25">
      <c r="B4618" s="70">
        <v>43306</v>
      </c>
      <c r="C4618" t="s">
        <v>25</v>
      </c>
      <c r="D4618" t="s">
        <v>441</v>
      </c>
      <c r="E4618" t="s">
        <v>442</v>
      </c>
      <c r="F4618">
        <v>61.01</v>
      </c>
      <c r="G4618">
        <v>0</v>
      </c>
    </row>
    <row r="4619" spans="2:7" x14ac:dyDescent="0.25">
      <c r="B4619" s="70">
        <v>43306</v>
      </c>
      <c r="C4619" t="s">
        <v>25</v>
      </c>
      <c r="D4619" t="s">
        <v>441</v>
      </c>
      <c r="E4619" t="s">
        <v>442</v>
      </c>
      <c r="F4619">
        <v>25.94</v>
      </c>
      <c r="G4619">
        <v>0</v>
      </c>
    </row>
    <row r="4620" spans="2:7" x14ac:dyDescent="0.25">
      <c r="B4620" s="70">
        <v>43306</v>
      </c>
      <c r="C4620" t="s">
        <v>25</v>
      </c>
      <c r="D4620" t="s">
        <v>441</v>
      </c>
      <c r="E4620" t="s">
        <v>442</v>
      </c>
      <c r="F4620">
        <v>38.729999999999997</v>
      </c>
      <c r="G4620">
        <v>0</v>
      </c>
    </row>
    <row r="4621" spans="2:7" x14ac:dyDescent="0.25">
      <c r="B4621" s="70">
        <v>43306</v>
      </c>
      <c r="C4621" t="s">
        <v>54</v>
      </c>
      <c r="D4621" t="s">
        <v>441</v>
      </c>
      <c r="E4621" t="s">
        <v>442</v>
      </c>
      <c r="F4621">
        <v>514.69000000000005</v>
      </c>
      <c r="G4621">
        <v>0</v>
      </c>
    </row>
    <row r="4622" spans="2:7" x14ac:dyDescent="0.25">
      <c r="B4622" s="70">
        <v>43306</v>
      </c>
      <c r="C4622" t="s">
        <v>59</v>
      </c>
      <c r="D4622" t="s">
        <v>82</v>
      </c>
      <c r="E4622" t="s">
        <v>440</v>
      </c>
      <c r="F4622">
        <v>115.43</v>
      </c>
      <c r="G4622">
        <v>0</v>
      </c>
    </row>
    <row r="4623" spans="2:7" x14ac:dyDescent="0.25">
      <c r="B4623" s="70">
        <v>43306</v>
      </c>
      <c r="C4623" t="s">
        <v>21</v>
      </c>
      <c r="D4623" t="s">
        <v>79</v>
      </c>
      <c r="E4623" t="s">
        <v>440</v>
      </c>
      <c r="F4623">
        <v>16</v>
      </c>
      <c r="G4623">
        <v>0</v>
      </c>
    </row>
    <row r="4624" spans="2:7" x14ac:dyDescent="0.25">
      <c r="B4624" s="70">
        <v>43306</v>
      </c>
      <c r="C4624" t="s">
        <v>21</v>
      </c>
      <c r="D4624" t="s">
        <v>79</v>
      </c>
      <c r="E4624" t="s">
        <v>440</v>
      </c>
      <c r="F4624">
        <v>24</v>
      </c>
      <c r="G4624">
        <v>0</v>
      </c>
    </row>
    <row r="4625" spans="2:7" x14ac:dyDescent="0.25">
      <c r="B4625" s="70">
        <v>43306</v>
      </c>
      <c r="C4625" t="s">
        <v>21</v>
      </c>
      <c r="D4625" t="s">
        <v>79</v>
      </c>
      <c r="E4625" t="s">
        <v>440</v>
      </c>
      <c r="F4625">
        <v>72</v>
      </c>
      <c r="G4625">
        <v>0</v>
      </c>
    </row>
    <row r="4626" spans="2:7" x14ac:dyDescent="0.25">
      <c r="B4626" s="70">
        <v>43306</v>
      </c>
      <c r="C4626" t="s">
        <v>21</v>
      </c>
      <c r="D4626" t="s">
        <v>82</v>
      </c>
      <c r="E4626" t="s">
        <v>440</v>
      </c>
      <c r="F4626">
        <v>234</v>
      </c>
      <c r="G4626">
        <v>0</v>
      </c>
    </row>
    <row r="4627" spans="2:7" x14ac:dyDescent="0.25">
      <c r="B4627" s="70">
        <v>43306</v>
      </c>
      <c r="C4627" t="s">
        <v>21</v>
      </c>
      <c r="D4627" t="s">
        <v>441</v>
      </c>
      <c r="E4627" t="s">
        <v>442</v>
      </c>
      <c r="F4627">
        <v>195.78</v>
      </c>
      <c r="G4627">
        <v>0</v>
      </c>
    </row>
    <row r="4628" spans="2:7" x14ac:dyDescent="0.25">
      <c r="B4628" s="70">
        <v>43306</v>
      </c>
      <c r="C4628" t="s">
        <v>21</v>
      </c>
      <c r="D4628" t="s">
        <v>441</v>
      </c>
      <c r="E4628" t="s">
        <v>442</v>
      </c>
      <c r="F4628">
        <v>38.840000000000003</v>
      </c>
      <c r="G4628">
        <v>0</v>
      </c>
    </row>
    <row r="4629" spans="2:7" x14ac:dyDescent="0.25">
      <c r="B4629" s="70">
        <v>43306</v>
      </c>
      <c r="C4629" t="s">
        <v>21</v>
      </c>
      <c r="D4629" t="s">
        <v>441</v>
      </c>
      <c r="E4629" t="s">
        <v>442</v>
      </c>
      <c r="F4629">
        <v>679.01</v>
      </c>
      <c r="G4629">
        <v>0</v>
      </c>
    </row>
    <row r="4630" spans="2:7" x14ac:dyDescent="0.25">
      <c r="B4630" s="70">
        <v>43306</v>
      </c>
      <c r="C4630" t="s">
        <v>21</v>
      </c>
      <c r="D4630" t="s">
        <v>441</v>
      </c>
      <c r="E4630" t="s">
        <v>442</v>
      </c>
      <c r="F4630">
        <v>281.14</v>
      </c>
      <c r="G4630">
        <v>0</v>
      </c>
    </row>
    <row r="4631" spans="2:7" x14ac:dyDescent="0.25">
      <c r="B4631" s="70">
        <v>43306</v>
      </c>
      <c r="C4631" t="s">
        <v>21</v>
      </c>
      <c r="D4631" t="s">
        <v>441</v>
      </c>
      <c r="E4631" t="s">
        <v>442</v>
      </c>
      <c r="F4631">
        <v>548.05999999999995</v>
      </c>
      <c r="G4631">
        <v>0</v>
      </c>
    </row>
    <row r="4632" spans="2:7" x14ac:dyDescent="0.25">
      <c r="B4632" s="70">
        <v>43306</v>
      </c>
      <c r="C4632" t="s">
        <v>21</v>
      </c>
      <c r="D4632" t="s">
        <v>441</v>
      </c>
      <c r="E4632" t="s">
        <v>442</v>
      </c>
      <c r="F4632">
        <v>48.91</v>
      </c>
      <c r="G4632">
        <v>0</v>
      </c>
    </row>
    <row r="4633" spans="2:7" x14ac:dyDescent="0.25">
      <c r="B4633" s="70">
        <v>43306</v>
      </c>
      <c r="C4633" t="s">
        <v>21</v>
      </c>
      <c r="D4633" t="s">
        <v>441</v>
      </c>
      <c r="E4633" t="s">
        <v>442</v>
      </c>
      <c r="F4633">
        <v>14.73</v>
      </c>
      <c r="G4633">
        <v>0</v>
      </c>
    </row>
    <row r="4634" spans="2:7" x14ac:dyDescent="0.25">
      <c r="B4634" s="70">
        <v>43306</v>
      </c>
      <c r="C4634" t="s">
        <v>21</v>
      </c>
      <c r="D4634" t="s">
        <v>441</v>
      </c>
      <c r="E4634" t="s">
        <v>442</v>
      </c>
      <c r="F4634">
        <v>339.08</v>
      </c>
      <c r="G4634">
        <v>0</v>
      </c>
    </row>
    <row r="4635" spans="2:7" x14ac:dyDescent="0.25">
      <c r="B4635" s="70">
        <v>43306</v>
      </c>
      <c r="C4635" t="s">
        <v>21</v>
      </c>
      <c r="D4635" t="s">
        <v>441</v>
      </c>
      <c r="E4635" t="s">
        <v>442</v>
      </c>
      <c r="F4635">
        <v>1542.51</v>
      </c>
      <c r="G4635">
        <v>0</v>
      </c>
    </row>
    <row r="4636" spans="2:7" x14ac:dyDescent="0.25">
      <c r="B4636" s="70">
        <v>43306</v>
      </c>
      <c r="C4636" t="s">
        <v>21</v>
      </c>
      <c r="D4636" t="s">
        <v>441</v>
      </c>
      <c r="E4636" t="s">
        <v>442</v>
      </c>
      <c r="F4636">
        <v>288.79000000000002</v>
      </c>
      <c r="G4636">
        <v>0</v>
      </c>
    </row>
    <row r="4637" spans="2:7" x14ac:dyDescent="0.25">
      <c r="B4637" s="70">
        <v>43306</v>
      </c>
      <c r="C4637" t="s">
        <v>21</v>
      </c>
      <c r="D4637" t="s">
        <v>441</v>
      </c>
      <c r="E4637" t="s">
        <v>442</v>
      </c>
      <c r="F4637">
        <v>469.33</v>
      </c>
      <c r="G4637">
        <v>0</v>
      </c>
    </row>
    <row r="4638" spans="2:7" x14ac:dyDescent="0.25">
      <c r="B4638" s="70">
        <v>43306</v>
      </c>
      <c r="C4638" t="s">
        <v>21</v>
      </c>
      <c r="D4638" t="s">
        <v>441</v>
      </c>
      <c r="E4638" t="s">
        <v>442</v>
      </c>
      <c r="F4638">
        <v>298.81</v>
      </c>
      <c r="G4638">
        <v>0</v>
      </c>
    </row>
    <row r="4639" spans="2:7" x14ac:dyDescent="0.25">
      <c r="B4639" s="70">
        <v>43306</v>
      </c>
      <c r="C4639" t="s">
        <v>21</v>
      </c>
      <c r="D4639" t="s">
        <v>441</v>
      </c>
      <c r="E4639" t="s">
        <v>442</v>
      </c>
      <c r="F4639">
        <v>14.42</v>
      </c>
      <c r="G4639">
        <v>0</v>
      </c>
    </row>
    <row r="4640" spans="2:7" x14ac:dyDescent="0.25">
      <c r="B4640" s="70">
        <v>43306</v>
      </c>
      <c r="C4640" t="s">
        <v>21</v>
      </c>
      <c r="D4640" t="s">
        <v>441</v>
      </c>
      <c r="E4640" t="s">
        <v>442</v>
      </c>
      <c r="F4640">
        <v>649.70000000000005</v>
      </c>
      <c r="G4640">
        <v>0</v>
      </c>
    </row>
    <row r="4641" spans="2:7" x14ac:dyDescent="0.25">
      <c r="B4641" s="70">
        <v>43306</v>
      </c>
      <c r="C4641" t="s">
        <v>21</v>
      </c>
      <c r="D4641" t="s">
        <v>441</v>
      </c>
      <c r="E4641" t="s">
        <v>442</v>
      </c>
      <c r="F4641">
        <v>417.96</v>
      </c>
      <c r="G4641">
        <v>0</v>
      </c>
    </row>
    <row r="4642" spans="2:7" x14ac:dyDescent="0.25">
      <c r="B4642" s="70">
        <v>43306</v>
      </c>
      <c r="C4642" t="s">
        <v>21</v>
      </c>
      <c r="D4642" t="s">
        <v>441</v>
      </c>
      <c r="E4642" t="s">
        <v>442</v>
      </c>
      <c r="F4642">
        <v>29.22</v>
      </c>
      <c r="G4642">
        <v>0</v>
      </c>
    </row>
    <row r="4643" spans="2:7" x14ac:dyDescent="0.25">
      <c r="B4643" s="70">
        <v>43306</v>
      </c>
      <c r="C4643" t="s">
        <v>21</v>
      </c>
      <c r="D4643" t="s">
        <v>441</v>
      </c>
      <c r="E4643" t="s">
        <v>442</v>
      </c>
      <c r="F4643">
        <v>211.01</v>
      </c>
      <c r="G4643">
        <v>0</v>
      </c>
    </row>
    <row r="4644" spans="2:7" x14ac:dyDescent="0.25">
      <c r="B4644" s="70">
        <v>43306</v>
      </c>
      <c r="C4644" t="s">
        <v>21</v>
      </c>
      <c r="D4644" t="s">
        <v>441</v>
      </c>
      <c r="E4644" t="s">
        <v>442</v>
      </c>
      <c r="F4644">
        <v>123.9</v>
      </c>
      <c r="G4644">
        <v>0</v>
      </c>
    </row>
    <row r="4645" spans="2:7" x14ac:dyDescent="0.25">
      <c r="B4645" s="70">
        <v>43306</v>
      </c>
      <c r="C4645" t="s">
        <v>21</v>
      </c>
      <c r="D4645" t="s">
        <v>441</v>
      </c>
      <c r="E4645" t="s">
        <v>442</v>
      </c>
      <c r="F4645">
        <v>418.53</v>
      </c>
      <c r="G4645">
        <v>0</v>
      </c>
    </row>
    <row r="4646" spans="2:7" x14ac:dyDescent="0.25">
      <c r="B4646" s="70">
        <v>43306</v>
      </c>
      <c r="C4646" t="s">
        <v>21</v>
      </c>
      <c r="D4646" t="s">
        <v>441</v>
      </c>
      <c r="E4646" t="s">
        <v>442</v>
      </c>
      <c r="F4646">
        <v>174.24</v>
      </c>
      <c r="G4646">
        <v>0</v>
      </c>
    </row>
    <row r="4647" spans="2:7" x14ac:dyDescent="0.25">
      <c r="B4647" s="70">
        <v>43306</v>
      </c>
      <c r="C4647" t="s">
        <v>21</v>
      </c>
      <c r="D4647" t="s">
        <v>441</v>
      </c>
      <c r="E4647" t="s">
        <v>442</v>
      </c>
      <c r="F4647">
        <v>219.43</v>
      </c>
      <c r="G4647">
        <v>0</v>
      </c>
    </row>
    <row r="4648" spans="2:7" x14ac:dyDescent="0.25">
      <c r="B4648" s="70">
        <v>43306</v>
      </c>
      <c r="C4648" t="s">
        <v>21</v>
      </c>
      <c r="D4648" t="s">
        <v>441</v>
      </c>
      <c r="E4648" t="s">
        <v>442</v>
      </c>
      <c r="F4648">
        <v>217.67</v>
      </c>
      <c r="G4648">
        <v>0</v>
      </c>
    </row>
    <row r="4649" spans="2:7" x14ac:dyDescent="0.25">
      <c r="B4649" s="70">
        <v>43306</v>
      </c>
      <c r="C4649" t="s">
        <v>21</v>
      </c>
      <c r="D4649" t="s">
        <v>441</v>
      </c>
      <c r="E4649" t="s">
        <v>442</v>
      </c>
      <c r="F4649">
        <v>252.54</v>
      </c>
      <c r="G4649">
        <v>0</v>
      </c>
    </row>
    <row r="4650" spans="2:7" x14ac:dyDescent="0.25">
      <c r="B4650" s="70">
        <v>43306</v>
      </c>
      <c r="C4650" t="s">
        <v>21</v>
      </c>
      <c r="D4650" t="s">
        <v>441</v>
      </c>
      <c r="E4650" t="s">
        <v>442</v>
      </c>
      <c r="F4650">
        <v>978.46</v>
      </c>
      <c r="G4650">
        <v>0</v>
      </c>
    </row>
    <row r="4651" spans="2:7" x14ac:dyDescent="0.25">
      <c r="B4651" s="70">
        <v>43306</v>
      </c>
      <c r="C4651" t="s">
        <v>21</v>
      </c>
      <c r="D4651" t="s">
        <v>441</v>
      </c>
      <c r="E4651" t="s">
        <v>442</v>
      </c>
      <c r="F4651">
        <v>161.36000000000001</v>
      </c>
      <c r="G4651">
        <v>0</v>
      </c>
    </row>
    <row r="4652" spans="2:7" x14ac:dyDescent="0.25">
      <c r="B4652" s="70">
        <v>43306</v>
      </c>
      <c r="C4652" t="s">
        <v>21</v>
      </c>
      <c r="D4652" t="s">
        <v>441</v>
      </c>
      <c r="E4652" t="s">
        <v>442</v>
      </c>
      <c r="F4652">
        <v>13.57</v>
      </c>
      <c r="G4652">
        <v>0</v>
      </c>
    </row>
    <row r="4653" spans="2:7" x14ac:dyDescent="0.25">
      <c r="B4653" s="70">
        <v>43306</v>
      </c>
      <c r="C4653" t="s">
        <v>21</v>
      </c>
      <c r="D4653" t="s">
        <v>441</v>
      </c>
      <c r="E4653" t="s">
        <v>442</v>
      </c>
      <c r="F4653">
        <v>578.76</v>
      </c>
      <c r="G4653">
        <v>0</v>
      </c>
    </row>
    <row r="4654" spans="2:7" x14ac:dyDescent="0.25">
      <c r="B4654" s="70">
        <v>43306</v>
      </c>
      <c r="C4654" t="s">
        <v>21</v>
      </c>
      <c r="D4654" t="s">
        <v>441</v>
      </c>
      <c r="E4654" t="s">
        <v>442</v>
      </c>
      <c r="F4654">
        <v>39.04</v>
      </c>
      <c r="G4654">
        <v>0</v>
      </c>
    </row>
    <row r="4655" spans="2:7" x14ac:dyDescent="0.25">
      <c r="B4655" s="70">
        <v>43306</v>
      </c>
      <c r="C4655" t="s">
        <v>66</v>
      </c>
      <c r="D4655" t="s">
        <v>85</v>
      </c>
      <c r="E4655" t="s">
        <v>440</v>
      </c>
      <c r="F4655">
        <v>1719.06</v>
      </c>
      <c r="G4655">
        <v>0</v>
      </c>
    </row>
    <row r="4656" spans="2:7" x14ac:dyDescent="0.25">
      <c r="B4656" s="70">
        <v>43306</v>
      </c>
      <c r="C4656" t="s">
        <v>48</v>
      </c>
      <c r="D4656" t="s">
        <v>79</v>
      </c>
      <c r="E4656" t="s">
        <v>440</v>
      </c>
      <c r="F4656">
        <v>32</v>
      </c>
      <c r="G4656">
        <v>0</v>
      </c>
    </row>
    <row r="4657" spans="2:7" x14ac:dyDescent="0.25">
      <c r="B4657" s="70">
        <v>43306</v>
      </c>
      <c r="C4657" t="s">
        <v>50</v>
      </c>
      <c r="D4657" t="s">
        <v>441</v>
      </c>
      <c r="E4657" t="s">
        <v>442</v>
      </c>
      <c r="F4657">
        <v>1367.19</v>
      </c>
      <c r="G4657">
        <v>0</v>
      </c>
    </row>
    <row r="4658" spans="2:7" x14ac:dyDescent="0.25">
      <c r="B4658" s="70">
        <v>43306</v>
      </c>
      <c r="C4658" t="s">
        <v>53</v>
      </c>
      <c r="D4658" t="s">
        <v>441</v>
      </c>
      <c r="E4658" t="s">
        <v>442</v>
      </c>
      <c r="F4658">
        <v>96.97</v>
      </c>
      <c r="G4658">
        <v>0</v>
      </c>
    </row>
    <row r="4659" spans="2:7" x14ac:dyDescent="0.25">
      <c r="B4659" s="70">
        <v>43306</v>
      </c>
      <c r="C4659" t="s">
        <v>24</v>
      </c>
      <c r="D4659" t="s">
        <v>82</v>
      </c>
      <c r="E4659" t="s">
        <v>440</v>
      </c>
      <c r="F4659">
        <v>136.5</v>
      </c>
      <c r="G4659">
        <v>0</v>
      </c>
    </row>
    <row r="4660" spans="2:7" x14ac:dyDescent="0.25">
      <c r="B4660" s="70">
        <v>43306</v>
      </c>
      <c r="C4660" t="s">
        <v>24</v>
      </c>
      <c r="D4660" t="s">
        <v>82</v>
      </c>
      <c r="E4660" t="s">
        <v>440</v>
      </c>
      <c r="F4660">
        <v>182</v>
      </c>
      <c r="G4660">
        <v>0</v>
      </c>
    </row>
    <row r="4661" spans="2:7" x14ac:dyDescent="0.25">
      <c r="B4661" s="70">
        <v>43306</v>
      </c>
      <c r="C4661" t="s">
        <v>24</v>
      </c>
      <c r="D4661" t="s">
        <v>82</v>
      </c>
      <c r="E4661" t="s">
        <v>440</v>
      </c>
      <c r="F4661">
        <v>514.79999999999995</v>
      </c>
      <c r="G4661">
        <v>0</v>
      </c>
    </row>
    <row r="4662" spans="2:7" x14ac:dyDescent="0.25">
      <c r="B4662" s="70">
        <v>43306</v>
      </c>
      <c r="C4662" t="s">
        <v>24</v>
      </c>
      <c r="D4662" t="s">
        <v>441</v>
      </c>
      <c r="E4662" t="s">
        <v>442</v>
      </c>
      <c r="F4662">
        <v>13.79</v>
      </c>
      <c r="G4662">
        <v>0</v>
      </c>
    </row>
    <row r="4663" spans="2:7" x14ac:dyDescent="0.25">
      <c r="B4663" s="70">
        <v>43306</v>
      </c>
      <c r="C4663" t="s">
        <v>24</v>
      </c>
      <c r="D4663" t="s">
        <v>441</v>
      </c>
      <c r="E4663" t="s">
        <v>442</v>
      </c>
      <c r="F4663">
        <v>25.26</v>
      </c>
      <c r="G4663">
        <v>0</v>
      </c>
    </row>
    <row r="4664" spans="2:7" x14ac:dyDescent="0.25">
      <c r="B4664" s="70">
        <v>43306</v>
      </c>
      <c r="C4664" t="s">
        <v>24</v>
      </c>
      <c r="D4664" t="s">
        <v>441</v>
      </c>
      <c r="E4664" t="s">
        <v>442</v>
      </c>
      <c r="F4664">
        <v>30.26</v>
      </c>
      <c r="G4664">
        <v>0</v>
      </c>
    </row>
    <row r="4665" spans="2:7" x14ac:dyDescent="0.25">
      <c r="B4665" s="70">
        <v>43306</v>
      </c>
      <c r="C4665" t="s">
        <v>24</v>
      </c>
      <c r="D4665" t="s">
        <v>441</v>
      </c>
      <c r="E4665" t="s">
        <v>442</v>
      </c>
      <c r="F4665">
        <v>49</v>
      </c>
      <c r="G4665">
        <v>0</v>
      </c>
    </row>
    <row r="4666" spans="2:7" x14ac:dyDescent="0.25">
      <c r="B4666" s="70">
        <v>43306</v>
      </c>
      <c r="C4666" t="s">
        <v>24</v>
      </c>
      <c r="D4666" t="s">
        <v>441</v>
      </c>
      <c r="E4666" t="s">
        <v>442</v>
      </c>
      <c r="F4666">
        <v>92</v>
      </c>
      <c r="G4666">
        <v>0</v>
      </c>
    </row>
    <row r="4667" spans="2:7" x14ac:dyDescent="0.25">
      <c r="B4667" s="70">
        <v>43306</v>
      </c>
      <c r="C4667" t="s">
        <v>24</v>
      </c>
      <c r="D4667" t="s">
        <v>441</v>
      </c>
      <c r="E4667" t="s">
        <v>442</v>
      </c>
      <c r="F4667">
        <v>6.31</v>
      </c>
      <c r="G4667">
        <v>0</v>
      </c>
    </row>
    <row r="4668" spans="2:7" x14ac:dyDescent="0.25">
      <c r="B4668" s="70">
        <v>43306</v>
      </c>
      <c r="C4668" t="s">
        <v>24</v>
      </c>
      <c r="D4668" t="s">
        <v>441</v>
      </c>
      <c r="E4668" t="s">
        <v>442</v>
      </c>
      <c r="F4668">
        <v>17.649999999999999</v>
      </c>
      <c r="G4668">
        <v>0</v>
      </c>
    </row>
    <row r="4669" spans="2:7" x14ac:dyDescent="0.25">
      <c r="B4669" s="70">
        <v>43306</v>
      </c>
      <c r="C4669" t="s">
        <v>24</v>
      </c>
      <c r="D4669" t="s">
        <v>441</v>
      </c>
      <c r="E4669" t="s">
        <v>442</v>
      </c>
      <c r="F4669">
        <v>14.79</v>
      </c>
      <c r="G4669">
        <v>0</v>
      </c>
    </row>
    <row r="4670" spans="2:7" x14ac:dyDescent="0.25">
      <c r="B4670" s="70">
        <v>43306</v>
      </c>
      <c r="C4670" t="s">
        <v>24</v>
      </c>
      <c r="D4670" t="s">
        <v>441</v>
      </c>
      <c r="E4670" t="s">
        <v>442</v>
      </c>
      <c r="F4670">
        <v>27.29</v>
      </c>
      <c r="G4670">
        <v>0</v>
      </c>
    </row>
    <row r="4671" spans="2:7" x14ac:dyDescent="0.25">
      <c r="B4671" s="70">
        <v>43306</v>
      </c>
      <c r="C4671" t="s">
        <v>24</v>
      </c>
      <c r="D4671" t="s">
        <v>441</v>
      </c>
      <c r="E4671" t="s">
        <v>442</v>
      </c>
      <c r="F4671">
        <v>144.5</v>
      </c>
      <c r="G4671">
        <v>0</v>
      </c>
    </row>
    <row r="4672" spans="2:7" x14ac:dyDescent="0.25">
      <c r="B4672" s="70">
        <v>43306</v>
      </c>
      <c r="C4672" t="s">
        <v>24</v>
      </c>
      <c r="D4672" t="s">
        <v>441</v>
      </c>
      <c r="E4672" t="s">
        <v>442</v>
      </c>
      <c r="F4672">
        <v>34.340000000000003</v>
      </c>
      <c r="G4672">
        <v>0</v>
      </c>
    </row>
    <row r="4673" spans="2:7" x14ac:dyDescent="0.25">
      <c r="B4673" s="70">
        <v>43306</v>
      </c>
      <c r="C4673" t="s">
        <v>24</v>
      </c>
      <c r="D4673" t="s">
        <v>441</v>
      </c>
      <c r="E4673" t="s">
        <v>442</v>
      </c>
      <c r="F4673">
        <v>63.84</v>
      </c>
      <c r="G4673">
        <v>0</v>
      </c>
    </row>
    <row r="4674" spans="2:7" x14ac:dyDescent="0.25">
      <c r="B4674" s="70">
        <v>43306</v>
      </c>
      <c r="C4674" t="s">
        <v>24</v>
      </c>
      <c r="D4674" t="s">
        <v>441</v>
      </c>
      <c r="E4674" t="s">
        <v>442</v>
      </c>
      <c r="F4674">
        <v>14.38</v>
      </c>
      <c r="G4674">
        <v>0</v>
      </c>
    </row>
    <row r="4675" spans="2:7" x14ac:dyDescent="0.25">
      <c r="B4675" s="70">
        <v>43306</v>
      </c>
      <c r="C4675" t="s">
        <v>24</v>
      </c>
      <c r="D4675" t="s">
        <v>441</v>
      </c>
      <c r="E4675" t="s">
        <v>442</v>
      </c>
      <c r="F4675">
        <v>26.11</v>
      </c>
      <c r="G4675">
        <v>0</v>
      </c>
    </row>
    <row r="4676" spans="2:7" x14ac:dyDescent="0.25">
      <c r="B4676" s="70">
        <v>43353</v>
      </c>
      <c r="C4676" t="s">
        <v>25</v>
      </c>
      <c r="D4676" t="s">
        <v>81</v>
      </c>
      <c r="E4676" t="s">
        <v>217</v>
      </c>
      <c r="F4676">
        <v>2.25</v>
      </c>
      <c r="G4676">
        <v>0</v>
      </c>
    </row>
    <row r="4677" spans="2:7" x14ac:dyDescent="0.25">
      <c r="B4677" s="70">
        <v>43353</v>
      </c>
      <c r="C4677" t="s">
        <v>25</v>
      </c>
      <c r="D4677" t="s">
        <v>443</v>
      </c>
      <c r="E4677" t="s">
        <v>444</v>
      </c>
      <c r="F4677">
        <v>268.72000000000003</v>
      </c>
      <c r="G4677">
        <v>0</v>
      </c>
    </row>
    <row r="4678" spans="2:7" x14ac:dyDescent="0.25">
      <c r="B4678" s="70">
        <v>43353</v>
      </c>
      <c r="C4678" t="s">
        <v>25</v>
      </c>
      <c r="D4678" t="s">
        <v>443</v>
      </c>
      <c r="E4678" t="s">
        <v>444</v>
      </c>
      <c r="F4678">
        <v>21.04</v>
      </c>
      <c r="G4678">
        <v>0</v>
      </c>
    </row>
    <row r="4679" spans="2:7" x14ac:dyDescent="0.25">
      <c r="B4679" s="70">
        <v>43353</v>
      </c>
      <c r="C4679" t="s">
        <v>25</v>
      </c>
      <c r="D4679" t="s">
        <v>443</v>
      </c>
      <c r="E4679" t="s">
        <v>444</v>
      </c>
      <c r="F4679">
        <v>34.28</v>
      </c>
      <c r="G4679">
        <v>0</v>
      </c>
    </row>
    <row r="4680" spans="2:7" x14ac:dyDescent="0.25">
      <c r="B4680" s="70">
        <v>43353</v>
      </c>
      <c r="C4680" t="s">
        <v>25</v>
      </c>
      <c r="D4680" t="s">
        <v>443</v>
      </c>
      <c r="E4680" t="s">
        <v>444</v>
      </c>
      <c r="F4680">
        <v>26.81</v>
      </c>
      <c r="G4680">
        <v>0</v>
      </c>
    </row>
    <row r="4681" spans="2:7" x14ac:dyDescent="0.25">
      <c r="B4681" s="70">
        <v>43353</v>
      </c>
      <c r="C4681" t="s">
        <v>25</v>
      </c>
      <c r="D4681" t="s">
        <v>443</v>
      </c>
      <c r="E4681" t="s">
        <v>444</v>
      </c>
      <c r="F4681">
        <v>37.04</v>
      </c>
      <c r="G4681">
        <v>0</v>
      </c>
    </row>
    <row r="4682" spans="2:7" x14ac:dyDescent="0.25">
      <c r="B4682" s="70">
        <v>43353</v>
      </c>
      <c r="C4682" t="s">
        <v>25</v>
      </c>
      <c r="D4682" t="s">
        <v>443</v>
      </c>
      <c r="E4682" t="s">
        <v>444</v>
      </c>
      <c r="F4682">
        <v>17.34</v>
      </c>
      <c r="G4682">
        <v>0</v>
      </c>
    </row>
    <row r="4683" spans="2:7" x14ac:dyDescent="0.25">
      <c r="B4683" s="70">
        <v>43353</v>
      </c>
      <c r="C4683" t="s">
        <v>54</v>
      </c>
      <c r="D4683" t="s">
        <v>443</v>
      </c>
      <c r="E4683" t="s">
        <v>444</v>
      </c>
      <c r="F4683">
        <v>344.36</v>
      </c>
      <c r="G4683">
        <v>0</v>
      </c>
    </row>
    <row r="4684" spans="2:7" x14ac:dyDescent="0.25">
      <c r="B4684" s="70">
        <v>43353</v>
      </c>
      <c r="C4684" t="s">
        <v>46</v>
      </c>
      <c r="D4684" t="s">
        <v>443</v>
      </c>
      <c r="E4684" t="s">
        <v>444</v>
      </c>
      <c r="F4684">
        <v>86.85</v>
      </c>
      <c r="G4684">
        <v>0</v>
      </c>
    </row>
    <row r="4685" spans="2:7" x14ac:dyDescent="0.25">
      <c r="B4685" s="70">
        <v>43353</v>
      </c>
      <c r="C4685" t="s">
        <v>21</v>
      </c>
      <c r="D4685" t="s">
        <v>79</v>
      </c>
      <c r="E4685" t="s">
        <v>445</v>
      </c>
      <c r="F4685">
        <v>8</v>
      </c>
      <c r="G4685">
        <v>0</v>
      </c>
    </row>
    <row r="4686" spans="2:7" x14ac:dyDescent="0.25">
      <c r="B4686" s="70">
        <v>43353</v>
      </c>
      <c r="C4686" t="s">
        <v>21</v>
      </c>
      <c r="D4686" t="s">
        <v>79</v>
      </c>
      <c r="E4686" t="s">
        <v>445</v>
      </c>
      <c r="F4686">
        <v>32</v>
      </c>
      <c r="G4686">
        <v>0</v>
      </c>
    </row>
    <row r="4687" spans="2:7" x14ac:dyDescent="0.25">
      <c r="B4687" s="70">
        <v>43353</v>
      </c>
      <c r="C4687" t="s">
        <v>21</v>
      </c>
      <c r="D4687" t="s">
        <v>443</v>
      </c>
      <c r="E4687" t="s">
        <v>444</v>
      </c>
      <c r="F4687">
        <v>19.489999999999998</v>
      </c>
      <c r="G4687">
        <v>0</v>
      </c>
    </row>
    <row r="4688" spans="2:7" x14ac:dyDescent="0.25">
      <c r="B4688" s="70">
        <v>43353</v>
      </c>
      <c r="C4688" t="s">
        <v>21</v>
      </c>
      <c r="D4688" t="s">
        <v>443</v>
      </c>
      <c r="E4688" t="s">
        <v>444</v>
      </c>
      <c r="F4688">
        <v>751.63</v>
      </c>
      <c r="G4688">
        <v>0</v>
      </c>
    </row>
    <row r="4689" spans="2:7" x14ac:dyDescent="0.25">
      <c r="B4689" s="70">
        <v>43353</v>
      </c>
      <c r="C4689" t="s">
        <v>21</v>
      </c>
      <c r="D4689" t="s">
        <v>443</v>
      </c>
      <c r="E4689" t="s">
        <v>444</v>
      </c>
      <c r="F4689">
        <v>337.57</v>
      </c>
      <c r="G4689">
        <v>0</v>
      </c>
    </row>
    <row r="4690" spans="2:7" x14ac:dyDescent="0.25">
      <c r="B4690" s="70">
        <v>43353</v>
      </c>
      <c r="C4690" t="s">
        <v>21</v>
      </c>
      <c r="D4690" t="s">
        <v>443</v>
      </c>
      <c r="E4690" t="s">
        <v>444</v>
      </c>
      <c r="F4690">
        <v>821.4</v>
      </c>
      <c r="G4690">
        <v>0</v>
      </c>
    </row>
    <row r="4691" spans="2:7" x14ac:dyDescent="0.25">
      <c r="B4691" s="70">
        <v>43353</v>
      </c>
      <c r="C4691" t="s">
        <v>21</v>
      </c>
      <c r="D4691" t="s">
        <v>443</v>
      </c>
      <c r="E4691" t="s">
        <v>444</v>
      </c>
      <c r="F4691">
        <v>55.5</v>
      </c>
      <c r="G4691">
        <v>0</v>
      </c>
    </row>
    <row r="4692" spans="2:7" x14ac:dyDescent="0.25">
      <c r="B4692" s="70">
        <v>43353</v>
      </c>
      <c r="C4692" t="s">
        <v>21</v>
      </c>
      <c r="D4692" t="s">
        <v>443</v>
      </c>
      <c r="E4692" t="s">
        <v>444</v>
      </c>
      <c r="F4692">
        <v>224.35</v>
      </c>
      <c r="G4692">
        <v>0</v>
      </c>
    </row>
    <row r="4693" spans="2:7" x14ac:dyDescent="0.25">
      <c r="B4693" s="70">
        <v>43353</v>
      </c>
      <c r="C4693" t="s">
        <v>21</v>
      </c>
      <c r="D4693" t="s">
        <v>443</v>
      </c>
      <c r="E4693" t="s">
        <v>444</v>
      </c>
      <c r="F4693">
        <v>1534.32</v>
      </c>
      <c r="G4693">
        <v>0</v>
      </c>
    </row>
    <row r="4694" spans="2:7" x14ac:dyDescent="0.25">
      <c r="B4694" s="70">
        <v>43353</v>
      </c>
      <c r="C4694" t="s">
        <v>21</v>
      </c>
      <c r="D4694" t="s">
        <v>443</v>
      </c>
      <c r="E4694" t="s">
        <v>444</v>
      </c>
      <c r="F4694">
        <v>35.549999999999997</v>
      </c>
      <c r="G4694">
        <v>0</v>
      </c>
    </row>
    <row r="4695" spans="2:7" x14ac:dyDescent="0.25">
      <c r="B4695" s="70">
        <v>43353</v>
      </c>
      <c r="C4695" t="s">
        <v>21</v>
      </c>
      <c r="D4695" t="s">
        <v>443</v>
      </c>
      <c r="E4695" t="s">
        <v>444</v>
      </c>
      <c r="F4695">
        <v>620.96</v>
      </c>
      <c r="G4695">
        <v>0</v>
      </c>
    </row>
    <row r="4696" spans="2:7" x14ac:dyDescent="0.25">
      <c r="B4696" s="70">
        <v>43353</v>
      </c>
      <c r="C4696" t="s">
        <v>21</v>
      </c>
      <c r="D4696" t="s">
        <v>443</v>
      </c>
      <c r="E4696" t="s">
        <v>444</v>
      </c>
      <c r="F4696">
        <v>882.86</v>
      </c>
      <c r="G4696">
        <v>0</v>
      </c>
    </row>
    <row r="4697" spans="2:7" x14ac:dyDescent="0.25">
      <c r="B4697" s="70">
        <v>43353</v>
      </c>
      <c r="C4697" t="s">
        <v>21</v>
      </c>
      <c r="D4697" t="s">
        <v>443</v>
      </c>
      <c r="E4697" t="s">
        <v>444</v>
      </c>
      <c r="F4697">
        <v>446.09</v>
      </c>
      <c r="G4697">
        <v>0</v>
      </c>
    </row>
    <row r="4698" spans="2:7" x14ac:dyDescent="0.25">
      <c r="B4698" s="70">
        <v>43353</v>
      </c>
      <c r="C4698" t="s">
        <v>21</v>
      </c>
      <c r="D4698" t="s">
        <v>443</v>
      </c>
      <c r="E4698" t="s">
        <v>444</v>
      </c>
      <c r="F4698">
        <v>492.88</v>
      </c>
      <c r="G4698">
        <v>0</v>
      </c>
    </row>
    <row r="4699" spans="2:7" x14ac:dyDescent="0.25">
      <c r="B4699" s="70">
        <v>43353</v>
      </c>
      <c r="C4699" t="s">
        <v>21</v>
      </c>
      <c r="D4699" t="s">
        <v>443</v>
      </c>
      <c r="E4699" t="s">
        <v>444</v>
      </c>
      <c r="F4699">
        <v>540.01</v>
      </c>
      <c r="G4699">
        <v>0</v>
      </c>
    </row>
    <row r="4700" spans="2:7" x14ac:dyDescent="0.25">
      <c r="B4700" s="70">
        <v>43353</v>
      </c>
      <c r="C4700" t="s">
        <v>21</v>
      </c>
      <c r="D4700" t="s">
        <v>443</v>
      </c>
      <c r="E4700" t="s">
        <v>444</v>
      </c>
      <c r="F4700">
        <v>100.66</v>
      </c>
      <c r="G4700">
        <v>0</v>
      </c>
    </row>
    <row r="4701" spans="2:7" x14ac:dyDescent="0.25">
      <c r="B4701" s="70">
        <v>43353</v>
      </c>
      <c r="C4701" t="s">
        <v>21</v>
      </c>
      <c r="D4701" t="s">
        <v>443</v>
      </c>
      <c r="E4701" t="s">
        <v>444</v>
      </c>
      <c r="F4701">
        <v>128.56</v>
      </c>
      <c r="G4701">
        <v>0</v>
      </c>
    </row>
    <row r="4702" spans="2:7" x14ac:dyDescent="0.25">
      <c r="B4702" s="70">
        <v>43353</v>
      </c>
      <c r="C4702" t="s">
        <v>21</v>
      </c>
      <c r="D4702" t="s">
        <v>443</v>
      </c>
      <c r="E4702" t="s">
        <v>444</v>
      </c>
      <c r="F4702">
        <v>516.44000000000005</v>
      </c>
      <c r="G4702">
        <v>0</v>
      </c>
    </row>
    <row r="4703" spans="2:7" x14ac:dyDescent="0.25">
      <c r="B4703" s="70">
        <v>43353</v>
      </c>
      <c r="C4703" t="s">
        <v>21</v>
      </c>
      <c r="D4703" t="s">
        <v>443</v>
      </c>
      <c r="E4703" t="s">
        <v>444</v>
      </c>
      <c r="F4703">
        <v>110.13</v>
      </c>
      <c r="G4703">
        <v>0</v>
      </c>
    </row>
    <row r="4704" spans="2:7" x14ac:dyDescent="0.25">
      <c r="B4704" s="70">
        <v>43353</v>
      </c>
      <c r="C4704" t="s">
        <v>21</v>
      </c>
      <c r="D4704" t="s">
        <v>443</v>
      </c>
      <c r="E4704" t="s">
        <v>444</v>
      </c>
      <c r="F4704">
        <v>389.07</v>
      </c>
      <c r="G4704">
        <v>0</v>
      </c>
    </row>
    <row r="4705" spans="2:7" x14ac:dyDescent="0.25">
      <c r="B4705" s="70">
        <v>43353</v>
      </c>
      <c r="C4705" t="s">
        <v>21</v>
      </c>
      <c r="D4705" t="s">
        <v>443</v>
      </c>
      <c r="E4705" t="s">
        <v>444</v>
      </c>
      <c r="F4705">
        <v>158.68</v>
      </c>
      <c r="G4705">
        <v>0</v>
      </c>
    </row>
    <row r="4706" spans="2:7" x14ac:dyDescent="0.25">
      <c r="B4706" s="70">
        <v>43353</v>
      </c>
      <c r="C4706" t="s">
        <v>21</v>
      </c>
      <c r="D4706" t="s">
        <v>443</v>
      </c>
      <c r="E4706" t="s">
        <v>444</v>
      </c>
      <c r="F4706">
        <v>262.12</v>
      </c>
      <c r="G4706">
        <v>0</v>
      </c>
    </row>
    <row r="4707" spans="2:7" x14ac:dyDescent="0.25">
      <c r="B4707" s="70">
        <v>43353</v>
      </c>
      <c r="C4707" t="s">
        <v>21</v>
      </c>
      <c r="D4707" t="s">
        <v>443</v>
      </c>
      <c r="E4707" t="s">
        <v>444</v>
      </c>
      <c r="F4707">
        <v>53.14</v>
      </c>
      <c r="G4707">
        <v>0</v>
      </c>
    </row>
    <row r="4708" spans="2:7" x14ac:dyDescent="0.25">
      <c r="B4708" s="70">
        <v>43353</v>
      </c>
      <c r="C4708" t="s">
        <v>21</v>
      </c>
      <c r="D4708" t="s">
        <v>443</v>
      </c>
      <c r="E4708" t="s">
        <v>444</v>
      </c>
      <c r="F4708">
        <v>33.85</v>
      </c>
      <c r="G4708">
        <v>0</v>
      </c>
    </row>
    <row r="4709" spans="2:7" x14ac:dyDescent="0.25">
      <c r="B4709" s="70">
        <v>43353</v>
      </c>
      <c r="C4709" t="s">
        <v>21</v>
      </c>
      <c r="D4709" t="s">
        <v>443</v>
      </c>
      <c r="E4709" t="s">
        <v>444</v>
      </c>
      <c r="F4709">
        <v>952.83</v>
      </c>
      <c r="G4709">
        <v>0</v>
      </c>
    </row>
    <row r="4710" spans="2:7" x14ac:dyDescent="0.25">
      <c r="B4710" s="70">
        <v>43353</v>
      </c>
      <c r="C4710" t="s">
        <v>21</v>
      </c>
      <c r="D4710" t="s">
        <v>443</v>
      </c>
      <c r="E4710" t="s">
        <v>444</v>
      </c>
      <c r="F4710">
        <v>188.36</v>
      </c>
      <c r="G4710">
        <v>0</v>
      </c>
    </row>
    <row r="4711" spans="2:7" x14ac:dyDescent="0.25">
      <c r="B4711" s="70">
        <v>43353</v>
      </c>
      <c r="C4711" t="s">
        <v>21</v>
      </c>
      <c r="D4711" t="s">
        <v>443</v>
      </c>
      <c r="E4711" t="s">
        <v>444</v>
      </c>
      <c r="F4711">
        <v>69.489999999999995</v>
      </c>
      <c r="G4711">
        <v>0</v>
      </c>
    </row>
    <row r="4712" spans="2:7" x14ac:dyDescent="0.25">
      <c r="B4712" s="70">
        <v>43353</v>
      </c>
      <c r="C4712" t="s">
        <v>21</v>
      </c>
      <c r="D4712" t="s">
        <v>443</v>
      </c>
      <c r="E4712" t="s">
        <v>444</v>
      </c>
      <c r="F4712">
        <v>602.92999999999995</v>
      </c>
      <c r="G4712">
        <v>0</v>
      </c>
    </row>
    <row r="4713" spans="2:7" x14ac:dyDescent="0.25">
      <c r="B4713" s="70">
        <v>43353</v>
      </c>
      <c r="C4713" t="s">
        <v>21</v>
      </c>
      <c r="D4713" t="s">
        <v>443</v>
      </c>
      <c r="E4713" t="s">
        <v>444</v>
      </c>
      <c r="F4713">
        <v>26.47</v>
      </c>
      <c r="G4713">
        <v>0</v>
      </c>
    </row>
    <row r="4714" spans="2:7" x14ac:dyDescent="0.25">
      <c r="B4714" s="70">
        <v>43353</v>
      </c>
      <c r="C4714" t="s">
        <v>48</v>
      </c>
      <c r="D4714" t="s">
        <v>443</v>
      </c>
      <c r="E4714" t="s">
        <v>444</v>
      </c>
      <c r="F4714">
        <v>278.75</v>
      </c>
      <c r="G4714">
        <v>0</v>
      </c>
    </row>
    <row r="4715" spans="2:7" x14ac:dyDescent="0.25">
      <c r="B4715" s="70">
        <v>43353</v>
      </c>
      <c r="C4715" t="s">
        <v>55</v>
      </c>
      <c r="D4715" t="s">
        <v>443</v>
      </c>
      <c r="E4715" t="s">
        <v>444</v>
      </c>
      <c r="F4715">
        <v>31.19</v>
      </c>
      <c r="G4715">
        <v>0</v>
      </c>
    </row>
    <row r="4716" spans="2:7" x14ac:dyDescent="0.25">
      <c r="B4716" s="70">
        <v>43353</v>
      </c>
      <c r="C4716" t="s">
        <v>45</v>
      </c>
      <c r="D4716" t="s">
        <v>443</v>
      </c>
      <c r="E4716" t="s">
        <v>444</v>
      </c>
      <c r="F4716">
        <v>535.44000000000005</v>
      </c>
      <c r="G4716">
        <v>0</v>
      </c>
    </row>
    <row r="4717" spans="2:7" x14ac:dyDescent="0.25">
      <c r="B4717" s="70">
        <v>43353</v>
      </c>
      <c r="C4717" t="s">
        <v>49</v>
      </c>
      <c r="D4717" t="s">
        <v>443</v>
      </c>
      <c r="E4717" t="s">
        <v>444</v>
      </c>
      <c r="F4717">
        <v>610.65</v>
      </c>
      <c r="G4717">
        <v>0</v>
      </c>
    </row>
    <row r="4718" spans="2:7" x14ac:dyDescent="0.25">
      <c r="B4718" s="70">
        <v>43353</v>
      </c>
      <c r="C4718" t="s">
        <v>50</v>
      </c>
      <c r="D4718" t="s">
        <v>443</v>
      </c>
      <c r="E4718" t="s">
        <v>444</v>
      </c>
      <c r="F4718">
        <v>8498.83</v>
      </c>
      <c r="G4718">
        <v>0</v>
      </c>
    </row>
    <row r="4719" spans="2:7" x14ac:dyDescent="0.25">
      <c r="B4719" s="70">
        <v>43353</v>
      </c>
      <c r="C4719" t="s">
        <v>52</v>
      </c>
      <c r="D4719" t="s">
        <v>443</v>
      </c>
      <c r="E4719" t="s">
        <v>444</v>
      </c>
      <c r="F4719">
        <v>257.27999999999997</v>
      </c>
      <c r="G4719">
        <v>0</v>
      </c>
    </row>
    <row r="4720" spans="2:7" x14ac:dyDescent="0.25">
      <c r="B4720" s="70">
        <v>43353</v>
      </c>
      <c r="C4720" t="s">
        <v>53</v>
      </c>
      <c r="D4720" t="s">
        <v>443</v>
      </c>
      <c r="E4720" t="s">
        <v>444</v>
      </c>
      <c r="F4720">
        <v>74.11</v>
      </c>
      <c r="G4720">
        <v>0</v>
      </c>
    </row>
    <row r="4721" spans="2:7" x14ac:dyDescent="0.25">
      <c r="B4721" s="70">
        <v>43353</v>
      </c>
      <c r="C4721" t="s">
        <v>24</v>
      </c>
      <c r="D4721" t="s">
        <v>443</v>
      </c>
      <c r="E4721" t="s">
        <v>444</v>
      </c>
      <c r="F4721">
        <v>58.09</v>
      </c>
      <c r="G4721">
        <v>0</v>
      </c>
    </row>
    <row r="4722" spans="2:7" x14ac:dyDescent="0.25">
      <c r="B4722" s="70">
        <v>43353</v>
      </c>
      <c r="C4722" t="s">
        <v>24</v>
      </c>
      <c r="D4722" t="s">
        <v>443</v>
      </c>
      <c r="E4722" t="s">
        <v>444</v>
      </c>
      <c r="F4722">
        <v>19.079999999999998</v>
      </c>
      <c r="G4722">
        <v>0</v>
      </c>
    </row>
    <row r="4723" spans="2:7" x14ac:dyDescent="0.25">
      <c r="B4723" s="70">
        <v>43353</v>
      </c>
      <c r="C4723" t="s">
        <v>24</v>
      </c>
      <c r="D4723" t="s">
        <v>443</v>
      </c>
      <c r="E4723" t="s">
        <v>444</v>
      </c>
      <c r="F4723">
        <v>88.76</v>
      </c>
      <c r="G4723">
        <v>0</v>
      </c>
    </row>
    <row r="4724" spans="2:7" x14ac:dyDescent="0.25">
      <c r="B4724" s="70">
        <v>43353</v>
      </c>
      <c r="C4724" t="s">
        <v>24</v>
      </c>
      <c r="D4724" t="s">
        <v>443</v>
      </c>
      <c r="E4724" t="s">
        <v>444</v>
      </c>
      <c r="F4724">
        <v>23.46</v>
      </c>
      <c r="G4724">
        <v>0</v>
      </c>
    </row>
    <row r="4725" spans="2:7" x14ac:dyDescent="0.25">
      <c r="B4725" s="70">
        <v>43353</v>
      </c>
      <c r="C4725" t="s">
        <v>24</v>
      </c>
      <c r="D4725" t="s">
        <v>443</v>
      </c>
      <c r="E4725" t="s">
        <v>444</v>
      </c>
      <c r="F4725">
        <v>23.27</v>
      </c>
      <c r="G4725">
        <v>0</v>
      </c>
    </row>
    <row r="4726" spans="2:7" x14ac:dyDescent="0.25">
      <c r="B4726" s="70">
        <v>43353</v>
      </c>
      <c r="C4726" t="s">
        <v>24</v>
      </c>
      <c r="D4726" t="s">
        <v>443</v>
      </c>
      <c r="E4726" t="s">
        <v>444</v>
      </c>
      <c r="F4726">
        <v>44.34</v>
      </c>
      <c r="G4726">
        <v>0</v>
      </c>
    </row>
    <row r="4727" spans="2:7" x14ac:dyDescent="0.25">
      <c r="B4727" s="70">
        <v>43353</v>
      </c>
      <c r="C4727" t="s">
        <v>24</v>
      </c>
      <c r="D4727" t="s">
        <v>443</v>
      </c>
      <c r="E4727" t="s">
        <v>444</v>
      </c>
      <c r="F4727">
        <v>30.17</v>
      </c>
      <c r="G4727">
        <v>0</v>
      </c>
    </row>
    <row r="4728" spans="2:7" x14ac:dyDescent="0.25">
      <c r="B4728" s="70">
        <v>43353</v>
      </c>
      <c r="C4728" t="s">
        <v>24</v>
      </c>
      <c r="D4728" t="s">
        <v>443</v>
      </c>
      <c r="E4728" t="s">
        <v>444</v>
      </c>
      <c r="F4728">
        <v>14.23</v>
      </c>
      <c r="G4728">
        <v>0</v>
      </c>
    </row>
    <row r="4729" spans="2:7" x14ac:dyDescent="0.25">
      <c r="B4729" s="70">
        <v>43353</v>
      </c>
      <c r="C4729" t="s">
        <v>24</v>
      </c>
      <c r="D4729" t="s">
        <v>443</v>
      </c>
      <c r="E4729" t="s">
        <v>444</v>
      </c>
      <c r="F4729">
        <v>31.05</v>
      </c>
      <c r="G4729">
        <v>0</v>
      </c>
    </row>
    <row r="4730" spans="2:7" x14ac:dyDescent="0.25">
      <c r="B4730" s="70">
        <v>43353</v>
      </c>
      <c r="C4730" t="s">
        <v>24</v>
      </c>
      <c r="D4730" t="s">
        <v>443</v>
      </c>
      <c r="E4730" t="s">
        <v>444</v>
      </c>
      <c r="F4730">
        <v>59.19</v>
      </c>
      <c r="G4730">
        <v>0</v>
      </c>
    </row>
    <row r="4731" spans="2:7" x14ac:dyDescent="0.25">
      <c r="B4731" s="70">
        <v>43353</v>
      </c>
      <c r="C4731" t="s">
        <v>24</v>
      </c>
      <c r="D4731" t="s">
        <v>443</v>
      </c>
      <c r="E4731" t="s">
        <v>444</v>
      </c>
      <c r="F4731">
        <v>58.52</v>
      </c>
      <c r="G4731">
        <v>0</v>
      </c>
    </row>
    <row r="4732" spans="2:7" x14ac:dyDescent="0.25">
      <c r="B4732" s="70">
        <v>43353</v>
      </c>
      <c r="C4732" t="s">
        <v>24</v>
      </c>
      <c r="D4732" t="s">
        <v>443</v>
      </c>
      <c r="E4732" t="s">
        <v>444</v>
      </c>
      <c r="F4732">
        <v>27.07</v>
      </c>
      <c r="G4732">
        <v>0</v>
      </c>
    </row>
    <row r="4733" spans="2:7" x14ac:dyDescent="0.25">
      <c r="B4733" s="70">
        <v>43353</v>
      </c>
      <c r="C4733" t="s">
        <v>24</v>
      </c>
      <c r="D4733" t="s">
        <v>443</v>
      </c>
      <c r="E4733" t="s">
        <v>444</v>
      </c>
      <c r="F4733">
        <v>26.26</v>
      </c>
      <c r="G4733">
        <v>0</v>
      </c>
    </row>
    <row r="4734" spans="2:7" x14ac:dyDescent="0.25">
      <c r="B4734" s="70">
        <v>43353</v>
      </c>
      <c r="C4734" t="s">
        <v>24</v>
      </c>
      <c r="D4734" t="s">
        <v>443</v>
      </c>
      <c r="E4734" t="s">
        <v>444</v>
      </c>
      <c r="F4734">
        <v>29.04</v>
      </c>
      <c r="G4734">
        <v>0</v>
      </c>
    </row>
    <row r="4735" spans="2:7" x14ac:dyDescent="0.25">
      <c r="B4735" s="70">
        <v>43353</v>
      </c>
      <c r="C4735" t="s">
        <v>60</v>
      </c>
      <c r="D4735" t="s">
        <v>443</v>
      </c>
      <c r="E4735" t="s">
        <v>444</v>
      </c>
      <c r="F4735">
        <v>76.7</v>
      </c>
      <c r="G4735">
        <v>0</v>
      </c>
    </row>
    <row r="4736" spans="2:7" x14ac:dyDescent="0.25">
      <c r="B4736" s="70">
        <v>43353</v>
      </c>
      <c r="C4736" t="s">
        <v>61</v>
      </c>
      <c r="D4736" t="s">
        <v>443</v>
      </c>
      <c r="E4736" t="s">
        <v>444</v>
      </c>
      <c r="F4736">
        <v>447.54</v>
      </c>
      <c r="G4736">
        <v>0</v>
      </c>
    </row>
    <row r="4737" spans="2:7" x14ac:dyDescent="0.25">
      <c r="B4737" s="70">
        <v>43413</v>
      </c>
      <c r="C4737" t="s">
        <v>25</v>
      </c>
      <c r="D4737" t="s">
        <v>80</v>
      </c>
      <c r="E4737" t="s">
        <v>446</v>
      </c>
      <c r="F4737">
        <v>117.91</v>
      </c>
      <c r="G4737">
        <v>0</v>
      </c>
    </row>
    <row r="4738" spans="2:7" x14ac:dyDescent="0.25">
      <c r="B4738" s="70">
        <v>43413</v>
      </c>
      <c r="C4738" t="s">
        <v>25</v>
      </c>
      <c r="D4738" t="s">
        <v>80</v>
      </c>
      <c r="E4738" t="s">
        <v>446</v>
      </c>
      <c r="F4738">
        <v>42.97</v>
      </c>
      <c r="G4738">
        <v>0</v>
      </c>
    </row>
    <row r="4739" spans="2:7" x14ac:dyDescent="0.25">
      <c r="B4739" s="70">
        <v>43413</v>
      </c>
      <c r="C4739" t="s">
        <v>25</v>
      </c>
      <c r="D4739" t="s">
        <v>80</v>
      </c>
      <c r="E4739" t="s">
        <v>446</v>
      </c>
      <c r="F4739">
        <v>26.98</v>
      </c>
      <c r="G4739">
        <v>0</v>
      </c>
    </row>
    <row r="4740" spans="2:7" x14ac:dyDescent="0.25">
      <c r="B4740" s="70">
        <v>43413</v>
      </c>
      <c r="C4740" t="s">
        <v>25</v>
      </c>
      <c r="D4740" t="s">
        <v>87</v>
      </c>
      <c r="E4740" t="s">
        <v>446</v>
      </c>
      <c r="F4740">
        <v>52.5</v>
      </c>
      <c r="G4740">
        <v>0</v>
      </c>
    </row>
    <row r="4741" spans="2:7" x14ac:dyDescent="0.25">
      <c r="B4741" s="70">
        <v>43413</v>
      </c>
      <c r="C4741" t="s">
        <v>25</v>
      </c>
      <c r="D4741" t="s">
        <v>87</v>
      </c>
      <c r="E4741" t="s">
        <v>446</v>
      </c>
      <c r="F4741">
        <v>41.1</v>
      </c>
      <c r="G4741">
        <v>0</v>
      </c>
    </row>
    <row r="4742" spans="2:7" x14ac:dyDescent="0.25">
      <c r="B4742" s="70">
        <v>43413</v>
      </c>
      <c r="C4742" t="s">
        <v>25</v>
      </c>
      <c r="D4742" t="s">
        <v>87</v>
      </c>
      <c r="E4742" t="s">
        <v>446</v>
      </c>
      <c r="F4742">
        <v>39.200000000000003</v>
      </c>
      <c r="G4742">
        <v>0</v>
      </c>
    </row>
    <row r="4743" spans="2:7" x14ac:dyDescent="0.25">
      <c r="B4743" s="70">
        <v>43413</v>
      </c>
      <c r="C4743" t="s">
        <v>25</v>
      </c>
      <c r="D4743" t="s">
        <v>87</v>
      </c>
      <c r="E4743" t="s">
        <v>446</v>
      </c>
      <c r="F4743">
        <v>33.770000000000003</v>
      </c>
      <c r="G4743">
        <v>0</v>
      </c>
    </row>
    <row r="4744" spans="2:7" x14ac:dyDescent="0.25">
      <c r="B4744" s="70">
        <v>43413</v>
      </c>
      <c r="C4744" t="s">
        <v>25</v>
      </c>
      <c r="D4744" t="s">
        <v>87</v>
      </c>
      <c r="E4744" t="s">
        <v>446</v>
      </c>
      <c r="F4744">
        <v>99.56</v>
      </c>
      <c r="G4744">
        <v>0</v>
      </c>
    </row>
    <row r="4745" spans="2:7" x14ac:dyDescent="0.25">
      <c r="B4745" s="70">
        <v>43413</v>
      </c>
      <c r="C4745" t="s">
        <v>25</v>
      </c>
      <c r="D4745" t="s">
        <v>87</v>
      </c>
      <c r="E4745" t="s">
        <v>446</v>
      </c>
      <c r="F4745">
        <v>170.48</v>
      </c>
      <c r="G4745">
        <v>0</v>
      </c>
    </row>
    <row r="4746" spans="2:7" x14ac:dyDescent="0.25">
      <c r="B4746" s="70">
        <v>43413</v>
      </c>
      <c r="C4746" t="s">
        <v>25</v>
      </c>
      <c r="D4746" t="s">
        <v>87</v>
      </c>
      <c r="E4746" t="s">
        <v>446</v>
      </c>
      <c r="F4746">
        <v>17.05</v>
      </c>
      <c r="G4746">
        <v>0</v>
      </c>
    </row>
    <row r="4747" spans="2:7" x14ac:dyDescent="0.25">
      <c r="B4747" s="70">
        <v>43413</v>
      </c>
      <c r="C4747" t="s">
        <v>25</v>
      </c>
      <c r="D4747" t="s">
        <v>87</v>
      </c>
      <c r="E4747" t="s">
        <v>446</v>
      </c>
      <c r="F4747">
        <v>88.65</v>
      </c>
      <c r="G4747">
        <v>0</v>
      </c>
    </row>
    <row r="4748" spans="2:7" x14ac:dyDescent="0.25">
      <c r="B4748" s="70">
        <v>43413</v>
      </c>
      <c r="C4748" t="s">
        <v>25</v>
      </c>
      <c r="D4748" t="s">
        <v>87</v>
      </c>
      <c r="E4748" t="s">
        <v>446</v>
      </c>
      <c r="F4748">
        <v>20.36</v>
      </c>
      <c r="G4748">
        <v>0</v>
      </c>
    </row>
    <row r="4749" spans="2:7" x14ac:dyDescent="0.25">
      <c r="B4749" s="70">
        <v>43413</v>
      </c>
      <c r="C4749" t="s">
        <v>25</v>
      </c>
      <c r="D4749" t="s">
        <v>87</v>
      </c>
      <c r="E4749" t="s">
        <v>446</v>
      </c>
      <c r="F4749">
        <v>175.13</v>
      </c>
      <c r="G4749">
        <v>0</v>
      </c>
    </row>
    <row r="4750" spans="2:7" x14ac:dyDescent="0.25">
      <c r="B4750" s="70">
        <v>43413</v>
      </c>
      <c r="C4750" t="s">
        <v>25</v>
      </c>
      <c r="D4750" t="s">
        <v>87</v>
      </c>
      <c r="E4750" t="s">
        <v>446</v>
      </c>
      <c r="F4750">
        <v>18.34</v>
      </c>
      <c r="G4750">
        <v>0</v>
      </c>
    </row>
    <row r="4751" spans="2:7" x14ac:dyDescent="0.25">
      <c r="B4751" s="70">
        <v>43413</v>
      </c>
      <c r="C4751" t="s">
        <v>25</v>
      </c>
      <c r="D4751" t="s">
        <v>87</v>
      </c>
      <c r="E4751" t="s">
        <v>446</v>
      </c>
      <c r="F4751">
        <v>35.94</v>
      </c>
      <c r="G4751">
        <v>0</v>
      </c>
    </row>
    <row r="4752" spans="2:7" x14ac:dyDescent="0.25">
      <c r="B4752" s="70">
        <v>43413</v>
      </c>
      <c r="C4752" t="s">
        <v>25</v>
      </c>
      <c r="D4752" t="s">
        <v>81</v>
      </c>
      <c r="E4752" t="s">
        <v>213</v>
      </c>
      <c r="F4752">
        <v>15</v>
      </c>
      <c r="G4752">
        <v>0</v>
      </c>
    </row>
    <row r="4753" spans="2:7" x14ac:dyDescent="0.25">
      <c r="B4753" s="70">
        <v>43413</v>
      </c>
      <c r="C4753" t="s">
        <v>25</v>
      </c>
      <c r="D4753" t="s">
        <v>81</v>
      </c>
      <c r="E4753" t="s">
        <v>140</v>
      </c>
      <c r="F4753">
        <v>2.7</v>
      </c>
      <c r="G4753">
        <v>0</v>
      </c>
    </row>
    <row r="4754" spans="2:7" x14ac:dyDescent="0.25">
      <c r="B4754" s="70">
        <v>43413</v>
      </c>
      <c r="C4754" t="s">
        <v>25</v>
      </c>
      <c r="D4754" t="s">
        <v>81</v>
      </c>
      <c r="E4754" t="s">
        <v>247</v>
      </c>
      <c r="F4754">
        <v>12.1</v>
      </c>
      <c r="G4754">
        <v>0</v>
      </c>
    </row>
    <row r="4755" spans="2:7" x14ac:dyDescent="0.25">
      <c r="B4755" s="70">
        <v>43413</v>
      </c>
      <c r="C4755" t="s">
        <v>25</v>
      </c>
      <c r="D4755" t="s">
        <v>447</v>
      </c>
      <c r="E4755" t="s">
        <v>448</v>
      </c>
      <c r="F4755">
        <v>15.88</v>
      </c>
      <c r="G4755">
        <v>0</v>
      </c>
    </row>
    <row r="4756" spans="2:7" x14ac:dyDescent="0.25">
      <c r="B4756" s="70">
        <v>43413</v>
      </c>
      <c r="C4756" t="s">
        <v>25</v>
      </c>
      <c r="D4756" t="s">
        <v>447</v>
      </c>
      <c r="E4756" t="s">
        <v>448</v>
      </c>
      <c r="F4756">
        <v>32.06</v>
      </c>
      <c r="G4756">
        <v>0</v>
      </c>
    </row>
    <row r="4757" spans="2:7" x14ac:dyDescent="0.25">
      <c r="B4757" s="70">
        <v>43413</v>
      </c>
      <c r="C4757" t="s">
        <v>25</v>
      </c>
      <c r="D4757" t="s">
        <v>447</v>
      </c>
      <c r="E4757" t="s">
        <v>448</v>
      </c>
      <c r="F4757">
        <v>38.81</v>
      </c>
      <c r="G4757">
        <v>0</v>
      </c>
    </row>
    <row r="4758" spans="2:7" x14ac:dyDescent="0.25">
      <c r="B4758" s="70">
        <v>43413</v>
      </c>
      <c r="C4758" t="s">
        <v>25</v>
      </c>
      <c r="D4758" t="s">
        <v>447</v>
      </c>
      <c r="E4758" t="s">
        <v>448</v>
      </c>
      <c r="F4758">
        <v>17.36</v>
      </c>
      <c r="G4758">
        <v>0</v>
      </c>
    </row>
    <row r="4759" spans="2:7" x14ac:dyDescent="0.25">
      <c r="B4759" s="70">
        <v>43413</v>
      </c>
      <c r="C4759" t="s">
        <v>25</v>
      </c>
      <c r="D4759" t="s">
        <v>447</v>
      </c>
      <c r="E4759" t="s">
        <v>448</v>
      </c>
      <c r="F4759">
        <v>24.09</v>
      </c>
      <c r="G4759">
        <v>0</v>
      </c>
    </row>
    <row r="4760" spans="2:7" x14ac:dyDescent="0.25">
      <c r="B4760" s="70">
        <v>43413</v>
      </c>
      <c r="C4760" t="s">
        <v>25</v>
      </c>
      <c r="D4760" t="s">
        <v>447</v>
      </c>
      <c r="E4760" t="s">
        <v>448</v>
      </c>
      <c r="F4760">
        <v>28.4</v>
      </c>
      <c r="G4760">
        <v>0</v>
      </c>
    </row>
    <row r="4761" spans="2:7" x14ac:dyDescent="0.25">
      <c r="B4761" s="70">
        <v>43413</v>
      </c>
      <c r="C4761" t="s">
        <v>25</v>
      </c>
      <c r="D4761" t="s">
        <v>447</v>
      </c>
      <c r="E4761" t="s">
        <v>448</v>
      </c>
      <c r="F4761">
        <v>113.23</v>
      </c>
      <c r="G4761">
        <v>0</v>
      </c>
    </row>
    <row r="4762" spans="2:7" x14ac:dyDescent="0.25">
      <c r="B4762" s="70">
        <v>43413</v>
      </c>
      <c r="C4762" t="s">
        <v>54</v>
      </c>
      <c r="D4762" t="s">
        <v>447</v>
      </c>
      <c r="E4762" t="s">
        <v>448</v>
      </c>
      <c r="F4762">
        <v>986.6</v>
      </c>
      <c r="G4762">
        <v>0</v>
      </c>
    </row>
    <row r="4763" spans="2:7" x14ac:dyDescent="0.25">
      <c r="B4763" s="70">
        <v>43413</v>
      </c>
      <c r="C4763" t="s">
        <v>46</v>
      </c>
      <c r="D4763" t="s">
        <v>82</v>
      </c>
      <c r="E4763" t="s">
        <v>446</v>
      </c>
      <c r="F4763">
        <v>10</v>
      </c>
      <c r="G4763">
        <v>0</v>
      </c>
    </row>
    <row r="4764" spans="2:7" x14ac:dyDescent="0.25">
      <c r="B4764" s="70">
        <v>43413</v>
      </c>
      <c r="C4764" t="s">
        <v>46</v>
      </c>
      <c r="D4764" t="s">
        <v>447</v>
      </c>
      <c r="E4764" t="s">
        <v>448</v>
      </c>
      <c r="F4764">
        <v>10.58</v>
      </c>
      <c r="G4764">
        <v>0</v>
      </c>
    </row>
    <row r="4765" spans="2:7" x14ac:dyDescent="0.25">
      <c r="B4765" s="70">
        <v>43413</v>
      </c>
      <c r="C4765" t="s">
        <v>47</v>
      </c>
      <c r="D4765" t="s">
        <v>80</v>
      </c>
      <c r="E4765" t="s">
        <v>446</v>
      </c>
      <c r="F4765">
        <v>264.52</v>
      </c>
      <c r="G4765">
        <v>0</v>
      </c>
    </row>
    <row r="4766" spans="2:7" x14ac:dyDescent="0.25">
      <c r="B4766" s="70">
        <v>43413</v>
      </c>
      <c r="C4766" t="s">
        <v>47</v>
      </c>
      <c r="D4766" t="s">
        <v>87</v>
      </c>
      <c r="E4766" t="s">
        <v>446</v>
      </c>
      <c r="F4766">
        <v>64.61</v>
      </c>
      <c r="G4766">
        <v>0</v>
      </c>
    </row>
    <row r="4767" spans="2:7" x14ac:dyDescent="0.25">
      <c r="B4767" s="70">
        <v>43413</v>
      </c>
      <c r="C4767" t="s">
        <v>47</v>
      </c>
      <c r="D4767" t="s">
        <v>86</v>
      </c>
      <c r="E4767" t="s">
        <v>446</v>
      </c>
      <c r="F4767">
        <v>112.79</v>
      </c>
      <c r="G4767">
        <v>0</v>
      </c>
    </row>
    <row r="4768" spans="2:7" x14ac:dyDescent="0.25">
      <c r="B4768" s="70">
        <v>43413</v>
      </c>
      <c r="C4768" t="s">
        <v>21</v>
      </c>
      <c r="D4768" t="s">
        <v>79</v>
      </c>
      <c r="E4768" t="s">
        <v>446</v>
      </c>
      <c r="F4768">
        <v>8</v>
      </c>
      <c r="G4768">
        <v>0</v>
      </c>
    </row>
    <row r="4769" spans="2:7" x14ac:dyDescent="0.25">
      <c r="B4769" s="70">
        <v>43413</v>
      </c>
      <c r="C4769" t="s">
        <v>21</v>
      </c>
      <c r="D4769" t="s">
        <v>79</v>
      </c>
      <c r="E4769" t="s">
        <v>446</v>
      </c>
      <c r="F4769">
        <v>16</v>
      </c>
      <c r="G4769">
        <v>0</v>
      </c>
    </row>
    <row r="4770" spans="2:7" x14ac:dyDescent="0.25">
      <c r="B4770" s="70">
        <v>43413</v>
      </c>
      <c r="C4770" t="s">
        <v>21</v>
      </c>
      <c r="D4770" t="s">
        <v>79</v>
      </c>
      <c r="E4770" t="s">
        <v>446</v>
      </c>
      <c r="F4770">
        <v>40</v>
      </c>
      <c r="G4770">
        <v>0</v>
      </c>
    </row>
    <row r="4771" spans="2:7" x14ac:dyDescent="0.25">
      <c r="B4771" s="70">
        <v>43413</v>
      </c>
      <c r="C4771" t="s">
        <v>21</v>
      </c>
      <c r="D4771" t="s">
        <v>79</v>
      </c>
      <c r="E4771" t="s">
        <v>446</v>
      </c>
      <c r="F4771">
        <v>48</v>
      </c>
      <c r="G4771">
        <v>0</v>
      </c>
    </row>
    <row r="4772" spans="2:7" x14ac:dyDescent="0.25">
      <c r="B4772" s="70">
        <v>43413</v>
      </c>
      <c r="C4772" t="s">
        <v>21</v>
      </c>
      <c r="D4772" t="s">
        <v>79</v>
      </c>
      <c r="E4772" t="s">
        <v>446</v>
      </c>
      <c r="F4772">
        <v>72</v>
      </c>
      <c r="G4772">
        <v>0</v>
      </c>
    </row>
    <row r="4773" spans="2:7" x14ac:dyDescent="0.25">
      <c r="B4773" s="70">
        <v>43413</v>
      </c>
      <c r="C4773" t="s">
        <v>21</v>
      </c>
      <c r="D4773" t="s">
        <v>447</v>
      </c>
      <c r="E4773" t="s">
        <v>448</v>
      </c>
      <c r="F4773">
        <v>940.44</v>
      </c>
      <c r="G4773">
        <v>0</v>
      </c>
    </row>
    <row r="4774" spans="2:7" x14ac:dyDescent="0.25">
      <c r="B4774" s="70">
        <v>43413</v>
      </c>
      <c r="C4774" t="s">
        <v>21</v>
      </c>
      <c r="D4774" t="s">
        <v>447</v>
      </c>
      <c r="E4774" t="s">
        <v>448</v>
      </c>
      <c r="F4774">
        <v>8.6199999999999992</v>
      </c>
      <c r="G4774">
        <v>0</v>
      </c>
    </row>
    <row r="4775" spans="2:7" x14ac:dyDescent="0.25">
      <c r="B4775" s="70">
        <v>43413</v>
      </c>
      <c r="C4775" t="s">
        <v>21</v>
      </c>
      <c r="D4775" t="s">
        <v>447</v>
      </c>
      <c r="E4775" t="s">
        <v>448</v>
      </c>
      <c r="F4775">
        <v>210.68</v>
      </c>
      <c r="G4775">
        <v>0</v>
      </c>
    </row>
    <row r="4776" spans="2:7" x14ac:dyDescent="0.25">
      <c r="B4776" s="70">
        <v>43413</v>
      </c>
      <c r="C4776" t="s">
        <v>21</v>
      </c>
      <c r="D4776" t="s">
        <v>447</v>
      </c>
      <c r="E4776" t="s">
        <v>448</v>
      </c>
      <c r="F4776">
        <v>722.42</v>
      </c>
      <c r="G4776">
        <v>0</v>
      </c>
    </row>
    <row r="4777" spans="2:7" x14ac:dyDescent="0.25">
      <c r="B4777" s="70">
        <v>43413</v>
      </c>
      <c r="C4777" t="s">
        <v>21</v>
      </c>
      <c r="D4777" t="s">
        <v>447</v>
      </c>
      <c r="E4777" t="s">
        <v>448</v>
      </c>
      <c r="F4777">
        <v>302.99</v>
      </c>
      <c r="G4777">
        <v>0</v>
      </c>
    </row>
    <row r="4778" spans="2:7" x14ac:dyDescent="0.25">
      <c r="B4778" s="70">
        <v>43413</v>
      </c>
      <c r="C4778" t="s">
        <v>21</v>
      </c>
      <c r="D4778" t="s">
        <v>447</v>
      </c>
      <c r="E4778" t="s">
        <v>448</v>
      </c>
      <c r="F4778">
        <v>713.18</v>
      </c>
      <c r="G4778">
        <v>0</v>
      </c>
    </row>
    <row r="4779" spans="2:7" x14ac:dyDescent="0.25">
      <c r="B4779" s="70">
        <v>43413</v>
      </c>
      <c r="C4779" t="s">
        <v>21</v>
      </c>
      <c r="D4779" t="s">
        <v>447</v>
      </c>
      <c r="E4779" t="s">
        <v>448</v>
      </c>
      <c r="F4779">
        <v>28.76</v>
      </c>
      <c r="G4779">
        <v>0</v>
      </c>
    </row>
    <row r="4780" spans="2:7" x14ac:dyDescent="0.25">
      <c r="B4780" s="70">
        <v>43413</v>
      </c>
      <c r="C4780" t="s">
        <v>21</v>
      </c>
      <c r="D4780" t="s">
        <v>447</v>
      </c>
      <c r="E4780" t="s">
        <v>448</v>
      </c>
      <c r="F4780">
        <v>563.80999999999995</v>
      </c>
      <c r="G4780">
        <v>0</v>
      </c>
    </row>
    <row r="4781" spans="2:7" x14ac:dyDescent="0.25">
      <c r="B4781" s="70">
        <v>43413</v>
      </c>
      <c r="C4781" t="s">
        <v>21</v>
      </c>
      <c r="D4781" t="s">
        <v>447</v>
      </c>
      <c r="E4781" t="s">
        <v>448</v>
      </c>
      <c r="F4781">
        <v>460.64</v>
      </c>
      <c r="G4781">
        <v>0</v>
      </c>
    </row>
    <row r="4782" spans="2:7" x14ac:dyDescent="0.25">
      <c r="B4782" s="70">
        <v>43413</v>
      </c>
      <c r="C4782" t="s">
        <v>21</v>
      </c>
      <c r="D4782" t="s">
        <v>447</v>
      </c>
      <c r="E4782" t="s">
        <v>448</v>
      </c>
      <c r="F4782">
        <v>508.37</v>
      </c>
      <c r="G4782">
        <v>0</v>
      </c>
    </row>
    <row r="4783" spans="2:7" x14ac:dyDescent="0.25">
      <c r="B4783" s="70">
        <v>43413</v>
      </c>
      <c r="C4783" t="s">
        <v>21</v>
      </c>
      <c r="D4783" t="s">
        <v>447</v>
      </c>
      <c r="E4783" t="s">
        <v>448</v>
      </c>
      <c r="F4783">
        <v>444.88</v>
      </c>
      <c r="G4783">
        <v>0</v>
      </c>
    </row>
    <row r="4784" spans="2:7" x14ac:dyDescent="0.25">
      <c r="B4784" s="70">
        <v>43413</v>
      </c>
      <c r="C4784" t="s">
        <v>21</v>
      </c>
      <c r="D4784" t="s">
        <v>447</v>
      </c>
      <c r="E4784" t="s">
        <v>448</v>
      </c>
      <c r="F4784">
        <v>209.41</v>
      </c>
      <c r="G4784">
        <v>0</v>
      </c>
    </row>
    <row r="4785" spans="2:7" x14ac:dyDescent="0.25">
      <c r="B4785" s="70">
        <v>43413</v>
      </c>
      <c r="C4785" t="s">
        <v>21</v>
      </c>
      <c r="D4785" t="s">
        <v>447</v>
      </c>
      <c r="E4785" t="s">
        <v>448</v>
      </c>
      <c r="F4785">
        <v>467.29</v>
      </c>
      <c r="G4785">
        <v>0</v>
      </c>
    </row>
    <row r="4786" spans="2:7" x14ac:dyDescent="0.25">
      <c r="B4786" s="70">
        <v>43413</v>
      </c>
      <c r="C4786" t="s">
        <v>21</v>
      </c>
      <c r="D4786" t="s">
        <v>447</v>
      </c>
      <c r="E4786" t="s">
        <v>448</v>
      </c>
      <c r="F4786">
        <v>78.69</v>
      </c>
      <c r="G4786">
        <v>0</v>
      </c>
    </row>
    <row r="4787" spans="2:7" x14ac:dyDescent="0.25">
      <c r="B4787" s="70">
        <v>43413</v>
      </c>
      <c r="C4787" t="s">
        <v>21</v>
      </c>
      <c r="D4787" t="s">
        <v>447</v>
      </c>
      <c r="E4787" t="s">
        <v>448</v>
      </c>
      <c r="F4787">
        <v>93.58</v>
      </c>
      <c r="G4787">
        <v>0</v>
      </c>
    </row>
    <row r="4788" spans="2:7" x14ac:dyDescent="0.25">
      <c r="B4788" s="70">
        <v>43413</v>
      </c>
      <c r="C4788" t="s">
        <v>21</v>
      </c>
      <c r="D4788" t="s">
        <v>447</v>
      </c>
      <c r="E4788" t="s">
        <v>448</v>
      </c>
      <c r="F4788">
        <v>214.21</v>
      </c>
      <c r="G4788">
        <v>0</v>
      </c>
    </row>
    <row r="4789" spans="2:7" x14ac:dyDescent="0.25">
      <c r="B4789" s="70">
        <v>43413</v>
      </c>
      <c r="C4789" t="s">
        <v>21</v>
      </c>
      <c r="D4789" t="s">
        <v>447</v>
      </c>
      <c r="E4789" t="s">
        <v>448</v>
      </c>
      <c r="F4789">
        <v>209.54</v>
      </c>
      <c r="G4789">
        <v>0</v>
      </c>
    </row>
    <row r="4790" spans="2:7" x14ac:dyDescent="0.25">
      <c r="B4790" s="70">
        <v>43413</v>
      </c>
      <c r="C4790" t="s">
        <v>21</v>
      </c>
      <c r="D4790" t="s">
        <v>447</v>
      </c>
      <c r="E4790" t="s">
        <v>448</v>
      </c>
      <c r="F4790">
        <v>319.35000000000002</v>
      </c>
      <c r="G4790">
        <v>0</v>
      </c>
    </row>
    <row r="4791" spans="2:7" x14ac:dyDescent="0.25">
      <c r="B4791" s="70">
        <v>43413</v>
      </c>
      <c r="C4791" t="s">
        <v>21</v>
      </c>
      <c r="D4791" t="s">
        <v>447</v>
      </c>
      <c r="E4791" t="s">
        <v>448</v>
      </c>
      <c r="F4791">
        <v>251.59</v>
      </c>
      <c r="G4791">
        <v>0</v>
      </c>
    </row>
    <row r="4792" spans="2:7" x14ac:dyDescent="0.25">
      <c r="B4792" s="70">
        <v>43413</v>
      </c>
      <c r="C4792" t="s">
        <v>21</v>
      </c>
      <c r="D4792" t="s">
        <v>447</v>
      </c>
      <c r="E4792" t="s">
        <v>448</v>
      </c>
      <c r="F4792">
        <v>329.37</v>
      </c>
      <c r="G4792">
        <v>0</v>
      </c>
    </row>
    <row r="4793" spans="2:7" x14ac:dyDescent="0.25">
      <c r="B4793" s="70">
        <v>43413</v>
      </c>
      <c r="C4793" t="s">
        <v>21</v>
      </c>
      <c r="D4793" t="s">
        <v>447</v>
      </c>
      <c r="E4793" t="s">
        <v>448</v>
      </c>
      <c r="F4793">
        <v>653.28</v>
      </c>
      <c r="G4793">
        <v>0</v>
      </c>
    </row>
    <row r="4794" spans="2:7" x14ac:dyDescent="0.25">
      <c r="B4794" s="70">
        <v>43413</v>
      </c>
      <c r="C4794" t="s">
        <v>21</v>
      </c>
      <c r="D4794" t="s">
        <v>447</v>
      </c>
      <c r="E4794" t="s">
        <v>448</v>
      </c>
      <c r="F4794">
        <v>154.83000000000001</v>
      </c>
      <c r="G4794">
        <v>0</v>
      </c>
    </row>
    <row r="4795" spans="2:7" x14ac:dyDescent="0.25">
      <c r="B4795" s="70">
        <v>43413</v>
      </c>
      <c r="C4795" t="s">
        <v>21</v>
      </c>
      <c r="D4795" t="s">
        <v>447</v>
      </c>
      <c r="E4795" t="s">
        <v>448</v>
      </c>
      <c r="F4795">
        <v>152.76</v>
      </c>
      <c r="G4795">
        <v>0</v>
      </c>
    </row>
    <row r="4796" spans="2:7" x14ac:dyDescent="0.25">
      <c r="B4796" s="70">
        <v>43413</v>
      </c>
      <c r="C4796" t="s">
        <v>21</v>
      </c>
      <c r="D4796" t="s">
        <v>447</v>
      </c>
      <c r="E4796" t="s">
        <v>448</v>
      </c>
      <c r="F4796">
        <v>590.33000000000004</v>
      </c>
      <c r="G4796">
        <v>0</v>
      </c>
    </row>
    <row r="4797" spans="2:7" x14ac:dyDescent="0.25">
      <c r="B4797" s="70">
        <v>43413</v>
      </c>
      <c r="C4797" t="s">
        <v>21</v>
      </c>
      <c r="D4797" t="s">
        <v>447</v>
      </c>
      <c r="E4797" t="s">
        <v>448</v>
      </c>
      <c r="F4797">
        <v>34.29</v>
      </c>
      <c r="G4797">
        <v>0</v>
      </c>
    </row>
    <row r="4798" spans="2:7" x14ac:dyDescent="0.25">
      <c r="B4798" s="70">
        <v>43413</v>
      </c>
      <c r="C4798" t="s">
        <v>21</v>
      </c>
      <c r="D4798" t="s">
        <v>447</v>
      </c>
      <c r="E4798" t="s">
        <v>448</v>
      </c>
      <c r="F4798">
        <v>179.88</v>
      </c>
      <c r="G4798">
        <v>0</v>
      </c>
    </row>
    <row r="4799" spans="2:7" x14ac:dyDescent="0.25">
      <c r="B4799" s="70">
        <v>43413</v>
      </c>
      <c r="C4799" t="s">
        <v>48</v>
      </c>
      <c r="D4799" t="s">
        <v>87</v>
      </c>
      <c r="E4799" t="s">
        <v>446</v>
      </c>
      <c r="F4799">
        <v>34.24</v>
      </c>
      <c r="G4799">
        <v>0</v>
      </c>
    </row>
    <row r="4800" spans="2:7" x14ac:dyDescent="0.25">
      <c r="B4800" s="70">
        <v>43413</v>
      </c>
      <c r="C4800" t="s">
        <v>48</v>
      </c>
      <c r="D4800" t="s">
        <v>447</v>
      </c>
      <c r="E4800" t="s">
        <v>448</v>
      </c>
      <c r="F4800">
        <v>231.17</v>
      </c>
      <c r="G4800">
        <v>0</v>
      </c>
    </row>
    <row r="4801" spans="2:7" x14ac:dyDescent="0.25">
      <c r="B4801" s="70">
        <v>43413</v>
      </c>
      <c r="C4801" t="s">
        <v>55</v>
      </c>
      <c r="D4801" t="s">
        <v>447</v>
      </c>
      <c r="E4801" t="s">
        <v>448</v>
      </c>
      <c r="F4801">
        <v>49.45</v>
      </c>
      <c r="G4801">
        <v>0</v>
      </c>
    </row>
    <row r="4802" spans="2:7" x14ac:dyDescent="0.25">
      <c r="B4802" s="70">
        <v>43413</v>
      </c>
      <c r="C4802" t="s">
        <v>45</v>
      </c>
      <c r="D4802" t="s">
        <v>82</v>
      </c>
      <c r="E4802" t="s">
        <v>446</v>
      </c>
      <c r="F4802">
        <v>10.27</v>
      </c>
      <c r="G4802">
        <v>0</v>
      </c>
    </row>
    <row r="4803" spans="2:7" x14ac:dyDescent="0.25">
      <c r="B4803" s="70">
        <v>43413</v>
      </c>
      <c r="C4803" t="s">
        <v>49</v>
      </c>
      <c r="D4803" t="s">
        <v>85</v>
      </c>
      <c r="E4803" t="s">
        <v>446</v>
      </c>
      <c r="F4803">
        <v>184.87</v>
      </c>
      <c r="G4803">
        <v>0</v>
      </c>
    </row>
    <row r="4804" spans="2:7" x14ac:dyDescent="0.25">
      <c r="B4804" s="70">
        <v>43413</v>
      </c>
      <c r="C4804" t="s">
        <v>49</v>
      </c>
      <c r="D4804" t="s">
        <v>84</v>
      </c>
      <c r="E4804" t="s">
        <v>446</v>
      </c>
      <c r="F4804">
        <v>3198.1</v>
      </c>
      <c r="G4804">
        <v>0</v>
      </c>
    </row>
    <row r="4805" spans="2:7" x14ac:dyDescent="0.25">
      <c r="B4805" s="70">
        <v>43413</v>
      </c>
      <c r="C4805" t="s">
        <v>49</v>
      </c>
      <c r="D4805" t="s">
        <v>447</v>
      </c>
      <c r="E4805" t="s">
        <v>448</v>
      </c>
      <c r="F4805">
        <v>380.73</v>
      </c>
      <c r="G4805">
        <v>0</v>
      </c>
    </row>
    <row r="4806" spans="2:7" x14ac:dyDescent="0.25">
      <c r="B4806" s="70">
        <v>43413</v>
      </c>
      <c r="C4806" t="s">
        <v>50</v>
      </c>
      <c r="D4806" t="s">
        <v>82</v>
      </c>
      <c r="E4806" t="s">
        <v>446</v>
      </c>
      <c r="F4806">
        <v>16.28</v>
      </c>
      <c r="G4806">
        <v>0</v>
      </c>
    </row>
    <row r="4807" spans="2:7" x14ac:dyDescent="0.25">
      <c r="B4807" s="70">
        <v>43413</v>
      </c>
      <c r="C4807" t="s">
        <v>50</v>
      </c>
      <c r="D4807" t="s">
        <v>447</v>
      </c>
      <c r="E4807" t="s">
        <v>448</v>
      </c>
      <c r="F4807">
        <v>2032.34</v>
      </c>
      <c r="G4807">
        <v>0</v>
      </c>
    </row>
    <row r="4808" spans="2:7" x14ac:dyDescent="0.25">
      <c r="B4808" s="70">
        <v>43413</v>
      </c>
      <c r="C4808" t="s">
        <v>52</v>
      </c>
      <c r="D4808" t="s">
        <v>447</v>
      </c>
      <c r="E4808" t="s">
        <v>448</v>
      </c>
      <c r="F4808">
        <v>145.36000000000001</v>
      </c>
      <c r="G4808">
        <v>0</v>
      </c>
    </row>
    <row r="4809" spans="2:7" x14ac:dyDescent="0.25">
      <c r="B4809" s="70">
        <v>43413</v>
      </c>
      <c r="C4809" t="s">
        <v>24</v>
      </c>
      <c r="D4809" t="s">
        <v>79</v>
      </c>
      <c r="E4809" t="s">
        <v>446</v>
      </c>
      <c r="F4809">
        <v>8</v>
      </c>
      <c r="G4809">
        <v>0</v>
      </c>
    </row>
    <row r="4810" spans="2:7" x14ac:dyDescent="0.25">
      <c r="B4810" s="70">
        <v>43413</v>
      </c>
      <c r="C4810" t="s">
        <v>24</v>
      </c>
      <c r="D4810" t="s">
        <v>82</v>
      </c>
      <c r="E4810" t="s">
        <v>446</v>
      </c>
      <c r="F4810">
        <v>6.3</v>
      </c>
      <c r="G4810">
        <v>0</v>
      </c>
    </row>
    <row r="4811" spans="2:7" x14ac:dyDescent="0.25">
      <c r="B4811" s="70">
        <v>43413</v>
      </c>
      <c r="C4811" t="s">
        <v>24</v>
      </c>
      <c r="D4811" t="s">
        <v>447</v>
      </c>
      <c r="E4811" t="s">
        <v>448</v>
      </c>
      <c r="F4811">
        <v>27.72</v>
      </c>
      <c r="G4811">
        <v>0</v>
      </c>
    </row>
    <row r="4812" spans="2:7" x14ac:dyDescent="0.25">
      <c r="B4812" s="70">
        <v>43413</v>
      </c>
      <c r="C4812" t="s">
        <v>24</v>
      </c>
      <c r="D4812" t="s">
        <v>447</v>
      </c>
      <c r="E4812" t="s">
        <v>448</v>
      </c>
      <c r="F4812">
        <v>39.01</v>
      </c>
      <c r="G4812">
        <v>0</v>
      </c>
    </row>
    <row r="4813" spans="2:7" x14ac:dyDescent="0.25">
      <c r="B4813" s="70">
        <v>43413</v>
      </c>
      <c r="C4813" t="s">
        <v>24</v>
      </c>
      <c r="D4813" t="s">
        <v>447</v>
      </c>
      <c r="E4813" t="s">
        <v>448</v>
      </c>
      <c r="F4813">
        <v>15.84</v>
      </c>
      <c r="G4813">
        <v>0</v>
      </c>
    </row>
    <row r="4814" spans="2:7" x14ac:dyDescent="0.25">
      <c r="B4814" s="70">
        <v>43413</v>
      </c>
      <c r="C4814" t="s">
        <v>24</v>
      </c>
      <c r="D4814" t="s">
        <v>447</v>
      </c>
      <c r="E4814" t="s">
        <v>448</v>
      </c>
      <c r="F4814">
        <v>24.12</v>
      </c>
      <c r="G4814">
        <v>0</v>
      </c>
    </row>
    <row r="4815" spans="2:7" x14ac:dyDescent="0.25">
      <c r="B4815" s="70">
        <v>43413</v>
      </c>
      <c r="C4815" t="s">
        <v>24</v>
      </c>
      <c r="D4815" t="s">
        <v>447</v>
      </c>
      <c r="E4815" t="s">
        <v>448</v>
      </c>
      <c r="F4815">
        <v>46.15</v>
      </c>
      <c r="G4815">
        <v>0</v>
      </c>
    </row>
    <row r="4816" spans="2:7" x14ac:dyDescent="0.25">
      <c r="B4816" s="70">
        <v>43413</v>
      </c>
      <c r="C4816" t="s">
        <v>24</v>
      </c>
      <c r="D4816" t="s">
        <v>447</v>
      </c>
      <c r="E4816" t="s">
        <v>448</v>
      </c>
      <c r="F4816">
        <v>29.9</v>
      </c>
      <c r="G4816">
        <v>0</v>
      </c>
    </row>
    <row r="4817" spans="2:7" x14ac:dyDescent="0.25">
      <c r="B4817" s="70">
        <v>43413</v>
      </c>
      <c r="C4817" t="s">
        <v>24</v>
      </c>
      <c r="D4817" t="s">
        <v>447</v>
      </c>
      <c r="E4817" t="s">
        <v>448</v>
      </c>
      <c r="F4817">
        <v>12.26</v>
      </c>
      <c r="G4817">
        <v>0</v>
      </c>
    </row>
    <row r="4818" spans="2:7" x14ac:dyDescent="0.25">
      <c r="B4818" s="70">
        <v>43413</v>
      </c>
      <c r="C4818" t="s">
        <v>24</v>
      </c>
      <c r="D4818" t="s">
        <v>447</v>
      </c>
      <c r="E4818" t="s">
        <v>448</v>
      </c>
      <c r="F4818">
        <v>36.28</v>
      </c>
      <c r="G4818">
        <v>0</v>
      </c>
    </row>
    <row r="4819" spans="2:7" x14ac:dyDescent="0.25">
      <c r="B4819" s="70">
        <v>43413</v>
      </c>
      <c r="C4819" t="s">
        <v>24</v>
      </c>
      <c r="D4819" t="s">
        <v>447</v>
      </c>
      <c r="E4819" t="s">
        <v>448</v>
      </c>
      <c r="F4819">
        <v>99.04</v>
      </c>
      <c r="G4819">
        <v>0</v>
      </c>
    </row>
    <row r="4820" spans="2:7" x14ac:dyDescent="0.25">
      <c r="B4820" s="70">
        <v>43413</v>
      </c>
      <c r="C4820" t="s">
        <v>24</v>
      </c>
      <c r="D4820" t="s">
        <v>447</v>
      </c>
      <c r="E4820" t="s">
        <v>448</v>
      </c>
      <c r="F4820">
        <v>64.58</v>
      </c>
      <c r="G4820">
        <v>0</v>
      </c>
    </row>
    <row r="4821" spans="2:7" x14ac:dyDescent="0.25">
      <c r="B4821" s="70">
        <v>43413</v>
      </c>
      <c r="C4821" t="s">
        <v>24</v>
      </c>
      <c r="D4821" t="s">
        <v>447</v>
      </c>
      <c r="E4821" t="s">
        <v>448</v>
      </c>
      <c r="F4821">
        <v>59.5</v>
      </c>
      <c r="G4821">
        <v>0</v>
      </c>
    </row>
    <row r="4822" spans="2:7" x14ac:dyDescent="0.25">
      <c r="B4822" s="70">
        <v>43413</v>
      </c>
      <c r="C4822" t="s">
        <v>24</v>
      </c>
      <c r="D4822" t="s">
        <v>447</v>
      </c>
      <c r="E4822" t="s">
        <v>448</v>
      </c>
      <c r="F4822">
        <v>18.29</v>
      </c>
      <c r="G4822">
        <v>0</v>
      </c>
    </row>
    <row r="4823" spans="2:7" x14ac:dyDescent="0.25">
      <c r="B4823" s="70">
        <v>43413</v>
      </c>
      <c r="C4823" t="s">
        <v>24</v>
      </c>
      <c r="D4823" t="s">
        <v>447</v>
      </c>
      <c r="E4823" t="s">
        <v>448</v>
      </c>
      <c r="F4823">
        <v>11.54</v>
      </c>
      <c r="G4823">
        <v>0</v>
      </c>
    </row>
    <row r="4824" spans="2:7" x14ac:dyDescent="0.25">
      <c r="B4824" s="70">
        <v>43413</v>
      </c>
      <c r="C4824" t="s">
        <v>24</v>
      </c>
      <c r="D4824" t="s">
        <v>447</v>
      </c>
      <c r="E4824" t="s">
        <v>448</v>
      </c>
      <c r="F4824">
        <v>185.43</v>
      </c>
      <c r="G4824">
        <v>0</v>
      </c>
    </row>
    <row r="4825" spans="2:7" x14ac:dyDescent="0.25">
      <c r="B4825" s="70">
        <v>43413</v>
      </c>
      <c r="C4825" t="s">
        <v>24</v>
      </c>
      <c r="D4825" t="s">
        <v>447</v>
      </c>
      <c r="E4825" t="s">
        <v>448</v>
      </c>
      <c r="F4825">
        <v>13.48</v>
      </c>
      <c r="G4825">
        <v>0</v>
      </c>
    </row>
    <row r="4826" spans="2:7" x14ac:dyDescent="0.25">
      <c r="B4826" s="70">
        <v>43413</v>
      </c>
      <c r="C4826" t="s">
        <v>24</v>
      </c>
      <c r="D4826" t="s">
        <v>447</v>
      </c>
      <c r="E4826" t="s">
        <v>448</v>
      </c>
      <c r="F4826">
        <v>25.59</v>
      </c>
      <c r="G4826">
        <v>0</v>
      </c>
    </row>
    <row r="4827" spans="2:7" x14ac:dyDescent="0.25">
      <c r="B4827" s="70">
        <v>43413</v>
      </c>
      <c r="C4827" t="s">
        <v>24</v>
      </c>
      <c r="D4827" t="s">
        <v>447</v>
      </c>
      <c r="E4827" t="s">
        <v>448</v>
      </c>
      <c r="F4827">
        <v>29.17</v>
      </c>
      <c r="G4827">
        <v>0</v>
      </c>
    </row>
    <row r="4828" spans="2:7" x14ac:dyDescent="0.25">
      <c r="B4828" s="70">
        <v>43413</v>
      </c>
      <c r="C4828" t="s">
        <v>61</v>
      </c>
      <c r="D4828" t="s">
        <v>82</v>
      </c>
      <c r="E4828" t="s">
        <v>446</v>
      </c>
      <c r="F4828">
        <v>100.4</v>
      </c>
      <c r="G4828">
        <v>0</v>
      </c>
    </row>
    <row r="4829" spans="2:7" x14ac:dyDescent="0.25">
      <c r="B4829" s="70">
        <v>43444</v>
      </c>
      <c r="C4829" t="s">
        <v>25</v>
      </c>
      <c r="D4829" t="s">
        <v>80</v>
      </c>
      <c r="E4829" t="s">
        <v>449</v>
      </c>
      <c r="F4829">
        <v>110</v>
      </c>
      <c r="G4829">
        <v>0</v>
      </c>
    </row>
    <row r="4830" spans="2:7" x14ac:dyDescent="0.25">
      <c r="B4830" s="70">
        <v>43444</v>
      </c>
      <c r="C4830" t="s">
        <v>25</v>
      </c>
      <c r="D4830" t="s">
        <v>80</v>
      </c>
      <c r="E4830" t="s">
        <v>449</v>
      </c>
      <c r="F4830">
        <v>86.97</v>
      </c>
      <c r="G4830">
        <v>0</v>
      </c>
    </row>
    <row r="4831" spans="2:7" x14ac:dyDescent="0.25">
      <c r="B4831" s="70">
        <v>43444</v>
      </c>
      <c r="C4831" t="s">
        <v>25</v>
      </c>
      <c r="D4831" t="s">
        <v>87</v>
      </c>
      <c r="E4831" t="s">
        <v>449</v>
      </c>
      <c r="F4831">
        <v>100</v>
      </c>
      <c r="G4831">
        <v>0</v>
      </c>
    </row>
    <row r="4832" spans="2:7" x14ac:dyDescent="0.25">
      <c r="B4832" s="70">
        <v>43444</v>
      </c>
      <c r="C4832" t="s">
        <v>25</v>
      </c>
      <c r="D4832" t="s">
        <v>87</v>
      </c>
      <c r="E4832" t="s">
        <v>449</v>
      </c>
      <c r="F4832">
        <v>47.06</v>
      </c>
      <c r="G4832">
        <v>0</v>
      </c>
    </row>
    <row r="4833" spans="2:7" x14ac:dyDescent="0.25">
      <c r="B4833" s="70">
        <v>43444</v>
      </c>
      <c r="C4833" t="s">
        <v>25</v>
      </c>
      <c r="D4833" t="s">
        <v>81</v>
      </c>
      <c r="E4833" t="s">
        <v>158</v>
      </c>
      <c r="F4833">
        <v>6.85</v>
      </c>
      <c r="G4833">
        <v>0</v>
      </c>
    </row>
    <row r="4834" spans="2:7" x14ac:dyDescent="0.25">
      <c r="B4834" s="70">
        <v>43444</v>
      </c>
      <c r="C4834" t="s">
        <v>25</v>
      </c>
      <c r="D4834" t="s">
        <v>81</v>
      </c>
      <c r="E4834" t="s">
        <v>154</v>
      </c>
      <c r="F4834">
        <v>2.25</v>
      </c>
      <c r="G4834">
        <v>0</v>
      </c>
    </row>
    <row r="4835" spans="2:7" x14ac:dyDescent="0.25">
      <c r="B4835" s="70">
        <v>43444</v>
      </c>
      <c r="C4835" t="s">
        <v>25</v>
      </c>
      <c r="D4835" t="s">
        <v>84</v>
      </c>
      <c r="E4835" t="s">
        <v>449</v>
      </c>
      <c r="F4835">
        <v>185.85</v>
      </c>
      <c r="G4835">
        <v>0</v>
      </c>
    </row>
    <row r="4836" spans="2:7" x14ac:dyDescent="0.25">
      <c r="B4836" s="70">
        <v>43444</v>
      </c>
      <c r="C4836" t="s">
        <v>25</v>
      </c>
      <c r="D4836" t="s">
        <v>450</v>
      </c>
      <c r="E4836" t="s">
        <v>451</v>
      </c>
      <c r="F4836">
        <v>138.41</v>
      </c>
      <c r="G4836">
        <v>0</v>
      </c>
    </row>
    <row r="4837" spans="2:7" x14ac:dyDescent="0.25">
      <c r="B4837" s="70">
        <v>43444</v>
      </c>
      <c r="C4837" t="s">
        <v>25</v>
      </c>
      <c r="D4837" t="s">
        <v>450</v>
      </c>
      <c r="E4837" t="s">
        <v>451</v>
      </c>
      <c r="F4837">
        <v>42.42</v>
      </c>
      <c r="G4837">
        <v>0</v>
      </c>
    </row>
    <row r="4838" spans="2:7" x14ac:dyDescent="0.25">
      <c r="B4838" s="70">
        <v>43444</v>
      </c>
      <c r="C4838" t="s">
        <v>25</v>
      </c>
      <c r="D4838" t="s">
        <v>450</v>
      </c>
      <c r="E4838" t="s">
        <v>451</v>
      </c>
      <c r="F4838">
        <v>55.36</v>
      </c>
      <c r="G4838">
        <v>0</v>
      </c>
    </row>
    <row r="4839" spans="2:7" x14ac:dyDescent="0.25">
      <c r="B4839" s="70">
        <v>43444</v>
      </c>
      <c r="C4839" t="s">
        <v>25</v>
      </c>
      <c r="D4839" t="s">
        <v>450</v>
      </c>
      <c r="E4839" t="s">
        <v>451</v>
      </c>
      <c r="F4839">
        <v>46.7</v>
      </c>
      <c r="G4839">
        <v>0</v>
      </c>
    </row>
    <row r="4840" spans="2:7" x14ac:dyDescent="0.25">
      <c r="B4840" s="70">
        <v>43444</v>
      </c>
      <c r="C4840" t="s">
        <v>54</v>
      </c>
      <c r="D4840" t="s">
        <v>450</v>
      </c>
      <c r="E4840" t="s">
        <v>451</v>
      </c>
      <c r="F4840">
        <v>5973.76</v>
      </c>
      <c r="G4840">
        <v>0</v>
      </c>
    </row>
    <row r="4841" spans="2:7" x14ac:dyDescent="0.25">
      <c r="B4841" s="70">
        <v>43444</v>
      </c>
      <c r="C4841" t="s">
        <v>46</v>
      </c>
      <c r="D4841" t="s">
        <v>450</v>
      </c>
      <c r="E4841" t="s">
        <v>451</v>
      </c>
      <c r="F4841">
        <v>367.27</v>
      </c>
      <c r="G4841">
        <v>0</v>
      </c>
    </row>
    <row r="4842" spans="2:7" x14ac:dyDescent="0.25">
      <c r="B4842" s="70">
        <v>43444</v>
      </c>
      <c r="C4842" t="s">
        <v>59</v>
      </c>
      <c r="D4842" t="s">
        <v>84</v>
      </c>
      <c r="E4842" t="s">
        <v>449</v>
      </c>
      <c r="F4842">
        <v>1411</v>
      </c>
      <c r="G4842">
        <v>0</v>
      </c>
    </row>
    <row r="4843" spans="2:7" x14ac:dyDescent="0.25">
      <c r="B4843" s="70">
        <v>43444</v>
      </c>
      <c r="C4843" t="s">
        <v>43</v>
      </c>
      <c r="D4843" t="s">
        <v>450</v>
      </c>
      <c r="E4843" t="s">
        <v>451</v>
      </c>
      <c r="F4843">
        <v>980.2</v>
      </c>
      <c r="G4843">
        <v>0</v>
      </c>
    </row>
    <row r="4844" spans="2:7" x14ac:dyDescent="0.25">
      <c r="B4844" s="70">
        <v>43444</v>
      </c>
      <c r="C4844" t="s">
        <v>21</v>
      </c>
      <c r="D4844" t="s">
        <v>79</v>
      </c>
      <c r="E4844" t="s">
        <v>449</v>
      </c>
      <c r="F4844">
        <v>24</v>
      </c>
      <c r="G4844">
        <v>0</v>
      </c>
    </row>
    <row r="4845" spans="2:7" x14ac:dyDescent="0.25">
      <c r="B4845" s="70">
        <v>43444</v>
      </c>
      <c r="C4845" t="s">
        <v>21</v>
      </c>
      <c r="D4845" t="s">
        <v>79</v>
      </c>
      <c r="E4845" t="s">
        <v>449</v>
      </c>
      <c r="F4845">
        <v>40</v>
      </c>
      <c r="G4845">
        <v>0</v>
      </c>
    </row>
    <row r="4846" spans="2:7" x14ac:dyDescent="0.25">
      <c r="B4846" s="70">
        <v>43444</v>
      </c>
      <c r="C4846" t="s">
        <v>21</v>
      </c>
      <c r="D4846" t="s">
        <v>450</v>
      </c>
      <c r="E4846" t="s">
        <v>451</v>
      </c>
      <c r="F4846">
        <v>26.02</v>
      </c>
      <c r="G4846">
        <v>0</v>
      </c>
    </row>
    <row r="4847" spans="2:7" x14ac:dyDescent="0.25">
      <c r="B4847" s="70">
        <v>43444</v>
      </c>
      <c r="C4847" t="s">
        <v>21</v>
      </c>
      <c r="D4847" t="s">
        <v>450</v>
      </c>
      <c r="E4847" t="s">
        <v>451</v>
      </c>
      <c r="F4847">
        <v>29.29</v>
      </c>
      <c r="G4847">
        <v>0</v>
      </c>
    </row>
    <row r="4848" spans="2:7" x14ac:dyDescent="0.25">
      <c r="B4848" s="70">
        <v>43444</v>
      </c>
      <c r="C4848" t="s">
        <v>21</v>
      </c>
      <c r="D4848" t="s">
        <v>450</v>
      </c>
      <c r="E4848" t="s">
        <v>451</v>
      </c>
      <c r="F4848">
        <v>492.62</v>
      </c>
      <c r="G4848">
        <v>0</v>
      </c>
    </row>
    <row r="4849" spans="2:7" x14ac:dyDescent="0.25">
      <c r="B4849" s="70">
        <v>43444</v>
      </c>
      <c r="C4849" t="s">
        <v>21</v>
      </c>
      <c r="D4849" t="s">
        <v>450</v>
      </c>
      <c r="E4849" t="s">
        <v>451</v>
      </c>
      <c r="F4849">
        <v>176.55</v>
      </c>
      <c r="G4849">
        <v>0</v>
      </c>
    </row>
    <row r="4850" spans="2:7" x14ac:dyDescent="0.25">
      <c r="B4850" s="70">
        <v>43444</v>
      </c>
      <c r="C4850" t="s">
        <v>21</v>
      </c>
      <c r="D4850" t="s">
        <v>450</v>
      </c>
      <c r="E4850" t="s">
        <v>451</v>
      </c>
      <c r="F4850">
        <v>348.54</v>
      </c>
      <c r="G4850">
        <v>0</v>
      </c>
    </row>
    <row r="4851" spans="2:7" x14ac:dyDescent="0.25">
      <c r="B4851" s="70">
        <v>43444</v>
      </c>
      <c r="C4851" t="s">
        <v>21</v>
      </c>
      <c r="D4851" t="s">
        <v>450</v>
      </c>
      <c r="E4851" t="s">
        <v>451</v>
      </c>
      <c r="F4851">
        <v>204.94</v>
      </c>
      <c r="G4851">
        <v>0</v>
      </c>
    </row>
    <row r="4852" spans="2:7" x14ac:dyDescent="0.25">
      <c r="B4852" s="70">
        <v>43444</v>
      </c>
      <c r="C4852" t="s">
        <v>21</v>
      </c>
      <c r="D4852" t="s">
        <v>450</v>
      </c>
      <c r="E4852" t="s">
        <v>451</v>
      </c>
      <c r="F4852">
        <v>1421.56</v>
      </c>
      <c r="G4852">
        <v>0</v>
      </c>
    </row>
    <row r="4853" spans="2:7" x14ac:dyDescent="0.25">
      <c r="B4853" s="70">
        <v>43444</v>
      </c>
      <c r="C4853" t="s">
        <v>21</v>
      </c>
      <c r="D4853" t="s">
        <v>450</v>
      </c>
      <c r="E4853" t="s">
        <v>451</v>
      </c>
      <c r="F4853">
        <v>853.72</v>
      </c>
      <c r="G4853">
        <v>0</v>
      </c>
    </row>
    <row r="4854" spans="2:7" x14ac:dyDescent="0.25">
      <c r="B4854" s="70">
        <v>43444</v>
      </c>
      <c r="C4854" t="s">
        <v>21</v>
      </c>
      <c r="D4854" t="s">
        <v>450</v>
      </c>
      <c r="E4854" t="s">
        <v>451</v>
      </c>
      <c r="F4854">
        <v>525.66</v>
      </c>
      <c r="G4854">
        <v>0</v>
      </c>
    </row>
    <row r="4855" spans="2:7" x14ac:dyDescent="0.25">
      <c r="B4855" s="70">
        <v>43444</v>
      </c>
      <c r="C4855" t="s">
        <v>21</v>
      </c>
      <c r="D4855" t="s">
        <v>450</v>
      </c>
      <c r="E4855" t="s">
        <v>451</v>
      </c>
      <c r="F4855">
        <v>292.58</v>
      </c>
      <c r="G4855">
        <v>0</v>
      </c>
    </row>
    <row r="4856" spans="2:7" x14ac:dyDescent="0.25">
      <c r="B4856" s="70">
        <v>43444</v>
      </c>
      <c r="C4856" t="s">
        <v>21</v>
      </c>
      <c r="D4856" t="s">
        <v>450</v>
      </c>
      <c r="E4856" t="s">
        <v>451</v>
      </c>
      <c r="F4856">
        <v>855.44</v>
      </c>
      <c r="G4856">
        <v>0</v>
      </c>
    </row>
    <row r="4857" spans="2:7" x14ac:dyDescent="0.25">
      <c r="B4857" s="70">
        <v>43444</v>
      </c>
      <c r="C4857" t="s">
        <v>21</v>
      </c>
      <c r="D4857" t="s">
        <v>450</v>
      </c>
      <c r="E4857" t="s">
        <v>451</v>
      </c>
      <c r="F4857">
        <v>284.25</v>
      </c>
      <c r="G4857">
        <v>0</v>
      </c>
    </row>
    <row r="4858" spans="2:7" x14ac:dyDescent="0.25">
      <c r="B4858" s="70">
        <v>43444</v>
      </c>
      <c r="C4858" t="s">
        <v>21</v>
      </c>
      <c r="D4858" t="s">
        <v>450</v>
      </c>
      <c r="E4858" t="s">
        <v>451</v>
      </c>
      <c r="F4858">
        <v>40.72</v>
      </c>
      <c r="G4858">
        <v>0</v>
      </c>
    </row>
    <row r="4859" spans="2:7" x14ac:dyDescent="0.25">
      <c r="B4859" s="70">
        <v>43444</v>
      </c>
      <c r="C4859" t="s">
        <v>21</v>
      </c>
      <c r="D4859" t="s">
        <v>450</v>
      </c>
      <c r="E4859" t="s">
        <v>451</v>
      </c>
      <c r="F4859">
        <v>24.74</v>
      </c>
      <c r="G4859">
        <v>0</v>
      </c>
    </row>
    <row r="4860" spans="2:7" x14ac:dyDescent="0.25">
      <c r="B4860" s="70">
        <v>43444</v>
      </c>
      <c r="C4860" t="s">
        <v>21</v>
      </c>
      <c r="D4860" t="s">
        <v>450</v>
      </c>
      <c r="E4860" t="s">
        <v>451</v>
      </c>
      <c r="F4860">
        <v>233.35</v>
      </c>
      <c r="G4860">
        <v>0</v>
      </c>
    </row>
    <row r="4861" spans="2:7" x14ac:dyDescent="0.25">
      <c r="B4861" s="70">
        <v>43444</v>
      </c>
      <c r="C4861" t="s">
        <v>21</v>
      </c>
      <c r="D4861" t="s">
        <v>450</v>
      </c>
      <c r="E4861" t="s">
        <v>451</v>
      </c>
      <c r="F4861">
        <v>224.67</v>
      </c>
      <c r="G4861">
        <v>0</v>
      </c>
    </row>
    <row r="4862" spans="2:7" x14ac:dyDescent="0.25">
      <c r="B4862" s="70">
        <v>43444</v>
      </c>
      <c r="C4862" t="s">
        <v>21</v>
      </c>
      <c r="D4862" t="s">
        <v>450</v>
      </c>
      <c r="E4862" t="s">
        <v>451</v>
      </c>
      <c r="F4862">
        <v>164.05</v>
      </c>
      <c r="G4862">
        <v>0</v>
      </c>
    </row>
    <row r="4863" spans="2:7" x14ac:dyDescent="0.25">
      <c r="B4863" s="70">
        <v>43444</v>
      </c>
      <c r="C4863" t="s">
        <v>21</v>
      </c>
      <c r="D4863" t="s">
        <v>450</v>
      </c>
      <c r="E4863" t="s">
        <v>451</v>
      </c>
      <c r="F4863">
        <v>318.16000000000003</v>
      </c>
      <c r="G4863">
        <v>0</v>
      </c>
    </row>
    <row r="4864" spans="2:7" x14ac:dyDescent="0.25">
      <c r="B4864" s="70">
        <v>43444</v>
      </c>
      <c r="C4864" t="s">
        <v>21</v>
      </c>
      <c r="D4864" t="s">
        <v>450</v>
      </c>
      <c r="E4864" t="s">
        <v>451</v>
      </c>
      <c r="F4864">
        <v>224.28</v>
      </c>
      <c r="G4864">
        <v>0</v>
      </c>
    </row>
    <row r="4865" spans="2:7" x14ac:dyDescent="0.25">
      <c r="B4865" s="70">
        <v>43444</v>
      </c>
      <c r="C4865" t="s">
        <v>21</v>
      </c>
      <c r="D4865" t="s">
        <v>450</v>
      </c>
      <c r="E4865" t="s">
        <v>451</v>
      </c>
      <c r="F4865">
        <v>332.19</v>
      </c>
      <c r="G4865">
        <v>0</v>
      </c>
    </row>
    <row r="4866" spans="2:7" x14ac:dyDescent="0.25">
      <c r="B4866" s="70">
        <v>43444</v>
      </c>
      <c r="C4866" t="s">
        <v>21</v>
      </c>
      <c r="D4866" t="s">
        <v>450</v>
      </c>
      <c r="E4866" t="s">
        <v>451</v>
      </c>
      <c r="F4866">
        <v>1091.8399999999999</v>
      </c>
      <c r="G4866">
        <v>0</v>
      </c>
    </row>
    <row r="4867" spans="2:7" x14ac:dyDescent="0.25">
      <c r="B4867" s="70">
        <v>43444</v>
      </c>
      <c r="C4867" t="s">
        <v>21</v>
      </c>
      <c r="D4867" t="s">
        <v>450</v>
      </c>
      <c r="E4867" t="s">
        <v>451</v>
      </c>
      <c r="F4867">
        <v>25.82</v>
      </c>
      <c r="G4867">
        <v>0</v>
      </c>
    </row>
    <row r="4868" spans="2:7" x14ac:dyDescent="0.25">
      <c r="B4868" s="70">
        <v>43444</v>
      </c>
      <c r="C4868" t="s">
        <v>21</v>
      </c>
      <c r="D4868" t="s">
        <v>450</v>
      </c>
      <c r="E4868" t="s">
        <v>451</v>
      </c>
      <c r="F4868">
        <v>198.07</v>
      </c>
      <c r="G4868">
        <v>0</v>
      </c>
    </row>
    <row r="4869" spans="2:7" x14ac:dyDescent="0.25">
      <c r="B4869" s="70">
        <v>43444</v>
      </c>
      <c r="C4869" t="s">
        <v>21</v>
      </c>
      <c r="D4869" t="s">
        <v>450</v>
      </c>
      <c r="E4869" t="s">
        <v>451</v>
      </c>
      <c r="F4869">
        <v>628.98</v>
      </c>
      <c r="G4869">
        <v>0</v>
      </c>
    </row>
    <row r="4870" spans="2:7" x14ac:dyDescent="0.25">
      <c r="B4870" s="70">
        <v>43444</v>
      </c>
      <c r="C4870" t="s">
        <v>66</v>
      </c>
      <c r="D4870" t="s">
        <v>450</v>
      </c>
      <c r="E4870" t="s">
        <v>451</v>
      </c>
      <c r="F4870">
        <v>90.61</v>
      </c>
      <c r="G4870">
        <v>0</v>
      </c>
    </row>
    <row r="4871" spans="2:7" x14ac:dyDescent="0.25">
      <c r="B4871" s="70">
        <v>43444</v>
      </c>
      <c r="C4871" t="s">
        <v>48</v>
      </c>
      <c r="D4871" t="s">
        <v>91</v>
      </c>
      <c r="E4871" t="s">
        <v>449</v>
      </c>
      <c r="F4871">
        <v>124.53</v>
      </c>
      <c r="G4871">
        <v>0</v>
      </c>
    </row>
    <row r="4872" spans="2:7" x14ac:dyDescent="0.25">
      <c r="B4872" s="70">
        <v>43444</v>
      </c>
      <c r="C4872" t="s">
        <v>48</v>
      </c>
      <c r="D4872" t="s">
        <v>82</v>
      </c>
      <c r="E4872" t="s">
        <v>449</v>
      </c>
      <c r="F4872">
        <v>287</v>
      </c>
      <c r="G4872">
        <v>0</v>
      </c>
    </row>
    <row r="4873" spans="2:7" x14ac:dyDescent="0.25">
      <c r="B4873" s="70">
        <v>43444</v>
      </c>
      <c r="C4873" t="s">
        <v>48</v>
      </c>
      <c r="D4873" t="s">
        <v>84</v>
      </c>
      <c r="E4873" t="s">
        <v>449</v>
      </c>
      <c r="F4873">
        <v>1169.25</v>
      </c>
      <c r="G4873">
        <v>0</v>
      </c>
    </row>
    <row r="4874" spans="2:7" x14ac:dyDescent="0.25">
      <c r="B4874" s="70">
        <v>43444</v>
      </c>
      <c r="C4874" t="s">
        <v>48</v>
      </c>
      <c r="D4874" t="s">
        <v>450</v>
      </c>
      <c r="E4874" t="s">
        <v>451</v>
      </c>
      <c r="F4874">
        <v>873.71</v>
      </c>
      <c r="G4874">
        <v>0</v>
      </c>
    </row>
    <row r="4875" spans="2:7" x14ac:dyDescent="0.25">
      <c r="B4875" s="70">
        <v>43444</v>
      </c>
      <c r="C4875" t="s">
        <v>55</v>
      </c>
      <c r="D4875" t="s">
        <v>450</v>
      </c>
      <c r="E4875" t="s">
        <v>451</v>
      </c>
      <c r="F4875">
        <v>116.6</v>
      </c>
      <c r="G4875">
        <v>0</v>
      </c>
    </row>
    <row r="4876" spans="2:7" x14ac:dyDescent="0.25">
      <c r="B4876" s="70">
        <v>43444</v>
      </c>
      <c r="C4876" t="s">
        <v>49</v>
      </c>
      <c r="D4876" t="s">
        <v>450</v>
      </c>
      <c r="E4876" t="s">
        <v>451</v>
      </c>
      <c r="F4876">
        <v>3783.38</v>
      </c>
      <c r="G4876">
        <v>0</v>
      </c>
    </row>
    <row r="4877" spans="2:7" x14ac:dyDescent="0.25">
      <c r="B4877" s="70">
        <v>43444</v>
      </c>
      <c r="C4877" t="s">
        <v>50</v>
      </c>
      <c r="D4877" t="s">
        <v>84</v>
      </c>
      <c r="E4877" t="s">
        <v>449</v>
      </c>
      <c r="F4877">
        <v>360</v>
      </c>
      <c r="G4877">
        <v>0</v>
      </c>
    </row>
    <row r="4878" spans="2:7" x14ac:dyDescent="0.25">
      <c r="B4878" s="70">
        <v>43444</v>
      </c>
      <c r="C4878" t="s">
        <v>50</v>
      </c>
      <c r="D4878" t="s">
        <v>450</v>
      </c>
      <c r="E4878" t="s">
        <v>451</v>
      </c>
      <c r="F4878">
        <v>9024.7000000000007</v>
      </c>
      <c r="G4878">
        <v>0</v>
      </c>
    </row>
    <row r="4879" spans="2:7" x14ac:dyDescent="0.25">
      <c r="B4879" s="70">
        <v>43444</v>
      </c>
      <c r="C4879" t="s">
        <v>52</v>
      </c>
      <c r="D4879" t="s">
        <v>450</v>
      </c>
      <c r="E4879" t="s">
        <v>451</v>
      </c>
      <c r="F4879">
        <v>1091.26</v>
      </c>
      <c r="G4879">
        <v>0</v>
      </c>
    </row>
    <row r="4880" spans="2:7" x14ac:dyDescent="0.25">
      <c r="B4880" s="70">
        <v>43444</v>
      </c>
      <c r="C4880" t="s">
        <v>71</v>
      </c>
      <c r="D4880" t="s">
        <v>84</v>
      </c>
      <c r="E4880" t="s">
        <v>449</v>
      </c>
      <c r="F4880">
        <v>280.37</v>
      </c>
      <c r="G4880">
        <v>0</v>
      </c>
    </row>
    <row r="4881" spans="2:7" x14ac:dyDescent="0.25">
      <c r="B4881" s="70">
        <v>43444</v>
      </c>
      <c r="C4881" t="s">
        <v>24</v>
      </c>
      <c r="D4881" t="s">
        <v>79</v>
      </c>
      <c r="E4881" t="s">
        <v>449</v>
      </c>
      <c r="F4881">
        <v>8</v>
      </c>
      <c r="G4881">
        <v>0</v>
      </c>
    </row>
    <row r="4882" spans="2:7" x14ac:dyDescent="0.25">
      <c r="B4882" s="70">
        <v>43444</v>
      </c>
      <c r="C4882" t="s">
        <v>24</v>
      </c>
      <c r="D4882" t="s">
        <v>450</v>
      </c>
      <c r="E4882" t="s">
        <v>451</v>
      </c>
      <c r="F4882">
        <v>14.5</v>
      </c>
      <c r="G4882">
        <v>0</v>
      </c>
    </row>
    <row r="4883" spans="2:7" x14ac:dyDescent="0.25">
      <c r="B4883" s="70">
        <v>43444</v>
      </c>
      <c r="C4883" t="s">
        <v>24</v>
      </c>
      <c r="D4883" t="s">
        <v>450</v>
      </c>
      <c r="E4883" t="s">
        <v>451</v>
      </c>
      <c r="F4883">
        <v>6.94</v>
      </c>
      <c r="G4883">
        <v>0</v>
      </c>
    </row>
    <row r="4884" spans="2:7" x14ac:dyDescent="0.25">
      <c r="B4884" s="70">
        <v>43444</v>
      </c>
      <c r="C4884" t="s">
        <v>24</v>
      </c>
      <c r="D4884" t="s">
        <v>450</v>
      </c>
      <c r="E4884" t="s">
        <v>451</v>
      </c>
      <c r="F4884">
        <v>25.68</v>
      </c>
      <c r="G4884">
        <v>0</v>
      </c>
    </row>
    <row r="4885" spans="2:7" x14ac:dyDescent="0.25">
      <c r="B4885" s="70">
        <v>43444</v>
      </c>
      <c r="C4885" t="s">
        <v>24</v>
      </c>
      <c r="D4885" t="s">
        <v>450</v>
      </c>
      <c r="E4885" t="s">
        <v>451</v>
      </c>
      <c r="F4885">
        <v>27.64</v>
      </c>
      <c r="G4885">
        <v>0</v>
      </c>
    </row>
    <row r="4886" spans="2:7" x14ac:dyDescent="0.25">
      <c r="B4886" s="70">
        <v>43444</v>
      </c>
      <c r="C4886" t="s">
        <v>24</v>
      </c>
      <c r="D4886" t="s">
        <v>450</v>
      </c>
      <c r="E4886" t="s">
        <v>451</v>
      </c>
      <c r="F4886">
        <v>74.66</v>
      </c>
      <c r="G4886">
        <v>0</v>
      </c>
    </row>
    <row r="4887" spans="2:7" x14ac:dyDescent="0.25">
      <c r="B4887" s="70">
        <v>43444</v>
      </c>
      <c r="C4887" t="s">
        <v>24</v>
      </c>
      <c r="D4887" t="s">
        <v>450</v>
      </c>
      <c r="E4887" t="s">
        <v>451</v>
      </c>
      <c r="F4887">
        <v>28.41</v>
      </c>
      <c r="G4887">
        <v>0</v>
      </c>
    </row>
    <row r="4888" spans="2:7" x14ac:dyDescent="0.25">
      <c r="B4888" s="70">
        <v>43444</v>
      </c>
      <c r="C4888" t="s">
        <v>24</v>
      </c>
      <c r="D4888" t="s">
        <v>450</v>
      </c>
      <c r="E4888" t="s">
        <v>451</v>
      </c>
      <c r="F4888">
        <v>30.9</v>
      </c>
      <c r="G4888">
        <v>0</v>
      </c>
    </row>
    <row r="4889" spans="2:7" x14ac:dyDescent="0.25">
      <c r="B4889" s="70">
        <v>43444</v>
      </c>
      <c r="C4889" t="s">
        <v>24</v>
      </c>
      <c r="D4889" t="s">
        <v>450</v>
      </c>
      <c r="E4889" t="s">
        <v>451</v>
      </c>
      <c r="F4889">
        <v>29.88</v>
      </c>
      <c r="G4889">
        <v>0</v>
      </c>
    </row>
    <row r="4890" spans="2:7" x14ac:dyDescent="0.25">
      <c r="B4890" s="70">
        <v>43444</v>
      </c>
      <c r="C4890" t="s">
        <v>60</v>
      </c>
      <c r="D4890" t="s">
        <v>450</v>
      </c>
      <c r="E4890" t="s">
        <v>451</v>
      </c>
      <c r="F4890">
        <v>93.43</v>
      </c>
      <c r="G4890">
        <v>0</v>
      </c>
    </row>
    <row r="4891" spans="2:7" x14ac:dyDescent="0.25">
      <c r="B4891" s="70">
        <v>43444</v>
      </c>
      <c r="C4891" t="s">
        <v>61</v>
      </c>
      <c r="D4891" t="s">
        <v>450</v>
      </c>
      <c r="E4891" t="s">
        <v>451</v>
      </c>
      <c r="F4891">
        <v>167.5</v>
      </c>
      <c r="G4891">
        <v>0</v>
      </c>
    </row>
    <row r="4892" spans="2:7" x14ac:dyDescent="0.25">
      <c r="B4892" s="70">
        <v>43300</v>
      </c>
      <c r="C4892" t="s">
        <v>25</v>
      </c>
      <c r="D4892" t="s">
        <v>81</v>
      </c>
      <c r="E4892" t="s">
        <v>138</v>
      </c>
      <c r="F4892">
        <v>2.4</v>
      </c>
      <c r="G4892">
        <v>0</v>
      </c>
    </row>
    <row r="4893" spans="2:7" x14ac:dyDescent="0.25">
      <c r="B4893" s="70">
        <v>43300</v>
      </c>
      <c r="C4893" t="s">
        <v>25</v>
      </c>
      <c r="D4893" t="s">
        <v>81</v>
      </c>
      <c r="E4893" t="s">
        <v>125</v>
      </c>
      <c r="F4893">
        <v>5</v>
      </c>
      <c r="G4893">
        <v>0</v>
      </c>
    </row>
    <row r="4894" spans="2:7" x14ac:dyDescent="0.25">
      <c r="B4894" s="70">
        <v>43300</v>
      </c>
      <c r="C4894" t="s">
        <v>56</v>
      </c>
      <c r="D4894" t="s">
        <v>82</v>
      </c>
      <c r="E4894" t="s">
        <v>452</v>
      </c>
      <c r="F4894">
        <v>121.68</v>
      </c>
      <c r="G4894">
        <v>0</v>
      </c>
    </row>
    <row r="4895" spans="2:7" x14ac:dyDescent="0.25">
      <c r="B4895" s="70">
        <v>43300</v>
      </c>
      <c r="C4895" t="s">
        <v>44</v>
      </c>
      <c r="D4895" t="s">
        <v>79</v>
      </c>
      <c r="E4895" t="s">
        <v>452</v>
      </c>
      <c r="F4895">
        <v>26.23</v>
      </c>
      <c r="G4895">
        <v>0</v>
      </c>
    </row>
    <row r="4896" spans="2:7" x14ac:dyDescent="0.25">
      <c r="B4896" s="70">
        <v>43300</v>
      </c>
      <c r="C4896" t="s">
        <v>21</v>
      </c>
      <c r="D4896" t="s">
        <v>79</v>
      </c>
      <c r="E4896" t="s">
        <v>452</v>
      </c>
      <c r="F4896">
        <v>72</v>
      </c>
      <c r="G4896">
        <v>0</v>
      </c>
    </row>
    <row r="4897" spans="2:7" x14ac:dyDescent="0.25">
      <c r="B4897" s="70">
        <v>43300</v>
      </c>
      <c r="C4897" t="s">
        <v>21</v>
      </c>
      <c r="D4897" t="s">
        <v>453</v>
      </c>
      <c r="E4897" t="s">
        <v>454</v>
      </c>
      <c r="F4897">
        <v>21.79</v>
      </c>
      <c r="G4897">
        <v>0</v>
      </c>
    </row>
    <row r="4898" spans="2:7" x14ac:dyDescent="0.25">
      <c r="B4898" s="70">
        <v>43300</v>
      </c>
      <c r="C4898" t="s">
        <v>65</v>
      </c>
      <c r="D4898" t="s">
        <v>82</v>
      </c>
      <c r="E4898" t="s">
        <v>452</v>
      </c>
      <c r="F4898">
        <v>36.590000000000003</v>
      </c>
      <c r="G4898">
        <v>0</v>
      </c>
    </row>
    <row r="4899" spans="2:7" x14ac:dyDescent="0.25">
      <c r="B4899" s="70">
        <v>43300</v>
      </c>
      <c r="C4899" t="s">
        <v>24</v>
      </c>
      <c r="D4899" t="s">
        <v>79</v>
      </c>
      <c r="E4899" t="s">
        <v>452</v>
      </c>
      <c r="F4899">
        <v>56</v>
      </c>
      <c r="G4899">
        <v>0</v>
      </c>
    </row>
    <row r="4900" spans="2:7" x14ac:dyDescent="0.25">
      <c r="B4900" s="70">
        <v>43300</v>
      </c>
      <c r="C4900" t="s">
        <v>60</v>
      </c>
      <c r="D4900" t="s">
        <v>79</v>
      </c>
      <c r="E4900" t="s">
        <v>452</v>
      </c>
      <c r="F4900">
        <v>88.9</v>
      </c>
      <c r="G4900">
        <v>0</v>
      </c>
    </row>
    <row r="4901" spans="2:7" x14ac:dyDescent="0.25">
      <c r="B4901" s="70">
        <v>43256</v>
      </c>
      <c r="C4901" t="s">
        <v>25</v>
      </c>
      <c r="D4901" t="s">
        <v>81</v>
      </c>
      <c r="E4901" t="s">
        <v>240</v>
      </c>
      <c r="F4901">
        <v>1.25</v>
      </c>
      <c r="G4901">
        <v>0</v>
      </c>
    </row>
    <row r="4902" spans="2:7" x14ac:dyDescent="0.25">
      <c r="B4902" s="70">
        <v>43256</v>
      </c>
      <c r="C4902" t="s">
        <v>51</v>
      </c>
      <c r="D4902" t="s">
        <v>82</v>
      </c>
      <c r="E4902" t="s">
        <v>455</v>
      </c>
      <c r="F4902">
        <v>53.65</v>
      </c>
      <c r="G4902">
        <v>0</v>
      </c>
    </row>
    <row r="4903" spans="2:7" x14ac:dyDescent="0.25">
      <c r="B4903" s="70">
        <v>43256</v>
      </c>
      <c r="C4903" t="s">
        <v>21</v>
      </c>
      <c r="D4903" t="s">
        <v>79</v>
      </c>
      <c r="E4903" t="s">
        <v>455</v>
      </c>
      <c r="F4903">
        <v>8</v>
      </c>
      <c r="G4903">
        <v>0</v>
      </c>
    </row>
    <row r="4904" spans="2:7" x14ac:dyDescent="0.25">
      <c r="B4904" s="70">
        <v>43256</v>
      </c>
      <c r="C4904" t="s">
        <v>21</v>
      </c>
      <c r="D4904" t="s">
        <v>79</v>
      </c>
      <c r="E4904" t="s">
        <v>455</v>
      </c>
      <c r="F4904">
        <v>16</v>
      </c>
      <c r="G4904">
        <v>0</v>
      </c>
    </row>
    <row r="4905" spans="2:7" x14ac:dyDescent="0.25">
      <c r="B4905" s="70">
        <v>43256</v>
      </c>
      <c r="C4905" t="s">
        <v>21</v>
      </c>
      <c r="D4905" t="s">
        <v>79</v>
      </c>
      <c r="E4905" t="s">
        <v>455</v>
      </c>
      <c r="F4905">
        <v>32</v>
      </c>
      <c r="G4905">
        <v>0</v>
      </c>
    </row>
    <row r="4906" spans="2:7" x14ac:dyDescent="0.25">
      <c r="B4906" s="70">
        <v>43256</v>
      </c>
      <c r="C4906" t="s">
        <v>21</v>
      </c>
      <c r="D4906" t="s">
        <v>79</v>
      </c>
      <c r="E4906" t="s">
        <v>455</v>
      </c>
      <c r="F4906">
        <v>40</v>
      </c>
      <c r="G4906">
        <v>0</v>
      </c>
    </row>
    <row r="4907" spans="2:7" x14ac:dyDescent="0.25">
      <c r="B4907" s="70">
        <v>43256</v>
      </c>
      <c r="C4907" t="s">
        <v>21</v>
      </c>
      <c r="D4907" t="s">
        <v>79</v>
      </c>
      <c r="E4907" t="s">
        <v>455</v>
      </c>
      <c r="F4907">
        <v>48</v>
      </c>
      <c r="G4907">
        <v>0</v>
      </c>
    </row>
    <row r="4908" spans="2:7" x14ac:dyDescent="0.25">
      <c r="B4908" s="70">
        <v>43256</v>
      </c>
      <c r="C4908" t="s">
        <v>21</v>
      </c>
      <c r="D4908" t="s">
        <v>79</v>
      </c>
      <c r="E4908" t="s">
        <v>455</v>
      </c>
      <c r="F4908">
        <v>112</v>
      </c>
      <c r="G4908">
        <v>0</v>
      </c>
    </row>
    <row r="4909" spans="2:7" x14ac:dyDescent="0.25">
      <c r="B4909" s="70">
        <v>43256</v>
      </c>
      <c r="C4909" t="s">
        <v>21</v>
      </c>
      <c r="D4909" t="s">
        <v>82</v>
      </c>
      <c r="E4909" t="s">
        <v>455</v>
      </c>
      <c r="F4909">
        <v>113.1</v>
      </c>
      <c r="G4909">
        <v>0</v>
      </c>
    </row>
    <row r="4910" spans="2:7" x14ac:dyDescent="0.25">
      <c r="B4910" s="70">
        <v>43256</v>
      </c>
      <c r="C4910" t="s">
        <v>21</v>
      </c>
      <c r="D4910" t="s">
        <v>456</v>
      </c>
      <c r="E4910" t="s">
        <v>457</v>
      </c>
      <c r="F4910">
        <v>111.78</v>
      </c>
      <c r="G4910">
        <v>0</v>
      </c>
    </row>
    <row r="4911" spans="2:7" x14ac:dyDescent="0.25">
      <c r="B4911" s="70">
        <v>43256</v>
      </c>
      <c r="C4911" t="s">
        <v>64</v>
      </c>
      <c r="D4911" t="s">
        <v>82</v>
      </c>
      <c r="E4911" t="s">
        <v>455</v>
      </c>
      <c r="F4911">
        <v>0.96</v>
      </c>
      <c r="G4911">
        <v>0</v>
      </c>
    </row>
    <row r="4912" spans="2:7" x14ac:dyDescent="0.25">
      <c r="B4912" s="70">
        <v>43256</v>
      </c>
      <c r="C4912" t="s">
        <v>50</v>
      </c>
      <c r="D4912" t="s">
        <v>82</v>
      </c>
      <c r="E4912" t="s">
        <v>455</v>
      </c>
      <c r="F4912">
        <v>116.82</v>
      </c>
      <c r="G4912">
        <v>0</v>
      </c>
    </row>
    <row r="4913" spans="2:7" x14ac:dyDescent="0.25">
      <c r="B4913" s="70">
        <v>43256</v>
      </c>
      <c r="C4913" t="s">
        <v>53</v>
      </c>
      <c r="D4913" t="s">
        <v>85</v>
      </c>
      <c r="E4913" t="s">
        <v>455</v>
      </c>
      <c r="F4913">
        <v>92.32</v>
      </c>
      <c r="G4913">
        <v>0</v>
      </c>
    </row>
    <row r="4914" spans="2:7" x14ac:dyDescent="0.25">
      <c r="B4914" s="70">
        <v>43278</v>
      </c>
      <c r="C4914" t="s">
        <v>25</v>
      </c>
      <c r="D4914" t="s">
        <v>81</v>
      </c>
      <c r="E4914" t="s">
        <v>161</v>
      </c>
      <c r="F4914">
        <v>17.399999999999999</v>
      </c>
      <c r="G4914">
        <v>0</v>
      </c>
    </row>
    <row r="4915" spans="2:7" x14ac:dyDescent="0.25">
      <c r="B4915" s="70">
        <v>43278</v>
      </c>
      <c r="C4915" t="s">
        <v>25</v>
      </c>
      <c r="D4915" t="s">
        <v>81</v>
      </c>
      <c r="E4915" t="s">
        <v>191</v>
      </c>
      <c r="F4915">
        <v>22</v>
      </c>
      <c r="G4915">
        <v>0</v>
      </c>
    </row>
    <row r="4916" spans="2:7" x14ac:dyDescent="0.25">
      <c r="B4916" s="70">
        <v>43278</v>
      </c>
      <c r="C4916" t="s">
        <v>54</v>
      </c>
      <c r="D4916" t="s">
        <v>456</v>
      </c>
      <c r="E4916" t="s">
        <v>458</v>
      </c>
      <c r="F4916">
        <v>4.22</v>
      </c>
      <c r="G4916">
        <v>0</v>
      </c>
    </row>
    <row r="4917" spans="2:7" x14ac:dyDescent="0.25">
      <c r="B4917" s="70">
        <v>43278</v>
      </c>
      <c r="C4917" t="s">
        <v>51</v>
      </c>
      <c r="D4917" t="s">
        <v>79</v>
      </c>
      <c r="E4917" t="s">
        <v>459</v>
      </c>
      <c r="F4917">
        <v>224.35</v>
      </c>
      <c r="G4917">
        <v>0</v>
      </c>
    </row>
    <row r="4918" spans="2:7" x14ac:dyDescent="0.25">
      <c r="B4918" s="70">
        <v>43278</v>
      </c>
      <c r="C4918" t="s">
        <v>21</v>
      </c>
      <c r="D4918" t="s">
        <v>79</v>
      </c>
      <c r="E4918" t="s">
        <v>459</v>
      </c>
      <c r="F4918">
        <v>32</v>
      </c>
      <c r="G4918">
        <v>0</v>
      </c>
    </row>
    <row r="4919" spans="2:7" x14ac:dyDescent="0.25">
      <c r="B4919" s="70">
        <v>43278</v>
      </c>
      <c r="C4919" t="s">
        <v>21</v>
      </c>
      <c r="D4919" t="s">
        <v>79</v>
      </c>
      <c r="E4919" t="s">
        <v>459</v>
      </c>
      <c r="F4919">
        <v>112</v>
      </c>
      <c r="G4919">
        <v>0</v>
      </c>
    </row>
    <row r="4920" spans="2:7" x14ac:dyDescent="0.25">
      <c r="B4920" s="70">
        <v>43278</v>
      </c>
      <c r="C4920" t="s">
        <v>21</v>
      </c>
      <c r="D4920" t="s">
        <v>456</v>
      </c>
      <c r="E4920" t="s">
        <v>458</v>
      </c>
      <c r="F4920">
        <v>16.38</v>
      </c>
      <c r="G4920">
        <v>0</v>
      </c>
    </row>
    <row r="4921" spans="2:7" x14ac:dyDescent="0.25">
      <c r="B4921" s="70">
        <v>43278</v>
      </c>
      <c r="C4921" t="s">
        <v>45</v>
      </c>
      <c r="D4921" t="s">
        <v>85</v>
      </c>
      <c r="E4921" t="s">
        <v>459</v>
      </c>
      <c r="F4921">
        <v>67.5</v>
      </c>
      <c r="G4921">
        <v>0</v>
      </c>
    </row>
    <row r="4922" spans="2:7" x14ac:dyDescent="0.25">
      <c r="B4922" s="70">
        <v>43278</v>
      </c>
      <c r="C4922" t="s">
        <v>58</v>
      </c>
      <c r="D4922" t="s">
        <v>82</v>
      </c>
      <c r="E4922" t="s">
        <v>459</v>
      </c>
      <c r="F4922">
        <v>10</v>
      </c>
      <c r="G4922">
        <v>0</v>
      </c>
    </row>
    <row r="4923" spans="2:7" x14ac:dyDescent="0.25">
      <c r="B4923" s="70">
        <v>43278</v>
      </c>
      <c r="C4923" t="s">
        <v>58</v>
      </c>
      <c r="D4923" t="s">
        <v>84</v>
      </c>
      <c r="E4923" t="s">
        <v>459</v>
      </c>
      <c r="F4923">
        <v>90</v>
      </c>
      <c r="G4923">
        <v>0</v>
      </c>
    </row>
    <row r="4924" spans="2:7" x14ac:dyDescent="0.25">
      <c r="B4924" s="70">
        <v>43327</v>
      </c>
      <c r="C4924" t="s">
        <v>25</v>
      </c>
      <c r="D4924" t="s">
        <v>81</v>
      </c>
      <c r="E4924" t="s">
        <v>153</v>
      </c>
      <c r="F4924">
        <v>3.7</v>
      </c>
      <c r="G4924">
        <v>0</v>
      </c>
    </row>
    <row r="4925" spans="2:7" x14ac:dyDescent="0.25">
      <c r="B4925" s="70">
        <v>43327</v>
      </c>
      <c r="C4925" t="s">
        <v>25</v>
      </c>
      <c r="D4925" t="s">
        <v>81</v>
      </c>
      <c r="E4925" t="s">
        <v>158</v>
      </c>
      <c r="F4925">
        <v>7.35</v>
      </c>
      <c r="G4925">
        <v>0</v>
      </c>
    </row>
    <row r="4926" spans="2:7" x14ac:dyDescent="0.25">
      <c r="B4926" s="70">
        <v>43327</v>
      </c>
      <c r="C4926" t="s">
        <v>54</v>
      </c>
      <c r="D4926" t="s">
        <v>79</v>
      </c>
      <c r="E4926" t="s">
        <v>460</v>
      </c>
      <c r="F4926">
        <v>46.03</v>
      </c>
      <c r="G4926">
        <v>0</v>
      </c>
    </row>
    <row r="4927" spans="2:7" x14ac:dyDescent="0.25">
      <c r="B4927" s="70">
        <v>43327</v>
      </c>
      <c r="C4927" t="s">
        <v>54</v>
      </c>
      <c r="D4927" t="s">
        <v>85</v>
      </c>
      <c r="E4927" t="s">
        <v>460</v>
      </c>
      <c r="F4927">
        <v>100</v>
      </c>
      <c r="G4927">
        <v>0</v>
      </c>
    </row>
    <row r="4928" spans="2:7" x14ac:dyDescent="0.25">
      <c r="B4928" s="70">
        <v>43327</v>
      </c>
      <c r="C4928" t="s">
        <v>44</v>
      </c>
      <c r="D4928" t="s">
        <v>79</v>
      </c>
      <c r="E4928" t="s">
        <v>460</v>
      </c>
      <c r="F4928">
        <v>42.94</v>
      </c>
      <c r="G4928">
        <v>0</v>
      </c>
    </row>
    <row r="4929" spans="2:7" x14ac:dyDescent="0.25">
      <c r="B4929" s="70">
        <v>43327</v>
      </c>
      <c r="C4929" t="s">
        <v>44</v>
      </c>
      <c r="D4929" t="s">
        <v>82</v>
      </c>
      <c r="E4929" t="s">
        <v>460</v>
      </c>
      <c r="F4929">
        <v>3.34</v>
      </c>
      <c r="G4929">
        <v>0</v>
      </c>
    </row>
    <row r="4930" spans="2:7" x14ac:dyDescent="0.25">
      <c r="B4930" s="70">
        <v>43327</v>
      </c>
      <c r="C4930" t="s">
        <v>21</v>
      </c>
      <c r="D4930" t="s">
        <v>79</v>
      </c>
      <c r="E4930" t="s">
        <v>460</v>
      </c>
      <c r="F4930">
        <v>16</v>
      </c>
      <c r="G4930">
        <v>0</v>
      </c>
    </row>
    <row r="4931" spans="2:7" x14ac:dyDescent="0.25">
      <c r="B4931" s="70">
        <v>43327</v>
      </c>
      <c r="C4931" t="s">
        <v>21</v>
      </c>
      <c r="D4931" t="s">
        <v>461</v>
      </c>
      <c r="E4931" t="s">
        <v>462</v>
      </c>
      <c r="F4931">
        <v>79.02</v>
      </c>
      <c r="G4931">
        <v>0</v>
      </c>
    </row>
    <row r="4932" spans="2:7" x14ac:dyDescent="0.25">
      <c r="B4932" s="70">
        <v>43327</v>
      </c>
      <c r="C4932" t="s">
        <v>50</v>
      </c>
      <c r="D4932" t="s">
        <v>85</v>
      </c>
      <c r="E4932" t="s">
        <v>460</v>
      </c>
      <c r="F4932">
        <v>40</v>
      </c>
      <c r="G4932">
        <v>0</v>
      </c>
    </row>
    <row r="4933" spans="2:7" x14ac:dyDescent="0.25">
      <c r="B4933" s="70">
        <v>43327</v>
      </c>
      <c r="C4933" t="s">
        <v>24</v>
      </c>
      <c r="D4933" t="s">
        <v>461</v>
      </c>
      <c r="E4933" t="s">
        <v>462</v>
      </c>
      <c r="F4933">
        <v>15.81</v>
      </c>
      <c r="G4933">
        <v>0</v>
      </c>
    </row>
    <row r="4934" spans="2:7" x14ac:dyDescent="0.25">
      <c r="B4934" s="70">
        <v>43319</v>
      </c>
      <c r="C4934" t="s">
        <v>25</v>
      </c>
      <c r="D4934" t="s">
        <v>81</v>
      </c>
      <c r="E4934" t="s">
        <v>138</v>
      </c>
      <c r="F4934">
        <v>9.1999999999999993</v>
      </c>
      <c r="G4934">
        <v>0</v>
      </c>
    </row>
    <row r="4935" spans="2:7" x14ac:dyDescent="0.25">
      <c r="B4935" s="70">
        <v>43319</v>
      </c>
      <c r="C4935" t="s">
        <v>25</v>
      </c>
      <c r="D4935" t="s">
        <v>81</v>
      </c>
      <c r="E4935" t="s">
        <v>149</v>
      </c>
      <c r="F4935">
        <v>11.3</v>
      </c>
      <c r="G4935">
        <v>0</v>
      </c>
    </row>
    <row r="4936" spans="2:7" x14ac:dyDescent="0.25">
      <c r="B4936" s="70">
        <v>43319</v>
      </c>
      <c r="C4936" t="s">
        <v>25</v>
      </c>
      <c r="D4936" t="s">
        <v>81</v>
      </c>
      <c r="E4936" t="s">
        <v>139</v>
      </c>
      <c r="F4936">
        <v>9.1999999999999993</v>
      </c>
      <c r="G4936">
        <v>0</v>
      </c>
    </row>
    <row r="4937" spans="2:7" x14ac:dyDescent="0.25">
      <c r="B4937" s="70">
        <v>43319</v>
      </c>
      <c r="C4937" t="s">
        <v>25</v>
      </c>
      <c r="D4937" t="s">
        <v>81</v>
      </c>
      <c r="E4937" t="s">
        <v>164</v>
      </c>
      <c r="F4937">
        <v>72</v>
      </c>
      <c r="G4937">
        <v>0</v>
      </c>
    </row>
    <row r="4938" spans="2:7" x14ac:dyDescent="0.25">
      <c r="B4938" s="70">
        <v>43319</v>
      </c>
      <c r="C4938" t="s">
        <v>25</v>
      </c>
      <c r="D4938" t="s">
        <v>82</v>
      </c>
      <c r="E4938" t="s">
        <v>463</v>
      </c>
      <c r="F4938">
        <v>24.34</v>
      </c>
      <c r="G4938">
        <v>0</v>
      </c>
    </row>
    <row r="4939" spans="2:7" x14ac:dyDescent="0.25">
      <c r="B4939" s="70">
        <v>43319</v>
      </c>
      <c r="C4939" t="s">
        <v>54</v>
      </c>
      <c r="D4939" t="s">
        <v>79</v>
      </c>
      <c r="E4939" t="s">
        <v>463</v>
      </c>
      <c r="F4939">
        <v>14.39</v>
      </c>
      <c r="G4939">
        <v>0</v>
      </c>
    </row>
    <row r="4940" spans="2:7" x14ac:dyDescent="0.25">
      <c r="B4940" s="70">
        <v>43319</v>
      </c>
      <c r="C4940" t="s">
        <v>21</v>
      </c>
      <c r="D4940" t="s">
        <v>79</v>
      </c>
      <c r="E4940" t="s">
        <v>463</v>
      </c>
      <c r="F4940">
        <v>8</v>
      </c>
      <c r="G4940">
        <v>0</v>
      </c>
    </row>
    <row r="4941" spans="2:7" x14ac:dyDescent="0.25">
      <c r="B4941" s="70">
        <v>43319</v>
      </c>
      <c r="C4941" t="s">
        <v>21</v>
      </c>
      <c r="D4941" t="s">
        <v>79</v>
      </c>
      <c r="E4941" t="s">
        <v>463</v>
      </c>
      <c r="F4941">
        <v>16</v>
      </c>
      <c r="G4941">
        <v>0</v>
      </c>
    </row>
    <row r="4942" spans="2:7" x14ac:dyDescent="0.25">
      <c r="B4942" s="70">
        <v>43319</v>
      </c>
      <c r="C4942" t="s">
        <v>21</v>
      </c>
      <c r="D4942" t="s">
        <v>79</v>
      </c>
      <c r="E4942" t="s">
        <v>463</v>
      </c>
      <c r="F4942">
        <v>24</v>
      </c>
      <c r="G4942">
        <v>0</v>
      </c>
    </row>
    <row r="4943" spans="2:7" x14ac:dyDescent="0.25">
      <c r="B4943" s="70">
        <v>43319</v>
      </c>
      <c r="C4943" t="s">
        <v>21</v>
      </c>
      <c r="D4943" t="s">
        <v>79</v>
      </c>
      <c r="E4943" t="s">
        <v>463</v>
      </c>
      <c r="F4943">
        <v>32</v>
      </c>
      <c r="G4943">
        <v>0</v>
      </c>
    </row>
    <row r="4944" spans="2:7" x14ac:dyDescent="0.25">
      <c r="B4944" s="70">
        <v>43319</v>
      </c>
      <c r="C4944" t="s">
        <v>21</v>
      </c>
      <c r="D4944" t="s">
        <v>79</v>
      </c>
      <c r="E4944" t="s">
        <v>463</v>
      </c>
      <c r="F4944">
        <v>56</v>
      </c>
      <c r="G4944">
        <v>0</v>
      </c>
    </row>
    <row r="4945" spans="2:7" x14ac:dyDescent="0.25">
      <c r="B4945" s="70">
        <v>43319</v>
      </c>
      <c r="C4945" t="s">
        <v>21</v>
      </c>
      <c r="D4945" t="s">
        <v>461</v>
      </c>
      <c r="E4945" t="s">
        <v>464</v>
      </c>
      <c r="F4945">
        <v>61.02</v>
      </c>
      <c r="G4945">
        <v>0</v>
      </c>
    </row>
    <row r="4946" spans="2:7" x14ac:dyDescent="0.25">
      <c r="B4946" s="70">
        <v>43319</v>
      </c>
      <c r="C4946" t="s">
        <v>66</v>
      </c>
      <c r="D4946" t="s">
        <v>82</v>
      </c>
      <c r="E4946" t="s">
        <v>463</v>
      </c>
      <c r="F4946">
        <v>11.02</v>
      </c>
      <c r="G4946">
        <v>0</v>
      </c>
    </row>
    <row r="4947" spans="2:7" x14ac:dyDescent="0.25">
      <c r="B4947" s="70">
        <v>43319</v>
      </c>
      <c r="C4947" t="s">
        <v>48</v>
      </c>
      <c r="D4947" t="s">
        <v>82</v>
      </c>
      <c r="E4947" t="s">
        <v>463</v>
      </c>
      <c r="F4947">
        <v>25</v>
      </c>
      <c r="G4947">
        <v>0</v>
      </c>
    </row>
    <row r="4948" spans="2:7" x14ac:dyDescent="0.25">
      <c r="B4948" s="70">
        <v>43319</v>
      </c>
      <c r="C4948" t="s">
        <v>55</v>
      </c>
      <c r="D4948" t="s">
        <v>82</v>
      </c>
      <c r="E4948" t="s">
        <v>463</v>
      </c>
      <c r="F4948">
        <v>158.69</v>
      </c>
      <c r="G4948">
        <v>0</v>
      </c>
    </row>
    <row r="4949" spans="2:7" x14ac:dyDescent="0.25">
      <c r="B4949" s="70">
        <v>43319</v>
      </c>
      <c r="C4949" t="s">
        <v>50</v>
      </c>
      <c r="D4949" t="s">
        <v>82</v>
      </c>
      <c r="E4949" t="s">
        <v>463</v>
      </c>
      <c r="F4949">
        <v>19.37</v>
      </c>
      <c r="G4949">
        <v>0</v>
      </c>
    </row>
    <row r="4950" spans="2:7" x14ac:dyDescent="0.25">
      <c r="B4950" s="70">
        <v>43319</v>
      </c>
      <c r="C4950" t="s">
        <v>24</v>
      </c>
      <c r="D4950" t="s">
        <v>79</v>
      </c>
      <c r="E4950" t="s">
        <v>463</v>
      </c>
      <c r="F4950">
        <v>8</v>
      </c>
      <c r="G4950">
        <v>0</v>
      </c>
    </row>
    <row r="4951" spans="2:7" x14ac:dyDescent="0.25">
      <c r="B4951" s="70">
        <v>43433</v>
      </c>
      <c r="C4951" t="s">
        <v>25</v>
      </c>
      <c r="D4951" t="s">
        <v>79</v>
      </c>
      <c r="E4951" t="s">
        <v>465</v>
      </c>
      <c r="F4951">
        <v>16</v>
      </c>
      <c r="G4951">
        <v>0</v>
      </c>
    </row>
    <row r="4952" spans="2:7" x14ac:dyDescent="0.25">
      <c r="B4952" s="70">
        <v>43433</v>
      </c>
      <c r="C4952" t="s">
        <v>25</v>
      </c>
      <c r="D4952" t="s">
        <v>85</v>
      </c>
      <c r="E4952" t="s">
        <v>465</v>
      </c>
      <c r="F4952">
        <v>32.299999999999997</v>
      </c>
      <c r="G4952">
        <v>0</v>
      </c>
    </row>
    <row r="4953" spans="2:7" x14ac:dyDescent="0.25">
      <c r="B4953" s="70">
        <v>43433</v>
      </c>
      <c r="C4953" t="s">
        <v>25</v>
      </c>
      <c r="D4953" t="s">
        <v>81</v>
      </c>
      <c r="E4953" t="s">
        <v>137</v>
      </c>
      <c r="F4953">
        <v>18.75</v>
      </c>
      <c r="G4953">
        <v>0</v>
      </c>
    </row>
    <row r="4954" spans="2:7" x14ac:dyDescent="0.25">
      <c r="B4954" s="70">
        <v>43433</v>
      </c>
      <c r="C4954" t="s">
        <v>25</v>
      </c>
      <c r="D4954" t="s">
        <v>81</v>
      </c>
      <c r="E4954" t="s">
        <v>168</v>
      </c>
      <c r="F4954">
        <v>22.5</v>
      </c>
      <c r="G4954">
        <v>0</v>
      </c>
    </row>
    <row r="4955" spans="2:7" x14ac:dyDescent="0.25">
      <c r="B4955" s="70">
        <v>43433</v>
      </c>
      <c r="C4955" t="s">
        <v>25</v>
      </c>
      <c r="D4955" t="s">
        <v>82</v>
      </c>
      <c r="E4955" t="s">
        <v>465</v>
      </c>
      <c r="F4955">
        <v>19</v>
      </c>
      <c r="G4955">
        <v>0</v>
      </c>
    </row>
    <row r="4956" spans="2:7" x14ac:dyDescent="0.25">
      <c r="B4956" s="70">
        <v>43433</v>
      </c>
      <c r="C4956" t="s">
        <v>43</v>
      </c>
      <c r="D4956" t="s">
        <v>86</v>
      </c>
      <c r="E4956" t="s">
        <v>465</v>
      </c>
      <c r="F4956">
        <v>3354.82</v>
      </c>
      <c r="G4956">
        <v>0</v>
      </c>
    </row>
    <row r="4957" spans="2:7" x14ac:dyDescent="0.25">
      <c r="B4957" s="70">
        <v>43433</v>
      </c>
      <c r="C4957" t="s">
        <v>44</v>
      </c>
      <c r="D4957" t="s">
        <v>82</v>
      </c>
      <c r="E4957" t="s">
        <v>465</v>
      </c>
      <c r="F4957">
        <v>51.5</v>
      </c>
      <c r="G4957">
        <v>0</v>
      </c>
    </row>
    <row r="4958" spans="2:7" x14ac:dyDescent="0.25">
      <c r="B4958" s="70">
        <v>43433</v>
      </c>
      <c r="C4958" t="s">
        <v>21</v>
      </c>
      <c r="D4958" t="s">
        <v>79</v>
      </c>
      <c r="E4958" t="s">
        <v>465</v>
      </c>
      <c r="F4958">
        <v>24</v>
      </c>
      <c r="G4958">
        <v>0</v>
      </c>
    </row>
    <row r="4959" spans="2:7" x14ac:dyDescent="0.25">
      <c r="B4959" s="70">
        <v>43433</v>
      </c>
      <c r="C4959" t="s">
        <v>21</v>
      </c>
      <c r="D4959" t="s">
        <v>79</v>
      </c>
      <c r="E4959" t="s">
        <v>465</v>
      </c>
      <c r="F4959">
        <v>32</v>
      </c>
      <c r="G4959">
        <v>0</v>
      </c>
    </row>
    <row r="4960" spans="2:7" x14ac:dyDescent="0.25">
      <c r="B4960" s="70">
        <v>43433</v>
      </c>
      <c r="C4960" t="s">
        <v>21</v>
      </c>
      <c r="D4960" t="s">
        <v>466</v>
      </c>
      <c r="E4960" t="s">
        <v>467</v>
      </c>
      <c r="F4960">
        <v>15.62</v>
      </c>
      <c r="G4960">
        <v>0</v>
      </c>
    </row>
    <row r="4961" spans="2:7" x14ac:dyDescent="0.25">
      <c r="B4961" s="70">
        <v>43433</v>
      </c>
      <c r="C4961" t="s">
        <v>55</v>
      </c>
      <c r="D4961" t="s">
        <v>82</v>
      </c>
      <c r="E4961" t="s">
        <v>465</v>
      </c>
      <c r="F4961">
        <v>6.3</v>
      </c>
      <c r="G4961">
        <v>0</v>
      </c>
    </row>
    <row r="4962" spans="2:7" x14ac:dyDescent="0.25">
      <c r="B4962" s="70">
        <v>43433</v>
      </c>
      <c r="C4962" t="s">
        <v>74</v>
      </c>
      <c r="D4962" t="s">
        <v>79</v>
      </c>
      <c r="E4962" t="s">
        <v>465</v>
      </c>
      <c r="F4962">
        <v>6.28</v>
      </c>
      <c r="G4962">
        <v>0</v>
      </c>
    </row>
    <row r="4963" spans="2:7" x14ac:dyDescent="0.25">
      <c r="B4963" s="70">
        <v>43433</v>
      </c>
      <c r="C4963" t="s">
        <v>65</v>
      </c>
      <c r="D4963" t="s">
        <v>79</v>
      </c>
      <c r="E4963" t="s">
        <v>465</v>
      </c>
      <c r="F4963">
        <v>219.25</v>
      </c>
      <c r="G4963">
        <v>0</v>
      </c>
    </row>
    <row r="4964" spans="2:7" x14ac:dyDescent="0.25">
      <c r="B4964" s="70">
        <v>43307</v>
      </c>
      <c r="C4964" t="s">
        <v>25</v>
      </c>
      <c r="D4964" t="s">
        <v>83</v>
      </c>
      <c r="E4964" t="s">
        <v>468</v>
      </c>
      <c r="F4964">
        <v>25</v>
      </c>
      <c r="G4964">
        <v>0</v>
      </c>
    </row>
    <row r="4965" spans="2:7" x14ac:dyDescent="0.25">
      <c r="B4965" s="70">
        <v>43307</v>
      </c>
      <c r="C4965" t="s">
        <v>25</v>
      </c>
      <c r="D4965" t="s">
        <v>80</v>
      </c>
      <c r="E4965" t="s">
        <v>468</v>
      </c>
      <c r="F4965">
        <v>80.66</v>
      </c>
      <c r="G4965">
        <v>0</v>
      </c>
    </row>
    <row r="4966" spans="2:7" x14ac:dyDescent="0.25">
      <c r="B4966" s="70">
        <v>43307</v>
      </c>
      <c r="C4966" t="s">
        <v>25</v>
      </c>
      <c r="D4966" t="s">
        <v>87</v>
      </c>
      <c r="E4966" t="s">
        <v>468</v>
      </c>
      <c r="F4966">
        <v>88</v>
      </c>
      <c r="G4966">
        <v>0</v>
      </c>
    </row>
    <row r="4967" spans="2:7" x14ac:dyDescent="0.25">
      <c r="B4967" s="70">
        <v>43307</v>
      </c>
      <c r="C4967" t="s">
        <v>25</v>
      </c>
      <c r="D4967" t="s">
        <v>87</v>
      </c>
      <c r="E4967" t="s">
        <v>468</v>
      </c>
      <c r="F4967">
        <v>13.26</v>
      </c>
      <c r="G4967">
        <v>0</v>
      </c>
    </row>
    <row r="4968" spans="2:7" x14ac:dyDescent="0.25">
      <c r="B4968" s="70">
        <v>43307</v>
      </c>
      <c r="C4968" t="s">
        <v>25</v>
      </c>
      <c r="D4968" t="s">
        <v>87</v>
      </c>
      <c r="E4968" t="s">
        <v>468</v>
      </c>
      <c r="F4968">
        <v>20.54</v>
      </c>
      <c r="G4968">
        <v>0</v>
      </c>
    </row>
    <row r="4969" spans="2:7" x14ac:dyDescent="0.25">
      <c r="B4969" s="70">
        <v>43307</v>
      </c>
      <c r="C4969" t="s">
        <v>25</v>
      </c>
      <c r="D4969" t="s">
        <v>87</v>
      </c>
      <c r="E4969" t="s">
        <v>468</v>
      </c>
      <c r="F4969">
        <v>21.19</v>
      </c>
      <c r="G4969">
        <v>0</v>
      </c>
    </row>
    <row r="4970" spans="2:7" x14ac:dyDescent="0.25">
      <c r="B4970" s="70">
        <v>43307</v>
      </c>
      <c r="C4970" t="s">
        <v>25</v>
      </c>
      <c r="D4970" t="s">
        <v>81</v>
      </c>
      <c r="E4970" t="s">
        <v>195</v>
      </c>
      <c r="F4970">
        <v>26</v>
      </c>
      <c r="G4970">
        <v>0</v>
      </c>
    </row>
    <row r="4971" spans="2:7" x14ac:dyDescent="0.25">
      <c r="B4971" s="70">
        <v>43307</v>
      </c>
      <c r="C4971" t="s">
        <v>25</v>
      </c>
      <c r="D4971" t="s">
        <v>81</v>
      </c>
      <c r="E4971" t="s">
        <v>213</v>
      </c>
      <c r="F4971">
        <v>6</v>
      </c>
      <c r="G4971">
        <v>0</v>
      </c>
    </row>
    <row r="4972" spans="2:7" x14ac:dyDescent="0.25">
      <c r="B4972" s="70">
        <v>43307</v>
      </c>
      <c r="C4972" t="s">
        <v>25</v>
      </c>
      <c r="D4972" t="s">
        <v>81</v>
      </c>
      <c r="E4972" t="s">
        <v>139</v>
      </c>
      <c r="F4972">
        <v>18.399999999999999</v>
      </c>
      <c r="G4972">
        <v>0</v>
      </c>
    </row>
    <row r="4973" spans="2:7" x14ac:dyDescent="0.25">
      <c r="B4973" s="70">
        <v>43307</v>
      </c>
      <c r="C4973" t="s">
        <v>25</v>
      </c>
      <c r="D4973" t="s">
        <v>82</v>
      </c>
      <c r="E4973" t="s">
        <v>468</v>
      </c>
      <c r="F4973">
        <v>34</v>
      </c>
      <c r="G4973">
        <v>0</v>
      </c>
    </row>
    <row r="4974" spans="2:7" x14ac:dyDescent="0.25">
      <c r="B4974" s="70">
        <v>43307</v>
      </c>
      <c r="C4974" t="s">
        <v>54</v>
      </c>
      <c r="D4974" t="s">
        <v>80</v>
      </c>
      <c r="E4974" t="s">
        <v>468</v>
      </c>
      <c r="F4974">
        <v>243.82</v>
      </c>
      <c r="G4974">
        <v>0</v>
      </c>
    </row>
    <row r="4975" spans="2:7" x14ac:dyDescent="0.25">
      <c r="B4975" s="70">
        <v>43307</v>
      </c>
      <c r="C4975" t="s">
        <v>47</v>
      </c>
      <c r="D4975" t="s">
        <v>80</v>
      </c>
      <c r="E4975" t="s">
        <v>468</v>
      </c>
      <c r="F4975">
        <v>376.61</v>
      </c>
      <c r="G4975">
        <v>0</v>
      </c>
    </row>
    <row r="4976" spans="2:7" x14ac:dyDescent="0.25">
      <c r="B4976" s="70">
        <v>43307</v>
      </c>
      <c r="C4976" t="s">
        <v>51</v>
      </c>
      <c r="D4976" t="s">
        <v>83</v>
      </c>
      <c r="E4976" t="s">
        <v>468</v>
      </c>
      <c r="F4976">
        <v>279.51</v>
      </c>
      <c r="G4976">
        <v>0</v>
      </c>
    </row>
    <row r="4977" spans="2:7" x14ac:dyDescent="0.25">
      <c r="B4977" s="70">
        <v>43307</v>
      </c>
      <c r="C4977" t="s">
        <v>51</v>
      </c>
      <c r="D4977" t="s">
        <v>80</v>
      </c>
      <c r="E4977" t="s">
        <v>468</v>
      </c>
      <c r="F4977">
        <v>202.75</v>
      </c>
      <c r="G4977">
        <v>0</v>
      </c>
    </row>
    <row r="4978" spans="2:7" x14ac:dyDescent="0.25">
      <c r="B4978" s="70">
        <v>43307</v>
      </c>
      <c r="C4978" t="s">
        <v>44</v>
      </c>
      <c r="D4978" t="s">
        <v>82</v>
      </c>
      <c r="E4978" t="s">
        <v>468</v>
      </c>
      <c r="F4978">
        <v>27</v>
      </c>
      <c r="G4978">
        <v>0</v>
      </c>
    </row>
    <row r="4979" spans="2:7" x14ac:dyDescent="0.25">
      <c r="B4979" s="70">
        <v>43307</v>
      </c>
      <c r="C4979" t="s">
        <v>21</v>
      </c>
      <c r="D4979" t="s">
        <v>79</v>
      </c>
      <c r="E4979" t="s">
        <v>468</v>
      </c>
      <c r="F4979">
        <v>8</v>
      </c>
      <c r="G4979">
        <v>0</v>
      </c>
    </row>
    <row r="4980" spans="2:7" x14ac:dyDescent="0.25">
      <c r="B4980" s="70">
        <v>43307</v>
      </c>
      <c r="C4980" t="s">
        <v>21</v>
      </c>
      <c r="D4980" t="s">
        <v>79</v>
      </c>
      <c r="E4980" t="s">
        <v>468</v>
      </c>
      <c r="F4980">
        <v>24</v>
      </c>
      <c r="G4980">
        <v>0</v>
      </c>
    </row>
    <row r="4981" spans="2:7" x14ac:dyDescent="0.25">
      <c r="B4981" s="70">
        <v>43307</v>
      </c>
      <c r="C4981" t="s">
        <v>21</v>
      </c>
      <c r="D4981" t="s">
        <v>79</v>
      </c>
      <c r="E4981" t="s">
        <v>468</v>
      </c>
      <c r="F4981">
        <v>32</v>
      </c>
      <c r="G4981">
        <v>0</v>
      </c>
    </row>
    <row r="4982" spans="2:7" x14ac:dyDescent="0.25">
      <c r="B4982" s="70">
        <v>43307</v>
      </c>
      <c r="C4982" t="s">
        <v>21</v>
      </c>
      <c r="D4982" t="s">
        <v>453</v>
      </c>
      <c r="E4982" t="s">
        <v>469</v>
      </c>
      <c r="F4982">
        <v>46.95</v>
      </c>
      <c r="G4982">
        <v>0</v>
      </c>
    </row>
    <row r="4983" spans="2:7" x14ac:dyDescent="0.25">
      <c r="B4983" s="70">
        <v>43307</v>
      </c>
      <c r="C4983" t="s">
        <v>21</v>
      </c>
      <c r="D4983" t="s">
        <v>470</v>
      </c>
      <c r="E4983" t="s">
        <v>470</v>
      </c>
      <c r="F4983">
        <v>32</v>
      </c>
      <c r="G4983">
        <v>0</v>
      </c>
    </row>
    <row r="4984" spans="2:7" x14ac:dyDescent="0.25">
      <c r="B4984" s="70">
        <v>43307</v>
      </c>
      <c r="C4984" t="s">
        <v>24</v>
      </c>
      <c r="D4984" t="s">
        <v>79</v>
      </c>
      <c r="E4984" t="s">
        <v>468</v>
      </c>
      <c r="F4984">
        <v>8</v>
      </c>
      <c r="G4984">
        <v>0</v>
      </c>
    </row>
    <row r="4985" spans="2:7" x14ac:dyDescent="0.25">
      <c r="B4985" s="70">
        <v>43307</v>
      </c>
      <c r="C4985" t="s">
        <v>60</v>
      </c>
      <c r="D4985" t="s">
        <v>80</v>
      </c>
      <c r="E4985" t="s">
        <v>468</v>
      </c>
      <c r="F4985">
        <v>555.41</v>
      </c>
      <c r="G4985">
        <v>0</v>
      </c>
    </row>
    <row r="4986" spans="2:7" x14ac:dyDescent="0.25">
      <c r="B4986" s="70">
        <v>43307</v>
      </c>
      <c r="C4986" t="s">
        <v>60</v>
      </c>
      <c r="D4986" t="s">
        <v>87</v>
      </c>
      <c r="E4986" t="s">
        <v>468</v>
      </c>
      <c r="F4986">
        <v>420.14</v>
      </c>
      <c r="G4986">
        <v>0</v>
      </c>
    </row>
    <row r="4987" spans="2:7" x14ac:dyDescent="0.25">
      <c r="B4987" s="70">
        <v>43307</v>
      </c>
      <c r="C4987" t="s">
        <v>414</v>
      </c>
      <c r="D4987" t="s">
        <v>82</v>
      </c>
      <c r="E4987" t="s">
        <v>468</v>
      </c>
      <c r="F4987">
        <v>39.200000000000003</v>
      </c>
      <c r="G4987">
        <v>0</v>
      </c>
    </row>
    <row r="4988" spans="2:7" x14ac:dyDescent="0.25">
      <c r="B4988" s="70">
        <v>43448</v>
      </c>
      <c r="C4988" t="s">
        <v>25</v>
      </c>
      <c r="D4988" t="s">
        <v>83</v>
      </c>
      <c r="E4988" t="s">
        <v>471</v>
      </c>
      <c r="F4988">
        <v>64.92</v>
      </c>
      <c r="G4988">
        <v>0</v>
      </c>
    </row>
    <row r="4989" spans="2:7" x14ac:dyDescent="0.25">
      <c r="B4989" s="70">
        <v>43448</v>
      </c>
      <c r="C4989" t="s">
        <v>25</v>
      </c>
      <c r="D4989" t="s">
        <v>83</v>
      </c>
      <c r="E4989" t="s">
        <v>471</v>
      </c>
      <c r="F4989">
        <v>48.48</v>
      </c>
      <c r="G4989">
        <v>0</v>
      </c>
    </row>
    <row r="4990" spans="2:7" x14ac:dyDescent="0.25">
      <c r="B4990" s="70">
        <v>43448</v>
      </c>
      <c r="C4990" t="s">
        <v>25</v>
      </c>
      <c r="D4990" t="s">
        <v>87</v>
      </c>
      <c r="E4990" t="s">
        <v>471</v>
      </c>
      <c r="F4990">
        <v>31.9</v>
      </c>
      <c r="G4990">
        <v>0</v>
      </c>
    </row>
    <row r="4991" spans="2:7" x14ac:dyDescent="0.25">
      <c r="B4991" s="70">
        <v>43448</v>
      </c>
      <c r="C4991" t="s">
        <v>25</v>
      </c>
      <c r="D4991" t="s">
        <v>87</v>
      </c>
      <c r="E4991" t="s">
        <v>471</v>
      </c>
      <c r="F4991">
        <v>90</v>
      </c>
      <c r="G4991">
        <v>0</v>
      </c>
    </row>
    <row r="4992" spans="2:7" x14ac:dyDescent="0.25">
      <c r="B4992" s="70">
        <v>43448</v>
      </c>
      <c r="C4992" t="s">
        <v>25</v>
      </c>
      <c r="D4992" t="s">
        <v>87</v>
      </c>
      <c r="E4992" t="s">
        <v>471</v>
      </c>
      <c r="F4992">
        <v>215.6</v>
      </c>
      <c r="G4992">
        <v>0</v>
      </c>
    </row>
    <row r="4993" spans="2:7" x14ac:dyDescent="0.25">
      <c r="B4993" s="70">
        <v>43448</v>
      </c>
      <c r="C4993" t="s">
        <v>25</v>
      </c>
      <c r="D4993" t="s">
        <v>81</v>
      </c>
      <c r="E4993" t="s">
        <v>194</v>
      </c>
      <c r="F4993">
        <v>6.5</v>
      </c>
      <c r="G4993">
        <v>0</v>
      </c>
    </row>
    <row r="4994" spans="2:7" x14ac:dyDescent="0.25">
      <c r="B4994" s="70">
        <v>43448</v>
      </c>
      <c r="C4994" t="s">
        <v>25</v>
      </c>
      <c r="D4994" t="s">
        <v>81</v>
      </c>
      <c r="E4994" t="s">
        <v>148</v>
      </c>
      <c r="F4994">
        <v>2.25</v>
      </c>
      <c r="G4994">
        <v>0</v>
      </c>
    </row>
    <row r="4995" spans="2:7" x14ac:dyDescent="0.25">
      <c r="B4995" s="70">
        <v>43448</v>
      </c>
      <c r="C4995" t="s">
        <v>25</v>
      </c>
      <c r="D4995" t="s">
        <v>81</v>
      </c>
      <c r="E4995" t="s">
        <v>198</v>
      </c>
      <c r="F4995">
        <v>2.4</v>
      </c>
      <c r="G4995">
        <v>0</v>
      </c>
    </row>
    <row r="4996" spans="2:7" x14ac:dyDescent="0.25">
      <c r="B4996" s="70">
        <v>43448</v>
      </c>
      <c r="C4996" t="s">
        <v>25</v>
      </c>
      <c r="D4996" t="s">
        <v>81</v>
      </c>
      <c r="E4996" t="s">
        <v>191</v>
      </c>
      <c r="F4996">
        <v>22</v>
      </c>
      <c r="G4996">
        <v>0</v>
      </c>
    </row>
    <row r="4997" spans="2:7" x14ac:dyDescent="0.25">
      <c r="B4997" s="70">
        <v>43448</v>
      </c>
      <c r="C4997" t="s">
        <v>21</v>
      </c>
      <c r="D4997" t="s">
        <v>79</v>
      </c>
      <c r="E4997" t="s">
        <v>471</v>
      </c>
      <c r="F4997">
        <v>16</v>
      </c>
      <c r="G4997">
        <v>0</v>
      </c>
    </row>
    <row r="4998" spans="2:7" x14ac:dyDescent="0.25">
      <c r="B4998" s="70">
        <v>43448</v>
      </c>
      <c r="C4998" t="s">
        <v>21</v>
      </c>
      <c r="D4998" t="s">
        <v>79</v>
      </c>
      <c r="E4998" t="s">
        <v>471</v>
      </c>
      <c r="F4998">
        <v>24</v>
      </c>
      <c r="G4998">
        <v>0</v>
      </c>
    </row>
    <row r="4999" spans="2:7" x14ac:dyDescent="0.25">
      <c r="B4999" s="70">
        <v>43448</v>
      </c>
      <c r="C4999" t="s">
        <v>21</v>
      </c>
      <c r="D4999" t="s">
        <v>79</v>
      </c>
      <c r="E4999" t="s">
        <v>471</v>
      </c>
      <c r="F4999">
        <v>32</v>
      </c>
      <c r="G4999">
        <v>0</v>
      </c>
    </row>
    <row r="5000" spans="2:7" x14ac:dyDescent="0.25">
      <c r="B5000" s="70">
        <v>43448</v>
      </c>
      <c r="C5000" t="s">
        <v>66</v>
      </c>
      <c r="D5000" t="s">
        <v>79</v>
      </c>
      <c r="E5000" t="s">
        <v>471</v>
      </c>
      <c r="F5000">
        <v>79.8</v>
      </c>
      <c r="G5000">
        <v>0</v>
      </c>
    </row>
    <row r="5001" spans="2:7" x14ac:dyDescent="0.25">
      <c r="B5001" s="70">
        <v>43448</v>
      </c>
      <c r="C5001" t="s">
        <v>66</v>
      </c>
      <c r="D5001" t="s">
        <v>472</v>
      </c>
      <c r="E5001" t="s">
        <v>473</v>
      </c>
      <c r="F5001">
        <v>68.5</v>
      </c>
      <c r="G5001">
        <v>0</v>
      </c>
    </row>
    <row r="5002" spans="2:7" x14ac:dyDescent="0.25">
      <c r="B5002" s="70">
        <v>43448</v>
      </c>
      <c r="C5002" t="s">
        <v>48</v>
      </c>
      <c r="D5002" t="s">
        <v>83</v>
      </c>
      <c r="E5002" t="s">
        <v>471</v>
      </c>
      <c r="F5002">
        <v>135.12</v>
      </c>
      <c r="G5002">
        <v>0</v>
      </c>
    </row>
    <row r="5003" spans="2:7" x14ac:dyDescent="0.25">
      <c r="B5003" s="70">
        <v>43448</v>
      </c>
      <c r="C5003" t="s">
        <v>48</v>
      </c>
      <c r="D5003" t="s">
        <v>80</v>
      </c>
      <c r="E5003" t="s">
        <v>471</v>
      </c>
      <c r="F5003">
        <v>76.5</v>
      </c>
      <c r="G5003">
        <v>0</v>
      </c>
    </row>
    <row r="5004" spans="2:7" x14ac:dyDescent="0.25">
      <c r="B5004" s="70">
        <v>43448</v>
      </c>
      <c r="C5004" t="s">
        <v>48</v>
      </c>
      <c r="D5004" t="s">
        <v>87</v>
      </c>
      <c r="E5004" t="s">
        <v>471</v>
      </c>
      <c r="F5004">
        <v>102.25</v>
      </c>
      <c r="G5004">
        <v>0</v>
      </c>
    </row>
    <row r="5005" spans="2:7" x14ac:dyDescent="0.25">
      <c r="B5005" s="70">
        <v>43448</v>
      </c>
      <c r="C5005" t="s">
        <v>50</v>
      </c>
      <c r="D5005" t="s">
        <v>87</v>
      </c>
      <c r="E5005" t="s">
        <v>471</v>
      </c>
      <c r="F5005">
        <v>1329.68</v>
      </c>
      <c r="G5005">
        <v>0</v>
      </c>
    </row>
    <row r="5006" spans="2:7" x14ac:dyDescent="0.25">
      <c r="B5006" s="70">
        <v>43448</v>
      </c>
      <c r="C5006" t="s">
        <v>50</v>
      </c>
      <c r="D5006" t="s">
        <v>82</v>
      </c>
      <c r="E5006" t="s">
        <v>471</v>
      </c>
      <c r="F5006">
        <v>42</v>
      </c>
      <c r="G5006">
        <v>0</v>
      </c>
    </row>
    <row r="5007" spans="2:7" x14ac:dyDescent="0.25">
      <c r="B5007" s="70">
        <v>43448</v>
      </c>
      <c r="C5007" t="s">
        <v>52</v>
      </c>
      <c r="D5007" t="s">
        <v>85</v>
      </c>
      <c r="E5007" t="s">
        <v>471</v>
      </c>
      <c r="F5007">
        <v>365.04</v>
      </c>
      <c r="G5007">
        <v>0</v>
      </c>
    </row>
    <row r="5008" spans="2:7" x14ac:dyDescent="0.25">
      <c r="B5008" s="70">
        <v>43448</v>
      </c>
      <c r="C5008" t="s">
        <v>60</v>
      </c>
      <c r="D5008" t="s">
        <v>87</v>
      </c>
      <c r="E5008" t="s">
        <v>471</v>
      </c>
      <c r="F5008">
        <v>424.76</v>
      </c>
      <c r="G5008">
        <v>0</v>
      </c>
    </row>
    <row r="5009" spans="2:7" x14ac:dyDescent="0.25">
      <c r="B5009" s="70">
        <v>43448</v>
      </c>
      <c r="C5009" t="s">
        <v>61</v>
      </c>
      <c r="D5009" t="s">
        <v>80</v>
      </c>
      <c r="E5009" t="s">
        <v>471</v>
      </c>
      <c r="F5009">
        <v>83.97</v>
      </c>
      <c r="G5009">
        <v>0</v>
      </c>
    </row>
    <row r="5010" spans="2:7" x14ac:dyDescent="0.25">
      <c r="B5010" s="70">
        <v>43448</v>
      </c>
      <c r="C5010" t="s">
        <v>61</v>
      </c>
      <c r="D5010" t="s">
        <v>87</v>
      </c>
      <c r="E5010" t="s">
        <v>471</v>
      </c>
      <c r="F5010">
        <v>21.98</v>
      </c>
      <c r="G5010">
        <v>0</v>
      </c>
    </row>
    <row r="5011" spans="2:7" x14ac:dyDescent="0.25">
      <c r="B5011" s="70">
        <v>43448</v>
      </c>
      <c r="C5011" t="s">
        <v>61</v>
      </c>
      <c r="D5011" t="s">
        <v>86</v>
      </c>
      <c r="E5011" t="s">
        <v>471</v>
      </c>
      <c r="F5011">
        <v>256.83999999999997</v>
      </c>
      <c r="G5011">
        <v>0</v>
      </c>
    </row>
    <row r="5012" spans="2:7" x14ac:dyDescent="0.25">
      <c r="B5012" s="70">
        <v>43448</v>
      </c>
      <c r="C5012" t="s">
        <v>61</v>
      </c>
      <c r="D5012" t="s">
        <v>82</v>
      </c>
      <c r="E5012" t="s">
        <v>471</v>
      </c>
      <c r="F5012">
        <v>113.34</v>
      </c>
      <c r="G5012">
        <v>0</v>
      </c>
    </row>
    <row r="5013" spans="2:7" x14ac:dyDescent="0.25">
      <c r="B5013" s="70">
        <v>43315</v>
      </c>
      <c r="C5013" t="s">
        <v>25</v>
      </c>
      <c r="D5013" t="s">
        <v>83</v>
      </c>
      <c r="E5013" t="s">
        <v>474</v>
      </c>
      <c r="F5013">
        <v>5.99</v>
      </c>
      <c r="G5013">
        <v>0</v>
      </c>
    </row>
    <row r="5014" spans="2:7" x14ac:dyDescent="0.25">
      <c r="B5014" s="70">
        <v>43315</v>
      </c>
      <c r="C5014" t="s">
        <v>25</v>
      </c>
      <c r="D5014" t="s">
        <v>80</v>
      </c>
      <c r="E5014" t="s">
        <v>474</v>
      </c>
      <c r="F5014">
        <v>27.48</v>
      </c>
      <c r="G5014">
        <v>0</v>
      </c>
    </row>
    <row r="5015" spans="2:7" x14ac:dyDescent="0.25">
      <c r="B5015" s="70">
        <v>43315</v>
      </c>
      <c r="C5015" t="s">
        <v>25</v>
      </c>
      <c r="D5015" t="s">
        <v>87</v>
      </c>
      <c r="E5015" t="s">
        <v>474</v>
      </c>
      <c r="F5015">
        <v>45</v>
      </c>
      <c r="G5015">
        <v>0</v>
      </c>
    </row>
    <row r="5016" spans="2:7" x14ac:dyDescent="0.25">
      <c r="B5016" s="70">
        <v>43315</v>
      </c>
      <c r="C5016" t="s">
        <v>25</v>
      </c>
      <c r="D5016" t="s">
        <v>87</v>
      </c>
      <c r="E5016" t="s">
        <v>474</v>
      </c>
      <c r="F5016">
        <v>90</v>
      </c>
      <c r="G5016">
        <v>0</v>
      </c>
    </row>
    <row r="5017" spans="2:7" x14ac:dyDescent="0.25">
      <c r="B5017" s="70">
        <v>43315</v>
      </c>
      <c r="C5017" t="s">
        <v>25</v>
      </c>
      <c r="D5017" t="s">
        <v>87</v>
      </c>
      <c r="E5017" t="s">
        <v>474</v>
      </c>
      <c r="F5017">
        <v>85.12</v>
      </c>
      <c r="G5017">
        <v>0</v>
      </c>
    </row>
    <row r="5018" spans="2:7" x14ac:dyDescent="0.25">
      <c r="B5018" s="70">
        <v>43315</v>
      </c>
      <c r="C5018" t="s">
        <v>25</v>
      </c>
      <c r="D5018" t="s">
        <v>87</v>
      </c>
      <c r="E5018" t="s">
        <v>474</v>
      </c>
      <c r="F5018">
        <v>81.2</v>
      </c>
      <c r="G5018">
        <v>0</v>
      </c>
    </row>
    <row r="5019" spans="2:7" x14ac:dyDescent="0.25">
      <c r="B5019" s="70">
        <v>43315</v>
      </c>
      <c r="C5019" t="s">
        <v>25</v>
      </c>
      <c r="D5019" t="s">
        <v>87</v>
      </c>
      <c r="E5019" t="s">
        <v>474</v>
      </c>
      <c r="F5019">
        <v>40.86</v>
      </c>
      <c r="G5019">
        <v>0</v>
      </c>
    </row>
    <row r="5020" spans="2:7" x14ac:dyDescent="0.25">
      <c r="B5020" s="70">
        <v>43315</v>
      </c>
      <c r="C5020" t="s">
        <v>25</v>
      </c>
      <c r="D5020" t="s">
        <v>81</v>
      </c>
      <c r="E5020" t="s">
        <v>191</v>
      </c>
      <c r="F5020">
        <v>22</v>
      </c>
      <c r="G5020">
        <v>0</v>
      </c>
    </row>
    <row r="5021" spans="2:7" x14ac:dyDescent="0.25">
      <c r="B5021" s="70">
        <v>43315</v>
      </c>
      <c r="C5021" t="s">
        <v>25</v>
      </c>
      <c r="D5021" t="s">
        <v>81</v>
      </c>
      <c r="E5021" t="s">
        <v>132</v>
      </c>
      <c r="F5021">
        <v>1.8</v>
      </c>
      <c r="G5021">
        <v>0</v>
      </c>
    </row>
    <row r="5022" spans="2:7" x14ac:dyDescent="0.25">
      <c r="B5022" s="70">
        <v>43315</v>
      </c>
      <c r="C5022" t="s">
        <v>47</v>
      </c>
      <c r="D5022" t="s">
        <v>80</v>
      </c>
      <c r="E5022" t="s">
        <v>474</v>
      </c>
      <c r="F5022">
        <v>33.549999999999997</v>
      </c>
      <c r="G5022">
        <v>0</v>
      </c>
    </row>
    <row r="5023" spans="2:7" x14ac:dyDescent="0.25">
      <c r="B5023" s="70">
        <v>43315</v>
      </c>
      <c r="C5023" t="s">
        <v>47</v>
      </c>
      <c r="D5023" t="s">
        <v>86</v>
      </c>
      <c r="E5023" t="s">
        <v>474</v>
      </c>
      <c r="F5023">
        <v>20</v>
      </c>
      <c r="G5023">
        <v>0</v>
      </c>
    </row>
    <row r="5024" spans="2:7" x14ac:dyDescent="0.25">
      <c r="B5024" s="70">
        <v>43315</v>
      </c>
      <c r="C5024" t="s">
        <v>51</v>
      </c>
      <c r="D5024" t="s">
        <v>80</v>
      </c>
      <c r="E5024" t="s">
        <v>474</v>
      </c>
      <c r="F5024">
        <v>20.75</v>
      </c>
      <c r="G5024">
        <v>0</v>
      </c>
    </row>
    <row r="5025" spans="2:7" x14ac:dyDescent="0.25">
      <c r="B5025" s="70">
        <v>43315</v>
      </c>
      <c r="C5025" t="s">
        <v>21</v>
      </c>
      <c r="D5025" t="s">
        <v>79</v>
      </c>
      <c r="E5025" t="s">
        <v>474</v>
      </c>
      <c r="F5025">
        <v>8</v>
      </c>
      <c r="G5025">
        <v>0</v>
      </c>
    </row>
    <row r="5026" spans="2:7" x14ac:dyDescent="0.25">
      <c r="B5026" s="70">
        <v>43315</v>
      </c>
      <c r="C5026" t="s">
        <v>21</v>
      </c>
      <c r="D5026" t="s">
        <v>79</v>
      </c>
      <c r="E5026" t="s">
        <v>474</v>
      </c>
      <c r="F5026">
        <v>32</v>
      </c>
      <c r="G5026">
        <v>0</v>
      </c>
    </row>
    <row r="5027" spans="2:7" x14ac:dyDescent="0.25">
      <c r="B5027" s="70">
        <v>43315</v>
      </c>
      <c r="C5027" t="s">
        <v>21</v>
      </c>
      <c r="D5027" t="s">
        <v>79</v>
      </c>
      <c r="E5027" t="s">
        <v>474</v>
      </c>
      <c r="F5027">
        <v>72</v>
      </c>
      <c r="G5027">
        <v>0</v>
      </c>
    </row>
    <row r="5028" spans="2:7" x14ac:dyDescent="0.25">
      <c r="B5028" s="70">
        <v>43315</v>
      </c>
      <c r="C5028" t="s">
        <v>21</v>
      </c>
      <c r="D5028" t="s">
        <v>79</v>
      </c>
      <c r="E5028" t="s">
        <v>474</v>
      </c>
      <c r="F5028">
        <v>80</v>
      </c>
      <c r="G5028">
        <v>0</v>
      </c>
    </row>
    <row r="5029" spans="2:7" x14ac:dyDescent="0.25">
      <c r="B5029" s="70">
        <v>43315</v>
      </c>
      <c r="C5029" t="s">
        <v>48</v>
      </c>
      <c r="D5029" t="s">
        <v>79</v>
      </c>
      <c r="E5029" t="s">
        <v>474</v>
      </c>
      <c r="F5029">
        <v>1073.46</v>
      </c>
      <c r="G5029">
        <v>0</v>
      </c>
    </row>
    <row r="5030" spans="2:7" x14ac:dyDescent="0.25">
      <c r="B5030" s="70">
        <v>43315</v>
      </c>
      <c r="C5030" t="s">
        <v>48</v>
      </c>
      <c r="D5030" t="s">
        <v>80</v>
      </c>
      <c r="E5030" t="s">
        <v>474</v>
      </c>
      <c r="F5030">
        <v>47.85</v>
      </c>
      <c r="G5030">
        <v>0</v>
      </c>
    </row>
    <row r="5031" spans="2:7" x14ac:dyDescent="0.25">
      <c r="B5031" s="70">
        <v>43315</v>
      </c>
      <c r="C5031" t="s">
        <v>48</v>
      </c>
      <c r="D5031" t="s">
        <v>87</v>
      </c>
      <c r="E5031" t="s">
        <v>474</v>
      </c>
      <c r="F5031">
        <v>42.69</v>
      </c>
      <c r="G5031">
        <v>0</v>
      </c>
    </row>
    <row r="5032" spans="2:7" x14ac:dyDescent="0.25">
      <c r="B5032" s="70">
        <v>43315</v>
      </c>
      <c r="C5032" t="s">
        <v>55</v>
      </c>
      <c r="D5032" t="s">
        <v>80</v>
      </c>
      <c r="E5032" t="s">
        <v>474</v>
      </c>
      <c r="F5032">
        <v>479.83</v>
      </c>
      <c r="G5032">
        <v>0</v>
      </c>
    </row>
    <row r="5033" spans="2:7" x14ac:dyDescent="0.25">
      <c r="B5033" s="70">
        <v>43315</v>
      </c>
      <c r="C5033" t="s">
        <v>50</v>
      </c>
      <c r="D5033" t="s">
        <v>83</v>
      </c>
      <c r="E5033" t="s">
        <v>474</v>
      </c>
      <c r="F5033">
        <v>26.25</v>
      </c>
      <c r="G5033">
        <v>0</v>
      </c>
    </row>
    <row r="5034" spans="2:7" x14ac:dyDescent="0.25">
      <c r="B5034" s="70">
        <v>43315</v>
      </c>
      <c r="C5034" t="s">
        <v>50</v>
      </c>
      <c r="D5034" t="s">
        <v>80</v>
      </c>
      <c r="E5034" t="s">
        <v>474</v>
      </c>
      <c r="F5034">
        <v>23.94</v>
      </c>
      <c r="G5034">
        <v>0</v>
      </c>
    </row>
    <row r="5035" spans="2:7" x14ac:dyDescent="0.25">
      <c r="B5035" s="70">
        <v>43315</v>
      </c>
      <c r="C5035" t="s">
        <v>50</v>
      </c>
      <c r="D5035" t="s">
        <v>461</v>
      </c>
      <c r="E5035" t="s">
        <v>475</v>
      </c>
      <c r="F5035">
        <v>7.84</v>
      </c>
      <c r="G5035">
        <v>0</v>
      </c>
    </row>
    <row r="5036" spans="2:7" x14ac:dyDescent="0.25">
      <c r="B5036" s="70">
        <v>43315</v>
      </c>
      <c r="C5036" t="s">
        <v>24</v>
      </c>
      <c r="D5036" t="s">
        <v>79</v>
      </c>
      <c r="E5036" t="s">
        <v>474</v>
      </c>
      <c r="F5036">
        <v>8</v>
      </c>
      <c r="G5036">
        <v>0</v>
      </c>
    </row>
    <row r="5037" spans="2:7" x14ac:dyDescent="0.25">
      <c r="B5037" s="70">
        <v>43315</v>
      </c>
      <c r="C5037" t="s">
        <v>24</v>
      </c>
      <c r="D5037" t="s">
        <v>79</v>
      </c>
      <c r="E5037" t="s">
        <v>474</v>
      </c>
      <c r="F5037">
        <v>24</v>
      </c>
      <c r="G5037">
        <v>0</v>
      </c>
    </row>
    <row r="5038" spans="2:7" x14ac:dyDescent="0.25">
      <c r="B5038" s="70">
        <v>43315</v>
      </c>
      <c r="C5038" t="s">
        <v>60</v>
      </c>
      <c r="D5038" t="s">
        <v>80</v>
      </c>
      <c r="E5038" t="s">
        <v>474</v>
      </c>
      <c r="F5038">
        <v>37.18</v>
      </c>
      <c r="G5038">
        <v>0</v>
      </c>
    </row>
    <row r="5039" spans="2:7" x14ac:dyDescent="0.25">
      <c r="B5039" s="70">
        <v>43315</v>
      </c>
      <c r="C5039" t="s">
        <v>60</v>
      </c>
      <c r="D5039" t="s">
        <v>87</v>
      </c>
      <c r="E5039" t="s">
        <v>474</v>
      </c>
      <c r="F5039">
        <v>2.14</v>
      </c>
      <c r="G5039">
        <v>0</v>
      </c>
    </row>
    <row r="5040" spans="2:7" x14ac:dyDescent="0.25">
      <c r="B5040" s="70">
        <v>43265</v>
      </c>
      <c r="C5040" t="s">
        <v>25</v>
      </c>
      <c r="D5040" t="s">
        <v>81</v>
      </c>
      <c r="E5040" t="s">
        <v>197</v>
      </c>
      <c r="F5040">
        <v>5</v>
      </c>
      <c r="G5040">
        <v>0</v>
      </c>
    </row>
    <row r="5041" spans="2:7" x14ac:dyDescent="0.25">
      <c r="B5041" s="70">
        <v>43265</v>
      </c>
      <c r="C5041" t="s">
        <v>25</v>
      </c>
      <c r="D5041" t="s">
        <v>81</v>
      </c>
      <c r="E5041" t="s">
        <v>198</v>
      </c>
      <c r="F5041">
        <v>64.400000000000006</v>
      </c>
      <c r="G5041">
        <v>0</v>
      </c>
    </row>
    <row r="5042" spans="2:7" x14ac:dyDescent="0.25">
      <c r="B5042" s="70">
        <v>43265</v>
      </c>
      <c r="C5042" t="s">
        <v>25</v>
      </c>
      <c r="D5042" t="s">
        <v>81</v>
      </c>
      <c r="E5042" t="s">
        <v>241</v>
      </c>
      <c r="F5042">
        <v>4.75</v>
      </c>
      <c r="G5042">
        <v>0</v>
      </c>
    </row>
    <row r="5043" spans="2:7" x14ac:dyDescent="0.25">
      <c r="B5043" s="70">
        <v>43265</v>
      </c>
      <c r="C5043" t="s">
        <v>46</v>
      </c>
      <c r="D5043" t="s">
        <v>82</v>
      </c>
      <c r="E5043" t="s">
        <v>476</v>
      </c>
      <c r="F5043">
        <v>5</v>
      </c>
      <c r="G5043">
        <v>0</v>
      </c>
    </row>
    <row r="5044" spans="2:7" x14ac:dyDescent="0.25">
      <c r="B5044" s="70">
        <v>43265</v>
      </c>
      <c r="C5044" t="s">
        <v>47</v>
      </c>
      <c r="D5044" t="s">
        <v>82</v>
      </c>
      <c r="E5044" t="s">
        <v>476</v>
      </c>
      <c r="F5044">
        <v>121.63</v>
      </c>
      <c r="G5044">
        <v>0</v>
      </c>
    </row>
    <row r="5045" spans="2:7" x14ac:dyDescent="0.25">
      <c r="B5045" s="70">
        <v>43265</v>
      </c>
      <c r="C5045" t="s">
        <v>51</v>
      </c>
      <c r="D5045" t="s">
        <v>91</v>
      </c>
      <c r="E5045" t="s">
        <v>476</v>
      </c>
      <c r="F5045">
        <v>95.96</v>
      </c>
      <c r="G5045">
        <v>0</v>
      </c>
    </row>
    <row r="5046" spans="2:7" x14ac:dyDescent="0.25">
      <c r="B5046" s="70">
        <v>43265</v>
      </c>
      <c r="C5046" t="s">
        <v>21</v>
      </c>
      <c r="D5046" t="s">
        <v>79</v>
      </c>
      <c r="E5046" t="s">
        <v>476</v>
      </c>
      <c r="F5046">
        <v>16</v>
      </c>
      <c r="G5046">
        <v>0</v>
      </c>
    </row>
    <row r="5047" spans="2:7" x14ac:dyDescent="0.25">
      <c r="B5047" s="70">
        <v>43265</v>
      </c>
      <c r="C5047" t="s">
        <v>49</v>
      </c>
      <c r="D5047" t="s">
        <v>82</v>
      </c>
      <c r="E5047" t="s">
        <v>476</v>
      </c>
      <c r="F5047">
        <v>46.33</v>
      </c>
      <c r="G5047">
        <v>0</v>
      </c>
    </row>
    <row r="5048" spans="2:7" x14ac:dyDescent="0.25">
      <c r="B5048" s="70">
        <v>43265</v>
      </c>
      <c r="C5048" t="s">
        <v>50</v>
      </c>
      <c r="D5048" t="s">
        <v>82</v>
      </c>
      <c r="E5048" t="s">
        <v>476</v>
      </c>
      <c r="F5048">
        <v>37.06</v>
      </c>
      <c r="G5048">
        <v>0</v>
      </c>
    </row>
    <row r="5049" spans="2:7" x14ac:dyDescent="0.25">
      <c r="B5049" s="70">
        <v>43265</v>
      </c>
      <c r="C5049" t="s">
        <v>65</v>
      </c>
      <c r="D5049" t="s">
        <v>82</v>
      </c>
      <c r="E5049" t="s">
        <v>476</v>
      </c>
      <c r="F5049">
        <v>27.9</v>
      </c>
      <c r="G5049">
        <v>0</v>
      </c>
    </row>
    <row r="5050" spans="2:7" x14ac:dyDescent="0.25">
      <c r="B5050" s="70">
        <v>43265</v>
      </c>
      <c r="C5050" t="s">
        <v>24</v>
      </c>
      <c r="D5050" t="s">
        <v>79</v>
      </c>
      <c r="E5050" t="s">
        <v>476</v>
      </c>
      <c r="F5050">
        <v>16</v>
      </c>
      <c r="G5050">
        <v>0</v>
      </c>
    </row>
    <row r="5051" spans="2:7" x14ac:dyDescent="0.25">
      <c r="B5051" s="70">
        <v>43270</v>
      </c>
      <c r="C5051" t="s">
        <v>25</v>
      </c>
      <c r="D5051" t="s">
        <v>80</v>
      </c>
      <c r="E5051" t="s">
        <v>477</v>
      </c>
      <c r="F5051">
        <v>80</v>
      </c>
      <c r="G5051">
        <v>0</v>
      </c>
    </row>
    <row r="5052" spans="2:7" x14ac:dyDescent="0.25">
      <c r="B5052" s="70">
        <v>43270</v>
      </c>
      <c r="C5052" t="s">
        <v>25</v>
      </c>
      <c r="D5052" t="s">
        <v>81</v>
      </c>
      <c r="E5052" t="s">
        <v>197</v>
      </c>
      <c r="F5052">
        <v>10</v>
      </c>
      <c r="G5052">
        <v>0</v>
      </c>
    </row>
    <row r="5053" spans="2:7" x14ac:dyDescent="0.25">
      <c r="B5053" s="70">
        <v>43270</v>
      </c>
      <c r="C5053" t="s">
        <v>25</v>
      </c>
      <c r="D5053" t="s">
        <v>81</v>
      </c>
      <c r="E5053" t="s">
        <v>148</v>
      </c>
      <c r="F5053">
        <v>2.25</v>
      </c>
      <c r="G5053">
        <v>0</v>
      </c>
    </row>
    <row r="5054" spans="2:7" x14ac:dyDescent="0.25">
      <c r="B5054" s="70">
        <v>43270</v>
      </c>
      <c r="C5054" t="s">
        <v>25</v>
      </c>
      <c r="D5054" t="s">
        <v>81</v>
      </c>
      <c r="E5054" t="s">
        <v>191</v>
      </c>
      <c r="F5054">
        <v>22</v>
      </c>
      <c r="G5054">
        <v>0</v>
      </c>
    </row>
    <row r="5055" spans="2:7" x14ac:dyDescent="0.25">
      <c r="B5055" s="70">
        <v>43270</v>
      </c>
      <c r="C5055" t="s">
        <v>21</v>
      </c>
      <c r="D5055" t="s">
        <v>79</v>
      </c>
      <c r="E5055" t="s">
        <v>477</v>
      </c>
      <c r="F5055">
        <v>8</v>
      </c>
      <c r="G5055">
        <v>0</v>
      </c>
    </row>
    <row r="5056" spans="2:7" x14ac:dyDescent="0.25">
      <c r="B5056" s="70">
        <v>43270</v>
      </c>
      <c r="C5056" t="s">
        <v>48</v>
      </c>
      <c r="D5056" t="s">
        <v>82</v>
      </c>
      <c r="E5056" t="s">
        <v>477</v>
      </c>
      <c r="F5056">
        <v>24</v>
      </c>
      <c r="G5056">
        <v>0</v>
      </c>
    </row>
    <row r="5057" spans="2:7" x14ac:dyDescent="0.25">
      <c r="B5057" s="70">
        <v>43270</v>
      </c>
      <c r="C5057" t="s">
        <v>64</v>
      </c>
      <c r="D5057" t="s">
        <v>85</v>
      </c>
      <c r="E5057" t="s">
        <v>477</v>
      </c>
      <c r="F5057">
        <v>120</v>
      </c>
      <c r="G5057">
        <v>0</v>
      </c>
    </row>
    <row r="5058" spans="2:7" x14ac:dyDescent="0.25">
      <c r="B5058" s="70">
        <v>43270</v>
      </c>
      <c r="C5058" t="s">
        <v>55</v>
      </c>
      <c r="D5058" t="s">
        <v>85</v>
      </c>
      <c r="E5058" t="s">
        <v>477</v>
      </c>
      <c r="F5058">
        <v>34.229999999999997</v>
      </c>
      <c r="G5058">
        <v>0</v>
      </c>
    </row>
    <row r="5059" spans="2:7" x14ac:dyDescent="0.25">
      <c r="B5059" s="70">
        <v>43270</v>
      </c>
      <c r="C5059" t="s">
        <v>58</v>
      </c>
      <c r="D5059" t="s">
        <v>87</v>
      </c>
      <c r="E5059" t="s">
        <v>477</v>
      </c>
      <c r="F5059">
        <v>250</v>
      </c>
      <c r="G5059">
        <v>0</v>
      </c>
    </row>
    <row r="5060" spans="2:7" x14ac:dyDescent="0.25">
      <c r="B5060" s="70">
        <v>43270</v>
      </c>
      <c r="C5060" t="s">
        <v>53</v>
      </c>
      <c r="D5060" t="s">
        <v>82</v>
      </c>
      <c r="E5060" t="s">
        <v>477</v>
      </c>
      <c r="F5060">
        <v>40</v>
      </c>
      <c r="G5060">
        <v>0</v>
      </c>
    </row>
    <row r="5061" spans="2:7" x14ac:dyDescent="0.25">
      <c r="B5061" s="70">
        <v>43270</v>
      </c>
      <c r="C5061" t="s">
        <v>65</v>
      </c>
      <c r="D5061" t="s">
        <v>91</v>
      </c>
      <c r="E5061" t="s">
        <v>477</v>
      </c>
      <c r="F5061">
        <v>413</v>
      </c>
      <c r="G5061">
        <v>0</v>
      </c>
    </row>
    <row r="5062" spans="2:7" x14ac:dyDescent="0.25">
      <c r="B5062" s="70">
        <v>43270</v>
      </c>
      <c r="C5062" t="s">
        <v>60</v>
      </c>
      <c r="D5062" t="s">
        <v>85</v>
      </c>
      <c r="E5062" t="s">
        <v>477</v>
      </c>
      <c r="F5062">
        <v>107.45</v>
      </c>
      <c r="G5062">
        <v>0</v>
      </c>
    </row>
    <row r="5063" spans="2:7" x14ac:dyDescent="0.25">
      <c r="B5063" s="70">
        <v>43314</v>
      </c>
      <c r="C5063" t="s">
        <v>25</v>
      </c>
      <c r="D5063" t="s">
        <v>81</v>
      </c>
      <c r="E5063" t="s">
        <v>197</v>
      </c>
      <c r="F5063">
        <v>2.4</v>
      </c>
      <c r="G5063">
        <v>0</v>
      </c>
    </row>
    <row r="5064" spans="2:7" x14ac:dyDescent="0.25">
      <c r="B5064" s="70">
        <v>43314</v>
      </c>
      <c r="C5064" t="s">
        <v>25</v>
      </c>
      <c r="D5064" t="s">
        <v>81</v>
      </c>
      <c r="E5064" t="s">
        <v>122</v>
      </c>
      <c r="F5064">
        <v>3.6</v>
      </c>
      <c r="G5064">
        <v>0</v>
      </c>
    </row>
    <row r="5065" spans="2:7" x14ac:dyDescent="0.25">
      <c r="B5065" s="70">
        <v>43314</v>
      </c>
      <c r="C5065" t="s">
        <v>25</v>
      </c>
      <c r="D5065" t="s">
        <v>81</v>
      </c>
      <c r="E5065" t="s">
        <v>195</v>
      </c>
      <c r="F5065">
        <v>13</v>
      </c>
      <c r="G5065">
        <v>0</v>
      </c>
    </row>
    <row r="5066" spans="2:7" x14ac:dyDescent="0.25">
      <c r="B5066" s="70">
        <v>43314</v>
      </c>
      <c r="C5066" t="s">
        <v>25</v>
      </c>
      <c r="D5066" t="s">
        <v>81</v>
      </c>
      <c r="E5066" t="s">
        <v>209</v>
      </c>
      <c r="F5066">
        <v>16</v>
      </c>
      <c r="G5066">
        <v>0</v>
      </c>
    </row>
    <row r="5067" spans="2:7" x14ac:dyDescent="0.25">
      <c r="B5067" s="70">
        <v>43314</v>
      </c>
      <c r="C5067" t="s">
        <v>25</v>
      </c>
      <c r="D5067" t="s">
        <v>82</v>
      </c>
      <c r="E5067" t="s">
        <v>478</v>
      </c>
      <c r="F5067">
        <v>286</v>
      </c>
      <c r="G5067">
        <v>0</v>
      </c>
    </row>
    <row r="5068" spans="2:7" x14ac:dyDescent="0.25">
      <c r="B5068" s="70">
        <v>43314</v>
      </c>
      <c r="C5068" t="s">
        <v>51</v>
      </c>
      <c r="D5068" t="s">
        <v>82</v>
      </c>
      <c r="E5068" t="s">
        <v>478</v>
      </c>
      <c r="F5068">
        <v>70.650000000000006</v>
      </c>
      <c r="G5068">
        <v>0</v>
      </c>
    </row>
    <row r="5069" spans="2:7" x14ac:dyDescent="0.25">
      <c r="B5069" s="70">
        <v>43314</v>
      </c>
      <c r="C5069" t="s">
        <v>57</v>
      </c>
      <c r="D5069" t="s">
        <v>79</v>
      </c>
      <c r="E5069" t="s">
        <v>478</v>
      </c>
      <c r="F5069">
        <v>15.76</v>
      </c>
      <c r="G5069">
        <v>0</v>
      </c>
    </row>
    <row r="5070" spans="2:7" x14ac:dyDescent="0.25">
      <c r="B5070" s="70">
        <v>43314</v>
      </c>
      <c r="C5070" t="s">
        <v>44</v>
      </c>
      <c r="D5070" t="s">
        <v>82</v>
      </c>
      <c r="E5070" t="s">
        <v>478</v>
      </c>
      <c r="F5070">
        <v>25</v>
      </c>
      <c r="G5070">
        <v>0</v>
      </c>
    </row>
    <row r="5071" spans="2:7" x14ac:dyDescent="0.25">
      <c r="B5071" s="70">
        <v>43314</v>
      </c>
      <c r="C5071" t="s">
        <v>21</v>
      </c>
      <c r="D5071" t="s">
        <v>79</v>
      </c>
      <c r="E5071" t="s">
        <v>478</v>
      </c>
      <c r="F5071">
        <v>8</v>
      </c>
      <c r="G5071">
        <v>0</v>
      </c>
    </row>
    <row r="5072" spans="2:7" x14ac:dyDescent="0.25">
      <c r="B5072" s="70">
        <v>43314</v>
      </c>
      <c r="C5072" t="s">
        <v>21</v>
      </c>
      <c r="D5072" t="s">
        <v>79</v>
      </c>
      <c r="E5072" t="s">
        <v>478</v>
      </c>
      <c r="F5072">
        <v>16</v>
      </c>
      <c r="G5072">
        <v>0</v>
      </c>
    </row>
    <row r="5073" spans="2:7" x14ac:dyDescent="0.25">
      <c r="B5073" s="70">
        <v>43314</v>
      </c>
      <c r="C5073" t="s">
        <v>21</v>
      </c>
      <c r="D5073" t="s">
        <v>79</v>
      </c>
      <c r="E5073" t="s">
        <v>478</v>
      </c>
      <c r="F5073">
        <v>24</v>
      </c>
      <c r="G5073">
        <v>0</v>
      </c>
    </row>
    <row r="5074" spans="2:7" x14ac:dyDescent="0.25">
      <c r="B5074" s="70">
        <v>43314</v>
      </c>
      <c r="C5074" t="s">
        <v>21</v>
      </c>
      <c r="D5074" t="s">
        <v>79</v>
      </c>
      <c r="E5074" t="s">
        <v>478</v>
      </c>
      <c r="F5074">
        <v>56</v>
      </c>
      <c r="G5074">
        <v>0</v>
      </c>
    </row>
    <row r="5075" spans="2:7" x14ac:dyDescent="0.25">
      <c r="B5075" s="70">
        <v>43314</v>
      </c>
      <c r="C5075" t="s">
        <v>48</v>
      </c>
      <c r="D5075" t="s">
        <v>84</v>
      </c>
      <c r="E5075" t="s">
        <v>478</v>
      </c>
      <c r="F5075">
        <v>150</v>
      </c>
      <c r="G5075">
        <v>0</v>
      </c>
    </row>
    <row r="5076" spans="2:7" x14ac:dyDescent="0.25">
      <c r="B5076" s="70">
        <v>43314</v>
      </c>
      <c r="C5076" t="s">
        <v>55</v>
      </c>
      <c r="D5076" t="s">
        <v>82</v>
      </c>
      <c r="E5076" t="s">
        <v>478</v>
      </c>
      <c r="F5076">
        <v>42.9</v>
      </c>
      <c r="G5076">
        <v>0</v>
      </c>
    </row>
    <row r="5077" spans="2:7" x14ac:dyDescent="0.25">
      <c r="B5077" s="70">
        <v>43314</v>
      </c>
      <c r="C5077" t="s">
        <v>49</v>
      </c>
      <c r="D5077" t="s">
        <v>86</v>
      </c>
      <c r="E5077" t="s">
        <v>478</v>
      </c>
      <c r="F5077">
        <v>0</v>
      </c>
      <c r="G5077">
        <v>150</v>
      </c>
    </row>
    <row r="5078" spans="2:7" x14ac:dyDescent="0.25">
      <c r="B5078" s="70">
        <v>43314</v>
      </c>
      <c r="C5078" t="s">
        <v>49</v>
      </c>
      <c r="D5078" t="s">
        <v>84</v>
      </c>
      <c r="E5078" t="s">
        <v>478</v>
      </c>
      <c r="F5078">
        <v>300</v>
      </c>
      <c r="G5078">
        <v>0</v>
      </c>
    </row>
    <row r="5079" spans="2:7" x14ac:dyDescent="0.25">
      <c r="B5079" s="70">
        <v>43314</v>
      </c>
      <c r="C5079" t="s">
        <v>50</v>
      </c>
      <c r="D5079" t="s">
        <v>79</v>
      </c>
      <c r="E5079" t="s">
        <v>478</v>
      </c>
      <c r="F5079">
        <v>10</v>
      </c>
      <c r="G5079">
        <v>0</v>
      </c>
    </row>
    <row r="5080" spans="2:7" x14ac:dyDescent="0.25">
      <c r="B5080" s="70">
        <v>43314</v>
      </c>
      <c r="C5080" t="s">
        <v>50</v>
      </c>
      <c r="D5080" t="s">
        <v>84</v>
      </c>
      <c r="E5080" t="s">
        <v>478</v>
      </c>
      <c r="F5080">
        <v>2550</v>
      </c>
      <c r="G5080">
        <v>0</v>
      </c>
    </row>
    <row r="5081" spans="2:7" x14ac:dyDescent="0.25">
      <c r="B5081" s="70">
        <v>43314</v>
      </c>
      <c r="C5081" t="s">
        <v>52</v>
      </c>
      <c r="D5081" t="s">
        <v>79</v>
      </c>
      <c r="E5081" t="s">
        <v>478</v>
      </c>
      <c r="F5081">
        <v>5</v>
      </c>
      <c r="G5081">
        <v>0</v>
      </c>
    </row>
    <row r="5082" spans="2:7" x14ac:dyDescent="0.25">
      <c r="B5082" s="70">
        <v>43314</v>
      </c>
      <c r="C5082" t="s">
        <v>52</v>
      </c>
      <c r="D5082" t="s">
        <v>82</v>
      </c>
      <c r="E5082" t="s">
        <v>478</v>
      </c>
      <c r="F5082">
        <v>6</v>
      </c>
      <c r="G5082">
        <v>0</v>
      </c>
    </row>
    <row r="5083" spans="2:7" x14ac:dyDescent="0.25">
      <c r="B5083" s="70">
        <v>43314</v>
      </c>
      <c r="C5083" t="s">
        <v>58</v>
      </c>
      <c r="D5083" t="s">
        <v>82</v>
      </c>
      <c r="E5083" t="s">
        <v>478</v>
      </c>
      <c r="F5083">
        <v>37</v>
      </c>
      <c r="G5083">
        <v>0</v>
      </c>
    </row>
    <row r="5084" spans="2:7" x14ac:dyDescent="0.25">
      <c r="B5084" s="70">
        <v>43325</v>
      </c>
      <c r="C5084" t="s">
        <v>25</v>
      </c>
      <c r="D5084" t="s">
        <v>81</v>
      </c>
      <c r="E5084" t="s">
        <v>197</v>
      </c>
      <c r="F5084">
        <v>5.55</v>
      </c>
      <c r="G5084">
        <v>0</v>
      </c>
    </row>
    <row r="5085" spans="2:7" x14ac:dyDescent="0.25">
      <c r="B5085" s="70">
        <v>43325</v>
      </c>
      <c r="C5085" t="s">
        <v>25</v>
      </c>
      <c r="D5085" t="s">
        <v>81</v>
      </c>
      <c r="E5085" t="s">
        <v>240</v>
      </c>
      <c r="F5085">
        <v>2.1</v>
      </c>
      <c r="G5085">
        <v>0</v>
      </c>
    </row>
    <row r="5086" spans="2:7" x14ac:dyDescent="0.25">
      <c r="B5086" s="70">
        <v>43325</v>
      </c>
      <c r="C5086" t="s">
        <v>25</v>
      </c>
      <c r="D5086" t="s">
        <v>81</v>
      </c>
      <c r="E5086" t="s">
        <v>187</v>
      </c>
      <c r="F5086">
        <v>1200</v>
      </c>
      <c r="G5086">
        <v>0</v>
      </c>
    </row>
    <row r="5087" spans="2:7" x14ac:dyDescent="0.25">
      <c r="B5087" s="70">
        <v>43325</v>
      </c>
      <c r="C5087" t="s">
        <v>25</v>
      </c>
      <c r="D5087" t="s">
        <v>82</v>
      </c>
      <c r="E5087" t="s">
        <v>479</v>
      </c>
      <c r="F5087">
        <v>38</v>
      </c>
      <c r="G5087">
        <v>0</v>
      </c>
    </row>
    <row r="5088" spans="2:7" x14ac:dyDescent="0.25">
      <c r="B5088" s="70">
        <v>43325</v>
      </c>
      <c r="C5088" t="s">
        <v>56</v>
      </c>
      <c r="D5088" t="s">
        <v>82</v>
      </c>
      <c r="E5088" t="s">
        <v>479</v>
      </c>
      <c r="F5088">
        <v>158.59</v>
      </c>
      <c r="G5088">
        <v>0</v>
      </c>
    </row>
    <row r="5089" spans="2:7" x14ac:dyDescent="0.25">
      <c r="B5089" s="70">
        <v>43325</v>
      </c>
      <c r="C5089" t="s">
        <v>44</v>
      </c>
      <c r="D5089" t="s">
        <v>79</v>
      </c>
      <c r="E5089" t="s">
        <v>479</v>
      </c>
      <c r="F5089">
        <v>816.22</v>
      </c>
      <c r="G5089">
        <v>0</v>
      </c>
    </row>
    <row r="5090" spans="2:7" x14ac:dyDescent="0.25">
      <c r="B5090" s="70">
        <v>43325</v>
      </c>
      <c r="C5090" t="s">
        <v>44</v>
      </c>
      <c r="D5090" t="s">
        <v>82</v>
      </c>
      <c r="E5090" t="s">
        <v>479</v>
      </c>
      <c r="F5090">
        <v>227</v>
      </c>
      <c r="G5090">
        <v>0</v>
      </c>
    </row>
    <row r="5091" spans="2:7" x14ac:dyDescent="0.25">
      <c r="B5091" s="70">
        <v>43325</v>
      </c>
      <c r="C5091" t="s">
        <v>21</v>
      </c>
      <c r="D5091" t="s">
        <v>79</v>
      </c>
      <c r="E5091" t="s">
        <v>479</v>
      </c>
      <c r="F5091">
        <v>8</v>
      </c>
      <c r="G5091">
        <v>0</v>
      </c>
    </row>
    <row r="5092" spans="2:7" x14ac:dyDescent="0.25">
      <c r="B5092" s="70">
        <v>43325</v>
      </c>
      <c r="C5092" t="s">
        <v>21</v>
      </c>
      <c r="D5092" t="s">
        <v>79</v>
      </c>
      <c r="E5092" t="s">
        <v>479</v>
      </c>
      <c r="F5092">
        <v>16</v>
      </c>
      <c r="G5092">
        <v>0</v>
      </c>
    </row>
    <row r="5093" spans="2:7" x14ac:dyDescent="0.25">
      <c r="B5093" s="70">
        <v>43325</v>
      </c>
      <c r="C5093" t="s">
        <v>21</v>
      </c>
      <c r="D5093" t="s">
        <v>79</v>
      </c>
      <c r="E5093" t="s">
        <v>479</v>
      </c>
      <c r="F5093">
        <v>32</v>
      </c>
      <c r="G5093">
        <v>0</v>
      </c>
    </row>
    <row r="5094" spans="2:7" x14ac:dyDescent="0.25">
      <c r="B5094" s="70">
        <v>43325</v>
      </c>
      <c r="C5094" t="s">
        <v>49</v>
      </c>
      <c r="D5094" t="s">
        <v>82</v>
      </c>
      <c r="E5094" t="s">
        <v>479</v>
      </c>
      <c r="F5094">
        <v>64</v>
      </c>
      <c r="G5094">
        <v>0</v>
      </c>
    </row>
    <row r="5095" spans="2:7" x14ac:dyDescent="0.25">
      <c r="B5095" s="70">
        <v>43325</v>
      </c>
      <c r="C5095" t="s">
        <v>24</v>
      </c>
      <c r="D5095" t="s">
        <v>79</v>
      </c>
      <c r="E5095" t="s">
        <v>479</v>
      </c>
      <c r="F5095">
        <v>8</v>
      </c>
      <c r="G5095">
        <v>0</v>
      </c>
    </row>
    <row r="5096" spans="2:7" x14ac:dyDescent="0.25">
      <c r="B5096" s="70">
        <v>43325</v>
      </c>
      <c r="C5096" t="s">
        <v>60</v>
      </c>
      <c r="D5096" t="s">
        <v>79</v>
      </c>
      <c r="E5096" t="s">
        <v>479</v>
      </c>
      <c r="F5096">
        <v>59.73</v>
      </c>
      <c r="G5096">
        <v>0</v>
      </c>
    </row>
    <row r="5097" spans="2:7" x14ac:dyDescent="0.25">
      <c r="B5097" s="70">
        <v>43325</v>
      </c>
      <c r="C5097" t="s">
        <v>414</v>
      </c>
      <c r="D5097" t="s">
        <v>82</v>
      </c>
      <c r="E5097" t="s">
        <v>479</v>
      </c>
      <c r="F5097">
        <v>22.58</v>
      </c>
      <c r="G5097">
        <v>0</v>
      </c>
    </row>
    <row r="5098" spans="2:7" x14ac:dyDescent="0.25">
      <c r="B5098" s="70">
        <v>43339</v>
      </c>
      <c r="C5098" t="s">
        <v>25</v>
      </c>
      <c r="D5098" t="s">
        <v>85</v>
      </c>
      <c r="E5098" t="s">
        <v>480</v>
      </c>
      <c r="F5098">
        <v>16.82</v>
      </c>
      <c r="G5098">
        <v>0</v>
      </c>
    </row>
    <row r="5099" spans="2:7" x14ac:dyDescent="0.25">
      <c r="B5099" s="70">
        <v>43339</v>
      </c>
      <c r="C5099" t="s">
        <v>25</v>
      </c>
      <c r="D5099" t="s">
        <v>81</v>
      </c>
      <c r="E5099" t="s">
        <v>197</v>
      </c>
      <c r="F5099">
        <v>2.4</v>
      </c>
      <c r="G5099">
        <v>0</v>
      </c>
    </row>
    <row r="5100" spans="2:7" x14ac:dyDescent="0.25">
      <c r="B5100" s="70">
        <v>43339</v>
      </c>
      <c r="C5100" t="s">
        <v>25</v>
      </c>
      <c r="D5100" t="s">
        <v>81</v>
      </c>
      <c r="E5100" t="s">
        <v>161</v>
      </c>
      <c r="F5100">
        <v>17.399999999999999</v>
      </c>
      <c r="G5100">
        <v>0</v>
      </c>
    </row>
    <row r="5101" spans="2:7" x14ac:dyDescent="0.25">
      <c r="B5101" s="70">
        <v>43339</v>
      </c>
      <c r="C5101" t="s">
        <v>25</v>
      </c>
      <c r="D5101" t="s">
        <v>81</v>
      </c>
      <c r="E5101" t="s">
        <v>132</v>
      </c>
      <c r="F5101">
        <v>2.4</v>
      </c>
      <c r="G5101">
        <v>0</v>
      </c>
    </row>
    <row r="5102" spans="2:7" x14ac:dyDescent="0.25">
      <c r="B5102" s="70">
        <v>43339</v>
      </c>
      <c r="C5102" t="s">
        <v>54</v>
      </c>
      <c r="D5102" t="s">
        <v>79</v>
      </c>
      <c r="E5102" t="s">
        <v>480</v>
      </c>
      <c r="F5102">
        <v>35.909999999999997</v>
      </c>
      <c r="G5102">
        <v>0</v>
      </c>
    </row>
    <row r="5103" spans="2:7" x14ac:dyDescent="0.25">
      <c r="B5103" s="70">
        <v>43339</v>
      </c>
      <c r="C5103" t="s">
        <v>54</v>
      </c>
      <c r="D5103" t="s">
        <v>85</v>
      </c>
      <c r="E5103" t="s">
        <v>480</v>
      </c>
      <c r="F5103">
        <v>41.08</v>
      </c>
      <c r="G5103">
        <v>0</v>
      </c>
    </row>
    <row r="5104" spans="2:7" x14ac:dyDescent="0.25">
      <c r="B5104" s="70">
        <v>43339</v>
      </c>
      <c r="C5104" t="s">
        <v>21</v>
      </c>
      <c r="D5104" t="s">
        <v>79</v>
      </c>
      <c r="E5104" t="s">
        <v>480</v>
      </c>
      <c r="F5104">
        <v>8</v>
      </c>
      <c r="G5104">
        <v>0</v>
      </c>
    </row>
    <row r="5105" spans="2:7" x14ac:dyDescent="0.25">
      <c r="B5105" s="70">
        <v>43339</v>
      </c>
      <c r="C5105" t="s">
        <v>21</v>
      </c>
      <c r="D5105" t="s">
        <v>79</v>
      </c>
      <c r="E5105" t="s">
        <v>480</v>
      </c>
      <c r="F5105">
        <v>16</v>
      </c>
      <c r="G5105">
        <v>0</v>
      </c>
    </row>
    <row r="5106" spans="2:7" x14ac:dyDescent="0.25">
      <c r="B5106" s="70">
        <v>43339</v>
      </c>
      <c r="C5106" t="s">
        <v>21</v>
      </c>
      <c r="D5106" t="s">
        <v>481</v>
      </c>
      <c r="E5106" t="s">
        <v>482</v>
      </c>
      <c r="F5106">
        <v>0</v>
      </c>
      <c r="G5106">
        <v>6.85</v>
      </c>
    </row>
    <row r="5107" spans="2:7" x14ac:dyDescent="0.25">
      <c r="B5107" s="70">
        <v>43339</v>
      </c>
      <c r="C5107" t="s">
        <v>24</v>
      </c>
      <c r="D5107" t="s">
        <v>79</v>
      </c>
      <c r="E5107" t="s">
        <v>480</v>
      </c>
      <c r="F5107">
        <v>8</v>
      </c>
      <c r="G5107">
        <v>0</v>
      </c>
    </row>
    <row r="5108" spans="2:7" x14ac:dyDescent="0.25">
      <c r="B5108" s="70">
        <v>43355</v>
      </c>
      <c r="C5108" t="s">
        <v>25</v>
      </c>
      <c r="D5108" t="s">
        <v>81</v>
      </c>
      <c r="E5108" t="s">
        <v>197</v>
      </c>
      <c r="F5108">
        <v>6</v>
      </c>
      <c r="G5108">
        <v>0</v>
      </c>
    </row>
    <row r="5109" spans="2:7" x14ac:dyDescent="0.25">
      <c r="B5109" s="70">
        <v>43355</v>
      </c>
      <c r="C5109" t="s">
        <v>25</v>
      </c>
      <c r="D5109" t="s">
        <v>81</v>
      </c>
      <c r="E5109" t="s">
        <v>213</v>
      </c>
      <c r="F5109">
        <v>25</v>
      </c>
      <c r="G5109">
        <v>0</v>
      </c>
    </row>
    <row r="5110" spans="2:7" x14ac:dyDescent="0.25">
      <c r="B5110" s="70">
        <v>43355</v>
      </c>
      <c r="C5110" t="s">
        <v>25</v>
      </c>
      <c r="D5110" t="s">
        <v>81</v>
      </c>
      <c r="E5110" t="s">
        <v>247</v>
      </c>
      <c r="F5110">
        <v>3.7</v>
      </c>
      <c r="G5110">
        <v>0</v>
      </c>
    </row>
    <row r="5111" spans="2:7" x14ac:dyDescent="0.25">
      <c r="B5111" s="70">
        <v>43355</v>
      </c>
      <c r="C5111" t="s">
        <v>46</v>
      </c>
      <c r="D5111" t="s">
        <v>79</v>
      </c>
      <c r="E5111" t="s">
        <v>483</v>
      </c>
      <c r="F5111">
        <v>59.97</v>
      </c>
      <c r="G5111">
        <v>0</v>
      </c>
    </row>
    <row r="5112" spans="2:7" x14ac:dyDescent="0.25">
      <c r="B5112" s="70">
        <v>43355</v>
      </c>
      <c r="C5112" t="s">
        <v>46</v>
      </c>
      <c r="D5112" t="s">
        <v>85</v>
      </c>
      <c r="E5112" t="s">
        <v>483</v>
      </c>
      <c r="F5112">
        <v>25.95</v>
      </c>
      <c r="G5112">
        <v>0</v>
      </c>
    </row>
    <row r="5113" spans="2:7" x14ac:dyDescent="0.25">
      <c r="B5113" s="70">
        <v>43355</v>
      </c>
      <c r="C5113" t="s">
        <v>21</v>
      </c>
      <c r="D5113" t="s">
        <v>79</v>
      </c>
      <c r="E5113" t="s">
        <v>483</v>
      </c>
      <c r="F5113">
        <v>8</v>
      </c>
      <c r="G5113">
        <v>0</v>
      </c>
    </row>
    <row r="5114" spans="2:7" x14ac:dyDescent="0.25">
      <c r="B5114" s="70">
        <v>43355</v>
      </c>
      <c r="C5114" t="s">
        <v>21</v>
      </c>
      <c r="D5114" t="s">
        <v>79</v>
      </c>
      <c r="E5114" t="s">
        <v>483</v>
      </c>
      <c r="F5114">
        <v>40</v>
      </c>
      <c r="G5114">
        <v>0</v>
      </c>
    </row>
    <row r="5115" spans="2:7" x14ac:dyDescent="0.25">
      <c r="B5115" s="70">
        <v>43355</v>
      </c>
      <c r="C5115" t="s">
        <v>24</v>
      </c>
      <c r="D5115" t="s">
        <v>79</v>
      </c>
      <c r="E5115" t="s">
        <v>483</v>
      </c>
      <c r="F5115">
        <v>8</v>
      </c>
      <c r="G5115">
        <v>0</v>
      </c>
    </row>
    <row r="5116" spans="2:7" x14ac:dyDescent="0.25">
      <c r="B5116" s="70">
        <v>43360</v>
      </c>
      <c r="C5116" t="s">
        <v>25</v>
      </c>
      <c r="D5116" t="s">
        <v>85</v>
      </c>
      <c r="E5116" t="s">
        <v>484</v>
      </c>
      <c r="F5116">
        <v>88.43</v>
      </c>
      <c r="G5116">
        <v>0</v>
      </c>
    </row>
    <row r="5117" spans="2:7" x14ac:dyDescent="0.25">
      <c r="B5117" s="70">
        <v>43360</v>
      </c>
      <c r="C5117" t="s">
        <v>25</v>
      </c>
      <c r="D5117" t="s">
        <v>80</v>
      </c>
      <c r="E5117" t="s">
        <v>484</v>
      </c>
      <c r="F5117">
        <v>96</v>
      </c>
      <c r="G5117">
        <v>0</v>
      </c>
    </row>
    <row r="5118" spans="2:7" x14ac:dyDescent="0.25">
      <c r="B5118" s="70">
        <v>43360</v>
      </c>
      <c r="C5118" t="s">
        <v>25</v>
      </c>
      <c r="D5118" t="s">
        <v>81</v>
      </c>
      <c r="E5118" t="s">
        <v>197</v>
      </c>
      <c r="F5118">
        <v>4</v>
      </c>
      <c r="G5118">
        <v>0</v>
      </c>
    </row>
    <row r="5119" spans="2:7" x14ac:dyDescent="0.25">
      <c r="B5119" s="70">
        <v>43360</v>
      </c>
      <c r="C5119" t="s">
        <v>25</v>
      </c>
      <c r="D5119" t="s">
        <v>81</v>
      </c>
      <c r="E5119" t="s">
        <v>206</v>
      </c>
      <c r="F5119">
        <v>8.4</v>
      </c>
      <c r="G5119">
        <v>0</v>
      </c>
    </row>
    <row r="5120" spans="2:7" x14ac:dyDescent="0.25">
      <c r="B5120" s="70">
        <v>43360</v>
      </c>
      <c r="C5120" t="s">
        <v>25</v>
      </c>
      <c r="D5120" t="s">
        <v>81</v>
      </c>
      <c r="E5120" t="s">
        <v>203</v>
      </c>
      <c r="F5120">
        <v>5.55</v>
      </c>
      <c r="G5120">
        <v>0</v>
      </c>
    </row>
    <row r="5121" spans="2:7" x14ac:dyDescent="0.25">
      <c r="B5121" s="70">
        <v>43360</v>
      </c>
      <c r="C5121" t="s">
        <v>25</v>
      </c>
      <c r="D5121" t="s">
        <v>81</v>
      </c>
      <c r="E5121" t="s">
        <v>217</v>
      </c>
      <c r="F5121">
        <v>5.4</v>
      </c>
      <c r="G5121">
        <v>0</v>
      </c>
    </row>
    <row r="5122" spans="2:7" x14ac:dyDescent="0.25">
      <c r="B5122" s="70">
        <v>43360</v>
      </c>
      <c r="C5122" t="s">
        <v>46</v>
      </c>
      <c r="D5122" t="s">
        <v>82</v>
      </c>
      <c r="E5122" t="s">
        <v>484</v>
      </c>
      <c r="F5122">
        <v>106</v>
      </c>
      <c r="G5122">
        <v>0</v>
      </c>
    </row>
    <row r="5123" spans="2:7" x14ac:dyDescent="0.25">
      <c r="B5123" s="70">
        <v>43360</v>
      </c>
      <c r="C5123" t="s">
        <v>59</v>
      </c>
      <c r="D5123" t="s">
        <v>82</v>
      </c>
      <c r="E5123" t="s">
        <v>484</v>
      </c>
      <c r="F5123">
        <v>102.36</v>
      </c>
      <c r="G5123">
        <v>0</v>
      </c>
    </row>
    <row r="5124" spans="2:7" x14ac:dyDescent="0.25">
      <c r="B5124" s="70">
        <v>43360</v>
      </c>
      <c r="C5124" t="s">
        <v>56</v>
      </c>
      <c r="D5124" t="s">
        <v>82</v>
      </c>
      <c r="E5124" t="s">
        <v>484</v>
      </c>
      <c r="F5124">
        <v>82.01</v>
      </c>
      <c r="G5124">
        <v>0</v>
      </c>
    </row>
    <row r="5125" spans="2:7" x14ac:dyDescent="0.25">
      <c r="B5125" s="70">
        <v>43360</v>
      </c>
      <c r="C5125" t="s">
        <v>21</v>
      </c>
      <c r="D5125" t="s">
        <v>79</v>
      </c>
      <c r="E5125" t="s">
        <v>484</v>
      </c>
      <c r="F5125">
        <v>8</v>
      </c>
      <c r="G5125">
        <v>0</v>
      </c>
    </row>
    <row r="5126" spans="2:7" x14ac:dyDescent="0.25">
      <c r="B5126" s="70">
        <v>43360</v>
      </c>
      <c r="C5126" t="s">
        <v>21</v>
      </c>
      <c r="D5126" t="s">
        <v>79</v>
      </c>
      <c r="E5126" t="s">
        <v>484</v>
      </c>
      <c r="F5126">
        <v>24</v>
      </c>
      <c r="G5126">
        <v>0</v>
      </c>
    </row>
    <row r="5127" spans="2:7" x14ac:dyDescent="0.25">
      <c r="B5127" s="70">
        <v>43360</v>
      </c>
      <c r="C5127" t="s">
        <v>21</v>
      </c>
      <c r="D5127" t="s">
        <v>79</v>
      </c>
      <c r="E5127" t="s">
        <v>484</v>
      </c>
      <c r="F5127">
        <v>32</v>
      </c>
      <c r="G5127">
        <v>0</v>
      </c>
    </row>
    <row r="5128" spans="2:7" x14ac:dyDescent="0.25">
      <c r="B5128" s="70">
        <v>43360</v>
      </c>
      <c r="C5128" t="s">
        <v>21</v>
      </c>
      <c r="D5128" t="s">
        <v>79</v>
      </c>
      <c r="E5128" t="s">
        <v>484</v>
      </c>
      <c r="F5128">
        <v>56</v>
      </c>
      <c r="G5128">
        <v>0</v>
      </c>
    </row>
    <row r="5129" spans="2:7" x14ac:dyDescent="0.25">
      <c r="B5129" s="70">
        <v>43360</v>
      </c>
      <c r="C5129" t="s">
        <v>48</v>
      </c>
      <c r="D5129" t="s">
        <v>79</v>
      </c>
      <c r="E5129" t="s">
        <v>484</v>
      </c>
      <c r="F5129">
        <v>40.340000000000003</v>
      </c>
      <c r="G5129">
        <v>0</v>
      </c>
    </row>
    <row r="5130" spans="2:7" x14ac:dyDescent="0.25">
      <c r="B5130" s="70">
        <v>43360</v>
      </c>
      <c r="C5130" t="s">
        <v>64</v>
      </c>
      <c r="D5130" t="s">
        <v>79</v>
      </c>
      <c r="E5130" t="s">
        <v>484</v>
      </c>
      <c r="F5130">
        <v>12</v>
      </c>
      <c r="G5130">
        <v>0</v>
      </c>
    </row>
    <row r="5131" spans="2:7" x14ac:dyDescent="0.25">
      <c r="B5131" s="70">
        <v>43360</v>
      </c>
      <c r="C5131" t="s">
        <v>64</v>
      </c>
      <c r="D5131" t="s">
        <v>82</v>
      </c>
      <c r="E5131" t="s">
        <v>484</v>
      </c>
      <c r="F5131">
        <v>10</v>
      </c>
      <c r="G5131">
        <v>0</v>
      </c>
    </row>
    <row r="5132" spans="2:7" x14ac:dyDescent="0.25">
      <c r="B5132" s="70">
        <v>43360</v>
      </c>
      <c r="C5132" t="s">
        <v>50</v>
      </c>
      <c r="D5132" t="s">
        <v>82</v>
      </c>
      <c r="E5132" t="s">
        <v>484</v>
      </c>
      <c r="F5132">
        <v>29.83</v>
      </c>
      <c r="G5132">
        <v>0</v>
      </c>
    </row>
    <row r="5133" spans="2:7" x14ac:dyDescent="0.25">
      <c r="B5133" s="70">
        <v>43360</v>
      </c>
      <c r="C5133" t="s">
        <v>24</v>
      </c>
      <c r="D5133" t="s">
        <v>79</v>
      </c>
      <c r="E5133" t="s">
        <v>484</v>
      </c>
      <c r="F5133">
        <v>8</v>
      </c>
      <c r="G5133">
        <v>0</v>
      </c>
    </row>
    <row r="5134" spans="2:7" x14ac:dyDescent="0.25">
      <c r="B5134" s="70">
        <v>43367</v>
      </c>
      <c r="C5134" t="s">
        <v>25</v>
      </c>
      <c r="D5134" t="s">
        <v>79</v>
      </c>
      <c r="E5134" t="s">
        <v>485</v>
      </c>
      <c r="F5134">
        <v>8</v>
      </c>
      <c r="G5134">
        <v>0</v>
      </c>
    </row>
    <row r="5135" spans="2:7" x14ac:dyDescent="0.25">
      <c r="B5135" s="70">
        <v>43367</v>
      </c>
      <c r="C5135" t="s">
        <v>25</v>
      </c>
      <c r="D5135" t="s">
        <v>80</v>
      </c>
      <c r="E5135" t="s">
        <v>485</v>
      </c>
      <c r="F5135">
        <v>14.19</v>
      </c>
      <c r="G5135">
        <v>0</v>
      </c>
    </row>
    <row r="5136" spans="2:7" x14ac:dyDescent="0.25">
      <c r="B5136" s="70">
        <v>43367</v>
      </c>
      <c r="C5136" t="s">
        <v>25</v>
      </c>
      <c r="D5136" t="s">
        <v>87</v>
      </c>
      <c r="E5136" t="s">
        <v>485</v>
      </c>
      <c r="F5136">
        <v>148.26</v>
      </c>
      <c r="G5136">
        <v>0</v>
      </c>
    </row>
    <row r="5137" spans="2:7" x14ac:dyDescent="0.25">
      <c r="B5137" s="70">
        <v>43367</v>
      </c>
      <c r="C5137" t="s">
        <v>25</v>
      </c>
      <c r="D5137" t="s">
        <v>87</v>
      </c>
      <c r="E5137" t="s">
        <v>485</v>
      </c>
      <c r="F5137">
        <v>22.54</v>
      </c>
      <c r="G5137">
        <v>0</v>
      </c>
    </row>
    <row r="5138" spans="2:7" x14ac:dyDescent="0.25">
      <c r="B5138" s="70">
        <v>43367</v>
      </c>
      <c r="C5138" t="s">
        <v>25</v>
      </c>
      <c r="D5138" t="s">
        <v>86</v>
      </c>
      <c r="E5138" t="s">
        <v>485</v>
      </c>
      <c r="F5138">
        <v>0</v>
      </c>
      <c r="G5138">
        <v>23</v>
      </c>
    </row>
    <row r="5139" spans="2:7" x14ac:dyDescent="0.25">
      <c r="B5139" s="70">
        <v>43367</v>
      </c>
      <c r="C5139" t="s">
        <v>25</v>
      </c>
      <c r="D5139" t="s">
        <v>81</v>
      </c>
      <c r="E5139" t="s">
        <v>197</v>
      </c>
      <c r="F5139">
        <v>2.4</v>
      </c>
      <c r="G5139">
        <v>0</v>
      </c>
    </row>
    <row r="5140" spans="2:7" x14ac:dyDescent="0.25">
      <c r="B5140" s="70">
        <v>43367</v>
      </c>
      <c r="C5140" t="s">
        <v>25</v>
      </c>
      <c r="D5140" t="s">
        <v>81</v>
      </c>
      <c r="E5140" t="s">
        <v>148</v>
      </c>
      <c r="F5140">
        <v>2.25</v>
      </c>
      <c r="G5140">
        <v>0</v>
      </c>
    </row>
    <row r="5141" spans="2:7" x14ac:dyDescent="0.25">
      <c r="B5141" s="70">
        <v>43367</v>
      </c>
      <c r="C5141" t="s">
        <v>25</v>
      </c>
      <c r="D5141" t="s">
        <v>81</v>
      </c>
      <c r="E5141" t="s">
        <v>333</v>
      </c>
      <c r="F5141">
        <v>10.5</v>
      </c>
      <c r="G5141">
        <v>0</v>
      </c>
    </row>
    <row r="5142" spans="2:7" x14ac:dyDescent="0.25">
      <c r="B5142" s="70">
        <v>43367</v>
      </c>
      <c r="C5142" t="s">
        <v>25</v>
      </c>
      <c r="D5142" t="s">
        <v>81</v>
      </c>
      <c r="E5142" t="s">
        <v>138</v>
      </c>
      <c r="F5142">
        <v>3</v>
      </c>
      <c r="G5142">
        <v>0</v>
      </c>
    </row>
    <row r="5143" spans="2:7" x14ac:dyDescent="0.25">
      <c r="B5143" s="70">
        <v>43367</v>
      </c>
      <c r="C5143" t="s">
        <v>25</v>
      </c>
      <c r="D5143" t="s">
        <v>81</v>
      </c>
      <c r="E5143" t="s">
        <v>125</v>
      </c>
      <c r="F5143">
        <v>3.5</v>
      </c>
      <c r="G5143">
        <v>0</v>
      </c>
    </row>
    <row r="5144" spans="2:7" x14ac:dyDescent="0.25">
      <c r="B5144" s="70">
        <v>43367</v>
      </c>
      <c r="C5144" t="s">
        <v>25</v>
      </c>
      <c r="D5144" t="s">
        <v>81</v>
      </c>
      <c r="E5144" t="s">
        <v>133</v>
      </c>
      <c r="F5144">
        <v>3</v>
      </c>
      <c r="G5144">
        <v>0</v>
      </c>
    </row>
    <row r="5145" spans="2:7" x14ac:dyDescent="0.25">
      <c r="B5145" s="70">
        <v>43367</v>
      </c>
      <c r="C5145" t="s">
        <v>25</v>
      </c>
      <c r="D5145" t="s">
        <v>82</v>
      </c>
      <c r="E5145" t="s">
        <v>485</v>
      </c>
      <c r="F5145">
        <v>34</v>
      </c>
      <c r="G5145">
        <v>0</v>
      </c>
    </row>
    <row r="5146" spans="2:7" x14ac:dyDescent="0.25">
      <c r="B5146" s="70">
        <v>43367</v>
      </c>
      <c r="C5146" t="s">
        <v>57</v>
      </c>
      <c r="D5146" t="s">
        <v>86</v>
      </c>
      <c r="E5146" t="s">
        <v>485</v>
      </c>
      <c r="F5146">
        <v>11.5</v>
      </c>
      <c r="G5146">
        <v>0</v>
      </c>
    </row>
    <row r="5147" spans="2:7" x14ac:dyDescent="0.25">
      <c r="B5147" s="70">
        <v>43367</v>
      </c>
      <c r="C5147" t="s">
        <v>21</v>
      </c>
      <c r="D5147" t="s">
        <v>79</v>
      </c>
      <c r="E5147" t="s">
        <v>485</v>
      </c>
      <c r="F5147">
        <v>8</v>
      </c>
      <c r="G5147">
        <v>0</v>
      </c>
    </row>
    <row r="5148" spans="2:7" x14ac:dyDescent="0.25">
      <c r="B5148" s="70">
        <v>43367</v>
      </c>
      <c r="C5148" t="s">
        <v>21</v>
      </c>
      <c r="D5148" t="s">
        <v>79</v>
      </c>
      <c r="E5148" t="s">
        <v>485</v>
      </c>
      <c r="F5148">
        <v>16</v>
      </c>
      <c r="G5148">
        <v>0</v>
      </c>
    </row>
    <row r="5149" spans="2:7" x14ac:dyDescent="0.25">
      <c r="B5149" s="70">
        <v>43367</v>
      </c>
      <c r="C5149" t="s">
        <v>21</v>
      </c>
      <c r="D5149" t="s">
        <v>79</v>
      </c>
      <c r="E5149" t="s">
        <v>485</v>
      </c>
      <c r="F5149">
        <v>24</v>
      </c>
      <c r="G5149">
        <v>0</v>
      </c>
    </row>
    <row r="5150" spans="2:7" x14ac:dyDescent="0.25">
      <c r="B5150" s="70">
        <v>43367</v>
      </c>
      <c r="C5150" t="s">
        <v>48</v>
      </c>
      <c r="D5150" t="s">
        <v>79</v>
      </c>
      <c r="E5150" t="s">
        <v>485</v>
      </c>
      <c r="F5150">
        <v>21.45</v>
      </c>
      <c r="G5150">
        <v>0</v>
      </c>
    </row>
    <row r="5151" spans="2:7" x14ac:dyDescent="0.25">
      <c r="B5151" s="70">
        <v>43367</v>
      </c>
      <c r="C5151" t="s">
        <v>48</v>
      </c>
      <c r="D5151" t="s">
        <v>80</v>
      </c>
      <c r="E5151" t="s">
        <v>485</v>
      </c>
      <c r="F5151">
        <v>15.1</v>
      </c>
      <c r="G5151">
        <v>0</v>
      </c>
    </row>
    <row r="5152" spans="2:7" x14ac:dyDescent="0.25">
      <c r="B5152" s="70">
        <v>43367</v>
      </c>
      <c r="C5152" t="s">
        <v>50</v>
      </c>
      <c r="D5152" t="s">
        <v>82</v>
      </c>
      <c r="E5152" t="s">
        <v>485</v>
      </c>
      <c r="F5152">
        <v>9.98</v>
      </c>
      <c r="G5152">
        <v>0</v>
      </c>
    </row>
    <row r="5153" spans="2:7" x14ac:dyDescent="0.25">
      <c r="B5153" s="70">
        <v>43367</v>
      </c>
      <c r="C5153" t="s">
        <v>24</v>
      </c>
      <c r="D5153" t="s">
        <v>79</v>
      </c>
      <c r="E5153" t="s">
        <v>485</v>
      </c>
      <c r="F5153">
        <v>8</v>
      </c>
      <c r="G5153">
        <v>0</v>
      </c>
    </row>
    <row r="5154" spans="2:7" x14ac:dyDescent="0.25">
      <c r="B5154" s="70">
        <v>43367</v>
      </c>
      <c r="C5154" t="s">
        <v>60</v>
      </c>
      <c r="D5154" t="s">
        <v>87</v>
      </c>
      <c r="E5154" t="s">
        <v>485</v>
      </c>
      <c r="F5154">
        <v>178.7</v>
      </c>
      <c r="G5154">
        <v>0</v>
      </c>
    </row>
    <row r="5155" spans="2:7" x14ac:dyDescent="0.25">
      <c r="B5155" s="70">
        <v>43405</v>
      </c>
      <c r="C5155" t="s">
        <v>25</v>
      </c>
      <c r="D5155" t="s">
        <v>80</v>
      </c>
      <c r="E5155" t="s">
        <v>486</v>
      </c>
      <c r="F5155">
        <v>80</v>
      </c>
      <c r="G5155">
        <v>0</v>
      </c>
    </row>
    <row r="5156" spans="2:7" x14ac:dyDescent="0.25">
      <c r="B5156" s="70">
        <v>43405</v>
      </c>
      <c r="C5156" t="s">
        <v>25</v>
      </c>
      <c r="D5156" t="s">
        <v>81</v>
      </c>
      <c r="E5156" t="s">
        <v>197</v>
      </c>
      <c r="F5156">
        <v>2.4</v>
      </c>
      <c r="G5156">
        <v>0</v>
      </c>
    </row>
    <row r="5157" spans="2:7" x14ac:dyDescent="0.25">
      <c r="B5157" s="70">
        <v>43405</v>
      </c>
      <c r="C5157" t="s">
        <v>25</v>
      </c>
      <c r="D5157" t="s">
        <v>81</v>
      </c>
      <c r="E5157" t="s">
        <v>195</v>
      </c>
      <c r="F5157">
        <v>7</v>
      </c>
      <c r="G5157">
        <v>0</v>
      </c>
    </row>
    <row r="5158" spans="2:7" x14ac:dyDescent="0.25">
      <c r="B5158" s="70">
        <v>43405</v>
      </c>
      <c r="C5158" t="s">
        <v>25</v>
      </c>
      <c r="D5158" t="s">
        <v>81</v>
      </c>
      <c r="E5158" t="s">
        <v>213</v>
      </c>
      <c r="F5158">
        <v>25</v>
      </c>
      <c r="G5158">
        <v>0</v>
      </c>
    </row>
    <row r="5159" spans="2:7" x14ac:dyDescent="0.25">
      <c r="B5159" s="70">
        <v>43405</v>
      </c>
      <c r="C5159" t="s">
        <v>46</v>
      </c>
      <c r="D5159" t="s">
        <v>79</v>
      </c>
      <c r="E5159" t="s">
        <v>486</v>
      </c>
      <c r="F5159">
        <v>116.49</v>
      </c>
      <c r="G5159">
        <v>0</v>
      </c>
    </row>
    <row r="5160" spans="2:7" x14ac:dyDescent="0.25">
      <c r="B5160" s="70">
        <v>43405</v>
      </c>
      <c r="C5160" t="s">
        <v>46</v>
      </c>
      <c r="D5160" t="s">
        <v>82</v>
      </c>
      <c r="E5160" t="s">
        <v>486</v>
      </c>
      <c r="F5160">
        <v>5.35</v>
      </c>
      <c r="G5160">
        <v>0</v>
      </c>
    </row>
    <row r="5161" spans="2:7" x14ac:dyDescent="0.25">
      <c r="B5161" s="70">
        <v>43405</v>
      </c>
      <c r="C5161" t="s">
        <v>59</v>
      </c>
      <c r="D5161" t="s">
        <v>82</v>
      </c>
      <c r="E5161" t="s">
        <v>486</v>
      </c>
      <c r="F5161">
        <v>211.02</v>
      </c>
      <c r="G5161">
        <v>0</v>
      </c>
    </row>
    <row r="5162" spans="2:7" x14ac:dyDescent="0.25">
      <c r="B5162" s="70">
        <v>43405</v>
      </c>
      <c r="C5162" t="s">
        <v>47</v>
      </c>
      <c r="D5162" t="s">
        <v>82</v>
      </c>
      <c r="E5162" t="s">
        <v>486</v>
      </c>
      <c r="F5162">
        <v>264</v>
      </c>
      <c r="G5162">
        <v>0</v>
      </c>
    </row>
    <row r="5163" spans="2:7" x14ac:dyDescent="0.25">
      <c r="B5163" s="70">
        <v>43405</v>
      </c>
      <c r="C5163" t="s">
        <v>51</v>
      </c>
      <c r="D5163" t="s">
        <v>82</v>
      </c>
      <c r="E5163" t="s">
        <v>486</v>
      </c>
      <c r="F5163">
        <v>98.86</v>
      </c>
      <c r="G5163">
        <v>0</v>
      </c>
    </row>
    <row r="5164" spans="2:7" x14ac:dyDescent="0.25">
      <c r="B5164" s="70">
        <v>43405</v>
      </c>
      <c r="C5164" t="s">
        <v>44</v>
      </c>
      <c r="D5164" t="s">
        <v>82</v>
      </c>
      <c r="E5164" t="s">
        <v>486</v>
      </c>
      <c r="F5164">
        <v>20</v>
      </c>
      <c r="G5164">
        <v>0</v>
      </c>
    </row>
    <row r="5165" spans="2:7" x14ac:dyDescent="0.25">
      <c r="B5165" s="70">
        <v>43405</v>
      </c>
      <c r="C5165" t="s">
        <v>21</v>
      </c>
      <c r="D5165" t="s">
        <v>79</v>
      </c>
      <c r="E5165" t="s">
        <v>486</v>
      </c>
      <c r="F5165">
        <v>8</v>
      </c>
      <c r="G5165">
        <v>0</v>
      </c>
    </row>
    <row r="5166" spans="2:7" x14ac:dyDescent="0.25">
      <c r="B5166" s="70">
        <v>43405</v>
      </c>
      <c r="C5166" t="s">
        <v>21</v>
      </c>
      <c r="D5166" t="s">
        <v>79</v>
      </c>
      <c r="E5166" t="s">
        <v>486</v>
      </c>
      <c r="F5166">
        <v>24</v>
      </c>
      <c r="G5166">
        <v>0</v>
      </c>
    </row>
    <row r="5167" spans="2:7" x14ac:dyDescent="0.25">
      <c r="B5167" s="70">
        <v>43405</v>
      </c>
      <c r="C5167" t="s">
        <v>21</v>
      </c>
      <c r="D5167" t="s">
        <v>82</v>
      </c>
      <c r="E5167" t="s">
        <v>486</v>
      </c>
      <c r="F5167">
        <v>90</v>
      </c>
      <c r="G5167">
        <v>0</v>
      </c>
    </row>
    <row r="5168" spans="2:7" x14ac:dyDescent="0.25">
      <c r="B5168" s="70">
        <v>43405</v>
      </c>
      <c r="C5168" t="s">
        <v>21</v>
      </c>
      <c r="D5168" t="s">
        <v>82</v>
      </c>
      <c r="E5168" t="s">
        <v>486</v>
      </c>
      <c r="F5168">
        <v>180</v>
      </c>
      <c r="G5168">
        <v>0</v>
      </c>
    </row>
    <row r="5169" spans="2:7" x14ac:dyDescent="0.25">
      <c r="B5169" s="70">
        <v>43405</v>
      </c>
      <c r="C5169" t="s">
        <v>48</v>
      </c>
      <c r="D5169" t="s">
        <v>82</v>
      </c>
      <c r="E5169" t="s">
        <v>486</v>
      </c>
      <c r="F5169">
        <v>170.6</v>
      </c>
      <c r="G5169">
        <v>0</v>
      </c>
    </row>
    <row r="5170" spans="2:7" x14ac:dyDescent="0.25">
      <c r="B5170" s="70">
        <v>43405</v>
      </c>
      <c r="C5170" t="s">
        <v>50</v>
      </c>
      <c r="D5170" t="s">
        <v>85</v>
      </c>
      <c r="E5170" t="s">
        <v>486</v>
      </c>
      <c r="F5170">
        <v>64</v>
      </c>
      <c r="G5170">
        <v>0</v>
      </c>
    </row>
    <row r="5171" spans="2:7" x14ac:dyDescent="0.25">
      <c r="B5171" s="70">
        <v>43405</v>
      </c>
      <c r="C5171" t="s">
        <v>50</v>
      </c>
      <c r="D5171" t="s">
        <v>82</v>
      </c>
      <c r="E5171" t="s">
        <v>486</v>
      </c>
      <c r="F5171">
        <v>186.89</v>
      </c>
      <c r="G5171">
        <v>0</v>
      </c>
    </row>
    <row r="5172" spans="2:7" x14ac:dyDescent="0.25">
      <c r="B5172" s="70">
        <v>43405</v>
      </c>
      <c r="C5172" t="s">
        <v>52</v>
      </c>
      <c r="D5172" t="s">
        <v>85</v>
      </c>
      <c r="E5172" t="s">
        <v>486</v>
      </c>
      <c r="F5172">
        <v>232.73</v>
      </c>
      <c r="G5172">
        <v>0</v>
      </c>
    </row>
    <row r="5173" spans="2:7" x14ac:dyDescent="0.25">
      <c r="B5173" s="70">
        <v>43405</v>
      </c>
      <c r="C5173" t="s">
        <v>52</v>
      </c>
      <c r="D5173" t="s">
        <v>82</v>
      </c>
      <c r="E5173" t="s">
        <v>486</v>
      </c>
      <c r="F5173">
        <v>25.3</v>
      </c>
      <c r="G5173">
        <v>0</v>
      </c>
    </row>
    <row r="5174" spans="2:7" x14ac:dyDescent="0.25">
      <c r="B5174" s="70">
        <v>43454</v>
      </c>
      <c r="C5174" t="s">
        <v>25</v>
      </c>
      <c r="D5174" t="s">
        <v>83</v>
      </c>
      <c r="E5174" t="s">
        <v>487</v>
      </c>
      <c r="F5174">
        <v>17.5</v>
      </c>
      <c r="G5174">
        <v>0</v>
      </c>
    </row>
    <row r="5175" spans="2:7" x14ac:dyDescent="0.25">
      <c r="B5175" s="70">
        <v>43454</v>
      </c>
      <c r="C5175" t="s">
        <v>25</v>
      </c>
      <c r="D5175" t="s">
        <v>80</v>
      </c>
      <c r="E5175" t="s">
        <v>487</v>
      </c>
      <c r="F5175">
        <v>99.5</v>
      </c>
      <c r="G5175">
        <v>0</v>
      </c>
    </row>
    <row r="5176" spans="2:7" x14ac:dyDescent="0.25">
      <c r="B5176" s="70">
        <v>43454</v>
      </c>
      <c r="C5176" t="s">
        <v>25</v>
      </c>
      <c r="D5176" t="s">
        <v>87</v>
      </c>
      <c r="E5176" t="s">
        <v>487</v>
      </c>
      <c r="F5176">
        <v>107</v>
      </c>
      <c r="G5176">
        <v>0</v>
      </c>
    </row>
    <row r="5177" spans="2:7" x14ac:dyDescent="0.25">
      <c r="B5177" s="70">
        <v>43454</v>
      </c>
      <c r="C5177" t="s">
        <v>25</v>
      </c>
      <c r="D5177" t="s">
        <v>87</v>
      </c>
      <c r="E5177" t="s">
        <v>487</v>
      </c>
      <c r="F5177">
        <v>175</v>
      </c>
      <c r="G5177">
        <v>0</v>
      </c>
    </row>
    <row r="5178" spans="2:7" x14ac:dyDescent="0.25">
      <c r="B5178" s="70">
        <v>43454</v>
      </c>
      <c r="C5178" t="s">
        <v>25</v>
      </c>
      <c r="D5178" t="s">
        <v>87</v>
      </c>
      <c r="E5178" t="s">
        <v>487</v>
      </c>
      <c r="F5178">
        <v>200</v>
      </c>
      <c r="G5178">
        <v>0</v>
      </c>
    </row>
    <row r="5179" spans="2:7" x14ac:dyDescent="0.25">
      <c r="B5179" s="70">
        <v>43454</v>
      </c>
      <c r="C5179" t="s">
        <v>25</v>
      </c>
      <c r="D5179" t="s">
        <v>87</v>
      </c>
      <c r="E5179" t="s">
        <v>487</v>
      </c>
      <c r="F5179">
        <v>86</v>
      </c>
      <c r="G5179">
        <v>0</v>
      </c>
    </row>
    <row r="5180" spans="2:7" x14ac:dyDescent="0.25">
      <c r="B5180" s="70">
        <v>43454</v>
      </c>
      <c r="C5180" t="s">
        <v>25</v>
      </c>
      <c r="D5180" t="s">
        <v>87</v>
      </c>
      <c r="E5180" t="s">
        <v>487</v>
      </c>
      <c r="F5180">
        <v>263.25</v>
      </c>
      <c r="G5180">
        <v>0</v>
      </c>
    </row>
    <row r="5181" spans="2:7" x14ac:dyDescent="0.25">
      <c r="B5181" s="70">
        <v>43454</v>
      </c>
      <c r="C5181" t="s">
        <v>25</v>
      </c>
      <c r="D5181" t="s">
        <v>87</v>
      </c>
      <c r="E5181" t="s">
        <v>487</v>
      </c>
      <c r="F5181">
        <v>389</v>
      </c>
      <c r="G5181">
        <v>0</v>
      </c>
    </row>
    <row r="5182" spans="2:7" x14ac:dyDescent="0.25">
      <c r="B5182" s="70">
        <v>43454</v>
      </c>
      <c r="C5182" t="s">
        <v>25</v>
      </c>
      <c r="D5182" t="s">
        <v>87</v>
      </c>
      <c r="E5182" t="s">
        <v>487</v>
      </c>
      <c r="F5182">
        <v>118</v>
      </c>
      <c r="G5182">
        <v>0</v>
      </c>
    </row>
    <row r="5183" spans="2:7" x14ac:dyDescent="0.25">
      <c r="B5183" s="70">
        <v>43454</v>
      </c>
      <c r="C5183" t="s">
        <v>25</v>
      </c>
      <c r="D5183" t="s">
        <v>87</v>
      </c>
      <c r="E5183" t="s">
        <v>487</v>
      </c>
      <c r="F5183">
        <v>20.94</v>
      </c>
      <c r="G5183">
        <v>0</v>
      </c>
    </row>
    <row r="5184" spans="2:7" x14ac:dyDescent="0.25">
      <c r="B5184" s="70">
        <v>43454</v>
      </c>
      <c r="C5184" t="s">
        <v>25</v>
      </c>
      <c r="D5184" t="s">
        <v>87</v>
      </c>
      <c r="E5184" t="s">
        <v>487</v>
      </c>
      <c r="F5184">
        <v>18.27</v>
      </c>
      <c r="G5184">
        <v>0</v>
      </c>
    </row>
    <row r="5185" spans="2:7" x14ac:dyDescent="0.25">
      <c r="B5185" s="70">
        <v>43454</v>
      </c>
      <c r="C5185" t="s">
        <v>25</v>
      </c>
      <c r="D5185" t="s">
        <v>87</v>
      </c>
      <c r="E5185" t="s">
        <v>487</v>
      </c>
      <c r="F5185">
        <v>187.25</v>
      </c>
      <c r="G5185">
        <v>0</v>
      </c>
    </row>
    <row r="5186" spans="2:7" x14ac:dyDescent="0.25">
      <c r="B5186" s="70">
        <v>43454</v>
      </c>
      <c r="C5186" t="s">
        <v>25</v>
      </c>
      <c r="D5186" t="s">
        <v>87</v>
      </c>
      <c r="E5186" t="s">
        <v>487</v>
      </c>
      <c r="F5186">
        <v>232.38</v>
      </c>
      <c r="G5186">
        <v>0</v>
      </c>
    </row>
    <row r="5187" spans="2:7" x14ac:dyDescent="0.25">
      <c r="B5187" s="70">
        <v>43454</v>
      </c>
      <c r="C5187" t="s">
        <v>25</v>
      </c>
      <c r="D5187" t="s">
        <v>81</v>
      </c>
      <c r="E5187" t="s">
        <v>197</v>
      </c>
      <c r="F5187">
        <v>2</v>
      </c>
      <c r="G5187">
        <v>0</v>
      </c>
    </row>
    <row r="5188" spans="2:7" x14ac:dyDescent="0.25">
      <c r="B5188" s="70">
        <v>43454</v>
      </c>
      <c r="C5188" t="s">
        <v>25</v>
      </c>
      <c r="D5188" t="s">
        <v>81</v>
      </c>
      <c r="E5188" t="s">
        <v>148</v>
      </c>
      <c r="F5188">
        <v>2.25</v>
      </c>
      <c r="G5188">
        <v>0</v>
      </c>
    </row>
    <row r="5189" spans="2:7" x14ac:dyDescent="0.25">
      <c r="B5189" s="70">
        <v>43454</v>
      </c>
      <c r="C5189" t="s">
        <v>25</v>
      </c>
      <c r="D5189" t="s">
        <v>81</v>
      </c>
      <c r="E5189" t="s">
        <v>176</v>
      </c>
      <c r="F5189">
        <v>14.55</v>
      </c>
      <c r="G5189">
        <v>0</v>
      </c>
    </row>
    <row r="5190" spans="2:7" x14ac:dyDescent="0.25">
      <c r="B5190" s="70">
        <v>43454</v>
      </c>
      <c r="C5190" t="s">
        <v>54</v>
      </c>
      <c r="D5190" t="s">
        <v>87</v>
      </c>
      <c r="E5190" t="s">
        <v>487</v>
      </c>
      <c r="F5190">
        <v>56.5</v>
      </c>
      <c r="G5190">
        <v>0</v>
      </c>
    </row>
    <row r="5191" spans="2:7" x14ac:dyDescent="0.25">
      <c r="B5191" s="70">
        <v>43454</v>
      </c>
      <c r="C5191" t="s">
        <v>46</v>
      </c>
      <c r="D5191" t="s">
        <v>79</v>
      </c>
      <c r="E5191" t="s">
        <v>487</v>
      </c>
      <c r="F5191">
        <v>10</v>
      </c>
      <c r="G5191">
        <v>0</v>
      </c>
    </row>
    <row r="5192" spans="2:7" x14ac:dyDescent="0.25">
      <c r="B5192" s="70">
        <v>43454</v>
      </c>
      <c r="C5192" t="s">
        <v>57</v>
      </c>
      <c r="D5192" t="s">
        <v>80</v>
      </c>
      <c r="E5192" t="s">
        <v>487</v>
      </c>
      <c r="F5192">
        <v>10.75</v>
      </c>
      <c r="G5192">
        <v>0</v>
      </c>
    </row>
    <row r="5193" spans="2:7" x14ac:dyDescent="0.25">
      <c r="B5193" s="70">
        <v>43454</v>
      </c>
      <c r="C5193" t="s">
        <v>44</v>
      </c>
      <c r="D5193" t="s">
        <v>87</v>
      </c>
      <c r="E5193" t="s">
        <v>487</v>
      </c>
      <c r="F5193">
        <v>2200</v>
      </c>
      <c r="G5193">
        <v>0</v>
      </c>
    </row>
    <row r="5194" spans="2:7" x14ac:dyDescent="0.25">
      <c r="B5194" s="70">
        <v>43454</v>
      </c>
      <c r="C5194" t="s">
        <v>21</v>
      </c>
      <c r="D5194" t="s">
        <v>79</v>
      </c>
      <c r="E5194" t="s">
        <v>487</v>
      </c>
      <c r="F5194">
        <v>8</v>
      </c>
      <c r="G5194">
        <v>0</v>
      </c>
    </row>
    <row r="5195" spans="2:7" x14ac:dyDescent="0.25">
      <c r="B5195" s="70">
        <v>43454</v>
      </c>
      <c r="C5195" t="s">
        <v>21</v>
      </c>
      <c r="D5195" t="s">
        <v>79</v>
      </c>
      <c r="E5195" t="s">
        <v>487</v>
      </c>
      <c r="F5195">
        <v>16</v>
      </c>
      <c r="G5195">
        <v>0</v>
      </c>
    </row>
    <row r="5196" spans="2:7" x14ac:dyDescent="0.25">
      <c r="B5196" s="70">
        <v>43454</v>
      </c>
      <c r="C5196" t="s">
        <v>21</v>
      </c>
      <c r="D5196" t="s">
        <v>79</v>
      </c>
      <c r="E5196" t="s">
        <v>487</v>
      </c>
      <c r="F5196">
        <v>24</v>
      </c>
      <c r="G5196">
        <v>0</v>
      </c>
    </row>
    <row r="5197" spans="2:7" x14ac:dyDescent="0.25">
      <c r="B5197" s="70">
        <v>43454</v>
      </c>
      <c r="C5197" t="s">
        <v>21</v>
      </c>
      <c r="D5197" t="s">
        <v>79</v>
      </c>
      <c r="E5197" t="s">
        <v>487</v>
      </c>
      <c r="F5197">
        <v>40</v>
      </c>
      <c r="G5197">
        <v>0</v>
      </c>
    </row>
    <row r="5198" spans="2:7" x14ac:dyDescent="0.25">
      <c r="B5198" s="70">
        <v>43454</v>
      </c>
      <c r="C5198" t="s">
        <v>21</v>
      </c>
      <c r="D5198" t="s">
        <v>79</v>
      </c>
      <c r="E5198" t="s">
        <v>487</v>
      </c>
      <c r="F5198">
        <v>56</v>
      </c>
      <c r="G5198">
        <v>0</v>
      </c>
    </row>
    <row r="5199" spans="2:7" x14ac:dyDescent="0.25">
      <c r="B5199" s="70">
        <v>43454</v>
      </c>
      <c r="C5199" t="s">
        <v>48</v>
      </c>
      <c r="D5199" t="s">
        <v>83</v>
      </c>
      <c r="E5199" t="s">
        <v>487</v>
      </c>
      <c r="F5199">
        <v>11</v>
      </c>
      <c r="G5199">
        <v>0</v>
      </c>
    </row>
    <row r="5200" spans="2:7" x14ac:dyDescent="0.25">
      <c r="B5200" s="70">
        <v>43454</v>
      </c>
      <c r="C5200" t="s">
        <v>48</v>
      </c>
      <c r="D5200" t="s">
        <v>87</v>
      </c>
      <c r="E5200" t="s">
        <v>487</v>
      </c>
      <c r="F5200">
        <v>112.11</v>
      </c>
      <c r="G5200">
        <v>0</v>
      </c>
    </row>
    <row r="5201" spans="2:7" x14ac:dyDescent="0.25">
      <c r="B5201" s="70">
        <v>43454</v>
      </c>
      <c r="C5201" t="s">
        <v>69</v>
      </c>
      <c r="D5201" t="s">
        <v>87</v>
      </c>
      <c r="E5201" t="s">
        <v>487</v>
      </c>
      <c r="F5201">
        <v>154.43</v>
      </c>
      <c r="G5201">
        <v>0</v>
      </c>
    </row>
    <row r="5202" spans="2:7" x14ac:dyDescent="0.25">
      <c r="B5202" s="70">
        <v>43454</v>
      </c>
      <c r="C5202" t="s">
        <v>71</v>
      </c>
      <c r="D5202" t="s">
        <v>87</v>
      </c>
      <c r="E5202" t="s">
        <v>487</v>
      </c>
      <c r="F5202">
        <v>448.21</v>
      </c>
      <c r="G5202">
        <v>0</v>
      </c>
    </row>
    <row r="5203" spans="2:7" x14ac:dyDescent="0.25">
      <c r="B5203" s="70">
        <v>43454</v>
      </c>
      <c r="C5203" t="s">
        <v>73</v>
      </c>
      <c r="D5203" t="s">
        <v>91</v>
      </c>
      <c r="E5203" t="s">
        <v>487</v>
      </c>
      <c r="F5203">
        <v>133.30000000000001</v>
      </c>
      <c r="G5203">
        <v>0</v>
      </c>
    </row>
    <row r="5204" spans="2:7" x14ac:dyDescent="0.25">
      <c r="B5204" s="70">
        <v>43454</v>
      </c>
      <c r="C5204" t="s">
        <v>24</v>
      </c>
      <c r="D5204" t="s">
        <v>79</v>
      </c>
      <c r="E5204" t="s">
        <v>487</v>
      </c>
      <c r="F5204">
        <v>8</v>
      </c>
      <c r="G5204">
        <v>0</v>
      </c>
    </row>
    <row r="5205" spans="2:7" x14ac:dyDescent="0.25">
      <c r="B5205" s="70">
        <v>43419</v>
      </c>
      <c r="C5205" t="s">
        <v>25</v>
      </c>
      <c r="D5205" t="s">
        <v>81</v>
      </c>
      <c r="E5205" t="s">
        <v>147</v>
      </c>
      <c r="F5205">
        <v>3</v>
      </c>
      <c r="G5205">
        <v>0</v>
      </c>
    </row>
    <row r="5206" spans="2:7" x14ac:dyDescent="0.25">
      <c r="B5206" s="70">
        <v>43419</v>
      </c>
      <c r="C5206" t="s">
        <v>25</v>
      </c>
      <c r="D5206" t="s">
        <v>81</v>
      </c>
      <c r="E5206" t="s">
        <v>220</v>
      </c>
      <c r="F5206">
        <v>1.8</v>
      </c>
      <c r="G5206">
        <v>0</v>
      </c>
    </row>
    <row r="5207" spans="2:7" x14ac:dyDescent="0.25">
      <c r="B5207" s="70">
        <v>43419</v>
      </c>
      <c r="C5207" t="s">
        <v>59</v>
      </c>
      <c r="D5207" t="s">
        <v>84</v>
      </c>
      <c r="E5207" t="s">
        <v>488</v>
      </c>
      <c r="F5207">
        <v>200.5</v>
      </c>
      <c r="G5207">
        <v>0</v>
      </c>
    </row>
    <row r="5208" spans="2:7" x14ac:dyDescent="0.25">
      <c r="B5208" s="70">
        <v>43419</v>
      </c>
      <c r="C5208" t="s">
        <v>21</v>
      </c>
      <c r="D5208" t="s">
        <v>79</v>
      </c>
      <c r="E5208" t="s">
        <v>488</v>
      </c>
      <c r="F5208">
        <v>16</v>
      </c>
      <c r="G5208">
        <v>0</v>
      </c>
    </row>
    <row r="5209" spans="2:7" x14ac:dyDescent="0.25">
      <c r="B5209" s="70">
        <v>43419</v>
      </c>
      <c r="C5209" t="s">
        <v>21</v>
      </c>
      <c r="D5209" t="s">
        <v>79</v>
      </c>
      <c r="E5209" t="s">
        <v>488</v>
      </c>
      <c r="F5209">
        <v>24</v>
      </c>
      <c r="G5209">
        <v>0</v>
      </c>
    </row>
    <row r="5210" spans="2:7" x14ac:dyDescent="0.25">
      <c r="B5210" s="70">
        <v>43419</v>
      </c>
      <c r="C5210" t="s">
        <v>48</v>
      </c>
      <c r="D5210" t="s">
        <v>84</v>
      </c>
      <c r="E5210" t="s">
        <v>488</v>
      </c>
      <c r="F5210">
        <v>180.2</v>
      </c>
      <c r="G5210">
        <v>0</v>
      </c>
    </row>
    <row r="5211" spans="2:7" x14ac:dyDescent="0.25">
      <c r="B5211" s="70">
        <v>43419</v>
      </c>
      <c r="C5211" t="s">
        <v>61</v>
      </c>
      <c r="D5211" t="s">
        <v>84</v>
      </c>
      <c r="E5211" t="s">
        <v>488</v>
      </c>
      <c r="F5211">
        <v>443.8</v>
      </c>
      <c r="G5211">
        <v>0</v>
      </c>
    </row>
    <row r="5212" spans="2:7" x14ac:dyDescent="0.25">
      <c r="B5212" s="70">
        <v>43419</v>
      </c>
      <c r="C5212" t="s">
        <v>414</v>
      </c>
      <c r="D5212" t="s">
        <v>80</v>
      </c>
      <c r="E5212" t="s">
        <v>488</v>
      </c>
      <c r="F5212">
        <v>246.37</v>
      </c>
      <c r="G5212">
        <v>0</v>
      </c>
    </row>
    <row r="5213" spans="2:7" x14ac:dyDescent="0.25">
      <c r="B5213" s="70">
        <v>43273</v>
      </c>
      <c r="C5213" t="s">
        <v>25</v>
      </c>
      <c r="D5213" t="s">
        <v>81</v>
      </c>
      <c r="E5213" t="s">
        <v>173</v>
      </c>
      <c r="F5213">
        <v>3.6</v>
      </c>
      <c r="G5213">
        <v>0</v>
      </c>
    </row>
    <row r="5214" spans="2:7" x14ac:dyDescent="0.25">
      <c r="B5214" s="70">
        <v>43273</v>
      </c>
      <c r="C5214" t="s">
        <v>25</v>
      </c>
      <c r="D5214" t="s">
        <v>81</v>
      </c>
      <c r="E5214" t="s">
        <v>138</v>
      </c>
      <c r="F5214">
        <v>3.5</v>
      </c>
      <c r="G5214">
        <v>0</v>
      </c>
    </row>
    <row r="5215" spans="2:7" x14ac:dyDescent="0.25">
      <c r="B5215" s="70">
        <v>43273</v>
      </c>
      <c r="C5215" t="s">
        <v>25</v>
      </c>
      <c r="D5215" t="s">
        <v>81</v>
      </c>
      <c r="E5215" t="s">
        <v>169</v>
      </c>
      <c r="F5215">
        <v>6.5</v>
      </c>
      <c r="G5215">
        <v>0</v>
      </c>
    </row>
    <row r="5216" spans="2:7" x14ac:dyDescent="0.25">
      <c r="B5216" s="70">
        <v>43273</v>
      </c>
      <c r="C5216" t="s">
        <v>46</v>
      </c>
      <c r="D5216" t="s">
        <v>82</v>
      </c>
      <c r="E5216" t="s">
        <v>489</v>
      </c>
      <c r="F5216">
        <v>139.4</v>
      </c>
      <c r="G5216">
        <v>0</v>
      </c>
    </row>
    <row r="5217" spans="2:7" x14ac:dyDescent="0.25">
      <c r="B5217" s="70">
        <v>43273</v>
      </c>
      <c r="C5217" t="s">
        <v>59</v>
      </c>
      <c r="D5217" t="s">
        <v>82</v>
      </c>
      <c r="E5217" t="s">
        <v>489</v>
      </c>
      <c r="F5217">
        <v>204.22</v>
      </c>
      <c r="G5217">
        <v>0</v>
      </c>
    </row>
    <row r="5218" spans="2:7" x14ac:dyDescent="0.25">
      <c r="B5218" s="70">
        <v>43273</v>
      </c>
      <c r="C5218" t="s">
        <v>51</v>
      </c>
      <c r="D5218" t="s">
        <v>82</v>
      </c>
      <c r="E5218" t="s">
        <v>489</v>
      </c>
      <c r="F5218">
        <v>172.7</v>
      </c>
      <c r="G5218">
        <v>0</v>
      </c>
    </row>
    <row r="5219" spans="2:7" x14ac:dyDescent="0.25">
      <c r="B5219" s="70">
        <v>43273</v>
      </c>
      <c r="C5219" t="s">
        <v>21</v>
      </c>
      <c r="D5219" t="s">
        <v>79</v>
      </c>
      <c r="E5219" t="s">
        <v>489</v>
      </c>
      <c r="F5219">
        <v>8</v>
      </c>
      <c r="G5219">
        <v>0</v>
      </c>
    </row>
    <row r="5220" spans="2:7" x14ac:dyDescent="0.25">
      <c r="B5220" s="70">
        <v>43273</v>
      </c>
      <c r="C5220" t="s">
        <v>48</v>
      </c>
      <c r="D5220" t="s">
        <v>82</v>
      </c>
      <c r="E5220" t="s">
        <v>489</v>
      </c>
      <c r="F5220">
        <v>326.42</v>
      </c>
      <c r="G5220">
        <v>0</v>
      </c>
    </row>
    <row r="5221" spans="2:7" x14ac:dyDescent="0.25">
      <c r="B5221" s="70">
        <v>43273</v>
      </c>
      <c r="C5221" t="s">
        <v>49</v>
      </c>
      <c r="D5221" t="s">
        <v>82</v>
      </c>
      <c r="E5221" t="s">
        <v>489</v>
      </c>
      <c r="F5221">
        <v>8</v>
      </c>
      <c r="G5221">
        <v>0</v>
      </c>
    </row>
    <row r="5222" spans="2:7" x14ac:dyDescent="0.25">
      <c r="B5222" s="70">
        <v>43273</v>
      </c>
      <c r="C5222" t="s">
        <v>50</v>
      </c>
      <c r="D5222" t="s">
        <v>82</v>
      </c>
      <c r="E5222" t="s">
        <v>489</v>
      </c>
      <c r="F5222">
        <v>12.6</v>
      </c>
      <c r="G5222">
        <v>0</v>
      </c>
    </row>
    <row r="5223" spans="2:7" x14ac:dyDescent="0.25">
      <c r="B5223" s="70">
        <v>43273</v>
      </c>
      <c r="C5223" t="s">
        <v>53</v>
      </c>
      <c r="D5223" t="s">
        <v>82</v>
      </c>
      <c r="E5223" t="s">
        <v>489</v>
      </c>
      <c r="F5223">
        <v>392.89</v>
      </c>
      <c r="G5223">
        <v>0</v>
      </c>
    </row>
    <row r="5224" spans="2:7" x14ac:dyDescent="0.25">
      <c r="B5224" s="70">
        <v>43273</v>
      </c>
      <c r="C5224" t="s">
        <v>60</v>
      </c>
      <c r="D5224" t="s">
        <v>85</v>
      </c>
      <c r="E5224" t="s">
        <v>489</v>
      </c>
      <c r="F5224">
        <v>76</v>
      </c>
      <c r="G5224">
        <v>0</v>
      </c>
    </row>
    <row r="5225" spans="2:7" x14ac:dyDescent="0.25">
      <c r="B5225" s="70">
        <v>43287</v>
      </c>
      <c r="C5225" t="s">
        <v>25</v>
      </c>
      <c r="D5225" t="s">
        <v>79</v>
      </c>
      <c r="E5225" t="s">
        <v>490</v>
      </c>
      <c r="F5225">
        <v>8</v>
      </c>
      <c r="G5225">
        <v>0</v>
      </c>
    </row>
    <row r="5226" spans="2:7" x14ac:dyDescent="0.25">
      <c r="B5226" s="70">
        <v>43287</v>
      </c>
      <c r="C5226" t="s">
        <v>25</v>
      </c>
      <c r="D5226" t="s">
        <v>85</v>
      </c>
      <c r="E5226" t="s">
        <v>490</v>
      </c>
      <c r="F5226">
        <v>47.95</v>
      </c>
      <c r="G5226">
        <v>0</v>
      </c>
    </row>
    <row r="5227" spans="2:7" x14ac:dyDescent="0.25">
      <c r="B5227" s="70">
        <v>43287</v>
      </c>
      <c r="C5227" t="s">
        <v>25</v>
      </c>
      <c r="D5227" t="s">
        <v>85</v>
      </c>
      <c r="E5227" t="s">
        <v>490</v>
      </c>
      <c r="F5227">
        <v>16.850000000000001</v>
      </c>
      <c r="G5227">
        <v>0</v>
      </c>
    </row>
    <row r="5228" spans="2:7" x14ac:dyDescent="0.25">
      <c r="B5228" s="70">
        <v>43287</v>
      </c>
      <c r="C5228" t="s">
        <v>25</v>
      </c>
      <c r="D5228" t="s">
        <v>81</v>
      </c>
      <c r="E5228" t="s">
        <v>144</v>
      </c>
      <c r="F5228">
        <v>5.9</v>
      </c>
      <c r="G5228">
        <v>0</v>
      </c>
    </row>
    <row r="5229" spans="2:7" x14ac:dyDescent="0.25">
      <c r="B5229" s="70">
        <v>43287</v>
      </c>
      <c r="C5229" t="s">
        <v>25</v>
      </c>
      <c r="D5229" t="s">
        <v>81</v>
      </c>
      <c r="E5229" t="s">
        <v>333</v>
      </c>
      <c r="F5229">
        <v>4.5</v>
      </c>
      <c r="G5229">
        <v>0</v>
      </c>
    </row>
    <row r="5230" spans="2:7" x14ac:dyDescent="0.25">
      <c r="B5230" s="70">
        <v>43287</v>
      </c>
      <c r="C5230" t="s">
        <v>25</v>
      </c>
      <c r="D5230" t="s">
        <v>81</v>
      </c>
      <c r="E5230" t="s">
        <v>138</v>
      </c>
      <c r="F5230">
        <v>1.8</v>
      </c>
      <c r="G5230">
        <v>0</v>
      </c>
    </row>
    <row r="5231" spans="2:7" x14ac:dyDescent="0.25">
      <c r="B5231" s="70">
        <v>43287</v>
      </c>
      <c r="C5231" t="s">
        <v>25</v>
      </c>
      <c r="D5231" t="s">
        <v>81</v>
      </c>
      <c r="E5231" t="s">
        <v>139</v>
      </c>
      <c r="F5231">
        <v>2.4</v>
      </c>
      <c r="G5231">
        <v>0</v>
      </c>
    </row>
    <row r="5232" spans="2:7" x14ac:dyDescent="0.25">
      <c r="B5232" s="70">
        <v>43287</v>
      </c>
      <c r="C5232" t="s">
        <v>25</v>
      </c>
      <c r="D5232" t="s">
        <v>81</v>
      </c>
      <c r="E5232" t="s">
        <v>140</v>
      </c>
      <c r="F5232">
        <v>9.1999999999999993</v>
      </c>
      <c r="G5232">
        <v>0</v>
      </c>
    </row>
    <row r="5233" spans="2:7" x14ac:dyDescent="0.25">
      <c r="B5233" s="70">
        <v>43287</v>
      </c>
      <c r="C5233" t="s">
        <v>25</v>
      </c>
      <c r="D5233" t="s">
        <v>81</v>
      </c>
      <c r="E5233" t="s">
        <v>202</v>
      </c>
      <c r="F5233">
        <v>7.35</v>
      </c>
      <c r="G5233">
        <v>0</v>
      </c>
    </row>
    <row r="5234" spans="2:7" x14ac:dyDescent="0.25">
      <c r="B5234" s="70">
        <v>43287</v>
      </c>
      <c r="C5234" t="s">
        <v>46</v>
      </c>
      <c r="D5234" t="s">
        <v>82</v>
      </c>
      <c r="E5234" t="s">
        <v>490</v>
      </c>
      <c r="F5234">
        <v>19.239999999999998</v>
      </c>
      <c r="G5234">
        <v>0</v>
      </c>
    </row>
    <row r="5235" spans="2:7" x14ac:dyDescent="0.25">
      <c r="B5235" s="70">
        <v>43287</v>
      </c>
      <c r="C5235" t="s">
        <v>51</v>
      </c>
      <c r="D5235" t="s">
        <v>82</v>
      </c>
      <c r="E5235" t="s">
        <v>490</v>
      </c>
      <c r="F5235">
        <v>54.4</v>
      </c>
      <c r="G5235">
        <v>0</v>
      </c>
    </row>
    <row r="5236" spans="2:7" x14ac:dyDescent="0.25">
      <c r="B5236" s="70">
        <v>43287</v>
      </c>
      <c r="C5236" t="s">
        <v>44</v>
      </c>
      <c r="D5236" t="s">
        <v>79</v>
      </c>
      <c r="E5236" t="s">
        <v>490</v>
      </c>
      <c r="F5236">
        <v>8.9</v>
      </c>
      <c r="G5236">
        <v>0</v>
      </c>
    </row>
    <row r="5237" spans="2:7" x14ac:dyDescent="0.25">
      <c r="B5237" s="70">
        <v>43287</v>
      </c>
      <c r="C5237" t="s">
        <v>44</v>
      </c>
      <c r="D5237" t="s">
        <v>82</v>
      </c>
      <c r="E5237" t="s">
        <v>490</v>
      </c>
      <c r="F5237">
        <v>12.84</v>
      </c>
      <c r="G5237">
        <v>0</v>
      </c>
    </row>
    <row r="5238" spans="2:7" x14ac:dyDescent="0.25">
      <c r="B5238" s="70">
        <v>43287</v>
      </c>
      <c r="C5238" t="s">
        <v>21</v>
      </c>
      <c r="D5238" t="s">
        <v>79</v>
      </c>
      <c r="E5238" t="s">
        <v>490</v>
      </c>
      <c r="F5238">
        <v>8</v>
      </c>
      <c r="G5238">
        <v>0</v>
      </c>
    </row>
    <row r="5239" spans="2:7" x14ac:dyDescent="0.25">
      <c r="B5239" s="70">
        <v>43287</v>
      </c>
      <c r="C5239" t="s">
        <v>21</v>
      </c>
      <c r="D5239" t="s">
        <v>79</v>
      </c>
      <c r="E5239" t="s">
        <v>490</v>
      </c>
      <c r="F5239">
        <v>16</v>
      </c>
      <c r="G5239">
        <v>0</v>
      </c>
    </row>
    <row r="5240" spans="2:7" x14ac:dyDescent="0.25">
      <c r="B5240" s="70">
        <v>43287</v>
      </c>
      <c r="C5240" t="s">
        <v>21</v>
      </c>
      <c r="D5240" t="s">
        <v>79</v>
      </c>
      <c r="E5240" t="s">
        <v>490</v>
      </c>
      <c r="F5240">
        <v>24</v>
      </c>
      <c r="G5240">
        <v>0</v>
      </c>
    </row>
    <row r="5241" spans="2:7" x14ac:dyDescent="0.25">
      <c r="B5241" s="70">
        <v>43287</v>
      </c>
      <c r="C5241" t="s">
        <v>21</v>
      </c>
      <c r="D5241" t="s">
        <v>79</v>
      </c>
      <c r="E5241" t="s">
        <v>490</v>
      </c>
      <c r="F5241">
        <v>48</v>
      </c>
      <c r="G5241">
        <v>0</v>
      </c>
    </row>
    <row r="5242" spans="2:7" x14ac:dyDescent="0.25">
      <c r="B5242" s="70">
        <v>43287</v>
      </c>
      <c r="C5242" t="s">
        <v>21</v>
      </c>
      <c r="D5242" t="s">
        <v>79</v>
      </c>
      <c r="E5242" t="s">
        <v>490</v>
      </c>
      <c r="F5242">
        <v>80</v>
      </c>
      <c r="G5242">
        <v>0</v>
      </c>
    </row>
    <row r="5243" spans="2:7" x14ac:dyDescent="0.25">
      <c r="B5243" s="70">
        <v>43287</v>
      </c>
      <c r="C5243" t="s">
        <v>21</v>
      </c>
      <c r="D5243" t="s">
        <v>82</v>
      </c>
      <c r="E5243" t="s">
        <v>490</v>
      </c>
      <c r="F5243">
        <v>147.9</v>
      </c>
      <c r="G5243">
        <v>0</v>
      </c>
    </row>
    <row r="5244" spans="2:7" x14ac:dyDescent="0.25">
      <c r="B5244" s="70">
        <v>43287</v>
      </c>
      <c r="C5244" t="s">
        <v>48</v>
      </c>
      <c r="D5244" t="s">
        <v>82</v>
      </c>
      <c r="E5244" t="s">
        <v>490</v>
      </c>
      <c r="F5244">
        <v>62.7</v>
      </c>
      <c r="G5244">
        <v>0</v>
      </c>
    </row>
    <row r="5245" spans="2:7" x14ac:dyDescent="0.25">
      <c r="B5245" s="70">
        <v>43287</v>
      </c>
      <c r="C5245" t="s">
        <v>48</v>
      </c>
      <c r="D5245" t="s">
        <v>84</v>
      </c>
      <c r="E5245" t="s">
        <v>490</v>
      </c>
      <c r="F5245">
        <v>185.5</v>
      </c>
      <c r="G5245">
        <v>0</v>
      </c>
    </row>
    <row r="5246" spans="2:7" x14ac:dyDescent="0.25">
      <c r="B5246" s="70">
        <v>43287</v>
      </c>
      <c r="C5246" t="s">
        <v>75</v>
      </c>
      <c r="D5246" t="s">
        <v>85</v>
      </c>
      <c r="E5246" t="s">
        <v>490</v>
      </c>
      <c r="F5246">
        <v>52</v>
      </c>
      <c r="G5246">
        <v>0</v>
      </c>
    </row>
    <row r="5247" spans="2:7" x14ac:dyDescent="0.25">
      <c r="B5247" s="70">
        <v>43287</v>
      </c>
      <c r="C5247" t="s">
        <v>58</v>
      </c>
      <c r="D5247" t="s">
        <v>82</v>
      </c>
      <c r="E5247" t="s">
        <v>490</v>
      </c>
      <c r="F5247">
        <v>156.66</v>
      </c>
      <c r="G5247">
        <v>0</v>
      </c>
    </row>
    <row r="5248" spans="2:7" x14ac:dyDescent="0.25">
      <c r="B5248" s="70">
        <v>43287</v>
      </c>
      <c r="C5248" t="s">
        <v>58</v>
      </c>
      <c r="D5248" t="s">
        <v>84</v>
      </c>
      <c r="E5248" t="s">
        <v>490</v>
      </c>
      <c r="F5248">
        <v>217.6</v>
      </c>
      <c r="G5248">
        <v>0</v>
      </c>
    </row>
    <row r="5249" spans="2:7" x14ac:dyDescent="0.25">
      <c r="B5249" s="70">
        <v>43287</v>
      </c>
      <c r="C5249" t="s">
        <v>53</v>
      </c>
      <c r="D5249" t="s">
        <v>84</v>
      </c>
      <c r="E5249" t="s">
        <v>490</v>
      </c>
      <c r="F5249">
        <v>43.49</v>
      </c>
      <c r="G5249">
        <v>0</v>
      </c>
    </row>
    <row r="5250" spans="2:7" x14ac:dyDescent="0.25">
      <c r="B5250" s="70">
        <v>43287</v>
      </c>
      <c r="C5250" t="s">
        <v>65</v>
      </c>
      <c r="D5250" t="s">
        <v>79</v>
      </c>
      <c r="E5250" t="s">
        <v>490</v>
      </c>
      <c r="F5250">
        <v>32.049999999999997</v>
      </c>
      <c r="G5250">
        <v>0</v>
      </c>
    </row>
    <row r="5251" spans="2:7" x14ac:dyDescent="0.25">
      <c r="B5251" s="70">
        <v>43287</v>
      </c>
      <c r="C5251" t="s">
        <v>24</v>
      </c>
      <c r="D5251" t="s">
        <v>79</v>
      </c>
      <c r="E5251" t="s">
        <v>490</v>
      </c>
      <c r="F5251">
        <v>8</v>
      </c>
      <c r="G5251">
        <v>0</v>
      </c>
    </row>
    <row r="5252" spans="2:7" x14ac:dyDescent="0.25">
      <c r="B5252" s="70">
        <v>43312</v>
      </c>
      <c r="C5252" t="s">
        <v>25</v>
      </c>
      <c r="D5252" t="s">
        <v>79</v>
      </c>
      <c r="E5252" t="s">
        <v>491</v>
      </c>
      <c r="F5252">
        <v>8</v>
      </c>
      <c r="G5252">
        <v>0</v>
      </c>
    </row>
    <row r="5253" spans="2:7" x14ac:dyDescent="0.25">
      <c r="B5253" s="70">
        <v>43312</v>
      </c>
      <c r="C5253" t="s">
        <v>25</v>
      </c>
      <c r="D5253" t="s">
        <v>81</v>
      </c>
      <c r="E5253" t="s">
        <v>138</v>
      </c>
      <c r="F5253">
        <v>9.1999999999999993</v>
      </c>
      <c r="G5253">
        <v>0</v>
      </c>
    </row>
    <row r="5254" spans="2:7" x14ac:dyDescent="0.25">
      <c r="B5254" s="70">
        <v>43312</v>
      </c>
      <c r="C5254" t="s">
        <v>25</v>
      </c>
      <c r="D5254" t="s">
        <v>81</v>
      </c>
      <c r="E5254" t="s">
        <v>150</v>
      </c>
      <c r="F5254">
        <v>13</v>
      </c>
      <c r="G5254">
        <v>0</v>
      </c>
    </row>
    <row r="5255" spans="2:7" x14ac:dyDescent="0.25">
      <c r="B5255" s="70">
        <v>43312</v>
      </c>
      <c r="C5255" t="s">
        <v>25</v>
      </c>
      <c r="D5255" t="s">
        <v>81</v>
      </c>
      <c r="E5255" t="s">
        <v>154</v>
      </c>
      <c r="F5255">
        <v>2.25</v>
      </c>
      <c r="G5255">
        <v>0</v>
      </c>
    </row>
    <row r="5256" spans="2:7" x14ac:dyDescent="0.25">
      <c r="B5256" s="70">
        <v>43364</v>
      </c>
      <c r="C5256" t="s">
        <v>25</v>
      </c>
      <c r="D5256" t="s">
        <v>81</v>
      </c>
      <c r="E5256" t="s">
        <v>131</v>
      </c>
      <c r="F5256">
        <v>4.2</v>
      </c>
      <c r="G5256">
        <v>0</v>
      </c>
    </row>
    <row r="5257" spans="2:7" x14ac:dyDescent="0.25">
      <c r="B5257" s="70">
        <v>43364</v>
      </c>
      <c r="C5257" t="s">
        <v>25</v>
      </c>
      <c r="D5257" t="s">
        <v>81</v>
      </c>
      <c r="E5257" t="s">
        <v>138</v>
      </c>
      <c r="F5257">
        <v>3</v>
      </c>
      <c r="G5257">
        <v>0</v>
      </c>
    </row>
    <row r="5258" spans="2:7" x14ac:dyDescent="0.25">
      <c r="B5258" s="70">
        <v>43364</v>
      </c>
      <c r="C5258" t="s">
        <v>25</v>
      </c>
      <c r="D5258" t="s">
        <v>81</v>
      </c>
      <c r="E5258" t="s">
        <v>161</v>
      </c>
      <c r="F5258">
        <v>17.399999999999999</v>
      </c>
      <c r="G5258">
        <v>0</v>
      </c>
    </row>
    <row r="5259" spans="2:7" x14ac:dyDescent="0.25">
      <c r="B5259" s="70">
        <v>43364</v>
      </c>
      <c r="C5259" t="s">
        <v>25</v>
      </c>
      <c r="D5259" t="s">
        <v>81</v>
      </c>
      <c r="E5259" t="s">
        <v>133</v>
      </c>
      <c r="F5259">
        <v>3</v>
      </c>
      <c r="G5259">
        <v>0</v>
      </c>
    </row>
    <row r="5260" spans="2:7" x14ac:dyDescent="0.25">
      <c r="B5260" s="70">
        <v>43364</v>
      </c>
      <c r="C5260" t="s">
        <v>25</v>
      </c>
      <c r="D5260" t="s">
        <v>82</v>
      </c>
      <c r="E5260" t="s">
        <v>492</v>
      </c>
      <c r="F5260">
        <v>132</v>
      </c>
      <c r="G5260">
        <v>0</v>
      </c>
    </row>
    <row r="5261" spans="2:7" x14ac:dyDescent="0.25">
      <c r="B5261" s="70">
        <v>43364</v>
      </c>
      <c r="C5261" t="s">
        <v>21</v>
      </c>
      <c r="D5261" t="s">
        <v>79</v>
      </c>
      <c r="E5261" t="s">
        <v>492</v>
      </c>
      <c r="F5261">
        <v>8</v>
      </c>
      <c r="G5261">
        <v>0</v>
      </c>
    </row>
    <row r="5262" spans="2:7" x14ac:dyDescent="0.25">
      <c r="B5262" s="70">
        <v>43364</v>
      </c>
      <c r="C5262" t="s">
        <v>21</v>
      </c>
      <c r="D5262" t="s">
        <v>79</v>
      </c>
      <c r="E5262" t="s">
        <v>492</v>
      </c>
      <c r="F5262">
        <v>16</v>
      </c>
      <c r="G5262">
        <v>0</v>
      </c>
    </row>
    <row r="5263" spans="2:7" x14ac:dyDescent="0.25">
      <c r="B5263" s="70">
        <v>43364</v>
      </c>
      <c r="C5263" t="s">
        <v>21</v>
      </c>
      <c r="D5263" t="s">
        <v>79</v>
      </c>
      <c r="E5263" t="s">
        <v>492</v>
      </c>
      <c r="F5263">
        <v>32</v>
      </c>
      <c r="G5263">
        <v>0</v>
      </c>
    </row>
    <row r="5264" spans="2:7" x14ac:dyDescent="0.25">
      <c r="B5264" s="70">
        <v>43364</v>
      </c>
      <c r="C5264" t="s">
        <v>66</v>
      </c>
      <c r="D5264" t="s">
        <v>82</v>
      </c>
      <c r="E5264" t="s">
        <v>492</v>
      </c>
      <c r="F5264">
        <v>371</v>
      </c>
      <c r="G5264">
        <v>0</v>
      </c>
    </row>
    <row r="5265" spans="2:7" x14ac:dyDescent="0.25">
      <c r="B5265" s="70">
        <v>43364</v>
      </c>
      <c r="C5265" t="s">
        <v>50</v>
      </c>
      <c r="D5265" t="s">
        <v>79</v>
      </c>
      <c r="E5265" t="s">
        <v>492</v>
      </c>
      <c r="F5265">
        <v>25</v>
      </c>
      <c r="G5265">
        <v>0</v>
      </c>
    </row>
    <row r="5266" spans="2:7" x14ac:dyDescent="0.25">
      <c r="B5266" s="70">
        <v>43364</v>
      </c>
      <c r="C5266" t="s">
        <v>58</v>
      </c>
      <c r="D5266" t="s">
        <v>84</v>
      </c>
      <c r="E5266" t="s">
        <v>492</v>
      </c>
      <c r="F5266">
        <v>35</v>
      </c>
      <c r="G5266">
        <v>0</v>
      </c>
    </row>
    <row r="5267" spans="2:7" x14ac:dyDescent="0.25">
      <c r="B5267" s="70">
        <v>43371</v>
      </c>
      <c r="C5267" t="s">
        <v>25</v>
      </c>
      <c r="D5267" t="s">
        <v>83</v>
      </c>
      <c r="E5267" t="s">
        <v>493</v>
      </c>
      <c r="F5267">
        <v>0</v>
      </c>
      <c r="G5267">
        <v>73.790000000000006</v>
      </c>
    </row>
    <row r="5268" spans="2:7" x14ac:dyDescent="0.25">
      <c r="B5268" s="70">
        <v>43371</v>
      </c>
      <c r="C5268" t="s">
        <v>25</v>
      </c>
      <c r="D5268" t="s">
        <v>81</v>
      </c>
      <c r="E5268" t="s">
        <v>138</v>
      </c>
      <c r="F5268">
        <v>2.4</v>
      </c>
      <c r="G5268">
        <v>0</v>
      </c>
    </row>
    <row r="5269" spans="2:7" x14ac:dyDescent="0.25">
      <c r="B5269" s="70">
        <v>43371</v>
      </c>
      <c r="C5269" t="s">
        <v>25</v>
      </c>
      <c r="D5269" t="s">
        <v>81</v>
      </c>
      <c r="E5269" t="s">
        <v>164</v>
      </c>
      <c r="F5269">
        <v>4</v>
      </c>
      <c r="G5269">
        <v>0</v>
      </c>
    </row>
    <row r="5270" spans="2:7" x14ac:dyDescent="0.25">
      <c r="B5270" s="70">
        <v>43371</v>
      </c>
      <c r="C5270" t="s">
        <v>25</v>
      </c>
      <c r="D5270" t="s">
        <v>81</v>
      </c>
      <c r="E5270" t="s">
        <v>209</v>
      </c>
      <c r="F5270">
        <v>2.65</v>
      </c>
      <c r="G5270">
        <v>0</v>
      </c>
    </row>
    <row r="5271" spans="2:7" x14ac:dyDescent="0.25">
      <c r="B5271" s="70">
        <v>43371</v>
      </c>
      <c r="C5271" t="s">
        <v>43</v>
      </c>
      <c r="D5271" t="s">
        <v>83</v>
      </c>
      <c r="E5271" t="s">
        <v>493</v>
      </c>
      <c r="F5271">
        <v>73.790000000000006</v>
      </c>
      <c r="G5271">
        <v>0</v>
      </c>
    </row>
    <row r="5272" spans="2:7" x14ac:dyDescent="0.25">
      <c r="B5272" s="70">
        <v>43371</v>
      </c>
      <c r="C5272" t="s">
        <v>55</v>
      </c>
      <c r="D5272" t="s">
        <v>83</v>
      </c>
      <c r="E5272" t="s">
        <v>493</v>
      </c>
      <c r="F5272">
        <v>0</v>
      </c>
      <c r="G5272">
        <v>0.01</v>
      </c>
    </row>
    <row r="5273" spans="2:7" x14ac:dyDescent="0.25">
      <c r="B5273" s="70">
        <v>43371</v>
      </c>
      <c r="C5273" t="s">
        <v>55</v>
      </c>
      <c r="D5273" t="s">
        <v>83</v>
      </c>
      <c r="E5273" t="s">
        <v>493</v>
      </c>
      <c r="F5273">
        <v>0.01</v>
      </c>
      <c r="G5273">
        <v>0</v>
      </c>
    </row>
    <row r="5274" spans="2:7" x14ac:dyDescent="0.25">
      <c r="B5274" s="70">
        <v>43371</v>
      </c>
      <c r="C5274" t="s">
        <v>45</v>
      </c>
      <c r="D5274" t="s">
        <v>86</v>
      </c>
      <c r="E5274" t="s">
        <v>493</v>
      </c>
      <c r="F5274">
        <v>0</v>
      </c>
      <c r="G5274">
        <v>152.5</v>
      </c>
    </row>
    <row r="5275" spans="2:7" x14ac:dyDescent="0.25">
      <c r="B5275" s="70">
        <v>43371</v>
      </c>
      <c r="C5275" t="s">
        <v>65</v>
      </c>
      <c r="D5275" t="s">
        <v>86</v>
      </c>
      <c r="E5275" t="s">
        <v>493</v>
      </c>
      <c r="F5275">
        <v>152.5</v>
      </c>
      <c r="G5275">
        <v>0</v>
      </c>
    </row>
    <row r="5276" spans="2:7" x14ac:dyDescent="0.25">
      <c r="B5276" s="70">
        <v>43438</v>
      </c>
      <c r="C5276" t="s">
        <v>25</v>
      </c>
      <c r="D5276" t="s">
        <v>83</v>
      </c>
      <c r="E5276" t="s">
        <v>494</v>
      </c>
      <c r="F5276">
        <v>46.98</v>
      </c>
      <c r="G5276">
        <v>0</v>
      </c>
    </row>
    <row r="5277" spans="2:7" x14ac:dyDescent="0.25">
      <c r="B5277" s="70">
        <v>43438</v>
      </c>
      <c r="C5277" t="s">
        <v>25</v>
      </c>
      <c r="D5277" t="s">
        <v>83</v>
      </c>
      <c r="E5277" t="s">
        <v>494</v>
      </c>
      <c r="F5277">
        <v>49.2</v>
      </c>
      <c r="G5277">
        <v>0</v>
      </c>
    </row>
    <row r="5278" spans="2:7" x14ac:dyDescent="0.25">
      <c r="B5278" s="70">
        <v>43438</v>
      </c>
      <c r="C5278" t="s">
        <v>25</v>
      </c>
      <c r="D5278" t="s">
        <v>80</v>
      </c>
      <c r="E5278" t="s">
        <v>494</v>
      </c>
      <c r="F5278">
        <v>27</v>
      </c>
      <c r="G5278">
        <v>0</v>
      </c>
    </row>
    <row r="5279" spans="2:7" x14ac:dyDescent="0.25">
      <c r="B5279" s="70">
        <v>43438</v>
      </c>
      <c r="C5279" t="s">
        <v>25</v>
      </c>
      <c r="D5279" t="s">
        <v>80</v>
      </c>
      <c r="E5279" t="s">
        <v>494</v>
      </c>
      <c r="F5279">
        <v>171.2</v>
      </c>
      <c r="G5279">
        <v>0</v>
      </c>
    </row>
    <row r="5280" spans="2:7" x14ac:dyDescent="0.25">
      <c r="B5280" s="70">
        <v>43438</v>
      </c>
      <c r="C5280" t="s">
        <v>25</v>
      </c>
      <c r="D5280" t="s">
        <v>80</v>
      </c>
      <c r="E5280" t="s">
        <v>494</v>
      </c>
      <c r="F5280">
        <v>104.5</v>
      </c>
      <c r="G5280">
        <v>0</v>
      </c>
    </row>
    <row r="5281" spans="2:7" x14ac:dyDescent="0.25">
      <c r="B5281" s="70">
        <v>43438</v>
      </c>
      <c r="C5281" t="s">
        <v>25</v>
      </c>
      <c r="D5281" t="s">
        <v>87</v>
      </c>
      <c r="E5281" t="s">
        <v>494</v>
      </c>
      <c r="F5281">
        <v>43.7</v>
      </c>
      <c r="G5281">
        <v>0</v>
      </c>
    </row>
    <row r="5282" spans="2:7" x14ac:dyDescent="0.25">
      <c r="B5282" s="70">
        <v>43438</v>
      </c>
      <c r="C5282" t="s">
        <v>25</v>
      </c>
      <c r="D5282" t="s">
        <v>87</v>
      </c>
      <c r="E5282" t="s">
        <v>494</v>
      </c>
      <c r="F5282">
        <v>79.75</v>
      </c>
      <c r="G5282">
        <v>0</v>
      </c>
    </row>
    <row r="5283" spans="2:7" x14ac:dyDescent="0.25">
      <c r="B5283" s="70">
        <v>43438</v>
      </c>
      <c r="C5283" t="s">
        <v>25</v>
      </c>
      <c r="D5283" t="s">
        <v>87</v>
      </c>
      <c r="E5283" t="s">
        <v>494</v>
      </c>
      <c r="F5283">
        <v>70.86</v>
      </c>
      <c r="G5283">
        <v>0</v>
      </c>
    </row>
    <row r="5284" spans="2:7" x14ac:dyDescent="0.25">
      <c r="B5284" s="70">
        <v>43438</v>
      </c>
      <c r="C5284" t="s">
        <v>25</v>
      </c>
      <c r="D5284" t="s">
        <v>87</v>
      </c>
      <c r="E5284" t="s">
        <v>494</v>
      </c>
      <c r="F5284">
        <v>20.82</v>
      </c>
      <c r="G5284">
        <v>0</v>
      </c>
    </row>
    <row r="5285" spans="2:7" x14ac:dyDescent="0.25">
      <c r="B5285" s="70">
        <v>43438</v>
      </c>
      <c r="C5285" t="s">
        <v>25</v>
      </c>
      <c r="D5285" t="s">
        <v>87</v>
      </c>
      <c r="E5285" t="s">
        <v>494</v>
      </c>
      <c r="F5285">
        <v>24.11</v>
      </c>
      <c r="G5285">
        <v>0</v>
      </c>
    </row>
    <row r="5286" spans="2:7" x14ac:dyDescent="0.25">
      <c r="B5286" s="70">
        <v>43438</v>
      </c>
      <c r="C5286" t="s">
        <v>25</v>
      </c>
      <c r="D5286" t="s">
        <v>86</v>
      </c>
      <c r="E5286" t="s">
        <v>494</v>
      </c>
      <c r="F5286">
        <v>42.84</v>
      </c>
      <c r="G5286">
        <v>0</v>
      </c>
    </row>
    <row r="5287" spans="2:7" x14ac:dyDescent="0.25">
      <c r="B5287" s="70">
        <v>43438</v>
      </c>
      <c r="C5287" t="s">
        <v>25</v>
      </c>
      <c r="D5287" t="s">
        <v>81</v>
      </c>
      <c r="E5287" t="s">
        <v>138</v>
      </c>
      <c r="F5287">
        <v>1.8</v>
      </c>
      <c r="G5287">
        <v>0</v>
      </c>
    </row>
    <row r="5288" spans="2:7" x14ac:dyDescent="0.25">
      <c r="B5288" s="70">
        <v>43438</v>
      </c>
      <c r="C5288" t="s">
        <v>25</v>
      </c>
      <c r="D5288" t="s">
        <v>82</v>
      </c>
      <c r="E5288" t="s">
        <v>494</v>
      </c>
      <c r="F5288">
        <v>264</v>
      </c>
      <c r="G5288">
        <v>0</v>
      </c>
    </row>
    <row r="5289" spans="2:7" x14ac:dyDescent="0.25">
      <c r="B5289" s="70">
        <v>43438</v>
      </c>
      <c r="C5289" t="s">
        <v>54</v>
      </c>
      <c r="D5289" t="s">
        <v>85</v>
      </c>
      <c r="E5289" t="s">
        <v>494</v>
      </c>
      <c r="F5289">
        <v>282.94</v>
      </c>
      <c r="G5289">
        <v>0</v>
      </c>
    </row>
    <row r="5290" spans="2:7" x14ac:dyDescent="0.25">
      <c r="B5290" s="70">
        <v>43438</v>
      </c>
      <c r="C5290" t="s">
        <v>54</v>
      </c>
      <c r="D5290" t="s">
        <v>80</v>
      </c>
      <c r="E5290" t="s">
        <v>494</v>
      </c>
      <c r="F5290">
        <v>78.25</v>
      </c>
      <c r="G5290">
        <v>0</v>
      </c>
    </row>
    <row r="5291" spans="2:7" x14ac:dyDescent="0.25">
      <c r="B5291" s="70">
        <v>43438</v>
      </c>
      <c r="C5291" t="s">
        <v>54</v>
      </c>
      <c r="D5291" t="s">
        <v>87</v>
      </c>
      <c r="E5291" t="s">
        <v>494</v>
      </c>
      <c r="F5291">
        <v>80.25</v>
      </c>
      <c r="G5291">
        <v>0</v>
      </c>
    </row>
    <row r="5292" spans="2:7" x14ac:dyDescent="0.25">
      <c r="B5292" s="70">
        <v>43438</v>
      </c>
      <c r="C5292" t="s">
        <v>46</v>
      </c>
      <c r="D5292" t="s">
        <v>82</v>
      </c>
      <c r="E5292" t="s">
        <v>494</v>
      </c>
      <c r="F5292">
        <v>42</v>
      </c>
      <c r="G5292">
        <v>0</v>
      </c>
    </row>
    <row r="5293" spans="2:7" x14ac:dyDescent="0.25">
      <c r="B5293" s="70">
        <v>43438</v>
      </c>
      <c r="C5293" t="s">
        <v>59</v>
      </c>
      <c r="D5293" t="s">
        <v>80</v>
      </c>
      <c r="E5293" t="s">
        <v>494</v>
      </c>
      <c r="F5293">
        <v>20.75</v>
      </c>
      <c r="G5293">
        <v>0</v>
      </c>
    </row>
    <row r="5294" spans="2:7" x14ac:dyDescent="0.25">
      <c r="B5294" s="70">
        <v>43438</v>
      </c>
      <c r="C5294" t="s">
        <v>59</v>
      </c>
      <c r="D5294" t="s">
        <v>82</v>
      </c>
      <c r="E5294" t="s">
        <v>494</v>
      </c>
      <c r="F5294">
        <v>85</v>
      </c>
      <c r="G5294">
        <v>0</v>
      </c>
    </row>
    <row r="5295" spans="2:7" x14ac:dyDescent="0.25">
      <c r="B5295" s="70">
        <v>43438</v>
      </c>
      <c r="C5295" t="s">
        <v>47</v>
      </c>
      <c r="D5295" t="s">
        <v>82</v>
      </c>
      <c r="E5295" t="s">
        <v>494</v>
      </c>
      <c r="F5295">
        <v>42</v>
      </c>
      <c r="G5295">
        <v>0</v>
      </c>
    </row>
    <row r="5296" spans="2:7" x14ac:dyDescent="0.25">
      <c r="B5296" s="70">
        <v>43438</v>
      </c>
      <c r="C5296" t="s">
        <v>21</v>
      </c>
      <c r="D5296" t="s">
        <v>79</v>
      </c>
      <c r="E5296" t="s">
        <v>494</v>
      </c>
      <c r="F5296">
        <v>8</v>
      </c>
      <c r="G5296">
        <v>0</v>
      </c>
    </row>
    <row r="5297" spans="2:7" x14ac:dyDescent="0.25">
      <c r="B5297" s="70">
        <v>43438</v>
      </c>
      <c r="C5297" t="s">
        <v>21</v>
      </c>
      <c r="D5297" t="s">
        <v>79</v>
      </c>
      <c r="E5297" t="s">
        <v>494</v>
      </c>
      <c r="F5297">
        <v>16</v>
      </c>
      <c r="G5297">
        <v>0</v>
      </c>
    </row>
    <row r="5298" spans="2:7" x14ac:dyDescent="0.25">
      <c r="B5298" s="70">
        <v>43438</v>
      </c>
      <c r="C5298" t="s">
        <v>21</v>
      </c>
      <c r="D5298" t="s">
        <v>79</v>
      </c>
      <c r="E5298" t="s">
        <v>494</v>
      </c>
      <c r="F5298">
        <v>24</v>
      </c>
      <c r="G5298">
        <v>0</v>
      </c>
    </row>
    <row r="5299" spans="2:7" x14ac:dyDescent="0.25">
      <c r="B5299" s="70">
        <v>43438</v>
      </c>
      <c r="C5299" t="s">
        <v>21</v>
      </c>
      <c r="D5299" t="s">
        <v>79</v>
      </c>
      <c r="E5299" t="s">
        <v>494</v>
      </c>
      <c r="F5299">
        <v>40</v>
      </c>
      <c r="G5299">
        <v>0</v>
      </c>
    </row>
    <row r="5300" spans="2:7" x14ac:dyDescent="0.25">
      <c r="B5300" s="70">
        <v>43438</v>
      </c>
      <c r="C5300" t="s">
        <v>21</v>
      </c>
      <c r="D5300" t="s">
        <v>79</v>
      </c>
      <c r="E5300" t="s">
        <v>494</v>
      </c>
      <c r="F5300">
        <v>48</v>
      </c>
      <c r="G5300">
        <v>0</v>
      </c>
    </row>
    <row r="5301" spans="2:7" x14ac:dyDescent="0.25">
      <c r="B5301" s="70">
        <v>43438</v>
      </c>
      <c r="C5301" t="s">
        <v>21</v>
      </c>
      <c r="D5301" t="s">
        <v>79</v>
      </c>
      <c r="E5301" t="s">
        <v>494</v>
      </c>
      <c r="F5301">
        <v>64</v>
      </c>
      <c r="G5301">
        <v>0</v>
      </c>
    </row>
    <row r="5302" spans="2:7" x14ac:dyDescent="0.25">
      <c r="B5302" s="70">
        <v>43438</v>
      </c>
      <c r="C5302" t="s">
        <v>48</v>
      </c>
      <c r="D5302" t="s">
        <v>83</v>
      </c>
      <c r="E5302" t="s">
        <v>494</v>
      </c>
      <c r="F5302">
        <v>89.5</v>
      </c>
      <c r="G5302">
        <v>0</v>
      </c>
    </row>
    <row r="5303" spans="2:7" x14ac:dyDescent="0.25">
      <c r="B5303" s="70">
        <v>43438</v>
      </c>
      <c r="C5303" t="s">
        <v>48</v>
      </c>
      <c r="D5303" t="s">
        <v>84</v>
      </c>
      <c r="E5303" t="s">
        <v>494</v>
      </c>
      <c r="F5303">
        <v>150</v>
      </c>
      <c r="G5303">
        <v>0</v>
      </c>
    </row>
    <row r="5304" spans="2:7" x14ac:dyDescent="0.25">
      <c r="B5304" s="70">
        <v>43438</v>
      </c>
      <c r="C5304" t="s">
        <v>55</v>
      </c>
      <c r="D5304" t="s">
        <v>83</v>
      </c>
      <c r="E5304" t="s">
        <v>494</v>
      </c>
      <c r="F5304">
        <v>24.28</v>
      </c>
      <c r="G5304">
        <v>0</v>
      </c>
    </row>
    <row r="5305" spans="2:7" x14ac:dyDescent="0.25">
      <c r="B5305" s="70">
        <v>43438</v>
      </c>
      <c r="C5305" t="s">
        <v>55</v>
      </c>
      <c r="D5305" t="s">
        <v>82</v>
      </c>
      <c r="E5305" t="s">
        <v>494</v>
      </c>
      <c r="F5305">
        <v>34.299999999999997</v>
      </c>
      <c r="G5305">
        <v>0</v>
      </c>
    </row>
    <row r="5306" spans="2:7" x14ac:dyDescent="0.25">
      <c r="B5306" s="70">
        <v>43438</v>
      </c>
      <c r="C5306" t="s">
        <v>49</v>
      </c>
      <c r="D5306" t="s">
        <v>84</v>
      </c>
      <c r="E5306" t="s">
        <v>494</v>
      </c>
      <c r="F5306">
        <v>150</v>
      </c>
      <c r="G5306">
        <v>0</v>
      </c>
    </row>
    <row r="5307" spans="2:7" x14ac:dyDescent="0.25">
      <c r="B5307" s="70">
        <v>43438</v>
      </c>
      <c r="C5307" t="s">
        <v>70</v>
      </c>
      <c r="D5307" t="s">
        <v>82</v>
      </c>
      <c r="E5307" t="s">
        <v>494</v>
      </c>
      <c r="F5307">
        <v>45</v>
      </c>
      <c r="G5307">
        <v>0</v>
      </c>
    </row>
    <row r="5308" spans="2:7" x14ac:dyDescent="0.25">
      <c r="B5308" s="70">
        <v>43438</v>
      </c>
      <c r="C5308" t="s">
        <v>50</v>
      </c>
      <c r="D5308" t="s">
        <v>83</v>
      </c>
      <c r="E5308" t="s">
        <v>494</v>
      </c>
      <c r="F5308">
        <v>25</v>
      </c>
      <c r="G5308">
        <v>0</v>
      </c>
    </row>
    <row r="5309" spans="2:7" x14ac:dyDescent="0.25">
      <c r="B5309" s="70">
        <v>43438</v>
      </c>
      <c r="C5309" t="s">
        <v>50</v>
      </c>
      <c r="D5309" t="s">
        <v>84</v>
      </c>
      <c r="E5309" t="s">
        <v>494</v>
      </c>
      <c r="F5309">
        <v>2100</v>
      </c>
      <c r="G5309">
        <v>0</v>
      </c>
    </row>
    <row r="5310" spans="2:7" x14ac:dyDescent="0.25">
      <c r="B5310" s="70">
        <v>43438</v>
      </c>
      <c r="C5310" t="s">
        <v>58</v>
      </c>
      <c r="D5310" t="s">
        <v>82</v>
      </c>
      <c r="E5310" t="s">
        <v>494</v>
      </c>
      <c r="F5310">
        <v>135</v>
      </c>
      <c r="G5310">
        <v>0</v>
      </c>
    </row>
    <row r="5311" spans="2:7" x14ac:dyDescent="0.25">
      <c r="B5311" s="70">
        <v>43438</v>
      </c>
      <c r="C5311" t="s">
        <v>24</v>
      </c>
      <c r="D5311" t="s">
        <v>79</v>
      </c>
      <c r="E5311" t="s">
        <v>494</v>
      </c>
      <c r="F5311">
        <v>8</v>
      </c>
      <c r="G5311">
        <v>0</v>
      </c>
    </row>
    <row r="5312" spans="2:7" x14ac:dyDescent="0.25">
      <c r="B5312" s="70">
        <v>43438</v>
      </c>
      <c r="C5312" t="s">
        <v>24</v>
      </c>
      <c r="D5312" t="s">
        <v>79</v>
      </c>
      <c r="E5312" t="s">
        <v>494</v>
      </c>
      <c r="F5312">
        <v>16</v>
      </c>
      <c r="G5312">
        <v>0</v>
      </c>
    </row>
    <row r="5313" spans="2:7" x14ac:dyDescent="0.25">
      <c r="B5313" s="70">
        <v>43438</v>
      </c>
      <c r="C5313" t="s">
        <v>61</v>
      </c>
      <c r="D5313" t="s">
        <v>82</v>
      </c>
      <c r="E5313" t="s">
        <v>494</v>
      </c>
      <c r="F5313">
        <v>170</v>
      </c>
      <c r="G5313">
        <v>0</v>
      </c>
    </row>
    <row r="5314" spans="2:7" x14ac:dyDescent="0.25">
      <c r="B5314" s="70">
        <v>43446</v>
      </c>
      <c r="C5314" t="s">
        <v>25</v>
      </c>
      <c r="D5314" t="s">
        <v>83</v>
      </c>
      <c r="E5314" t="s">
        <v>495</v>
      </c>
      <c r="F5314">
        <v>70.819999999999993</v>
      </c>
      <c r="G5314">
        <v>0</v>
      </c>
    </row>
    <row r="5315" spans="2:7" x14ac:dyDescent="0.25">
      <c r="B5315" s="70">
        <v>43446</v>
      </c>
      <c r="C5315" t="s">
        <v>25</v>
      </c>
      <c r="D5315" t="s">
        <v>83</v>
      </c>
      <c r="E5315" t="s">
        <v>495</v>
      </c>
      <c r="F5315">
        <v>68.459999999999994</v>
      </c>
      <c r="G5315">
        <v>0</v>
      </c>
    </row>
    <row r="5316" spans="2:7" x14ac:dyDescent="0.25">
      <c r="B5316" s="70">
        <v>43446</v>
      </c>
      <c r="C5316" t="s">
        <v>25</v>
      </c>
      <c r="D5316" t="s">
        <v>83</v>
      </c>
      <c r="E5316" t="s">
        <v>495</v>
      </c>
      <c r="F5316">
        <v>29.37</v>
      </c>
      <c r="G5316">
        <v>0</v>
      </c>
    </row>
    <row r="5317" spans="2:7" x14ac:dyDescent="0.25">
      <c r="B5317" s="70">
        <v>43446</v>
      </c>
      <c r="C5317" t="s">
        <v>25</v>
      </c>
      <c r="D5317" t="s">
        <v>80</v>
      </c>
      <c r="E5317" t="s">
        <v>495</v>
      </c>
      <c r="F5317">
        <v>24.48</v>
      </c>
      <c r="G5317">
        <v>0</v>
      </c>
    </row>
    <row r="5318" spans="2:7" x14ac:dyDescent="0.25">
      <c r="B5318" s="70">
        <v>43446</v>
      </c>
      <c r="C5318" t="s">
        <v>25</v>
      </c>
      <c r="D5318" t="s">
        <v>80</v>
      </c>
      <c r="E5318" t="s">
        <v>495</v>
      </c>
      <c r="F5318">
        <v>40.47</v>
      </c>
      <c r="G5318">
        <v>0</v>
      </c>
    </row>
    <row r="5319" spans="2:7" x14ac:dyDescent="0.25">
      <c r="B5319" s="70">
        <v>43446</v>
      </c>
      <c r="C5319" t="s">
        <v>25</v>
      </c>
      <c r="D5319" t="s">
        <v>80</v>
      </c>
      <c r="E5319" t="s">
        <v>495</v>
      </c>
      <c r="F5319">
        <v>26.97</v>
      </c>
      <c r="G5319">
        <v>0</v>
      </c>
    </row>
    <row r="5320" spans="2:7" x14ac:dyDescent="0.25">
      <c r="B5320" s="70">
        <v>43446</v>
      </c>
      <c r="C5320" t="s">
        <v>25</v>
      </c>
      <c r="D5320" t="s">
        <v>87</v>
      </c>
      <c r="E5320" t="s">
        <v>495</v>
      </c>
      <c r="F5320">
        <v>19.95</v>
      </c>
      <c r="G5320">
        <v>0</v>
      </c>
    </row>
    <row r="5321" spans="2:7" x14ac:dyDescent="0.25">
      <c r="B5321" s="70">
        <v>43446</v>
      </c>
      <c r="C5321" t="s">
        <v>25</v>
      </c>
      <c r="D5321" t="s">
        <v>87</v>
      </c>
      <c r="E5321" t="s">
        <v>495</v>
      </c>
      <c r="F5321">
        <v>31.38</v>
      </c>
      <c r="G5321">
        <v>0</v>
      </c>
    </row>
    <row r="5322" spans="2:7" x14ac:dyDescent="0.25">
      <c r="B5322" s="70">
        <v>43446</v>
      </c>
      <c r="C5322" t="s">
        <v>25</v>
      </c>
      <c r="D5322" t="s">
        <v>87</v>
      </c>
      <c r="E5322" t="s">
        <v>495</v>
      </c>
      <c r="F5322">
        <v>151.84</v>
      </c>
      <c r="G5322">
        <v>0</v>
      </c>
    </row>
    <row r="5323" spans="2:7" x14ac:dyDescent="0.25">
      <c r="B5323" s="70">
        <v>43446</v>
      </c>
      <c r="C5323" t="s">
        <v>25</v>
      </c>
      <c r="D5323" t="s">
        <v>87</v>
      </c>
      <c r="E5323" t="s">
        <v>495</v>
      </c>
      <c r="F5323">
        <v>35.04</v>
      </c>
      <c r="G5323">
        <v>0</v>
      </c>
    </row>
    <row r="5324" spans="2:7" x14ac:dyDescent="0.25">
      <c r="B5324" s="70">
        <v>43446</v>
      </c>
      <c r="C5324" t="s">
        <v>25</v>
      </c>
      <c r="D5324" t="s">
        <v>87</v>
      </c>
      <c r="E5324" t="s">
        <v>495</v>
      </c>
      <c r="F5324">
        <v>76.13</v>
      </c>
      <c r="G5324">
        <v>0</v>
      </c>
    </row>
    <row r="5325" spans="2:7" x14ac:dyDescent="0.25">
      <c r="B5325" s="70">
        <v>43446</v>
      </c>
      <c r="C5325" t="s">
        <v>25</v>
      </c>
      <c r="D5325" t="s">
        <v>87</v>
      </c>
      <c r="E5325" t="s">
        <v>495</v>
      </c>
      <c r="F5325">
        <v>9.35</v>
      </c>
      <c r="G5325">
        <v>0</v>
      </c>
    </row>
    <row r="5326" spans="2:7" x14ac:dyDescent="0.25">
      <c r="B5326" s="70">
        <v>43446</v>
      </c>
      <c r="C5326" t="s">
        <v>25</v>
      </c>
      <c r="D5326" t="s">
        <v>81</v>
      </c>
      <c r="E5326" t="s">
        <v>135</v>
      </c>
      <c r="F5326">
        <v>1.8</v>
      </c>
      <c r="G5326">
        <v>0</v>
      </c>
    </row>
    <row r="5327" spans="2:7" x14ac:dyDescent="0.25">
      <c r="B5327" s="70">
        <v>43446</v>
      </c>
      <c r="C5327" t="s">
        <v>25</v>
      </c>
      <c r="D5327" t="s">
        <v>81</v>
      </c>
      <c r="E5327" t="s">
        <v>138</v>
      </c>
      <c r="F5327">
        <v>2.4</v>
      </c>
      <c r="G5327">
        <v>0</v>
      </c>
    </row>
    <row r="5328" spans="2:7" x14ac:dyDescent="0.25">
      <c r="B5328" s="70">
        <v>43446</v>
      </c>
      <c r="C5328" t="s">
        <v>25</v>
      </c>
      <c r="D5328" t="s">
        <v>81</v>
      </c>
      <c r="E5328" t="s">
        <v>191</v>
      </c>
      <c r="F5328">
        <v>22</v>
      </c>
      <c r="G5328">
        <v>0</v>
      </c>
    </row>
    <row r="5329" spans="2:7" x14ac:dyDescent="0.25">
      <c r="B5329" s="70">
        <v>43446</v>
      </c>
      <c r="C5329" t="s">
        <v>25</v>
      </c>
      <c r="D5329" t="s">
        <v>81</v>
      </c>
      <c r="E5329" t="s">
        <v>241</v>
      </c>
      <c r="F5329">
        <v>3.15</v>
      </c>
      <c r="G5329">
        <v>0</v>
      </c>
    </row>
    <row r="5330" spans="2:7" x14ac:dyDescent="0.25">
      <c r="B5330" s="70">
        <v>43446</v>
      </c>
      <c r="C5330" t="s">
        <v>25</v>
      </c>
      <c r="D5330" t="s">
        <v>81</v>
      </c>
      <c r="E5330" t="s">
        <v>164</v>
      </c>
      <c r="F5330">
        <v>6</v>
      </c>
      <c r="G5330">
        <v>0</v>
      </c>
    </row>
    <row r="5331" spans="2:7" x14ac:dyDescent="0.25">
      <c r="B5331" s="70">
        <v>43446</v>
      </c>
      <c r="C5331" t="s">
        <v>25</v>
      </c>
      <c r="D5331" t="s">
        <v>81</v>
      </c>
      <c r="E5331" t="s">
        <v>133</v>
      </c>
      <c r="F5331">
        <v>1.1000000000000001</v>
      </c>
      <c r="G5331">
        <v>0</v>
      </c>
    </row>
    <row r="5332" spans="2:7" x14ac:dyDescent="0.25">
      <c r="B5332" s="70">
        <v>43446</v>
      </c>
      <c r="C5332" t="s">
        <v>25</v>
      </c>
      <c r="D5332" t="s">
        <v>82</v>
      </c>
      <c r="E5332" t="s">
        <v>495</v>
      </c>
      <c r="F5332">
        <v>3.15</v>
      </c>
      <c r="G5332">
        <v>0</v>
      </c>
    </row>
    <row r="5333" spans="2:7" x14ac:dyDescent="0.25">
      <c r="B5333" s="70">
        <v>43446</v>
      </c>
      <c r="C5333" t="s">
        <v>25</v>
      </c>
      <c r="D5333" t="s">
        <v>82</v>
      </c>
      <c r="E5333" t="s">
        <v>495</v>
      </c>
      <c r="F5333">
        <v>183.93</v>
      </c>
      <c r="G5333">
        <v>0</v>
      </c>
    </row>
    <row r="5334" spans="2:7" x14ac:dyDescent="0.25">
      <c r="B5334" s="70">
        <v>43446</v>
      </c>
      <c r="C5334" t="s">
        <v>59</v>
      </c>
      <c r="D5334" t="s">
        <v>87</v>
      </c>
      <c r="E5334" t="s">
        <v>495</v>
      </c>
      <c r="F5334">
        <v>2693.42</v>
      </c>
      <c r="G5334">
        <v>0</v>
      </c>
    </row>
    <row r="5335" spans="2:7" x14ac:dyDescent="0.25">
      <c r="B5335" s="70">
        <v>43446</v>
      </c>
      <c r="C5335" t="s">
        <v>59</v>
      </c>
      <c r="D5335" t="s">
        <v>82</v>
      </c>
      <c r="E5335" t="s">
        <v>495</v>
      </c>
      <c r="F5335">
        <v>106.36</v>
      </c>
      <c r="G5335">
        <v>0</v>
      </c>
    </row>
    <row r="5336" spans="2:7" x14ac:dyDescent="0.25">
      <c r="B5336" s="70">
        <v>43446</v>
      </c>
      <c r="C5336" t="s">
        <v>57</v>
      </c>
      <c r="D5336" t="s">
        <v>87</v>
      </c>
      <c r="E5336" t="s">
        <v>495</v>
      </c>
      <c r="F5336">
        <v>1876.36</v>
      </c>
      <c r="G5336">
        <v>0</v>
      </c>
    </row>
    <row r="5337" spans="2:7" x14ac:dyDescent="0.25">
      <c r="B5337" s="70">
        <v>43446</v>
      </c>
      <c r="C5337" t="s">
        <v>44</v>
      </c>
      <c r="D5337" t="s">
        <v>85</v>
      </c>
      <c r="E5337" t="s">
        <v>495</v>
      </c>
      <c r="F5337">
        <v>70</v>
      </c>
      <c r="G5337">
        <v>0</v>
      </c>
    </row>
    <row r="5338" spans="2:7" x14ac:dyDescent="0.25">
      <c r="B5338" s="70">
        <v>43446</v>
      </c>
      <c r="C5338" t="s">
        <v>21</v>
      </c>
      <c r="D5338" t="s">
        <v>79</v>
      </c>
      <c r="E5338" t="s">
        <v>495</v>
      </c>
      <c r="F5338">
        <v>24</v>
      </c>
      <c r="G5338">
        <v>0</v>
      </c>
    </row>
    <row r="5339" spans="2:7" x14ac:dyDescent="0.25">
      <c r="B5339" s="70">
        <v>43446</v>
      </c>
      <c r="C5339" t="s">
        <v>21</v>
      </c>
      <c r="D5339" t="s">
        <v>79</v>
      </c>
      <c r="E5339" t="s">
        <v>495</v>
      </c>
      <c r="F5339">
        <v>40</v>
      </c>
      <c r="G5339">
        <v>0</v>
      </c>
    </row>
    <row r="5340" spans="2:7" x14ac:dyDescent="0.25">
      <c r="B5340" s="70">
        <v>43446</v>
      </c>
      <c r="C5340" t="s">
        <v>48</v>
      </c>
      <c r="D5340" t="s">
        <v>79</v>
      </c>
      <c r="E5340" t="s">
        <v>495</v>
      </c>
      <c r="F5340">
        <v>535.41</v>
      </c>
      <c r="G5340">
        <v>0</v>
      </c>
    </row>
    <row r="5341" spans="2:7" x14ac:dyDescent="0.25">
      <c r="B5341" s="70">
        <v>43446</v>
      </c>
      <c r="C5341" t="s">
        <v>48</v>
      </c>
      <c r="D5341" t="s">
        <v>83</v>
      </c>
      <c r="E5341" t="s">
        <v>495</v>
      </c>
      <c r="F5341">
        <v>69.930000000000007</v>
      </c>
      <c r="G5341">
        <v>0</v>
      </c>
    </row>
    <row r="5342" spans="2:7" x14ac:dyDescent="0.25">
      <c r="B5342" s="70">
        <v>43446</v>
      </c>
      <c r="C5342" t="s">
        <v>48</v>
      </c>
      <c r="D5342" t="s">
        <v>80</v>
      </c>
      <c r="E5342" t="s">
        <v>495</v>
      </c>
      <c r="F5342">
        <v>127.57</v>
      </c>
      <c r="G5342">
        <v>0</v>
      </c>
    </row>
    <row r="5343" spans="2:7" x14ac:dyDescent="0.25">
      <c r="B5343" s="70">
        <v>43446</v>
      </c>
      <c r="C5343" t="s">
        <v>50</v>
      </c>
      <c r="D5343" t="s">
        <v>85</v>
      </c>
      <c r="E5343" t="s">
        <v>495</v>
      </c>
      <c r="F5343">
        <v>99.43</v>
      </c>
      <c r="G5343">
        <v>0</v>
      </c>
    </row>
    <row r="5344" spans="2:7" x14ac:dyDescent="0.25">
      <c r="B5344" s="70">
        <v>43446</v>
      </c>
      <c r="C5344" t="s">
        <v>60</v>
      </c>
      <c r="D5344" t="s">
        <v>85</v>
      </c>
      <c r="E5344" t="s">
        <v>495</v>
      </c>
      <c r="F5344">
        <v>69.790000000000006</v>
      </c>
      <c r="G5344">
        <v>0</v>
      </c>
    </row>
    <row r="5345" spans="2:7" x14ac:dyDescent="0.25">
      <c r="B5345" s="70">
        <v>43451</v>
      </c>
      <c r="C5345" t="s">
        <v>25</v>
      </c>
      <c r="D5345" t="s">
        <v>79</v>
      </c>
      <c r="E5345" t="s">
        <v>496</v>
      </c>
      <c r="F5345">
        <v>8</v>
      </c>
      <c r="G5345">
        <v>0</v>
      </c>
    </row>
    <row r="5346" spans="2:7" x14ac:dyDescent="0.25">
      <c r="B5346" s="70">
        <v>43451</v>
      </c>
      <c r="C5346" t="s">
        <v>25</v>
      </c>
      <c r="D5346" t="s">
        <v>85</v>
      </c>
      <c r="E5346" t="s">
        <v>496</v>
      </c>
      <c r="F5346">
        <v>15.95</v>
      </c>
      <c r="G5346">
        <v>0</v>
      </c>
    </row>
    <row r="5347" spans="2:7" x14ac:dyDescent="0.25">
      <c r="B5347" s="70">
        <v>43451</v>
      </c>
      <c r="C5347" t="s">
        <v>25</v>
      </c>
      <c r="D5347" t="s">
        <v>80</v>
      </c>
      <c r="E5347" t="s">
        <v>496</v>
      </c>
      <c r="F5347">
        <v>96</v>
      </c>
      <c r="G5347">
        <v>0</v>
      </c>
    </row>
    <row r="5348" spans="2:7" x14ac:dyDescent="0.25">
      <c r="B5348" s="70">
        <v>43451</v>
      </c>
      <c r="C5348" t="s">
        <v>25</v>
      </c>
      <c r="D5348" t="s">
        <v>81</v>
      </c>
      <c r="E5348" t="s">
        <v>135</v>
      </c>
      <c r="F5348">
        <v>6.85</v>
      </c>
      <c r="G5348">
        <v>0</v>
      </c>
    </row>
    <row r="5349" spans="2:7" x14ac:dyDescent="0.25">
      <c r="B5349" s="70">
        <v>43451</v>
      </c>
      <c r="C5349" t="s">
        <v>25</v>
      </c>
      <c r="D5349" t="s">
        <v>81</v>
      </c>
      <c r="E5349" t="s">
        <v>138</v>
      </c>
      <c r="F5349">
        <v>3</v>
      </c>
      <c r="G5349">
        <v>0</v>
      </c>
    </row>
    <row r="5350" spans="2:7" x14ac:dyDescent="0.25">
      <c r="B5350" s="70">
        <v>43451</v>
      </c>
      <c r="C5350" t="s">
        <v>25</v>
      </c>
      <c r="D5350" t="s">
        <v>81</v>
      </c>
      <c r="E5350" t="s">
        <v>164</v>
      </c>
      <c r="F5350">
        <v>18</v>
      </c>
      <c r="G5350">
        <v>0</v>
      </c>
    </row>
    <row r="5351" spans="2:7" x14ac:dyDescent="0.25">
      <c r="B5351" s="70">
        <v>43451</v>
      </c>
      <c r="C5351" t="s">
        <v>25</v>
      </c>
      <c r="D5351" t="s">
        <v>81</v>
      </c>
      <c r="E5351" t="s">
        <v>128</v>
      </c>
      <c r="F5351">
        <v>3.6</v>
      </c>
      <c r="G5351">
        <v>0</v>
      </c>
    </row>
    <row r="5352" spans="2:7" x14ac:dyDescent="0.25">
      <c r="B5352" s="70">
        <v>43451</v>
      </c>
      <c r="C5352" t="s">
        <v>54</v>
      </c>
      <c r="D5352" t="s">
        <v>85</v>
      </c>
      <c r="E5352" t="s">
        <v>496</v>
      </c>
      <c r="F5352">
        <v>138.66</v>
      </c>
      <c r="G5352">
        <v>0</v>
      </c>
    </row>
    <row r="5353" spans="2:7" x14ac:dyDescent="0.25">
      <c r="B5353" s="70">
        <v>43451</v>
      </c>
      <c r="C5353" t="s">
        <v>56</v>
      </c>
      <c r="D5353" t="s">
        <v>82</v>
      </c>
      <c r="E5353" t="s">
        <v>496</v>
      </c>
      <c r="F5353">
        <v>35</v>
      </c>
      <c r="G5353">
        <v>0</v>
      </c>
    </row>
    <row r="5354" spans="2:7" x14ac:dyDescent="0.25">
      <c r="B5354" s="70">
        <v>43451</v>
      </c>
      <c r="C5354" t="s">
        <v>51</v>
      </c>
      <c r="D5354" t="s">
        <v>82</v>
      </c>
      <c r="E5354" t="s">
        <v>496</v>
      </c>
      <c r="F5354">
        <v>47</v>
      </c>
      <c r="G5354">
        <v>0</v>
      </c>
    </row>
    <row r="5355" spans="2:7" x14ac:dyDescent="0.25">
      <c r="B5355" s="70">
        <v>43451</v>
      </c>
      <c r="C5355" t="s">
        <v>43</v>
      </c>
      <c r="D5355" t="s">
        <v>82</v>
      </c>
      <c r="E5355" t="s">
        <v>496</v>
      </c>
      <c r="F5355">
        <v>240.29</v>
      </c>
      <c r="G5355">
        <v>0</v>
      </c>
    </row>
    <row r="5356" spans="2:7" x14ac:dyDescent="0.25">
      <c r="B5356" s="70">
        <v>43451</v>
      </c>
      <c r="C5356" t="s">
        <v>21</v>
      </c>
      <c r="D5356" t="s">
        <v>79</v>
      </c>
      <c r="E5356" t="s">
        <v>496</v>
      </c>
      <c r="F5356">
        <v>8</v>
      </c>
      <c r="G5356">
        <v>0</v>
      </c>
    </row>
    <row r="5357" spans="2:7" x14ac:dyDescent="0.25">
      <c r="B5357" s="70">
        <v>43451</v>
      </c>
      <c r="C5357" t="s">
        <v>21</v>
      </c>
      <c r="D5357" t="s">
        <v>79</v>
      </c>
      <c r="E5357" t="s">
        <v>496</v>
      </c>
      <c r="F5357">
        <v>32</v>
      </c>
      <c r="G5357">
        <v>0</v>
      </c>
    </row>
    <row r="5358" spans="2:7" x14ac:dyDescent="0.25">
      <c r="B5358" s="70">
        <v>43451</v>
      </c>
      <c r="C5358" t="s">
        <v>21</v>
      </c>
      <c r="D5358" t="s">
        <v>79</v>
      </c>
      <c r="E5358" t="s">
        <v>496</v>
      </c>
      <c r="F5358">
        <v>40</v>
      </c>
      <c r="G5358">
        <v>0</v>
      </c>
    </row>
    <row r="5359" spans="2:7" x14ac:dyDescent="0.25">
      <c r="B5359" s="70">
        <v>43451</v>
      </c>
      <c r="C5359" t="s">
        <v>21</v>
      </c>
      <c r="D5359" t="s">
        <v>79</v>
      </c>
      <c r="E5359" t="s">
        <v>496</v>
      </c>
      <c r="F5359">
        <v>56</v>
      </c>
      <c r="G5359">
        <v>0</v>
      </c>
    </row>
    <row r="5360" spans="2:7" x14ac:dyDescent="0.25">
      <c r="B5360" s="70">
        <v>43451</v>
      </c>
      <c r="C5360" t="s">
        <v>21</v>
      </c>
      <c r="D5360" t="s">
        <v>79</v>
      </c>
      <c r="E5360" t="s">
        <v>496</v>
      </c>
      <c r="F5360">
        <v>72</v>
      </c>
      <c r="G5360">
        <v>0</v>
      </c>
    </row>
    <row r="5361" spans="2:7" x14ac:dyDescent="0.25">
      <c r="B5361" s="70">
        <v>43451</v>
      </c>
      <c r="C5361" t="s">
        <v>21</v>
      </c>
      <c r="D5361" t="s">
        <v>79</v>
      </c>
      <c r="E5361" t="s">
        <v>496</v>
      </c>
      <c r="F5361">
        <v>96</v>
      </c>
      <c r="G5361">
        <v>0</v>
      </c>
    </row>
    <row r="5362" spans="2:7" x14ac:dyDescent="0.25">
      <c r="B5362" s="70">
        <v>43451</v>
      </c>
      <c r="C5362" t="s">
        <v>50</v>
      </c>
      <c r="D5362" t="s">
        <v>82</v>
      </c>
      <c r="E5362" t="s">
        <v>496</v>
      </c>
      <c r="F5362">
        <v>24.03</v>
      </c>
      <c r="G5362">
        <v>0</v>
      </c>
    </row>
    <row r="5363" spans="2:7" x14ac:dyDescent="0.25">
      <c r="B5363" s="70">
        <v>43451</v>
      </c>
      <c r="C5363" t="s">
        <v>73</v>
      </c>
      <c r="D5363" t="s">
        <v>82</v>
      </c>
      <c r="E5363" t="s">
        <v>496</v>
      </c>
      <c r="F5363">
        <v>19.95</v>
      </c>
      <c r="G5363">
        <v>0</v>
      </c>
    </row>
    <row r="5364" spans="2:7" x14ac:dyDescent="0.25">
      <c r="B5364" s="70">
        <v>43451</v>
      </c>
      <c r="C5364" t="s">
        <v>24</v>
      </c>
      <c r="D5364" t="s">
        <v>79</v>
      </c>
      <c r="E5364" t="s">
        <v>496</v>
      </c>
      <c r="F5364">
        <v>8</v>
      </c>
      <c r="G5364">
        <v>0</v>
      </c>
    </row>
    <row r="5365" spans="2:7" x14ac:dyDescent="0.25">
      <c r="B5365" s="70">
        <v>43329</v>
      </c>
      <c r="C5365" t="s">
        <v>25</v>
      </c>
      <c r="D5365" t="s">
        <v>85</v>
      </c>
      <c r="E5365" t="s">
        <v>497</v>
      </c>
      <c r="F5365">
        <v>30</v>
      </c>
      <c r="G5365">
        <v>0</v>
      </c>
    </row>
    <row r="5366" spans="2:7" x14ac:dyDescent="0.25">
      <c r="B5366" s="70">
        <v>43329</v>
      </c>
      <c r="C5366" t="s">
        <v>25</v>
      </c>
      <c r="D5366" t="s">
        <v>80</v>
      </c>
      <c r="E5366" t="s">
        <v>497</v>
      </c>
      <c r="F5366">
        <v>13.99</v>
      </c>
      <c r="G5366">
        <v>0</v>
      </c>
    </row>
    <row r="5367" spans="2:7" x14ac:dyDescent="0.25">
      <c r="B5367" s="70">
        <v>43329</v>
      </c>
      <c r="C5367" t="s">
        <v>25</v>
      </c>
      <c r="D5367" t="s">
        <v>80</v>
      </c>
      <c r="E5367" t="s">
        <v>497</v>
      </c>
      <c r="F5367">
        <v>27.47</v>
      </c>
      <c r="G5367">
        <v>0</v>
      </c>
    </row>
    <row r="5368" spans="2:7" x14ac:dyDescent="0.25">
      <c r="B5368" s="70">
        <v>43329</v>
      </c>
      <c r="C5368" t="s">
        <v>25</v>
      </c>
      <c r="D5368" t="s">
        <v>80</v>
      </c>
      <c r="E5368" t="s">
        <v>497</v>
      </c>
      <c r="F5368">
        <v>48.07</v>
      </c>
      <c r="G5368">
        <v>0</v>
      </c>
    </row>
    <row r="5369" spans="2:7" x14ac:dyDescent="0.25">
      <c r="B5369" s="70">
        <v>43329</v>
      </c>
      <c r="C5369" t="s">
        <v>25</v>
      </c>
      <c r="D5369" t="s">
        <v>80</v>
      </c>
      <c r="E5369" t="s">
        <v>497</v>
      </c>
      <c r="F5369">
        <v>14.45</v>
      </c>
      <c r="G5369">
        <v>0</v>
      </c>
    </row>
    <row r="5370" spans="2:7" x14ac:dyDescent="0.25">
      <c r="B5370" s="70">
        <v>43329</v>
      </c>
      <c r="C5370" t="s">
        <v>25</v>
      </c>
      <c r="D5370" t="s">
        <v>80</v>
      </c>
      <c r="E5370" t="s">
        <v>497</v>
      </c>
      <c r="F5370">
        <v>33.76</v>
      </c>
      <c r="G5370">
        <v>0</v>
      </c>
    </row>
    <row r="5371" spans="2:7" x14ac:dyDescent="0.25">
      <c r="B5371" s="70">
        <v>43329</v>
      </c>
      <c r="C5371" t="s">
        <v>25</v>
      </c>
      <c r="D5371" t="s">
        <v>87</v>
      </c>
      <c r="E5371" t="s">
        <v>497</v>
      </c>
      <c r="F5371">
        <v>29.77</v>
      </c>
      <c r="G5371">
        <v>0</v>
      </c>
    </row>
    <row r="5372" spans="2:7" x14ac:dyDescent="0.25">
      <c r="B5372" s="70">
        <v>43329</v>
      </c>
      <c r="C5372" t="s">
        <v>25</v>
      </c>
      <c r="D5372" t="s">
        <v>87</v>
      </c>
      <c r="E5372" t="s">
        <v>497</v>
      </c>
      <c r="F5372">
        <v>49.46</v>
      </c>
      <c r="G5372">
        <v>0</v>
      </c>
    </row>
    <row r="5373" spans="2:7" x14ac:dyDescent="0.25">
      <c r="B5373" s="70">
        <v>43329</v>
      </c>
      <c r="C5373" t="s">
        <v>25</v>
      </c>
      <c r="D5373" t="s">
        <v>87</v>
      </c>
      <c r="E5373" t="s">
        <v>497</v>
      </c>
      <c r="F5373">
        <v>91.99</v>
      </c>
      <c r="G5373">
        <v>0</v>
      </c>
    </row>
    <row r="5374" spans="2:7" x14ac:dyDescent="0.25">
      <c r="B5374" s="70">
        <v>43329</v>
      </c>
      <c r="C5374" t="s">
        <v>25</v>
      </c>
      <c r="D5374" t="s">
        <v>86</v>
      </c>
      <c r="E5374" t="s">
        <v>497</v>
      </c>
      <c r="F5374">
        <v>136.61000000000001</v>
      </c>
      <c r="G5374">
        <v>0</v>
      </c>
    </row>
    <row r="5375" spans="2:7" x14ac:dyDescent="0.25">
      <c r="B5375" s="70">
        <v>43329</v>
      </c>
      <c r="C5375" t="s">
        <v>25</v>
      </c>
      <c r="D5375" t="s">
        <v>81</v>
      </c>
      <c r="E5375" t="s">
        <v>253</v>
      </c>
      <c r="F5375">
        <v>2.4</v>
      </c>
      <c r="G5375">
        <v>0</v>
      </c>
    </row>
    <row r="5376" spans="2:7" x14ac:dyDescent="0.25">
      <c r="B5376" s="70">
        <v>43329</v>
      </c>
      <c r="C5376" t="s">
        <v>25</v>
      </c>
      <c r="D5376" t="s">
        <v>81</v>
      </c>
      <c r="E5376" t="s">
        <v>179</v>
      </c>
      <c r="F5376">
        <v>2.4</v>
      </c>
      <c r="G5376">
        <v>0</v>
      </c>
    </row>
    <row r="5377" spans="2:7" x14ac:dyDescent="0.25">
      <c r="B5377" s="70">
        <v>43329</v>
      </c>
      <c r="C5377" t="s">
        <v>25</v>
      </c>
      <c r="D5377" t="s">
        <v>82</v>
      </c>
      <c r="E5377" t="s">
        <v>497</v>
      </c>
      <c r="F5377">
        <v>12</v>
      </c>
      <c r="G5377">
        <v>0</v>
      </c>
    </row>
    <row r="5378" spans="2:7" x14ac:dyDescent="0.25">
      <c r="B5378" s="70">
        <v>43329</v>
      </c>
      <c r="C5378" t="s">
        <v>25</v>
      </c>
      <c r="D5378" t="s">
        <v>82</v>
      </c>
      <c r="E5378" t="s">
        <v>497</v>
      </c>
      <c r="F5378">
        <v>26</v>
      </c>
      <c r="G5378">
        <v>0</v>
      </c>
    </row>
    <row r="5379" spans="2:7" x14ac:dyDescent="0.25">
      <c r="B5379" s="70">
        <v>43329</v>
      </c>
      <c r="C5379" t="s">
        <v>56</v>
      </c>
      <c r="D5379" t="s">
        <v>82</v>
      </c>
      <c r="E5379" t="s">
        <v>497</v>
      </c>
      <c r="F5379">
        <v>46</v>
      </c>
      <c r="G5379">
        <v>0</v>
      </c>
    </row>
    <row r="5380" spans="2:7" x14ac:dyDescent="0.25">
      <c r="B5380" s="70">
        <v>43329</v>
      </c>
      <c r="C5380" t="s">
        <v>21</v>
      </c>
      <c r="D5380" t="s">
        <v>79</v>
      </c>
      <c r="E5380" t="s">
        <v>497</v>
      </c>
      <c r="F5380">
        <v>8</v>
      </c>
      <c r="G5380">
        <v>0</v>
      </c>
    </row>
    <row r="5381" spans="2:7" x14ac:dyDescent="0.25">
      <c r="B5381" s="70">
        <v>43329</v>
      </c>
      <c r="C5381" t="s">
        <v>21</v>
      </c>
      <c r="D5381" t="s">
        <v>79</v>
      </c>
      <c r="E5381" t="s">
        <v>497</v>
      </c>
      <c r="F5381">
        <v>16</v>
      </c>
      <c r="G5381">
        <v>0</v>
      </c>
    </row>
    <row r="5382" spans="2:7" x14ac:dyDescent="0.25">
      <c r="B5382" s="70">
        <v>43329</v>
      </c>
      <c r="C5382" t="s">
        <v>21</v>
      </c>
      <c r="D5382" t="s">
        <v>79</v>
      </c>
      <c r="E5382" t="s">
        <v>497</v>
      </c>
      <c r="F5382">
        <v>24</v>
      </c>
      <c r="G5382">
        <v>0</v>
      </c>
    </row>
    <row r="5383" spans="2:7" x14ac:dyDescent="0.25">
      <c r="B5383" s="70">
        <v>43329</v>
      </c>
      <c r="C5383" t="s">
        <v>21</v>
      </c>
      <c r="D5383" t="s">
        <v>79</v>
      </c>
      <c r="E5383" t="s">
        <v>497</v>
      </c>
      <c r="F5383">
        <v>48</v>
      </c>
      <c r="G5383">
        <v>0</v>
      </c>
    </row>
    <row r="5384" spans="2:7" x14ac:dyDescent="0.25">
      <c r="B5384" s="70">
        <v>43329</v>
      </c>
      <c r="C5384" t="s">
        <v>21</v>
      </c>
      <c r="D5384" t="s">
        <v>79</v>
      </c>
      <c r="E5384" t="s">
        <v>497</v>
      </c>
      <c r="F5384">
        <v>80</v>
      </c>
      <c r="G5384">
        <v>0</v>
      </c>
    </row>
    <row r="5385" spans="2:7" x14ac:dyDescent="0.25">
      <c r="B5385" s="70">
        <v>43329</v>
      </c>
      <c r="C5385" t="s">
        <v>48</v>
      </c>
      <c r="D5385" t="s">
        <v>86</v>
      </c>
      <c r="E5385" t="s">
        <v>497</v>
      </c>
      <c r="F5385">
        <v>409.83</v>
      </c>
      <c r="G5385">
        <v>0</v>
      </c>
    </row>
    <row r="5386" spans="2:7" x14ac:dyDescent="0.25">
      <c r="B5386" s="70">
        <v>43329</v>
      </c>
      <c r="C5386" t="s">
        <v>50</v>
      </c>
      <c r="D5386" t="s">
        <v>82</v>
      </c>
      <c r="E5386" t="s">
        <v>497</v>
      </c>
      <c r="F5386">
        <v>27.7</v>
      </c>
      <c r="G5386">
        <v>0</v>
      </c>
    </row>
    <row r="5387" spans="2:7" x14ac:dyDescent="0.25">
      <c r="B5387" s="70">
        <v>43329</v>
      </c>
      <c r="C5387" t="s">
        <v>58</v>
      </c>
      <c r="D5387" t="s">
        <v>84</v>
      </c>
      <c r="E5387" t="s">
        <v>497</v>
      </c>
      <c r="F5387">
        <v>114</v>
      </c>
      <c r="G5387">
        <v>0</v>
      </c>
    </row>
    <row r="5388" spans="2:7" x14ac:dyDescent="0.25">
      <c r="B5388" s="70">
        <v>43329</v>
      </c>
      <c r="C5388" t="s">
        <v>24</v>
      </c>
      <c r="D5388" t="s">
        <v>79</v>
      </c>
      <c r="E5388" t="s">
        <v>497</v>
      </c>
      <c r="F5388">
        <v>8</v>
      </c>
      <c r="G5388">
        <v>0</v>
      </c>
    </row>
    <row r="5389" spans="2:7" x14ac:dyDescent="0.25">
      <c r="B5389" s="70">
        <v>43341</v>
      </c>
      <c r="C5389" t="s">
        <v>25</v>
      </c>
      <c r="D5389" t="s">
        <v>85</v>
      </c>
      <c r="E5389" t="s">
        <v>498</v>
      </c>
      <c r="F5389">
        <v>169.85</v>
      </c>
      <c r="G5389">
        <v>0</v>
      </c>
    </row>
    <row r="5390" spans="2:7" x14ac:dyDescent="0.25">
      <c r="B5390" s="70">
        <v>43341</v>
      </c>
      <c r="C5390" t="s">
        <v>25</v>
      </c>
      <c r="D5390" t="s">
        <v>87</v>
      </c>
      <c r="E5390" t="s">
        <v>498</v>
      </c>
      <c r="F5390">
        <v>52.89</v>
      </c>
      <c r="G5390">
        <v>0</v>
      </c>
    </row>
    <row r="5391" spans="2:7" x14ac:dyDescent="0.25">
      <c r="B5391" s="70">
        <v>43341</v>
      </c>
      <c r="C5391" t="s">
        <v>25</v>
      </c>
      <c r="D5391" t="s">
        <v>81</v>
      </c>
      <c r="E5391" t="s">
        <v>176</v>
      </c>
      <c r="F5391">
        <v>9.5500000000000007</v>
      </c>
      <c r="G5391">
        <v>0</v>
      </c>
    </row>
    <row r="5392" spans="2:7" x14ac:dyDescent="0.25">
      <c r="B5392" s="70">
        <v>43341</v>
      </c>
      <c r="C5392" t="s">
        <v>25</v>
      </c>
      <c r="D5392" t="s">
        <v>81</v>
      </c>
      <c r="E5392" t="s">
        <v>253</v>
      </c>
      <c r="F5392">
        <v>1.8</v>
      </c>
      <c r="G5392">
        <v>0</v>
      </c>
    </row>
    <row r="5393" spans="2:7" x14ac:dyDescent="0.25">
      <c r="B5393" s="70">
        <v>43341</v>
      </c>
      <c r="C5393" t="s">
        <v>25</v>
      </c>
      <c r="D5393" t="s">
        <v>81</v>
      </c>
      <c r="E5393" t="s">
        <v>140</v>
      </c>
      <c r="F5393">
        <v>1.5</v>
      </c>
      <c r="G5393">
        <v>0</v>
      </c>
    </row>
    <row r="5394" spans="2:7" x14ac:dyDescent="0.25">
      <c r="B5394" s="70">
        <v>43341</v>
      </c>
      <c r="C5394" t="s">
        <v>44</v>
      </c>
      <c r="D5394" t="s">
        <v>79</v>
      </c>
      <c r="E5394" t="s">
        <v>498</v>
      </c>
      <c r="F5394">
        <v>9.4499999999999993</v>
      </c>
      <c r="G5394">
        <v>0</v>
      </c>
    </row>
    <row r="5395" spans="2:7" x14ac:dyDescent="0.25">
      <c r="B5395" s="70">
        <v>43341</v>
      </c>
      <c r="C5395" t="s">
        <v>21</v>
      </c>
      <c r="D5395" t="s">
        <v>79</v>
      </c>
      <c r="E5395" t="s">
        <v>498</v>
      </c>
      <c r="F5395">
        <v>8</v>
      </c>
      <c r="G5395">
        <v>0</v>
      </c>
    </row>
    <row r="5396" spans="2:7" x14ac:dyDescent="0.25">
      <c r="B5396" s="70">
        <v>43341</v>
      </c>
      <c r="C5396" t="s">
        <v>21</v>
      </c>
      <c r="D5396" t="s">
        <v>499</v>
      </c>
      <c r="E5396" t="s">
        <v>500</v>
      </c>
      <c r="F5396">
        <v>6.85</v>
      </c>
      <c r="G5396">
        <v>0</v>
      </c>
    </row>
    <row r="5397" spans="2:7" x14ac:dyDescent="0.25">
      <c r="B5397" s="70">
        <v>43341</v>
      </c>
      <c r="C5397" t="s">
        <v>21</v>
      </c>
      <c r="D5397" t="s">
        <v>501</v>
      </c>
      <c r="E5397" t="s">
        <v>500</v>
      </c>
      <c r="F5397">
        <v>6.85</v>
      </c>
      <c r="G5397">
        <v>0</v>
      </c>
    </row>
    <row r="5398" spans="2:7" x14ac:dyDescent="0.25">
      <c r="B5398" s="70">
        <v>43341</v>
      </c>
      <c r="C5398" t="s">
        <v>48</v>
      </c>
      <c r="D5398" t="s">
        <v>85</v>
      </c>
      <c r="E5398" t="s">
        <v>498</v>
      </c>
      <c r="F5398">
        <v>37</v>
      </c>
      <c r="G5398">
        <v>0</v>
      </c>
    </row>
    <row r="5399" spans="2:7" x14ac:dyDescent="0.25">
      <c r="B5399" s="70">
        <v>43341</v>
      </c>
      <c r="C5399" t="s">
        <v>55</v>
      </c>
      <c r="D5399" t="s">
        <v>82</v>
      </c>
      <c r="E5399" t="s">
        <v>498</v>
      </c>
      <c r="F5399">
        <v>23.4</v>
      </c>
      <c r="G5399">
        <v>0</v>
      </c>
    </row>
    <row r="5400" spans="2:7" x14ac:dyDescent="0.25">
      <c r="B5400" s="70">
        <v>43341</v>
      </c>
      <c r="C5400" t="s">
        <v>65</v>
      </c>
      <c r="D5400" t="s">
        <v>82</v>
      </c>
      <c r="E5400" t="s">
        <v>498</v>
      </c>
      <c r="F5400">
        <v>25.68</v>
      </c>
      <c r="G5400">
        <v>0</v>
      </c>
    </row>
    <row r="5401" spans="2:7" x14ac:dyDescent="0.25">
      <c r="B5401" s="70">
        <v>43341</v>
      </c>
      <c r="C5401" t="s">
        <v>24</v>
      </c>
      <c r="D5401" t="s">
        <v>79</v>
      </c>
      <c r="E5401" t="s">
        <v>498</v>
      </c>
      <c r="F5401">
        <v>8</v>
      </c>
      <c r="G5401">
        <v>0</v>
      </c>
    </row>
    <row r="5402" spans="2:7" x14ac:dyDescent="0.25">
      <c r="B5402" s="70">
        <v>43391</v>
      </c>
      <c r="C5402" t="s">
        <v>25</v>
      </c>
      <c r="D5402" t="s">
        <v>85</v>
      </c>
      <c r="E5402" t="s">
        <v>502</v>
      </c>
      <c r="F5402">
        <v>44.6</v>
      </c>
      <c r="G5402">
        <v>0</v>
      </c>
    </row>
    <row r="5403" spans="2:7" x14ac:dyDescent="0.25">
      <c r="B5403" s="70">
        <v>43391</v>
      </c>
      <c r="C5403" t="s">
        <v>25</v>
      </c>
      <c r="D5403" t="s">
        <v>81</v>
      </c>
      <c r="E5403" t="s">
        <v>253</v>
      </c>
      <c r="F5403">
        <v>1.8</v>
      </c>
      <c r="G5403">
        <v>0</v>
      </c>
    </row>
    <row r="5404" spans="2:7" x14ac:dyDescent="0.25">
      <c r="B5404" s="70">
        <v>43391</v>
      </c>
      <c r="C5404" t="s">
        <v>21</v>
      </c>
      <c r="D5404" t="s">
        <v>79</v>
      </c>
      <c r="E5404" t="s">
        <v>502</v>
      </c>
      <c r="F5404">
        <v>8</v>
      </c>
      <c r="G5404">
        <v>0</v>
      </c>
    </row>
    <row r="5405" spans="2:7" x14ac:dyDescent="0.25">
      <c r="B5405" s="70">
        <v>43391</v>
      </c>
      <c r="C5405" t="s">
        <v>21</v>
      </c>
      <c r="D5405" t="s">
        <v>79</v>
      </c>
      <c r="E5405" t="s">
        <v>502</v>
      </c>
      <c r="F5405">
        <v>32</v>
      </c>
      <c r="G5405">
        <v>0</v>
      </c>
    </row>
    <row r="5406" spans="2:7" x14ac:dyDescent="0.25">
      <c r="B5406" s="70">
        <v>43391</v>
      </c>
      <c r="C5406" t="s">
        <v>21</v>
      </c>
      <c r="D5406" t="s">
        <v>79</v>
      </c>
      <c r="E5406" t="s">
        <v>502</v>
      </c>
      <c r="F5406">
        <v>40</v>
      </c>
      <c r="G5406">
        <v>0</v>
      </c>
    </row>
    <row r="5407" spans="2:7" x14ac:dyDescent="0.25">
      <c r="B5407" s="70">
        <v>43391</v>
      </c>
      <c r="C5407" t="s">
        <v>21</v>
      </c>
      <c r="D5407" t="s">
        <v>79</v>
      </c>
      <c r="E5407" t="s">
        <v>502</v>
      </c>
      <c r="F5407">
        <v>48</v>
      </c>
      <c r="G5407">
        <v>0</v>
      </c>
    </row>
    <row r="5408" spans="2:7" x14ac:dyDescent="0.25">
      <c r="B5408" s="70">
        <v>43391</v>
      </c>
      <c r="C5408" t="s">
        <v>21</v>
      </c>
      <c r="D5408" t="s">
        <v>79</v>
      </c>
      <c r="E5408" t="s">
        <v>502</v>
      </c>
      <c r="F5408">
        <v>64</v>
      </c>
      <c r="G5408">
        <v>0</v>
      </c>
    </row>
    <row r="5409" spans="2:7" x14ac:dyDescent="0.25">
      <c r="B5409" s="70">
        <v>43391</v>
      </c>
      <c r="C5409" t="s">
        <v>21</v>
      </c>
      <c r="D5409" t="s">
        <v>79</v>
      </c>
      <c r="E5409" t="s">
        <v>502</v>
      </c>
      <c r="F5409">
        <v>72</v>
      </c>
      <c r="G5409">
        <v>0</v>
      </c>
    </row>
    <row r="5410" spans="2:7" x14ac:dyDescent="0.25">
      <c r="B5410" s="70">
        <v>43391</v>
      </c>
      <c r="C5410" t="s">
        <v>66</v>
      </c>
      <c r="D5410" t="s">
        <v>79</v>
      </c>
      <c r="E5410" t="s">
        <v>502</v>
      </c>
      <c r="F5410">
        <v>36.479999999999997</v>
      </c>
      <c r="G5410">
        <v>0</v>
      </c>
    </row>
    <row r="5411" spans="2:7" x14ac:dyDescent="0.25">
      <c r="B5411" s="70">
        <v>43391</v>
      </c>
      <c r="C5411" t="s">
        <v>48</v>
      </c>
      <c r="D5411" t="s">
        <v>84</v>
      </c>
      <c r="E5411" t="s">
        <v>502</v>
      </c>
      <c r="F5411">
        <v>940.61</v>
      </c>
      <c r="G5411">
        <v>0</v>
      </c>
    </row>
    <row r="5412" spans="2:7" x14ac:dyDescent="0.25">
      <c r="B5412" s="70">
        <v>43391</v>
      </c>
      <c r="C5412" t="s">
        <v>65</v>
      </c>
      <c r="D5412" t="s">
        <v>82</v>
      </c>
      <c r="E5412" t="s">
        <v>502</v>
      </c>
      <c r="F5412">
        <v>148</v>
      </c>
      <c r="G5412">
        <v>0</v>
      </c>
    </row>
    <row r="5413" spans="2:7" x14ac:dyDescent="0.25">
      <c r="B5413" s="70">
        <v>43391</v>
      </c>
      <c r="C5413" t="s">
        <v>24</v>
      </c>
      <c r="D5413" t="s">
        <v>79</v>
      </c>
      <c r="E5413" t="s">
        <v>502</v>
      </c>
      <c r="F5413">
        <v>8</v>
      </c>
      <c r="G5413">
        <v>0</v>
      </c>
    </row>
    <row r="5414" spans="2:7" x14ac:dyDescent="0.25">
      <c r="B5414" s="70">
        <v>43391</v>
      </c>
      <c r="C5414" t="s">
        <v>24</v>
      </c>
      <c r="D5414" t="s">
        <v>79</v>
      </c>
      <c r="E5414" t="s">
        <v>502</v>
      </c>
      <c r="F5414">
        <v>16</v>
      </c>
      <c r="G5414">
        <v>0</v>
      </c>
    </row>
    <row r="5415" spans="2:7" x14ac:dyDescent="0.25">
      <c r="B5415" s="70">
        <v>43391</v>
      </c>
      <c r="C5415" t="s">
        <v>60</v>
      </c>
      <c r="D5415" t="s">
        <v>85</v>
      </c>
      <c r="E5415" t="s">
        <v>502</v>
      </c>
      <c r="F5415">
        <v>49.5</v>
      </c>
      <c r="G5415">
        <v>0</v>
      </c>
    </row>
    <row r="5416" spans="2:7" x14ac:dyDescent="0.25">
      <c r="B5416" s="70">
        <v>43392</v>
      </c>
      <c r="C5416" t="s">
        <v>25</v>
      </c>
      <c r="D5416" t="s">
        <v>79</v>
      </c>
      <c r="E5416" t="s">
        <v>503</v>
      </c>
      <c r="F5416">
        <v>8</v>
      </c>
      <c r="G5416">
        <v>0</v>
      </c>
    </row>
    <row r="5417" spans="2:7" x14ac:dyDescent="0.25">
      <c r="B5417" s="70">
        <v>43392</v>
      </c>
      <c r="C5417" t="s">
        <v>25</v>
      </c>
      <c r="D5417" t="s">
        <v>87</v>
      </c>
      <c r="E5417" t="s">
        <v>503</v>
      </c>
      <c r="F5417">
        <v>55.52</v>
      </c>
      <c r="G5417">
        <v>0</v>
      </c>
    </row>
    <row r="5418" spans="2:7" x14ac:dyDescent="0.25">
      <c r="B5418" s="70">
        <v>43392</v>
      </c>
      <c r="C5418" t="s">
        <v>25</v>
      </c>
      <c r="D5418" t="s">
        <v>87</v>
      </c>
      <c r="E5418" t="s">
        <v>503</v>
      </c>
      <c r="F5418">
        <v>58.3</v>
      </c>
      <c r="G5418">
        <v>0</v>
      </c>
    </row>
    <row r="5419" spans="2:7" x14ac:dyDescent="0.25">
      <c r="B5419" s="70">
        <v>43392</v>
      </c>
      <c r="C5419" t="s">
        <v>25</v>
      </c>
      <c r="D5419" t="s">
        <v>87</v>
      </c>
      <c r="E5419" t="s">
        <v>503</v>
      </c>
      <c r="F5419">
        <v>40.18</v>
      </c>
      <c r="G5419">
        <v>0</v>
      </c>
    </row>
    <row r="5420" spans="2:7" x14ac:dyDescent="0.25">
      <c r="B5420" s="70">
        <v>43392</v>
      </c>
      <c r="C5420" t="s">
        <v>25</v>
      </c>
      <c r="D5420" t="s">
        <v>81</v>
      </c>
      <c r="E5420" t="s">
        <v>333</v>
      </c>
      <c r="F5420">
        <v>10.5</v>
      </c>
      <c r="G5420">
        <v>0</v>
      </c>
    </row>
    <row r="5421" spans="2:7" x14ac:dyDescent="0.25">
      <c r="B5421" s="70">
        <v>43392</v>
      </c>
      <c r="C5421" t="s">
        <v>25</v>
      </c>
      <c r="D5421" t="s">
        <v>81</v>
      </c>
      <c r="E5421" t="s">
        <v>253</v>
      </c>
      <c r="F5421">
        <v>1.8</v>
      </c>
      <c r="G5421">
        <v>0</v>
      </c>
    </row>
    <row r="5422" spans="2:7" x14ac:dyDescent="0.25">
      <c r="B5422" s="70">
        <v>43392</v>
      </c>
      <c r="C5422" t="s">
        <v>25</v>
      </c>
      <c r="D5422" t="s">
        <v>81</v>
      </c>
      <c r="E5422" t="s">
        <v>133</v>
      </c>
      <c r="F5422">
        <v>1.8</v>
      </c>
      <c r="G5422">
        <v>0</v>
      </c>
    </row>
    <row r="5423" spans="2:7" x14ac:dyDescent="0.25">
      <c r="B5423" s="70">
        <v>43392</v>
      </c>
      <c r="C5423" t="s">
        <v>46</v>
      </c>
      <c r="D5423" t="s">
        <v>82</v>
      </c>
      <c r="E5423" t="s">
        <v>503</v>
      </c>
      <c r="F5423">
        <v>10</v>
      </c>
      <c r="G5423">
        <v>0</v>
      </c>
    </row>
    <row r="5424" spans="2:7" x14ac:dyDescent="0.25">
      <c r="B5424" s="70">
        <v>43392</v>
      </c>
      <c r="C5424" t="s">
        <v>47</v>
      </c>
      <c r="D5424" t="s">
        <v>80</v>
      </c>
      <c r="E5424" t="s">
        <v>503</v>
      </c>
      <c r="F5424">
        <v>54.63</v>
      </c>
      <c r="G5424">
        <v>0</v>
      </c>
    </row>
    <row r="5425" spans="2:7" x14ac:dyDescent="0.25">
      <c r="B5425" s="70">
        <v>43392</v>
      </c>
      <c r="C5425" t="s">
        <v>47</v>
      </c>
      <c r="D5425" t="s">
        <v>86</v>
      </c>
      <c r="E5425" t="s">
        <v>503</v>
      </c>
      <c r="F5425">
        <v>667.23</v>
      </c>
      <c r="G5425">
        <v>0</v>
      </c>
    </row>
    <row r="5426" spans="2:7" x14ac:dyDescent="0.25">
      <c r="B5426" s="70">
        <v>43392</v>
      </c>
      <c r="C5426" t="s">
        <v>21</v>
      </c>
      <c r="D5426" t="s">
        <v>79</v>
      </c>
      <c r="E5426" t="s">
        <v>503</v>
      </c>
      <c r="F5426">
        <v>8</v>
      </c>
      <c r="G5426">
        <v>0</v>
      </c>
    </row>
    <row r="5427" spans="2:7" x14ac:dyDescent="0.25">
      <c r="B5427" s="70">
        <v>43392</v>
      </c>
      <c r="C5427" t="s">
        <v>21</v>
      </c>
      <c r="D5427" t="s">
        <v>79</v>
      </c>
      <c r="E5427" t="s">
        <v>503</v>
      </c>
      <c r="F5427">
        <v>16</v>
      </c>
      <c r="G5427">
        <v>0</v>
      </c>
    </row>
    <row r="5428" spans="2:7" x14ac:dyDescent="0.25">
      <c r="B5428" s="70">
        <v>43392</v>
      </c>
      <c r="C5428" t="s">
        <v>21</v>
      </c>
      <c r="D5428" t="s">
        <v>79</v>
      </c>
      <c r="E5428" t="s">
        <v>503</v>
      </c>
      <c r="F5428">
        <v>32</v>
      </c>
      <c r="G5428">
        <v>0</v>
      </c>
    </row>
    <row r="5429" spans="2:7" x14ac:dyDescent="0.25">
      <c r="B5429" s="70">
        <v>43392</v>
      </c>
      <c r="C5429" t="s">
        <v>48</v>
      </c>
      <c r="D5429" t="s">
        <v>82</v>
      </c>
      <c r="E5429" t="s">
        <v>503</v>
      </c>
      <c r="F5429">
        <v>287</v>
      </c>
      <c r="G5429">
        <v>0</v>
      </c>
    </row>
    <row r="5430" spans="2:7" x14ac:dyDescent="0.25">
      <c r="B5430" s="70">
        <v>43392</v>
      </c>
      <c r="C5430" t="s">
        <v>50</v>
      </c>
      <c r="D5430" t="s">
        <v>82</v>
      </c>
      <c r="E5430" t="s">
        <v>503</v>
      </c>
      <c r="F5430">
        <v>29.46</v>
      </c>
      <c r="G5430">
        <v>0</v>
      </c>
    </row>
    <row r="5431" spans="2:7" x14ac:dyDescent="0.25">
      <c r="B5431" s="70">
        <v>43392</v>
      </c>
      <c r="C5431" t="s">
        <v>58</v>
      </c>
      <c r="D5431" t="s">
        <v>84</v>
      </c>
      <c r="E5431" t="s">
        <v>503</v>
      </c>
      <c r="F5431">
        <v>70</v>
      </c>
      <c r="G5431">
        <v>0</v>
      </c>
    </row>
    <row r="5432" spans="2:7" x14ac:dyDescent="0.25">
      <c r="B5432" s="70">
        <v>43392</v>
      </c>
      <c r="C5432" t="s">
        <v>65</v>
      </c>
      <c r="D5432" t="s">
        <v>80</v>
      </c>
      <c r="E5432" t="s">
        <v>503</v>
      </c>
      <c r="F5432">
        <v>27.55</v>
      </c>
      <c r="G5432">
        <v>0</v>
      </c>
    </row>
    <row r="5433" spans="2:7" x14ac:dyDescent="0.25">
      <c r="B5433" s="70">
        <v>43392</v>
      </c>
      <c r="C5433" t="s">
        <v>24</v>
      </c>
      <c r="D5433" t="s">
        <v>79</v>
      </c>
      <c r="E5433" t="s">
        <v>503</v>
      </c>
      <c r="F5433">
        <v>8</v>
      </c>
      <c r="G5433">
        <v>0</v>
      </c>
    </row>
    <row r="5434" spans="2:7" x14ac:dyDescent="0.25">
      <c r="B5434" s="70">
        <v>43259</v>
      </c>
      <c r="C5434" t="s">
        <v>25</v>
      </c>
      <c r="D5434" t="s">
        <v>85</v>
      </c>
      <c r="E5434" t="s">
        <v>504</v>
      </c>
      <c r="F5434">
        <v>61.42</v>
      </c>
      <c r="G5434">
        <v>0</v>
      </c>
    </row>
    <row r="5435" spans="2:7" x14ac:dyDescent="0.25">
      <c r="B5435" s="70">
        <v>43259</v>
      </c>
      <c r="C5435" t="s">
        <v>25</v>
      </c>
      <c r="D5435" t="s">
        <v>81</v>
      </c>
      <c r="E5435" t="s">
        <v>240</v>
      </c>
      <c r="F5435">
        <v>2.25</v>
      </c>
      <c r="G5435">
        <v>0</v>
      </c>
    </row>
    <row r="5436" spans="2:7" x14ac:dyDescent="0.25">
      <c r="B5436" s="70">
        <v>43259</v>
      </c>
      <c r="C5436" t="s">
        <v>25</v>
      </c>
      <c r="D5436" t="s">
        <v>81</v>
      </c>
      <c r="E5436" t="s">
        <v>139</v>
      </c>
      <c r="F5436">
        <v>9.1999999999999993</v>
      </c>
      <c r="G5436">
        <v>0</v>
      </c>
    </row>
    <row r="5437" spans="2:7" x14ac:dyDescent="0.25">
      <c r="B5437" s="70">
        <v>43259</v>
      </c>
      <c r="C5437" t="s">
        <v>25</v>
      </c>
      <c r="D5437" t="s">
        <v>81</v>
      </c>
      <c r="E5437" t="s">
        <v>241</v>
      </c>
      <c r="F5437">
        <v>6.6</v>
      </c>
      <c r="G5437">
        <v>0</v>
      </c>
    </row>
    <row r="5438" spans="2:7" x14ac:dyDescent="0.25">
      <c r="B5438" s="70">
        <v>43259</v>
      </c>
      <c r="C5438" t="s">
        <v>25</v>
      </c>
      <c r="D5438" t="s">
        <v>82</v>
      </c>
      <c r="E5438" t="s">
        <v>504</v>
      </c>
      <c r="F5438">
        <v>19</v>
      </c>
      <c r="G5438">
        <v>0</v>
      </c>
    </row>
    <row r="5439" spans="2:7" x14ac:dyDescent="0.25">
      <c r="B5439" s="70">
        <v>43259</v>
      </c>
      <c r="C5439" t="s">
        <v>54</v>
      </c>
      <c r="D5439" t="s">
        <v>79</v>
      </c>
      <c r="E5439" t="s">
        <v>504</v>
      </c>
      <c r="F5439">
        <v>22.45</v>
      </c>
      <c r="G5439">
        <v>0</v>
      </c>
    </row>
    <row r="5440" spans="2:7" x14ac:dyDescent="0.25">
      <c r="B5440" s="70">
        <v>43259</v>
      </c>
      <c r="C5440" t="s">
        <v>54</v>
      </c>
      <c r="D5440" t="s">
        <v>85</v>
      </c>
      <c r="E5440" t="s">
        <v>504</v>
      </c>
      <c r="F5440">
        <v>51.92</v>
      </c>
      <c r="G5440">
        <v>0</v>
      </c>
    </row>
    <row r="5441" spans="2:7" x14ac:dyDescent="0.25">
      <c r="B5441" s="70">
        <v>43259</v>
      </c>
      <c r="C5441" t="s">
        <v>46</v>
      </c>
      <c r="D5441" t="s">
        <v>79</v>
      </c>
      <c r="E5441" t="s">
        <v>504</v>
      </c>
      <c r="F5441">
        <v>51.97</v>
      </c>
      <c r="G5441">
        <v>0</v>
      </c>
    </row>
    <row r="5442" spans="2:7" x14ac:dyDescent="0.25">
      <c r="B5442" s="70">
        <v>43259</v>
      </c>
      <c r="C5442" t="s">
        <v>46</v>
      </c>
      <c r="D5442" t="s">
        <v>85</v>
      </c>
      <c r="E5442" t="s">
        <v>504</v>
      </c>
      <c r="F5442">
        <v>20.95</v>
      </c>
      <c r="G5442">
        <v>0</v>
      </c>
    </row>
    <row r="5443" spans="2:7" x14ac:dyDescent="0.25">
      <c r="B5443" s="70">
        <v>43259</v>
      </c>
      <c r="C5443" t="s">
        <v>46</v>
      </c>
      <c r="D5443" t="s">
        <v>82</v>
      </c>
      <c r="E5443" t="s">
        <v>504</v>
      </c>
      <c r="F5443">
        <v>22.92</v>
      </c>
      <c r="G5443">
        <v>0</v>
      </c>
    </row>
    <row r="5444" spans="2:7" x14ac:dyDescent="0.25">
      <c r="B5444" s="70">
        <v>43259</v>
      </c>
      <c r="C5444" t="s">
        <v>51</v>
      </c>
      <c r="D5444" t="s">
        <v>82</v>
      </c>
      <c r="E5444" t="s">
        <v>504</v>
      </c>
      <c r="F5444">
        <v>41</v>
      </c>
      <c r="G5444">
        <v>0</v>
      </c>
    </row>
    <row r="5445" spans="2:7" x14ac:dyDescent="0.25">
      <c r="B5445" s="70">
        <v>43259</v>
      </c>
      <c r="C5445" t="s">
        <v>21</v>
      </c>
      <c r="D5445" t="s">
        <v>79</v>
      </c>
      <c r="E5445" t="s">
        <v>504</v>
      </c>
      <c r="F5445">
        <v>8</v>
      </c>
      <c r="G5445">
        <v>0</v>
      </c>
    </row>
    <row r="5446" spans="2:7" x14ac:dyDescent="0.25">
      <c r="B5446" s="70">
        <v>43259</v>
      </c>
      <c r="C5446" t="s">
        <v>21</v>
      </c>
      <c r="D5446" t="s">
        <v>79</v>
      </c>
      <c r="E5446" t="s">
        <v>504</v>
      </c>
      <c r="F5446">
        <v>16</v>
      </c>
      <c r="G5446">
        <v>0</v>
      </c>
    </row>
    <row r="5447" spans="2:7" x14ac:dyDescent="0.25">
      <c r="B5447" s="70">
        <v>43259</v>
      </c>
      <c r="C5447" t="s">
        <v>21</v>
      </c>
      <c r="D5447" t="s">
        <v>79</v>
      </c>
      <c r="E5447" t="s">
        <v>504</v>
      </c>
      <c r="F5447">
        <v>32</v>
      </c>
      <c r="G5447">
        <v>0</v>
      </c>
    </row>
    <row r="5448" spans="2:7" x14ac:dyDescent="0.25">
      <c r="B5448" s="70">
        <v>43259</v>
      </c>
      <c r="C5448" t="s">
        <v>21</v>
      </c>
      <c r="D5448" t="s">
        <v>79</v>
      </c>
      <c r="E5448" t="s">
        <v>504</v>
      </c>
      <c r="F5448">
        <v>48</v>
      </c>
      <c r="G5448">
        <v>0</v>
      </c>
    </row>
    <row r="5449" spans="2:7" x14ac:dyDescent="0.25">
      <c r="B5449" s="70">
        <v>43259</v>
      </c>
      <c r="C5449" t="s">
        <v>45</v>
      </c>
      <c r="D5449" t="s">
        <v>82</v>
      </c>
      <c r="E5449" t="s">
        <v>504</v>
      </c>
      <c r="F5449">
        <v>100.6</v>
      </c>
      <c r="G5449">
        <v>0</v>
      </c>
    </row>
    <row r="5450" spans="2:7" x14ac:dyDescent="0.25">
      <c r="B5450" s="70">
        <v>43259</v>
      </c>
      <c r="C5450" t="s">
        <v>50</v>
      </c>
      <c r="D5450" t="s">
        <v>82</v>
      </c>
      <c r="E5450" t="s">
        <v>504</v>
      </c>
      <c r="F5450">
        <v>26.1</v>
      </c>
      <c r="G5450">
        <v>0</v>
      </c>
    </row>
    <row r="5451" spans="2:7" x14ac:dyDescent="0.25">
      <c r="B5451" s="70">
        <v>43281</v>
      </c>
      <c r="C5451" t="s">
        <v>25</v>
      </c>
      <c r="D5451" t="s">
        <v>81</v>
      </c>
      <c r="E5451" t="s">
        <v>131</v>
      </c>
      <c r="F5451">
        <v>7.3</v>
      </c>
      <c r="G5451">
        <v>0</v>
      </c>
    </row>
    <row r="5452" spans="2:7" x14ac:dyDescent="0.25">
      <c r="B5452" s="70">
        <v>43281</v>
      </c>
      <c r="C5452" t="s">
        <v>25</v>
      </c>
      <c r="D5452" t="s">
        <v>81</v>
      </c>
      <c r="E5452" t="s">
        <v>139</v>
      </c>
      <c r="F5452">
        <v>1.8</v>
      </c>
      <c r="G5452">
        <v>0</v>
      </c>
    </row>
    <row r="5453" spans="2:7" x14ac:dyDescent="0.25">
      <c r="B5453" s="70">
        <v>43318</v>
      </c>
      <c r="C5453" t="s">
        <v>25</v>
      </c>
      <c r="D5453" t="s">
        <v>81</v>
      </c>
      <c r="E5453" t="s">
        <v>137</v>
      </c>
      <c r="F5453">
        <v>13</v>
      </c>
      <c r="G5453">
        <v>0</v>
      </c>
    </row>
    <row r="5454" spans="2:7" x14ac:dyDescent="0.25">
      <c r="B5454" s="70">
        <v>43318</v>
      </c>
      <c r="C5454" t="s">
        <v>25</v>
      </c>
      <c r="D5454" t="s">
        <v>81</v>
      </c>
      <c r="E5454" t="s">
        <v>149</v>
      </c>
      <c r="F5454">
        <v>1.8</v>
      </c>
      <c r="G5454">
        <v>0</v>
      </c>
    </row>
    <row r="5455" spans="2:7" x14ac:dyDescent="0.25">
      <c r="B5455" s="70">
        <v>43318</v>
      </c>
      <c r="C5455" t="s">
        <v>25</v>
      </c>
      <c r="D5455" t="s">
        <v>81</v>
      </c>
      <c r="E5455" t="s">
        <v>139</v>
      </c>
      <c r="F5455">
        <v>9.1999999999999993</v>
      </c>
      <c r="G5455">
        <v>0</v>
      </c>
    </row>
    <row r="5456" spans="2:7" x14ac:dyDescent="0.25">
      <c r="B5456" s="70">
        <v>43318</v>
      </c>
      <c r="C5456" t="s">
        <v>25</v>
      </c>
      <c r="D5456" t="s">
        <v>81</v>
      </c>
      <c r="E5456" t="s">
        <v>241</v>
      </c>
      <c r="F5456">
        <v>3.15</v>
      </c>
      <c r="G5456">
        <v>0</v>
      </c>
    </row>
    <row r="5457" spans="2:7" x14ac:dyDescent="0.25">
      <c r="B5457" s="70">
        <v>43318</v>
      </c>
      <c r="C5457" t="s">
        <v>25</v>
      </c>
      <c r="D5457" t="s">
        <v>81</v>
      </c>
      <c r="E5457" t="s">
        <v>164</v>
      </c>
      <c r="F5457">
        <v>18</v>
      </c>
      <c r="G5457">
        <v>0</v>
      </c>
    </row>
    <row r="5458" spans="2:7" x14ac:dyDescent="0.25">
      <c r="B5458" s="70">
        <v>43318</v>
      </c>
      <c r="C5458" t="s">
        <v>21</v>
      </c>
      <c r="D5458" t="s">
        <v>79</v>
      </c>
      <c r="E5458" t="s">
        <v>505</v>
      </c>
      <c r="F5458">
        <v>8</v>
      </c>
      <c r="G5458">
        <v>0</v>
      </c>
    </row>
    <row r="5459" spans="2:7" x14ac:dyDescent="0.25">
      <c r="B5459" s="70">
        <v>43318</v>
      </c>
      <c r="C5459" t="s">
        <v>21</v>
      </c>
      <c r="D5459" t="s">
        <v>79</v>
      </c>
      <c r="E5459" t="s">
        <v>505</v>
      </c>
      <c r="F5459">
        <v>16</v>
      </c>
      <c r="G5459">
        <v>0</v>
      </c>
    </row>
    <row r="5460" spans="2:7" x14ac:dyDescent="0.25">
      <c r="B5460" s="70">
        <v>43318</v>
      </c>
      <c r="C5460" t="s">
        <v>21</v>
      </c>
      <c r="D5460" t="s">
        <v>79</v>
      </c>
      <c r="E5460" t="s">
        <v>505</v>
      </c>
      <c r="F5460">
        <v>24</v>
      </c>
      <c r="G5460">
        <v>0</v>
      </c>
    </row>
    <row r="5461" spans="2:7" x14ac:dyDescent="0.25">
      <c r="B5461" s="70">
        <v>43318</v>
      </c>
      <c r="C5461" t="s">
        <v>21</v>
      </c>
      <c r="D5461" t="s">
        <v>79</v>
      </c>
      <c r="E5461" t="s">
        <v>505</v>
      </c>
      <c r="F5461">
        <v>32</v>
      </c>
      <c r="G5461">
        <v>0</v>
      </c>
    </row>
    <row r="5462" spans="2:7" x14ac:dyDescent="0.25">
      <c r="B5462" s="70">
        <v>43318</v>
      </c>
      <c r="C5462" t="s">
        <v>21</v>
      </c>
      <c r="D5462" t="s">
        <v>79</v>
      </c>
      <c r="E5462" t="s">
        <v>505</v>
      </c>
      <c r="F5462">
        <v>48</v>
      </c>
      <c r="G5462">
        <v>0</v>
      </c>
    </row>
    <row r="5463" spans="2:7" x14ac:dyDescent="0.25">
      <c r="B5463" s="70">
        <v>43318</v>
      </c>
      <c r="C5463" t="s">
        <v>55</v>
      </c>
      <c r="D5463" t="s">
        <v>85</v>
      </c>
      <c r="E5463" t="s">
        <v>505</v>
      </c>
      <c r="F5463">
        <v>578.27</v>
      </c>
      <c r="G5463">
        <v>0</v>
      </c>
    </row>
    <row r="5464" spans="2:7" x14ac:dyDescent="0.25">
      <c r="B5464" s="70">
        <v>43318</v>
      </c>
      <c r="C5464" t="s">
        <v>24</v>
      </c>
      <c r="D5464" t="s">
        <v>79</v>
      </c>
      <c r="E5464" t="s">
        <v>505</v>
      </c>
      <c r="F5464">
        <v>8</v>
      </c>
      <c r="G5464">
        <v>0</v>
      </c>
    </row>
    <row r="5465" spans="2:7" x14ac:dyDescent="0.25">
      <c r="B5465" s="70">
        <v>43354</v>
      </c>
      <c r="C5465" t="s">
        <v>25</v>
      </c>
      <c r="D5465" t="s">
        <v>83</v>
      </c>
      <c r="E5465" t="s">
        <v>506</v>
      </c>
      <c r="F5465">
        <v>49.98</v>
      </c>
      <c r="G5465">
        <v>0</v>
      </c>
    </row>
    <row r="5466" spans="2:7" x14ac:dyDescent="0.25">
      <c r="B5466" s="70">
        <v>43354</v>
      </c>
      <c r="C5466" t="s">
        <v>25</v>
      </c>
      <c r="D5466" t="s">
        <v>80</v>
      </c>
      <c r="E5466" t="s">
        <v>506</v>
      </c>
      <c r="F5466">
        <v>17.98</v>
      </c>
      <c r="G5466">
        <v>0</v>
      </c>
    </row>
    <row r="5467" spans="2:7" x14ac:dyDescent="0.25">
      <c r="B5467" s="70">
        <v>43354</v>
      </c>
      <c r="C5467" t="s">
        <v>25</v>
      </c>
      <c r="D5467" t="s">
        <v>80</v>
      </c>
      <c r="E5467" t="s">
        <v>506</v>
      </c>
      <c r="F5467">
        <v>161.53</v>
      </c>
      <c r="G5467">
        <v>0</v>
      </c>
    </row>
    <row r="5468" spans="2:7" x14ac:dyDescent="0.25">
      <c r="B5468" s="70">
        <v>43354</v>
      </c>
      <c r="C5468" t="s">
        <v>25</v>
      </c>
      <c r="D5468" t="s">
        <v>80</v>
      </c>
      <c r="E5468" t="s">
        <v>506</v>
      </c>
      <c r="F5468">
        <v>25.39</v>
      </c>
      <c r="G5468">
        <v>0</v>
      </c>
    </row>
    <row r="5469" spans="2:7" x14ac:dyDescent="0.25">
      <c r="B5469" s="70">
        <v>43354</v>
      </c>
      <c r="C5469" t="s">
        <v>25</v>
      </c>
      <c r="D5469" t="s">
        <v>87</v>
      </c>
      <c r="E5469" t="s">
        <v>506</v>
      </c>
      <c r="F5469">
        <v>39</v>
      </c>
      <c r="G5469">
        <v>0</v>
      </c>
    </row>
    <row r="5470" spans="2:7" x14ac:dyDescent="0.25">
      <c r="B5470" s="70">
        <v>43354</v>
      </c>
      <c r="C5470" t="s">
        <v>25</v>
      </c>
      <c r="D5470" t="s">
        <v>87</v>
      </c>
      <c r="E5470" t="s">
        <v>506</v>
      </c>
      <c r="F5470">
        <v>51.8</v>
      </c>
      <c r="G5470">
        <v>0</v>
      </c>
    </row>
    <row r="5471" spans="2:7" x14ac:dyDescent="0.25">
      <c r="B5471" s="70">
        <v>43354</v>
      </c>
      <c r="C5471" t="s">
        <v>25</v>
      </c>
      <c r="D5471" t="s">
        <v>87</v>
      </c>
      <c r="E5471" t="s">
        <v>506</v>
      </c>
      <c r="F5471">
        <v>75.599999999999994</v>
      </c>
      <c r="G5471">
        <v>0</v>
      </c>
    </row>
    <row r="5472" spans="2:7" x14ac:dyDescent="0.25">
      <c r="B5472" s="70">
        <v>43354</v>
      </c>
      <c r="C5472" t="s">
        <v>25</v>
      </c>
      <c r="D5472" t="s">
        <v>87</v>
      </c>
      <c r="E5472" t="s">
        <v>506</v>
      </c>
      <c r="F5472">
        <v>29.74</v>
      </c>
      <c r="G5472">
        <v>0</v>
      </c>
    </row>
    <row r="5473" spans="2:7" x14ac:dyDescent="0.25">
      <c r="B5473" s="70">
        <v>43354</v>
      </c>
      <c r="C5473" t="s">
        <v>25</v>
      </c>
      <c r="D5473" t="s">
        <v>87</v>
      </c>
      <c r="E5473" t="s">
        <v>506</v>
      </c>
      <c r="F5473">
        <v>197.14</v>
      </c>
      <c r="G5473">
        <v>0</v>
      </c>
    </row>
    <row r="5474" spans="2:7" x14ac:dyDescent="0.25">
      <c r="B5474" s="70">
        <v>43354</v>
      </c>
      <c r="C5474" t="s">
        <v>25</v>
      </c>
      <c r="D5474" t="s">
        <v>87</v>
      </c>
      <c r="E5474" t="s">
        <v>506</v>
      </c>
      <c r="F5474">
        <v>89.33</v>
      </c>
      <c r="G5474">
        <v>0</v>
      </c>
    </row>
    <row r="5475" spans="2:7" x14ac:dyDescent="0.25">
      <c r="B5475" s="70">
        <v>43354</v>
      </c>
      <c r="C5475" t="s">
        <v>25</v>
      </c>
      <c r="D5475" t="s">
        <v>87</v>
      </c>
      <c r="E5475" t="s">
        <v>506</v>
      </c>
      <c r="F5475">
        <v>5.89</v>
      </c>
      <c r="G5475">
        <v>0</v>
      </c>
    </row>
    <row r="5476" spans="2:7" x14ac:dyDescent="0.25">
      <c r="B5476" s="70">
        <v>43354</v>
      </c>
      <c r="C5476" t="s">
        <v>25</v>
      </c>
      <c r="D5476" t="s">
        <v>87</v>
      </c>
      <c r="E5476" t="s">
        <v>506</v>
      </c>
      <c r="F5476">
        <v>20.94</v>
      </c>
      <c r="G5476">
        <v>0</v>
      </c>
    </row>
    <row r="5477" spans="2:7" x14ac:dyDescent="0.25">
      <c r="B5477" s="70">
        <v>43354</v>
      </c>
      <c r="C5477" t="s">
        <v>25</v>
      </c>
      <c r="D5477" t="s">
        <v>87</v>
      </c>
      <c r="E5477" t="s">
        <v>506</v>
      </c>
      <c r="F5477">
        <v>22.75</v>
      </c>
      <c r="G5477">
        <v>0</v>
      </c>
    </row>
    <row r="5478" spans="2:7" x14ac:dyDescent="0.25">
      <c r="B5478" s="70">
        <v>43354</v>
      </c>
      <c r="C5478" t="s">
        <v>25</v>
      </c>
      <c r="D5478" t="s">
        <v>87</v>
      </c>
      <c r="E5478" t="s">
        <v>506</v>
      </c>
      <c r="F5478">
        <v>54.04</v>
      </c>
      <c r="G5478">
        <v>0</v>
      </c>
    </row>
    <row r="5479" spans="2:7" x14ac:dyDescent="0.25">
      <c r="B5479" s="70">
        <v>43354</v>
      </c>
      <c r="C5479" t="s">
        <v>25</v>
      </c>
      <c r="D5479" t="s">
        <v>87</v>
      </c>
      <c r="E5479" t="s">
        <v>506</v>
      </c>
      <c r="F5479">
        <v>144.53</v>
      </c>
      <c r="G5479">
        <v>0</v>
      </c>
    </row>
    <row r="5480" spans="2:7" x14ac:dyDescent="0.25">
      <c r="B5480" s="70">
        <v>43354</v>
      </c>
      <c r="C5480" t="s">
        <v>25</v>
      </c>
      <c r="D5480" t="s">
        <v>87</v>
      </c>
      <c r="E5480" t="s">
        <v>506</v>
      </c>
      <c r="F5480">
        <v>91.71</v>
      </c>
      <c r="G5480">
        <v>0</v>
      </c>
    </row>
    <row r="5481" spans="2:7" x14ac:dyDescent="0.25">
      <c r="B5481" s="70">
        <v>43354</v>
      </c>
      <c r="C5481" t="s">
        <v>25</v>
      </c>
      <c r="D5481" t="s">
        <v>87</v>
      </c>
      <c r="E5481" t="s">
        <v>506</v>
      </c>
      <c r="F5481">
        <v>176.12</v>
      </c>
      <c r="G5481">
        <v>0</v>
      </c>
    </row>
    <row r="5482" spans="2:7" x14ac:dyDescent="0.25">
      <c r="B5482" s="70">
        <v>43354</v>
      </c>
      <c r="C5482" t="s">
        <v>25</v>
      </c>
      <c r="D5482" t="s">
        <v>87</v>
      </c>
      <c r="E5482" t="s">
        <v>506</v>
      </c>
      <c r="F5482">
        <v>155.51</v>
      </c>
      <c r="G5482">
        <v>0</v>
      </c>
    </row>
    <row r="5483" spans="2:7" x14ac:dyDescent="0.25">
      <c r="B5483" s="70">
        <v>43354</v>
      </c>
      <c r="C5483" t="s">
        <v>25</v>
      </c>
      <c r="D5483" t="s">
        <v>81</v>
      </c>
      <c r="E5483" t="s">
        <v>158</v>
      </c>
      <c r="F5483">
        <v>7.35</v>
      </c>
      <c r="G5483">
        <v>0</v>
      </c>
    </row>
    <row r="5484" spans="2:7" x14ac:dyDescent="0.25">
      <c r="B5484" s="70">
        <v>43354</v>
      </c>
      <c r="C5484" t="s">
        <v>25</v>
      </c>
      <c r="D5484" t="s">
        <v>81</v>
      </c>
      <c r="E5484" t="s">
        <v>139</v>
      </c>
      <c r="F5484">
        <v>1.8</v>
      </c>
      <c r="G5484">
        <v>0</v>
      </c>
    </row>
    <row r="5485" spans="2:7" x14ac:dyDescent="0.25">
      <c r="B5485" s="70">
        <v>43354</v>
      </c>
      <c r="C5485" t="s">
        <v>46</v>
      </c>
      <c r="D5485" t="s">
        <v>82</v>
      </c>
      <c r="E5485" t="s">
        <v>506</v>
      </c>
      <c r="F5485">
        <v>12.45</v>
      </c>
      <c r="G5485">
        <v>0</v>
      </c>
    </row>
    <row r="5486" spans="2:7" x14ac:dyDescent="0.25">
      <c r="B5486" s="70">
        <v>43354</v>
      </c>
      <c r="C5486" t="s">
        <v>59</v>
      </c>
      <c r="D5486" t="s">
        <v>80</v>
      </c>
      <c r="E5486" t="s">
        <v>506</v>
      </c>
      <c r="F5486">
        <v>112</v>
      </c>
      <c r="G5486">
        <v>0</v>
      </c>
    </row>
    <row r="5487" spans="2:7" x14ac:dyDescent="0.25">
      <c r="B5487" s="70">
        <v>43354</v>
      </c>
      <c r="C5487" t="s">
        <v>59</v>
      </c>
      <c r="D5487" t="s">
        <v>84</v>
      </c>
      <c r="E5487" t="s">
        <v>506</v>
      </c>
      <c r="F5487">
        <v>321.10000000000002</v>
      </c>
      <c r="G5487">
        <v>0</v>
      </c>
    </row>
    <row r="5488" spans="2:7" x14ac:dyDescent="0.25">
      <c r="B5488" s="70">
        <v>43354</v>
      </c>
      <c r="C5488" t="s">
        <v>47</v>
      </c>
      <c r="D5488" t="s">
        <v>79</v>
      </c>
      <c r="E5488" t="s">
        <v>506</v>
      </c>
      <c r="F5488">
        <v>10.46</v>
      </c>
      <c r="G5488">
        <v>0</v>
      </c>
    </row>
    <row r="5489" spans="2:7" x14ac:dyDescent="0.25">
      <c r="B5489" s="70">
        <v>43354</v>
      </c>
      <c r="C5489" t="s">
        <v>47</v>
      </c>
      <c r="D5489" t="s">
        <v>80</v>
      </c>
      <c r="E5489" t="s">
        <v>506</v>
      </c>
      <c r="F5489">
        <v>195.56</v>
      </c>
      <c r="G5489">
        <v>0</v>
      </c>
    </row>
    <row r="5490" spans="2:7" x14ac:dyDescent="0.25">
      <c r="B5490" s="70">
        <v>43354</v>
      </c>
      <c r="C5490" t="s">
        <v>47</v>
      </c>
      <c r="D5490" t="s">
        <v>86</v>
      </c>
      <c r="E5490" t="s">
        <v>506</v>
      </c>
      <c r="F5490">
        <v>211.95</v>
      </c>
      <c r="G5490">
        <v>0</v>
      </c>
    </row>
    <row r="5491" spans="2:7" x14ac:dyDescent="0.25">
      <c r="B5491" s="70">
        <v>43354</v>
      </c>
      <c r="C5491" t="s">
        <v>21</v>
      </c>
      <c r="D5491" t="s">
        <v>79</v>
      </c>
      <c r="E5491" t="s">
        <v>506</v>
      </c>
      <c r="F5491">
        <v>16</v>
      </c>
      <c r="G5491">
        <v>0</v>
      </c>
    </row>
    <row r="5492" spans="2:7" x14ac:dyDescent="0.25">
      <c r="B5492" s="70">
        <v>43354</v>
      </c>
      <c r="C5492" t="s">
        <v>21</v>
      </c>
      <c r="D5492" t="s">
        <v>79</v>
      </c>
      <c r="E5492" t="s">
        <v>506</v>
      </c>
      <c r="F5492">
        <v>24</v>
      </c>
      <c r="G5492">
        <v>0</v>
      </c>
    </row>
    <row r="5493" spans="2:7" x14ac:dyDescent="0.25">
      <c r="B5493" s="70">
        <v>43354</v>
      </c>
      <c r="C5493" t="s">
        <v>21</v>
      </c>
      <c r="D5493" t="s">
        <v>82</v>
      </c>
      <c r="E5493" t="s">
        <v>506</v>
      </c>
      <c r="F5493">
        <v>130</v>
      </c>
      <c r="G5493">
        <v>0</v>
      </c>
    </row>
    <row r="5494" spans="2:7" x14ac:dyDescent="0.25">
      <c r="B5494" s="70">
        <v>43354</v>
      </c>
      <c r="C5494" t="s">
        <v>66</v>
      </c>
      <c r="D5494" t="s">
        <v>84</v>
      </c>
      <c r="E5494" t="s">
        <v>506</v>
      </c>
      <c r="F5494">
        <v>200.5</v>
      </c>
      <c r="G5494">
        <v>0</v>
      </c>
    </row>
    <row r="5495" spans="2:7" x14ac:dyDescent="0.25">
      <c r="B5495" s="70">
        <v>43354</v>
      </c>
      <c r="C5495" t="s">
        <v>48</v>
      </c>
      <c r="D5495" t="s">
        <v>82</v>
      </c>
      <c r="E5495" t="s">
        <v>506</v>
      </c>
      <c r="F5495">
        <v>10</v>
      </c>
      <c r="G5495">
        <v>0</v>
      </c>
    </row>
    <row r="5496" spans="2:7" x14ac:dyDescent="0.25">
      <c r="B5496" s="70">
        <v>43354</v>
      </c>
      <c r="C5496" t="s">
        <v>55</v>
      </c>
      <c r="D5496" t="s">
        <v>83</v>
      </c>
      <c r="E5496" t="s">
        <v>506</v>
      </c>
      <c r="F5496">
        <v>254.35</v>
      </c>
      <c r="G5496">
        <v>0</v>
      </c>
    </row>
    <row r="5497" spans="2:7" x14ac:dyDescent="0.25">
      <c r="B5497" s="70">
        <v>43354</v>
      </c>
      <c r="C5497" t="s">
        <v>55</v>
      </c>
      <c r="D5497" t="s">
        <v>80</v>
      </c>
      <c r="E5497" t="s">
        <v>506</v>
      </c>
      <c r="F5497">
        <v>23.99</v>
      </c>
      <c r="G5497">
        <v>0</v>
      </c>
    </row>
    <row r="5498" spans="2:7" x14ac:dyDescent="0.25">
      <c r="B5498" s="70">
        <v>43354</v>
      </c>
      <c r="C5498" t="s">
        <v>55</v>
      </c>
      <c r="D5498" t="s">
        <v>82</v>
      </c>
      <c r="E5498" t="s">
        <v>506</v>
      </c>
      <c r="F5498">
        <v>48.3</v>
      </c>
      <c r="G5498">
        <v>0</v>
      </c>
    </row>
    <row r="5499" spans="2:7" x14ac:dyDescent="0.25">
      <c r="B5499" s="70">
        <v>43354</v>
      </c>
      <c r="C5499" t="s">
        <v>45</v>
      </c>
      <c r="D5499" t="s">
        <v>85</v>
      </c>
      <c r="E5499" t="s">
        <v>506</v>
      </c>
      <c r="F5499">
        <v>35</v>
      </c>
      <c r="G5499">
        <v>0</v>
      </c>
    </row>
    <row r="5500" spans="2:7" x14ac:dyDescent="0.25">
      <c r="B5500" s="70">
        <v>43354</v>
      </c>
      <c r="C5500" t="s">
        <v>50</v>
      </c>
      <c r="D5500" t="s">
        <v>79</v>
      </c>
      <c r="E5500" t="s">
        <v>506</v>
      </c>
      <c r="F5500">
        <v>24</v>
      </c>
      <c r="G5500">
        <v>0</v>
      </c>
    </row>
    <row r="5501" spans="2:7" x14ac:dyDescent="0.25">
      <c r="B5501" s="70">
        <v>43354</v>
      </c>
      <c r="C5501" t="s">
        <v>50</v>
      </c>
      <c r="D5501" t="s">
        <v>83</v>
      </c>
      <c r="E5501" t="s">
        <v>506</v>
      </c>
      <c r="F5501">
        <v>50</v>
      </c>
      <c r="G5501">
        <v>0</v>
      </c>
    </row>
    <row r="5502" spans="2:7" x14ac:dyDescent="0.25">
      <c r="B5502" s="70">
        <v>43354</v>
      </c>
      <c r="C5502" t="s">
        <v>50</v>
      </c>
      <c r="D5502" t="s">
        <v>82</v>
      </c>
      <c r="E5502" t="s">
        <v>506</v>
      </c>
      <c r="F5502">
        <v>4.2</v>
      </c>
      <c r="G5502">
        <v>0</v>
      </c>
    </row>
    <row r="5503" spans="2:7" x14ac:dyDescent="0.25">
      <c r="B5503" s="70">
        <v>43354</v>
      </c>
      <c r="C5503" t="s">
        <v>58</v>
      </c>
      <c r="D5503" t="s">
        <v>82</v>
      </c>
      <c r="E5503" t="s">
        <v>506</v>
      </c>
      <c r="F5503">
        <v>43.2</v>
      </c>
      <c r="G5503">
        <v>0</v>
      </c>
    </row>
    <row r="5504" spans="2:7" x14ac:dyDescent="0.25">
      <c r="B5504" s="70">
        <v>43354</v>
      </c>
      <c r="C5504" t="s">
        <v>60</v>
      </c>
      <c r="D5504" t="s">
        <v>80</v>
      </c>
      <c r="E5504" t="s">
        <v>506</v>
      </c>
      <c r="F5504">
        <v>17.2</v>
      </c>
      <c r="G5504">
        <v>0</v>
      </c>
    </row>
    <row r="5505" spans="2:7" x14ac:dyDescent="0.25">
      <c r="B5505" s="70">
        <v>43370</v>
      </c>
      <c r="C5505" t="s">
        <v>25</v>
      </c>
      <c r="D5505" t="s">
        <v>85</v>
      </c>
      <c r="E5505" t="s">
        <v>507</v>
      </c>
      <c r="F5505">
        <v>24.98</v>
      </c>
      <c r="G5505">
        <v>0</v>
      </c>
    </row>
    <row r="5506" spans="2:7" x14ac:dyDescent="0.25">
      <c r="B5506" s="70">
        <v>43370</v>
      </c>
      <c r="C5506" t="s">
        <v>25</v>
      </c>
      <c r="D5506" t="s">
        <v>81</v>
      </c>
      <c r="E5506" t="s">
        <v>173</v>
      </c>
      <c r="F5506">
        <v>6.85</v>
      </c>
      <c r="G5506">
        <v>0</v>
      </c>
    </row>
    <row r="5507" spans="2:7" x14ac:dyDescent="0.25">
      <c r="B5507" s="70">
        <v>43370</v>
      </c>
      <c r="C5507" t="s">
        <v>25</v>
      </c>
      <c r="D5507" t="s">
        <v>81</v>
      </c>
      <c r="E5507" t="s">
        <v>195</v>
      </c>
      <c r="F5507">
        <v>7</v>
      </c>
      <c r="G5507">
        <v>0</v>
      </c>
    </row>
    <row r="5508" spans="2:7" x14ac:dyDescent="0.25">
      <c r="B5508" s="70">
        <v>43370</v>
      </c>
      <c r="C5508" t="s">
        <v>25</v>
      </c>
      <c r="D5508" t="s">
        <v>81</v>
      </c>
      <c r="E5508" t="s">
        <v>139</v>
      </c>
      <c r="F5508">
        <v>3.6</v>
      </c>
      <c r="G5508">
        <v>0</v>
      </c>
    </row>
    <row r="5509" spans="2:7" x14ac:dyDescent="0.25">
      <c r="B5509" s="70">
        <v>43370</v>
      </c>
      <c r="C5509" t="s">
        <v>25</v>
      </c>
      <c r="D5509" t="s">
        <v>81</v>
      </c>
      <c r="E5509" t="s">
        <v>132</v>
      </c>
      <c r="F5509">
        <v>1.8</v>
      </c>
      <c r="G5509">
        <v>0</v>
      </c>
    </row>
    <row r="5510" spans="2:7" x14ac:dyDescent="0.25">
      <c r="B5510" s="70">
        <v>43370</v>
      </c>
      <c r="C5510" t="s">
        <v>25</v>
      </c>
      <c r="D5510" t="s">
        <v>82</v>
      </c>
      <c r="E5510" t="s">
        <v>507</v>
      </c>
      <c r="F5510">
        <v>130</v>
      </c>
      <c r="G5510">
        <v>0</v>
      </c>
    </row>
    <row r="5511" spans="2:7" x14ac:dyDescent="0.25">
      <c r="B5511" s="70">
        <v>43370</v>
      </c>
      <c r="C5511" t="s">
        <v>21</v>
      </c>
      <c r="D5511" t="s">
        <v>79</v>
      </c>
      <c r="E5511" t="s">
        <v>507</v>
      </c>
      <c r="F5511">
        <v>24</v>
      </c>
      <c r="G5511">
        <v>0</v>
      </c>
    </row>
    <row r="5512" spans="2:7" x14ac:dyDescent="0.25">
      <c r="B5512" s="70">
        <v>43370</v>
      </c>
      <c r="C5512" t="s">
        <v>66</v>
      </c>
      <c r="D5512" t="s">
        <v>82</v>
      </c>
      <c r="E5512" t="s">
        <v>507</v>
      </c>
      <c r="F5512">
        <v>96</v>
      </c>
      <c r="G5512">
        <v>0</v>
      </c>
    </row>
    <row r="5513" spans="2:7" x14ac:dyDescent="0.25">
      <c r="B5513" s="70">
        <v>43370</v>
      </c>
      <c r="C5513" t="s">
        <v>48</v>
      </c>
      <c r="D5513" t="s">
        <v>79</v>
      </c>
      <c r="E5513" t="s">
        <v>507</v>
      </c>
      <c r="F5513">
        <v>120.18</v>
      </c>
      <c r="G5513">
        <v>0</v>
      </c>
    </row>
    <row r="5514" spans="2:7" x14ac:dyDescent="0.25">
      <c r="B5514" s="70">
        <v>43370</v>
      </c>
      <c r="C5514" t="s">
        <v>50</v>
      </c>
      <c r="D5514" t="s">
        <v>85</v>
      </c>
      <c r="E5514" t="s">
        <v>507</v>
      </c>
      <c r="F5514">
        <v>17.28</v>
      </c>
      <c r="G5514">
        <v>0</v>
      </c>
    </row>
    <row r="5515" spans="2:7" x14ac:dyDescent="0.25">
      <c r="B5515" s="70">
        <v>43370</v>
      </c>
      <c r="C5515" t="s">
        <v>50</v>
      </c>
      <c r="D5515" t="s">
        <v>82</v>
      </c>
      <c r="E5515" t="s">
        <v>507</v>
      </c>
      <c r="F5515">
        <v>19.71</v>
      </c>
      <c r="G5515">
        <v>0</v>
      </c>
    </row>
    <row r="5516" spans="2:7" x14ac:dyDescent="0.25">
      <c r="B5516" s="70">
        <v>43370</v>
      </c>
      <c r="C5516" t="s">
        <v>52</v>
      </c>
      <c r="D5516" t="s">
        <v>82</v>
      </c>
      <c r="E5516" t="s">
        <v>507</v>
      </c>
      <c r="F5516">
        <v>50.47</v>
      </c>
      <c r="G5516">
        <v>0</v>
      </c>
    </row>
    <row r="5517" spans="2:7" x14ac:dyDescent="0.25">
      <c r="B5517" s="70">
        <v>43370</v>
      </c>
      <c r="C5517" t="s">
        <v>58</v>
      </c>
      <c r="D5517" t="s">
        <v>84</v>
      </c>
      <c r="E5517" t="s">
        <v>507</v>
      </c>
      <c r="F5517">
        <v>65</v>
      </c>
      <c r="G5517">
        <v>0</v>
      </c>
    </row>
    <row r="5518" spans="2:7" x14ac:dyDescent="0.25">
      <c r="B5518" s="70">
        <v>43370</v>
      </c>
      <c r="C5518" t="s">
        <v>53</v>
      </c>
      <c r="D5518" t="s">
        <v>82</v>
      </c>
      <c r="E5518" t="s">
        <v>507</v>
      </c>
      <c r="F5518">
        <v>15</v>
      </c>
      <c r="G5518">
        <v>0</v>
      </c>
    </row>
    <row r="5519" spans="2:7" x14ac:dyDescent="0.25">
      <c r="B5519" s="70">
        <v>43370</v>
      </c>
      <c r="C5519" t="s">
        <v>65</v>
      </c>
      <c r="D5519" t="s">
        <v>82</v>
      </c>
      <c r="E5519" t="s">
        <v>507</v>
      </c>
      <c r="F5519">
        <v>99.54</v>
      </c>
      <c r="G5519">
        <v>0</v>
      </c>
    </row>
    <row r="5520" spans="2:7" x14ac:dyDescent="0.25">
      <c r="B5520" s="70">
        <v>43370</v>
      </c>
      <c r="C5520" t="s">
        <v>24</v>
      </c>
      <c r="D5520" t="s">
        <v>79</v>
      </c>
      <c r="E5520" t="s">
        <v>507</v>
      </c>
      <c r="F5520">
        <v>8</v>
      </c>
      <c r="G5520">
        <v>0</v>
      </c>
    </row>
    <row r="5521" spans="2:7" x14ac:dyDescent="0.25">
      <c r="B5521" s="70">
        <v>43378</v>
      </c>
      <c r="C5521" t="s">
        <v>25</v>
      </c>
      <c r="D5521" t="s">
        <v>79</v>
      </c>
      <c r="E5521" t="s">
        <v>508</v>
      </c>
      <c r="F5521">
        <v>8</v>
      </c>
      <c r="G5521">
        <v>0</v>
      </c>
    </row>
    <row r="5522" spans="2:7" x14ac:dyDescent="0.25">
      <c r="B5522" s="70">
        <v>43378</v>
      </c>
      <c r="C5522" t="s">
        <v>25</v>
      </c>
      <c r="D5522" t="s">
        <v>85</v>
      </c>
      <c r="E5522" t="s">
        <v>508</v>
      </c>
      <c r="F5522">
        <v>28</v>
      </c>
      <c r="G5522">
        <v>0</v>
      </c>
    </row>
    <row r="5523" spans="2:7" x14ac:dyDescent="0.25">
      <c r="B5523" s="70">
        <v>43378</v>
      </c>
      <c r="C5523" t="s">
        <v>25</v>
      </c>
      <c r="D5523" t="s">
        <v>81</v>
      </c>
      <c r="E5523" t="s">
        <v>178</v>
      </c>
      <c r="F5523">
        <v>4.5</v>
      </c>
      <c r="G5523">
        <v>0</v>
      </c>
    </row>
    <row r="5524" spans="2:7" x14ac:dyDescent="0.25">
      <c r="B5524" s="70">
        <v>43378</v>
      </c>
      <c r="C5524" t="s">
        <v>25</v>
      </c>
      <c r="D5524" t="s">
        <v>81</v>
      </c>
      <c r="E5524" t="s">
        <v>139</v>
      </c>
      <c r="F5524">
        <v>18.399999999999999</v>
      </c>
      <c r="G5524">
        <v>0</v>
      </c>
    </row>
    <row r="5525" spans="2:7" x14ac:dyDescent="0.25">
      <c r="B5525" s="70">
        <v>43378</v>
      </c>
      <c r="C5525" t="s">
        <v>25</v>
      </c>
      <c r="D5525" t="s">
        <v>84</v>
      </c>
      <c r="E5525" t="s">
        <v>508</v>
      </c>
      <c r="F5525">
        <v>178</v>
      </c>
      <c r="G5525">
        <v>0</v>
      </c>
    </row>
    <row r="5526" spans="2:7" x14ac:dyDescent="0.25">
      <c r="B5526" s="70">
        <v>43378</v>
      </c>
      <c r="C5526" t="s">
        <v>56</v>
      </c>
      <c r="D5526" t="s">
        <v>82</v>
      </c>
      <c r="E5526" t="s">
        <v>508</v>
      </c>
      <c r="F5526">
        <v>138</v>
      </c>
      <c r="G5526">
        <v>0</v>
      </c>
    </row>
    <row r="5527" spans="2:7" x14ac:dyDescent="0.25">
      <c r="B5527" s="70">
        <v>43378</v>
      </c>
      <c r="C5527" t="s">
        <v>21</v>
      </c>
      <c r="D5527" t="s">
        <v>79</v>
      </c>
      <c r="E5527" t="s">
        <v>508</v>
      </c>
      <c r="F5527">
        <v>8</v>
      </c>
      <c r="G5527">
        <v>0</v>
      </c>
    </row>
    <row r="5528" spans="2:7" x14ac:dyDescent="0.25">
      <c r="B5528" s="70">
        <v>43378</v>
      </c>
      <c r="C5528" t="s">
        <v>21</v>
      </c>
      <c r="D5528" t="s">
        <v>79</v>
      </c>
      <c r="E5528" t="s">
        <v>508</v>
      </c>
      <c r="F5528">
        <v>16</v>
      </c>
      <c r="G5528">
        <v>0</v>
      </c>
    </row>
    <row r="5529" spans="2:7" x14ac:dyDescent="0.25">
      <c r="B5529" s="70">
        <v>43378</v>
      </c>
      <c r="C5529" t="s">
        <v>66</v>
      </c>
      <c r="D5529" t="s">
        <v>82</v>
      </c>
      <c r="E5529" t="s">
        <v>508</v>
      </c>
      <c r="F5529">
        <v>166</v>
      </c>
      <c r="G5529">
        <v>0</v>
      </c>
    </row>
    <row r="5530" spans="2:7" x14ac:dyDescent="0.25">
      <c r="B5530" s="70">
        <v>43378</v>
      </c>
      <c r="C5530" t="s">
        <v>48</v>
      </c>
      <c r="D5530" t="s">
        <v>82</v>
      </c>
      <c r="E5530" t="s">
        <v>508</v>
      </c>
      <c r="F5530">
        <v>236</v>
      </c>
      <c r="G5530">
        <v>0</v>
      </c>
    </row>
    <row r="5531" spans="2:7" x14ac:dyDescent="0.25">
      <c r="B5531" s="70">
        <v>43378</v>
      </c>
      <c r="C5531" t="s">
        <v>48</v>
      </c>
      <c r="D5531" t="s">
        <v>84</v>
      </c>
      <c r="E5531" t="s">
        <v>508</v>
      </c>
      <c r="F5531">
        <v>131.68</v>
      </c>
      <c r="G5531">
        <v>0</v>
      </c>
    </row>
    <row r="5532" spans="2:7" x14ac:dyDescent="0.25">
      <c r="B5532" s="70">
        <v>43378</v>
      </c>
      <c r="C5532" t="s">
        <v>45</v>
      </c>
      <c r="D5532" t="s">
        <v>85</v>
      </c>
      <c r="E5532" t="s">
        <v>508</v>
      </c>
      <c r="F5532">
        <v>22.7</v>
      </c>
      <c r="G5532">
        <v>0</v>
      </c>
    </row>
    <row r="5533" spans="2:7" x14ac:dyDescent="0.25">
      <c r="B5533" s="70">
        <v>43378</v>
      </c>
      <c r="C5533" t="s">
        <v>50</v>
      </c>
      <c r="D5533" t="s">
        <v>82</v>
      </c>
      <c r="E5533" t="s">
        <v>508</v>
      </c>
      <c r="F5533">
        <v>21.98</v>
      </c>
      <c r="G5533">
        <v>0</v>
      </c>
    </row>
    <row r="5534" spans="2:7" x14ac:dyDescent="0.25">
      <c r="B5534" s="70">
        <v>43378</v>
      </c>
      <c r="C5534" t="s">
        <v>58</v>
      </c>
      <c r="D5534" t="s">
        <v>82</v>
      </c>
      <c r="E5534" t="s">
        <v>508</v>
      </c>
      <c r="F5534">
        <v>137.63999999999999</v>
      </c>
      <c r="G5534">
        <v>0</v>
      </c>
    </row>
    <row r="5535" spans="2:7" x14ac:dyDescent="0.25">
      <c r="B5535" s="70">
        <v>43378</v>
      </c>
      <c r="C5535" t="s">
        <v>65</v>
      </c>
      <c r="D5535" t="s">
        <v>82</v>
      </c>
      <c r="E5535" t="s">
        <v>508</v>
      </c>
      <c r="F5535">
        <v>21.37</v>
      </c>
      <c r="G5535">
        <v>0</v>
      </c>
    </row>
    <row r="5536" spans="2:7" x14ac:dyDescent="0.25">
      <c r="B5536" s="70">
        <v>43378</v>
      </c>
      <c r="C5536" t="s">
        <v>24</v>
      </c>
      <c r="D5536" t="s">
        <v>79</v>
      </c>
      <c r="E5536" t="s">
        <v>508</v>
      </c>
      <c r="F5536">
        <v>8</v>
      </c>
      <c r="G5536">
        <v>0</v>
      </c>
    </row>
    <row r="5537" spans="2:7" x14ac:dyDescent="0.25">
      <c r="B5537" s="70">
        <v>43378</v>
      </c>
      <c r="C5537" t="s">
        <v>60</v>
      </c>
      <c r="D5537" t="s">
        <v>79</v>
      </c>
      <c r="E5537" t="s">
        <v>508</v>
      </c>
      <c r="F5537">
        <v>70.75</v>
      </c>
      <c r="G5537">
        <v>0</v>
      </c>
    </row>
    <row r="5538" spans="2:7" x14ac:dyDescent="0.25">
      <c r="B5538" s="70">
        <v>43378</v>
      </c>
      <c r="C5538" t="s">
        <v>414</v>
      </c>
      <c r="D5538" t="s">
        <v>79</v>
      </c>
      <c r="E5538" t="s">
        <v>508</v>
      </c>
      <c r="F5538">
        <v>172</v>
      </c>
      <c r="G5538">
        <v>0</v>
      </c>
    </row>
    <row r="5539" spans="2:7" x14ac:dyDescent="0.25">
      <c r="B5539" s="70">
        <v>43390</v>
      </c>
      <c r="C5539" t="s">
        <v>25</v>
      </c>
      <c r="D5539" t="s">
        <v>85</v>
      </c>
      <c r="E5539" t="s">
        <v>509</v>
      </c>
      <c r="F5539">
        <v>36</v>
      </c>
      <c r="G5539">
        <v>0</v>
      </c>
    </row>
    <row r="5540" spans="2:7" x14ac:dyDescent="0.25">
      <c r="B5540" s="70">
        <v>43390</v>
      </c>
      <c r="C5540" t="s">
        <v>25</v>
      </c>
      <c r="D5540" t="s">
        <v>81</v>
      </c>
      <c r="E5540" t="s">
        <v>139</v>
      </c>
      <c r="F5540">
        <v>2.4</v>
      </c>
      <c r="G5540">
        <v>0</v>
      </c>
    </row>
    <row r="5541" spans="2:7" x14ac:dyDescent="0.25">
      <c r="B5541" s="70">
        <v>43390</v>
      </c>
      <c r="C5541" t="s">
        <v>54</v>
      </c>
      <c r="D5541" t="s">
        <v>86</v>
      </c>
      <c r="E5541" t="s">
        <v>509</v>
      </c>
      <c r="F5541">
        <v>713.5</v>
      </c>
      <c r="G5541">
        <v>0</v>
      </c>
    </row>
    <row r="5542" spans="2:7" x14ac:dyDescent="0.25">
      <c r="B5542" s="70">
        <v>43390</v>
      </c>
      <c r="C5542" t="s">
        <v>54</v>
      </c>
      <c r="D5542" t="s">
        <v>82</v>
      </c>
      <c r="E5542" t="s">
        <v>509</v>
      </c>
      <c r="F5542">
        <v>214.34</v>
      </c>
      <c r="G5542">
        <v>0</v>
      </c>
    </row>
    <row r="5543" spans="2:7" x14ac:dyDescent="0.25">
      <c r="B5543" s="70">
        <v>43390</v>
      </c>
      <c r="C5543" t="s">
        <v>46</v>
      </c>
      <c r="D5543" t="s">
        <v>86</v>
      </c>
      <c r="E5543" t="s">
        <v>509</v>
      </c>
      <c r="F5543">
        <v>222.6</v>
      </c>
      <c r="G5543">
        <v>0</v>
      </c>
    </row>
    <row r="5544" spans="2:7" x14ac:dyDescent="0.25">
      <c r="B5544" s="70">
        <v>43390</v>
      </c>
      <c r="C5544" t="s">
        <v>47</v>
      </c>
      <c r="D5544" t="s">
        <v>82</v>
      </c>
      <c r="E5544" t="s">
        <v>509</v>
      </c>
      <c r="F5544">
        <v>154.43</v>
      </c>
      <c r="G5544">
        <v>0</v>
      </c>
    </row>
    <row r="5545" spans="2:7" x14ac:dyDescent="0.25">
      <c r="B5545" s="70">
        <v>43390</v>
      </c>
      <c r="C5545" t="s">
        <v>57</v>
      </c>
      <c r="D5545" t="s">
        <v>86</v>
      </c>
      <c r="E5545" t="s">
        <v>509</v>
      </c>
      <c r="F5545">
        <v>36.799999999999997</v>
      </c>
      <c r="G5545">
        <v>0</v>
      </c>
    </row>
    <row r="5546" spans="2:7" x14ac:dyDescent="0.25">
      <c r="B5546" s="70">
        <v>43390</v>
      </c>
      <c r="C5546" t="s">
        <v>44</v>
      </c>
      <c r="D5546" t="s">
        <v>85</v>
      </c>
      <c r="E5546" t="s">
        <v>509</v>
      </c>
      <c r="F5546">
        <v>160.5</v>
      </c>
      <c r="G5546">
        <v>0</v>
      </c>
    </row>
    <row r="5547" spans="2:7" x14ac:dyDescent="0.25">
      <c r="B5547" s="70">
        <v>43390</v>
      </c>
      <c r="C5547" t="s">
        <v>44</v>
      </c>
      <c r="D5547" t="s">
        <v>86</v>
      </c>
      <c r="E5547" t="s">
        <v>509</v>
      </c>
      <c r="F5547">
        <v>58.35</v>
      </c>
      <c r="G5547">
        <v>0</v>
      </c>
    </row>
    <row r="5548" spans="2:7" x14ac:dyDescent="0.25">
      <c r="B5548" s="70">
        <v>43390</v>
      </c>
      <c r="C5548" t="s">
        <v>21</v>
      </c>
      <c r="D5548" t="s">
        <v>79</v>
      </c>
      <c r="E5548" t="s">
        <v>509</v>
      </c>
      <c r="F5548">
        <v>8</v>
      </c>
      <c r="G5548">
        <v>0</v>
      </c>
    </row>
    <row r="5549" spans="2:7" x14ac:dyDescent="0.25">
      <c r="B5549" s="70">
        <v>43390</v>
      </c>
      <c r="C5549" t="s">
        <v>21</v>
      </c>
      <c r="D5549" t="s">
        <v>79</v>
      </c>
      <c r="E5549" t="s">
        <v>509</v>
      </c>
      <c r="F5549">
        <v>16</v>
      </c>
      <c r="G5549">
        <v>0</v>
      </c>
    </row>
    <row r="5550" spans="2:7" x14ac:dyDescent="0.25">
      <c r="B5550" s="70">
        <v>43390</v>
      </c>
      <c r="C5550" t="s">
        <v>21</v>
      </c>
      <c r="D5550" t="s">
        <v>79</v>
      </c>
      <c r="E5550" t="s">
        <v>509</v>
      </c>
      <c r="F5550">
        <v>24</v>
      </c>
      <c r="G5550">
        <v>0</v>
      </c>
    </row>
    <row r="5551" spans="2:7" x14ac:dyDescent="0.25">
      <c r="B5551" s="70">
        <v>43390</v>
      </c>
      <c r="C5551" t="s">
        <v>21</v>
      </c>
      <c r="D5551" t="s">
        <v>79</v>
      </c>
      <c r="E5551" t="s">
        <v>509</v>
      </c>
      <c r="F5551">
        <v>32</v>
      </c>
      <c r="G5551">
        <v>0</v>
      </c>
    </row>
    <row r="5552" spans="2:7" x14ac:dyDescent="0.25">
      <c r="B5552" s="70">
        <v>43390</v>
      </c>
      <c r="C5552" t="s">
        <v>21</v>
      </c>
      <c r="D5552" t="s">
        <v>79</v>
      </c>
      <c r="E5552" t="s">
        <v>509</v>
      </c>
      <c r="F5552">
        <v>40</v>
      </c>
      <c r="G5552">
        <v>0</v>
      </c>
    </row>
    <row r="5553" spans="2:7" x14ac:dyDescent="0.25">
      <c r="B5553" s="70">
        <v>43390</v>
      </c>
      <c r="C5553" t="s">
        <v>21</v>
      </c>
      <c r="D5553" t="s">
        <v>79</v>
      </c>
      <c r="E5553" t="s">
        <v>509</v>
      </c>
      <c r="F5553">
        <v>56</v>
      </c>
      <c r="G5553">
        <v>0</v>
      </c>
    </row>
    <row r="5554" spans="2:7" x14ac:dyDescent="0.25">
      <c r="B5554" s="70">
        <v>43390</v>
      </c>
      <c r="C5554" t="s">
        <v>66</v>
      </c>
      <c r="D5554" t="s">
        <v>82</v>
      </c>
      <c r="E5554" t="s">
        <v>509</v>
      </c>
      <c r="F5554">
        <v>3.53</v>
      </c>
      <c r="G5554">
        <v>0</v>
      </c>
    </row>
    <row r="5555" spans="2:7" x14ac:dyDescent="0.25">
      <c r="B5555" s="70">
        <v>43390</v>
      </c>
      <c r="C5555" t="s">
        <v>48</v>
      </c>
      <c r="D5555" t="s">
        <v>82</v>
      </c>
      <c r="E5555" t="s">
        <v>509</v>
      </c>
      <c r="F5555">
        <v>49</v>
      </c>
      <c r="G5555">
        <v>0</v>
      </c>
    </row>
    <row r="5556" spans="2:7" x14ac:dyDescent="0.25">
      <c r="B5556" s="70">
        <v>43390</v>
      </c>
      <c r="C5556" t="s">
        <v>55</v>
      </c>
      <c r="D5556" t="s">
        <v>85</v>
      </c>
      <c r="E5556" t="s">
        <v>509</v>
      </c>
      <c r="F5556">
        <v>1233.6400000000001</v>
      </c>
      <c r="G5556">
        <v>0</v>
      </c>
    </row>
    <row r="5557" spans="2:7" x14ac:dyDescent="0.25">
      <c r="B5557" s="70">
        <v>43390</v>
      </c>
      <c r="C5557" t="s">
        <v>50</v>
      </c>
      <c r="D5557" t="s">
        <v>82</v>
      </c>
      <c r="E5557" t="s">
        <v>509</v>
      </c>
      <c r="F5557">
        <v>27.54</v>
      </c>
      <c r="G5557">
        <v>0</v>
      </c>
    </row>
    <row r="5558" spans="2:7" x14ac:dyDescent="0.25">
      <c r="B5558" s="70">
        <v>43390</v>
      </c>
      <c r="C5558" t="s">
        <v>65</v>
      </c>
      <c r="D5558" t="s">
        <v>85</v>
      </c>
      <c r="E5558" t="s">
        <v>509</v>
      </c>
      <c r="F5558">
        <v>7.06</v>
      </c>
      <c r="G5558">
        <v>0</v>
      </c>
    </row>
    <row r="5559" spans="2:7" x14ac:dyDescent="0.25">
      <c r="B5559" s="70">
        <v>43390</v>
      </c>
      <c r="C5559" t="s">
        <v>24</v>
      </c>
      <c r="D5559" t="s">
        <v>79</v>
      </c>
      <c r="E5559" t="s">
        <v>509</v>
      </c>
      <c r="F5559">
        <v>8</v>
      </c>
      <c r="G5559">
        <v>0</v>
      </c>
    </row>
    <row r="5560" spans="2:7" x14ac:dyDescent="0.25">
      <c r="B5560" s="70">
        <v>43390</v>
      </c>
      <c r="C5560" t="s">
        <v>60</v>
      </c>
      <c r="D5560" t="s">
        <v>79</v>
      </c>
      <c r="E5560" t="s">
        <v>509</v>
      </c>
      <c r="F5560">
        <v>33</v>
      </c>
      <c r="G5560">
        <v>0</v>
      </c>
    </row>
    <row r="5561" spans="2:7" x14ac:dyDescent="0.25">
      <c r="B5561" s="70">
        <v>43390</v>
      </c>
      <c r="C5561" t="s">
        <v>60</v>
      </c>
      <c r="D5561" t="s">
        <v>86</v>
      </c>
      <c r="E5561" t="s">
        <v>509</v>
      </c>
      <c r="F5561">
        <v>612.1</v>
      </c>
      <c r="G5561">
        <v>0</v>
      </c>
    </row>
    <row r="5562" spans="2:7" x14ac:dyDescent="0.25">
      <c r="B5562" s="70">
        <v>43390</v>
      </c>
      <c r="C5562" t="s">
        <v>61</v>
      </c>
      <c r="D5562" t="s">
        <v>86</v>
      </c>
      <c r="E5562" t="s">
        <v>509</v>
      </c>
      <c r="F5562">
        <v>619.5</v>
      </c>
      <c r="G5562">
        <v>0</v>
      </c>
    </row>
    <row r="5563" spans="2:7" x14ac:dyDescent="0.25">
      <c r="B5563" s="70">
        <v>43390</v>
      </c>
      <c r="C5563" t="s">
        <v>61</v>
      </c>
      <c r="D5563" t="s">
        <v>82</v>
      </c>
      <c r="E5563" t="s">
        <v>509</v>
      </c>
      <c r="F5563">
        <v>75</v>
      </c>
      <c r="G5563">
        <v>0</v>
      </c>
    </row>
    <row r="5564" spans="2:7" x14ac:dyDescent="0.25">
      <c r="B5564" s="70">
        <v>43390</v>
      </c>
      <c r="C5564" t="s">
        <v>62</v>
      </c>
      <c r="D5564" t="s">
        <v>86</v>
      </c>
      <c r="E5564" t="s">
        <v>509</v>
      </c>
      <c r="F5564">
        <v>92.95</v>
      </c>
      <c r="G5564">
        <v>0</v>
      </c>
    </row>
    <row r="5565" spans="2:7" x14ac:dyDescent="0.25">
      <c r="B5565" s="70">
        <v>43430</v>
      </c>
      <c r="C5565" t="s">
        <v>25</v>
      </c>
      <c r="D5565" t="s">
        <v>79</v>
      </c>
      <c r="E5565" t="s">
        <v>510</v>
      </c>
      <c r="F5565">
        <v>15</v>
      </c>
      <c r="G5565">
        <v>0</v>
      </c>
    </row>
    <row r="5566" spans="2:7" x14ac:dyDescent="0.25">
      <c r="B5566" s="70">
        <v>43430</v>
      </c>
      <c r="C5566" t="s">
        <v>25</v>
      </c>
      <c r="D5566" t="s">
        <v>81</v>
      </c>
      <c r="E5566" t="s">
        <v>212</v>
      </c>
      <c r="F5566">
        <v>2.7</v>
      </c>
      <c r="G5566">
        <v>0</v>
      </c>
    </row>
    <row r="5567" spans="2:7" x14ac:dyDescent="0.25">
      <c r="B5567" s="70">
        <v>43430</v>
      </c>
      <c r="C5567" t="s">
        <v>25</v>
      </c>
      <c r="D5567" t="s">
        <v>81</v>
      </c>
      <c r="E5567" t="s">
        <v>139</v>
      </c>
      <c r="F5567">
        <v>1.8</v>
      </c>
      <c r="G5567">
        <v>0</v>
      </c>
    </row>
    <row r="5568" spans="2:7" x14ac:dyDescent="0.25">
      <c r="B5568" s="70">
        <v>43430</v>
      </c>
      <c r="C5568" t="s">
        <v>21</v>
      </c>
      <c r="D5568" t="s">
        <v>79</v>
      </c>
      <c r="E5568" t="s">
        <v>510</v>
      </c>
      <c r="F5568">
        <v>16</v>
      </c>
      <c r="G5568">
        <v>0</v>
      </c>
    </row>
    <row r="5569" spans="2:7" x14ac:dyDescent="0.25">
      <c r="B5569" s="70">
        <v>43430</v>
      </c>
      <c r="C5569" t="s">
        <v>21</v>
      </c>
      <c r="D5569" t="s">
        <v>79</v>
      </c>
      <c r="E5569" t="s">
        <v>510</v>
      </c>
      <c r="F5569">
        <v>24</v>
      </c>
      <c r="G5569">
        <v>0</v>
      </c>
    </row>
    <row r="5570" spans="2:7" x14ac:dyDescent="0.25">
      <c r="B5570" s="70">
        <v>43430</v>
      </c>
      <c r="C5570" t="s">
        <v>21</v>
      </c>
      <c r="D5570" t="s">
        <v>79</v>
      </c>
      <c r="E5570" t="s">
        <v>510</v>
      </c>
      <c r="F5570">
        <v>48</v>
      </c>
      <c r="G5570">
        <v>0</v>
      </c>
    </row>
    <row r="5571" spans="2:7" x14ac:dyDescent="0.25">
      <c r="B5571" s="70">
        <v>43430</v>
      </c>
      <c r="C5571" t="s">
        <v>48</v>
      </c>
      <c r="D5571" t="s">
        <v>79</v>
      </c>
      <c r="E5571" t="s">
        <v>510</v>
      </c>
      <c r="F5571">
        <v>25.4</v>
      </c>
      <c r="G5571">
        <v>0</v>
      </c>
    </row>
    <row r="5572" spans="2:7" x14ac:dyDescent="0.25">
      <c r="B5572" s="70">
        <v>43430</v>
      </c>
      <c r="C5572" t="s">
        <v>24</v>
      </c>
      <c r="D5572" t="s">
        <v>79</v>
      </c>
      <c r="E5572" t="s">
        <v>510</v>
      </c>
      <c r="F5572">
        <v>8</v>
      </c>
      <c r="G5572">
        <v>0</v>
      </c>
    </row>
    <row r="5573" spans="2:7" x14ac:dyDescent="0.25">
      <c r="B5573" s="70">
        <v>43430</v>
      </c>
      <c r="C5573" t="s">
        <v>61</v>
      </c>
      <c r="D5573" t="s">
        <v>85</v>
      </c>
      <c r="E5573" t="s">
        <v>510</v>
      </c>
      <c r="F5573">
        <v>115.5</v>
      </c>
      <c r="G5573">
        <v>0</v>
      </c>
    </row>
    <row r="5574" spans="2:7" x14ac:dyDescent="0.25">
      <c r="B5574" s="70">
        <v>43460</v>
      </c>
      <c r="C5574" t="s">
        <v>25</v>
      </c>
      <c r="D5574" t="s">
        <v>83</v>
      </c>
      <c r="E5574" t="s">
        <v>511</v>
      </c>
      <c r="F5574">
        <v>57</v>
      </c>
      <c r="G5574">
        <v>0</v>
      </c>
    </row>
    <row r="5575" spans="2:7" x14ac:dyDescent="0.25">
      <c r="B5575" s="70">
        <v>43460</v>
      </c>
      <c r="C5575" t="s">
        <v>25</v>
      </c>
      <c r="D5575" t="s">
        <v>87</v>
      </c>
      <c r="E5575" t="s">
        <v>511</v>
      </c>
      <c r="F5575">
        <v>95.63</v>
      </c>
      <c r="G5575">
        <v>0</v>
      </c>
    </row>
    <row r="5576" spans="2:7" x14ac:dyDescent="0.25">
      <c r="B5576" s="70">
        <v>43460</v>
      </c>
      <c r="C5576" t="s">
        <v>25</v>
      </c>
      <c r="D5576" t="s">
        <v>87</v>
      </c>
      <c r="E5576" t="s">
        <v>511</v>
      </c>
      <c r="F5576">
        <v>85.02</v>
      </c>
      <c r="G5576">
        <v>0</v>
      </c>
    </row>
    <row r="5577" spans="2:7" x14ac:dyDescent="0.25">
      <c r="B5577" s="70">
        <v>43460</v>
      </c>
      <c r="C5577" t="s">
        <v>25</v>
      </c>
      <c r="D5577" t="s">
        <v>87</v>
      </c>
      <c r="E5577" t="s">
        <v>511</v>
      </c>
      <c r="F5577">
        <v>13.53</v>
      </c>
      <c r="G5577">
        <v>0</v>
      </c>
    </row>
    <row r="5578" spans="2:7" x14ac:dyDescent="0.25">
      <c r="B5578" s="70">
        <v>43460</v>
      </c>
      <c r="C5578" t="s">
        <v>25</v>
      </c>
      <c r="D5578" t="s">
        <v>87</v>
      </c>
      <c r="E5578" t="s">
        <v>511</v>
      </c>
      <c r="F5578">
        <v>333.62</v>
      </c>
      <c r="G5578">
        <v>0</v>
      </c>
    </row>
    <row r="5579" spans="2:7" x14ac:dyDescent="0.25">
      <c r="B5579" s="70">
        <v>43460</v>
      </c>
      <c r="C5579" t="s">
        <v>25</v>
      </c>
      <c r="D5579" t="s">
        <v>81</v>
      </c>
      <c r="E5579" t="s">
        <v>139</v>
      </c>
      <c r="F5579">
        <v>1.8</v>
      </c>
      <c r="G5579">
        <v>0</v>
      </c>
    </row>
    <row r="5580" spans="2:7" x14ac:dyDescent="0.25">
      <c r="B5580" s="70">
        <v>43460</v>
      </c>
      <c r="C5580" t="s">
        <v>25</v>
      </c>
      <c r="D5580" t="s">
        <v>81</v>
      </c>
      <c r="E5580" t="s">
        <v>187</v>
      </c>
      <c r="F5580">
        <v>3.6</v>
      </c>
      <c r="G5580">
        <v>0</v>
      </c>
    </row>
    <row r="5581" spans="2:7" x14ac:dyDescent="0.25">
      <c r="B5581" s="70">
        <v>43460</v>
      </c>
      <c r="C5581" t="s">
        <v>54</v>
      </c>
      <c r="D5581" t="s">
        <v>79</v>
      </c>
      <c r="E5581" t="s">
        <v>511</v>
      </c>
      <c r="F5581">
        <v>111.91</v>
      </c>
      <c r="G5581">
        <v>0</v>
      </c>
    </row>
    <row r="5582" spans="2:7" x14ac:dyDescent="0.25">
      <c r="B5582" s="70">
        <v>43460</v>
      </c>
      <c r="C5582" t="s">
        <v>54</v>
      </c>
      <c r="D5582" t="s">
        <v>85</v>
      </c>
      <c r="E5582" t="s">
        <v>511</v>
      </c>
      <c r="F5582">
        <v>498</v>
      </c>
      <c r="G5582">
        <v>0</v>
      </c>
    </row>
    <row r="5583" spans="2:7" x14ac:dyDescent="0.25">
      <c r="B5583" s="70">
        <v>43460</v>
      </c>
      <c r="C5583" t="s">
        <v>47</v>
      </c>
      <c r="D5583" t="s">
        <v>87</v>
      </c>
      <c r="E5583" t="s">
        <v>511</v>
      </c>
      <c r="F5583">
        <v>10</v>
      </c>
      <c r="G5583">
        <v>0</v>
      </c>
    </row>
    <row r="5584" spans="2:7" x14ac:dyDescent="0.25">
      <c r="B5584" s="70">
        <v>43460</v>
      </c>
      <c r="C5584" t="s">
        <v>47</v>
      </c>
      <c r="D5584" t="s">
        <v>86</v>
      </c>
      <c r="E5584" t="s">
        <v>511</v>
      </c>
      <c r="F5584">
        <v>33</v>
      </c>
      <c r="G5584">
        <v>0</v>
      </c>
    </row>
    <row r="5585" spans="2:7" x14ac:dyDescent="0.25">
      <c r="B5585" s="70">
        <v>43460</v>
      </c>
      <c r="C5585" t="s">
        <v>48</v>
      </c>
      <c r="D5585" t="s">
        <v>82</v>
      </c>
      <c r="E5585" t="s">
        <v>511</v>
      </c>
      <c r="F5585">
        <v>340</v>
      </c>
      <c r="G5585">
        <v>0</v>
      </c>
    </row>
    <row r="5586" spans="2:7" x14ac:dyDescent="0.25">
      <c r="B5586" s="70">
        <v>43460</v>
      </c>
      <c r="C5586" t="s">
        <v>55</v>
      </c>
      <c r="D5586" t="s">
        <v>85</v>
      </c>
      <c r="E5586" t="s">
        <v>511</v>
      </c>
      <c r="F5586">
        <v>983.06</v>
      </c>
      <c r="G5586">
        <v>0</v>
      </c>
    </row>
    <row r="5587" spans="2:7" x14ac:dyDescent="0.25">
      <c r="B5587" s="70">
        <v>43460</v>
      </c>
      <c r="C5587" t="s">
        <v>45</v>
      </c>
      <c r="D5587" t="s">
        <v>79</v>
      </c>
      <c r="E5587" t="s">
        <v>511</v>
      </c>
      <c r="F5587">
        <v>331</v>
      </c>
      <c r="G5587">
        <v>0</v>
      </c>
    </row>
    <row r="5588" spans="2:7" x14ac:dyDescent="0.25">
      <c r="B5588" s="70">
        <v>43460</v>
      </c>
      <c r="C5588" t="s">
        <v>50</v>
      </c>
      <c r="D5588" t="s">
        <v>87</v>
      </c>
      <c r="E5588" t="s">
        <v>511</v>
      </c>
      <c r="F5588">
        <v>826.3</v>
      </c>
      <c r="G5588">
        <v>0</v>
      </c>
    </row>
    <row r="5589" spans="2:7" x14ac:dyDescent="0.25">
      <c r="B5589" s="70">
        <v>43336</v>
      </c>
      <c r="C5589" t="s">
        <v>25</v>
      </c>
      <c r="D5589" t="s">
        <v>85</v>
      </c>
      <c r="E5589" t="s">
        <v>512</v>
      </c>
      <c r="F5589">
        <v>29.33</v>
      </c>
      <c r="G5589">
        <v>0</v>
      </c>
    </row>
    <row r="5590" spans="2:7" x14ac:dyDescent="0.25">
      <c r="B5590" s="70">
        <v>43336</v>
      </c>
      <c r="C5590" t="s">
        <v>25</v>
      </c>
      <c r="D5590" t="s">
        <v>81</v>
      </c>
      <c r="E5590" t="s">
        <v>217</v>
      </c>
      <c r="F5590">
        <v>18.399999999999999</v>
      </c>
      <c r="G5590">
        <v>0</v>
      </c>
    </row>
    <row r="5591" spans="2:7" x14ac:dyDescent="0.25">
      <c r="B5591" s="70">
        <v>43336</v>
      </c>
      <c r="C5591" t="s">
        <v>25</v>
      </c>
      <c r="D5591" t="s">
        <v>82</v>
      </c>
      <c r="E5591" t="s">
        <v>512</v>
      </c>
      <c r="F5591">
        <v>12</v>
      </c>
      <c r="G5591">
        <v>0</v>
      </c>
    </row>
    <row r="5592" spans="2:7" x14ac:dyDescent="0.25">
      <c r="B5592" s="70">
        <v>43336</v>
      </c>
      <c r="C5592" t="s">
        <v>25</v>
      </c>
      <c r="D5592" t="s">
        <v>82</v>
      </c>
      <c r="E5592" t="s">
        <v>512</v>
      </c>
      <c r="F5592">
        <v>167.26</v>
      </c>
      <c r="G5592">
        <v>0</v>
      </c>
    </row>
    <row r="5593" spans="2:7" x14ac:dyDescent="0.25">
      <c r="B5593" s="70">
        <v>43336</v>
      </c>
      <c r="C5593" t="s">
        <v>25</v>
      </c>
      <c r="D5593" t="s">
        <v>513</v>
      </c>
      <c r="E5593" t="s">
        <v>514</v>
      </c>
      <c r="F5593">
        <v>0</v>
      </c>
      <c r="G5593">
        <v>1100</v>
      </c>
    </row>
    <row r="5594" spans="2:7" x14ac:dyDescent="0.25">
      <c r="B5594" s="70">
        <v>43336</v>
      </c>
      <c r="C5594" t="s">
        <v>25</v>
      </c>
      <c r="D5594" t="s">
        <v>515</v>
      </c>
      <c r="E5594" t="s">
        <v>331</v>
      </c>
      <c r="F5594">
        <v>0</v>
      </c>
      <c r="G5594">
        <v>1500</v>
      </c>
    </row>
    <row r="5595" spans="2:7" x14ac:dyDescent="0.25">
      <c r="B5595" s="70">
        <v>43336</v>
      </c>
      <c r="C5595" t="s">
        <v>25</v>
      </c>
      <c r="D5595" t="s">
        <v>516</v>
      </c>
      <c r="E5595" t="s">
        <v>331</v>
      </c>
      <c r="F5595">
        <v>0</v>
      </c>
      <c r="G5595">
        <v>1500</v>
      </c>
    </row>
    <row r="5596" spans="2:7" x14ac:dyDescent="0.25">
      <c r="B5596" s="70">
        <v>43336</v>
      </c>
      <c r="C5596" t="s">
        <v>25</v>
      </c>
      <c r="D5596" t="s">
        <v>517</v>
      </c>
      <c r="E5596" t="s">
        <v>331</v>
      </c>
      <c r="F5596">
        <v>0</v>
      </c>
      <c r="G5596">
        <v>1200</v>
      </c>
    </row>
    <row r="5597" spans="2:7" x14ac:dyDescent="0.25">
      <c r="B5597" s="70">
        <v>43336</v>
      </c>
      <c r="C5597" t="s">
        <v>25</v>
      </c>
      <c r="D5597" t="s">
        <v>518</v>
      </c>
      <c r="E5597" t="s">
        <v>514</v>
      </c>
      <c r="F5597">
        <v>0</v>
      </c>
      <c r="G5597">
        <v>1100</v>
      </c>
    </row>
    <row r="5598" spans="2:7" x14ac:dyDescent="0.25">
      <c r="B5598" s="70">
        <v>43336</v>
      </c>
      <c r="C5598" t="s">
        <v>46</v>
      </c>
      <c r="D5598" t="s">
        <v>82</v>
      </c>
      <c r="E5598" t="s">
        <v>512</v>
      </c>
      <c r="F5598">
        <v>34.33</v>
      </c>
      <c r="G5598">
        <v>0</v>
      </c>
    </row>
    <row r="5599" spans="2:7" x14ac:dyDescent="0.25">
      <c r="B5599" s="70">
        <v>43336</v>
      </c>
      <c r="C5599" t="s">
        <v>51</v>
      </c>
      <c r="D5599" t="s">
        <v>82</v>
      </c>
      <c r="E5599" t="s">
        <v>512</v>
      </c>
      <c r="F5599">
        <v>212.77</v>
      </c>
      <c r="G5599">
        <v>0</v>
      </c>
    </row>
    <row r="5600" spans="2:7" x14ac:dyDescent="0.25">
      <c r="B5600" s="70">
        <v>43336</v>
      </c>
      <c r="C5600" t="s">
        <v>21</v>
      </c>
      <c r="D5600" t="s">
        <v>79</v>
      </c>
      <c r="E5600" t="s">
        <v>512</v>
      </c>
      <c r="F5600">
        <v>8</v>
      </c>
      <c r="G5600">
        <v>0</v>
      </c>
    </row>
    <row r="5601" spans="2:7" x14ac:dyDescent="0.25">
      <c r="B5601" s="70">
        <v>43336</v>
      </c>
      <c r="C5601" t="s">
        <v>21</v>
      </c>
      <c r="D5601" t="s">
        <v>79</v>
      </c>
      <c r="E5601" t="s">
        <v>512</v>
      </c>
      <c r="F5601">
        <v>16</v>
      </c>
      <c r="G5601">
        <v>0</v>
      </c>
    </row>
    <row r="5602" spans="2:7" x14ac:dyDescent="0.25">
      <c r="B5602" s="70">
        <v>43336</v>
      </c>
      <c r="C5602" t="s">
        <v>21</v>
      </c>
      <c r="D5602" t="s">
        <v>79</v>
      </c>
      <c r="E5602" t="s">
        <v>512</v>
      </c>
      <c r="F5602">
        <v>24</v>
      </c>
      <c r="G5602">
        <v>0</v>
      </c>
    </row>
    <row r="5603" spans="2:7" x14ac:dyDescent="0.25">
      <c r="B5603" s="70">
        <v>43336</v>
      </c>
      <c r="C5603" t="s">
        <v>21</v>
      </c>
      <c r="D5603" t="s">
        <v>79</v>
      </c>
      <c r="E5603" t="s">
        <v>512</v>
      </c>
      <c r="F5603">
        <v>32</v>
      </c>
      <c r="G5603">
        <v>0</v>
      </c>
    </row>
    <row r="5604" spans="2:7" x14ac:dyDescent="0.25">
      <c r="B5604" s="70">
        <v>43336</v>
      </c>
      <c r="C5604" t="s">
        <v>21</v>
      </c>
      <c r="D5604" t="s">
        <v>79</v>
      </c>
      <c r="E5604" t="s">
        <v>512</v>
      </c>
      <c r="F5604">
        <v>64</v>
      </c>
      <c r="G5604">
        <v>0</v>
      </c>
    </row>
    <row r="5605" spans="2:7" x14ac:dyDescent="0.25">
      <c r="B5605" s="70">
        <v>43336</v>
      </c>
      <c r="C5605" t="s">
        <v>21</v>
      </c>
      <c r="D5605" t="s">
        <v>79</v>
      </c>
      <c r="E5605" t="s">
        <v>512</v>
      </c>
      <c r="F5605">
        <v>112</v>
      </c>
      <c r="G5605">
        <v>0</v>
      </c>
    </row>
    <row r="5606" spans="2:7" x14ac:dyDescent="0.25">
      <c r="B5606" s="70">
        <v>43336</v>
      </c>
      <c r="C5606" t="s">
        <v>50</v>
      </c>
      <c r="D5606" t="s">
        <v>82</v>
      </c>
      <c r="E5606" t="s">
        <v>512</v>
      </c>
      <c r="F5606">
        <v>15.64</v>
      </c>
      <c r="G5606">
        <v>0</v>
      </c>
    </row>
    <row r="5607" spans="2:7" x14ac:dyDescent="0.25">
      <c r="B5607" s="70">
        <v>43336</v>
      </c>
      <c r="C5607" t="s">
        <v>58</v>
      </c>
      <c r="D5607" t="s">
        <v>84</v>
      </c>
      <c r="E5607" t="s">
        <v>512</v>
      </c>
      <c r="F5607">
        <v>40</v>
      </c>
      <c r="G5607">
        <v>0</v>
      </c>
    </row>
    <row r="5608" spans="2:7" x14ac:dyDescent="0.25">
      <c r="B5608" s="70">
        <v>43336</v>
      </c>
      <c r="C5608" t="s">
        <v>24</v>
      </c>
      <c r="D5608" t="s">
        <v>79</v>
      </c>
      <c r="E5608" t="s">
        <v>512</v>
      </c>
      <c r="F5608">
        <v>8</v>
      </c>
      <c r="G5608">
        <v>0</v>
      </c>
    </row>
    <row r="5609" spans="2:7" x14ac:dyDescent="0.25">
      <c r="B5609" s="70">
        <v>43377</v>
      </c>
      <c r="C5609" t="s">
        <v>25</v>
      </c>
      <c r="D5609" t="s">
        <v>87</v>
      </c>
      <c r="E5609" t="s">
        <v>519</v>
      </c>
      <c r="F5609">
        <v>35</v>
      </c>
      <c r="G5609">
        <v>0</v>
      </c>
    </row>
    <row r="5610" spans="2:7" x14ac:dyDescent="0.25">
      <c r="B5610" s="70">
        <v>43377</v>
      </c>
      <c r="C5610" t="s">
        <v>25</v>
      </c>
      <c r="D5610" t="s">
        <v>87</v>
      </c>
      <c r="E5610" t="s">
        <v>519</v>
      </c>
      <c r="F5610">
        <v>41.19</v>
      </c>
      <c r="G5610">
        <v>0</v>
      </c>
    </row>
    <row r="5611" spans="2:7" x14ac:dyDescent="0.25">
      <c r="B5611" s="70">
        <v>43377</v>
      </c>
      <c r="C5611" t="s">
        <v>25</v>
      </c>
      <c r="D5611" t="s">
        <v>87</v>
      </c>
      <c r="E5611" t="s">
        <v>519</v>
      </c>
      <c r="F5611">
        <v>270</v>
      </c>
      <c r="G5611">
        <v>0</v>
      </c>
    </row>
    <row r="5612" spans="2:7" x14ac:dyDescent="0.25">
      <c r="B5612" s="70">
        <v>43377</v>
      </c>
      <c r="C5612" t="s">
        <v>25</v>
      </c>
      <c r="D5612" t="s">
        <v>87</v>
      </c>
      <c r="E5612" t="s">
        <v>519</v>
      </c>
      <c r="F5612">
        <v>39.119999999999997</v>
      </c>
      <c r="G5612">
        <v>0</v>
      </c>
    </row>
    <row r="5613" spans="2:7" x14ac:dyDescent="0.25">
      <c r="B5613" s="70">
        <v>43377</v>
      </c>
      <c r="C5613" t="s">
        <v>25</v>
      </c>
      <c r="D5613" t="s">
        <v>81</v>
      </c>
      <c r="E5613" t="s">
        <v>333</v>
      </c>
      <c r="F5613">
        <v>4.5</v>
      </c>
      <c r="G5613">
        <v>0</v>
      </c>
    </row>
    <row r="5614" spans="2:7" x14ac:dyDescent="0.25">
      <c r="B5614" s="70">
        <v>43377</v>
      </c>
      <c r="C5614" t="s">
        <v>25</v>
      </c>
      <c r="D5614" t="s">
        <v>81</v>
      </c>
      <c r="E5614" t="s">
        <v>217</v>
      </c>
      <c r="F5614">
        <v>2.7</v>
      </c>
      <c r="G5614">
        <v>0</v>
      </c>
    </row>
    <row r="5615" spans="2:7" x14ac:dyDescent="0.25">
      <c r="B5615" s="70">
        <v>43377</v>
      </c>
      <c r="C5615" t="s">
        <v>25</v>
      </c>
      <c r="D5615" t="s">
        <v>82</v>
      </c>
      <c r="E5615" t="s">
        <v>519</v>
      </c>
      <c r="F5615">
        <v>19</v>
      </c>
      <c r="G5615">
        <v>0</v>
      </c>
    </row>
    <row r="5616" spans="2:7" x14ac:dyDescent="0.25">
      <c r="B5616" s="70">
        <v>43377</v>
      </c>
      <c r="C5616" t="s">
        <v>25</v>
      </c>
      <c r="D5616" t="s">
        <v>82</v>
      </c>
      <c r="E5616" t="s">
        <v>519</v>
      </c>
      <c r="F5616">
        <v>38</v>
      </c>
      <c r="G5616">
        <v>0</v>
      </c>
    </row>
    <row r="5617" spans="2:7" x14ac:dyDescent="0.25">
      <c r="B5617" s="70">
        <v>43377</v>
      </c>
      <c r="C5617" t="s">
        <v>59</v>
      </c>
      <c r="D5617" t="s">
        <v>82</v>
      </c>
      <c r="E5617" t="s">
        <v>519</v>
      </c>
      <c r="F5617">
        <v>48</v>
      </c>
      <c r="G5617">
        <v>0</v>
      </c>
    </row>
    <row r="5618" spans="2:7" x14ac:dyDescent="0.25">
      <c r="B5618" s="70">
        <v>43377</v>
      </c>
      <c r="C5618" t="s">
        <v>59</v>
      </c>
      <c r="D5618" t="s">
        <v>84</v>
      </c>
      <c r="E5618" t="s">
        <v>519</v>
      </c>
      <c r="F5618">
        <v>599.70000000000005</v>
      </c>
      <c r="G5618">
        <v>0</v>
      </c>
    </row>
    <row r="5619" spans="2:7" x14ac:dyDescent="0.25">
      <c r="B5619" s="70">
        <v>43377</v>
      </c>
      <c r="C5619" t="s">
        <v>21</v>
      </c>
      <c r="D5619" t="s">
        <v>79</v>
      </c>
      <c r="E5619" t="s">
        <v>519</v>
      </c>
      <c r="F5619">
        <v>8</v>
      </c>
      <c r="G5619">
        <v>0</v>
      </c>
    </row>
    <row r="5620" spans="2:7" x14ac:dyDescent="0.25">
      <c r="B5620" s="70">
        <v>43377</v>
      </c>
      <c r="C5620" t="s">
        <v>21</v>
      </c>
      <c r="D5620" t="s">
        <v>79</v>
      </c>
      <c r="E5620" t="s">
        <v>519</v>
      </c>
      <c r="F5620">
        <v>16</v>
      </c>
      <c r="G5620">
        <v>0</v>
      </c>
    </row>
    <row r="5621" spans="2:7" x14ac:dyDescent="0.25">
      <c r="B5621" s="70">
        <v>43377</v>
      </c>
      <c r="C5621" t="s">
        <v>21</v>
      </c>
      <c r="D5621" t="s">
        <v>79</v>
      </c>
      <c r="E5621" t="s">
        <v>519</v>
      </c>
      <c r="F5621">
        <v>24</v>
      </c>
      <c r="G5621">
        <v>0</v>
      </c>
    </row>
    <row r="5622" spans="2:7" x14ac:dyDescent="0.25">
      <c r="B5622" s="70">
        <v>43377</v>
      </c>
      <c r="C5622" t="s">
        <v>21</v>
      </c>
      <c r="D5622" t="s">
        <v>79</v>
      </c>
      <c r="E5622" t="s">
        <v>519</v>
      </c>
      <c r="F5622">
        <v>48</v>
      </c>
      <c r="G5622">
        <v>0</v>
      </c>
    </row>
    <row r="5623" spans="2:7" x14ac:dyDescent="0.25">
      <c r="B5623" s="70">
        <v>43377</v>
      </c>
      <c r="C5623" t="s">
        <v>21</v>
      </c>
      <c r="D5623" t="s">
        <v>79</v>
      </c>
      <c r="E5623" t="s">
        <v>519</v>
      </c>
      <c r="F5623">
        <v>56</v>
      </c>
      <c r="G5623">
        <v>0</v>
      </c>
    </row>
    <row r="5624" spans="2:7" x14ac:dyDescent="0.25">
      <c r="B5624" s="70">
        <v>43377</v>
      </c>
      <c r="C5624" t="s">
        <v>21</v>
      </c>
      <c r="D5624" t="s">
        <v>82</v>
      </c>
      <c r="E5624" t="s">
        <v>519</v>
      </c>
      <c r="F5624">
        <v>91</v>
      </c>
      <c r="G5624">
        <v>0</v>
      </c>
    </row>
    <row r="5625" spans="2:7" x14ac:dyDescent="0.25">
      <c r="B5625" s="70">
        <v>43377</v>
      </c>
      <c r="C5625" t="s">
        <v>21</v>
      </c>
      <c r="D5625" t="s">
        <v>82</v>
      </c>
      <c r="E5625" t="s">
        <v>519</v>
      </c>
      <c r="F5625">
        <v>95.7</v>
      </c>
      <c r="G5625">
        <v>0</v>
      </c>
    </row>
    <row r="5626" spans="2:7" x14ac:dyDescent="0.25">
      <c r="B5626" s="70">
        <v>43377</v>
      </c>
      <c r="C5626" t="s">
        <v>66</v>
      </c>
      <c r="D5626" t="s">
        <v>82</v>
      </c>
      <c r="E5626" t="s">
        <v>519</v>
      </c>
      <c r="F5626">
        <v>134</v>
      </c>
      <c r="G5626">
        <v>0</v>
      </c>
    </row>
    <row r="5627" spans="2:7" x14ac:dyDescent="0.25">
      <c r="B5627" s="70">
        <v>43377</v>
      </c>
      <c r="C5627" t="s">
        <v>48</v>
      </c>
      <c r="D5627" t="s">
        <v>84</v>
      </c>
      <c r="E5627" t="s">
        <v>519</v>
      </c>
      <c r="F5627">
        <v>1166.69</v>
      </c>
      <c r="G5627">
        <v>0</v>
      </c>
    </row>
    <row r="5628" spans="2:7" x14ac:dyDescent="0.25">
      <c r="B5628" s="70">
        <v>43377</v>
      </c>
      <c r="C5628" t="s">
        <v>50</v>
      </c>
      <c r="D5628" t="s">
        <v>85</v>
      </c>
      <c r="E5628" t="s">
        <v>519</v>
      </c>
      <c r="F5628">
        <v>15.75</v>
      </c>
      <c r="G5628">
        <v>0</v>
      </c>
    </row>
    <row r="5629" spans="2:7" x14ac:dyDescent="0.25">
      <c r="B5629" s="70">
        <v>43377</v>
      </c>
      <c r="C5629" t="s">
        <v>58</v>
      </c>
      <c r="D5629" t="s">
        <v>84</v>
      </c>
      <c r="E5629" t="s">
        <v>519</v>
      </c>
      <c r="F5629">
        <v>40</v>
      </c>
      <c r="G5629">
        <v>0</v>
      </c>
    </row>
    <row r="5630" spans="2:7" x14ac:dyDescent="0.25">
      <c r="B5630" s="70">
        <v>43377</v>
      </c>
      <c r="C5630" t="s">
        <v>73</v>
      </c>
      <c r="D5630" t="s">
        <v>87</v>
      </c>
      <c r="E5630" t="s">
        <v>519</v>
      </c>
      <c r="F5630">
        <v>52.5</v>
      </c>
      <c r="G5630">
        <v>0</v>
      </c>
    </row>
    <row r="5631" spans="2:7" x14ac:dyDescent="0.25">
      <c r="B5631" s="70">
        <v>43377</v>
      </c>
      <c r="C5631" t="s">
        <v>24</v>
      </c>
      <c r="D5631" t="s">
        <v>79</v>
      </c>
      <c r="E5631" t="s">
        <v>519</v>
      </c>
      <c r="F5631">
        <v>8</v>
      </c>
      <c r="G5631">
        <v>0</v>
      </c>
    </row>
    <row r="5632" spans="2:7" x14ac:dyDescent="0.25">
      <c r="B5632" s="70">
        <v>43377</v>
      </c>
      <c r="C5632" t="s">
        <v>60</v>
      </c>
      <c r="D5632" t="s">
        <v>82</v>
      </c>
      <c r="E5632" t="s">
        <v>519</v>
      </c>
      <c r="F5632">
        <v>6.5</v>
      </c>
      <c r="G5632">
        <v>0</v>
      </c>
    </row>
    <row r="5633" spans="2:7" x14ac:dyDescent="0.25">
      <c r="B5633" s="70">
        <v>43435</v>
      </c>
      <c r="C5633" t="s">
        <v>25</v>
      </c>
      <c r="D5633" t="s">
        <v>83</v>
      </c>
      <c r="E5633" t="s">
        <v>520</v>
      </c>
      <c r="F5633">
        <v>35.96</v>
      </c>
      <c r="G5633">
        <v>0</v>
      </c>
    </row>
    <row r="5634" spans="2:7" x14ac:dyDescent="0.25">
      <c r="B5634" s="70">
        <v>43435</v>
      </c>
      <c r="C5634" t="s">
        <v>25</v>
      </c>
      <c r="D5634" t="s">
        <v>83</v>
      </c>
      <c r="E5634" t="s">
        <v>520</v>
      </c>
      <c r="F5634">
        <v>74.680000000000007</v>
      </c>
      <c r="G5634">
        <v>0</v>
      </c>
    </row>
    <row r="5635" spans="2:7" x14ac:dyDescent="0.25">
      <c r="B5635" s="70">
        <v>43435</v>
      </c>
      <c r="C5635" t="s">
        <v>25</v>
      </c>
      <c r="D5635" t="s">
        <v>80</v>
      </c>
      <c r="E5635" t="s">
        <v>520</v>
      </c>
      <c r="F5635">
        <v>23.99</v>
      </c>
      <c r="G5635">
        <v>0</v>
      </c>
    </row>
    <row r="5636" spans="2:7" x14ac:dyDescent="0.25">
      <c r="B5636" s="70">
        <v>43435</v>
      </c>
      <c r="C5636" t="s">
        <v>25</v>
      </c>
      <c r="D5636" t="s">
        <v>80</v>
      </c>
      <c r="E5636" t="s">
        <v>520</v>
      </c>
      <c r="F5636">
        <v>96</v>
      </c>
      <c r="G5636">
        <v>0</v>
      </c>
    </row>
    <row r="5637" spans="2:7" x14ac:dyDescent="0.25">
      <c r="B5637" s="70">
        <v>43435</v>
      </c>
      <c r="C5637" t="s">
        <v>25</v>
      </c>
      <c r="D5637" t="s">
        <v>80</v>
      </c>
      <c r="E5637" t="s">
        <v>520</v>
      </c>
      <c r="F5637">
        <v>29.75</v>
      </c>
      <c r="G5637">
        <v>0</v>
      </c>
    </row>
    <row r="5638" spans="2:7" x14ac:dyDescent="0.25">
      <c r="B5638" s="70">
        <v>43435</v>
      </c>
      <c r="C5638" t="s">
        <v>25</v>
      </c>
      <c r="D5638" t="s">
        <v>87</v>
      </c>
      <c r="E5638" t="s">
        <v>520</v>
      </c>
      <c r="F5638">
        <v>15.95</v>
      </c>
      <c r="G5638">
        <v>0</v>
      </c>
    </row>
    <row r="5639" spans="2:7" x14ac:dyDescent="0.25">
      <c r="B5639" s="70">
        <v>43435</v>
      </c>
      <c r="C5639" t="s">
        <v>25</v>
      </c>
      <c r="D5639" t="s">
        <v>87</v>
      </c>
      <c r="E5639" t="s">
        <v>520</v>
      </c>
      <c r="F5639">
        <v>126</v>
      </c>
      <c r="G5639">
        <v>0</v>
      </c>
    </row>
    <row r="5640" spans="2:7" x14ac:dyDescent="0.25">
      <c r="B5640" s="70">
        <v>43435</v>
      </c>
      <c r="C5640" t="s">
        <v>25</v>
      </c>
      <c r="D5640" t="s">
        <v>87</v>
      </c>
      <c r="E5640" t="s">
        <v>520</v>
      </c>
      <c r="F5640">
        <v>113.68</v>
      </c>
      <c r="G5640">
        <v>0</v>
      </c>
    </row>
    <row r="5641" spans="2:7" x14ac:dyDescent="0.25">
      <c r="B5641" s="70">
        <v>43435</v>
      </c>
      <c r="C5641" t="s">
        <v>25</v>
      </c>
      <c r="D5641" t="s">
        <v>87</v>
      </c>
      <c r="E5641" t="s">
        <v>520</v>
      </c>
      <c r="F5641">
        <v>105.75</v>
      </c>
      <c r="G5641">
        <v>0</v>
      </c>
    </row>
    <row r="5642" spans="2:7" x14ac:dyDescent="0.25">
      <c r="B5642" s="70">
        <v>43435</v>
      </c>
      <c r="C5642" t="s">
        <v>25</v>
      </c>
      <c r="D5642" t="s">
        <v>81</v>
      </c>
      <c r="E5642" t="s">
        <v>148</v>
      </c>
      <c r="F5642">
        <v>2.25</v>
      </c>
      <c r="G5642">
        <v>0</v>
      </c>
    </row>
    <row r="5643" spans="2:7" x14ac:dyDescent="0.25">
      <c r="B5643" s="70">
        <v>43435</v>
      </c>
      <c r="C5643" t="s">
        <v>25</v>
      </c>
      <c r="D5643" t="s">
        <v>81</v>
      </c>
      <c r="E5643" t="s">
        <v>217</v>
      </c>
      <c r="F5643">
        <v>3</v>
      </c>
      <c r="G5643">
        <v>0</v>
      </c>
    </row>
    <row r="5644" spans="2:7" x14ac:dyDescent="0.25">
      <c r="B5644" s="70">
        <v>43435</v>
      </c>
      <c r="C5644" t="s">
        <v>25</v>
      </c>
      <c r="D5644" t="s">
        <v>82</v>
      </c>
      <c r="E5644" t="s">
        <v>520</v>
      </c>
      <c r="F5644">
        <v>137.5</v>
      </c>
      <c r="G5644">
        <v>0</v>
      </c>
    </row>
    <row r="5645" spans="2:7" x14ac:dyDescent="0.25">
      <c r="B5645" s="70">
        <v>43435</v>
      </c>
      <c r="C5645" t="s">
        <v>57</v>
      </c>
      <c r="D5645" t="s">
        <v>80</v>
      </c>
      <c r="E5645" t="s">
        <v>520</v>
      </c>
      <c r="F5645">
        <v>32.9</v>
      </c>
      <c r="G5645">
        <v>0</v>
      </c>
    </row>
    <row r="5646" spans="2:7" x14ac:dyDescent="0.25">
      <c r="B5646" s="70">
        <v>43435</v>
      </c>
      <c r="C5646" t="s">
        <v>58</v>
      </c>
      <c r="D5646" t="s">
        <v>84</v>
      </c>
      <c r="E5646" t="s">
        <v>520</v>
      </c>
      <c r="F5646">
        <v>35</v>
      </c>
      <c r="G5646">
        <v>0</v>
      </c>
    </row>
    <row r="5647" spans="2:7" x14ac:dyDescent="0.25">
      <c r="B5647" s="70">
        <v>43435</v>
      </c>
      <c r="C5647" t="s">
        <v>24</v>
      </c>
      <c r="D5647" t="s">
        <v>82</v>
      </c>
      <c r="E5647" t="s">
        <v>520</v>
      </c>
      <c r="F5647">
        <v>312</v>
      </c>
      <c r="G5647">
        <v>0</v>
      </c>
    </row>
    <row r="5648" spans="2:7" x14ac:dyDescent="0.25">
      <c r="B5648" s="70">
        <v>43292</v>
      </c>
      <c r="C5648" t="s">
        <v>25</v>
      </c>
      <c r="D5648" t="s">
        <v>81</v>
      </c>
      <c r="E5648" t="s">
        <v>158</v>
      </c>
      <c r="F5648">
        <v>1.8</v>
      </c>
      <c r="G5648">
        <v>0</v>
      </c>
    </row>
    <row r="5649" spans="2:7" x14ac:dyDescent="0.25">
      <c r="B5649" s="70">
        <v>43292</v>
      </c>
      <c r="C5649" t="s">
        <v>25</v>
      </c>
      <c r="D5649" t="s">
        <v>81</v>
      </c>
      <c r="E5649" t="s">
        <v>169</v>
      </c>
      <c r="F5649">
        <v>2.4</v>
      </c>
      <c r="G5649">
        <v>0</v>
      </c>
    </row>
    <row r="5650" spans="2:7" x14ac:dyDescent="0.25">
      <c r="B5650" s="70">
        <v>43292</v>
      </c>
      <c r="C5650" t="s">
        <v>25</v>
      </c>
      <c r="D5650" t="s">
        <v>81</v>
      </c>
      <c r="E5650" t="s">
        <v>154</v>
      </c>
      <c r="F5650">
        <v>9</v>
      </c>
      <c r="G5650">
        <v>0</v>
      </c>
    </row>
    <row r="5651" spans="2:7" x14ac:dyDescent="0.25">
      <c r="B5651" s="70">
        <v>43292</v>
      </c>
      <c r="C5651" t="s">
        <v>53</v>
      </c>
      <c r="D5651" t="s">
        <v>85</v>
      </c>
      <c r="E5651" t="s">
        <v>521</v>
      </c>
      <c r="F5651">
        <v>273.39999999999998</v>
      </c>
      <c r="G5651">
        <v>0</v>
      </c>
    </row>
    <row r="5652" spans="2:7" x14ac:dyDescent="0.25">
      <c r="B5652" s="70">
        <v>43320</v>
      </c>
      <c r="C5652" t="s">
        <v>25</v>
      </c>
      <c r="D5652" t="s">
        <v>85</v>
      </c>
      <c r="E5652" t="s">
        <v>522</v>
      </c>
      <c r="F5652">
        <v>34.549999999999997</v>
      </c>
      <c r="G5652">
        <v>0</v>
      </c>
    </row>
    <row r="5653" spans="2:7" x14ac:dyDescent="0.25">
      <c r="B5653" s="70">
        <v>43320</v>
      </c>
      <c r="C5653" t="s">
        <v>25</v>
      </c>
      <c r="D5653" t="s">
        <v>81</v>
      </c>
      <c r="E5653" t="s">
        <v>148</v>
      </c>
      <c r="F5653">
        <v>4.5</v>
      </c>
      <c r="G5653">
        <v>0</v>
      </c>
    </row>
    <row r="5654" spans="2:7" x14ac:dyDescent="0.25">
      <c r="B5654" s="70">
        <v>43320</v>
      </c>
      <c r="C5654" t="s">
        <v>25</v>
      </c>
      <c r="D5654" t="s">
        <v>81</v>
      </c>
      <c r="E5654" t="s">
        <v>208</v>
      </c>
      <c r="F5654">
        <v>2.9</v>
      </c>
      <c r="G5654">
        <v>0</v>
      </c>
    </row>
    <row r="5655" spans="2:7" x14ac:dyDescent="0.25">
      <c r="B5655" s="70">
        <v>43320</v>
      </c>
      <c r="C5655" t="s">
        <v>25</v>
      </c>
      <c r="D5655" t="s">
        <v>81</v>
      </c>
      <c r="E5655" t="s">
        <v>275</v>
      </c>
      <c r="F5655">
        <v>9.5500000000000007</v>
      </c>
      <c r="G5655">
        <v>0</v>
      </c>
    </row>
    <row r="5656" spans="2:7" x14ac:dyDescent="0.25">
      <c r="B5656" s="70">
        <v>43320</v>
      </c>
      <c r="C5656" t="s">
        <v>25</v>
      </c>
      <c r="D5656" t="s">
        <v>81</v>
      </c>
      <c r="E5656" t="s">
        <v>169</v>
      </c>
      <c r="F5656">
        <v>14.7</v>
      </c>
      <c r="G5656">
        <v>0</v>
      </c>
    </row>
    <row r="5657" spans="2:7" x14ac:dyDescent="0.25">
      <c r="B5657" s="70">
        <v>43320</v>
      </c>
      <c r="C5657" t="s">
        <v>25</v>
      </c>
      <c r="D5657" t="s">
        <v>81</v>
      </c>
      <c r="E5657" t="s">
        <v>202</v>
      </c>
      <c r="F5657">
        <v>7.35</v>
      </c>
      <c r="G5657">
        <v>0</v>
      </c>
    </row>
    <row r="5658" spans="2:7" x14ac:dyDescent="0.25">
      <c r="B5658" s="70">
        <v>43320</v>
      </c>
      <c r="C5658" t="s">
        <v>25</v>
      </c>
      <c r="D5658" t="s">
        <v>81</v>
      </c>
      <c r="E5658" t="s">
        <v>247</v>
      </c>
      <c r="F5658">
        <v>2.1</v>
      </c>
      <c r="G5658">
        <v>0</v>
      </c>
    </row>
    <row r="5659" spans="2:7" x14ac:dyDescent="0.25">
      <c r="B5659" s="70">
        <v>43320</v>
      </c>
      <c r="C5659" t="s">
        <v>25</v>
      </c>
      <c r="D5659" t="s">
        <v>82</v>
      </c>
      <c r="E5659" t="s">
        <v>522</v>
      </c>
      <c r="F5659">
        <v>41.6</v>
      </c>
      <c r="G5659">
        <v>0</v>
      </c>
    </row>
    <row r="5660" spans="2:7" x14ac:dyDescent="0.25">
      <c r="B5660" s="70">
        <v>43320</v>
      </c>
      <c r="C5660" t="s">
        <v>56</v>
      </c>
      <c r="D5660" t="s">
        <v>82</v>
      </c>
      <c r="E5660" t="s">
        <v>522</v>
      </c>
      <c r="F5660">
        <v>122.01</v>
      </c>
      <c r="G5660">
        <v>0</v>
      </c>
    </row>
    <row r="5661" spans="2:7" x14ac:dyDescent="0.25">
      <c r="B5661" s="70">
        <v>43320</v>
      </c>
      <c r="C5661" t="s">
        <v>47</v>
      </c>
      <c r="D5661" t="s">
        <v>82</v>
      </c>
      <c r="E5661" t="s">
        <v>522</v>
      </c>
      <c r="F5661">
        <v>66</v>
      </c>
      <c r="G5661">
        <v>0</v>
      </c>
    </row>
    <row r="5662" spans="2:7" x14ac:dyDescent="0.25">
      <c r="B5662" s="70">
        <v>43320</v>
      </c>
      <c r="C5662" t="s">
        <v>51</v>
      </c>
      <c r="D5662" t="s">
        <v>82</v>
      </c>
      <c r="E5662" t="s">
        <v>522</v>
      </c>
      <c r="F5662">
        <v>138.18</v>
      </c>
      <c r="G5662">
        <v>0</v>
      </c>
    </row>
    <row r="5663" spans="2:7" x14ac:dyDescent="0.25">
      <c r="B5663" s="70">
        <v>43320</v>
      </c>
      <c r="C5663" t="s">
        <v>44</v>
      </c>
      <c r="D5663" t="s">
        <v>82</v>
      </c>
      <c r="E5663" t="s">
        <v>522</v>
      </c>
      <c r="F5663">
        <v>202</v>
      </c>
      <c r="G5663">
        <v>0</v>
      </c>
    </row>
    <row r="5664" spans="2:7" x14ac:dyDescent="0.25">
      <c r="B5664" s="70">
        <v>43320</v>
      </c>
      <c r="C5664" t="s">
        <v>21</v>
      </c>
      <c r="D5664" t="s">
        <v>79</v>
      </c>
      <c r="E5664" t="s">
        <v>522</v>
      </c>
      <c r="F5664">
        <v>8</v>
      </c>
      <c r="G5664">
        <v>0</v>
      </c>
    </row>
    <row r="5665" spans="2:7" x14ac:dyDescent="0.25">
      <c r="B5665" s="70">
        <v>43320</v>
      </c>
      <c r="C5665" t="s">
        <v>21</v>
      </c>
      <c r="D5665" t="s">
        <v>82</v>
      </c>
      <c r="E5665" t="s">
        <v>522</v>
      </c>
      <c r="F5665">
        <v>147.9</v>
      </c>
      <c r="G5665">
        <v>0</v>
      </c>
    </row>
    <row r="5666" spans="2:7" x14ac:dyDescent="0.25">
      <c r="B5666" s="70">
        <v>43320</v>
      </c>
      <c r="C5666" t="s">
        <v>45</v>
      </c>
      <c r="D5666" t="s">
        <v>85</v>
      </c>
      <c r="E5666" t="s">
        <v>522</v>
      </c>
      <c r="F5666">
        <v>7696.4</v>
      </c>
      <c r="G5666">
        <v>0</v>
      </c>
    </row>
    <row r="5667" spans="2:7" x14ac:dyDescent="0.25">
      <c r="B5667" s="70">
        <v>43320</v>
      </c>
      <c r="C5667" t="s">
        <v>49</v>
      </c>
      <c r="D5667" t="s">
        <v>82</v>
      </c>
      <c r="E5667" t="s">
        <v>522</v>
      </c>
      <c r="F5667">
        <v>126.96</v>
      </c>
      <c r="G5667">
        <v>0</v>
      </c>
    </row>
    <row r="5668" spans="2:7" x14ac:dyDescent="0.25">
      <c r="B5668" s="70">
        <v>43320</v>
      </c>
      <c r="C5668" t="s">
        <v>50</v>
      </c>
      <c r="D5668" t="s">
        <v>82</v>
      </c>
      <c r="E5668" t="s">
        <v>522</v>
      </c>
      <c r="F5668">
        <v>17.61</v>
      </c>
      <c r="G5668">
        <v>0</v>
      </c>
    </row>
    <row r="5669" spans="2:7" x14ac:dyDescent="0.25">
      <c r="B5669" s="70">
        <v>43320</v>
      </c>
      <c r="C5669" t="s">
        <v>53</v>
      </c>
      <c r="D5669" t="s">
        <v>79</v>
      </c>
      <c r="E5669" t="s">
        <v>522</v>
      </c>
      <c r="F5669">
        <v>8.99</v>
      </c>
      <c r="G5669">
        <v>0</v>
      </c>
    </row>
    <row r="5670" spans="2:7" x14ac:dyDescent="0.25">
      <c r="B5670" s="70">
        <v>43320</v>
      </c>
      <c r="C5670" t="s">
        <v>53</v>
      </c>
      <c r="D5670" t="s">
        <v>82</v>
      </c>
      <c r="E5670" t="s">
        <v>522</v>
      </c>
      <c r="F5670">
        <v>30</v>
      </c>
      <c r="G5670">
        <v>0</v>
      </c>
    </row>
    <row r="5671" spans="2:7" x14ac:dyDescent="0.25">
      <c r="B5671" s="70">
        <v>43333</v>
      </c>
      <c r="C5671" t="s">
        <v>25</v>
      </c>
      <c r="D5671" t="s">
        <v>81</v>
      </c>
      <c r="E5671" t="s">
        <v>203</v>
      </c>
      <c r="F5671">
        <v>5.55</v>
      </c>
      <c r="G5671">
        <v>0</v>
      </c>
    </row>
    <row r="5672" spans="2:7" x14ac:dyDescent="0.25">
      <c r="B5672" s="70">
        <v>43333</v>
      </c>
      <c r="C5672" t="s">
        <v>25</v>
      </c>
      <c r="D5672" t="s">
        <v>81</v>
      </c>
      <c r="E5672" t="s">
        <v>169</v>
      </c>
      <c r="F5672">
        <v>6.5</v>
      </c>
      <c r="G5672">
        <v>0</v>
      </c>
    </row>
    <row r="5673" spans="2:7" x14ac:dyDescent="0.25">
      <c r="B5673" s="70">
        <v>43333</v>
      </c>
      <c r="C5673" t="s">
        <v>25</v>
      </c>
      <c r="D5673" t="s">
        <v>81</v>
      </c>
      <c r="E5673" t="s">
        <v>523</v>
      </c>
      <c r="F5673">
        <v>1500</v>
      </c>
      <c r="G5673">
        <v>0</v>
      </c>
    </row>
    <row r="5674" spans="2:7" x14ac:dyDescent="0.25">
      <c r="B5674" s="70">
        <v>43333</v>
      </c>
      <c r="C5674" t="s">
        <v>25</v>
      </c>
      <c r="D5674" t="s">
        <v>81</v>
      </c>
      <c r="E5674" t="s">
        <v>524</v>
      </c>
      <c r="F5674">
        <v>1100</v>
      </c>
      <c r="G5674">
        <v>0</v>
      </c>
    </row>
    <row r="5675" spans="2:7" x14ac:dyDescent="0.25">
      <c r="B5675" s="70">
        <v>43333</v>
      </c>
      <c r="C5675" t="s">
        <v>25</v>
      </c>
      <c r="D5675" t="s">
        <v>82</v>
      </c>
      <c r="E5675" t="s">
        <v>525</v>
      </c>
      <c r="F5675">
        <v>39</v>
      </c>
      <c r="G5675">
        <v>0</v>
      </c>
    </row>
    <row r="5676" spans="2:7" x14ac:dyDescent="0.25">
      <c r="B5676" s="70">
        <v>43333</v>
      </c>
      <c r="C5676" t="s">
        <v>21</v>
      </c>
      <c r="D5676" t="s">
        <v>79</v>
      </c>
      <c r="E5676" t="s">
        <v>525</v>
      </c>
      <c r="F5676">
        <v>8</v>
      </c>
      <c r="G5676">
        <v>0</v>
      </c>
    </row>
    <row r="5677" spans="2:7" x14ac:dyDescent="0.25">
      <c r="B5677" s="70">
        <v>43333</v>
      </c>
      <c r="C5677" t="s">
        <v>21</v>
      </c>
      <c r="D5677" t="s">
        <v>79</v>
      </c>
      <c r="E5677" t="s">
        <v>525</v>
      </c>
      <c r="F5677">
        <v>24</v>
      </c>
      <c r="G5677">
        <v>0</v>
      </c>
    </row>
    <row r="5678" spans="2:7" x14ac:dyDescent="0.25">
      <c r="B5678" s="70">
        <v>43333</v>
      </c>
      <c r="C5678" t="s">
        <v>21</v>
      </c>
      <c r="D5678" t="s">
        <v>79</v>
      </c>
      <c r="E5678" t="s">
        <v>525</v>
      </c>
      <c r="F5678">
        <v>40</v>
      </c>
      <c r="G5678">
        <v>0</v>
      </c>
    </row>
    <row r="5679" spans="2:7" x14ac:dyDescent="0.25">
      <c r="B5679" s="70">
        <v>43333</v>
      </c>
      <c r="C5679" t="s">
        <v>50</v>
      </c>
      <c r="D5679" t="s">
        <v>79</v>
      </c>
      <c r="E5679" t="s">
        <v>525</v>
      </c>
      <c r="F5679">
        <v>20</v>
      </c>
      <c r="G5679">
        <v>0</v>
      </c>
    </row>
    <row r="5680" spans="2:7" x14ac:dyDescent="0.25">
      <c r="B5680" s="70">
        <v>43333</v>
      </c>
      <c r="C5680" t="s">
        <v>50</v>
      </c>
      <c r="D5680" t="s">
        <v>82</v>
      </c>
      <c r="E5680" t="s">
        <v>525</v>
      </c>
      <c r="F5680">
        <v>27.28</v>
      </c>
      <c r="G5680">
        <v>0</v>
      </c>
    </row>
    <row r="5681" spans="2:7" x14ac:dyDescent="0.25">
      <c r="B5681" s="70">
        <v>43333</v>
      </c>
      <c r="C5681" t="s">
        <v>24</v>
      </c>
      <c r="D5681" t="s">
        <v>79</v>
      </c>
      <c r="E5681" t="s">
        <v>525</v>
      </c>
      <c r="F5681">
        <v>8</v>
      </c>
      <c r="G5681">
        <v>0</v>
      </c>
    </row>
    <row r="5682" spans="2:7" x14ac:dyDescent="0.25">
      <c r="B5682" s="70">
        <v>43363</v>
      </c>
      <c r="C5682" t="s">
        <v>25</v>
      </c>
      <c r="D5682" t="s">
        <v>87</v>
      </c>
      <c r="E5682" t="s">
        <v>526</v>
      </c>
      <c r="F5682">
        <v>14.3</v>
      </c>
      <c r="G5682">
        <v>0</v>
      </c>
    </row>
    <row r="5683" spans="2:7" x14ac:dyDescent="0.25">
      <c r="B5683" s="70">
        <v>43363</v>
      </c>
      <c r="C5683" t="s">
        <v>25</v>
      </c>
      <c r="D5683" t="s">
        <v>87</v>
      </c>
      <c r="E5683" t="s">
        <v>526</v>
      </c>
      <c r="F5683">
        <v>25</v>
      </c>
      <c r="G5683">
        <v>0</v>
      </c>
    </row>
    <row r="5684" spans="2:7" x14ac:dyDescent="0.25">
      <c r="B5684" s="70">
        <v>43363</v>
      </c>
      <c r="C5684" t="s">
        <v>25</v>
      </c>
      <c r="D5684" t="s">
        <v>87</v>
      </c>
      <c r="E5684" t="s">
        <v>526</v>
      </c>
      <c r="F5684">
        <v>37.75</v>
      </c>
      <c r="G5684">
        <v>0</v>
      </c>
    </row>
    <row r="5685" spans="2:7" x14ac:dyDescent="0.25">
      <c r="B5685" s="70">
        <v>43363</v>
      </c>
      <c r="C5685" t="s">
        <v>25</v>
      </c>
      <c r="D5685" t="s">
        <v>87</v>
      </c>
      <c r="E5685" t="s">
        <v>526</v>
      </c>
      <c r="F5685">
        <v>23.54</v>
      </c>
      <c r="G5685">
        <v>0</v>
      </c>
    </row>
    <row r="5686" spans="2:7" x14ac:dyDescent="0.25">
      <c r="B5686" s="70">
        <v>43363</v>
      </c>
      <c r="C5686" t="s">
        <v>25</v>
      </c>
      <c r="D5686" t="s">
        <v>81</v>
      </c>
      <c r="E5686" t="s">
        <v>169</v>
      </c>
      <c r="F5686">
        <v>3</v>
      </c>
      <c r="G5686">
        <v>0</v>
      </c>
    </row>
    <row r="5687" spans="2:7" x14ac:dyDescent="0.25">
      <c r="B5687" s="70">
        <v>43363</v>
      </c>
      <c r="C5687" t="s">
        <v>57</v>
      </c>
      <c r="D5687" t="s">
        <v>79</v>
      </c>
      <c r="E5687" t="s">
        <v>526</v>
      </c>
      <c r="F5687">
        <v>20.329999999999998</v>
      </c>
      <c r="G5687">
        <v>0</v>
      </c>
    </row>
    <row r="5688" spans="2:7" x14ac:dyDescent="0.25">
      <c r="B5688" s="70">
        <v>43363</v>
      </c>
      <c r="C5688" t="s">
        <v>44</v>
      </c>
      <c r="D5688" t="s">
        <v>82</v>
      </c>
      <c r="E5688" t="s">
        <v>526</v>
      </c>
      <c r="F5688">
        <v>20</v>
      </c>
      <c r="G5688">
        <v>0</v>
      </c>
    </row>
    <row r="5689" spans="2:7" x14ac:dyDescent="0.25">
      <c r="B5689" s="70">
        <v>43363</v>
      </c>
      <c r="C5689" t="s">
        <v>21</v>
      </c>
      <c r="D5689" t="s">
        <v>79</v>
      </c>
      <c r="E5689" t="s">
        <v>526</v>
      </c>
      <c r="F5689">
        <v>8</v>
      </c>
      <c r="G5689">
        <v>0</v>
      </c>
    </row>
    <row r="5690" spans="2:7" x14ac:dyDescent="0.25">
      <c r="B5690" s="70">
        <v>43363</v>
      </c>
      <c r="C5690" t="s">
        <v>21</v>
      </c>
      <c r="D5690" t="s">
        <v>79</v>
      </c>
      <c r="E5690" t="s">
        <v>526</v>
      </c>
      <c r="F5690">
        <v>16</v>
      </c>
      <c r="G5690">
        <v>0</v>
      </c>
    </row>
    <row r="5691" spans="2:7" x14ac:dyDescent="0.25">
      <c r="B5691" s="70">
        <v>43363</v>
      </c>
      <c r="C5691" t="s">
        <v>21</v>
      </c>
      <c r="D5691" t="s">
        <v>79</v>
      </c>
      <c r="E5691" t="s">
        <v>526</v>
      </c>
      <c r="F5691">
        <v>24</v>
      </c>
      <c r="G5691">
        <v>0</v>
      </c>
    </row>
    <row r="5692" spans="2:7" x14ac:dyDescent="0.25">
      <c r="B5692" s="70">
        <v>43363</v>
      </c>
      <c r="C5692" t="s">
        <v>48</v>
      </c>
      <c r="D5692" t="s">
        <v>82</v>
      </c>
      <c r="E5692" t="s">
        <v>526</v>
      </c>
      <c r="F5692">
        <v>76</v>
      </c>
      <c r="G5692">
        <v>0</v>
      </c>
    </row>
    <row r="5693" spans="2:7" x14ac:dyDescent="0.25">
      <c r="B5693" s="70">
        <v>43363</v>
      </c>
      <c r="C5693" t="s">
        <v>45</v>
      </c>
      <c r="D5693" t="s">
        <v>91</v>
      </c>
      <c r="E5693" t="s">
        <v>526</v>
      </c>
      <c r="F5693">
        <v>80.06</v>
      </c>
      <c r="G5693">
        <v>0</v>
      </c>
    </row>
    <row r="5694" spans="2:7" x14ac:dyDescent="0.25">
      <c r="B5694" s="70">
        <v>43363</v>
      </c>
      <c r="C5694" t="s">
        <v>50</v>
      </c>
      <c r="D5694" t="s">
        <v>83</v>
      </c>
      <c r="E5694" t="s">
        <v>526</v>
      </c>
      <c r="F5694">
        <v>75</v>
      </c>
      <c r="G5694">
        <v>0</v>
      </c>
    </row>
    <row r="5695" spans="2:7" x14ac:dyDescent="0.25">
      <c r="B5695" s="70">
        <v>43363</v>
      </c>
      <c r="C5695" t="s">
        <v>71</v>
      </c>
      <c r="D5695" t="s">
        <v>82</v>
      </c>
      <c r="E5695" t="s">
        <v>526</v>
      </c>
      <c r="F5695">
        <v>54.34</v>
      </c>
      <c r="G5695">
        <v>0</v>
      </c>
    </row>
    <row r="5696" spans="2:7" x14ac:dyDescent="0.25">
      <c r="B5696" s="70">
        <v>43363</v>
      </c>
      <c r="C5696" t="s">
        <v>24</v>
      </c>
      <c r="D5696" t="s">
        <v>79</v>
      </c>
      <c r="E5696" t="s">
        <v>526</v>
      </c>
      <c r="F5696">
        <v>8</v>
      </c>
      <c r="G5696">
        <v>0</v>
      </c>
    </row>
    <row r="5697" spans="2:7" x14ac:dyDescent="0.25">
      <c r="B5697" s="70">
        <v>43363</v>
      </c>
      <c r="C5697" t="s">
        <v>60</v>
      </c>
      <c r="D5697" t="s">
        <v>91</v>
      </c>
      <c r="E5697" t="s">
        <v>526</v>
      </c>
      <c r="F5697">
        <v>43.2</v>
      </c>
      <c r="G5697">
        <v>0</v>
      </c>
    </row>
    <row r="5698" spans="2:7" x14ac:dyDescent="0.25">
      <c r="B5698" s="70">
        <v>43424</v>
      </c>
      <c r="C5698" t="s">
        <v>25</v>
      </c>
      <c r="D5698" t="s">
        <v>87</v>
      </c>
      <c r="E5698" t="s">
        <v>527</v>
      </c>
      <c r="F5698">
        <v>373</v>
      </c>
      <c r="G5698">
        <v>0</v>
      </c>
    </row>
    <row r="5699" spans="2:7" x14ac:dyDescent="0.25">
      <c r="B5699" s="70">
        <v>43424</v>
      </c>
      <c r="C5699" t="s">
        <v>25</v>
      </c>
      <c r="D5699" t="s">
        <v>81</v>
      </c>
      <c r="E5699" t="s">
        <v>333</v>
      </c>
      <c r="F5699">
        <v>19</v>
      </c>
      <c r="G5699">
        <v>0</v>
      </c>
    </row>
    <row r="5700" spans="2:7" x14ac:dyDescent="0.25">
      <c r="B5700" s="70">
        <v>43424</v>
      </c>
      <c r="C5700" t="s">
        <v>25</v>
      </c>
      <c r="D5700" t="s">
        <v>81</v>
      </c>
      <c r="E5700" t="s">
        <v>124</v>
      </c>
      <c r="F5700">
        <v>14</v>
      </c>
      <c r="G5700">
        <v>0</v>
      </c>
    </row>
    <row r="5701" spans="2:7" x14ac:dyDescent="0.25">
      <c r="B5701" s="70">
        <v>43424</v>
      </c>
      <c r="C5701" t="s">
        <v>25</v>
      </c>
      <c r="D5701" t="s">
        <v>81</v>
      </c>
      <c r="E5701" t="s">
        <v>153</v>
      </c>
      <c r="F5701">
        <v>7.3</v>
      </c>
      <c r="G5701">
        <v>0</v>
      </c>
    </row>
    <row r="5702" spans="2:7" x14ac:dyDescent="0.25">
      <c r="B5702" s="70">
        <v>43424</v>
      </c>
      <c r="C5702" t="s">
        <v>25</v>
      </c>
      <c r="D5702" t="s">
        <v>81</v>
      </c>
      <c r="E5702" t="s">
        <v>169</v>
      </c>
      <c r="F5702">
        <v>6.5</v>
      </c>
      <c r="G5702">
        <v>0</v>
      </c>
    </row>
    <row r="5703" spans="2:7" x14ac:dyDescent="0.25">
      <c r="B5703" s="70">
        <v>43424</v>
      </c>
      <c r="C5703" t="s">
        <v>25</v>
      </c>
      <c r="D5703" t="s">
        <v>82</v>
      </c>
      <c r="E5703" t="s">
        <v>527</v>
      </c>
      <c r="F5703">
        <v>88</v>
      </c>
      <c r="G5703">
        <v>0</v>
      </c>
    </row>
    <row r="5704" spans="2:7" x14ac:dyDescent="0.25">
      <c r="B5704" s="70">
        <v>43424</v>
      </c>
      <c r="C5704" t="s">
        <v>54</v>
      </c>
      <c r="D5704" t="s">
        <v>86</v>
      </c>
      <c r="E5704" t="s">
        <v>527</v>
      </c>
      <c r="F5704">
        <v>741.65</v>
      </c>
      <c r="G5704">
        <v>0</v>
      </c>
    </row>
    <row r="5705" spans="2:7" x14ac:dyDescent="0.25">
      <c r="B5705" s="70">
        <v>43424</v>
      </c>
      <c r="C5705" t="s">
        <v>46</v>
      </c>
      <c r="D5705" t="s">
        <v>86</v>
      </c>
      <c r="E5705" t="s">
        <v>527</v>
      </c>
      <c r="F5705">
        <v>208.6</v>
      </c>
      <c r="G5705">
        <v>0</v>
      </c>
    </row>
    <row r="5706" spans="2:7" x14ac:dyDescent="0.25">
      <c r="B5706" s="70">
        <v>43424</v>
      </c>
      <c r="C5706" t="s">
        <v>46</v>
      </c>
      <c r="D5706" t="s">
        <v>82</v>
      </c>
      <c r="E5706" t="s">
        <v>527</v>
      </c>
      <c r="F5706">
        <v>22</v>
      </c>
      <c r="G5706">
        <v>0</v>
      </c>
    </row>
    <row r="5707" spans="2:7" x14ac:dyDescent="0.25">
      <c r="B5707" s="70">
        <v>43424</v>
      </c>
      <c r="C5707" t="s">
        <v>57</v>
      </c>
      <c r="D5707" t="s">
        <v>86</v>
      </c>
      <c r="E5707" t="s">
        <v>527</v>
      </c>
      <c r="F5707">
        <v>18.399999999999999</v>
      </c>
      <c r="G5707">
        <v>0</v>
      </c>
    </row>
    <row r="5708" spans="2:7" x14ac:dyDescent="0.25">
      <c r="B5708" s="70">
        <v>43424</v>
      </c>
      <c r="C5708" t="s">
        <v>43</v>
      </c>
      <c r="D5708" t="s">
        <v>79</v>
      </c>
      <c r="E5708" t="s">
        <v>527</v>
      </c>
      <c r="F5708">
        <v>41.69</v>
      </c>
      <c r="G5708">
        <v>0</v>
      </c>
    </row>
    <row r="5709" spans="2:7" x14ac:dyDescent="0.25">
      <c r="B5709" s="70">
        <v>43424</v>
      </c>
      <c r="C5709" t="s">
        <v>44</v>
      </c>
      <c r="D5709" t="s">
        <v>86</v>
      </c>
      <c r="E5709" t="s">
        <v>527</v>
      </c>
      <c r="F5709">
        <v>82.55</v>
      </c>
      <c r="G5709">
        <v>0</v>
      </c>
    </row>
    <row r="5710" spans="2:7" x14ac:dyDescent="0.25">
      <c r="B5710" s="70">
        <v>43424</v>
      </c>
      <c r="C5710" t="s">
        <v>21</v>
      </c>
      <c r="D5710" t="s">
        <v>79</v>
      </c>
      <c r="E5710" t="s">
        <v>527</v>
      </c>
      <c r="F5710">
        <v>8</v>
      </c>
      <c r="G5710">
        <v>0</v>
      </c>
    </row>
    <row r="5711" spans="2:7" x14ac:dyDescent="0.25">
      <c r="B5711" s="70">
        <v>43424</v>
      </c>
      <c r="C5711" t="s">
        <v>21</v>
      </c>
      <c r="D5711" t="s">
        <v>79</v>
      </c>
      <c r="E5711" t="s">
        <v>527</v>
      </c>
      <c r="F5711">
        <v>16</v>
      </c>
      <c r="G5711">
        <v>0</v>
      </c>
    </row>
    <row r="5712" spans="2:7" x14ac:dyDescent="0.25">
      <c r="B5712" s="70">
        <v>43424</v>
      </c>
      <c r="C5712" t="s">
        <v>21</v>
      </c>
      <c r="D5712" t="s">
        <v>79</v>
      </c>
      <c r="E5712" t="s">
        <v>527</v>
      </c>
      <c r="F5712">
        <v>24</v>
      </c>
      <c r="G5712">
        <v>0</v>
      </c>
    </row>
    <row r="5713" spans="2:7" x14ac:dyDescent="0.25">
      <c r="B5713" s="70">
        <v>43424</v>
      </c>
      <c r="C5713" t="s">
        <v>21</v>
      </c>
      <c r="D5713" t="s">
        <v>79</v>
      </c>
      <c r="E5713" t="s">
        <v>527</v>
      </c>
      <c r="F5713">
        <v>32</v>
      </c>
      <c r="G5713">
        <v>0</v>
      </c>
    </row>
    <row r="5714" spans="2:7" x14ac:dyDescent="0.25">
      <c r="B5714" s="70">
        <v>43424</v>
      </c>
      <c r="C5714" t="s">
        <v>21</v>
      </c>
      <c r="D5714" t="s">
        <v>79</v>
      </c>
      <c r="E5714" t="s">
        <v>527</v>
      </c>
      <c r="F5714">
        <v>40</v>
      </c>
      <c r="G5714">
        <v>0</v>
      </c>
    </row>
    <row r="5715" spans="2:7" x14ac:dyDescent="0.25">
      <c r="B5715" s="70">
        <v>43424</v>
      </c>
      <c r="C5715" t="s">
        <v>21</v>
      </c>
      <c r="D5715" t="s">
        <v>79</v>
      </c>
      <c r="E5715" t="s">
        <v>527</v>
      </c>
      <c r="F5715">
        <v>48</v>
      </c>
      <c r="G5715">
        <v>0</v>
      </c>
    </row>
    <row r="5716" spans="2:7" x14ac:dyDescent="0.25">
      <c r="B5716" s="70">
        <v>43424</v>
      </c>
      <c r="C5716" t="s">
        <v>60</v>
      </c>
      <c r="D5716" t="s">
        <v>86</v>
      </c>
      <c r="E5716" t="s">
        <v>527</v>
      </c>
      <c r="F5716">
        <v>551.15</v>
      </c>
      <c r="G5716">
        <v>0</v>
      </c>
    </row>
    <row r="5717" spans="2:7" x14ac:dyDescent="0.25">
      <c r="B5717" s="70">
        <v>43424</v>
      </c>
      <c r="C5717" t="s">
        <v>61</v>
      </c>
      <c r="D5717" t="s">
        <v>86</v>
      </c>
      <c r="E5717" t="s">
        <v>527</v>
      </c>
      <c r="F5717">
        <v>553.25</v>
      </c>
      <c r="G5717">
        <v>0</v>
      </c>
    </row>
    <row r="5718" spans="2:7" x14ac:dyDescent="0.25">
      <c r="B5718" s="70">
        <v>43424</v>
      </c>
      <c r="C5718" t="s">
        <v>62</v>
      </c>
      <c r="D5718" t="s">
        <v>86</v>
      </c>
      <c r="E5718" t="s">
        <v>527</v>
      </c>
      <c r="F5718">
        <v>125.7</v>
      </c>
      <c r="G5718">
        <v>0</v>
      </c>
    </row>
    <row r="5719" spans="2:7" x14ac:dyDescent="0.25">
      <c r="B5719" s="70">
        <v>43258</v>
      </c>
      <c r="C5719" t="s">
        <v>25</v>
      </c>
      <c r="D5719" t="s">
        <v>80</v>
      </c>
      <c r="E5719" t="s">
        <v>528</v>
      </c>
      <c r="F5719">
        <v>21.98</v>
      </c>
      <c r="G5719">
        <v>0</v>
      </c>
    </row>
    <row r="5720" spans="2:7" x14ac:dyDescent="0.25">
      <c r="B5720" s="70">
        <v>43258</v>
      </c>
      <c r="C5720" t="s">
        <v>25</v>
      </c>
      <c r="D5720" t="s">
        <v>80</v>
      </c>
      <c r="E5720" t="s">
        <v>528</v>
      </c>
      <c r="F5720">
        <v>23.96</v>
      </c>
      <c r="G5720">
        <v>0</v>
      </c>
    </row>
    <row r="5721" spans="2:7" x14ac:dyDescent="0.25">
      <c r="B5721" s="70">
        <v>43258</v>
      </c>
      <c r="C5721" t="s">
        <v>25</v>
      </c>
      <c r="D5721" t="s">
        <v>80</v>
      </c>
      <c r="E5721" t="s">
        <v>528</v>
      </c>
      <c r="F5721">
        <v>60.1</v>
      </c>
      <c r="G5721">
        <v>0</v>
      </c>
    </row>
    <row r="5722" spans="2:7" x14ac:dyDescent="0.25">
      <c r="B5722" s="70">
        <v>43258</v>
      </c>
      <c r="C5722" t="s">
        <v>25</v>
      </c>
      <c r="D5722" t="s">
        <v>80</v>
      </c>
      <c r="E5722" t="s">
        <v>528</v>
      </c>
      <c r="F5722">
        <v>26.77</v>
      </c>
      <c r="G5722">
        <v>0</v>
      </c>
    </row>
    <row r="5723" spans="2:7" x14ac:dyDescent="0.25">
      <c r="B5723" s="70">
        <v>43258</v>
      </c>
      <c r="C5723" t="s">
        <v>25</v>
      </c>
      <c r="D5723" t="s">
        <v>80</v>
      </c>
      <c r="E5723" t="s">
        <v>528</v>
      </c>
      <c r="F5723">
        <v>25.19</v>
      </c>
      <c r="G5723">
        <v>0</v>
      </c>
    </row>
    <row r="5724" spans="2:7" x14ac:dyDescent="0.25">
      <c r="B5724" s="70">
        <v>43258</v>
      </c>
      <c r="C5724" t="s">
        <v>25</v>
      </c>
      <c r="D5724" t="s">
        <v>80</v>
      </c>
      <c r="E5724" t="s">
        <v>528</v>
      </c>
      <c r="F5724">
        <v>123.62</v>
      </c>
      <c r="G5724">
        <v>0</v>
      </c>
    </row>
    <row r="5725" spans="2:7" x14ac:dyDescent="0.25">
      <c r="B5725" s="70">
        <v>43258</v>
      </c>
      <c r="C5725" t="s">
        <v>25</v>
      </c>
      <c r="D5725" t="s">
        <v>80</v>
      </c>
      <c r="E5725" t="s">
        <v>528</v>
      </c>
      <c r="F5725">
        <v>32.299999999999997</v>
      </c>
      <c r="G5725">
        <v>0</v>
      </c>
    </row>
    <row r="5726" spans="2:7" x14ac:dyDescent="0.25">
      <c r="B5726" s="70">
        <v>43258</v>
      </c>
      <c r="C5726" t="s">
        <v>25</v>
      </c>
      <c r="D5726" t="s">
        <v>87</v>
      </c>
      <c r="E5726" t="s">
        <v>528</v>
      </c>
      <c r="F5726">
        <v>10.25</v>
      </c>
      <c r="G5726">
        <v>0</v>
      </c>
    </row>
    <row r="5727" spans="2:7" x14ac:dyDescent="0.25">
      <c r="B5727" s="70">
        <v>43258</v>
      </c>
      <c r="C5727" t="s">
        <v>25</v>
      </c>
      <c r="D5727" t="s">
        <v>87</v>
      </c>
      <c r="E5727" t="s">
        <v>528</v>
      </c>
      <c r="F5727">
        <v>35</v>
      </c>
      <c r="G5727">
        <v>0</v>
      </c>
    </row>
    <row r="5728" spans="2:7" x14ac:dyDescent="0.25">
      <c r="B5728" s="70">
        <v>43258</v>
      </c>
      <c r="C5728" t="s">
        <v>25</v>
      </c>
      <c r="D5728" t="s">
        <v>87</v>
      </c>
      <c r="E5728" t="s">
        <v>528</v>
      </c>
      <c r="F5728">
        <v>87.91</v>
      </c>
      <c r="G5728">
        <v>0</v>
      </c>
    </row>
    <row r="5729" spans="2:7" x14ac:dyDescent="0.25">
      <c r="B5729" s="70">
        <v>43258</v>
      </c>
      <c r="C5729" t="s">
        <v>25</v>
      </c>
      <c r="D5729" t="s">
        <v>87</v>
      </c>
      <c r="E5729" t="s">
        <v>528</v>
      </c>
      <c r="F5729">
        <v>29.39</v>
      </c>
      <c r="G5729">
        <v>0</v>
      </c>
    </row>
    <row r="5730" spans="2:7" x14ac:dyDescent="0.25">
      <c r="B5730" s="70">
        <v>43258</v>
      </c>
      <c r="C5730" t="s">
        <v>25</v>
      </c>
      <c r="D5730" t="s">
        <v>87</v>
      </c>
      <c r="E5730" t="s">
        <v>528</v>
      </c>
      <c r="F5730">
        <v>48.5</v>
      </c>
      <c r="G5730">
        <v>0</v>
      </c>
    </row>
    <row r="5731" spans="2:7" x14ac:dyDescent="0.25">
      <c r="B5731" s="70">
        <v>43258</v>
      </c>
      <c r="C5731" t="s">
        <v>25</v>
      </c>
      <c r="D5731" t="s">
        <v>87</v>
      </c>
      <c r="E5731" t="s">
        <v>528</v>
      </c>
      <c r="F5731">
        <v>20.99</v>
      </c>
      <c r="G5731">
        <v>0</v>
      </c>
    </row>
    <row r="5732" spans="2:7" x14ac:dyDescent="0.25">
      <c r="B5732" s="70">
        <v>43258</v>
      </c>
      <c r="C5732" t="s">
        <v>25</v>
      </c>
      <c r="D5732" t="s">
        <v>87</v>
      </c>
      <c r="E5732" t="s">
        <v>528</v>
      </c>
      <c r="F5732">
        <v>152.75</v>
      </c>
      <c r="G5732">
        <v>0</v>
      </c>
    </row>
    <row r="5733" spans="2:7" x14ac:dyDescent="0.25">
      <c r="B5733" s="70">
        <v>43258</v>
      </c>
      <c r="C5733" t="s">
        <v>25</v>
      </c>
      <c r="D5733" t="s">
        <v>87</v>
      </c>
      <c r="E5733" t="s">
        <v>528</v>
      </c>
      <c r="F5733">
        <v>42.38</v>
      </c>
      <c r="G5733">
        <v>0</v>
      </c>
    </row>
    <row r="5734" spans="2:7" x14ac:dyDescent="0.25">
      <c r="B5734" s="70">
        <v>43258</v>
      </c>
      <c r="C5734" t="s">
        <v>25</v>
      </c>
      <c r="D5734" t="s">
        <v>87</v>
      </c>
      <c r="E5734" t="s">
        <v>528</v>
      </c>
      <c r="F5734">
        <v>70.739999999999995</v>
      </c>
      <c r="G5734">
        <v>0</v>
      </c>
    </row>
    <row r="5735" spans="2:7" x14ac:dyDescent="0.25">
      <c r="B5735" s="70">
        <v>43258</v>
      </c>
      <c r="C5735" t="s">
        <v>25</v>
      </c>
      <c r="D5735" t="s">
        <v>87</v>
      </c>
      <c r="E5735" t="s">
        <v>528</v>
      </c>
      <c r="F5735">
        <v>43.05</v>
      </c>
      <c r="G5735">
        <v>0</v>
      </c>
    </row>
    <row r="5736" spans="2:7" x14ac:dyDescent="0.25">
      <c r="B5736" s="70">
        <v>43258</v>
      </c>
      <c r="C5736" t="s">
        <v>25</v>
      </c>
      <c r="D5736" t="s">
        <v>81</v>
      </c>
      <c r="E5736" t="s">
        <v>137</v>
      </c>
      <c r="F5736">
        <v>4.5</v>
      </c>
      <c r="G5736">
        <v>0</v>
      </c>
    </row>
    <row r="5737" spans="2:7" x14ac:dyDescent="0.25">
      <c r="B5737" s="70">
        <v>43258</v>
      </c>
      <c r="C5737" t="s">
        <v>25</v>
      </c>
      <c r="D5737" t="s">
        <v>81</v>
      </c>
      <c r="E5737" t="s">
        <v>247</v>
      </c>
      <c r="F5737">
        <v>9.5500000000000007</v>
      </c>
      <c r="G5737">
        <v>0</v>
      </c>
    </row>
    <row r="5738" spans="2:7" x14ac:dyDescent="0.25">
      <c r="B5738" s="70">
        <v>43258</v>
      </c>
      <c r="C5738" t="s">
        <v>46</v>
      </c>
      <c r="D5738" t="s">
        <v>84</v>
      </c>
      <c r="E5738" t="s">
        <v>528</v>
      </c>
      <c r="F5738">
        <v>205.8</v>
      </c>
      <c r="G5738">
        <v>0</v>
      </c>
    </row>
    <row r="5739" spans="2:7" x14ac:dyDescent="0.25">
      <c r="B5739" s="70">
        <v>43258</v>
      </c>
      <c r="C5739" t="s">
        <v>48</v>
      </c>
      <c r="D5739" t="s">
        <v>84</v>
      </c>
      <c r="E5739" t="s">
        <v>528</v>
      </c>
      <c r="F5739">
        <v>722.68</v>
      </c>
      <c r="G5739">
        <v>0</v>
      </c>
    </row>
    <row r="5740" spans="2:7" x14ac:dyDescent="0.25">
      <c r="B5740" s="70">
        <v>43258</v>
      </c>
      <c r="C5740" t="s">
        <v>55</v>
      </c>
      <c r="D5740" t="s">
        <v>86</v>
      </c>
      <c r="E5740" t="s">
        <v>528</v>
      </c>
      <c r="F5740">
        <v>1734.36</v>
      </c>
      <c r="G5740">
        <v>0</v>
      </c>
    </row>
    <row r="5741" spans="2:7" x14ac:dyDescent="0.25">
      <c r="B5741" s="70">
        <v>43258</v>
      </c>
      <c r="C5741" t="s">
        <v>58</v>
      </c>
      <c r="D5741" t="s">
        <v>82</v>
      </c>
      <c r="E5741" t="s">
        <v>528</v>
      </c>
      <c r="F5741">
        <v>60</v>
      </c>
      <c r="G5741">
        <v>0</v>
      </c>
    </row>
    <row r="5742" spans="2:7" x14ac:dyDescent="0.25">
      <c r="B5742" s="70">
        <v>43258</v>
      </c>
      <c r="C5742" t="s">
        <v>53</v>
      </c>
      <c r="D5742" t="s">
        <v>84</v>
      </c>
      <c r="E5742" t="s">
        <v>528</v>
      </c>
      <c r="F5742">
        <v>104.6</v>
      </c>
      <c r="G5742">
        <v>0</v>
      </c>
    </row>
    <row r="5743" spans="2:7" x14ac:dyDescent="0.25">
      <c r="B5743" s="70">
        <v>43258</v>
      </c>
      <c r="C5743" t="s">
        <v>413</v>
      </c>
      <c r="D5743" t="s">
        <v>84</v>
      </c>
      <c r="E5743" t="s">
        <v>528</v>
      </c>
      <c r="F5743">
        <v>620.70000000000005</v>
      </c>
      <c r="G5743">
        <v>0</v>
      </c>
    </row>
    <row r="5744" spans="2:7" x14ac:dyDescent="0.25">
      <c r="B5744" s="70">
        <v>43285</v>
      </c>
      <c r="C5744" t="s">
        <v>25</v>
      </c>
      <c r="D5744" t="s">
        <v>79</v>
      </c>
      <c r="E5744" t="s">
        <v>529</v>
      </c>
      <c r="F5744">
        <v>23.99</v>
      </c>
      <c r="G5744">
        <v>0</v>
      </c>
    </row>
    <row r="5745" spans="2:7" x14ac:dyDescent="0.25">
      <c r="B5745" s="70">
        <v>43285</v>
      </c>
      <c r="C5745" t="s">
        <v>25</v>
      </c>
      <c r="D5745" t="s">
        <v>85</v>
      </c>
      <c r="E5745" t="s">
        <v>529</v>
      </c>
      <c r="F5745">
        <v>8.3800000000000008</v>
      </c>
      <c r="G5745">
        <v>0</v>
      </c>
    </row>
    <row r="5746" spans="2:7" x14ac:dyDescent="0.25">
      <c r="B5746" s="70">
        <v>43285</v>
      </c>
      <c r="C5746" t="s">
        <v>25</v>
      </c>
      <c r="D5746" t="s">
        <v>80</v>
      </c>
      <c r="E5746" t="s">
        <v>529</v>
      </c>
      <c r="F5746">
        <v>9.5</v>
      </c>
      <c r="G5746">
        <v>0</v>
      </c>
    </row>
    <row r="5747" spans="2:7" x14ac:dyDescent="0.25">
      <c r="B5747" s="70">
        <v>43285</v>
      </c>
      <c r="C5747" t="s">
        <v>25</v>
      </c>
      <c r="D5747" t="s">
        <v>80</v>
      </c>
      <c r="E5747" t="s">
        <v>529</v>
      </c>
      <c r="F5747">
        <v>27.98</v>
      </c>
      <c r="G5747">
        <v>0</v>
      </c>
    </row>
    <row r="5748" spans="2:7" x14ac:dyDescent="0.25">
      <c r="B5748" s="70">
        <v>43285</v>
      </c>
      <c r="C5748" t="s">
        <v>25</v>
      </c>
      <c r="D5748" t="s">
        <v>80</v>
      </c>
      <c r="E5748" t="s">
        <v>529</v>
      </c>
      <c r="F5748">
        <v>30.85</v>
      </c>
      <c r="G5748">
        <v>0</v>
      </c>
    </row>
    <row r="5749" spans="2:7" x14ac:dyDescent="0.25">
      <c r="B5749" s="70">
        <v>43285</v>
      </c>
      <c r="C5749" t="s">
        <v>25</v>
      </c>
      <c r="D5749" t="s">
        <v>80</v>
      </c>
      <c r="E5749" t="s">
        <v>529</v>
      </c>
      <c r="F5749">
        <v>25.8</v>
      </c>
      <c r="G5749">
        <v>0</v>
      </c>
    </row>
    <row r="5750" spans="2:7" x14ac:dyDescent="0.25">
      <c r="B5750" s="70">
        <v>43285</v>
      </c>
      <c r="C5750" t="s">
        <v>25</v>
      </c>
      <c r="D5750" t="s">
        <v>87</v>
      </c>
      <c r="E5750" t="s">
        <v>529</v>
      </c>
      <c r="F5750">
        <v>58.95</v>
      </c>
      <c r="G5750">
        <v>0</v>
      </c>
    </row>
    <row r="5751" spans="2:7" x14ac:dyDescent="0.25">
      <c r="B5751" s="70">
        <v>43285</v>
      </c>
      <c r="C5751" t="s">
        <v>25</v>
      </c>
      <c r="D5751" t="s">
        <v>87</v>
      </c>
      <c r="E5751" t="s">
        <v>529</v>
      </c>
      <c r="F5751">
        <v>28.77</v>
      </c>
      <c r="G5751">
        <v>0</v>
      </c>
    </row>
    <row r="5752" spans="2:7" x14ac:dyDescent="0.25">
      <c r="B5752" s="70">
        <v>43285</v>
      </c>
      <c r="C5752" t="s">
        <v>25</v>
      </c>
      <c r="D5752" t="s">
        <v>81</v>
      </c>
      <c r="E5752" t="s">
        <v>122</v>
      </c>
      <c r="F5752">
        <v>2.9</v>
      </c>
      <c r="G5752">
        <v>0</v>
      </c>
    </row>
    <row r="5753" spans="2:7" x14ac:dyDescent="0.25">
      <c r="B5753" s="70">
        <v>43285</v>
      </c>
      <c r="C5753" t="s">
        <v>25</v>
      </c>
      <c r="D5753" t="s">
        <v>81</v>
      </c>
      <c r="E5753" t="s">
        <v>213</v>
      </c>
      <c r="F5753">
        <v>15</v>
      </c>
      <c r="G5753">
        <v>0</v>
      </c>
    </row>
    <row r="5754" spans="2:7" x14ac:dyDescent="0.25">
      <c r="B5754" s="70">
        <v>43285</v>
      </c>
      <c r="C5754" t="s">
        <v>25</v>
      </c>
      <c r="D5754" t="s">
        <v>81</v>
      </c>
      <c r="E5754" t="s">
        <v>247</v>
      </c>
      <c r="F5754">
        <v>3.15</v>
      </c>
      <c r="G5754">
        <v>0</v>
      </c>
    </row>
    <row r="5755" spans="2:7" x14ac:dyDescent="0.25">
      <c r="B5755" s="70">
        <v>43285</v>
      </c>
      <c r="C5755" t="s">
        <v>54</v>
      </c>
      <c r="D5755" t="s">
        <v>82</v>
      </c>
      <c r="E5755" t="s">
        <v>529</v>
      </c>
      <c r="F5755">
        <v>37.94</v>
      </c>
      <c r="G5755">
        <v>0</v>
      </c>
    </row>
    <row r="5756" spans="2:7" x14ac:dyDescent="0.25">
      <c r="B5756" s="70">
        <v>43285</v>
      </c>
      <c r="C5756" t="s">
        <v>21</v>
      </c>
      <c r="D5756" t="s">
        <v>79</v>
      </c>
      <c r="E5756" t="s">
        <v>529</v>
      </c>
      <c r="F5756">
        <v>8</v>
      </c>
      <c r="G5756">
        <v>0</v>
      </c>
    </row>
    <row r="5757" spans="2:7" x14ac:dyDescent="0.25">
      <c r="B5757" s="70">
        <v>43285</v>
      </c>
      <c r="C5757" t="s">
        <v>21</v>
      </c>
      <c r="D5757" t="s">
        <v>79</v>
      </c>
      <c r="E5757" t="s">
        <v>529</v>
      </c>
      <c r="F5757">
        <v>16</v>
      </c>
      <c r="G5757">
        <v>0</v>
      </c>
    </row>
    <row r="5758" spans="2:7" x14ac:dyDescent="0.25">
      <c r="B5758" s="70">
        <v>43285</v>
      </c>
      <c r="C5758" t="s">
        <v>21</v>
      </c>
      <c r="D5758" t="s">
        <v>79</v>
      </c>
      <c r="E5758" t="s">
        <v>529</v>
      </c>
      <c r="F5758">
        <v>24</v>
      </c>
      <c r="G5758">
        <v>0</v>
      </c>
    </row>
    <row r="5759" spans="2:7" x14ac:dyDescent="0.25">
      <c r="B5759" s="70">
        <v>43285</v>
      </c>
      <c r="C5759" t="s">
        <v>21</v>
      </c>
      <c r="D5759" t="s">
        <v>79</v>
      </c>
      <c r="E5759" t="s">
        <v>529</v>
      </c>
      <c r="F5759">
        <v>56</v>
      </c>
      <c r="G5759">
        <v>0</v>
      </c>
    </row>
    <row r="5760" spans="2:7" x14ac:dyDescent="0.25">
      <c r="B5760" s="70">
        <v>43285</v>
      </c>
      <c r="C5760" t="s">
        <v>55</v>
      </c>
      <c r="D5760" t="s">
        <v>86</v>
      </c>
      <c r="E5760" t="s">
        <v>529</v>
      </c>
      <c r="F5760">
        <v>1930.91</v>
      </c>
      <c r="G5760">
        <v>0</v>
      </c>
    </row>
    <row r="5761" spans="2:7" x14ac:dyDescent="0.25">
      <c r="B5761" s="70">
        <v>43285</v>
      </c>
      <c r="C5761" t="s">
        <v>45</v>
      </c>
      <c r="D5761" t="s">
        <v>82</v>
      </c>
      <c r="E5761" t="s">
        <v>529</v>
      </c>
      <c r="F5761">
        <v>70.7</v>
      </c>
      <c r="G5761">
        <v>0</v>
      </c>
    </row>
    <row r="5762" spans="2:7" x14ac:dyDescent="0.25">
      <c r="B5762" s="70">
        <v>43285</v>
      </c>
      <c r="C5762" t="s">
        <v>53</v>
      </c>
      <c r="D5762" t="s">
        <v>85</v>
      </c>
      <c r="E5762" t="s">
        <v>529</v>
      </c>
      <c r="F5762">
        <v>118.45</v>
      </c>
      <c r="G5762">
        <v>0</v>
      </c>
    </row>
    <row r="5763" spans="2:7" x14ac:dyDescent="0.25">
      <c r="B5763" s="70">
        <v>43285</v>
      </c>
      <c r="C5763" t="s">
        <v>53</v>
      </c>
      <c r="D5763" t="s">
        <v>87</v>
      </c>
      <c r="E5763" t="s">
        <v>529</v>
      </c>
      <c r="F5763">
        <v>0</v>
      </c>
      <c r="G5763">
        <v>131.24</v>
      </c>
    </row>
    <row r="5764" spans="2:7" x14ac:dyDescent="0.25">
      <c r="B5764" s="70">
        <v>43285</v>
      </c>
      <c r="C5764" t="s">
        <v>414</v>
      </c>
      <c r="D5764" t="s">
        <v>82</v>
      </c>
      <c r="E5764" t="s">
        <v>529</v>
      </c>
      <c r="F5764">
        <v>122.2</v>
      </c>
      <c r="G5764">
        <v>0</v>
      </c>
    </row>
    <row r="5765" spans="2:7" x14ac:dyDescent="0.25">
      <c r="B5765" s="70">
        <v>43356</v>
      </c>
      <c r="C5765" t="s">
        <v>25</v>
      </c>
      <c r="D5765" t="s">
        <v>81</v>
      </c>
      <c r="E5765" t="s">
        <v>247</v>
      </c>
      <c r="F5765">
        <v>3.7</v>
      </c>
      <c r="G5765">
        <v>0</v>
      </c>
    </row>
    <row r="5766" spans="2:7" x14ac:dyDescent="0.25">
      <c r="B5766" s="70">
        <v>43356</v>
      </c>
      <c r="C5766" t="s">
        <v>21</v>
      </c>
      <c r="D5766" t="s">
        <v>82</v>
      </c>
      <c r="E5766" t="s">
        <v>530</v>
      </c>
      <c r="F5766">
        <v>130</v>
      </c>
      <c r="G5766">
        <v>0</v>
      </c>
    </row>
    <row r="5767" spans="2:7" x14ac:dyDescent="0.25">
      <c r="B5767" s="70">
        <v>43356</v>
      </c>
      <c r="C5767" t="s">
        <v>21</v>
      </c>
      <c r="D5767" t="s">
        <v>82</v>
      </c>
      <c r="E5767" t="s">
        <v>530</v>
      </c>
      <c r="F5767">
        <v>216</v>
      </c>
      <c r="G5767">
        <v>0</v>
      </c>
    </row>
    <row r="5768" spans="2:7" x14ac:dyDescent="0.25">
      <c r="B5768" s="70">
        <v>43356</v>
      </c>
      <c r="C5768" t="s">
        <v>24</v>
      </c>
      <c r="D5768" t="s">
        <v>82</v>
      </c>
      <c r="E5768" t="s">
        <v>530</v>
      </c>
      <c r="F5768">
        <v>168</v>
      </c>
      <c r="G5768">
        <v>0</v>
      </c>
    </row>
    <row r="5769" spans="2:7" x14ac:dyDescent="0.25">
      <c r="B5769" s="70">
        <v>43356</v>
      </c>
      <c r="C5769" t="s">
        <v>24</v>
      </c>
      <c r="D5769" t="s">
        <v>82</v>
      </c>
      <c r="E5769" t="s">
        <v>530</v>
      </c>
      <c r="F5769">
        <v>163.19999999999999</v>
      </c>
      <c r="G5769">
        <v>0</v>
      </c>
    </row>
    <row r="5770" spans="2:7" x14ac:dyDescent="0.25">
      <c r="B5770" s="70">
        <v>43356</v>
      </c>
      <c r="C5770" t="s">
        <v>61</v>
      </c>
      <c r="D5770" t="s">
        <v>85</v>
      </c>
      <c r="E5770" t="s">
        <v>530</v>
      </c>
      <c r="F5770">
        <v>99.47</v>
      </c>
      <c r="G5770">
        <v>0</v>
      </c>
    </row>
    <row r="5771" spans="2:7" x14ac:dyDescent="0.25">
      <c r="B5771" s="70">
        <v>43309</v>
      </c>
      <c r="C5771" t="s">
        <v>25</v>
      </c>
      <c r="D5771" t="s">
        <v>81</v>
      </c>
      <c r="E5771" t="s">
        <v>135</v>
      </c>
      <c r="F5771">
        <v>9.1999999999999993</v>
      </c>
      <c r="G5771">
        <v>0</v>
      </c>
    </row>
    <row r="5772" spans="2:7" x14ac:dyDescent="0.25">
      <c r="B5772" s="70">
        <v>43309</v>
      </c>
      <c r="C5772" t="s">
        <v>25</v>
      </c>
      <c r="D5772" t="s">
        <v>82</v>
      </c>
      <c r="E5772" t="s">
        <v>531</v>
      </c>
      <c r="F5772">
        <v>115</v>
      </c>
      <c r="G5772">
        <v>0</v>
      </c>
    </row>
    <row r="5773" spans="2:7" x14ac:dyDescent="0.25">
      <c r="B5773" s="70">
        <v>43309</v>
      </c>
      <c r="C5773" t="s">
        <v>46</v>
      </c>
      <c r="D5773" t="s">
        <v>82</v>
      </c>
      <c r="E5773" t="s">
        <v>531</v>
      </c>
      <c r="F5773">
        <v>5</v>
      </c>
      <c r="G5773">
        <v>0</v>
      </c>
    </row>
    <row r="5774" spans="2:7" x14ac:dyDescent="0.25">
      <c r="B5774" s="70">
        <v>43309</v>
      </c>
      <c r="C5774" t="s">
        <v>21</v>
      </c>
      <c r="D5774" t="s">
        <v>79</v>
      </c>
      <c r="E5774" t="s">
        <v>531</v>
      </c>
      <c r="F5774">
        <v>8</v>
      </c>
      <c r="G5774">
        <v>0</v>
      </c>
    </row>
    <row r="5775" spans="2:7" x14ac:dyDescent="0.25">
      <c r="B5775" s="70">
        <v>43309</v>
      </c>
      <c r="C5775" t="s">
        <v>21</v>
      </c>
      <c r="D5775" t="s">
        <v>79</v>
      </c>
      <c r="E5775" t="s">
        <v>531</v>
      </c>
      <c r="F5775">
        <v>16</v>
      </c>
      <c r="G5775">
        <v>0</v>
      </c>
    </row>
    <row r="5776" spans="2:7" x14ac:dyDescent="0.25">
      <c r="B5776" s="70">
        <v>43309</v>
      </c>
      <c r="C5776" t="s">
        <v>24</v>
      </c>
      <c r="D5776" t="s">
        <v>79</v>
      </c>
      <c r="E5776" t="s">
        <v>531</v>
      </c>
      <c r="F5776">
        <v>8</v>
      </c>
      <c r="G5776">
        <v>0</v>
      </c>
    </row>
    <row r="5777" spans="2:7" x14ac:dyDescent="0.25">
      <c r="B5777" s="70">
        <v>43346</v>
      </c>
      <c r="C5777" t="s">
        <v>25</v>
      </c>
      <c r="D5777" t="s">
        <v>80</v>
      </c>
      <c r="E5777" t="s">
        <v>532</v>
      </c>
      <c r="F5777">
        <v>7.7</v>
      </c>
      <c r="G5777">
        <v>0</v>
      </c>
    </row>
    <row r="5778" spans="2:7" x14ac:dyDescent="0.25">
      <c r="B5778" s="70">
        <v>43346</v>
      </c>
      <c r="C5778" t="s">
        <v>25</v>
      </c>
      <c r="D5778" t="s">
        <v>80</v>
      </c>
      <c r="E5778" t="s">
        <v>532</v>
      </c>
      <c r="F5778">
        <v>21.29</v>
      </c>
      <c r="G5778">
        <v>0</v>
      </c>
    </row>
    <row r="5779" spans="2:7" x14ac:dyDescent="0.25">
      <c r="B5779" s="70">
        <v>43346</v>
      </c>
      <c r="C5779" t="s">
        <v>25</v>
      </c>
      <c r="D5779" t="s">
        <v>80</v>
      </c>
      <c r="E5779" t="s">
        <v>532</v>
      </c>
      <c r="F5779">
        <v>76.75</v>
      </c>
      <c r="G5779">
        <v>0</v>
      </c>
    </row>
    <row r="5780" spans="2:7" x14ac:dyDescent="0.25">
      <c r="B5780" s="70">
        <v>43346</v>
      </c>
      <c r="C5780" t="s">
        <v>25</v>
      </c>
      <c r="D5780" t="s">
        <v>87</v>
      </c>
      <c r="E5780" t="s">
        <v>532</v>
      </c>
      <c r="F5780">
        <v>28</v>
      </c>
      <c r="G5780">
        <v>0</v>
      </c>
    </row>
    <row r="5781" spans="2:7" x14ac:dyDescent="0.25">
      <c r="B5781" s="70">
        <v>43346</v>
      </c>
      <c r="C5781" t="s">
        <v>25</v>
      </c>
      <c r="D5781" t="s">
        <v>87</v>
      </c>
      <c r="E5781" t="s">
        <v>532</v>
      </c>
      <c r="F5781">
        <v>60</v>
      </c>
      <c r="G5781">
        <v>0</v>
      </c>
    </row>
    <row r="5782" spans="2:7" x14ac:dyDescent="0.25">
      <c r="B5782" s="70">
        <v>43346</v>
      </c>
      <c r="C5782" t="s">
        <v>25</v>
      </c>
      <c r="D5782" t="s">
        <v>87</v>
      </c>
      <c r="E5782" t="s">
        <v>532</v>
      </c>
      <c r="F5782">
        <v>71</v>
      </c>
      <c r="G5782">
        <v>0</v>
      </c>
    </row>
    <row r="5783" spans="2:7" x14ac:dyDescent="0.25">
      <c r="B5783" s="70">
        <v>43346</v>
      </c>
      <c r="C5783" t="s">
        <v>25</v>
      </c>
      <c r="D5783" t="s">
        <v>87</v>
      </c>
      <c r="E5783" t="s">
        <v>532</v>
      </c>
      <c r="F5783">
        <v>29.17</v>
      </c>
      <c r="G5783">
        <v>0</v>
      </c>
    </row>
    <row r="5784" spans="2:7" x14ac:dyDescent="0.25">
      <c r="B5784" s="70">
        <v>43346</v>
      </c>
      <c r="C5784" t="s">
        <v>25</v>
      </c>
      <c r="D5784" t="s">
        <v>87</v>
      </c>
      <c r="E5784" t="s">
        <v>532</v>
      </c>
      <c r="F5784">
        <v>26.1</v>
      </c>
      <c r="G5784">
        <v>0</v>
      </c>
    </row>
    <row r="5785" spans="2:7" x14ac:dyDescent="0.25">
      <c r="B5785" s="70">
        <v>43346</v>
      </c>
      <c r="C5785" t="s">
        <v>25</v>
      </c>
      <c r="D5785" t="s">
        <v>87</v>
      </c>
      <c r="E5785" t="s">
        <v>532</v>
      </c>
      <c r="F5785">
        <v>45.62</v>
      </c>
      <c r="G5785">
        <v>0</v>
      </c>
    </row>
    <row r="5786" spans="2:7" x14ac:dyDescent="0.25">
      <c r="B5786" s="70">
        <v>43346</v>
      </c>
      <c r="C5786" t="s">
        <v>25</v>
      </c>
      <c r="D5786" t="s">
        <v>87</v>
      </c>
      <c r="E5786" t="s">
        <v>532</v>
      </c>
      <c r="F5786">
        <v>38.32</v>
      </c>
      <c r="G5786">
        <v>0</v>
      </c>
    </row>
    <row r="5787" spans="2:7" x14ac:dyDescent="0.25">
      <c r="B5787" s="70">
        <v>43346</v>
      </c>
      <c r="C5787" t="s">
        <v>25</v>
      </c>
      <c r="D5787" t="s">
        <v>87</v>
      </c>
      <c r="E5787" t="s">
        <v>532</v>
      </c>
      <c r="F5787">
        <v>7.89</v>
      </c>
      <c r="G5787">
        <v>0</v>
      </c>
    </row>
    <row r="5788" spans="2:7" x14ac:dyDescent="0.25">
      <c r="B5788" s="70">
        <v>43346</v>
      </c>
      <c r="C5788" t="s">
        <v>25</v>
      </c>
      <c r="D5788" t="s">
        <v>87</v>
      </c>
      <c r="E5788" t="s">
        <v>532</v>
      </c>
      <c r="F5788">
        <v>124.78</v>
      </c>
      <c r="G5788">
        <v>0</v>
      </c>
    </row>
    <row r="5789" spans="2:7" x14ac:dyDescent="0.25">
      <c r="B5789" s="70">
        <v>43346</v>
      </c>
      <c r="C5789" t="s">
        <v>25</v>
      </c>
      <c r="D5789" t="s">
        <v>87</v>
      </c>
      <c r="E5789" t="s">
        <v>532</v>
      </c>
      <c r="F5789">
        <v>82.16</v>
      </c>
      <c r="G5789">
        <v>0</v>
      </c>
    </row>
    <row r="5790" spans="2:7" x14ac:dyDescent="0.25">
      <c r="B5790" s="70">
        <v>43346</v>
      </c>
      <c r="C5790" t="s">
        <v>25</v>
      </c>
      <c r="D5790" t="s">
        <v>87</v>
      </c>
      <c r="E5790" t="s">
        <v>532</v>
      </c>
      <c r="F5790">
        <v>42.34</v>
      </c>
      <c r="G5790">
        <v>0</v>
      </c>
    </row>
    <row r="5791" spans="2:7" x14ac:dyDescent="0.25">
      <c r="B5791" s="70">
        <v>43346</v>
      </c>
      <c r="C5791" t="s">
        <v>25</v>
      </c>
      <c r="D5791" t="s">
        <v>81</v>
      </c>
      <c r="E5791" t="s">
        <v>178</v>
      </c>
      <c r="F5791">
        <v>25</v>
      </c>
      <c r="G5791">
        <v>0</v>
      </c>
    </row>
    <row r="5792" spans="2:7" x14ac:dyDescent="0.25">
      <c r="B5792" s="70">
        <v>43346</v>
      </c>
      <c r="C5792" t="s">
        <v>25</v>
      </c>
      <c r="D5792" t="s">
        <v>81</v>
      </c>
      <c r="E5792" t="s">
        <v>209</v>
      </c>
      <c r="F5792">
        <v>35.200000000000003</v>
      </c>
      <c r="G5792">
        <v>0</v>
      </c>
    </row>
    <row r="5793" spans="2:7" x14ac:dyDescent="0.25">
      <c r="B5793" s="70">
        <v>43346</v>
      </c>
      <c r="C5793" t="s">
        <v>54</v>
      </c>
      <c r="D5793" t="s">
        <v>80</v>
      </c>
      <c r="E5793" t="s">
        <v>532</v>
      </c>
      <c r="F5793">
        <v>204.83</v>
      </c>
      <c r="G5793">
        <v>0</v>
      </c>
    </row>
    <row r="5794" spans="2:7" x14ac:dyDescent="0.25">
      <c r="B5794" s="70">
        <v>43346</v>
      </c>
      <c r="C5794" t="s">
        <v>59</v>
      </c>
      <c r="D5794" t="s">
        <v>80</v>
      </c>
      <c r="E5794" t="s">
        <v>532</v>
      </c>
      <c r="F5794">
        <v>86.3</v>
      </c>
      <c r="G5794">
        <v>0</v>
      </c>
    </row>
    <row r="5795" spans="2:7" x14ac:dyDescent="0.25">
      <c r="B5795" s="70">
        <v>43346</v>
      </c>
      <c r="C5795" t="s">
        <v>56</v>
      </c>
      <c r="D5795" t="s">
        <v>82</v>
      </c>
      <c r="E5795" t="s">
        <v>532</v>
      </c>
      <c r="F5795">
        <v>80.5</v>
      </c>
      <c r="G5795">
        <v>0</v>
      </c>
    </row>
    <row r="5796" spans="2:7" x14ac:dyDescent="0.25">
      <c r="B5796" s="70">
        <v>43346</v>
      </c>
      <c r="C5796" t="s">
        <v>47</v>
      </c>
      <c r="D5796" t="s">
        <v>86</v>
      </c>
      <c r="E5796" t="s">
        <v>532</v>
      </c>
      <c r="F5796">
        <v>131.15</v>
      </c>
      <c r="G5796">
        <v>0</v>
      </c>
    </row>
    <row r="5797" spans="2:7" x14ac:dyDescent="0.25">
      <c r="B5797" s="70">
        <v>43346</v>
      </c>
      <c r="C5797" t="s">
        <v>51</v>
      </c>
      <c r="D5797" t="s">
        <v>86</v>
      </c>
      <c r="E5797" t="s">
        <v>532</v>
      </c>
      <c r="F5797">
        <v>67.48</v>
      </c>
      <c r="G5797">
        <v>0</v>
      </c>
    </row>
    <row r="5798" spans="2:7" x14ac:dyDescent="0.25">
      <c r="B5798" s="70">
        <v>43346</v>
      </c>
      <c r="C5798" t="s">
        <v>51</v>
      </c>
      <c r="D5798" t="s">
        <v>82</v>
      </c>
      <c r="E5798" t="s">
        <v>532</v>
      </c>
      <c r="F5798">
        <v>192.67</v>
      </c>
      <c r="G5798">
        <v>0</v>
      </c>
    </row>
    <row r="5799" spans="2:7" x14ac:dyDescent="0.25">
      <c r="B5799" s="70">
        <v>43346</v>
      </c>
      <c r="C5799" t="s">
        <v>21</v>
      </c>
      <c r="D5799" t="s">
        <v>79</v>
      </c>
      <c r="E5799" t="s">
        <v>532</v>
      </c>
      <c r="F5799">
        <v>8</v>
      </c>
      <c r="G5799">
        <v>0</v>
      </c>
    </row>
    <row r="5800" spans="2:7" x14ac:dyDescent="0.25">
      <c r="B5800" s="70">
        <v>43346</v>
      </c>
      <c r="C5800" t="s">
        <v>21</v>
      </c>
      <c r="D5800" t="s">
        <v>79</v>
      </c>
      <c r="E5800" t="s">
        <v>532</v>
      </c>
      <c r="F5800">
        <v>24</v>
      </c>
      <c r="G5800">
        <v>0</v>
      </c>
    </row>
    <row r="5801" spans="2:7" x14ac:dyDescent="0.25">
      <c r="B5801" s="70">
        <v>43346</v>
      </c>
      <c r="C5801" t="s">
        <v>48</v>
      </c>
      <c r="D5801" t="s">
        <v>87</v>
      </c>
      <c r="E5801" t="s">
        <v>532</v>
      </c>
      <c r="F5801">
        <v>64.849999999999994</v>
      </c>
      <c r="G5801">
        <v>0</v>
      </c>
    </row>
    <row r="5802" spans="2:7" x14ac:dyDescent="0.25">
      <c r="B5802" s="70">
        <v>43346</v>
      </c>
      <c r="C5802" t="s">
        <v>63</v>
      </c>
      <c r="D5802" t="s">
        <v>80</v>
      </c>
      <c r="E5802" t="s">
        <v>532</v>
      </c>
      <c r="F5802">
        <v>49.5</v>
      </c>
      <c r="G5802">
        <v>0</v>
      </c>
    </row>
    <row r="5803" spans="2:7" x14ac:dyDescent="0.25">
      <c r="B5803" s="70">
        <v>43346</v>
      </c>
      <c r="C5803" t="s">
        <v>24</v>
      </c>
      <c r="D5803" t="s">
        <v>79</v>
      </c>
      <c r="E5803" t="s">
        <v>532</v>
      </c>
      <c r="F5803">
        <v>8</v>
      </c>
      <c r="G5803">
        <v>0</v>
      </c>
    </row>
    <row r="5804" spans="2:7" x14ac:dyDescent="0.25">
      <c r="B5804" s="70">
        <v>43323</v>
      </c>
      <c r="C5804" t="s">
        <v>25</v>
      </c>
      <c r="D5804" t="s">
        <v>81</v>
      </c>
      <c r="E5804" t="s">
        <v>211</v>
      </c>
      <c r="F5804">
        <v>10.25</v>
      </c>
      <c r="G5804">
        <v>0</v>
      </c>
    </row>
    <row r="5805" spans="2:7" x14ac:dyDescent="0.25">
      <c r="B5805" s="70">
        <v>43323</v>
      </c>
      <c r="C5805" t="s">
        <v>49</v>
      </c>
      <c r="D5805" t="s">
        <v>82</v>
      </c>
      <c r="E5805" t="s">
        <v>533</v>
      </c>
      <c r="F5805">
        <v>52.8</v>
      </c>
      <c r="G5805">
        <v>0</v>
      </c>
    </row>
    <row r="5806" spans="2:7" x14ac:dyDescent="0.25">
      <c r="B5806" s="70">
        <v>43323</v>
      </c>
      <c r="C5806" t="s">
        <v>58</v>
      </c>
      <c r="D5806" t="s">
        <v>82</v>
      </c>
      <c r="E5806" t="s">
        <v>533</v>
      </c>
      <c r="F5806">
        <v>24</v>
      </c>
      <c r="G5806">
        <v>0</v>
      </c>
    </row>
    <row r="5807" spans="2:7" x14ac:dyDescent="0.25">
      <c r="B5807" s="70">
        <v>43323</v>
      </c>
      <c r="C5807" t="s">
        <v>414</v>
      </c>
      <c r="D5807" t="s">
        <v>82</v>
      </c>
      <c r="E5807" t="s">
        <v>533</v>
      </c>
      <c r="F5807">
        <v>62</v>
      </c>
      <c r="G5807">
        <v>0</v>
      </c>
    </row>
    <row r="5808" spans="2:7" x14ac:dyDescent="0.25">
      <c r="B5808" s="70">
        <v>43252</v>
      </c>
      <c r="C5808" t="s">
        <v>25</v>
      </c>
      <c r="D5808" t="s">
        <v>79</v>
      </c>
      <c r="E5808" t="s">
        <v>534</v>
      </c>
      <c r="F5808">
        <v>8</v>
      </c>
      <c r="G5808">
        <v>0</v>
      </c>
    </row>
    <row r="5809" spans="2:7" x14ac:dyDescent="0.25">
      <c r="B5809" s="70">
        <v>43252</v>
      </c>
      <c r="C5809" t="s">
        <v>25</v>
      </c>
      <c r="D5809" t="s">
        <v>85</v>
      </c>
      <c r="E5809" t="s">
        <v>534</v>
      </c>
      <c r="F5809">
        <v>187.5</v>
      </c>
      <c r="G5809">
        <v>0</v>
      </c>
    </row>
    <row r="5810" spans="2:7" x14ac:dyDescent="0.25">
      <c r="B5810" s="70">
        <v>43252</v>
      </c>
      <c r="C5810" t="s">
        <v>25</v>
      </c>
      <c r="D5810" t="s">
        <v>83</v>
      </c>
      <c r="E5810" t="s">
        <v>534</v>
      </c>
      <c r="F5810">
        <v>37.47</v>
      </c>
      <c r="G5810">
        <v>0</v>
      </c>
    </row>
    <row r="5811" spans="2:7" x14ac:dyDescent="0.25">
      <c r="B5811" s="70">
        <v>43252</v>
      </c>
      <c r="C5811" t="s">
        <v>25</v>
      </c>
      <c r="D5811" t="s">
        <v>80</v>
      </c>
      <c r="E5811" t="s">
        <v>534</v>
      </c>
      <c r="F5811">
        <v>10.5</v>
      </c>
      <c r="G5811">
        <v>0</v>
      </c>
    </row>
    <row r="5812" spans="2:7" x14ac:dyDescent="0.25">
      <c r="B5812" s="70">
        <v>43252</v>
      </c>
      <c r="C5812" t="s">
        <v>25</v>
      </c>
      <c r="D5812" t="s">
        <v>80</v>
      </c>
      <c r="E5812" t="s">
        <v>534</v>
      </c>
      <c r="F5812">
        <v>18.75</v>
      </c>
      <c r="G5812">
        <v>0</v>
      </c>
    </row>
    <row r="5813" spans="2:7" x14ac:dyDescent="0.25">
      <c r="B5813" s="70">
        <v>43252</v>
      </c>
      <c r="C5813" t="s">
        <v>25</v>
      </c>
      <c r="D5813" t="s">
        <v>80</v>
      </c>
      <c r="E5813" t="s">
        <v>534</v>
      </c>
      <c r="F5813">
        <v>25.82</v>
      </c>
      <c r="G5813">
        <v>0</v>
      </c>
    </row>
    <row r="5814" spans="2:7" x14ac:dyDescent="0.25">
      <c r="B5814" s="70">
        <v>43252</v>
      </c>
      <c r="C5814" t="s">
        <v>25</v>
      </c>
      <c r="D5814" t="s">
        <v>80</v>
      </c>
      <c r="E5814" t="s">
        <v>534</v>
      </c>
      <c r="F5814">
        <v>21.89</v>
      </c>
      <c r="G5814">
        <v>0</v>
      </c>
    </row>
    <row r="5815" spans="2:7" x14ac:dyDescent="0.25">
      <c r="B5815" s="70">
        <v>43252</v>
      </c>
      <c r="C5815" t="s">
        <v>25</v>
      </c>
      <c r="D5815" t="s">
        <v>80</v>
      </c>
      <c r="E5815" t="s">
        <v>534</v>
      </c>
      <c r="F5815">
        <v>143.16999999999999</v>
      </c>
      <c r="G5815">
        <v>0</v>
      </c>
    </row>
    <row r="5816" spans="2:7" x14ac:dyDescent="0.25">
      <c r="B5816" s="70">
        <v>43252</v>
      </c>
      <c r="C5816" t="s">
        <v>25</v>
      </c>
      <c r="D5816" t="s">
        <v>80</v>
      </c>
      <c r="E5816" t="s">
        <v>534</v>
      </c>
      <c r="F5816">
        <v>17.96</v>
      </c>
      <c r="G5816">
        <v>0</v>
      </c>
    </row>
    <row r="5817" spans="2:7" x14ac:dyDescent="0.25">
      <c r="B5817" s="70">
        <v>43252</v>
      </c>
      <c r="C5817" t="s">
        <v>25</v>
      </c>
      <c r="D5817" t="s">
        <v>87</v>
      </c>
      <c r="E5817" t="s">
        <v>534</v>
      </c>
      <c r="F5817">
        <v>8.6999999999999993</v>
      </c>
      <c r="G5817">
        <v>0</v>
      </c>
    </row>
    <row r="5818" spans="2:7" x14ac:dyDescent="0.25">
      <c r="B5818" s="70">
        <v>43252</v>
      </c>
      <c r="C5818" t="s">
        <v>25</v>
      </c>
      <c r="D5818" t="s">
        <v>87</v>
      </c>
      <c r="E5818" t="s">
        <v>534</v>
      </c>
      <c r="F5818">
        <v>29.9</v>
      </c>
      <c r="G5818">
        <v>0</v>
      </c>
    </row>
    <row r="5819" spans="2:7" x14ac:dyDescent="0.25">
      <c r="B5819" s="70">
        <v>43252</v>
      </c>
      <c r="C5819" t="s">
        <v>25</v>
      </c>
      <c r="D5819" t="s">
        <v>87</v>
      </c>
      <c r="E5819" t="s">
        <v>534</v>
      </c>
      <c r="F5819">
        <v>10.75</v>
      </c>
      <c r="G5819">
        <v>0</v>
      </c>
    </row>
    <row r="5820" spans="2:7" x14ac:dyDescent="0.25">
      <c r="B5820" s="70">
        <v>43252</v>
      </c>
      <c r="C5820" t="s">
        <v>25</v>
      </c>
      <c r="D5820" t="s">
        <v>87</v>
      </c>
      <c r="E5820" t="s">
        <v>534</v>
      </c>
      <c r="F5820">
        <v>140.30000000000001</v>
      </c>
      <c r="G5820">
        <v>0</v>
      </c>
    </row>
    <row r="5821" spans="2:7" x14ac:dyDescent="0.25">
      <c r="B5821" s="70">
        <v>43252</v>
      </c>
      <c r="C5821" t="s">
        <v>25</v>
      </c>
      <c r="D5821" t="s">
        <v>87</v>
      </c>
      <c r="E5821" t="s">
        <v>534</v>
      </c>
      <c r="F5821">
        <v>88.19</v>
      </c>
      <c r="G5821">
        <v>0</v>
      </c>
    </row>
    <row r="5822" spans="2:7" x14ac:dyDescent="0.25">
      <c r="B5822" s="70">
        <v>43252</v>
      </c>
      <c r="C5822" t="s">
        <v>25</v>
      </c>
      <c r="D5822" t="s">
        <v>87</v>
      </c>
      <c r="E5822" t="s">
        <v>534</v>
      </c>
      <c r="F5822">
        <v>40.89</v>
      </c>
      <c r="G5822">
        <v>0</v>
      </c>
    </row>
    <row r="5823" spans="2:7" x14ac:dyDescent="0.25">
      <c r="B5823" s="70">
        <v>43252</v>
      </c>
      <c r="C5823" t="s">
        <v>25</v>
      </c>
      <c r="D5823" t="s">
        <v>87</v>
      </c>
      <c r="E5823" t="s">
        <v>534</v>
      </c>
      <c r="F5823">
        <v>110.69</v>
      </c>
      <c r="G5823">
        <v>0</v>
      </c>
    </row>
    <row r="5824" spans="2:7" x14ac:dyDescent="0.25">
      <c r="B5824" s="70">
        <v>43252</v>
      </c>
      <c r="C5824" t="s">
        <v>25</v>
      </c>
      <c r="D5824" t="s">
        <v>87</v>
      </c>
      <c r="E5824" t="s">
        <v>534</v>
      </c>
      <c r="F5824">
        <v>98.21</v>
      </c>
      <c r="G5824">
        <v>0</v>
      </c>
    </row>
    <row r="5825" spans="2:7" x14ac:dyDescent="0.25">
      <c r="B5825" s="70">
        <v>43252</v>
      </c>
      <c r="C5825" t="s">
        <v>25</v>
      </c>
      <c r="D5825" t="s">
        <v>87</v>
      </c>
      <c r="E5825" t="s">
        <v>534</v>
      </c>
      <c r="F5825">
        <v>46.56</v>
      </c>
      <c r="G5825">
        <v>0</v>
      </c>
    </row>
    <row r="5826" spans="2:7" x14ac:dyDescent="0.25">
      <c r="B5826" s="70">
        <v>43252</v>
      </c>
      <c r="C5826" t="s">
        <v>25</v>
      </c>
      <c r="D5826" t="s">
        <v>87</v>
      </c>
      <c r="E5826" t="s">
        <v>534</v>
      </c>
      <c r="F5826">
        <v>35.880000000000003</v>
      </c>
      <c r="G5826">
        <v>0</v>
      </c>
    </row>
    <row r="5827" spans="2:7" x14ac:dyDescent="0.25">
      <c r="B5827" s="70">
        <v>43252</v>
      </c>
      <c r="C5827" t="s">
        <v>25</v>
      </c>
      <c r="D5827" t="s">
        <v>87</v>
      </c>
      <c r="E5827" t="s">
        <v>534</v>
      </c>
      <c r="F5827">
        <v>78.66</v>
      </c>
      <c r="G5827">
        <v>0</v>
      </c>
    </row>
    <row r="5828" spans="2:7" x14ac:dyDescent="0.25">
      <c r="B5828" s="70">
        <v>43252</v>
      </c>
      <c r="C5828" t="s">
        <v>25</v>
      </c>
      <c r="D5828" t="s">
        <v>87</v>
      </c>
      <c r="E5828" t="s">
        <v>534</v>
      </c>
      <c r="F5828">
        <v>24.86</v>
      </c>
      <c r="G5828">
        <v>0</v>
      </c>
    </row>
    <row r="5829" spans="2:7" x14ac:dyDescent="0.25">
      <c r="B5829" s="70">
        <v>43252</v>
      </c>
      <c r="C5829" t="s">
        <v>25</v>
      </c>
      <c r="D5829" t="s">
        <v>86</v>
      </c>
      <c r="E5829" t="s">
        <v>534</v>
      </c>
      <c r="F5829">
        <v>47</v>
      </c>
      <c r="G5829">
        <v>0</v>
      </c>
    </row>
    <row r="5830" spans="2:7" x14ac:dyDescent="0.25">
      <c r="B5830" s="70">
        <v>43252</v>
      </c>
      <c r="C5830" t="s">
        <v>25</v>
      </c>
      <c r="D5830" t="s">
        <v>81</v>
      </c>
      <c r="E5830" t="s">
        <v>172</v>
      </c>
      <c r="F5830">
        <v>4.75</v>
      </c>
      <c r="G5830">
        <v>0</v>
      </c>
    </row>
    <row r="5831" spans="2:7" x14ac:dyDescent="0.25">
      <c r="B5831" s="70">
        <v>43252</v>
      </c>
      <c r="C5831" t="s">
        <v>25</v>
      </c>
      <c r="D5831" t="s">
        <v>81</v>
      </c>
      <c r="E5831" t="s">
        <v>195</v>
      </c>
      <c r="F5831">
        <v>26</v>
      </c>
      <c r="G5831">
        <v>0</v>
      </c>
    </row>
    <row r="5832" spans="2:7" x14ac:dyDescent="0.25">
      <c r="B5832" s="70">
        <v>43252</v>
      </c>
      <c r="C5832" t="s">
        <v>25</v>
      </c>
      <c r="D5832" t="s">
        <v>82</v>
      </c>
      <c r="E5832" t="s">
        <v>534</v>
      </c>
      <c r="F5832">
        <v>19</v>
      </c>
      <c r="G5832">
        <v>0</v>
      </c>
    </row>
    <row r="5833" spans="2:7" x14ac:dyDescent="0.25">
      <c r="B5833" s="70">
        <v>43252</v>
      </c>
      <c r="C5833" t="s">
        <v>25</v>
      </c>
      <c r="D5833" t="s">
        <v>82</v>
      </c>
      <c r="E5833" t="s">
        <v>534</v>
      </c>
      <c r="F5833">
        <v>30</v>
      </c>
      <c r="G5833">
        <v>0</v>
      </c>
    </row>
    <row r="5834" spans="2:7" x14ac:dyDescent="0.25">
      <c r="B5834" s="70">
        <v>43252</v>
      </c>
      <c r="C5834" t="s">
        <v>25</v>
      </c>
      <c r="D5834" t="s">
        <v>82</v>
      </c>
      <c r="E5834" t="s">
        <v>534</v>
      </c>
      <c r="F5834">
        <v>39</v>
      </c>
      <c r="G5834">
        <v>0</v>
      </c>
    </row>
    <row r="5835" spans="2:7" x14ac:dyDescent="0.25">
      <c r="B5835" s="70">
        <v>43252</v>
      </c>
      <c r="C5835" t="s">
        <v>25</v>
      </c>
      <c r="D5835" t="s">
        <v>82</v>
      </c>
      <c r="E5835" t="s">
        <v>534</v>
      </c>
      <c r="F5835">
        <v>104</v>
      </c>
      <c r="G5835">
        <v>0</v>
      </c>
    </row>
    <row r="5836" spans="2:7" x14ac:dyDescent="0.25">
      <c r="B5836" s="70">
        <v>43252</v>
      </c>
      <c r="C5836" t="s">
        <v>54</v>
      </c>
      <c r="D5836" t="s">
        <v>79</v>
      </c>
      <c r="E5836" t="s">
        <v>534</v>
      </c>
      <c r="F5836">
        <v>22.59</v>
      </c>
      <c r="G5836">
        <v>0</v>
      </c>
    </row>
    <row r="5837" spans="2:7" x14ac:dyDescent="0.25">
      <c r="B5837" s="70">
        <v>43252</v>
      </c>
      <c r="C5837" t="s">
        <v>54</v>
      </c>
      <c r="D5837" t="s">
        <v>85</v>
      </c>
      <c r="E5837" t="s">
        <v>534</v>
      </c>
      <c r="F5837">
        <v>11.8</v>
      </c>
      <c r="G5837">
        <v>0</v>
      </c>
    </row>
    <row r="5838" spans="2:7" x14ac:dyDescent="0.25">
      <c r="B5838" s="70">
        <v>43252</v>
      </c>
      <c r="C5838" t="s">
        <v>54</v>
      </c>
      <c r="D5838" t="s">
        <v>80</v>
      </c>
      <c r="E5838" t="s">
        <v>534</v>
      </c>
      <c r="F5838">
        <v>28.2</v>
      </c>
      <c r="G5838">
        <v>0</v>
      </c>
    </row>
    <row r="5839" spans="2:7" x14ac:dyDescent="0.25">
      <c r="B5839" s="70">
        <v>43252</v>
      </c>
      <c r="C5839" t="s">
        <v>54</v>
      </c>
      <c r="D5839" t="s">
        <v>87</v>
      </c>
      <c r="E5839" t="s">
        <v>534</v>
      </c>
      <c r="F5839">
        <v>80</v>
      </c>
      <c r="G5839">
        <v>0</v>
      </c>
    </row>
    <row r="5840" spans="2:7" x14ac:dyDescent="0.25">
      <c r="B5840" s="70">
        <v>43252</v>
      </c>
      <c r="C5840" t="s">
        <v>46</v>
      </c>
      <c r="D5840" t="s">
        <v>82</v>
      </c>
      <c r="E5840" t="s">
        <v>534</v>
      </c>
      <c r="F5840">
        <v>10</v>
      </c>
      <c r="G5840">
        <v>0</v>
      </c>
    </row>
    <row r="5841" spans="2:7" x14ac:dyDescent="0.25">
      <c r="B5841" s="70">
        <v>43252</v>
      </c>
      <c r="C5841" t="s">
        <v>51</v>
      </c>
      <c r="D5841" t="s">
        <v>82</v>
      </c>
      <c r="E5841" t="s">
        <v>534</v>
      </c>
      <c r="F5841">
        <v>174.7</v>
      </c>
      <c r="G5841">
        <v>0</v>
      </c>
    </row>
    <row r="5842" spans="2:7" x14ac:dyDescent="0.25">
      <c r="B5842" s="70">
        <v>43252</v>
      </c>
      <c r="C5842" t="s">
        <v>21</v>
      </c>
      <c r="D5842" t="s">
        <v>79</v>
      </c>
      <c r="E5842" t="s">
        <v>534</v>
      </c>
      <c r="F5842">
        <v>16</v>
      </c>
      <c r="G5842">
        <v>0</v>
      </c>
    </row>
    <row r="5843" spans="2:7" x14ac:dyDescent="0.25">
      <c r="B5843" s="70">
        <v>43252</v>
      </c>
      <c r="C5843" t="s">
        <v>21</v>
      </c>
      <c r="D5843" t="s">
        <v>79</v>
      </c>
      <c r="E5843" t="s">
        <v>534</v>
      </c>
      <c r="F5843">
        <v>24</v>
      </c>
      <c r="G5843">
        <v>0</v>
      </c>
    </row>
    <row r="5844" spans="2:7" x14ac:dyDescent="0.25">
      <c r="B5844" s="70">
        <v>43252</v>
      </c>
      <c r="C5844" t="s">
        <v>21</v>
      </c>
      <c r="D5844" t="s">
        <v>79</v>
      </c>
      <c r="E5844" t="s">
        <v>534</v>
      </c>
      <c r="F5844">
        <v>56</v>
      </c>
      <c r="G5844">
        <v>0</v>
      </c>
    </row>
    <row r="5845" spans="2:7" x14ac:dyDescent="0.25">
      <c r="B5845" s="70">
        <v>43252</v>
      </c>
      <c r="C5845" t="s">
        <v>21</v>
      </c>
      <c r="D5845" t="s">
        <v>82</v>
      </c>
      <c r="E5845" t="s">
        <v>534</v>
      </c>
      <c r="F5845">
        <v>364</v>
      </c>
      <c r="G5845">
        <v>0</v>
      </c>
    </row>
    <row r="5846" spans="2:7" x14ac:dyDescent="0.25">
      <c r="B5846" s="70">
        <v>43252</v>
      </c>
      <c r="C5846" t="s">
        <v>21</v>
      </c>
      <c r="D5846" t="s">
        <v>82</v>
      </c>
      <c r="E5846" t="s">
        <v>534</v>
      </c>
      <c r="F5846">
        <v>252</v>
      </c>
      <c r="G5846">
        <v>0</v>
      </c>
    </row>
    <row r="5847" spans="2:7" x14ac:dyDescent="0.25">
      <c r="B5847" s="70">
        <v>43252</v>
      </c>
      <c r="C5847" t="s">
        <v>50</v>
      </c>
      <c r="D5847" t="s">
        <v>82</v>
      </c>
      <c r="E5847" t="s">
        <v>534</v>
      </c>
      <c r="F5847">
        <v>5</v>
      </c>
      <c r="G5847">
        <v>0</v>
      </c>
    </row>
    <row r="5848" spans="2:7" x14ac:dyDescent="0.25">
      <c r="B5848" s="70">
        <v>43252</v>
      </c>
      <c r="C5848" t="s">
        <v>58</v>
      </c>
      <c r="D5848" t="s">
        <v>83</v>
      </c>
      <c r="E5848" t="s">
        <v>534</v>
      </c>
      <c r="F5848">
        <v>400</v>
      </c>
      <c r="G5848">
        <v>0</v>
      </c>
    </row>
    <row r="5849" spans="2:7" x14ac:dyDescent="0.25">
      <c r="B5849" s="70">
        <v>43252</v>
      </c>
      <c r="C5849" t="s">
        <v>58</v>
      </c>
      <c r="D5849" t="s">
        <v>84</v>
      </c>
      <c r="E5849" t="s">
        <v>534</v>
      </c>
      <c r="F5849">
        <v>60</v>
      </c>
      <c r="G5849">
        <v>0</v>
      </c>
    </row>
    <row r="5850" spans="2:7" x14ac:dyDescent="0.25">
      <c r="B5850" s="70">
        <v>43252</v>
      </c>
      <c r="C5850" t="s">
        <v>53</v>
      </c>
      <c r="D5850" t="s">
        <v>82</v>
      </c>
      <c r="E5850" t="s">
        <v>534</v>
      </c>
      <c r="F5850">
        <v>152</v>
      </c>
      <c r="G5850">
        <v>0</v>
      </c>
    </row>
    <row r="5851" spans="2:7" x14ac:dyDescent="0.25">
      <c r="B5851" s="70">
        <v>43252</v>
      </c>
      <c r="C5851" t="s">
        <v>63</v>
      </c>
      <c r="D5851" t="s">
        <v>80</v>
      </c>
      <c r="E5851" t="s">
        <v>534</v>
      </c>
      <c r="F5851">
        <v>51.75</v>
      </c>
      <c r="G5851">
        <v>0</v>
      </c>
    </row>
    <row r="5852" spans="2:7" x14ac:dyDescent="0.25">
      <c r="B5852" s="70">
        <v>43252</v>
      </c>
      <c r="C5852" t="s">
        <v>24</v>
      </c>
      <c r="D5852" t="s">
        <v>79</v>
      </c>
      <c r="E5852" t="s">
        <v>534</v>
      </c>
      <c r="F5852">
        <v>16</v>
      </c>
      <c r="G5852">
        <v>0</v>
      </c>
    </row>
    <row r="5853" spans="2:7" x14ac:dyDescent="0.25">
      <c r="B5853" s="70">
        <v>43252</v>
      </c>
      <c r="C5853" t="s">
        <v>414</v>
      </c>
      <c r="D5853" t="s">
        <v>79</v>
      </c>
      <c r="E5853" t="s">
        <v>534</v>
      </c>
      <c r="F5853">
        <v>118.18</v>
      </c>
      <c r="G5853">
        <v>0</v>
      </c>
    </row>
    <row r="5854" spans="2:7" x14ac:dyDescent="0.25">
      <c r="B5854" s="70">
        <v>43293</v>
      </c>
      <c r="C5854" t="s">
        <v>25</v>
      </c>
      <c r="D5854" t="s">
        <v>85</v>
      </c>
      <c r="E5854" t="s">
        <v>535</v>
      </c>
      <c r="F5854">
        <v>24.57</v>
      </c>
      <c r="G5854">
        <v>0</v>
      </c>
    </row>
    <row r="5855" spans="2:7" x14ac:dyDescent="0.25">
      <c r="B5855" s="70">
        <v>43293</v>
      </c>
      <c r="C5855" t="s">
        <v>25</v>
      </c>
      <c r="D5855" t="s">
        <v>85</v>
      </c>
      <c r="E5855" t="s">
        <v>535</v>
      </c>
      <c r="F5855">
        <v>30</v>
      </c>
      <c r="G5855">
        <v>0</v>
      </c>
    </row>
    <row r="5856" spans="2:7" x14ac:dyDescent="0.25">
      <c r="B5856" s="70">
        <v>43293</v>
      </c>
      <c r="C5856" t="s">
        <v>25</v>
      </c>
      <c r="D5856" t="s">
        <v>83</v>
      </c>
      <c r="E5856" t="s">
        <v>535</v>
      </c>
      <c r="F5856">
        <v>25</v>
      </c>
      <c r="G5856">
        <v>0</v>
      </c>
    </row>
    <row r="5857" spans="2:7" x14ac:dyDescent="0.25">
      <c r="B5857" s="70">
        <v>43293</v>
      </c>
      <c r="C5857" t="s">
        <v>25</v>
      </c>
      <c r="D5857" t="s">
        <v>80</v>
      </c>
      <c r="E5857" t="s">
        <v>535</v>
      </c>
      <c r="F5857">
        <v>14.25</v>
      </c>
      <c r="G5857">
        <v>0</v>
      </c>
    </row>
    <row r="5858" spans="2:7" x14ac:dyDescent="0.25">
      <c r="B5858" s="70">
        <v>43293</v>
      </c>
      <c r="C5858" t="s">
        <v>25</v>
      </c>
      <c r="D5858" t="s">
        <v>80</v>
      </c>
      <c r="E5858" t="s">
        <v>535</v>
      </c>
      <c r="F5858">
        <v>27.24</v>
      </c>
      <c r="G5858">
        <v>0</v>
      </c>
    </row>
    <row r="5859" spans="2:7" x14ac:dyDescent="0.25">
      <c r="B5859" s="70">
        <v>43293</v>
      </c>
      <c r="C5859" t="s">
        <v>25</v>
      </c>
      <c r="D5859" t="s">
        <v>87</v>
      </c>
      <c r="E5859" t="s">
        <v>535</v>
      </c>
      <c r="F5859">
        <v>14.3</v>
      </c>
      <c r="G5859">
        <v>0</v>
      </c>
    </row>
    <row r="5860" spans="2:7" x14ac:dyDescent="0.25">
      <c r="B5860" s="70">
        <v>43293</v>
      </c>
      <c r="C5860" t="s">
        <v>25</v>
      </c>
      <c r="D5860" t="s">
        <v>87</v>
      </c>
      <c r="E5860" t="s">
        <v>535</v>
      </c>
      <c r="F5860">
        <v>21.2</v>
      </c>
      <c r="G5860">
        <v>0</v>
      </c>
    </row>
    <row r="5861" spans="2:7" x14ac:dyDescent="0.25">
      <c r="B5861" s="70">
        <v>43293</v>
      </c>
      <c r="C5861" t="s">
        <v>25</v>
      </c>
      <c r="D5861" t="s">
        <v>87</v>
      </c>
      <c r="E5861" t="s">
        <v>535</v>
      </c>
      <c r="F5861">
        <v>160</v>
      </c>
      <c r="G5861">
        <v>0</v>
      </c>
    </row>
    <row r="5862" spans="2:7" x14ac:dyDescent="0.25">
      <c r="B5862" s="70">
        <v>43293</v>
      </c>
      <c r="C5862" t="s">
        <v>25</v>
      </c>
      <c r="D5862" t="s">
        <v>87</v>
      </c>
      <c r="E5862" t="s">
        <v>535</v>
      </c>
      <c r="F5862">
        <v>65.22</v>
      </c>
      <c r="G5862">
        <v>0</v>
      </c>
    </row>
    <row r="5863" spans="2:7" x14ac:dyDescent="0.25">
      <c r="B5863" s="70">
        <v>43293</v>
      </c>
      <c r="C5863" t="s">
        <v>25</v>
      </c>
      <c r="D5863" t="s">
        <v>87</v>
      </c>
      <c r="E5863" t="s">
        <v>535</v>
      </c>
      <c r="F5863">
        <v>45.65</v>
      </c>
      <c r="G5863">
        <v>0</v>
      </c>
    </row>
    <row r="5864" spans="2:7" x14ac:dyDescent="0.25">
      <c r="B5864" s="70">
        <v>43293</v>
      </c>
      <c r="C5864" t="s">
        <v>25</v>
      </c>
      <c r="D5864" t="s">
        <v>87</v>
      </c>
      <c r="E5864" t="s">
        <v>535</v>
      </c>
      <c r="F5864">
        <v>184.05</v>
      </c>
      <c r="G5864">
        <v>0</v>
      </c>
    </row>
    <row r="5865" spans="2:7" x14ac:dyDescent="0.25">
      <c r="B5865" s="70">
        <v>43293</v>
      </c>
      <c r="C5865" t="s">
        <v>25</v>
      </c>
      <c r="D5865" t="s">
        <v>87</v>
      </c>
      <c r="E5865" t="s">
        <v>535</v>
      </c>
      <c r="F5865">
        <v>142.33000000000001</v>
      </c>
      <c r="G5865">
        <v>0</v>
      </c>
    </row>
    <row r="5866" spans="2:7" x14ac:dyDescent="0.25">
      <c r="B5866" s="70">
        <v>43293</v>
      </c>
      <c r="C5866" t="s">
        <v>25</v>
      </c>
      <c r="D5866" t="s">
        <v>87</v>
      </c>
      <c r="E5866" t="s">
        <v>535</v>
      </c>
      <c r="F5866">
        <v>79.14</v>
      </c>
      <c r="G5866">
        <v>0</v>
      </c>
    </row>
    <row r="5867" spans="2:7" x14ac:dyDescent="0.25">
      <c r="B5867" s="70">
        <v>43293</v>
      </c>
      <c r="C5867" t="s">
        <v>25</v>
      </c>
      <c r="D5867" t="s">
        <v>87</v>
      </c>
      <c r="E5867" t="s">
        <v>535</v>
      </c>
      <c r="F5867">
        <v>329.8</v>
      </c>
      <c r="G5867">
        <v>0</v>
      </c>
    </row>
    <row r="5868" spans="2:7" x14ac:dyDescent="0.25">
      <c r="B5868" s="70">
        <v>43293</v>
      </c>
      <c r="C5868" t="s">
        <v>25</v>
      </c>
      <c r="D5868" t="s">
        <v>87</v>
      </c>
      <c r="E5868" t="s">
        <v>535</v>
      </c>
      <c r="F5868">
        <v>162.25</v>
      </c>
      <c r="G5868">
        <v>0</v>
      </c>
    </row>
    <row r="5869" spans="2:7" x14ac:dyDescent="0.25">
      <c r="B5869" s="70">
        <v>43293</v>
      </c>
      <c r="C5869" t="s">
        <v>25</v>
      </c>
      <c r="D5869" t="s">
        <v>87</v>
      </c>
      <c r="E5869" t="s">
        <v>535</v>
      </c>
      <c r="F5869">
        <v>78.319999999999993</v>
      </c>
      <c r="G5869">
        <v>0</v>
      </c>
    </row>
    <row r="5870" spans="2:7" x14ac:dyDescent="0.25">
      <c r="B5870" s="70">
        <v>43293</v>
      </c>
      <c r="C5870" t="s">
        <v>25</v>
      </c>
      <c r="D5870" t="s">
        <v>87</v>
      </c>
      <c r="E5870" t="s">
        <v>535</v>
      </c>
      <c r="F5870">
        <v>34.07</v>
      </c>
      <c r="G5870">
        <v>0</v>
      </c>
    </row>
    <row r="5871" spans="2:7" x14ac:dyDescent="0.25">
      <c r="B5871" s="70">
        <v>43293</v>
      </c>
      <c r="C5871" t="s">
        <v>25</v>
      </c>
      <c r="D5871" t="s">
        <v>81</v>
      </c>
      <c r="E5871" t="s">
        <v>194</v>
      </c>
      <c r="F5871">
        <v>3</v>
      </c>
      <c r="G5871">
        <v>0</v>
      </c>
    </row>
    <row r="5872" spans="2:7" x14ac:dyDescent="0.25">
      <c r="B5872" s="70">
        <v>43293</v>
      </c>
      <c r="C5872" t="s">
        <v>25</v>
      </c>
      <c r="D5872" t="s">
        <v>81</v>
      </c>
      <c r="E5872" t="s">
        <v>213</v>
      </c>
      <c r="F5872">
        <v>15</v>
      </c>
      <c r="G5872">
        <v>0</v>
      </c>
    </row>
    <row r="5873" spans="2:7" x14ac:dyDescent="0.25">
      <c r="B5873" s="70">
        <v>43293</v>
      </c>
      <c r="C5873" t="s">
        <v>25</v>
      </c>
      <c r="D5873" t="s">
        <v>82</v>
      </c>
      <c r="E5873" t="s">
        <v>535</v>
      </c>
      <c r="F5873">
        <v>32</v>
      </c>
      <c r="G5873">
        <v>0</v>
      </c>
    </row>
    <row r="5874" spans="2:7" x14ac:dyDescent="0.25">
      <c r="B5874" s="70">
        <v>43293</v>
      </c>
      <c r="C5874" t="s">
        <v>25</v>
      </c>
      <c r="D5874" t="s">
        <v>82</v>
      </c>
      <c r="E5874" t="s">
        <v>535</v>
      </c>
      <c r="F5874">
        <v>221</v>
      </c>
      <c r="G5874">
        <v>0</v>
      </c>
    </row>
    <row r="5875" spans="2:7" x14ac:dyDescent="0.25">
      <c r="B5875" s="70">
        <v>43293</v>
      </c>
      <c r="C5875" t="s">
        <v>25</v>
      </c>
      <c r="D5875" t="s">
        <v>82</v>
      </c>
      <c r="E5875" t="s">
        <v>535</v>
      </c>
      <c r="F5875">
        <v>338</v>
      </c>
      <c r="G5875">
        <v>0</v>
      </c>
    </row>
    <row r="5876" spans="2:7" x14ac:dyDescent="0.25">
      <c r="B5876" s="70">
        <v>43293</v>
      </c>
      <c r="C5876" t="s">
        <v>25</v>
      </c>
      <c r="D5876" t="s">
        <v>82</v>
      </c>
      <c r="E5876" t="s">
        <v>535</v>
      </c>
      <c r="F5876">
        <v>208.8</v>
      </c>
      <c r="G5876">
        <v>0</v>
      </c>
    </row>
    <row r="5877" spans="2:7" x14ac:dyDescent="0.25">
      <c r="B5877" s="70">
        <v>43293</v>
      </c>
      <c r="C5877" t="s">
        <v>54</v>
      </c>
      <c r="D5877" t="s">
        <v>82</v>
      </c>
      <c r="E5877" t="s">
        <v>535</v>
      </c>
      <c r="F5877">
        <v>14.6</v>
      </c>
      <c r="G5877">
        <v>0</v>
      </c>
    </row>
    <row r="5878" spans="2:7" x14ac:dyDescent="0.25">
      <c r="B5878" s="70">
        <v>43293</v>
      </c>
      <c r="C5878" t="s">
        <v>46</v>
      </c>
      <c r="D5878" t="s">
        <v>82</v>
      </c>
      <c r="E5878" t="s">
        <v>535</v>
      </c>
      <c r="F5878">
        <v>15</v>
      </c>
      <c r="G5878">
        <v>0</v>
      </c>
    </row>
    <row r="5879" spans="2:7" x14ac:dyDescent="0.25">
      <c r="B5879" s="70">
        <v>43293</v>
      </c>
      <c r="C5879" t="s">
        <v>47</v>
      </c>
      <c r="D5879" t="s">
        <v>80</v>
      </c>
      <c r="E5879" t="s">
        <v>535</v>
      </c>
      <c r="F5879">
        <v>34.47</v>
      </c>
      <c r="G5879">
        <v>0</v>
      </c>
    </row>
    <row r="5880" spans="2:7" x14ac:dyDescent="0.25">
      <c r="B5880" s="70">
        <v>43293</v>
      </c>
      <c r="C5880" t="s">
        <v>47</v>
      </c>
      <c r="D5880" t="s">
        <v>87</v>
      </c>
      <c r="E5880" t="s">
        <v>535</v>
      </c>
      <c r="F5880">
        <v>29.37</v>
      </c>
      <c r="G5880">
        <v>0</v>
      </c>
    </row>
    <row r="5881" spans="2:7" x14ac:dyDescent="0.25">
      <c r="B5881" s="70">
        <v>43293</v>
      </c>
      <c r="C5881" t="s">
        <v>47</v>
      </c>
      <c r="D5881" t="s">
        <v>86</v>
      </c>
      <c r="E5881" t="s">
        <v>535</v>
      </c>
      <c r="F5881">
        <v>497.56</v>
      </c>
      <c r="G5881">
        <v>0</v>
      </c>
    </row>
    <row r="5882" spans="2:7" x14ac:dyDescent="0.25">
      <c r="B5882" s="70">
        <v>43293</v>
      </c>
      <c r="C5882" t="s">
        <v>47</v>
      </c>
      <c r="D5882" t="s">
        <v>82</v>
      </c>
      <c r="E5882" t="s">
        <v>535</v>
      </c>
      <c r="F5882">
        <v>68</v>
      </c>
      <c r="G5882">
        <v>0</v>
      </c>
    </row>
    <row r="5883" spans="2:7" x14ac:dyDescent="0.25">
      <c r="B5883" s="70">
        <v>43293</v>
      </c>
      <c r="C5883" t="s">
        <v>44</v>
      </c>
      <c r="D5883" t="s">
        <v>79</v>
      </c>
      <c r="E5883" t="s">
        <v>535</v>
      </c>
      <c r="F5883">
        <v>182.22</v>
      </c>
      <c r="G5883">
        <v>0</v>
      </c>
    </row>
    <row r="5884" spans="2:7" x14ac:dyDescent="0.25">
      <c r="B5884" s="70">
        <v>43293</v>
      </c>
      <c r="C5884" t="s">
        <v>44</v>
      </c>
      <c r="D5884" t="s">
        <v>82</v>
      </c>
      <c r="E5884" t="s">
        <v>535</v>
      </c>
      <c r="F5884">
        <v>50.73</v>
      </c>
      <c r="G5884">
        <v>0</v>
      </c>
    </row>
    <row r="5885" spans="2:7" x14ac:dyDescent="0.25">
      <c r="B5885" s="70">
        <v>43293</v>
      </c>
      <c r="C5885" t="s">
        <v>21</v>
      </c>
      <c r="D5885" t="s">
        <v>79</v>
      </c>
      <c r="E5885" t="s">
        <v>535</v>
      </c>
      <c r="F5885">
        <v>8</v>
      </c>
      <c r="G5885">
        <v>0</v>
      </c>
    </row>
    <row r="5886" spans="2:7" x14ac:dyDescent="0.25">
      <c r="B5886" s="70">
        <v>43293</v>
      </c>
      <c r="C5886" t="s">
        <v>21</v>
      </c>
      <c r="D5886" t="s">
        <v>79</v>
      </c>
      <c r="E5886" t="s">
        <v>535</v>
      </c>
      <c r="F5886">
        <v>16</v>
      </c>
      <c r="G5886">
        <v>0</v>
      </c>
    </row>
    <row r="5887" spans="2:7" x14ac:dyDescent="0.25">
      <c r="B5887" s="70">
        <v>43293</v>
      </c>
      <c r="C5887" t="s">
        <v>21</v>
      </c>
      <c r="D5887" t="s">
        <v>79</v>
      </c>
      <c r="E5887" t="s">
        <v>535</v>
      </c>
      <c r="F5887">
        <v>72</v>
      </c>
      <c r="G5887">
        <v>0</v>
      </c>
    </row>
    <row r="5888" spans="2:7" x14ac:dyDescent="0.25">
      <c r="B5888" s="70">
        <v>43293</v>
      </c>
      <c r="C5888" t="s">
        <v>50</v>
      </c>
      <c r="D5888" t="s">
        <v>82</v>
      </c>
      <c r="E5888" t="s">
        <v>535</v>
      </c>
      <c r="F5888">
        <v>107.95</v>
      </c>
      <c r="G5888">
        <v>0</v>
      </c>
    </row>
    <row r="5889" spans="2:7" x14ac:dyDescent="0.25">
      <c r="B5889" s="70">
        <v>43293</v>
      </c>
      <c r="C5889" t="s">
        <v>58</v>
      </c>
      <c r="D5889" t="s">
        <v>83</v>
      </c>
      <c r="E5889" t="s">
        <v>535</v>
      </c>
      <c r="F5889">
        <v>32.97</v>
      </c>
      <c r="G5889">
        <v>0</v>
      </c>
    </row>
    <row r="5890" spans="2:7" x14ac:dyDescent="0.25">
      <c r="B5890" s="70">
        <v>43293</v>
      </c>
      <c r="C5890" t="s">
        <v>65</v>
      </c>
      <c r="D5890" t="s">
        <v>85</v>
      </c>
      <c r="E5890" t="s">
        <v>535</v>
      </c>
      <c r="F5890">
        <v>30</v>
      </c>
      <c r="G5890">
        <v>0</v>
      </c>
    </row>
    <row r="5891" spans="2:7" x14ac:dyDescent="0.25">
      <c r="B5891" s="70">
        <v>43293</v>
      </c>
      <c r="C5891" t="s">
        <v>24</v>
      </c>
      <c r="D5891" t="s">
        <v>79</v>
      </c>
      <c r="E5891" t="s">
        <v>535</v>
      </c>
      <c r="F5891">
        <v>8</v>
      </c>
      <c r="G5891">
        <v>0</v>
      </c>
    </row>
    <row r="5892" spans="2:7" x14ac:dyDescent="0.25">
      <c r="B5892" s="70">
        <v>43293</v>
      </c>
      <c r="C5892" t="s">
        <v>24</v>
      </c>
      <c r="D5892" t="s">
        <v>79</v>
      </c>
      <c r="E5892" t="s">
        <v>535</v>
      </c>
      <c r="F5892">
        <v>24</v>
      </c>
      <c r="G5892">
        <v>0</v>
      </c>
    </row>
    <row r="5893" spans="2:7" x14ac:dyDescent="0.25">
      <c r="B5893" s="70">
        <v>43293</v>
      </c>
      <c r="C5893" t="s">
        <v>60</v>
      </c>
      <c r="D5893" t="s">
        <v>80</v>
      </c>
      <c r="E5893" t="s">
        <v>535</v>
      </c>
      <c r="F5893">
        <v>171.22</v>
      </c>
      <c r="G5893">
        <v>0</v>
      </c>
    </row>
    <row r="5894" spans="2:7" x14ac:dyDescent="0.25">
      <c r="B5894" s="70">
        <v>43416</v>
      </c>
      <c r="C5894" t="s">
        <v>25</v>
      </c>
      <c r="D5894" t="s">
        <v>85</v>
      </c>
      <c r="E5894" t="s">
        <v>536</v>
      </c>
      <c r="F5894">
        <v>26.24</v>
      </c>
      <c r="G5894">
        <v>0</v>
      </c>
    </row>
    <row r="5895" spans="2:7" x14ac:dyDescent="0.25">
      <c r="B5895" s="70">
        <v>43416</v>
      </c>
      <c r="C5895" t="s">
        <v>25</v>
      </c>
      <c r="D5895" t="s">
        <v>81</v>
      </c>
      <c r="E5895" t="s">
        <v>135</v>
      </c>
      <c r="F5895">
        <v>6.85</v>
      </c>
      <c r="G5895">
        <v>0</v>
      </c>
    </row>
    <row r="5896" spans="2:7" x14ac:dyDescent="0.25">
      <c r="B5896" s="70">
        <v>43416</v>
      </c>
      <c r="C5896" t="s">
        <v>25</v>
      </c>
      <c r="D5896" t="s">
        <v>82</v>
      </c>
      <c r="E5896" t="s">
        <v>536</v>
      </c>
      <c r="F5896">
        <v>51.6</v>
      </c>
      <c r="G5896">
        <v>0</v>
      </c>
    </row>
    <row r="5897" spans="2:7" x14ac:dyDescent="0.25">
      <c r="B5897" s="70">
        <v>43416</v>
      </c>
      <c r="C5897" t="s">
        <v>54</v>
      </c>
      <c r="D5897" t="s">
        <v>79</v>
      </c>
      <c r="E5897" t="s">
        <v>536</v>
      </c>
      <c r="F5897">
        <v>77.7</v>
      </c>
      <c r="G5897">
        <v>0</v>
      </c>
    </row>
    <row r="5898" spans="2:7" x14ac:dyDescent="0.25">
      <c r="B5898" s="70">
        <v>43416</v>
      </c>
      <c r="C5898" t="s">
        <v>54</v>
      </c>
      <c r="D5898" t="s">
        <v>85</v>
      </c>
      <c r="E5898" t="s">
        <v>536</v>
      </c>
      <c r="F5898">
        <v>54.66</v>
      </c>
      <c r="G5898">
        <v>0</v>
      </c>
    </row>
    <row r="5899" spans="2:7" x14ac:dyDescent="0.25">
      <c r="B5899" s="70">
        <v>43416</v>
      </c>
      <c r="C5899" t="s">
        <v>59</v>
      </c>
      <c r="D5899" t="s">
        <v>82</v>
      </c>
      <c r="E5899" t="s">
        <v>536</v>
      </c>
      <c r="F5899">
        <v>73.680000000000007</v>
      </c>
      <c r="G5899">
        <v>0</v>
      </c>
    </row>
    <row r="5900" spans="2:7" x14ac:dyDescent="0.25">
      <c r="B5900" s="70">
        <v>43416</v>
      </c>
      <c r="C5900" t="s">
        <v>56</v>
      </c>
      <c r="D5900" t="s">
        <v>82</v>
      </c>
      <c r="E5900" t="s">
        <v>536</v>
      </c>
      <c r="F5900">
        <v>215.17</v>
      </c>
      <c r="G5900">
        <v>0</v>
      </c>
    </row>
    <row r="5901" spans="2:7" x14ac:dyDescent="0.25">
      <c r="B5901" s="70">
        <v>43416</v>
      </c>
      <c r="C5901" t="s">
        <v>47</v>
      </c>
      <c r="D5901" t="s">
        <v>82</v>
      </c>
      <c r="E5901" t="s">
        <v>536</v>
      </c>
      <c r="F5901">
        <v>17</v>
      </c>
      <c r="G5901">
        <v>0</v>
      </c>
    </row>
    <row r="5902" spans="2:7" x14ac:dyDescent="0.25">
      <c r="B5902" s="70">
        <v>43416</v>
      </c>
      <c r="C5902" t="s">
        <v>51</v>
      </c>
      <c r="D5902" t="s">
        <v>82</v>
      </c>
      <c r="E5902" t="s">
        <v>536</v>
      </c>
      <c r="F5902">
        <v>115</v>
      </c>
      <c r="G5902">
        <v>0</v>
      </c>
    </row>
    <row r="5903" spans="2:7" x14ac:dyDescent="0.25">
      <c r="B5903" s="70">
        <v>43416</v>
      </c>
      <c r="C5903" t="s">
        <v>44</v>
      </c>
      <c r="D5903" t="s">
        <v>82</v>
      </c>
      <c r="E5903" t="s">
        <v>536</v>
      </c>
      <c r="F5903">
        <v>160.46</v>
      </c>
      <c r="G5903">
        <v>0</v>
      </c>
    </row>
    <row r="5904" spans="2:7" x14ac:dyDescent="0.25">
      <c r="B5904" s="70">
        <v>43416</v>
      </c>
      <c r="C5904" t="s">
        <v>21</v>
      </c>
      <c r="D5904" t="s">
        <v>79</v>
      </c>
      <c r="E5904" t="s">
        <v>536</v>
      </c>
      <c r="F5904">
        <v>8</v>
      </c>
      <c r="G5904">
        <v>0</v>
      </c>
    </row>
    <row r="5905" spans="2:7" x14ac:dyDescent="0.25">
      <c r="B5905" s="70">
        <v>43416</v>
      </c>
      <c r="C5905" t="s">
        <v>21</v>
      </c>
      <c r="D5905" t="s">
        <v>79</v>
      </c>
      <c r="E5905" t="s">
        <v>536</v>
      </c>
      <c r="F5905">
        <v>16</v>
      </c>
      <c r="G5905">
        <v>0</v>
      </c>
    </row>
    <row r="5906" spans="2:7" x14ac:dyDescent="0.25">
      <c r="B5906" s="70">
        <v>43416</v>
      </c>
      <c r="C5906" t="s">
        <v>21</v>
      </c>
      <c r="D5906" t="s">
        <v>79</v>
      </c>
      <c r="E5906" t="s">
        <v>536</v>
      </c>
      <c r="F5906">
        <v>24</v>
      </c>
      <c r="G5906">
        <v>0</v>
      </c>
    </row>
    <row r="5907" spans="2:7" x14ac:dyDescent="0.25">
      <c r="B5907" s="70">
        <v>43416</v>
      </c>
      <c r="C5907" t="s">
        <v>21</v>
      </c>
      <c r="D5907" t="s">
        <v>79</v>
      </c>
      <c r="E5907" t="s">
        <v>536</v>
      </c>
      <c r="F5907">
        <v>56</v>
      </c>
      <c r="G5907">
        <v>0</v>
      </c>
    </row>
    <row r="5908" spans="2:7" x14ac:dyDescent="0.25">
      <c r="B5908" s="70">
        <v>43416</v>
      </c>
      <c r="C5908" t="s">
        <v>21</v>
      </c>
      <c r="D5908" t="s">
        <v>79</v>
      </c>
      <c r="E5908" t="s">
        <v>536</v>
      </c>
      <c r="F5908">
        <v>160</v>
      </c>
      <c r="G5908">
        <v>0</v>
      </c>
    </row>
    <row r="5909" spans="2:7" x14ac:dyDescent="0.25">
      <c r="B5909" s="70">
        <v>43416</v>
      </c>
      <c r="C5909" t="s">
        <v>21</v>
      </c>
      <c r="D5909" t="s">
        <v>82</v>
      </c>
      <c r="E5909" t="s">
        <v>536</v>
      </c>
      <c r="F5909">
        <v>62.6</v>
      </c>
      <c r="G5909">
        <v>0</v>
      </c>
    </row>
    <row r="5910" spans="2:7" x14ac:dyDescent="0.25">
      <c r="B5910" s="70">
        <v>43416</v>
      </c>
      <c r="C5910" t="s">
        <v>21</v>
      </c>
      <c r="D5910" t="s">
        <v>82</v>
      </c>
      <c r="E5910" t="s">
        <v>536</v>
      </c>
      <c r="F5910">
        <v>165.3</v>
      </c>
      <c r="G5910">
        <v>0</v>
      </c>
    </row>
    <row r="5911" spans="2:7" x14ac:dyDescent="0.25">
      <c r="B5911" s="70">
        <v>43416</v>
      </c>
      <c r="C5911" t="s">
        <v>49</v>
      </c>
      <c r="D5911" t="s">
        <v>82</v>
      </c>
      <c r="E5911" t="s">
        <v>536</v>
      </c>
      <c r="F5911">
        <v>196</v>
      </c>
      <c r="G5911">
        <v>0</v>
      </c>
    </row>
    <row r="5912" spans="2:7" x14ac:dyDescent="0.25">
      <c r="B5912" s="70">
        <v>43416</v>
      </c>
      <c r="C5912" t="s">
        <v>50</v>
      </c>
      <c r="D5912" t="s">
        <v>79</v>
      </c>
      <c r="E5912" t="s">
        <v>536</v>
      </c>
      <c r="F5912">
        <v>40.25</v>
      </c>
      <c r="G5912">
        <v>0</v>
      </c>
    </row>
    <row r="5913" spans="2:7" x14ac:dyDescent="0.25">
      <c r="B5913" s="70">
        <v>43416</v>
      </c>
      <c r="C5913" t="s">
        <v>73</v>
      </c>
      <c r="D5913" t="s">
        <v>82</v>
      </c>
      <c r="E5913" t="s">
        <v>536</v>
      </c>
      <c r="F5913">
        <v>127.7</v>
      </c>
      <c r="G5913">
        <v>0</v>
      </c>
    </row>
    <row r="5914" spans="2:7" x14ac:dyDescent="0.25">
      <c r="B5914" s="70">
        <v>43416</v>
      </c>
      <c r="C5914" t="s">
        <v>60</v>
      </c>
      <c r="D5914" t="s">
        <v>85</v>
      </c>
      <c r="E5914" t="s">
        <v>536</v>
      </c>
      <c r="F5914">
        <v>96.8</v>
      </c>
      <c r="G5914">
        <v>0</v>
      </c>
    </row>
    <row r="5915" spans="2:7" x14ac:dyDescent="0.25">
      <c r="B5915" s="70">
        <v>43452</v>
      </c>
      <c r="C5915" t="s">
        <v>25</v>
      </c>
      <c r="D5915" t="s">
        <v>85</v>
      </c>
      <c r="E5915" t="s">
        <v>537</v>
      </c>
      <c r="F5915">
        <v>195</v>
      </c>
      <c r="G5915">
        <v>0</v>
      </c>
    </row>
    <row r="5916" spans="2:7" x14ac:dyDescent="0.25">
      <c r="B5916" s="70">
        <v>43452</v>
      </c>
      <c r="C5916" t="s">
        <v>25</v>
      </c>
      <c r="D5916" t="s">
        <v>81</v>
      </c>
      <c r="E5916" t="s">
        <v>378</v>
      </c>
      <c r="F5916">
        <v>2.4</v>
      </c>
      <c r="G5916">
        <v>0</v>
      </c>
    </row>
    <row r="5917" spans="2:7" x14ac:dyDescent="0.25">
      <c r="B5917" s="70">
        <v>43452</v>
      </c>
      <c r="C5917" t="s">
        <v>25</v>
      </c>
      <c r="D5917" t="s">
        <v>81</v>
      </c>
      <c r="E5917" t="s">
        <v>122</v>
      </c>
      <c r="F5917">
        <v>6.5</v>
      </c>
      <c r="G5917">
        <v>0</v>
      </c>
    </row>
    <row r="5918" spans="2:7" x14ac:dyDescent="0.25">
      <c r="B5918" s="70">
        <v>43452</v>
      </c>
      <c r="C5918" t="s">
        <v>25</v>
      </c>
      <c r="D5918" t="s">
        <v>81</v>
      </c>
      <c r="E5918" t="s">
        <v>133</v>
      </c>
      <c r="F5918">
        <v>1.8</v>
      </c>
      <c r="G5918">
        <v>0</v>
      </c>
    </row>
    <row r="5919" spans="2:7" x14ac:dyDescent="0.25">
      <c r="B5919" s="70">
        <v>43452</v>
      </c>
      <c r="C5919" t="s">
        <v>25</v>
      </c>
      <c r="D5919" t="s">
        <v>82</v>
      </c>
      <c r="E5919" t="s">
        <v>537</v>
      </c>
      <c r="F5919">
        <v>41.6</v>
      </c>
      <c r="G5919">
        <v>0</v>
      </c>
    </row>
    <row r="5920" spans="2:7" x14ac:dyDescent="0.25">
      <c r="B5920" s="70">
        <v>43452</v>
      </c>
      <c r="C5920" t="s">
        <v>25</v>
      </c>
      <c r="D5920" t="s">
        <v>82</v>
      </c>
      <c r="E5920" t="s">
        <v>537</v>
      </c>
      <c r="F5920">
        <v>86.8</v>
      </c>
      <c r="G5920">
        <v>0</v>
      </c>
    </row>
    <row r="5921" spans="2:7" x14ac:dyDescent="0.25">
      <c r="B5921" s="70">
        <v>43452</v>
      </c>
      <c r="C5921" t="s">
        <v>54</v>
      </c>
      <c r="D5921" t="s">
        <v>79</v>
      </c>
      <c r="E5921" t="s">
        <v>537</v>
      </c>
      <c r="F5921">
        <v>78.650000000000006</v>
      </c>
      <c r="G5921">
        <v>0</v>
      </c>
    </row>
    <row r="5922" spans="2:7" x14ac:dyDescent="0.25">
      <c r="B5922" s="70">
        <v>43452</v>
      </c>
      <c r="C5922" t="s">
        <v>46</v>
      </c>
      <c r="D5922" t="s">
        <v>82</v>
      </c>
      <c r="E5922" t="s">
        <v>537</v>
      </c>
      <c r="F5922">
        <v>5.2</v>
      </c>
      <c r="G5922">
        <v>0</v>
      </c>
    </row>
    <row r="5923" spans="2:7" x14ac:dyDescent="0.25">
      <c r="B5923" s="70">
        <v>43452</v>
      </c>
      <c r="C5923" t="s">
        <v>59</v>
      </c>
      <c r="D5923" t="s">
        <v>82</v>
      </c>
      <c r="E5923" t="s">
        <v>537</v>
      </c>
      <c r="F5923">
        <v>40</v>
      </c>
      <c r="G5923">
        <v>0</v>
      </c>
    </row>
    <row r="5924" spans="2:7" x14ac:dyDescent="0.25">
      <c r="B5924" s="70">
        <v>43452</v>
      </c>
      <c r="C5924" t="s">
        <v>51</v>
      </c>
      <c r="D5924" t="s">
        <v>82</v>
      </c>
      <c r="E5924" t="s">
        <v>537</v>
      </c>
      <c r="F5924">
        <v>439.52</v>
      </c>
      <c r="G5924">
        <v>0</v>
      </c>
    </row>
    <row r="5925" spans="2:7" x14ac:dyDescent="0.25">
      <c r="B5925" s="70">
        <v>43452</v>
      </c>
      <c r="C5925" t="s">
        <v>21</v>
      </c>
      <c r="D5925" t="s">
        <v>79</v>
      </c>
      <c r="E5925" t="s">
        <v>537</v>
      </c>
      <c r="F5925">
        <v>8</v>
      </c>
      <c r="G5925">
        <v>0</v>
      </c>
    </row>
    <row r="5926" spans="2:7" x14ac:dyDescent="0.25">
      <c r="B5926" s="70">
        <v>43452</v>
      </c>
      <c r="C5926" t="s">
        <v>52</v>
      </c>
      <c r="D5926" t="s">
        <v>82</v>
      </c>
      <c r="E5926" t="s">
        <v>537</v>
      </c>
      <c r="F5926">
        <v>13.52</v>
      </c>
      <c r="G5926">
        <v>0</v>
      </c>
    </row>
    <row r="5927" spans="2:7" x14ac:dyDescent="0.25">
      <c r="B5927" s="70">
        <v>43452</v>
      </c>
      <c r="C5927" t="s">
        <v>65</v>
      </c>
      <c r="D5927" t="s">
        <v>85</v>
      </c>
      <c r="E5927" t="s">
        <v>537</v>
      </c>
      <c r="F5927">
        <v>30</v>
      </c>
      <c r="G5927">
        <v>0</v>
      </c>
    </row>
    <row r="5928" spans="2:7" x14ac:dyDescent="0.25">
      <c r="B5928" s="70">
        <v>43452</v>
      </c>
      <c r="C5928" t="s">
        <v>60</v>
      </c>
      <c r="D5928" t="s">
        <v>85</v>
      </c>
      <c r="E5928" t="s">
        <v>537</v>
      </c>
      <c r="F5928">
        <v>139.69</v>
      </c>
      <c r="G5928">
        <v>0</v>
      </c>
    </row>
    <row r="5929" spans="2:7" x14ac:dyDescent="0.25">
      <c r="B5929" s="70">
        <v>43452</v>
      </c>
      <c r="C5929" t="s">
        <v>61</v>
      </c>
      <c r="D5929" t="s">
        <v>82</v>
      </c>
      <c r="E5929" t="s">
        <v>537</v>
      </c>
      <c r="F5929">
        <v>10.25</v>
      </c>
      <c r="G5929">
        <v>0</v>
      </c>
    </row>
    <row r="5930" spans="2:7" x14ac:dyDescent="0.25">
      <c r="B5930" s="70">
        <v>43313</v>
      </c>
      <c r="C5930" t="s">
        <v>25</v>
      </c>
      <c r="D5930" t="s">
        <v>80</v>
      </c>
      <c r="E5930" t="s">
        <v>538</v>
      </c>
      <c r="F5930">
        <v>104</v>
      </c>
      <c r="G5930">
        <v>0</v>
      </c>
    </row>
    <row r="5931" spans="2:7" x14ac:dyDescent="0.25">
      <c r="B5931" s="70">
        <v>43313</v>
      </c>
      <c r="C5931" t="s">
        <v>25</v>
      </c>
      <c r="D5931" t="s">
        <v>81</v>
      </c>
      <c r="E5931" t="s">
        <v>212</v>
      </c>
      <c r="F5931">
        <v>2.4</v>
      </c>
      <c r="G5931">
        <v>0</v>
      </c>
    </row>
    <row r="5932" spans="2:7" x14ac:dyDescent="0.25">
      <c r="B5932" s="70">
        <v>43313</v>
      </c>
      <c r="C5932" t="s">
        <v>25</v>
      </c>
      <c r="D5932" t="s">
        <v>81</v>
      </c>
      <c r="E5932" t="s">
        <v>333</v>
      </c>
      <c r="F5932">
        <v>4.5</v>
      </c>
      <c r="G5932">
        <v>0</v>
      </c>
    </row>
    <row r="5933" spans="2:7" x14ac:dyDescent="0.25">
      <c r="B5933" s="70">
        <v>43313</v>
      </c>
      <c r="C5933" t="s">
        <v>25</v>
      </c>
      <c r="D5933" t="s">
        <v>81</v>
      </c>
      <c r="E5933" t="s">
        <v>195</v>
      </c>
      <c r="F5933">
        <v>26</v>
      </c>
      <c r="G5933">
        <v>0</v>
      </c>
    </row>
    <row r="5934" spans="2:7" x14ac:dyDescent="0.25">
      <c r="B5934" s="70">
        <v>43313</v>
      </c>
      <c r="C5934" t="s">
        <v>25</v>
      </c>
      <c r="D5934" t="s">
        <v>81</v>
      </c>
      <c r="E5934" t="s">
        <v>241</v>
      </c>
      <c r="F5934">
        <v>3.7</v>
      </c>
      <c r="G5934">
        <v>0</v>
      </c>
    </row>
    <row r="5935" spans="2:7" x14ac:dyDescent="0.25">
      <c r="B5935" s="70">
        <v>43313</v>
      </c>
      <c r="C5935" t="s">
        <v>25</v>
      </c>
      <c r="D5935" t="s">
        <v>81</v>
      </c>
      <c r="E5935" t="s">
        <v>140</v>
      </c>
      <c r="F5935">
        <v>1500</v>
      </c>
      <c r="G5935">
        <v>0</v>
      </c>
    </row>
    <row r="5936" spans="2:7" x14ac:dyDescent="0.25">
      <c r="B5936" s="70">
        <v>43313</v>
      </c>
      <c r="C5936" t="s">
        <v>51</v>
      </c>
      <c r="D5936" t="s">
        <v>82</v>
      </c>
      <c r="E5936" t="s">
        <v>538</v>
      </c>
      <c r="F5936">
        <v>243.6</v>
      </c>
      <c r="G5936">
        <v>0</v>
      </c>
    </row>
    <row r="5937" spans="2:7" x14ac:dyDescent="0.25">
      <c r="B5937" s="70">
        <v>43313</v>
      </c>
      <c r="C5937" t="s">
        <v>50</v>
      </c>
      <c r="D5937" t="s">
        <v>79</v>
      </c>
      <c r="E5937" t="s">
        <v>538</v>
      </c>
      <c r="F5937">
        <v>5</v>
      </c>
      <c r="G5937">
        <v>0</v>
      </c>
    </row>
    <row r="5938" spans="2:7" x14ac:dyDescent="0.25">
      <c r="B5938" s="70">
        <v>43313</v>
      </c>
      <c r="C5938" t="s">
        <v>58</v>
      </c>
      <c r="D5938" t="s">
        <v>84</v>
      </c>
      <c r="E5938" t="s">
        <v>538</v>
      </c>
      <c r="F5938">
        <v>1020</v>
      </c>
      <c r="G5938">
        <v>0</v>
      </c>
    </row>
    <row r="5939" spans="2:7" x14ac:dyDescent="0.25">
      <c r="B5939" s="70">
        <v>43332</v>
      </c>
      <c r="C5939" t="s">
        <v>25</v>
      </c>
      <c r="D5939" t="s">
        <v>85</v>
      </c>
      <c r="E5939" t="s">
        <v>539</v>
      </c>
      <c r="F5939">
        <v>202.5</v>
      </c>
      <c r="G5939">
        <v>0</v>
      </c>
    </row>
    <row r="5940" spans="2:7" x14ac:dyDescent="0.25">
      <c r="B5940" s="70">
        <v>43332</v>
      </c>
      <c r="C5940" t="s">
        <v>25</v>
      </c>
      <c r="D5940" t="s">
        <v>81</v>
      </c>
      <c r="E5940" t="s">
        <v>212</v>
      </c>
      <c r="F5940">
        <v>10.7</v>
      </c>
      <c r="G5940">
        <v>0</v>
      </c>
    </row>
    <row r="5941" spans="2:7" x14ac:dyDescent="0.25">
      <c r="B5941" s="70">
        <v>43332</v>
      </c>
      <c r="C5941" t="s">
        <v>25</v>
      </c>
      <c r="D5941" t="s">
        <v>81</v>
      </c>
      <c r="E5941" t="s">
        <v>220</v>
      </c>
      <c r="F5941">
        <v>1100</v>
      </c>
      <c r="G5941">
        <v>0</v>
      </c>
    </row>
    <row r="5942" spans="2:7" x14ac:dyDescent="0.25">
      <c r="B5942" s="70">
        <v>43332</v>
      </c>
      <c r="C5942" t="s">
        <v>25</v>
      </c>
      <c r="D5942" t="s">
        <v>81</v>
      </c>
      <c r="E5942" t="s">
        <v>208</v>
      </c>
      <c r="F5942">
        <v>6.4</v>
      </c>
      <c r="G5942">
        <v>0</v>
      </c>
    </row>
    <row r="5943" spans="2:7" x14ac:dyDescent="0.25">
      <c r="B5943" s="70">
        <v>43332</v>
      </c>
      <c r="C5943" t="s">
        <v>25</v>
      </c>
      <c r="D5943" t="s">
        <v>81</v>
      </c>
      <c r="E5943" t="s">
        <v>150</v>
      </c>
      <c r="F5943">
        <v>14</v>
      </c>
      <c r="G5943">
        <v>0</v>
      </c>
    </row>
    <row r="5944" spans="2:7" x14ac:dyDescent="0.25">
      <c r="B5944" s="70">
        <v>43332</v>
      </c>
      <c r="C5944" t="s">
        <v>59</v>
      </c>
      <c r="D5944" t="s">
        <v>82</v>
      </c>
      <c r="E5944" t="s">
        <v>539</v>
      </c>
      <c r="F5944">
        <v>48</v>
      </c>
      <c r="G5944">
        <v>0</v>
      </c>
    </row>
    <row r="5945" spans="2:7" x14ac:dyDescent="0.25">
      <c r="B5945" s="70">
        <v>43332</v>
      </c>
      <c r="C5945" t="s">
        <v>21</v>
      </c>
      <c r="D5945" t="s">
        <v>79</v>
      </c>
      <c r="E5945" t="s">
        <v>539</v>
      </c>
      <c r="F5945">
        <v>16</v>
      </c>
      <c r="G5945">
        <v>0</v>
      </c>
    </row>
    <row r="5946" spans="2:7" x14ac:dyDescent="0.25">
      <c r="B5946" s="70">
        <v>43332</v>
      </c>
      <c r="C5946" t="s">
        <v>21</v>
      </c>
      <c r="D5946" t="s">
        <v>79</v>
      </c>
      <c r="E5946" t="s">
        <v>539</v>
      </c>
      <c r="F5946">
        <v>32</v>
      </c>
      <c r="G5946">
        <v>0</v>
      </c>
    </row>
    <row r="5947" spans="2:7" x14ac:dyDescent="0.25">
      <c r="B5947" s="70">
        <v>43332</v>
      </c>
      <c r="C5947" t="s">
        <v>21</v>
      </c>
      <c r="D5947" t="s">
        <v>79</v>
      </c>
      <c r="E5947" t="s">
        <v>539</v>
      </c>
      <c r="F5947">
        <v>40</v>
      </c>
      <c r="G5947">
        <v>0</v>
      </c>
    </row>
    <row r="5948" spans="2:7" x14ac:dyDescent="0.25">
      <c r="B5948" s="70">
        <v>43332</v>
      </c>
      <c r="C5948" t="s">
        <v>21</v>
      </c>
      <c r="D5948" t="s">
        <v>79</v>
      </c>
      <c r="E5948" t="s">
        <v>539</v>
      </c>
      <c r="F5948">
        <v>48</v>
      </c>
      <c r="G5948">
        <v>0</v>
      </c>
    </row>
    <row r="5949" spans="2:7" x14ac:dyDescent="0.25">
      <c r="B5949" s="70">
        <v>43332</v>
      </c>
      <c r="C5949" t="s">
        <v>21</v>
      </c>
      <c r="D5949" t="s">
        <v>79</v>
      </c>
      <c r="E5949" t="s">
        <v>539</v>
      </c>
      <c r="F5949">
        <v>112</v>
      </c>
      <c r="G5949">
        <v>0</v>
      </c>
    </row>
    <row r="5950" spans="2:7" x14ac:dyDescent="0.25">
      <c r="B5950" s="70">
        <v>43332</v>
      </c>
      <c r="C5950" t="s">
        <v>65</v>
      </c>
      <c r="D5950" t="s">
        <v>91</v>
      </c>
      <c r="E5950" t="s">
        <v>539</v>
      </c>
      <c r="F5950">
        <v>48</v>
      </c>
      <c r="G5950">
        <v>0</v>
      </c>
    </row>
    <row r="5951" spans="2:7" x14ac:dyDescent="0.25">
      <c r="B5951" s="70">
        <v>43332</v>
      </c>
      <c r="C5951" t="s">
        <v>24</v>
      </c>
      <c r="D5951" t="s">
        <v>79</v>
      </c>
      <c r="E5951" t="s">
        <v>539</v>
      </c>
      <c r="F5951">
        <v>24</v>
      </c>
      <c r="G5951">
        <v>0</v>
      </c>
    </row>
    <row r="5952" spans="2:7" x14ac:dyDescent="0.25">
      <c r="B5952" s="70">
        <v>43406</v>
      </c>
      <c r="C5952" t="s">
        <v>25</v>
      </c>
      <c r="D5952" t="s">
        <v>85</v>
      </c>
      <c r="E5952" t="s">
        <v>540</v>
      </c>
      <c r="F5952">
        <v>85</v>
      </c>
      <c r="G5952">
        <v>0</v>
      </c>
    </row>
    <row r="5953" spans="2:7" x14ac:dyDescent="0.25">
      <c r="B5953" s="70">
        <v>43406</v>
      </c>
      <c r="C5953" t="s">
        <v>25</v>
      </c>
      <c r="D5953" t="s">
        <v>85</v>
      </c>
      <c r="E5953" t="s">
        <v>540</v>
      </c>
      <c r="F5953">
        <v>26.49</v>
      </c>
      <c r="G5953">
        <v>0</v>
      </c>
    </row>
    <row r="5954" spans="2:7" x14ac:dyDescent="0.25">
      <c r="B5954" s="70">
        <v>43406</v>
      </c>
      <c r="C5954" t="s">
        <v>25</v>
      </c>
      <c r="D5954" t="s">
        <v>81</v>
      </c>
      <c r="E5954" t="s">
        <v>212</v>
      </c>
      <c r="F5954">
        <v>2.4</v>
      </c>
      <c r="G5954">
        <v>0</v>
      </c>
    </row>
    <row r="5955" spans="2:7" x14ac:dyDescent="0.25">
      <c r="B5955" s="70">
        <v>43406</v>
      </c>
      <c r="C5955" t="s">
        <v>25</v>
      </c>
      <c r="D5955" t="s">
        <v>81</v>
      </c>
      <c r="E5955" t="s">
        <v>164</v>
      </c>
      <c r="F5955">
        <v>18</v>
      </c>
      <c r="G5955">
        <v>0</v>
      </c>
    </row>
    <row r="5956" spans="2:7" x14ac:dyDescent="0.25">
      <c r="B5956" s="70">
        <v>43406</v>
      </c>
      <c r="C5956" t="s">
        <v>25</v>
      </c>
      <c r="D5956" t="s">
        <v>81</v>
      </c>
      <c r="E5956" t="s">
        <v>202</v>
      </c>
      <c r="F5956">
        <v>1.8</v>
      </c>
      <c r="G5956">
        <v>0</v>
      </c>
    </row>
    <row r="5957" spans="2:7" x14ac:dyDescent="0.25">
      <c r="B5957" s="70">
        <v>43406</v>
      </c>
      <c r="C5957" t="s">
        <v>46</v>
      </c>
      <c r="D5957" t="s">
        <v>82</v>
      </c>
      <c r="E5957" t="s">
        <v>540</v>
      </c>
      <c r="F5957">
        <v>5.79</v>
      </c>
      <c r="G5957">
        <v>0</v>
      </c>
    </row>
    <row r="5958" spans="2:7" x14ac:dyDescent="0.25">
      <c r="B5958" s="70">
        <v>43406</v>
      </c>
      <c r="C5958" t="s">
        <v>59</v>
      </c>
      <c r="D5958" t="s">
        <v>84</v>
      </c>
      <c r="E5958" t="s">
        <v>540</v>
      </c>
      <c r="F5958">
        <v>141.15</v>
      </c>
      <c r="G5958">
        <v>0</v>
      </c>
    </row>
    <row r="5959" spans="2:7" x14ac:dyDescent="0.25">
      <c r="B5959" s="70">
        <v>43406</v>
      </c>
      <c r="C5959" t="s">
        <v>51</v>
      </c>
      <c r="D5959" t="s">
        <v>82</v>
      </c>
      <c r="E5959" t="s">
        <v>540</v>
      </c>
      <c r="F5959">
        <v>198.85</v>
      </c>
      <c r="G5959">
        <v>0</v>
      </c>
    </row>
    <row r="5960" spans="2:7" x14ac:dyDescent="0.25">
      <c r="B5960" s="70">
        <v>43406</v>
      </c>
      <c r="C5960" t="s">
        <v>21</v>
      </c>
      <c r="D5960" t="s">
        <v>79</v>
      </c>
      <c r="E5960" t="s">
        <v>540</v>
      </c>
      <c r="F5960">
        <v>8</v>
      </c>
      <c r="G5960">
        <v>0</v>
      </c>
    </row>
    <row r="5961" spans="2:7" x14ac:dyDescent="0.25">
      <c r="B5961" s="70">
        <v>43406</v>
      </c>
      <c r="C5961" t="s">
        <v>21</v>
      </c>
      <c r="D5961" t="s">
        <v>79</v>
      </c>
      <c r="E5961" t="s">
        <v>540</v>
      </c>
      <c r="F5961">
        <v>16</v>
      </c>
      <c r="G5961">
        <v>0</v>
      </c>
    </row>
    <row r="5962" spans="2:7" x14ac:dyDescent="0.25">
      <c r="B5962" s="70">
        <v>43406</v>
      </c>
      <c r="C5962" t="s">
        <v>21</v>
      </c>
      <c r="D5962" t="s">
        <v>79</v>
      </c>
      <c r="E5962" t="s">
        <v>540</v>
      </c>
      <c r="F5962">
        <v>24</v>
      </c>
      <c r="G5962">
        <v>0</v>
      </c>
    </row>
    <row r="5963" spans="2:7" x14ac:dyDescent="0.25">
      <c r="B5963" s="70">
        <v>43406</v>
      </c>
      <c r="C5963" t="s">
        <v>21</v>
      </c>
      <c r="D5963" t="s">
        <v>79</v>
      </c>
      <c r="E5963" t="s">
        <v>540</v>
      </c>
      <c r="F5963">
        <v>32</v>
      </c>
      <c r="G5963">
        <v>0</v>
      </c>
    </row>
    <row r="5964" spans="2:7" x14ac:dyDescent="0.25">
      <c r="B5964" s="70">
        <v>43406</v>
      </c>
      <c r="C5964" t="s">
        <v>21</v>
      </c>
      <c r="D5964" t="s">
        <v>79</v>
      </c>
      <c r="E5964" t="s">
        <v>540</v>
      </c>
      <c r="F5964">
        <v>40</v>
      </c>
      <c r="G5964">
        <v>0</v>
      </c>
    </row>
    <row r="5965" spans="2:7" x14ac:dyDescent="0.25">
      <c r="B5965" s="70">
        <v>43406</v>
      </c>
      <c r="C5965" t="s">
        <v>21</v>
      </c>
      <c r="D5965" t="s">
        <v>79</v>
      </c>
      <c r="E5965" t="s">
        <v>540</v>
      </c>
      <c r="F5965">
        <v>88</v>
      </c>
      <c r="G5965">
        <v>0</v>
      </c>
    </row>
    <row r="5966" spans="2:7" x14ac:dyDescent="0.25">
      <c r="B5966" s="70">
        <v>43406</v>
      </c>
      <c r="C5966" t="s">
        <v>48</v>
      </c>
      <c r="D5966" t="s">
        <v>84</v>
      </c>
      <c r="E5966" t="s">
        <v>540</v>
      </c>
      <c r="F5966">
        <v>150</v>
      </c>
      <c r="G5966">
        <v>0</v>
      </c>
    </row>
    <row r="5967" spans="2:7" x14ac:dyDescent="0.25">
      <c r="B5967" s="70">
        <v>43406</v>
      </c>
      <c r="C5967" t="s">
        <v>55</v>
      </c>
      <c r="D5967" t="s">
        <v>85</v>
      </c>
      <c r="E5967" t="s">
        <v>540</v>
      </c>
      <c r="F5967">
        <v>603.97</v>
      </c>
      <c r="G5967">
        <v>0</v>
      </c>
    </row>
    <row r="5968" spans="2:7" x14ac:dyDescent="0.25">
      <c r="B5968" s="70">
        <v>43406</v>
      </c>
      <c r="C5968" t="s">
        <v>49</v>
      </c>
      <c r="D5968" t="s">
        <v>84</v>
      </c>
      <c r="E5968" t="s">
        <v>540</v>
      </c>
      <c r="F5968">
        <v>300</v>
      </c>
      <c r="G5968">
        <v>0</v>
      </c>
    </row>
    <row r="5969" spans="2:7" x14ac:dyDescent="0.25">
      <c r="B5969" s="70">
        <v>43406</v>
      </c>
      <c r="C5969" t="s">
        <v>50</v>
      </c>
      <c r="D5969" t="s">
        <v>82</v>
      </c>
      <c r="E5969" t="s">
        <v>540</v>
      </c>
      <c r="F5969">
        <v>5.25</v>
      </c>
      <c r="G5969">
        <v>0</v>
      </c>
    </row>
    <row r="5970" spans="2:7" x14ac:dyDescent="0.25">
      <c r="B5970" s="70">
        <v>43406</v>
      </c>
      <c r="C5970" t="s">
        <v>50</v>
      </c>
      <c r="D5970" t="s">
        <v>84</v>
      </c>
      <c r="E5970" t="s">
        <v>540</v>
      </c>
      <c r="F5970">
        <v>2250</v>
      </c>
      <c r="G5970">
        <v>0</v>
      </c>
    </row>
    <row r="5971" spans="2:7" x14ac:dyDescent="0.25">
      <c r="B5971" s="70">
        <v>43406</v>
      </c>
      <c r="C5971" t="s">
        <v>53</v>
      </c>
      <c r="D5971" t="s">
        <v>85</v>
      </c>
      <c r="E5971" t="s">
        <v>540</v>
      </c>
      <c r="F5971">
        <v>331.86</v>
      </c>
      <c r="G5971">
        <v>0</v>
      </c>
    </row>
    <row r="5972" spans="2:7" x14ac:dyDescent="0.25">
      <c r="B5972" s="70">
        <v>43406</v>
      </c>
      <c r="C5972" t="s">
        <v>24</v>
      </c>
      <c r="D5972" t="s">
        <v>79</v>
      </c>
      <c r="E5972" t="s">
        <v>540</v>
      </c>
      <c r="F5972">
        <v>8</v>
      </c>
      <c r="G5972">
        <v>0</v>
      </c>
    </row>
    <row r="5973" spans="2:7" x14ac:dyDescent="0.25">
      <c r="B5973" s="70">
        <v>43420</v>
      </c>
      <c r="C5973" t="s">
        <v>25</v>
      </c>
      <c r="D5973" t="s">
        <v>83</v>
      </c>
      <c r="E5973" t="s">
        <v>541</v>
      </c>
      <c r="F5973">
        <v>59.16</v>
      </c>
      <c r="G5973">
        <v>0</v>
      </c>
    </row>
    <row r="5974" spans="2:7" x14ac:dyDescent="0.25">
      <c r="B5974" s="70">
        <v>43420</v>
      </c>
      <c r="C5974" t="s">
        <v>25</v>
      </c>
      <c r="D5974" t="s">
        <v>83</v>
      </c>
      <c r="E5974" t="s">
        <v>541</v>
      </c>
      <c r="F5974">
        <v>51.35</v>
      </c>
      <c r="G5974">
        <v>0</v>
      </c>
    </row>
    <row r="5975" spans="2:7" x14ac:dyDescent="0.25">
      <c r="B5975" s="70">
        <v>43420</v>
      </c>
      <c r="C5975" t="s">
        <v>25</v>
      </c>
      <c r="D5975" t="s">
        <v>80</v>
      </c>
      <c r="E5975" t="s">
        <v>541</v>
      </c>
      <c r="F5975">
        <v>96</v>
      </c>
      <c r="G5975">
        <v>0</v>
      </c>
    </row>
    <row r="5976" spans="2:7" x14ac:dyDescent="0.25">
      <c r="B5976" s="70">
        <v>43420</v>
      </c>
      <c r="C5976" t="s">
        <v>25</v>
      </c>
      <c r="D5976" t="s">
        <v>80</v>
      </c>
      <c r="E5976" t="s">
        <v>541</v>
      </c>
      <c r="F5976">
        <v>69.28</v>
      </c>
      <c r="G5976">
        <v>0</v>
      </c>
    </row>
    <row r="5977" spans="2:7" x14ac:dyDescent="0.25">
      <c r="B5977" s="70">
        <v>43420</v>
      </c>
      <c r="C5977" t="s">
        <v>25</v>
      </c>
      <c r="D5977" t="s">
        <v>80</v>
      </c>
      <c r="E5977" t="s">
        <v>541</v>
      </c>
      <c r="F5977">
        <v>19.96</v>
      </c>
      <c r="G5977">
        <v>0</v>
      </c>
    </row>
    <row r="5978" spans="2:7" x14ac:dyDescent="0.25">
      <c r="B5978" s="70">
        <v>43420</v>
      </c>
      <c r="C5978" t="s">
        <v>25</v>
      </c>
      <c r="D5978" t="s">
        <v>87</v>
      </c>
      <c r="E5978" t="s">
        <v>541</v>
      </c>
      <c r="F5978">
        <v>30</v>
      </c>
      <c r="G5978">
        <v>0</v>
      </c>
    </row>
    <row r="5979" spans="2:7" x14ac:dyDescent="0.25">
      <c r="B5979" s="70">
        <v>43420</v>
      </c>
      <c r="C5979" t="s">
        <v>25</v>
      </c>
      <c r="D5979" t="s">
        <v>87</v>
      </c>
      <c r="E5979" t="s">
        <v>541</v>
      </c>
      <c r="F5979">
        <v>36</v>
      </c>
      <c r="G5979">
        <v>0</v>
      </c>
    </row>
    <row r="5980" spans="2:7" x14ac:dyDescent="0.25">
      <c r="B5980" s="70">
        <v>43420</v>
      </c>
      <c r="C5980" t="s">
        <v>25</v>
      </c>
      <c r="D5980" t="s">
        <v>87</v>
      </c>
      <c r="E5980" t="s">
        <v>541</v>
      </c>
      <c r="F5980">
        <v>39.200000000000003</v>
      </c>
      <c r="G5980">
        <v>0</v>
      </c>
    </row>
    <row r="5981" spans="2:7" x14ac:dyDescent="0.25">
      <c r="B5981" s="70">
        <v>43420</v>
      </c>
      <c r="C5981" t="s">
        <v>25</v>
      </c>
      <c r="D5981" t="s">
        <v>87</v>
      </c>
      <c r="E5981" t="s">
        <v>541</v>
      </c>
      <c r="F5981">
        <v>36.11</v>
      </c>
      <c r="G5981">
        <v>0</v>
      </c>
    </row>
    <row r="5982" spans="2:7" x14ac:dyDescent="0.25">
      <c r="B5982" s="70">
        <v>43420</v>
      </c>
      <c r="C5982" t="s">
        <v>25</v>
      </c>
      <c r="D5982" t="s">
        <v>87</v>
      </c>
      <c r="E5982" t="s">
        <v>541</v>
      </c>
      <c r="F5982">
        <v>125.21</v>
      </c>
      <c r="G5982">
        <v>0</v>
      </c>
    </row>
    <row r="5983" spans="2:7" x14ac:dyDescent="0.25">
      <c r="B5983" s="70">
        <v>43420</v>
      </c>
      <c r="C5983" t="s">
        <v>25</v>
      </c>
      <c r="D5983" t="s">
        <v>87</v>
      </c>
      <c r="E5983" t="s">
        <v>541</v>
      </c>
      <c r="F5983">
        <v>285.70999999999998</v>
      </c>
      <c r="G5983">
        <v>0</v>
      </c>
    </row>
    <row r="5984" spans="2:7" x14ac:dyDescent="0.25">
      <c r="B5984" s="70">
        <v>43420</v>
      </c>
      <c r="C5984" t="s">
        <v>25</v>
      </c>
      <c r="D5984" t="s">
        <v>87</v>
      </c>
      <c r="E5984" t="s">
        <v>541</v>
      </c>
      <c r="F5984">
        <v>16.64</v>
      </c>
      <c r="G5984">
        <v>0</v>
      </c>
    </row>
    <row r="5985" spans="2:7" x14ac:dyDescent="0.25">
      <c r="B5985" s="70">
        <v>43420</v>
      </c>
      <c r="C5985" t="s">
        <v>25</v>
      </c>
      <c r="D5985" t="s">
        <v>87</v>
      </c>
      <c r="E5985" t="s">
        <v>541</v>
      </c>
      <c r="F5985">
        <v>99.83</v>
      </c>
      <c r="G5985">
        <v>0</v>
      </c>
    </row>
    <row r="5986" spans="2:7" x14ac:dyDescent="0.25">
      <c r="B5986" s="70">
        <v>43420</v>
      </c>
      <c r="C5986" t="s">
        <v>25</v>
      </c>
      <c r="D5986" t="s">
        <v>87</v>
      </c>
      <c r="E5986" t="s">
        <v>541</v>
      </c>
      <c r="F5986">
        <v>55.05</v>
      </c>
      <c r="G5986">
        <v>0</v>
      </c>
    </row>
    <row r="5987" spans="2:7" x14ac:dyDescent="0.25">
      <c r="B5987" s="70">
        <v>43420</v>
      </c>
      <c r="C5987" t="s">
        <v>25</v>
      </c>
      <c r="D5987" t="s">
        <v>87</v>
      </c>
      <c r="E5987" t="s">
        <v>541</v>
      </c>
      <c r="F5987">
        <v>15.41</v>
      </c>
      <c r="G5987">
        <v>0</v>
      </c>
    </row>
    <row r="5988" spans="2:7" x14ac:dyDescent="0.25">
      <c r="B5988" s="70">
        <v>43420</v>
      </c>
      <c r="C5988" t="s">
        <v>25</v>
      </c>
      <c r="D5988" t="s">
        <v>81</v>
      </c>
      <c r="E5988" t="s">
        <v>178</v>
      </c>
      <c r="F5988">
        <v>4.5</v>
      </c>
      <c r="G5988">
        <v>0</v>
      </c>
    </row>
    <row r="5989" spans="2:7" x14ac:dyDescent="0.25">
      <c r="B5989" s="70">
        <v>43420</v>
      </c>
      <c r="C5989" t="s">
        <v>25</v>
      </c>
      <c r="D5989" t="s">
        <v>81</v>
      </c>
      <c r="E5989" t="s">
        <v>212</v>
      </c>
      <c r="F5989">
        <v>2.4</v>
      </c>
      <c r="G5989">
        <v>0</v>
      </c>
    </row>
    <row r="5990" spans="2:7" x14ac:dyDescent="0.25">
      <c r="B5990" s="70">
        <v>43420</v>
      </c>
      <c r="C5990" t="s">
        <v>25</v>
      </c>
      <c r="D5990" t="s">
        <v>81</v>
      </c>
      <c r="E5990" t="s">
        <v>153</v>
      </c>
      <c r="F5990">
        <v>3.7</v>
      </c>
      <c r="G5990">
        <v>0</v>
      </c>
    </row>
    <row r="5991" spans="2:7" x14ac:dyDescent="0.25">
      <c r="B5991" s="70">
        <v>43420</v>
      </c>
      <c r="C5991" t="s">
        <v>25</v>
      </c>
      <c r="D5991" t="s">
        <v>81</v>
      </c>
      <c r="E5991" t="s">
        <v>179</v>
      </c>
      <c r="F5991">
        <v>2.25</v>
      </c>
      <c r="G5991">
        <v>0</v>
      </c>
    </row>
    <row r="5992" spans="2:7" x14ac:dyDescent="0.25">
      <c r="B5992" s="70">
        <v>43420</v>
      </c>
      <c r="C5992" t="s">
        <v>46</v>
      </c>
      <c r="D5992" t="s">
        <v>82</v>
      </c>
      <c r="E5992" t="s">
        <v>541</v>
      </c>
      <c r="F5992">
        <v>137.44</v>
      </c>
      <c r="G5992">
        <v>0</v>
      </c>
    </row>
    <row r="5993" spans="2:7" x14ac:dyDescent="0.25">
      <c r="B5993" s="70">
        <v>43420</v>
      </c>
      <c r="C5993" t="s">
        <v>59</v>
      </c>
      <c r="D5993" t="s">
        <v>82</v>
      </c>
      <c r="E5993" t="s">
        <v>541</v>
      </c>
      <c r="F5993">
        <v>43</v>
      </c>
      <c r="G5993">
        <v>0</v>
      </c>
    </row>
    <row r="5994" spans="2:7" x14ac:dyDescent="0.25">
      <c r="B5994" s="70">
        <v>43420</v>
      </c>
      <c r="C5994" t="s">
        <v>59</v>
      </c>
      <c r="D5994" t="s">
        <v>84</v>
      </c>
      <c r="E5994" t="s">
        <v>541</v>
      </c>
      <c r="F5994">
        <v>178</v>
      </c>
      <c r="G5994">
        <v>0</v>
      </c>
    </row>
    <row r="5995" spans="2:7" x14ac:dyDescent="0.25">
      <c r="B5995" s="70">
        <v>43420</v>
      </c>
      <c r="C5995" t="s">
        <v>56</v>
      </c>
      <c r="D5995" t="s">
        <v>82</v>
      </c>
      <c r="E5995" t="s">
        <v>541</v>
      </c>
      <c r="F5995">
        <v>82.5</v>
      </c>
      <c r="G5995">
        <v>0</v>
      </c>
    </row>
    <row r="5996" spans="2:7" x14ac:dyDescent="0.25">
      <c r="B5996" s="70">
        <v>43420</v>
      </c>
      <c r="C5996" t="s">
        <v>44</v>
      </c>
      <c r="D5996" t="s">
        <v>79</v>
      </c>
      <c r="E5996" t="s">
        <v>541</v>
      </c>
      <c r="F5996">
        <v>16.510000000000002</v>
      </c>
      <c r="G5996">
        <v>0</v>
      </c>
    </row>
    <row r="5997" spans="2:7" x14ac:dyDescent="0.25">
      <c r="B5997" s="70">
        <v>43420</v>
      </c>
      <c r="C5997" t="s">
        <v>21</v>
      </c>
      <c r="D5997" t="s">
        <v>79</v>
      </c>
      <c r="E5997" t="s">
        <v>541</v>
      </c>
      <c r="F5997">
        <v>8</v>
      </c>
      <c r="G5997">
        <v>0</v>
      </c>
    </row>
    <row r="5998" spans="2:7" x14ac:dyDescent="0.25">
      <c r="B5998" s="70">
        <v>43420</v>
      </c>
      <c r="C5998" t="s">
        <v>21</v>
      </c>
      <c r="D5998" t="s">
        <v>79</v>
      </c>
      <c r="E5998" t="s">
        <v>541</v>
      </c>
      <c r="F5998">
        <v>16</v>
      </c>
      <c r="G5998">
        <v>0</v>
      </c>
    </row>
    <row r="5999" spans="2:7" x14ac:dyDescent="0.25">
      <c r="B5999" s="70">
        <v>43420</v>
      </c>
      <c r="C5999" t="s">
        <v>21</v>
      </c>
      <c r="D5999" t="s">
        <v>79</v>
      </c>
      <c r="E5999" t="s">
        <v>541</v>
      </c>
      <c r="F5999">
        <v>24</v>
      </c>
      <c r="G5999">
        <v>0</v>
      </c>
    </row>
    <row r="6000" spans="2:7" x14ac:dyDescent="0.25">
      <c r="B6000" s="70">
        <v>43420</v>
      </c>
      <c r="C6000" t="s">
        <v>21</v>
      </c>
      <c r="D6000" t="s">
        <v>79</v>
      </c>
      <c r="E6000" t="s">
        <v>541</v>
      </c>
      <c r="F6000">
        <v>40</v>
      </c>
      <c r="G6000">
        <v>0</v>
      </c>
    </row>
    <row r="6001" spans="2:7" x14ac:dyDescent="0.25">
      <c r="B6001" s="70">
        <v>43420</v>
      </c>
      <c r="C6001" t="s">
        <v>48</v>
      </c>
      <c r="D6001" t="s">
        <v>84</v>
      </c>
      <c r="E6001" t="s">
        <v>541</v>
      </c>
      <c r="F6001">
        <v>327.18</v>
      </c>
      <c r="G6001">
        <v>0</v>
      </c>
    </row>
    <row r="6002" spans="2:7" x14ac:dyDescent="0.25">
      <c r="B6002" s="70">
        <v>43420</v>
      </c>
      <c r="C6002" t="s">
        <v>64</v>
      </c>
      <c r="D6002" t="s">
        <v>82</v>
      </c>
      <c r="E6002" t="s">
        <v>541</v>
      </c>
      <c r="F6002">
        <v>6.63</v>
      </c>
      <c r="G6002">
        <v>0</v>
      </c>
    </row>
    <row r="6003" spans="2:7" x14ac:dyDescent="0.25">
      <c r="B6003" s="70">
        <v>43420</v>
      </c>
      <c r="C6003" t="s">
        <v>70</v>
      </c>
      <c r="D6003" t="s">
        <v>82</v>
      </c>
      <c r="E6003" t="s">
        <v>541</v>
      </c>
      <c r="F6003">
        <v>195</v>
      </c>
      <c r="G6003">
        <v>0</v>
      </c>
    </row>
    <row r="6004" spans="2:7" x14ac:dyDescent="0.25">
      <c r="B6004" s="70">
        <v>43420</v>
      </c>
      <c r="C6004" t="s">
        <v>70</v>
      </c>
      <c r="D6004" t="s">
        <v>84</v>
      </c>
      <c r="E6004" t="s">
        <v>541</v>
      </c>
      <c r="F6004">
        <v>280</v>
      </c>
      <c r="G6004">
        <v>0</v>
      </c>
    </row>
    <row r="6005" spans="2:7" x14ac:dyDescent="0.25">
      <c r="B6005" s="70">
        <v>43420</v>
      </c>
      <c r="C6005" t="s">
        <v>50</v>
      </c>
      <c r="D6005" t="s">
        <v>82</v>
      </c>
      <c r="E6005" t="s">
        <v>541</v>
      </c>
      <c r="F6005">
        <v>29.04</v>
      </c>
      <c r="G6005">
        <v>0</v>
      </c>
    </row>
    <row r="6006" spans="2:7" x14ac:dyDescent="0.25">
      <c r="B6006" s="70">
        <v>43420</v>
      </c>
      <c r="C6006" t="s">
        <v>58</v>
      </c>
      <c r="D6006" t="s">
        <v>84</v>
      </c>
      <c r="E6006" t="s">
        <v>541</v>
      </c>
      <c r="F6006">
        <v>45</v>
      </c>
      <c r="G6006">
        <v>0</v>
      </c>
    </row>
    <row r="6007" spans="2:7" x14ac:dyDescent="0.25">
      <c r="B6007" s="70">
        <v>43420</v>
      </c>
      <c r="C6007" t="s">
        <v>65</v>
      </c>
      <c r="D6007" t="s">
        <v>82</v>
      </c>
      <c r="E6007" t="s">
        <v>541</v>
      </c>
      <c r="F6007">
        <v>212.39</v>
      </c>
      <c r="G6007">
        <v>0</v>
      </c>
    </row>
    <row r="6008" spans="2:7" x14ac:dyDescent="0.25">
      <c r="B6008" s="70">
        <v>43420</v>
      </c>
      <c r="C6008" t="s">
        <v>61</v>
      </c>
      <c r="D6008" t="s">
        <v>80</v>
      </c>
      <c r="E6008" t="s">
        <v>541</v>
      </c>
      <c r="F6008">
        <v>94.88</v>
      </c>
      <c r="G6008">
        <v>0</v>
      </c>
    </row>
    <row r="6009" spans="2:7" x14ac:dyDescent="0.25">
      <c r="B6009" s="70">
        <v>43420</v>
      </c>
      <c r="C6009" t="s">
        <v>61</v>
      </c>
      <c r="D6009" t="s">
        <v>82</v>
      </c>
      <c r="E6009" t="s">
        <v>541</v>
      </c>
      <c r="F6009">
        <v>32.33</v>
      </c>
      <c r="G6009">
        <v>0</v>
      </c>
    </row>
    <row r="6010" spans="2:7" x14ac:dyDescent="0.25">
      <c r="B6010" s="70">
        <v>43369</v>
      </c>
      <c r="C6010" t="s">
        <v>25</v>
      </c>
      <c r="D6010" t="s">
        <v>81</v>
      </c>
      <c r="E6010" t="s">
        <v>378</v>
      </c>
      <c r="F6010">
        <v>2.4</v>
      </c>
      <c r="G6010">
        <v>0</v>
      </c>
    </row>
    <row r="6011" spans="2:7" x14ac:dyDescent="0.25">
      <c r="B6011" s="70">
        <v>43369</v>
      </c>
      <c r="C6011" t="s">
        <v>25</v>
      </c>
      <c r="D6011" t="s">
        <v>81</v>
      </c>
      <c r="E6011" t="s">
        <v>122</v>
      </c>
      <c r="F6011">
        <v>3.6</v>
      </c>
      <c r="G6011">
        <v>0</v>
      </c>
    </row>
    <row r="6012" spans="2:7" x14ac:dyDescent="0.25">
      <c r="B6012" s="70">
        <v>43369</v>
      </c>
      <c r="C6012" t="s">
        <v>25</v>
      </c>
      <c r="D6012" t="s">
        <v>81</v>
      </c>
      <c r="E6012" t="s">
        <v>153</v>
      </c>
      <c r="F6012">
        <v>3.15</v>
      </c>
      <c r="G6012">
        <v>0</v>
      </c>
    </row>
    <row r="6013" spans="2:7" x14ac:dyDescent="0.25">
      <c r="B6013" s="70">
        <v>43369</v>
      </c>
      <c r="C6013" t="s">
        <v>25</v>
      </c>
      <c r="D6013" t="s">
        <v>82</v>
      </c>
      <c r="E6013" t="s">
        <v>542</v>
      </c>
      <c r="F6013">
        <v>30</v>
      </c>
      <c r="G6013">
        <v>0</v>
      </c>
    </row>
    <row r="6014" spans="2:7" x14ac:dyDescent="0.25">
      <c r="B6014" s="70">
        <v>43369</v>
      </c>
      <c r="C6014" t="s">
        <v>51</v>
      </c>
      <c r="D6014" t="s">
        <v>82</v>
      </c>
      <c r="E6014" t="s">
        <v>542</v>
      </c>
      <c r="F6014">
        <v>622.37</v>
      </c>
      <c r="G6014">
        <v>0</v>
      </c>
    </row>
    <row r="6015" spans="2:7" x14ac:dyDescent="0.25">
      <c r="B6015" s="70">
        <v>43369</v>
      </c>
      <c r="C6015" t="s">
        <v>21</v>
      </c>
      <c r="D6015" t="s">
        <v>79</v>
      </c>
      <c r="E6015" t="s">
        <v>542</v>
      </c>
      <c r="F6015">
        <v>8</v>
      </c>
      <c r="G6015">
        <v>0</v>
      </c>
    </row>
    <row r="6016" spans="2:7" x14ac:dyDescent="0.25">
      <c r="B6016" s="70">
        <v>43369</v>
      </c>
      <c r="C6016" t="s">
        <v>21</v>
      </c>
      <c r="D6016" t="s">
        <v>79</v>
      </c>
      <c r="E6016" t="s">
        <v>542</v>
      </c>
      <c r="F6016">
        <v>24</v>
      </c>
      <c r="G6016">
        <v>0</v>
      </c>
    </row>
    <row r="6017" spans="2:7" x14ac:dyDescent="0.25">
      <c r="B6017" s="70">
        <v>43369</v>
      </c>
      <c r="C6017" t="s">
        <v>64</v>
      </c>
      <c r="D6017" t="s">
        <v>82</v>
      </c>
      <c r="E6017" t="s">
        <v>542</v>
      </c>
      <c r="F6017">
        <v>1.3</v>
      </c>
      <c r="G6017">
        <v>0</v>
      </c>
    </row>
    <row r="6018" spans="2:7" x14ac:dyDescent="0.25">
      <c r="B6018" s="70">
        <v>43369</v>
      </c>
      <c r="C6018" t="s">
        <v>50</v>
      </c>
      <c r="D6018" t="s">
        <v>85</v>
      </c>
      <c r="E6018" t="s">
        <v>542</v>
      </c>
      <c r="F6018">
        <v>99.89</v>
      </c>
      <c r="G6018">
        <v>0</v>
      </c>
    </row>
    <row r="6019" spans="2:7" x14ac:dyDescent="0.25">
      <c r="B6019" s="70">
        <v>43369</v>
      </c>
      <c r="C6019" t="s">
        <v>50</v>
      </c>
      <c r="D6019" t="s">
        <v>82</v>
      </c>
      <c r="E6019" t="s">
        <v>542</v>
      </c>
      <c r="F6019">
        <v>10</v>
      </c>
      <c r="G6019">
        <v>0</v>
      </c>
    </row>
    <row r="6020" spans="2:7" x14ac:dyDescent="0.25">
      <c r="B6020" s="70">
        <v>43369</v>
      </c>
      <c r="C6020" t="s">
        <v>68</v>
      </c>
      <c r="D6020" t="s">
        <v>85</v>
      </c>
      <c r="E6020" t="s">
        <v>542</v>
      </c>
      <c r="F6020">
        <v>625</v>
      </c>
      <c r="G6020">
        <v>0</v>
      </c>
    </row>
    <row r="6021" spans="2:7" x14ac:dyDescent="0.25">
      <c r="B6021" s="70">
        <v>43369</v>
      </c>
      <c r="C6021" t="s">
        <v>65</v>
      </c>
      <c r="D6021" t="s">
        <v>83</v>
      </c>
      <c r="E6021" t="s">
        <v>542</v>
      </c>
      <c r="F6021">
        <v>0</v>
      </c>
      <c r="G6021">
        <v>420</v>
      </c>
    </row>
    <row r="6022" spans="2:7" x14ac:dyDescent="0.25">
      <c r="B6022" s="70">
        <v>43335</v>
      </c>
      <c r="C6022" t="s">
        <v>25</v>
      </c>
      <c r="D6022" t="s">
        <v>79</v>
      </c>
      <c r="E6022" t="s">
        <v>543</v>
      </c>
      <c r="F6022">
        <v>16</v>
      </c>
      <c r="G6022">
        <v>0</v>
      </c>
    </row>
    <row r="6023" spans="2:7" x14ac:dyDescent="0.25">
      <c r="B6023" s="70">
        <v>43335</v>
      </c>
      <c r="C6023" t="s">
        <v>25</v>
      </c>
      <c r="D6023" t="s">
        <v>80</v>
      </c>
      <c r="E6023" t="s">
        <v>543</v>
      </c>
      <c r="F6023">
        <v>14.25</v>
      </c>
      <c r="G6023">
        <v>0</v>
      </c>
    </row>
    <row r="6024" spans="2:7" x14ac:dyDescent="0.25">
      <c r="B6024" s="70">
        <v>43335</v>
      </c>
      <c r="C6024" t="s">
        <v>25</v>
      </c>
      <c r="D6024" t="s">
        <v>80</v>
      </c>
      <c r="E6024" t="s">
        <v>543</v>
      </c>
      <c r="F6024">
        <v>63.13</v>
      </c>
      <c r="G6024">
        <v>0</v>
      </c>
    </row>
    <row r="6025" spans="2:7" x14ac:dyDescent="0.25">
      <c r="B6025" s="70">
        <v>43335</v>
      </c>
      <c r="C6025" t="s">
        <v>25</v>
      </c>
      <c r="D6025" t="s">
        <v>80</v>
      </c>
      <c r="E6025" t="s">
        <v>543</v>
      </c>
      <c r="F6025">
        <v>113</v>
      </c>
      <c r="G6025">
        <v>0</v>
      </c>
    </row>
    <row r="6026" spans="2:7" x14ac:dyDescent="0.25">
      <c r="B6026" s="70">
        <v>43335</v>
      </c>
      <c r="C6026" t="s">
        <v>25</v>
      </c>
      <c r="D6026" t="s">
        <v>80</v>
      </c>
      <c r="E6026" t="s">
        <v>543</v>
      </c>
      <c r="F6026">
        <v>24.62</v>
      </c>
      <c r="G6026">
        <v>0</v>
      </c>
    </row>
    <row r="6027" spans="2:7" x14ac:dyDescent="0.25">
      <c r="B6027" s="70">
        <v>43335</v>
      </c>
      <c r="C6027" t="s">
        <v>25</v>
      </c>
      <c r="D6027" t="s">
        <v>80</v>
      </c>
      <c r="E6027" t="s">
        <v>543</v>
      </c>
      <c r="F6027">
        <v>31.6</v>
      </c>
      <c r="G6027">
        <v>0</v>
      </c>
    </row>
    <row r="6028" spans="2:7" x14ac:dyDescent="0.25">
      <c r="B6028" s="70">
        <v>43335</v>
      </c>
      <c r="C6028" t="s">
        <v>25</v>
      </c>
      <c r="D6028" t="s">
        <v>80</v>
      </c>
      <c r="E6028" t="s">
        <v>543</v>
      </c>
      <c r="F6028">
        <v>40.450000000000003</v>
      </c>
      <c r="G6028">
        <v>0</v>
      </c>
    </row>
    <row r="6029" spans="2:7" x14ac:dyDescent="0.25">
      <c r="B6029" s="70">
        <v>43335</v>
      </c>
      <c r="C6029" t="s">
        <v>25</v>
      </c>
      <c r="D6029" t="s">
        <v>87</v>
      </c>
      <c r="E6029" t="s">
        <v>543</v>
      </c>
      <c r="F6029">
        <v>0</v>
      </c>
      <c r="G6029">
        <v>0.01</v>
      </c>
    </row>
    <row r="6030" spans="2:7" x14ac:dyDescent="0.25">
      <c r="B6030" s="70">
        <v>43335</v>
      </c>
      <c r="C6030" t="s">
        <v>25</v>
      </c>
      <c r="D6030" t="s">
        <v>87</v>
      </c>
      <c r="E6030" t="s">
        <v>543</v>
      </c>
      <c r="F6030">
        <v>15.95</v>
      </c>
      <c r="G6030">
        <v>0</v>
      </c>
    </row>
    <row r="6031" spans="2:7" x14ac:dyDescent="0.25">
      <c r="B6031" s="70">
        <v>43335</v>
      </c>
      <c r="C6031" t="s">
        <v>25</v>
      </c>
      <c r="D6031" t="s">
        <v>87</v>
      </c>
      <c r="E6031" t="s">
        <v>543</v>
      </c>
      <c r="F6031">
        <v>29.96</v>
      </c>
      <c r="G6031">
        <v>0</v>
      </c>
    </row>
    <row r="6032" spans="2:7" x14ac:dyDescent="0.25">
      <c r="B6032" s="70">
        <v>43335</v>
      </c>
      <c r="C6032" t="s">
        <v>25</v>
      </c>
      <c r="D6032" t="s">
        <v>87</v>
      </c>
      <c r="E6032" t="s">
        <v>543</v>
      </c>
      <c r="F6032">
        <v>47</v>
      </c>
      <c r="G6032">
        <v>0</v>
      </c>
    </row>
    <row r="6033" spans="2:7" x14ac:dyDescent="0.25">
      <c r="B6033" s="70">
        <v>43335</v>
      </c>
      <c r="C6033" t="s">
        <v>25</v>
      </c>
      <c r="D6033" t="s">
        <v>87</v>
      </c>
      <c r="E6033" t="s">
        <v>543</v>
      </c>
      <c r="F6033">
        <v>0.01</v>
      </c>
      <c r="G6033">
        <v>0</v>
      </c>
    </row>
    <row r="6034" spans="2:7" x14ac:dyDescent="0.25">
      <c r="B6034" s="70">
        <v>43335</v>
      </c>
      <c r="C6034" t="s">
        <v>25</v>
      </c>
      <c r="D6034" t="s">
        <v>87</v>
      </c>
      <c r="E6034" t="s">
        <v>543</v>
      </c>
      <c r="F6034">
        <v>211</v>
      </c>
      <c r="G6034">
        <v>0</v>
      </c>
    </row>
    <row r="6035" spans="2:7" x14ac:dyDescent="0.25">
      <c r="B6035" s="70">
        <v>43335</v>
      </c>
      <c r="C6035" t="s">
        <v>25</v>
      </c>
      <c r="D6035" t="s">
        <v>87</v>
      </c>
      <c r="E6035" t="s">
        <v>543</v>
      </c>
      <c r="F6035">
        <v>63.77</v>
      </c>
      <c r="G6035">
        <v>0</v>
      </c>
    </row>
    <row r="6036" spans="2:7" x14ac:dyDescent="0.25">
      <c r="B6036" s="70">
        <v>43335</v>
      </c>
      <c r="C6036" t="s">
        <v>25</v>
      </c>
      <c r="D6036" t="s">
        <v>87</v>
      </c>
      <c r="E6036" t="s">
        <v>543</v>
      </c>
      <c r="F6036">
        <v>128.04</v>
      </c>
      <c r="G6036">
        <v>0</v>
      </c>
    </row>
    <row r="6037" spans="2:7" x14ac:dyDescent="0.25">
      <c r="B6037" s="70">
        <v>43335</v>
      </c>
      <c r="C6037" t="s">
        <v>25</v>
      </c>
      <c r="D6037" t="s">
        <v>87</v>
      </c>
      <c r="E6037" t="s">
        <v>543</v>
      </c>
      <c r="F6037">
        <v>86.93</v>
      </c>
      <c r="G6037">
        <v>0</v>
      </c>
    </row>
    <row r="6038" spans="2:7" x14ac:dyDescent="0.25">
      <c r="B6038" s="70">
        <v>43335</v>
      </c>
      <c r="C6038" t="s">
        <v>25</v>
      </c>
      <c r="D6038" t="s">
        <v>87</v>
      </c>
      <c r="E6038" t="s">
        <v>543</v>
      </c>
      <c r="F6038">
        <v>35.659999999999997</v>
      </c>
      <c r="G6038">
        <v>0</v>
      </c>
    </row>
    <row r="6039" spans="2:7" x14ac:dyDescent="0.25">
      <c r="B6039" s="70">
        <v>43335</v>
      </c>
      <c r="C6039" t="s">
        <v>25</v>
      </c>
      <c r="D6039" t="s">
        <v>81</v>
      </c>
      <c r="E6039" t="s">
        <v>173</v>
      </c>
      <c r="F6039">
        <v>1.8</v>
      </c>
      <c r="G6039">
        <v>0</v>
      </c>
    </row>
    <row r="6040" spans="2:7" x14ac:dyDescent="0.25">
      <c r="B6040" s="70">
        <v>43335</v>
      </c>
      <c r="C6040" t="s">
        <v>25</v>
      </c>
      <c r="D6040" t="s">
        <v>81</v>
      </c>
      <c r="E6040" t="s">
        <v>148</v>
      </c>
      <c r="F6040">
        <v>4.5</v>
      </c>
      <c r="G6040">
        <v>0</v>
      </c>
    </row>
    <row r="6041" spans="2:7" x14ac:dyDescent="0.25">
      <c r="B6041" s="70">
        <v>43335</v>
      </c>
      <c r="C6041" t="s">
        <v>25</v>
      </c>
      <c r="D6041" t="s">
        <v>81</v>
      </c>
      <c r="E6041" t="s">
        <v>187</v>
      </c>
      <c r="F6041">
        <v>6.5</v>
      </c>
      <c r="G6041">
        <v>0</v>
      </c>
    </row>
    <row r="6042" spans="2:7" x14ac:dyDescent="0.25">
      <c r="B6042" s="70">
        <v>43335</v>
      </c>
      <c r="C6042" t="s">
        <v>54</v>
      </c>
      <c r="D6042" t="s">
        <v>79</v>
      </c>
      <c r="E6042" t="s">
        <v>543</v>
      </c>
      <c r="F6042">
        <v>68.2</v>
      </c>
      <c r="G6042">
        <v>0</v>
      </c>
    </row>
    <row r="6043" spans="2:7" x14ac:dyDescent="0.25">
      <c r="B6043" s="70">
        <v>43335</v>
      </c>
      <c r="C6043" t="s">
        <v>46</v>
      </c>
      <c r="D6043" t="s">
        <v>85</v>
      </c>
      <c r="E6043" t="s">
        <v>543</v>
      </c>
      <c r="F6043">
        <v>79.48</v>
      </c>
      <c r="G6043">
        <v>0</v>
      </c>
    </row>
    <row r="6044" spans="2:7" x14ac:dyDescent="0.25">
      <c r="B6044" s="70">
        <v>43335</v>
      </c>
      <c r="C6044" t="s">
        <v>47</v>
      </c>
      <c r="D6044" t="s">
        <v>82</v>
      </c>
      <c r="E6044" t="s">
        <v>543</v>
      </c>
      <c r="F6044">
        <v>55</v>
      </c>
      <c r="G6044">
        <v>0</v>
      </c>
    </row>
    <row r="6045" spans="2:7" x14ac:dyDescent="0.25">
      <c r="B6045" s="70">
        <v>43335</v>
      </c>
      <c r="C6045" t="s">
        <v>57</v>
      </c>
      <c r="D6045" t="s">
        <v>86</v>
      </c>
      <c r="E6045" t="s">
        <v>543</v>
      </c>
      <c r="F6045">
        <v>13.8</v>
      </c>
      <c r="G6045">
        <v>0</v>
      </c>
    </row>
    <row r="6046" spans="2:7" x14ac:dyDescent="0.25">
      <c r="B6046" s="70">
        <v>43335</v>
      </c>
      <c r="C6046" t="s">
        <v>21</v>
      </c>
      <c r="D6046" t="s">
        <v>79</v>
      </c>
      <c r="E6046" t="s">
        <v>543</v>
      </c>
      <c r="F6046">
        <v>8</v>
      </c>
      <c r="G6046">
        <v>0</v>
      </c>
    </row>
    <row r="6047" spans="2:7" x14ac:dyDescent="0.25">
      <c r="B6047" s="70">
        <v>43335</v>
      </c>
      <c r="C6047" t="s">
        <v>21</v>
      </c>
      <c r="D6047" t="s">
        <v>79</v>
      </c>
      <c r="E6047" t="s">
        <v>543</v>
      </c>
      <c r="F6047">
        <v>16</v>
      </c>
      <c r="G6047">
        <v>0</v>
      </c>
    </row>
    <row r="6048" spans="2:7" x14ac:dyDescent="0.25">
      <c r="B6048" s="70">
        <v>43335</v>
      </c>
      <c r="C6048" t="s">
        <v>21</v>
      </c>
      <c r="D6048" t="s">
        <v>79</v>
      </c>
      <c r="E6048" t="s">
        <v>543</v>
      </c>
      <c r="F6048">
        <v>48</v>
      </c>
      <c r="G6048">
        <v>0</v>
      </c>
    </row>
    <row r="6049" spans="2:7" x14ac:dyDescent="0.25">
      <c r="B6049" s="70">
        <v>43335</v>
      </c>
      <c r="C6049" t="s">
        <v>66</v>
      </c>
      <c r="D6049" t="s">
        <v>82</v>
      </c>
      <c r="E6049" t="s">
        <v>543</v>
      </c>
      <c r="F6049">
        <v>8.94</v>
      </c>
      <c r="G6049">
        <v>0</v>
      </c>
    </row>
    <row r="6050" spans="2:7" x14ac:dyDescent="0.25">
      <c r="B6050" s="70">
        <v>43335</v>
      </c>
      <c r="C6050" t="s">
        <v>48</v>
      </c>
      <c r="D6050" t="s">
        <v>87</v>
      </c>
      <c r="E6050" t="s">
        <v>543</v>
      </c>
      <c r="F6050">
        <v>84</v>
      </c>
      <c r="G6050">
        <v>0</v>
      </c>
    </row>
    <row r="6051" spans="2:7" x14ac:dyDescent="0.25">
      <c r="B6051" s="70">
        <v>43335</v>
      </c>
      <c r="C6051" t="s">
        <v>48</v>
      </c>
      <c r="D6051" t="s">
        <v>82</v>
      </c>
      <c r="E6051" t="s">
        <v>543</v>
      </c>
      <c r="F6051">
        <v>56</v>
      </c>
      <c r="G6051">
        <v>0</v>
      </c>
    </row>
    <row r="6052" spans="2:7" x14ac:dyDescent="0.25">
      <c r="B6052" s="70">
        <v>43335</v>
      </c>
      <c r="C6052" t="s">
        <v>45</v>
      </c>
      <c r="D6052" t="s">
        <v>91</v>
      </c>
      <c r="E6052" t="s">
        <v>543</v>
      </c>
      <c r="F6052">
        <v>134.82</v>
      </c>
      <c r="G6052">
        <v>0</v>
      </c>
    </row>
    <row r="6053" spans="2:7" x14ac:dyDescent="0.25">
      <c r="B6053" s="70">
        <v>43335</v>
      </c>
      <c r="C6053" t="s">
        <v>50</v>
      </c>
      <c r="D6053" t="s">
        <v>83</v>
      </c>
      <c r="E6053" t="s">
        <v>543</v>
      </c>
      <c r="F6053">
        <v>25</v>
      </c>
      <c r="G6053">
        <v>0</v>
      </c>
    </row>
    <row r="6054" spans="2:7" x14ac:dyDescent="0.25">
      <c r="B6054" s="70">
        <v>43335</v>
      </c>
      <c r="C6054" t="s">
        <v>53</v>
      </c>
      <c r="D6054" t="s">
        <v>82</v>
      </c>
      <c r="E6054" t="s">
        <v>543</v>
      </c>
      <c r="F6054">
        <v>21.65</v>
      </c>
      <c r="G6054">
        <v>0</v>
      </c>
    </row>
    <row r="6055" spans="2:7" x14ac:dyDescent="0.25">
      <c r="B6055" s="70">
        <v>43335</v>
      </c>
      <c r="C6055" t="s">
        <v>73</v>
      </c>
      <c r="D6055" t="s">
        <v>91</v>
      </c>
      <c r="E6055" t="s">
        <v>543</v>
      </c>
      <c r="F6055">
        <v>80</v>
      </c>
      <c r="G6055">
        <v>0</v>
      </c>
    </row>
    <row r="6056" spans="2:7" x14ac:dyDescent="0.25">
      <c r="B6056" s="70">
        <v>43335</v>
      </c>
      <c r="C6056" t="s">
        <v>24</v>
      </c>
      <c r="D6056" t="s">
        <v>79</v>
      </c>
      <c r="E6056" t="s">
        <v>543</v>
      </c>
      <c r="F6056">
        <v>8</v>
      </c>
      <c r="G6056">
        <v>0</v>
      </c>
    </row>
    <row r="6057" spans="2:7" x14ac:dyDescent="0.25">
      <c r="B6057" s="70">
        <v>43335</v>
      </c>
      <c r="C6057" t="s">
        <v>60</v>
      </c>
      <c r="D6057" t="s">
        <v>79</v>
      </c>
      <c r="E6057" t="s">
        <v>543</v>
      </c>
      <c r="F6057">
        <v>125.2</v>
      </c>
      <c r="G6057">
        <v>0</v>
      </c>
    </row>
    <row r="6058" spans="2:7" x14ac:dyDescent="0.25">
      <c r="B6058" s="70">
        <v>43335</v>
      </c>
      <c r="C6058" t="s">
        <v>60</v>
      </c>
      <c r="D6058" t="s">
        <v>83</v>
      </c>
      <c r="E6058" t="s">
        <v>543</v>
      </c>
      <c r="F6058">
        <v>210</v>
      </c>
      <c r="G6058">
        <v>0</v>
      </c>
    </row>
    <row r="6059" spans="2:7" x14ac:dyDescent="0.25">
      <c r="B6059" s="70">
        <v>43335</v>
      </c>
      <c r="C6059" t="s">
        <v>61</v>
      </c>
      <c r="D6059" t="s">
        <v>82</v>
      </c>
      <c r="E6059" t="s">
        <v>543</v>
      </c>
      <c r="F6059">
        <v>70.23</v>
      </c>
      <c r="G6059">
        <v>0</v>
      </c>
    </row>
    <row r="6060" spans="2:7" x14ac:dyDescent="0.25">
      <c r="B6060" s="70">
        <v>43344</v>
      </c>
      <c r="C6060" t="s">
        <v>25</v>
      </c>
      <c r="D6060" t="s">
        <v>80</v>
      </c>
      <c r="E6060" t="s">
        <v>544</v>
      </c>
      <c r="F6060">
        <v>104</v>
      </c>
      <c r="G6060">
        <v>0</v>
      </c>
    </row>
    <row r="6061" spans="2:7" x14ac:dyDescent="0.25">
      <c r="B6061" s="70">
        <v>43344</v>
      </c>
      <c r="C6061" t="s">
        <v>25</v>
      </c>
      <c r="D6061" t="s">
        <v>81</v>
      </c>
      <c r="E6061" t="s">
        <v>148</v>
      </c>
      <c r="F6061">
        <v>9</v>
      </c>
      <c r="G6061">
        <v>0</v>
      </c>
    </row>
    <row r="6062" spans="2:7" x14ac:dyDescent="0.25">
      <c r="B6062" s="70">
        <v>43344</v>
      </c>
      <c r="C6062" t="s">
        <v>25</v>
      </c>
      <c r="D6062" t="s">
        <v>82</v>
      </c>
      <c r="E6062" t="s">
        <v>544</v>
      </c>
      <c r="F6062">
        <v>149.5</v>
      </c>
      <c r="G6062">
        <v>0</v>
      </c>
    </row>
    <row r="6063" spans="2:7" x14ac:dyDescent="0.25">
      <c r="B6063" s="70">
        <v>43344</v>
      </c>
      <c r="C6063" t="s">
        <v>25</v>
      </c>
      <c r="D6063" t="s">
        <v>82</v>
      </c>
      <c r="E6063" t="s">
        <v>544</v>
      </c>
      <c r="F6063">
        <v>234</v>
      </c>
      <c r="G6063">
        <v>0</v>
      </c>
    </row>
    <row r="6064" spans="2:7" x14ac:dyDescent="0.25">
      <c r="B6064" s="70">
        <v>43344</v>
      </c>
      <c r="C6064" t="s">
        <v>25</v>
      </c>
      <c r="D6064" t="s">
        <v>82</v>
      </c>
      <c r="E6064" t="s">
        <v>544</v>
      </c>
      <c r="F6064">
        <v>154</v>
      </c>
      <c r="G6064">
        <v>0</v>
      </c>
    </row>
    <row r="6065" spans="2:7" x14ac:dyDescent="0.25">
      <c r="B6065" s="70">
        <v>43344</v>
      </c>
      <c r="C6065" t="s">
        <v>25</v>
      </c>
      <c r="D6065" t="s">
        <v>82</v>
      </c>
      <c r="E6065" t="s">
        <v>544</v>
      </c>
      <c r="F6065">
        <v>176.8</v>
      </c>
      <c r="G6065">
        <v>0</v>
      </c>
    </row>
    <row r="6066" spans="2:7" x14ac:dyDescent="0.25">
      <c r="B6066" s="70">
        <v>43344</v>
      </c>
      <c r="C6066" t="s">
        <v>44</v>
      </c>
      <c r="D6066" t="s">
        <v>84</v>
      </c>
      <c r="E6066" t="s">
        <v>544</v>
      </c>
      <c r="F6066">
        <v>513.05999999999995</v>
      </c>
      <c r="G6066">
        <v>0</v>
      </c>
    </row>
    <row r="6067" spans="2:7" x14ac:dyDescent="0.25">
      <c r="B6067" s="70">
        <v>43344</v>
      </c>
      <c r="C6067" t="s">
        <v>48</v>
      </c>
      <c r="D6067" t="s">
        <v>84</v>
      </c>
      <c r="E6067" t="s">
        <v>544</v>
      </c>
      <c r="F6067">
        <v>1197.1400000000001</v>
      </c>
      <c r="G6067">
        <v>0</v>
      </c>
    </row>
    <row r="6068" spans="2:7" x14ac:dyDescent="0.25">
      <c r="B6068" s="70">
        <v>43344</v>
      </c>
      <c r="C6068" t="s">
        <v>58</v>
      </c>
      <c r="D6068" t="s">
        <v>82</v>
      </c>
      <c r="E6068" t="s">
        <v>544</v>
      </c>
      <c r="F6068">
        <v>50</v>
      </c>
      <c r="G6068">
        <v>0</v>
      </c>
    </row>
    <row r="6069" spans="2:7" x14ac:dyDescent="0.25">
      <c r="B6069" s="70">
        <v>43348</v>
      </c>
      <c r="C6069" t="s">
        <v>25</v>
      </c>
      <c r="D6069" t="s">
        <v>85</v>
      </c>
      <c r="E6069" t="s">
        <v>545</v>
      </c>
      <c r="F6069">
        <v>41.71</v>
      </c>
      <c r="G6069">
        <v>0</v>
      </c>
    </row>
    <row r="6070" spans="2:7" x14ac:dyDescent="0.25">
      <c r="B6070" s="70">
        <v>43348</v>
      </c>
      <c r="C6070" t="s">
        <v>25</v>
      </c>
      <c r="D6070" t="s">
        <v>81</v>
      </c>
      <c r="E6070" t="s">
        <v>148</v>
      </c>
      <c r="F6070">
        <v>2.25</v>
      </c>
      <c r="G6070">
        <v>0</v>
      </c>
    </row>
    <row r="6071" spans="2:7" x14ac:dyDescent="0.25">
      <c r="B6071" s="70">
        <v>43348</v>
      </c>
      <c r="C6071" t="s">
        <v>59</v>
      </c>
      <c r="D6071" t="s">
        <v>82</v>
      </c>
      <c r="E6071" t="s">
        <v>545</v>
      </c>
      <c r="F6071">
        <v>46</v>
      </c>
      <c r="G6071">
        <v>0</v>
      </c>
    </row>
    <row r="6072" spans="2:7" x14ac:dyDescent="0.25">
      <c r="B6072" s="70">
        <v>43348</v>
      </c>
      <c r="C6072" t="s">
        <v>56</v>
      </c>
      <c r="D6072" t="s">
        <v>82</v>
      </c>
      <c r="E6072" t="s">
        <v>545</v>
      </c>
      <c r="F6072">
        <v>159.38999999999999</v>
      </c>
      <c r="G6072">
        <v>0</v>
      </c>
    </row>
    <row r="6073" spans="2:7" x14ac:dyDescent="0.25">
      <c r="B6073" s="70">
        <v>43348</v>
      </c>
      <c r="C6073" t="s">
        <v>47</v>
      </c>
      <c r="D6073" t="s">
        <v>82</v>
      </c>
      <c r="E6073" t="s">
        <v>545</v>
      </c>
      <c r="F6073">
        <v>20</v>
      </c>
      <c r="G6073">
        <v>0</v>
      </c>
    </row>
    <row r="6074" spans="2:7" x14ac:dyDescent="0.25">
      <c r="B6074" s="70">
        <v>43348</v>
      </c>
      <c r="C6074" t="s">
        <v>51</v>
      </c>
      <c r="D6074" t="s">
        <v>82</v>
      </c>
      <c r="E6074" t="s">
        <v>545</v>
      </c>
      <c r="F6074">
        <v>37</v>
      </c>
      <c r="G6074">
        <v>0</v>
      </c>
    </row>
    <row r="6075" spans="2:7" x14ac:dyDescent="0.25">
      <c r="B6075" s="70">
        <v>43348</v>
      </c>
      <c r="C6075" t="s">
        <v>21</v>
      </c>
      <c r="D6075" t="s">
        <v>79</v>
      </c>
      <c r="E6075" t="s">
        <v>545</v>
      </c>
      <c r="F6075">
        <v>8</v>
      </c>
      <c r="G6075">
        <v>0</v>
      </c>
    </row>
    <row r="6076" spans="2:7" x14ac:dyDescent="0.25">
      <c r="B6076" s="70">
        <v>43348</v>
      </c>
      <c r="C6076" t="s">
        <v>21</v>
      </c>
      <c r="D6076" t="s">
        <v>79</v>
      </c>
      <c r="E6076" t="s">
        <v>545</v>
      </c>
      <c r="F6076">
        <v>16</v>
      </c>
      <c r="G6076">
        <v>0</v>
      </c>
    </row>
    <row r="6077" spans="2:7" x14ac:dyDescent="0.25">
      <c r="B6077" s="70">
        <v>43348</v>
      </c>
      <c r="C6077" t="s">
        <v>21</v>
      </c>
      <c r="D6077" t="s">
        <v>79</v>
      </c>
      <c r="E6077" t="s">
        <v>545</v>
      </c>
      <c r="F6077">
        <v>24</v>
      </c>
      <c r="G6077">
        <v>0</v>
      </c>
    </row>
    <row r="6078" spans="2:7" x14ac:dyDescent="0.25">
      <c r="B6078" s="70">
        <v>43348</v>
      </c>
      <c r="C6078" t="s">
        <v>21</v>
      </c>
      <c r="D6078" t="s">
        <v>79</v>
      </c>
      <c r="E6078" t="s">
        <v>545</v>
      </c>
      <c r="F6078">
        <v>32</v>
      </c>
      <c r="G6078">
        <v>0</v>
      </c>
    </row>
    <row r="6079" spans="2:7" x14ac:dyDescent="0.25">
      <c r="B6079" s="70">
        <v>43348</v>
      </c>
      <c r="C6079" t="s">
        <v>21</v>
      </c>
      <c r="D6079" t="s">
        <v>79</v>
      </c>
      <c r="E6079" t="s">
        <v>545</v>
      </c>
      <c r="F6079">
        <v>40</v>
      </c>
      <c r="G6079">
        <v>0</v>
      </c>
    </row>
    <row r="6080" spans="2:7" x14ac:dyDescent="0.25">
      <c r="B6080" s="70">
        <v>43348</v>
      </c>
      <c r="C6080" t="s">
        <v>21</v>
      </c>
      <c r="D6080" t="s">
        <v>79</v>
      </c>
      <c r="E6080" t="s">
        <v>545</v>
      </c>
      <c r="F6080">
        <v>48</v>
      </c>
      <c r="G6080">
        <v>0</v>
      </c>
    </row>
    <row r="6081" spans="2:7" x14ac:dyDescent="0.25">
      <c r="B6081" s="70">
        <v>43348</v>
      </c>
      <c r="C6081" t="s">
        <v>21</v>
      </c>
      <c r="D6081" t="s">
        <v>79</v>
      </c>
      <c r="E6081" t="s">
        <v>545</v>
      </c>
      <c r="F6081">
        <v>56</v>
      </c>
      <c r="G6081">
        <v>0</v>
      </c>
    </row>
    <row r="6082" spans="2:7" x14ac:dyDescent="0.25">
      <c r="B6082" s="70">
        <v>43348</v>
      </c>
      <c r="C6082" t="s">
        <v>21</v>
      </c>
      <c r="D6082" t="s">
        <v>79</v>
      </c>
      <c r="E6082" t="s">
        <v>545</v>
      </c>
      <c r="F6082">
        <v>64</v>
      </c>
      <c r="G6082">
        <v>0</v>
      </c>
    </row>
    <row r="6083" spans="2:7" x14ac:dyDescent="0.25">
      <c r="B6083" s="70">
        <v>43348</v>
      </c>
      <c r="C6083" t="s">
        <v>48</v>
      </c>
      <c r="D6083" t="s">
        <v>82</v>
      </c>
      <c r="E6083" t="s">
        <v>545</v>
      </c>
      <c r="F6083">
        <v>49</v>
      </c>
      <c r="G6083">
        <v>0</v>
      </c>
    </row>
    <row r="6084" spans="2:7" x14ac:dyDescent="0.25">
      <c r="B6084" s="70">
        <v>43348</v>
      </c>
      <c r="C6084" t="s">
        <v>50</v>
      </c>
      <c r="D6084" t="s">
        <v>79</v>
      </c>
      <c r="E6084" t="s">
        <v>545</v>
      </c>
      <c r="F6084">
        <v>10</v>
      </c>
      <c r="G6084">
        <v>0</v>
      </c>
    </row>
    <row r="6085" spans="2:7" x14ac:dyDescent="0.25">
      <c r="B6085" s="70">
        <v>43348</v>
      </c>
      <c r="C6085" t="s">
        <v>50</v>
      </c>
      <c r="D6085" t="s">
        <v>85</v>
      </c>
      <c r="E6085" t="s">
        <v>545</v>
      </c>
      <c r="F6085">
        <v>22</v>
      </c>
      <c r="G6085">
        <v>0</v>
      </c>
    </row>
    <row r="6086" spans="2:7" x14ac:dyDescent="0.25">
      <c r="B6086" s="70">
        <v>43348</v>
      </c>
      <c r="C6086" t="s">
        <v>50</v>
      </c>
      <c r="D6086" t="s">
        <v>82</v>
      </c>
      <c r="E6086" t="s">
        <v>545</v>
      </c>
      <c r="F6086">
        <v>10.07</v>
      </c>
      <c r="G6086">
        <v>0</v>
      </c>
    </row>
    <row r="6087" spans="2:7" x14ac:dyDescent="0.25">
      <c r="B6087" s="70">
        <v>43348</v>
      </c>
      <c r="C6087" t="s">
        <v>73</v>
      </c>
      <c r="D6087" t="s">
        <v>82</v>
      </c>
      <c r="E6087" t="s">
        <v>545</v>
      </c>
      <c r="F6087">
        <v>6.12</v>
      </c>
      <c r="G6087">
        <v>0</v>
      </c>
    </row>
    <row r="6088" spans="2:7" x14ac:dyDescent="0.25">
      <c r="B6088" s="70">
        <v>43348</v>
      </c>
      <c r="C6088" t="s">
        <v>24</v>
      </c>
      <c r="D6088" t="s">
        <v>79</v>
      </c>
      <c r="E6088" t="s">
        <v>545</v>
      </c>
      <c r="F6088">
        <v>16</v>
      </c>
      <c r="G6088">
        <v>0</v>
      </c>
    </row>
    <row r="6089" spans="2:7" x14ac:dyDescent="0.25">
      <c r="B6089" s="70">
        <v>43386</v>
      </c>
      <c r="C6089" t="s">
        <v>25</v>
      </c>
      <c r="D6089" t="s">
        <v>81</v>
      </c>
      <c r="E6089" t="s">
        <v>148</v>
      </c>
      <c r="F6089">
        <v>12.75</v>
      </c>
      <c r="G6089">
        <v>0</v>
      </c>
    </row>
    <row r="6090" spans="2:7" x14ac:dyDescent="0.25">
      <c r="B6090" s="70">
        <v>43386</v>
      </c>
      <c r="C6090" t="s">
        <v>25</v>
      </c>
      <c r="D6090" t="s">
        <v>81</v>
      </c>
      <c r="E6090" t="s">
        <v>179</v>
      </c>
      <c r="F6090">
        <v>1.8</v>
      </c>
      <c r="G6090">
        <v>0</v>
      </c>
    </row>
    <row r="6091" spans="2:7" x14ac:dyDescent="0.25">
      <c r="B6091" s="70">
        <v>43386</v>
      </c>
      <c r="C6091" t="s">
        <v>48</v>
      </c>
      <c r="D6091" t="s">
        <v>82</v>
      </c>
      <c r="E6091" t="s">
        <v>546</v>
      </c>
      <c r="F6091">
        <v>38</v>
      </c>
      <c r="G6091">
        <v>0</v>
      </c>
    </row>
    <row r="6092" spans="2:7" x14ac:dyDescent="0.25">
      <c r="B6092" s="70">
        <v>43437</v>
      </c>
      <c r="C6092" t="s">
        <v>25</v>
      </c>
      <c r="D6092" t="s">
        <v>80</v>
      </c>
      <c r="E6092" t="s">
        <v>547</v>
      </c>
      <c r="F6092">
        <v>184</v>
      </c>
      <c r="G6092">
        <v>0</v>
      </c>
    </row>
    <row r="6093" spans="2:7" x14ac:dyDescent="0.25">
      <c r="B6093" s="70">
        <v>43437</v>
      </c>
      <c r="C6093" t="s">
        <v>25</v>
      </c>
      <c r="D6093" t="s">
        <v>86</v>
      </c>
      <c r="E6093" t="s">
        <v>547</v>
      </c>
      <c r="F6093">
        <v>0</v>
      </c>
      <c r="G6093">
        <v>54</v>
      </c>
    </row>
    <row r="6094" spans="2:7" x14ac:dyDescent="0.25">
      <c r="B6094" s="70">
        <v>43437</v>
      </c>
      <c r="C6094" t="s">
        <v>25</v>
      </c>
      <c r="D6094" t="s">
        <v>81</v>
      </c>
      <c r="E6094" t="s">
        <v>148</v>
      </c>
      <c r="F6094">
        <v>9</v>
      </c>
      <c r="G6094">
        <v>0</v>
      </c>
    </row>
    <row r="6095" spans="2:7" x14ac:dyDescent="0.25">
      <c r="B6095" s="70">
        <v>43437</v>
      </c>
      <c r="C6095" t="s">
        <v>25</v>
      </c>
      <c r="D6095" t="s">
        <v>81</v>
      </c>
      <c r="E6095" t="s">
        <v>124</v>
      </c>
      <c r="F6095">
        <v>4</v>
      </c>
      <c r="G6095">
        <v>0</v>
      </c>
    </row>
    <row r="6096" spans="2:7" x14ac:dyDescent="0.25">
      <c r="B6096" s="70">
        <v>43437</v>
      </c>
      <c r="C6096" t="s">
        <v>25</v>
      </c>
      <c r="D6096" t="s">
        <v>81</v>
      </c>
      <c r="E6096" t="s">
        <v>195</v>
      </c>
      <c r="F6096">
        <v>4.5</v>
      </c>
      <c r="G6096">
        <v>0</v>
      </c>
    </row>
    <row r="6097" spans="2:7" x14ac:dyDescent="0.25">
      <c r="B6097" s="70">
        <v>43437</v>
      </c>
      <c r="C6097" t="s">
        <v>25</v>
      </c>
      <c r="D6097" t="s">
        <v>81</v>
      </c>
      <c r="E6097" t="s">
        <v>241</v>
      </c>
      <c r="F6097">
        <v>3.15</v>
      </c>
      <c r="G6097">
        <v>0</v>
      </c>
    </row>
    <row r="6098" spans="2:7" x14ac:dyDescent="0.25">
      <c r="B6098" s="70">
        <v>43437</v>
      </c>
      <c r="C6098" t="s">
        <v>48</v>
      </c>
      <c r="D6098" t="s">
        <v>91</v>
      </c>
      <c r="E6098" t="s">
        <v>547</v>
      </c>
      <c r="F6098">
        <v>200</v>
      </c>
      <c r="G6098">
        <v>0</v>
      </c>
    </row>
    <row r="6099" spans="2:7" x14ac:dyDescent="0.25">
      <c r="B6099" s="70">
        <v>43437</v>
      </c>
      <c r="C6099" t="s">
        <v>50</v>
      </c>
      <c r="D6099" t="s">
        <v>82</v>
      </c>
      <c r="E6099" t="s">
        <v>547</v>
      </c>
      <c r="F6099">
        <v>9.34</v>
      </c>
      <c r="G6099">
        <v>0</v>
      </c>
    </row>
    <row r="6100" spans="2:7" x14ac:dyDescent="0.25">
      <c r="B6100" s="70">
        <v>43272</v>
      </c>
      <c r="C6100" t="s">
        <v>25</v>
      </c>
      <c r="D6100" t="s">
        <v>79</v>
      </c>
      <c r="E6100" t="s">
        <v>548</v>
      </c>
      <c r="F6100">
        <v>6.75</v>
      </c>
      <c r="G6100">
        <v>0</v>
      </c>
    </row>
    <row r="6101" spans="2:7" x14ac:dyDescent="0.25">
      <c r="B6101" s="70">
        <v>43272</v>
      </c>
      <c r="C6101" t="s">
        <v>25</v>
      </c>
      <c r="D6101" t="s">
        <v>79</v>
      </c>
      <c r="E6101" t="s">
        <v>548</v>
      </c>
      <c r="F6101">
        <v>15</v>
      </c>
      <c r="G6101">
        <v>0</v>
      </c>
    </row>
    <row r="6102" spans="2:7" x14ac:dyDescent="0.25">
      <c r="B6102" s="70">
        <v>43272</v>
      </c>
      <c r="C6102" t="s">
        <v>25</v>
      </c>
      <c r="D6102" t="s">
        <v>81</v>
      </c>
      <c r="E6102" t="s">
        <v>206</v>
      </c>
      <c r="F6102">
        <v>8.4</v>
      </c>
      <c r="G6102">
        <v>0</v>
      </c>
    </row>
    <row r="6103" spans="2:7" x14ac:dyDescent="0.25">
      <c r="B6103" s="70">
        <v>43272</v>
      </c>
      <c r="C6103" t="s">
        <v>25</v>
      </c>
      <c r="D6103" t="s">
        <v>81</v>
      </c>
      <c r="E6103" t="s">
        <v>191</v>
      </c>
      <c r="F6103">
        <v>22</v>
      </c>
      <c r="G6103">
        <v>0</v>
      </c>
    </row>
    <row r="6104" spans="2:7" x14ac:dyDescent="0.25">
      <c r="B6104" s="70">
        <v>43272</v>
      </c>
      <c r="C6104" t="s">
        <v>46</v>
      </c>
      <c r="D6104" t="s">
        <v>82</v>
      </c>
      <c r="E6104" t="s">
        <v>548</v>
      </c>
      <c r="F6104">
        <v>22</v>
      </c>
      <c r="G6104">
        <v>0</v>
      </c>
    </row>
    <row r="6105" spans="2:7" x14ac:dyDescent="0.25">
      <c r="B6105" s="70">
        <v>43272</v>
      </c>
      <c r="C6105" t="s">
        <v>56</v>
      </c>
      <c r="D6105" t="s">
        <v>82</v>
      </c>
      <c r="E6105" t="s">
        <v>548</v>
      </c>
      <c r="F6105">
        <v>37.25</v>
      </c>
      <c r="G6105">
        <v>0</v>
      </c>
    </row>
    <row r="6106" spans="2:7" x14ac:dyDescent="0.25">
      <c r="B6106" s="70">
        <v>43272</v>
      </c>
      <c r="C6106" t="s">
        <v>51</v>
      </c>
      <c r="D6106" t="s">
        <v>82</v>
      </c>
      <c r="E6106" t="s">
        <v>548</v>
      </c>
      <c r="F6106">
        <v>75.7</v>
      </c>
      <c r="G6106">
        <v>0</v>
      </c>
    </row>
    <row r="6107" spans="2:7" x14ac:dyDescent="0.25">
      <c r="B6107" s="70">
        <v>43272</v>
      </c>
      <c r="C6107" t="s">
        <v>44</v>
      </c>
      <c r="D6107" t="s">
        <v>82</v>
      </c>
      <c r="E6107" t="s">
        <v>548</v>
      </c>
      <c r="F6107">
        <v>20.100000000000001</v>
      </c>
      <c r="G6107">
        <v>0</v>
      </c>
    </row>
    <row r="6108" spans="2:7" x14ac:dyDescent="0.25">
      <c r="B6108" s="70">
        <v>43272</v>
      </c>
      <c r="C6108" t="s">
        <v>21</v>
      </c>
      <c r="D6108" t="s">
        <v>79</v>
      </c>
      <c r="E6108" t="s">
        <v>548</v>
      </c>
      <c r="F6108">
        <v>8</v>
      </c>
      <c r="G6108">
        <v>0</v>
      </c>
    </row>
    <row r="6109" spans="2:7" x14ac:dyDescent="0.25">
      <c r="B6109" s="70">
        <v>43272</v>
      </c>
      <c r="C6109" t="s">
        <v>21</v>
      </c>
      <c r="D6109" t="s">
        <v>79</v>
      </c>
      <c r="E6109" t="s">
        <v>548</v>
      </c>
      <c r="F6109">
        <v>16</v>
      </c>
      <c r="G6109">
        <v>0</v>
      </c>
    </row>
    <row r="6110" spans="2:7" x14ac:dyDescent="0.25">
      <c r="B6110" s="70">
        <v>43272</v>
      </c>
      <c r="C6110" t="s">
        <v>21</v>
      </c>
      <c r="D6110" t="s">
        <v>79</v>
      </c>
      <c r="E6110" t="s">
        <v>548</v>
      </c>
      <c r="F6110">
        <v>32</v>
      </c>
      <c r="G6110">
        <v>0</v>
      </c>
    </row>
    <row r="6111" spans="2:7" x14ac:dyDescent="0.25">
      <c r="B6111" s="70">
        <v>43272</v>
      </c>
      <c r="C6111" t="s">
        <v>21</v>
      </c>
      <c r="D6111" t="s">
        <v>79</v>
      </c>
      <c r="E6111" t="s">
        <v>548</v>
      </c>
      <c r="F6111">
        <v>96</v>
      </c>
      <c r="G6111">
        <v>0</v>
      </c>
    </row>
    <row r="6112" spans="2:7" x14ac:dyDescent="0.25">
      <c r="B6112" s="70">
        <v>43272</v>
      </c>
      <c r="C6112" t="s">
        <v>78</v>
      </c>
      <c r="D6112" t="s">
        <v>79</v>
      </c>
      <c r="E6112" t="s">
        <v>548</v>
      </c>
      <c r="F6112">
        <v>22.28</v>
      </c>
      <c r="G6112">
        <v>0</v>
      </c>
    </row>
    <row r="6113" spans="2:7" x14ac:dyDescent="0.25">
      <c r="B6113" s="70">
        <v>43272</v>
      </c>
      <c r="C6113" t="s">
        <v>78</v>
      </c>
      <c r="D6113" t="s">
        <v>91</v>
      </c>
      <c r="E6113" t="s">
        <v>548</v>
      </c>
      <c r="F6113">
        <v>106.12</v>
      </c>
      <c r="G6113">
        <v>0</v>
      </c>
    </row>
    <row r="6114" spans="2:7" x14ac:dyDescent="0.25">
      <c r="B6114" s="70">
        <v>43272</v>
      </c>
      <c r="C6114" t="s">
        <v>24</v>
      </c>
      <c r="D6114" t="s">
        <v>79</v>
      </c>
      <c r="E6114" t="s">
        <v>548</v>
      </c>
      <c r="F6114">
        <v>8</v>
      </c>
      <c r="G6114">
        <v>0</v>
      </c>
    </row>
    <row r="6115" spans="2:7" x14ac:dyDescent="0.25">
      <c r="B6115" s="70">
        <v>43272</v>
      </c>
      <c r="C6115" t="s">
        <v>24</v>
      </c>
      <c r="D6115" t="s">
        <v>79</v>
      </c>
      <c r="E6115" t="s">
        <v>548</v>
      </c>
      <c r="F6115">
        <v>16</v>
      </c>
      <c r="G6115">
        <v>0</v>
      </c>
    </row>
    <row r="6116" spans="2:7" x14ac:dyDescent="0.25">
      <c r="B6116" s="70">
        <v>43262</v>
      </c>
      <c r="C6116" t="s">
        <v>25</v>
      </c>
      <c r="D6116" t="s">
        <v>85</v>
      </c>
      <c r="E6116" t="s">
        <v>549</v>
      </c>
      <c r="F6116">
        <v>27.65</v>
      </c>
      <c r="G6116">
        <v>0</v>
      </c>
    </row>
    <row r="6117" spans="2:7" x14ac:dyDescent="0.25">
      <c r="B6117" s="70">
        <v>43262</v>
      </c>
      <c r="C6117" t="s">
        <v>25</v>
      </c>
      <c r="D6117" t="s">
        <v>85</v>
      </c>
      <c r="E6117" t="s">
        <v>549</v>
      </c>
      <c r="F6117">
        <v>85</v>
      </c>
      <c r="G6117">
        <v>0</v>
      </c>
    </row>
    <row r="6118" spans="2:7" x14ac:dyDescent="0.25">
      <c r="B6118" s="70">
        <v>43262</v>
      </c>
      <c r="C6118" t="s">
        <v>25</v>
      </c>
      <c r="D6118" t="s">
        <v>80</v>
      </c>
      <c r="E6118" t="s">
        <v>549</v>
      </c>
      <c r="F6118">
        <v>61.64</v>
      </c>
      <c r="G6118">
        <v>0</v>
      </c>
    </row>
    <row r="6119" spans="2:7" x14ac:dyDescent="0.25">
      <c r="B6119" s="70">
        <v>43262</v>
      </c>
      <c r="C6119" t="s">
        <v>25</v>
      </c>
      <c r="D6119" t="s">
        <v>87</v>
      </c>
      <c r="E6119" t="s">
        <v>549</v>
      </c>
      <c r="F6119">
        <v>53.41</v>
      </c>
      <c r="G6119">
        <v>0</v>
      </c>
    </row>
    <row r="6120" spans="2:7" x14ac:dyDescent="0.25">
      <c r="B6120" s="70">
        <v>43262</v>
      </c>
      <c r="C6120" t="s">
        <v>25</v>
      </c>
      <c r="D6120" t="s">
        <v>87</v>
      </c>
      <c r="E6120" t="s">
        <v>549</v>
      </c>
      <c r="F6120">
        <v>83.51</v>
      </c>
      <c r="G6120">
        <v>0</v>
      </c>
    </row>
    <row r="6121" spans="2:7" x14ac:dyDescent="0.25">
      <c r="B6121" s="70">
        <v>43262</v>
      </c>
      <c r="C6121" t="s">
        <v>25</v>
      </c>
      <c r="D6121" t="s">
        <v>87</v>
      </c>
      <c r="E6121" t="s">
        <v>549</v>
      </c>
      <c r="F6121">
        <v>62.44</v>
      </c>
      <c r="G6121">
        <v>0</v>
      </c>
    </row>
    <row r="6122" spans="2:7" x14ac:dyDescent="0.25">
      <c r="B6122" s="70">
        <v>43262</v>
      </c>
      <c r="C6122" t="s">
        <v>25</v>
      </c>
      <c r="D6122" t="s">
        <v>87</v>
      </c>
      <c r="E6122" t="s">
        <v>549</v>
      </c>
      <c r="F6122">
        <v>8.89</v>
      </c>
      <c r="G6122">
        <v>0</v>
      </c>
    </row>
    <row r="6123" spans="2:7" x14ac:dyDescent="0.25">
      <c r="B6123" s="70">
        <v>43262</v>
      </c>
      <c r="C6123" t="s">
        <v>25</v>
      </c>
      <c r="D6123" t="s">
        <v>81</v>
      </c>
      <c r="E6123" t="s">
        <v>333</v>
      </c>
      <c r="F6123">
        <v>4.5</v>
      </c>
      <c r="G6123">
        <v>0</v>
      </c>
    </row>
    <row r="6124" spans="2:7" x14ac:dyDescent="0.25">
      <c r="B6124" s="70">
        <v>43262</v>
      </c>
      <c r="C6124" t="s">
        <v>25</v>
      </c>
      <c r="D6124" t="s">
        <v>81</v>
      </c>
      <c r="E6124" t="s">
        <v>135</v>
      </c>
      <c r="F6124">
        <v>3.15</v>
      </c>
      <c r="G6124">
        <v>0</v>
      </c>
    </row>
    <row r="6125" spans="2:7" x14ac:dyDescent="0.25">
      <c r="B6125" s="70">
        <v>43262</v>
      </c>
      <c r="C6125" t="s">
        <v>54</v>
      </c>
      <c r="D6125" t="s">
        <v>91</v>
      </c>
      <c r="E6125" t="s">
        <v>549</v>
      </c>
      <c r="F6125">
        <v>84</v>
      </c>
      <c r="G6125">
        <v>0</v>
      </c>
    </row>
    <row r="6126" spans="2:7" x14ac:dyDescent="0.25">
      <c r="B6126" s="70">
        <v>43262</v>
      </c>
      <c r="C6126" t="s">
        <v>54</v>
      </c>
      <c r="D6126" t="s">
        <v>82</v>
      </c>
      <c r="E6126" t="s">
        <v>549</v>
      </c>
      <c r="F6126">
        <v>28.37</v>
      </c>
      <c r="G6126">
        <v>0</v>
      </c>
    </row>
    <row r="6127" spans="2:7" x14ac:dyDescent="0.25">
      <c r="B6127" s="70">
        <v>43262</v>
      </c>
      <c r="C6127" t="s">
        <v>46</v>
      </c>
      <c r="D6127" t="s">
        <v>82</v>
      </c>
      <c r="E6127" t="s">
        <v>549</v>
      </c>
      <c r="F6127">
        <v>10</v>
      </c>
      <c r="G6127">
        <v>0</v>
      </c>
    </row>
    <row r="6128" spans="2:7" x14ac:dyDescent="0.25">
      <c r="B6128" s="70">
        <v>43262</v>
      </c>
      <c r="C6128" t="s">
        <v>59</v>
      </c>
      <c r="D6128" t="s">
        <v>83</v>
      </c>
      <c r="E6128" t="s">
        <v>549</v>
      </c>
      <c r="F6128">
        <v>95.96</v>
      </c>
      <c r="G6128">
        <v>0</v>
      </c>
    </row>
    <row r="6129" spans="2:7" x14ac:dyDescent="0.25">
      <c r="B6129" s="70">
        <v>43262</v>
      </c>
      <c r="C6129" t="s">
        <v>47</v>
      </c>
      <c r="D6129" t="s">
        <v>82</v>
      </c>
      <c r="E6129" t="s">
        <v>549</v>
      </c>
      <c r="F6129">
        <v>49</v>
      </c>
      <c r="G6129">
        <v>0</v>
      </c>
    </row>
    <row r="6130" spans="2:7" x14ac:dyDescent="0.25">
      <c r="B6130" s="70">
        <v>43262</v>
      </c>
      <c r="C6130" t="s">
        <v>51</v>
      </c>
      <c r="D6130" t="s">
        <v>80</v>
      </c>
      <c r="E6130" t="s">
        <v>549</v>
      </c>
      <c r="F6130">
        <v>47.75</v>
      </c>
      <c r="G6130">
        <v>0</v>
      </c>
    </row>
    <row r="6131" spans="2:7" x14ac:dyDescent="0.25">
      <c r="B6131" s="70">
        <v>43262</v>
      </c>
      <c r="C6131" t="s">
        <v>51</v>
      </c>
      <c r="D6131" t="s">
        <v>82</v>
      </c>
      <c r="E6131" t="s">
        <v>549</v>
      </c>
      <c r="F6131">
        <v>46.3</v>
      </c>
      <c r="G6131">
        <v>0</v>
      </c>
    </row>
    <row r="6132" spans="2:7" x14ac:dyDescent="0.25">
      <c r="B6132" s="70">
        <v>43262</v>
      </c>
      <c r="C6132" t="s">
        <v>21</v>
      </c>
      <c r="D6132" t="s">
        <v>79</v>
      </c>
      <c r="E6132" t="s">
        <v>549</v>
      </c>
      <c r="F6132">
        <v>32</v>
      </c>
      <c r="G6132">
        <v>0</v>
      </c>
    </row>
    <row r="6133" spans="2:7" x14ac:dyDescent="0.25">
      <c r="B6133" s="70">
        <v>43262</v>
      </c>
      <c r="C6133" t="s">
        <v>21</v>
      </c>
      <c r="D6133" t="s">
        <v>79</v>
      </c>
      <c r="E6133" t="s">
        <v>549</v>
      </c>
      <c r="F6133">
        <v>64</v>
      </c>
      <c r="G6133">
        <v>0</v>
      </c>
    </row>
    <row r="6134" spans="2:7" x14ac:dyDescent="0.25">
      <c r="B6134" s="70">
        <v>43262</v>
      </c>
      <c r="C6134" t="s">
        <v>55</v>
      </c>
      <c r="D6134" t="s">
        <v>85</v>
      </c>
      <c r="E6134" t="s">
        <v>549</v>
      </c>
      <c r="F6134">
        <v>154.21</v>
      </c>
      <c r="G6134">
        <v>0</v>
      </c>
    </row>
    <row r="6135" spans="2:7" x14ac:dyDescent="0.25">
      <c r="B6135" s="70">
        <v>43262</v>
      </c>
      <c r="C6135" t="s">
        <v>55</v>
      </c>
      <c r="D6135" t="s">
        <v>86</v>
      </c>
      <c r="E6135" t="s">
        <v>549</v>
      </c>
      <c r="F6135">
        <v>1172.83</v>
      </c>
      <c r="G6135">
        <v>0</v>
      </c>
    </row>
    <row r="6136" spans="2:7" x14ac:dyDescent="0.25">
      <c r="B6136" s="70">
        <v>43262</v>
      </c>
      <c r="C6136" t="s">
        <v>50</v>
      </c>
      <c r="D6136" t="s">
        <v>79</v>
      </c>
      <c r="E6136" t="s">
        <v>549</v>
      </c>
      <c r="F6136">
        <v>10</v>
      </c>
      <c r="G6136">
        <v>0</v>
      </c>
    </row>
    <row r="6137" spans="2:7" x14ac:dyDescent="0.25">
      <c r="B6137" s="70">
        <v>43262</v>
      </c>
      <c r="C6137" t="s">
        <v>50</v>
      </c>
      <c r="D6137" t="s">
        <v>91</v>
      </c>
      <c r="E6137" t="s">
        <v>549</v>
      </c>
      <c r="F6137">
        <v>22.89</v>
      </c>
      <c r="G6137">
        <v>0</v>
      </c>
    </row>
    <row r="6138" spans="2:7" x14ac:dyDescent="0.25">
      <c r="B6138" s="70">
        <v>43262</v>
      </c>
      <c r="C6138" t="s">
        <v>50</v>
      </c>
      <c r="D6138" t="s">
        <v>82</v>
      </c>
      <c r="E6138" t="s">
        <v>549</v>
      </c>
      <c r="F6138">
        <v>177.6</v>
      </c>
      <c r="G6138">
        <v>0</v>
      </c>
    </row>
    <row r="6139" spans="2:7" x14ac:dyDescent="0.25">
      <c r="B6139" s="70">
        <v>43262</v>
      </c>
      <c r="C6139" t="s">
        <v>52</v>
      </c>
      <c r="D6139" t="s">
        <v>79</v>
      </c>
      <c r="E6139" t="s">
        <v>549</v>
      </c>
      <c r="F6139">
        <v>15</v>
      </c>
      <c r="G6139">
        <v>0</v>
      </c>
    </row>
    <row r="6140" spans="2:7" x14ac:dyDescent="0.25">
      <c r="B6140" s="70">
        <v>43262</v>
      </c>
      <c r="C6140" t="s">
        <v>52</v>
      </c>
      <c r="D6140" t="s">
        <v>82</v>
      </c>
      <c r="E6140" t="s">
        <v>549</v>
      </c>
      <c r="F6140">
        <v>18</v>
      </c>
      <c r="G6140">
        <v>0</v>
      </c>
    </row>
    <row r="6141" spans="2:7" x14ac:dyDescent="0.25">
      <c r="B6141" s="70">
        <v>43262</v>
      </c>
      <c r="C6141" t="s">
        <v>24</v>
      </c>
      <c r="D6141" t="s">
        <v>79</v>
      </c>
      <c r="E6141" t="s">
        <v>549</v>
      </c>
      <c r="F6141">
        <v>8</v>
      </c>
      <c r="G6141">
        <v>0</v>
      </c>
    </row>
    <row r="6142" spans="2:7" x14ac:dyDescent="0.25">
      <c r="B6142" s="70">
        <v>43262</v>
      </c>
      <c r="C6142" t="s">
        <v>24</v>
      </c>
      <c r="D6142" t="s">
        <v>79</v>
      </c>
      <c r="E6142" t="s">
        <v>549</v>
      </c>
      <c r="F6142">
        <v>32</v>
      </c>
      <c r="G6142">
        <v>0</v>
      </c>
    </row>
    <row r="6143" spans="2:7" x14ac:dyDescent="0.25">
      <c r="B6143" s="70">
        <v>43262</v>
      </c>
      <c r="C6143" t="s">
        <v>60</v>
      </c>
      <c r="D6143" t="s">
        <v>79</v>
      </c>
      <c r="E6143" t="s">
        <v>549</v>
      </c>
      <c r="F6143">
        <v>35.26</v>
      </c>
      <c r="G6143">
        <v>0</v>
      </c>
    </row>
    <row r="6144" spans="2:7" x14ac:dyDescent="0.25">
      <c r="B6144" s="70">
        <v>43262</v>
      </c>
      <c r="C6144" t="s">
        <v>60</v>
      </c>
      <c r="D6144" t="s">
        <v>80</v>
      </c>
      <c r="E6144" t="s">
        <v>549</v>
      </c>
      <c r="F6144">
        <v>137.13999999999999</v>
      </c>
      <c r="G6144">
        <v>0</v>
      </c>
    </row>
    <row r="6145" spans="2:7" x14ac:dyDescent="0.25">
      <c r="B6145" s="70">
        <v>43262</v>
      </c>
      <c r="C6145" t="s">
        <v>414</v>
      </c>
      <c r="D6145" t="s">
        <v>85</v>
      </c>
      <c r="E6145" t="s">
        <v>549</v>
      </c>
      <c r="F6145">
        <v>120</v>
      </c>
      <c r="G6145">
        <v>0</v>
      </c>
    </row>
    <row r="6146" spans="2:7" x14ac:dyDescent="0.25">
      <c r="B6146" s="70">
        <v>43283</v>
      </c>
      <c r="C6146" t="s">
        <v>25</v>
      </c>
      <c r="D6146" t="s">
        <v>80</v>
      </c>
      <c r="E6146" t="s">
        <v>550</v>
      </c>
      <c r="F6146">
        <v>14.25</v>
      </c>
      <c r="G6146">
        <v>0</v>
      </c>
    </row>
    <row r="6147" spans="2:7" x14ac:dyDescent="0.25">
      <c r="B6147" s="70">
        <v>43283</v>
      </c>
      <c r="C6147" t="s">
        <v>25</v>
      </c>
      <c r="D6147" t="s">
        <v>80</v>
      </c>
      <c r="E6147" t="s">
        <v>550</v>
      </c>
      <c r="F6147">
        <v>96</v>
      </c>
      <c r="G6147">
        <v>0</v>
      </c>
    </row>
    <row r="6148" spans="2:7" x14ac:dyDescent="0.25">
      <c r="B6148" s="70">
        <v>43283</v>
      </c>
      <c r="C6148" t="s">
        <v>25</v>
      </c>
      <c r="D6148" t="s">
        <v>87</v>
      </c>
      <c r="E6148" t="s">
        <v>550</v>
      </c>
      <c r="F6148">
        <v>36.950000000000003</v>
      </c>
      <c r="G6148">
        <v>0</v>
      </c>
    </row>
    <row r="6149" spans="2:7" x14ac:dyDescent="0.25">
      <c r="B6149" s="70">
        <v>43283</v>
      </c>
      <c r="C6149" t="s">
        <v>25</v>
      </c>
      <c r="D6149" t="s">
        <v>87</v>
      </c>
      <c r="E6149" t="s">
        <v>550</v>
      </c>
      <c r="F6149">
        <v>23.96</v>
      </c>
      <c r="G6149">
        <v>0</v>
      </c>
    </row>
    <row r="6150" spans="2:7" x14ac:dyDescent="0.25">
      <c r="B6150" s="70">
        <v>43283</v>
      </c>
      <c r="C6150" t="s">
        <v>25</v>
      </c>
      <c r="D6150" t="s">
        <v>87</v>
      </c>
      <c r="E6150" t="s">
        <v>550</v>
      </c>
      <c r="F6150">
        <v>32.9</v>
      </c>
      <c r="G6150">
        <v>0</v>
      </c>
    </row>
    <row r="6151" spans="2:7" x14ac:dyDescent="0.25">
      <c r="B6151" s="70">
        <v>43283</v>
      </c>
      <c r="C6151" t="s">
        <v>25</v>
      </c>
      <c r="D6151" t="s">
        <v>87</v>
      </c>
      <c r="E6151" t="s">
        <v>550</v>
      </c>
      <c r="F6151">
        <v>86.47</v>
      </c>
      <c r="G6151">
        <v>0</v>
      </c>
    </row>
    <row r="6152" spans="2:7" x14ac:dyDescent="0.25">
      <c r="B6152" s="70">
        <v>43283</v>
      </c>
      <c r="C6152" t="s">
        <v>25</v>
      </c>
      <c r="D6152" t="s">
        <v>87</v>
      </c>
      <c r="E6152" t="s">
        <v>550</v>
      </c>
      <c r="F6152">
        <v>48.05</v>
      </c>
      <c r="G6152">
        <v>0</v>
      </c>
    </row>
    <row r="6153" spans="2:7" x14ac:dyDescent="0.25">
      <c r="B6153" s="70">
        <v>43283</v>
      </c>
      <c r="C6153" t="s">
        <v>25</v>
      </c>
      <c r="D6153" t="s">
        <v>87</v>
      </c>
      <c r="E6153" t="s">
        <v>550</v>
      </c>
      <c r="F6153">
        <v>154.26</v>
      </c>
      <c r="G6153">
        <v>0</v>
      </c>
    </row>
    <row r="6154" spans="2:7" x14ac:dyDescent="0.25">
      <c r="B6154" s="70">
        <v>43283</v>
      </c>
      <c r="C6154" t="s">
        <v>25</v>
      </c>
      <c r="D6154" t="s">
        <v>87</v>
      </c>
      <c r="E6154" t="s">
        <v>550</v>
      </c>
      <c r="F6154">
        <v>45.4</v>
      </c>
      <c r="G6154">
        <v>0</v>
      </c>
    </row>
    <row r="6155" spans="2:7" x14ac:dyDescent="0.25">
      <c r="B6155" s="70">
        <v>43283</v>
      </c>
      <c r="C6155" t="s">
        <v>25</v>
      </c>
      <c r="D6155" t="s">
        <v>87</v>
      </c>
      <c r="E6155" t="s">
        <v>550</v>
      </c>
      <c r="F6155">
        <v>35.39</v>
      </c>
      <c r="G6155">
        <v>0</v>
      </c>
    </row>
    <row r="6156" spans="2:7" x14ac:dyDescent="0.25">
      <c r="B6156" s="70">
        <v>43283</v>
      </c>
      <c r="C6156" t="s">
        <v>25</v>
      </c>
      <c r="D6156" t="s">
        <v>87</v>
      </c>
      <c r="E6156" t="s">
        <v>550</v>
      </c>
      <c r="F6156">
        <v>60.26</v>
      </c>
      <c r="G6156">
        <v>0</v>
      </c>
    </row>
    <row r="6157" spans="2:7" x14ac:dyDescent="0.25">
      <c r="B6157" s="70">
        <v>43283</v>
      </c>
      <c r="C6157" t="s">
        <v>25</v>
      </c>
      <c r="D6157" t="s">
        <v>87</v>
      </c>
      <c r="E6157" t="s">
        <v>550</v>
      </c>
      <c r="F6157">
        <v>52.26</v>
      </c>
      <c r="G6157">
        <v>0</v>
      </c>
    </row>
    <row r="6158" spans="2:7" x14ac:dyDescent="0.25">
      <c r="B6158" s="70">
        <v>43283</v>
      </c>
      <c r="C6158" t="s">
        <v>25</v>
      </c>
      <c r="D6158" t="s">
        <v>87</v>
      </c>
      <c r="E6158" t="s">
        <v>550</v>
      </c>
      <c r="F6158">
        <v>33.090000000000003</v>
      </c>
      <c r="G6158">
        <v>0</v>
      </c>
    </row>
    <row r="6159" spans="2:7" x14ac:dyDescent="0.25">
      <c r="B6159" s="70">
        <v>43283</v>
      </c>
      <c r="C6159" t="s">
        <v>25</v>
      </c>
      <c r="D6159" t="s">
        <v>81</v>
      </c>
      <c r="E6159" t="s">
        <v>135</v>
      </c>
      <c r="F6159">
        <v>3.6</v>
      </c>
      <c r="G6159">
        <v>0</v>
      </c>
    </row>
    <row r="6160" spans="2:7" x14ac:dyDescent="0.25">
      <c r="B6160" s="70">
        <v>43283</v>
      </c>
      <c r="C6160" t="s">
        <v>25</v>
      </c>
      <c r="D6160" t="s">
        <v>81</v>
      </c>
      <c r="E6160" t="s">
        <v>198</v>
      </c>
      <c r="F6160">
        <v>18.399999999999999</v>
      </c>
      <c r="G6160">
        <v>0</v>
      </c>
    </row>
    <row r="6161" spans="2:7" x14ac:dyDescent="0.25">
      <c r="B6161" s="70">
        <v>43283</v>
      </c>
      <c r="C6161" t="s">
        <v>54</v>
      </c>
      <c r="D6161" t="s">
        <v>80</v>
      </c>
      <c r="E6161" t="s">
        <v>550</v>
      </c>
      <c r="F6161">
        <v>42.98</v>
      </c>
      <c r="G6161">
        <v>0</v>
      </c>
    </row>
    <row r="6162" spans="2:7" x14ac:dyDescent="0.25">
      <c r="B6162" s="70">
        <v>43283</v>
      </c>
      <c r="C6162" t="s">
        <v>54</v>
      </c>
      <c r="D6162" t="s">
        <v>87</v>
      </c>
      <c r="E6162" t="s">
        <v>550</v>
      </c>
      <c r="F6162">
        <v>12.64</v>
      </c>
      <c r="G6162">
        <v>0</v>
      </c>
    </row>
    <row r="6163" spans="2:7" x14ac:dyDescent="0.25">
      <c r="B6163" s="70">
        <v>43283</v>
      </c>
      <c r="C6163" t="s">
        <v>59</v>
      </c>
      <c r="D6163" t="s">
        <v>80</v>
      </c>
      <c r="E6163" t="s">
        <v>550</v>
      </c>
      <c r="F6163">
        <v>19.649999999999999</v>
      </c>
      <c r="G6163">
        <v>0</v>
      </c>
    </row>
    <row r="6164" spans="2:7" x14ac:dyDescent="0.25">
      <c r="B6164" s="70">
        <v>43283</v>
      </c>
      <c r="C6164" t="s">
        <v>51</v>
      </c>
      <c r="D6164" t="s">
        <v>82</v>
      </c>
      <c r="E6164" t="s">
        <v>550</v>
      </c>
      <c r="F6164">
        <v>323.38</v>
      </c>
      <c r="G6164">
        <v>0</v>
      </c>
    </row>
    <row r="6165" spans="2:7" x14ac:dyDescent="0.25">
      <c r="B6165" s="70">
        <v>43283</v>
      </c>
      <c r="C6165" t="s">
        <v>21</v>
      </c>
      <c r="D6165" t="s">
        <v>79</v>
      </c>
      <c r="E6165" t="s">
        <v>550</v>
      </c>
      <c r="F6165">
        <v>16</v>
      </c>
      <c r="G6165">
        <v>0</v>
      </c>
    </row>
    <row r="6166" spans="2:7" x14ac:dyDescent="0.25">
      <c r="B6166" s="70">
        <v>43283</v>
      </c>
      <c r="C6166" t="s">
        <v>48</v>
      </c>
      <c r="D6166" t="s">
        <v>80</v>
      </c>
      <c r="E6166" t="s">
        <v>550</v>
      </c>
      <c r="F6166">
        <v>52.7</v>
      </c>
      <c r="G6166">
        <v>0</v>
      </c>
    </row>
    <row r="6167" spans="2:7" x14ac:dyDescent="0.25">
      <c r="B6167" s="70">
        <v>43283</v>
      </c>
      <c r="C6167" t="s">
        <v>48</v>
      </c>
      <c r="D6167" t="s">
        <v>91</v>
      </c>
      <c r="E6167" t="s">
        <v>550</v>
      </c>
      <c r="F6167">
        <v>91.13</v>
      </c>
      <c r="G6167">
        <v>0</v>
      </c>
    </row>
    <row r="6168" spans="2:7" x14ac:dyDescent="0.25">
      <c r="B6168" s="70">
        <v>43290</v>
      </c>
      <c r="C6168" t="s">
        <v>25</v>
      </c>
      <c r="D6168" t="s">
        <v>85</v>
      </c>
      <c r="E6168" t="s">
        <v>551</v>
      </c>
      <c r="F6168">
        <v>9.3000000000000007</v>
      </c>
      <c r="G6168">
        <v>0</v>
      </c>
    </row>
    <row r="6169" spans="2:7" x14ac:dyDescent="0.25">
      <c r="B6169" s="70">
        <v>43290</v>
      </c>
      <c r="C6169" t="s">
        <v>25</v>
      </c>
      <c r="D6169" t="s">
        <v>81</v>
      </c>
      <c r="E6169" t="s">
        <v>135</v>
      </c>
      <c r="F6169">
        <v>3</v>
      </c>
      <c r="G6169">
        <v>0</v>
      </c>
    </row>
    <row r="6170" spans="2:7" x14ac:dyDescent="0.25">
      <c r="B6170" s="70">
        <v>43290</v>
      </c>
      <c r="C6170" t="s">
        <v>25</v>
      </c>
      <c r="D6170" t="s">
        <v>81</v>
      </c>
      <c r="E6170" t="s">
        <v>140</v>
      </c>
      <c r="F6170">
        <v>2.4</v>
      </c>
      <c r="G6170">
        <v>0</v>
      </c>
    </row>
    <row r="6171" spans="2:7" x14ac:dyDescent="0.25">
      <c r="B6171" s="70">
        <v>43290</v>
      </c>
      <c r="C6171" t="s">
        <v>72</v>
      </c>
      <c r="D6171" t="s">
        <v>86</v>
      </c>
      <c r="E6171" t="s">
        <v>551</v>
      </c>
      <c r="F6171">
        <v>0</v>
      </c>
      <c r="G6171">
        <v>114.23</v>
      </c>
    </row>
    <row r="6172" spans="2:7" x14ac:dyDescent="0.25">
      <c r="B6172" s="70">
        <v>43290</v>
      </c>
      <c r="C6172" t="s">
        <v>59</v>
      </c>
      <c r="D6172" t="s">
        <v>82</v>
      </c>
      <c r="E6172" t="s">
        <v>551</v>
      </c>
      <c r="F6172">
        <v>125</v>
      </c>
      <c r="G6172">
        <v>0</v>
      </c>
    </row>
    <row r="6173" spans="2:7" x14ac:dyDescent="0.25">
      <c r="B6173" s="70">
        <v>43290</v>
      </c>
      <c r="C6173" t="s">
        <v>56</v>
      </c>
      <c r="D6173" t="s">
        <v>82</v>
      </c>
      <c r="E6173" t="s">
        <v>551</v>
      </c>
      <c r="F6173">
        <v>44.15</v>
      </c>
      <c r="G6173">
        <v>0</v>
      </c>
    </row>
    <row r="6174" spans="2:7" x14ac:dyDescent="0.25">
      <c r="B6174" s="70">
        <v>43290</v>
      </c>
      <c r="C6174" t="s">
        <v>44</v>
      </c>
      <c r="D6174" t="s">
        <v>82</v>
      </c>
      <c r="E6174" t="s">
        <v>551</v>
      </c>
      <c r="F6174">
        <v>17.09</v>
      </c>
      <c r="G6174">
        <v>0</v>
      </c>
    </row>
    <row r="6175" spans="2:7" x14ac:dyDescent="0.25">
      <c r="B6175" s="70">
        <v>43290</v>
      </c>
      <c r="C6175" t="s">
        <v>21</v>
      </c>
      <c r="D6175" t="s">
        <v>79</v>
      </c>
      <c r="E6175" t="s">
        <v>551</v>
      </c>
      <c r="F6175">
        <v>8</v>
      </c>
      <c r="G6175">
        <v>0</v>
      </c>
    </row>
    <row r="6176" spans="2:7" x14ac:dyDescent="0.25">
      <c r="B6176" s="70">
        <v>43290</v>
      </c>
      <c r="C6176" t="s">
        <v>21</v>
      </c>
      <c r="D6176" t="s">
        <v>79</v>
      </c>
      <c r="E6176" t="s">
        <v>551</v>
      </c>
      <c r="F6176">
        <v>16</v>
      </c>
      <c r="G6176">
        <v>0</v>
      </c>
    </row>
    <row r="6177" spans="2:7" x14ac:dyDescent="0.25">
      <c r="B6177" s="70">
        <v>43290</v>
      </c>
      <c r="C6177" t="s">
        <v>21</v>
      </c>
      <c r="D6177" t="s">
        <v>79</v>
      </c>
      <c r="E6177" t="s">
        <v>551</v>
      </c>
      <c r="F6177">
        <v>24</v>
      </c>
      <c r="G6177">
        <v>0</v>
      </c>
    </row>
    <row r="6178" spans="2:7" x14ac:dyDescent="0.25">
      <c r="B6178" s="70">
        <v>43290</v>
      </c>
      <c r="C6178" t="s">
        <v>21</v>
      </c>
      <c r="D6178" t="s">
        <v>79</v>
      </c>
      <c r="E6178" t="s">
        <v>551</v>
      </c>
      <c r="F6178">
        <v>72</v>
      </c>
      <c r="G6178">
        <v>0</v>
      </c>
    </row>
    <row r="6179" spans="2:7" x14ac:dyDescent="0.25">
      <c r="B6179" s="70">
        <v>43290</v>
      </c>
      <c r="C6179" t="s">
        <v>55</v>
      </c>
      <c r="D6179" t="s">
        <v>82</v>
      </c>
      <c r="E6179" t="s">
        <v>551</v>
      </c>
      <c r="F6179">
        <v>14.1</v>
      </c>
      <c r="G6179">
        <v>0</v>
      </c>
    </row>
    <row r="6180" spans="2:7" x14ac:dyDescent="0.25">
      <c r="B6180" s="70">
        <v>43290</v>
      </c>
      <c r="C6180" t="s">
        <v>45</v>
      </c>
      <c r="D6180" t="s">
        <v>82</v>
      </c>
      <c r="E6180" t="s">
        <v>551</v>
      </c>
      <c r="F6180">
        <v>29.5</v>
      </c>
      <c r="G6180">
        <v>0</v>
      </c>
    </row>
    <row r="6181" spans="2:7" x14ac:dyDescent="0.25">
      <c r="B6181" s="70">
        <v>43290</v>
      </c>
      <c r="C6181" t="s">
        <v>49</v>
      </c>
      <c r="D6181" t="s">
        <v>86</v>
      </c>
      <c r="E6181" t="s">
        <v>551</v>
      </c>
      <c r="F6181">
        <v>114.23</v>
      </c>
      <c r="G6181">
        <v>0</v>
      </c>
    </row>
    <row r="6182" spans="2:7" x14ac:dyDescent="0.25">
      <c r="B6182" s="70">
        <v>43290</v>
      </c>
      <c r="C6182" t="s">
        <v>50</v>
      </c>
      <c r="D6182" t="s">
        <v>82</v>
      </c>
      <c r="E6182" t="s">
        <v>551</v>
      </c>
      <c r="F6182">
        <v>26.64</v>
      </c>
      <c r="G6182">
        <v>0</v>
      </c>
    </row>
    <row r="6183" spans="2:7" x14ac:dyDescent="0.25">
      <c r="B6183" s="70">
        <v>43290</v>
      </c>
      <c r="C6183" t="s">
        <v>24</v>
      </c>
      <c r="D6183" t="s">
        <v>79</v>
      </c>
      <c r="E6183" t="s">
        <v>551</v>
      </c>
      <c r="F6183">
        <v>16</v>
      </c>
      <c r="G6183">
        <v>0</v>
      </c>
    </row>
    <row r="6184" spans="2:7" x14ac:dyDescent="0.25">
      <c r="B6184" s="70">
        <v>43290</v>
      </c>
      <c r="C6184" t="s">
        <v>24</v>
      </c>
      <c r="D6184" t="s">
        <v>79</v>
      </c>
      <c r="E6184" t="s">
        <v>551</v>
      </c>
      <c r="F6184">
        <v>24</v>
      </c>
      <c r="G6184">
        <v>0</v>
      </c>
    </row>
    <row r="6185" spans="2:7" x14ac:dyDescent="0.25">
      <c r="B6185" s="70">
        <v>43290</v>
      </c>
      <c r="C6185" t="s">
        <v>60</v>
      </c>
      <c r="D6185" t="s">
        <v>79</v>
      </c>
      <c r="E6185" t="s">
        <v>551</v>
      </c>
      <c r="F6185">
        <v>9.1300000000000008</v>
      </c>
      <c r="G6185">
        <v>0</v>
      </c>
    </row>
    <row r="6186" spans="2:7" x14ac:dyDescent="0.25">
      <c r="B6186" s="70">
        <v>43290</v>
      </c>
      <c r="C6186" t="s">
        <v>60</v>
      </c>
      <c r="D6186" t="s">
        <v>85</v>
      </c>
      <c r="E6186" t="s">
        <v>551</v>
      </c>
      <c r="F6186">
        <v>53.93</v>
      </c>
      <c r="G6186">
        <v>0</v>
      </c>
    </row>
    <row r="6187" spans="2:7" x14ac:dyDescent="0.25">
      <c r="B6187" s="70">
        <v>43299</v>
      </c>
      <c r="C6187" t="s">
        <v>25</v>
      </c>
      <c r="D6187" t="s">
        <v>85</v>
      </c>
      <c r="E6187" t="s">
        <v>552</v>
      </c>
      <c r="F6187">
        <v>18</v>
      </c>
      <c r="G6187">
        <v>0</v>
      </c>
    </row>
    <row r="6188" spans="2:7" x14ac:dyDescent="0.25">
      <c r="B6188" s="70">
        <v>43299</v>
      </c>
      <c r="C6188" t="s">
        <v>25</v>
      </c>
      <c r="D6188" t="s">
        <v>81</v>
      </c>
      <c r="E6188" t="s">
        <v>135</v>
      </c>
      <c r="F6188">
        <v>1.8</v>
      </c>
      <c r="G6188">
        <v>0</v>
      </c>
    </row>
    <row r="6189" spans="2:7" x14ac:dyDescent="0.25">
      <c r="B6189" s="70">
        <v>43299</v>
      </c>
      <c r="C6189" t="s">
        <v>25</v>
      </c>
      <c r="D6189" t="s">
        <v>81</v>
      </c>
      <c r="E6189" t="s">
        <v>172</v>
      </c>
      <c r="F6189">
        <v>2.1</v>
      </c>
      <c r="G6189">
        <v>0</v>
      </c>
    </row>
    <row r="6190" spans="2:7" x14ac:dyDescent="0.25">
      <c r="B6190" s="70">
        <v>43299</v>
      </c>
      <c r="C6190" t="s">
        <v>25</v>
      </c>
      <c r="D6190" t="s">
        <v>81</v>
      </c>
      <c r="E6190" t="s">
        <v>150</v>
      </c>
      <c r="F6190">
        <v>22.8</v>
      </c>
      <c r="G6190">
        <v>0</v>
      </c>
    </row>
    <row r="6191" spans="2:7" x14ac:dyDescent="0.25">
      <c r="B6191" s="70">
        <v>43299</v>
      </c>
      <c r="C6191" t="s">
        <v>25</v>
      </c>
      <c r="D6191" t="s">
        <v>81</v>
      </c>
      <c r="E6191" t="s">
        <v>132</v>
      </c>
      <c r="F6191">
        <v>1.8</v>
      </c>
      <c r="G6191">
        <v>0</v>
      </c>
    </row>
    <row r="6192" spans="2:7" x14ac:dyDescent="0.25">
      <c r="B6192" s="70">
        <v>43299</v>
      </c>
      <c r="C6192" t="s">
        <v>25</v>
      </c>
      <c r="D6192" t="s">
        <v>81</v>
      </c>
      <c r="E6192" t="s">
        <v>133</v>
      </c>
      <c r="F6192">
        <v>17.149999999999999</v>
      </c>
      <c r="G6192">
        <v>0</v>
      </c>
    </row>
    <row r="6193" spans="2:7" x14ac:dyDescent="0.25">
      <c r="B6193" s="70">
        <v>43299</v>
      </c>
      <c r="C6193" t="s">
        <v>21</v>
      </c>
      <c r="D6193" t="s">
        <v>79</v>
      </c>
      <c r="E6193" t="s">
        <v>552</v>
      </c>
      <c r="F6193">
        <v>8</v>
      </c>
      <c r="G6193">
        <v>0</v>
      </c>
    </row>
    <row r="6194" spans="2:7" x14ac:dyDescent="0.25">
      <c r="B6194" s="70">
        <v>43299</v>
      </c>
      <c r="C6194" t="s">
        <v>21</v>
      </c>
      <c r="D6194" t="s">
        <v>79</v>
      </c>
      <c r="E6194" t="s">
        <v>552</v>
      </c>
      <c r="F6194">
        <v>24</v>
      </c>
      <c r="G6194">
        <v>0</v>
      </c>
    </row>
    <row r="6195" spans="2:7" x14ac:dyDescent="0.25">
      <c r="B6195" s="70">
        <v>43357</v>
      </c>
      <c r="C6195" t="s">
        <v>25</v>
      </c>
      <c r="D6195" t="s">
        <v>87</v>
      </c>
      <c r="E6195" t="s">
        <v>553</v>
      </c>
      <c r="F6195">
        <v>16.149999999999999</v>
      </c>
      <c r="G6195">
        <v>0</v>
      </c>
    </row>
    <row r="6196" spans="2:7" x14ac:dyDescent="0.25">
      <c r="B6196" s="70">
        <v>43357</v>
      </c>
      <c r="C6196" t="s">
        <v>25</v>
      </c>
      <c r="D6196" t="s">
        <v>87</v>
      </c>
      <c r="E6196" t="s">
        <v>553</v>
      </c>
      <c r="F6196">
        <v>48.01</v>
      </c>
      <c r="G6196">
        <v>0</v>
      </c>
    </row>
    <row r="6197" spans="2:7" x14ac:dyDescent="0.25">
      <c r="B6197" s="70">
        <v>43357</v>
      </c>
      <c r="C6197" t="s">
        <v>25</v>
      </c>
      <c r="D6197" t="s">
        <v>81</v>
      </c>
      <c r="E6197" t="s">
        <v>178</v>
      </c>
      <c r="F6197">
        <v>9.75</v>
      </c>
      <c r="G6197">
        <v>0</v>
      </c>
    </row>
    <row r="6198" spans="2:7" x14ac:dyDescent="0.25">
      <c r="B6198" s="70">
        <v>43357</v>
      </c>
      <c r="C6198" t="s">
        <v>25</v>
      </c>
      <c r="D6198" t="s">
        <v>81</v>
      </c>
      <c r="E6198" t="s">
        <v>135</v>
      </c>
      <c r="F6198">
        <v>2.25</v>
      </c>
      <c r="G6198">
        <v>0</v>
      </c>
    </row>
    <row r="6199" spans="2:7" x14ac:dyDescent="0.25">
      <c r="B6199" s="70">
        <v>43357</v>
      </c>
      <c r="C6199" t="s">
        <v>25</v>
      </c>
      <c r="D6199" t="s">
        <v>81</v>
      </c>
      <c r="E6199" t="s">
        <v>220</v>
      </c>
      <c r="F6199">
        <v>2.4</v>
      </c>
      <c r="G6199">
        <v>0</v>
      </c>
    </row>
    <row r="6200" spans="2:7" x14ac:dyDescent="0.25">
      <c r="B6200" s="70">
        <v>43357</v>
      </c>
      <c r="C6200" t="s">
        <v>59</v>
      </c>
      <c r="D6200" t="s">
        <v>82</v>
      </c>
      <c r="E6200" t="s">
        <v>553</v>
      </c>
      <c r="F6200">
        <v>45.59</v>
      </c>
      <c r="G6200">
        <v>0</v>
      </c>
    </row>
    <row r="6201" spans="2:7" x14ac:dyDescent="0.25">
      <c r="B6201" s="70">
        <v>43357</v>
      </c>
      <c r="C6201" t="s">
        <v>47</v>
      </c>
      <c r="D6201" t="s">
        <v>80</v>
      </c>
      <c r="E6201" t="s">
        <v>553</v>
      </c>
      <c r="F6201">
        <v>154.13</v>
      </c>
      <c r="G6201">
        <v>0</v>
      </c>
    </row>
    <row r="6202" spans="2:7" x14ac:dyDescent="0.25">
      <c r="B6202" s="70">
        <v>43357</v>
      </c>
      <c r="C6202" t="s">
        <v>47</v>
      </c>
      <c r="D6202" t="s">
        <v>86</v>
      </c>
      <c r="E6202" t="s">
        <v>553</v>
      </c>
      <c r="F6202">
        <v>40</v>
      </c>
      <c r="G6202">
        <v>0</v>
      </c>
    </row>
    <row r="6203" spans="2:7" x14ac:dyDescent="0.25">
      <c r="B6203" s="70">
        <v>43357</v>
      </c>
      <c r="C6203" t="s">
        <v>21</v>
      </c>
      <c r="D6203" t="s">
        <v>79</v>
      </c>
      <c r="E6203" t="s">
        <v>553</v>
      </c>
      <c r="F6203">
        <v>8</v>
      </c>
      <c r="G6203">
        <v>0</v>
      </c>
    </row>
    <row r="6204" spans="2:7" x14ac:dyDescent="0.25">
      <c r="B6204" s="70">
        <v>43357</v>
      </c>
      <c r="C6204" t="s">
        <v>21</v>
      </c>
      <c r="D6204" t="s">
        <v>79</v>
      </c>
      <c r="E6204" t="s">
        <v>553</v>
      </c>
      <c r="F6204">
        <v>32</v>
      </c>
      <c r="G6204">
        <v>0</v>
      </c>
    </row>
    <row r="6205" spans="2:7" x14ac:dyDescent="0.25">
      <c r="B6205" s="70">
        <v>43357</v>
      </c>
      <c r="C6205" t="s">
        <v>48</v>
      </c>
      <c r="D6205" t="s">
        <v>91</v>
      </c>
      <c r="E6205" t="s">
        <v>553</v>
      </c>
      <c r="F6205">
        <v>75.94</v>
      </c>
      <c r="G6205">
        <v>0</v>
      </c>
    </row>
    <row r="6206" spans="2:7" x14ac:dyDescent="0.25">
      <c r="B6206" s="70">
        <v>43357</v>
      </c>
      <c r="C6206" t="s">
        <v>55</v>
      </c>
      <c r="D6206" t="s">
        <v>82</v>
      </c>
      <c r="E6206" t="s">
        <v>553</v>
      </c>
      <c r="F6206">
        <v>29.6</v>
      </c>
      <c r="G6206">
        <v>0</v>
      </c>
    </row>
    <row r="6207" spans="2:7" x14ac:dyDescent="0.25">
      <c r="B6207" s="70">
        <v>43357</v>
      </c>
      <c r="C6207" t="s">
        <v>50</v>
      </c>
      <c r="D6207" t="s">
        <v>83</v>
      </c>
      <c r="E6207" t="s">
        <v>553</v>
      </c>
      <c r="F6207">
        <v>100</v>
      </c>
      <c r="G6207">
        <v>0</v>
      </c>
    </row>
    <row r="6208" spans="2:7" x14ac:dyDescent="0.25">
      <c r="B6208" s="70">
        <v>43357</v>
      </c>
      <c r="C6208" t="s">
        <v>50</v>
      </c>
      <c r="D6208" t="s">
        <v>82</v>
      </c>
      <c r="E6208" t="s">
        <v>553</v>
      </c>
      <c r="F6208">
        <v>10.85</v>
      </c>
      <c r="G6208">
        <v>0</v>
      </c>
    </row>
    <row r="6209" spans="2:7" x14ac:dyDescent="0.25">
      <c r="B6209" s="70">
        <v>43357</v>
      </c>
      <c r="C6209" t="s">
        <v>52</v>
      </c>
      <c r="D6209" t="s">
        <v>83</v>
      </c>
      <c r="E6209" t="s">
        <v>553</v>
      </c>
      <c r="F6209">
        <v>41.71</v>
      </c>
      <c r="G6209">
        <v>0</v>
      </c>
    </row>
    <row r="6210" spans="2:7" x14ac:dyDescent="0.25">
      <c r="B6210" s="70">
        <v>43357</v>
      </c>
      <c r="C6210" t="s">
        <v>58</v>
      </c>
      <c r="D6210" t="s">
        <v>86</v>
      </c>
      <c r="E6210" t="s">
        <v>553</v>
      </c>
      <c r="F6210">
        <v>0</v>
      </c>
      <c r="G6210">
        <v>32</v>
      </c>
    </row>
    <row r="6211" spans="2:7" x14ac:dyDescent="0.25">
      <c r="B6211" s="70">
        <v>43357</v>
      </c>
      <c r="C6211" t="s">
        <v>58</v>
      </c>
      <c r="D6211" t="s">
        <v>84</v>
      </c>
      <c r="E6211" t="s">
        <v>553</v>
      </c>
      <c r="F6211">
        <v>101.6</v>
      </c>
      <c r="G6211">
        <v>0</v>
      </c>
    </row>
    <row r="6212" spans="2:7" x14ac:dyDescent="0.25">
      <c r="B6212" s="70">
        <v>43357</v>
      </c>
      <c r="C6212" t="s">
        <v>53</v>
      </c>
      <c r="D6212" t="s">
        <v>82</v>
      </c>
      <c r="E6212" t="s">
        <v>553</v>
      </c>
      <c r="F6212">
        <v>10</v>
      </c>
      <c r="G6212">
        <v>0</v>
      </c>
    </row>
    <row r="6213" spans="2:7" x14ac:dyDescent="0.25">
      <c r="B6213" s="70">
        <v>43357</v>
      </c>
      <c r="C6213" t="s">
        <v>24</v>
      </c>
      <c r="D6213" t="s">
        <v>79</v>
      </c>
      <c r="E6213" t="s">
        <v>553</v>
      </c>
      <c r="F6213">
        <v>8</v>
      </c>
      <c r="G6213">
        <v>0</v>
      </c>
    </row>
    <row r="6214" spans="2:7" x14ac:dyDescent="0.25">
      <c r="B6214" s="70">
        <v>43357</v>
      </c>
      <c r="C6214" t="s">
        <v>24</v>
      </c>
      <c r="D6214" t="s">
        <v>79</v>
      </c>
      <c r="E6214" t="s">
        <v>553</v>
      </c>
      <c r="F6214">
        <v>16</v>
      </c>
      <c r="G6214">
        <v>0</v>
      </c>
    </row>
    <row r="6215" spans="2:7" x14ac:dyDescent="0.25">
      <c r="B6215" s="70">
        <v>43357</v>
      </c>
      <c r="C6215" t="s">
        <v>414</v>
      </c>
      <c r="D6215" t="s">
        <v>80</v>
      </c>
      <c r="E6215" t="s">
        <v>553</v>
      </c>
      <c r="F6215">
        <v>226.21</v>
      </c>
      <c r="G6215">
        <v>0</v>
      </c>
    </row>
    <row r="6216" spans="2:7" x14ac:dyDescent="0.25">
      <c r="B6216" s="70">
        <v>43357</v>
      </c>
      <c r="C6216" t="s">
        <v>414</v>
      </c>
      <c r="D6216" t="s">
        <v>87</v>
      </c>
      <c r="E6216" t="s">
        <v>553</v>
      </c>
      <c r="F6216">
        <v>129</v>
      </c>
      <c r="G6216">
        <v>0</v>
      </c>
    </row>
    <row r="6217" spans="2:7" x14ac:dyDescent="0.25">
      <c r="B6217" s="70">
        <v>43374</v>
      </c>
      <c r="C6217" t="s">
        <v>25</v>
      </c>
      <c r="D6217" t="s">
        <v>85</v>
      </c>
      <c r="E6217" t="s">
        <v>554</v>
      </c>
      <c r="F6217">
        <v>50.37</v>
      </c>
      <c r="G6217">
        <v>0</v>
      </c>
    </row>
    <row r="6218" spans="2:7" x14ac:dyDescent="0.25">
      <c r="B6218" s="70">
        <v>43374</v>
      </c>
      <c r="C6218" t="s">
        <v>25</v>
      </c>
      <c r="D6218" t="s">
        <v>85</v>
      </c>
      <c r="E6218" t="s">
        <v>554</v>
      </c>
      <c r="F6218">
        <v>39.99</v>
      </c>
      <c r="G6218">
        <v>0</v>
      </c>
    </row>
    <row r="6219" spans="2:7" x14ac:dyDescent="0.25">
      <c r="B6219" s="70">
        <v>43374</v>
      </c>
      <c r="C6219" t="s">
        <v>25</v>
      </c>
      <c r="D6219" t="s">
        <v>85</v>
      </c>
      <c r="E6219" t="s">
        <v>554</v>
      </c>
      <c r="F6219">
        <v>23.03</v>
      </c>
      <c r="G6219">
        <v>0</v>
      </c>
    </row>
    <row r="6220" spans="2:7" x14ac:dyDescent="0.25">
      <c r="B6220" s="70">
        <v>43374</v>
      </c>
      <c r="C6220" t="s">
        <v>25</v>
      </c>
      <c r="D6220" t="s">
        <v>80</v>
      </c>
      <c r="E6220" t="s">
        <v>554</v>
      </c>
      <c r="F6220">
        <v>104</v>
      </c>
      <c r="G6220">
        <v>0</v>
      </c>
    </row>
    <row r="6221" spans="2:7" x14ac:dyDescent="0.25">
      <c r="B6221" s="70">
        <v>43374</v>
      </c>
      <c r="C6221" t="s">
        <v>25</v>
      </c>
      <c r="D6221" t="s">
        <v>81</v>
      </c>
      <c r="E6221" t="s">
        <v>333</v>
      </c>
      <c r="F6221">
        <v>4.5</v>
      </c>
      <c r="G6221">
        <v>0</v>
      </c>
    </row>
    <row r="6222" spans="2:7" x14ac:dyDescent="0.25">
      <c r="B6222" s="70">
        <v>43374</v>
      </c>
      <c r="C6222" t="s">
        <v>25</v>
      </c>
      <c r="D6222" t="s">
        <v>81</v>
      </c>
      <c r="E6222" t="s">
        <v>135</v>
      </c>
      <c r="F6222">
        <v>3</v>
      </c>
      <c r="G6222">
        <v>0</v>
      </c>
    </row>
    <row r="6223" spans="2:7" x14ac:dyDescent="0.25">
      <c r="B6223" s="70">
        <v>43374</v>
      </c>
      <c r="C6223" t="s">
        <v>25</v>
      </c>
      <c r="D6223" t="s">
        <v>81</v>
      </c>
      <c r="E6223" t="s">
        <v>237</v>
      </c>
      <c r="F6223">
        <v>6.83</v>
      </c>
      <c r="G6223">
        <v>0</v>
      </c>
    </row>
    <row r="6224" spans="2:7" x14ac:dyDescent="0.25">
      <c r="B6224" s="70">
        <v>43374</v>
      </c>
      <c r="C6224" t="s">
        <v>25</v>
      </c>
      <c r="D6224" t="s">
        <v>82</v>
      </c>
      <c r="E6224" t="s">
        <v>554</v>
      </c>
      <c r="F6224">
        <v>286</v>
      </c>
      <c r="G6224">
        <v>0</v>
      </c>
    </row>
    <row r="6225" spans="2:7" x14ac:dyDescent="0.25">
      <c r="B6225" s="70">
        <v>43374</v>
      </c>
      <c r="C6225" t="s">
        <v>25</v>
      </c>
      <c r="D6225" t="s">
        <v>82</v>
      </c>
      <c r="E6225" t="s">
        <v>554</v>
      </c>
      <c r="F6225">
        <v>264</v>
      </c>
      <c r="G6225">
        <v>0</v>
      </c>
    </row>
    <row r="6226" spans="2:7" x14ac:dyDescent="0.25">
      <c r="B6226" s="70">
        <v>43374</v>
      </c>
      <c r="C6226" t="s">
        <v>25</v>
      </c>
      <c r="D6226" t="s">
        <v>82</v>
      </c>
      <c r="E6226" t="s">
        <v>554</v>
      </c>
      <c r="F6226">
        <v>237.9</v>
      </c>
      <c r="G6226">
        <v>0</v>
      </c>
    </row>
    <row r="6227" spans="2:7" x14ac:dyDescent="0.25">
      <c r="B6227" s="70">
        <v>43374</v>
      </c>
      <c r="C6227" t="s">
        <v>46</v>
      </c>
      <c r="D6227" t="s">
        <v>82</v>
      </c>
      <c r="E6227" t="s">
        <v>554</v>
      </c>
      <c r="F6227">
        <v>44.35</v>
      </c>
      <c r="G6227">
        <v>0</v>
      </c>
    </row>
    <row r="6228" spans="2:7" x14ac:dyDescent="0.25">
      <c r="B6228" s="70">
        <v>43374</v>
      </c>
      <c r="C6228" t="s">
        <v>47</v>
      </c>
      <c r="D6228" t="s">
        <v>82</v>
      </c>
      <c r="E6228" t="s">
        <v>554</v>
      </c>
      <c r="F6228">
        <v>70.069999999999993</v>
      </c>
      <c r="G6228">
        <v>0</v>
      </c>
    </row>
    <row r="6229" spans="2:7" x14ac:dyDescent="0.25">
      <c r="B6229" s="70">
        <v>43374</v>
      </c>
      <c r="C6229" t="s">
        <v>51</v>
      </c>
      <c r="D6229" t="s">
        <v>82</v>
      </c>
      <c r="E6229" t="s">
        <v>554</v>
      </c>
      <c r="F6229">
        <v>48.18</v>
      </c>
      <c r="G6229">
        <v>0</v>
      </c>
    </row>
    <row r="6230" spans="2:7" x14ac:dyDescent="0.25">
      <c r="B6230" s="70">
        <v>43374</v>
      </c>
      <c r="C6230" t="s">
        <v>21</v>
      </c>
      <c r="D6230" t="s">
        <v>79</v>
      </c>
      <c r="E6230" t="s">
        <v>554</v>
      </c>
      <c r="F6230">
        <v>8</v>
      </c>
      <c r="G6230">
        <v>0</v>
      </c>
    </row>
    <row r="6231" spans="2:7" x14ac:dyDescent="0.25">
      <c r="B6231" s="70">
        <v>43374</v>
      </c>
      <c r="C6231" t="s">
        <v>21</v>
      </c>
      <c r="D6231" t="s">
        <v>79</v>
      </c>
      <c r="E6231" t="s">
        <v>554</v>
      </c>
      <c r="F6231">
        <v>16</v>
      </c>
      <c r="G6231">
        <v>0</v>
      </c>
    </row>
    <row r="6232" spans="2:7" x14ac:dyDescent="0.25">
      <c r="B6232" s="70">
        <v>43374</v>
      </c>
      <c r="C6232" t="s">
        <v>21</v>
      </c>
      <c r="D6232" t="s">
        <v>82</v>
      </c>
      <c r="E6232" t="s">
        <v>554</v>
      </c>
      <c r="F6232">
        <v>67.599999999999994</v>
      </c>
      <c r="G6232">
        <v>0</v>
      </c>
    </row>
    <row r="6233" spans="2:7" x14ac:dyDescent="0.25">
      <c r="B6233" s="70">
        <v>43374</v>
      </c>
      <c r="C6233" t="s">
        <v>48</v>
      </c>
      <c r="D6233" t="s">
        <v>79</v>
      </c>
      <c r="E6233" t="s">
        <v>554</v>
      </c>
      <c r="F6233">
        <v>24</v>
      </c>
      <c r="G6233">
        <v>0</v>
      </c>
    </row>
    <row r="6234" spans="2:7" x14ac:dyDescent="0.25">
      <c r="B6234" s="70">
        <v>43374</v>
      </c>
      <c r="C6234" t="s">
        <v>48</v>
      </c>
      <c r="D6234" t="s">
        <v>82</v>
      </c>
      <c r="E6234" t="s">
        <v>554</v>
      </c>
      <c r="F6234">
        <v>58.75</v>
      </c>
      <c r="G6234">
        <v>0</v>
      </c>
    </row>
    <row r="6235" spans="2:7" x14ac:dyDescent="0.25">
      <c r="B6235" s="70">
        <v>43374</v>
      </c>
      <c r="C6235" t="s">
        <v>50</v>
      </c>
      <c r="D6235" t="s">
        <v>79</v>
      </c>
      <c r="E6235" t="s">
        <v>554</v>
      </c>
      <c r="F6235">
        <v>5</v>
      </c>
      <c r="G6235">
        <v>0</v>
      </c>
    </row>
    <row r="6236" spans="2:7" x14ac:dyDescent="0.25">
      <c r="B6236" s="70">
        <v>43374</v>
      </c>
      <c r="C6236" t="s">
        <v>50</v>
      </c>
      <c r="D6236" t="s">
        <v>85</v>
      </c>
      <c r="E6236" t="s">
        <v>554</v>
      </c>
      <c r="F6236">
        <v>24.5</v>
      </c>
      <c r="G6236">
        <v>0</v>
      </c>
    </row>
    <row r="6237" spans="2:7" x14ac:dyDescent="0.25">
      <c r="B6237" s="70">
        <v>43374</v>
      </c>
      <c r="C6237" t="s">
        <v>50</v>
      </c>
      <c r="D6237" t="s">
        <v>82</v>
      </c>
      <c r="E6237" t="s">
        <v>554</v>
      </c>
      <c r="F6237">
        <v>37.01</v>
      </c>
      <c r="G6237">
        <v>0</v>
      </c>
    </row>
    <row r="6238" spans="2:7" x14ac:dyDescent="0.25">
      <c r="B6238" s="70">
        <v>43374</v>
      </c>
      <c r="C6238" t="s">
        <v>53</v>
      </c>
      <c r="D6238" t="s">
        <v>82</v>
      </c>
      <c r="E6238" t="s">
        <v>554</v>
      </c>
      <c r="F6238">
        <v>8.31</v>
      </c>
      <c r="G6238">
        <v>0</v>
      </c>
    </row>
    <row r="6239" spans="2:7" x14ac:dyDescent="0.25">
      <c r="B6239" s="70">
        <v>43374</v>
      </c>
      <c r="C6239" t="s">
        <v>65</v>
      </c>
      <c r="D6239" t="s">
        <v>82</v>
      </c>
      <c r="E6239" t="s">
        <v>554</v>
      </c>
      <c r="F6239">
        <v>22.6</v>
      </c>
      <c r="G6239">
        <v>0</v>
      </c>
    </row>
    <row r="6240" spans="2:7" x14ac:dyDescent="0.25">
      <c r="B6240" s="70">
        <v>43374</v>
      </c>
      <c r="C6240" t="s">
        <v>73</v>
      </c>
      <c r="D6240" t="s">
        <v>83</v>
      </c>
      <c r="E6240" t="s">
        <v>554</v>
      </c>
      <c r="F6240">
        <v>0</v>
      </c>
      <c r="G6240">
        <v>358.92</v>
      </c>
    </row>
    <row r="6241" spans="2:7" x14ac:dyDescent="0.25">
      <c r="B6241" s="70">
        <v>43374</v>
      </c>
      <c r="C6241" t="s">
        <v>24</v>
      </c>
      <c r="D6241" t="s">
        <v>79</v>
      </c>
      <c r="E6241" t="s">
        <v>554</v>
      </c>
      <c r="F6241">
        <v>8</v>
      </c>
      <c r="G6241">
        <v>0</v>
      </c>
    </row>
    <row r="6242" spans="2:7" x14ac:dyDescent="0.25">
      <c r="B6242" s="70">
        <v>43374</v>
      </c>
      <c r="C6242" t="s">
        <v>24</v>
      </c>
      <c r="D6242" t="s">
        <v>82</v>
      </c>
      <c r="E6242" t="s">
        <v>554</v>
      </c>
      <c r="F6242">
        <v>88.6</v>
      </c>
      <c r="G6242">
        <v>0</v>
      </c>
    </row>
    <row r="6243" spans="2:7" x14ac:dyDescent="0.25">
      <c r="B6243" s="70">
        <v>43374</v>
      </c>
      <c r="C6243" t="s">
        <v>60</v>
      </c>
      <c r="D6243" t="s">
        <v>79</v>
      </c>
      <c r="E6243" t="s">
        <v>554</v>
      </c>
      <c r="F6243">
        <v>29.42</v>
      </c>
      <c r="G6243">
        <v>0</v>
      </c>
    </row>
    <row r="6244" spans="2:7" x14ac:dyDescent="0.25">
      <c r="B6244" s="70">
        <v>43384</v>
      </c>
      <c r="C6244" t="s">
        <v>25</v>
      </c>
      <c r="D6244" t="s">
        <v>81</v>
      </c>
      <c r="E6244" t="s">
        <v>207</v>
      </c>
      <c r="F6244">
        <v>14.35</v>
      </c>
      <c r="G6244">
        <v>0</v>
      </c>
    </row>
    <row r="6245" spans="2:7" x14ac:dyDescent="0.25">
      <c r="B6245" s="70">
        <v>43384</v>
      </c>
      <c r="C6245" t="s">
        <v>25</v>
      </c>
      <c r="D6245" t="s">
        <v>81</v>
      </c>
      <c r="E6245" t="s">
        <v>135</v>
      </c>
      <c r="F6245">
        <v>3.6</v>
      </c>
      <c r="G6245">
        <v>0</v>
      </c>
    </row>
    <row r="6246" spans="2:7" x14ac:dyDescent="0.25">
      <c r="B6246" s="70">
        <v>43384</v>
      </c>
      <c r="C6246" t="s">
        <v>25</v>
      </c>
      <c r="D6246" t="s">
        <v>81</v>
      </c>
      <c r="E6246" t="s">
        <v>164</v>
      </c>
      <c r="F6246">
        <v>5</v>
      </c>
      <c r="G6246">
        <v>0</v>
      </c>
    </row>
    <row r="6247" spans="2:7" x14ac:dyDescent="0.25">
      <c r="B6247" s="70">
        <v>43384</v>
      </c>
      <c r="C6247" t="s">
        <v>25</v>
      </c>
      <c r="D6247" t="s">
        <v>81</v>
      </c>
      <c r="E6247" t="s">
        <v>133</v>
      </c>
      <c r="F6247">
        <v>3.6</v>
      </c>
      <c r="G6247">
        <v>0</v>
      </c>
    </row>
    <row r="6248" spans="2:7" x14ac:dyDescent="0.25">
      <c r="B6248" s="70">
        <v>43384</v>
      </c>
      <c r="C6248" t="s">
        <v>25</v>
      </c>
      <c r="D6248" t="s">
        <v>82</v>
      </c>
      <c r="E6248" t="s">
        <v>555</v>
      </c>
      <c r="F6248">
        <v>132</v>
      </c>
      <c r="G6248">
        <v>0</v>
      </c>
    </row>
    <row r="6249" spans="2:7" x14ac:dyDescent="0.25">
      <c r="B6249" s="70">
        <v>43384</v>
      </c>
      <c r="C6249" t="s">
        <v>25</v>
      </c>
      <c r="D6249" t="s">
        <v>82</v>
      </c>
      <c r="E6249" t="s">
        <v>555</v>
      </c>
      <c r="F6249">
        <v>237.9</v>
      </c>
      <c r="G6249">
        <v>0</v>
      </c>
    </row>
    <row r="6250" spans="2:7" x14ac:dyDescent="0.25">
      <c r="B6250" s="70">
        <v>43384</v>
      </c>
      <c r="C6250" t="s">
        <v>21</v>
      </c>
      <c r="D6250" t="s">
        <v>79</v>
      </c>
      <c r="E6250" t="s">
        <v>555</v>
      </c>
      <c r="F6250">
        <v>24</v>
      </c>
      <c r="G6250">
        <v>0</v>
      </c>
    </row>
    <row r="6251" spans="2:7" x14ac:dyDescent="0.25">
      <c r="B6251" s="70">
        <v>43384</v>
      </c>
      <c r="C6251" t="s">
        <v>66</v>
      </c>
      <c r="D6251" t="s">
        <v>82</v>
      </c>
      <c r="E6251" t="s">
        <v>555</v>
      </c>
      <c r="F6251">
        <v>6.6</v>
      </c>
      <c r="G6251">
        <v>0</v>
      </c>
    </row>
    <row r="6252" spans="2:7" x14ac:dyDescent="0.25">
      <c r="B6252" s="70">
        <v>43384</v>
      </c>
      <c r="C6252" t="s">
        <v>48</v>
      </c>
      <c r="D6252" t="s">
        <v>82</v>
      </c>
      <c r="E6252" t="s">
        <v>555</v>
      </c>
      <c r="F6252">
        <v>549.85</v>
      </c>
      <c r="G6252">
        <v>0</v>
      </c>
    </row>
    <row r="6253" spans="2:7" x14ac:dyDescent="0.25">
      <c r="B6253" s="70">
        <v>43384</v>
      </c>
      <c r="C6253" t="s">
        <v>45</v>
      </c>
      <c r="D6253" t="s">
        <v>85</v>
      </c>
      <c r="E6253" t="s">
        <v>555</v>
      </c>
      <c r="F6253">
        <v>136</v>
      </c>
      <c r="G6253">
        <v>0</v>
      </c>
    </row>
    <row r="6254" spans="2:7" x14ac:dyDescent="0.25">
      <c r="B6254" s="70">
        <v>43384</v>
      </c>
      <c r="C6254" t="s">
        <v>58</v>
      </c>
      <c r="D6254" t="s">
        <v>82</v>
      </c>
      <c r="E6254" t="s">
        <v>555</v>
      </c>
      <c r="F6254">
        <v>20.5</v>
      </c>
      <c r="G6254">
        <v>0</v>
      </c>
    </row>
    <row r="6255" spans="2:7" x14ac:dyDescent="0.25">
      <c r="B6255" s="70">
        <v>43384</v>
      </c>
      <c r="C6255" t="s">
        <v>58</v>
      </c>
      <c r="D6255" t="s">
        <v>84</v>
      </c>
      <c r="E6255" t="s">
        <v>555</v>
      </c>
      <c r="F6255">
        <v>85</v>
      </c>
      <c r="G6255">
        <v>0</v>
      </c>
    </row>
    <row r="6256" spans="2:7" x14ac:dyDescent="0.25">
      <c r="B6256" s="70">
        <v>43384</v>
      </c>
      <c r="C6256" t="s">
        <v>24</v>
      </c>
      <c r="D6256" t="s">
        <v>79</v>
      </c>
      <c r="E6256" t="s">
        <v>555</v>
      </c>
      <c r="F6256">
        <v>8</v>
      </c>
      <c r="G6256">
        <v>0</v>
      </c>
    </row>
    <row r="6257" spans="2:7" x14ac:dyDescent="0.25">
      <c r="B6257" s="70">
        <v>43395</v>
      </c>
      <c r="C6257" t="s">
        <v>25</v>
      </c>
      <c r="D6257" t="s">
        <v>85</v>
      </c>
      <c r="E6257" t="s">
        <v>556</v>
      </c>
      <c r="F6257">
        <v>19.100000000000001</v>
      </c>
      <c r="G6257">
        <v>0</v>
      </c>
    </row>
    <row r="6258" spans="2:7" x14ac:dyDescent="0.25">
      <c r="B6258" s="70">
        <v>43395</v>
      </c>
      <c r="C6258" t="s">
        <v>25</v>
      </c>
      <c r="D6258" t="s">
        <v>86</v>
      </c>
      <c r="E6258" t="s">
        <v>556</v>
      </c>
      <c r="F6258">
        <v>0</v>
      </c>
      <c r="G6258">
        <v>122.62</v>
      </c>
    </row>
    <row r="6259" spans="2:7" x14ac:dyDescent="0.25">
      <c r="B6259" s="70">
        <v>43395</v>
      </c>
      <c r="C6259" t="s">
        <v>25</v>
      </c>
      <c r="D6259" t="s">
        <v>81</v>
      </c>
      <c r="E6259" t="s">
        <v>135</v>
      </c>
      <c r="F6259">
        <v>2.4</v>
      </c>
      <c r="G6259">
        <v>0</v>
      </c>
    </row>
    <row r="6260" spans="2:7" x14ac:dyDescent="0.25">
      <c r="B6260" s="70">
        <v>43395</v>
      </c>
      <c r="C6260" t="s">
        <v>25</v>
      </c>
      <c r="D6260" t="s">
        <v>81</v>
      </c>
      <c r="E6260" t="s">
        <v>125</v>
      </c>
      <c r="F6260">
        <v>5</v>
      </c>
      <c r="G6260">
        <v>0</v>
      </c>
    </row>
    <row r="6261" spans="2:7" x14ac:dyDescent="0.25">
      <c r="B6261" s="70">
        <v>43395</v>
      </c>
      <c r="C6261" t="s">
        <v>25</v>
      </c>
      <c r="D6261" t="s">
        <v>81</v>
      </c>
      <c r="E6261" t="s">
        <v>179</v>
      </c>
      <c r="F6261">
        <v>2.4</v>
      </c>
      <c r="G6261">
        <v>0</v>
      </c>
    </row>
    <row r="6262" spans="2:7" x14ac:dyDescent="0.25">
      <c r="B6262" s="70">
        <v>43395</v>
      </c>
      <c r="C6262" t="s">
        <v>25</v>
      </c>
      <c r="D6262" t="s">
        <v>81</v>
      </c>
      <c r="E6262" t="s">
        <v>140</v>
      </c>
      <c r="F6262">
        <v>9.1999999999999993</v>
      </c>
      <c r="G6262">
        <v>0</v>
      </c>
    </row>
    <row r="6263" spans="2:7" x14ac:dyDescent="0.25">
      <c r="B6263" s="70">
        <v>43395</v>
      </c>
      <c r="C6263" t="s">
        <v>25</v>
      </c>
      <c r="D6263" t="s">
        <v>82</v>
      </c>
      <c r="E6263" t="s">
        <v>556</v>
      </c>
      <c r="F6263">
        <v>245.24</v>
      </c>
      <c r="G6263">
        <v>0</v>
      </c>
    </row>
    <row r="6264" spans="2:7" x14ac:dyDescent="0.25">
      <c r="B6264" s="70">
        <v>43395</v>
      </c>
      <c r="C6264" t="s">
        <v>51</v>
      </c>
      <c r="D6264" t="s">
        <v>82</v>
      </c>
      <c r="E6264" t="s">
        <v>556</v>
      </c>
      <c r="F6264">
        <v>81.3</v>
      </c>
      <c r="G6264">
        <v>0</v>
      </c>
    </row>
    <row r="6265" spans="2:7" x14ac:dyDescent="0.25">
      <c r="B6265" s="70">
        <v>43395</v>
      </c>
      <c r="C6265" t="s">
        <v>21</v>
      </c>
      <c r="D6265" t="s">
        <v>79</v>
      </c>
      <c r="E6265" t="s">
        <v>556</v>
      </c>
      <c r="F6265">
        <v>8</v>
      </c>
      <c r="G6265">
        <v>0</v>
      </c>
    </row>
    <row r="6266" spans="2:7" x14ac:dyDescent="0.25">
      <c r="B6266" s="70">
        <v>43395</v>
      </c>
      <c r="C6266" t="s">
        <v>21</v>
      </c>
      <c r="D6266" t="s">
        <v>79</v>
      </c>
      <c r="E6266" t="s">
        <v>556</v>
      </c>
      <c r="F6266">
        <v>16</v>
      </c>
      <c r="G6266">
        <v>0</v>
      </c>
    </row>
    <row r="6267" spans="2:7" x14ac:dyDescent="0.25">
      <c r="B6267" s="70">
        <v>43395</v>
      </c>
      <c r="C6267" t="s">
        <v>21</v>
      </c>
      <c r="D6267" t="s">
        <v>79</v>
      </c>
      <c r="E6267" t="s">
        <v>556</v>
      </c>
      <c r="F6267">
        <v>24</v>
      </c>
      <c r="G6267">
        <v>0</v>
      </c>
    </row>
    <row r="6268" spans="2:7" x14ac:dyDescent="0.25">
      <c r="B6268" s="70">
        <v>43395</v>
      </c>
      <c r="C6268" t="s">
        <v>21</v>
      </c>
      <c r="D6268" t="s">
        <v>79</v>
      </c>
      <c r="E6268" t="s">
        <v>556</v>
      </c>
      <c r="F6268">
        <v>48</v>
      </c>
      <c r="G6268">
        <v>0</v>
      </c>
    </row>
    <row r="6269" spans="2:7" x14ac:dyDescent="0.25">
      <c r="B6269" s="70">
        <v>43395</v>
      </c>
      <c r="C6269" t="s">
        <v>66</v>
      </c>
      <c r="D6269" t="s">
        <v>82</v>
      </c>
      <c r="E6269" t="s">
        <v>556</v>
      </c>
      <c r="F6269">
        <v>16.440000000000001</v>
      </c>
      <c r="G6269">
        <v>0</v>
      </c>
    </row>
    <row r="6270" spans="2:7" x14ac:dyDescent="0.25">
      <c r="B6270" s="70">
        <v>43395</v>
      </c>
      <c r="C6270" t="s">
        <v>48</v>
      </c>
      <c r="D6270" t="s">
        <v>79</v>
      </c>
      <c r="E6270" t="s">
        <v>556</v>
      </c>
      <c r="F6270">
        <v>8</v>
      </c>
      <c r="G6270">
        <v>0</v>
      </c>
    </row>
    <row r="6271" spans="2:7" x14ac:dyDescent="0.25">
      <c r="B6271" s="70">
        <v>43395</v>
      </c>
      <c r="C6271" t="s">
        <v>48</v>
      </c>
      <c r="D6271" t="s">
        <v>91</v>
      </c>
      <c r="E6271" t="s">
        <v>556</v>
      </c>
      <c r="F6271">
        <v>500</v>
      </c>
      <c r="G6271">
        <v>0</v>
      </c>
    </row>
    <row r="6272" spans="2:7" x14ac:dyDescent="0.25">
      <c r="B6272" s="70">
        <v>43395</v>
      </c>
      <c r="C6272" t="s">
        <v>45</v>
      </c>
      <c r="D6272" t="s">
        <v>82</v>
      </c>
      <c r="E6272" t="s">
        <v>556</v>
      </c>
      <c r="F6272">
        <v>35</v>
      </c>
      <c r="G6272">
        <v>0</v>
      </c>
    </row>
    <row r="6273" spans="2:7" x14ac:dyDescent="0.25">
      <c r="B6273" s="70">
        <v>43395</v>
      </c>
      <c r="C6273" t="s">
        <v>50</v>
      </c>
      <c r="D6273" t="s">
        <v>79</v>
      </c>
      <c r="E6273" t="s">
        <v>556</v>
      </c>
      <c r="F6273">
        <v>10</v>
      </c>
      <c r="G6273">
        <v>0</v>
      </c>
    </row>
    <row r="6274" spans="2:7" x14ac:dyDescent="0.25">
      <c r="B6274" s="70">
        <v>43395</v>
      </c>
      <c r="C6274" t="s">
        <v>50</v>
      </c>
      <c r="D6274" t="s">
        <v>82</v>
      </c>
      <c r="E6274" t="s">
        <v>556</v>
      </c>
      <c r="F6274">
        <v>41.6</v>
      </c>
      <c r="G6274">
        <v>0</v>
      </c>
    </row>
    <row r="6275" spans="2:7" x14ac:dyDescent="0.25">
      <c r="B6275" s="70">
        <v>43395</v>
      </c>
      <c r="C6275" t="s">
        <v>52</v>
      </c>
      <c r="D6275" t="s">
        <v>86</v>
      </c>
      <c r="E6275" t="s">
        <v>556</v>
      </c>
      <c r="F6275">
        <v>0</v>
      </c>
      <c r="G6275">
        <v>50.47</v>
      </c>
    </row>
    <row r="6276" spans="2:7" x14ac:dyDescent="0.25">
      <c r="B6276" s="70">
        <v>43395</v>
      </c>
      <c r="C6276" t="s">
        <v>65</v>
      </c>
      <c r="D6276" t="s">
        <v>79</v>
      </c>
      <c r="E6276" t="s">
        <v>556</v>
      </c>
      <c r="F6276">
        <v>22.5</v>
      </c>
      <c r="G6276">
        <v>0</v>
      </c>
    </row>
    <row r="6277" spans="2:7" x14ac:dyDescent="0.25">
      <c r="B6277" s="70">
        <v>43395</v>
      </c>
      <c r="C6277" t="s">
        <v>24</v>
      </c>
      <c r="D6277" t="s">
        <v>79</v>
      </c>
      <c r="E6277" t="s">
        <v>556</v>
      </c>
      <c r="F6277">
        <v>8</v>
      </c>
      <c r="G6277">
        <v>0</v>
      </c>
    </row>
    <row r="6278" spans="2:7" x14ac:dyDescent="0.25">
      <c r="B6278" s="70">
        <v>43403</v>
      </c>
      <c r="C6278" t="s">
        <v>25</v>
      </c>
      <c r="D6278" t="s">
        <v>81</v>
      </c>
      <c r="E6278" t="s">
        <v>333</v>
      </c>
      <c r="F6278">
        <v>10.5</v>
      </c>
      <c r="G6278">
        <v>0</v>
      </c>
    </row>
    <row r="6279" spans="2:7" x14ac:dyDescent="0.25">
      <c r="B6279" s="70">
        <v>43403</v>
      </c>
      <c r="C6279" t="s">
        <v>25</v>
      </c>
      <c r="D6279" t="s">
        <v>81</v>
      </c>
      <c r="E6279" t="s">
        <v>135</v>
      </c>
      <c r="F6279">
        <v>2.4</v>
      </c>
      <c r="G6279">
        <v>0</v>
      </c>
    </row>
    <row r="6280" spans="2:7" x14ac:dyDescent="0.25">
      <c r="B6280" s="70">
        <v>43403</v>
      </c>
      <c r="C6280" t="s">
        <v>25</v>
      </c>
      <c r="D6280" t="s">
        <v>81</v>
      </c>
      <c r="E6280" t="s">
        <v>191</v>
      </c>
      <c r="F6280">
        <v>22</v>
      </c>
      <c r="G6280">
        <v>0</v>
      </c>
    </row>
    <row r="6281" spans="2:7" x14ac:dyDescent="0.25">
      <c r="B6281" s="70">
        <v>43403</v>
      </c>
      <c r="C6281" t="s">
        <v>25</v>
      </c>
      <c r="D6281" t="s">
        <v>81</v>
      </c>
      <c r="E6281" t="s">
        <v>154</v>
      </c>
      <c r="F6281">
        <v>10.5</v>
      </c>
      <c r="G6281">
        <v>0</v>
      </c>
    </row>
    <row r="6282" spans="2:7" x14ac:dyDescent="0.25">
      <c r="B6282" s="70">
        <v>43404</v>
      </c>
      <c r="C6282" t="s">
        <v>25</v>
      </c>
      <c r="D6282" t="s">
        <v>81</v>
      </c>
      <c r="E6282" t="s">
        <v>135</v>
      </c>
      <c r="F6282">
        <v>6.75</v>
      </c>
      <c r="G6282">
        <v>0</v>
      </c>
    </row>
    <row r="6283" spans="2:7" x14ac:dyDescent="0.25">
      <c r="B6283" s="70">
        <v>43440</v>
      </c>
      <c r="C6283" t="s">
        <v>25</v>
      </c>
      <c r="D6283" t="s">
        <v>81</v>
      </c>
      <c r="E6283" t="s">
        <v>135</v>
      </c>
      <c r="F6283">
        <v>2.25</v>
      </c>
      <c r="G6283">
        <v>0</v>
      </c>
    </row>
    <row r="6284" spans="2:7" x14ac:dyDescent="0.25">
      <c r="B6284" s="70">
        <v>43440</v>
      </c>
      <c r="C6284" t="s">
        <v>25</v>
      </c>
      <c r="D6284" t="s">
        <v>81</v>
      </c>
      <c r="E6284" t="s">
        <v>153</v>
      </c>
      <c r="F6284">
        <v>3.15</v>
      </c>
      <c r="G6284">
        <v>0</v>
      </c>
    </row>
    <row r="6285" spans="2:7" x14ac:dyDescent="0.25">
      <c r="B6285" s="70">
        <v>43440</v>
      </c>
      <c r="C6285" t="s">
        <v>25</v>
      </c>
      <c r="D6285" t="s">
        <v>81</v>
      </c>
      <c r="E6285" t="s">
        <v>198</v>
      </c>
      <c r="F6285">
        <v>2.4</v>
      </c>
      <c r="G6285">
        <v>0</v>
      </c>
    </row>
    <row r="6286" spans="2:7" x14ac:dyDescent="0.25">
      <c r="B6286" s="70">
        <v>43440</v>
      </c>
      <c r="C6286" t="s">
        <v>25</v>
      </c>
      <c r="D6286" t="s">
        <v>81</v>
      </c>
      <c r="E6286" t="s">
        <v>158</v>
      </c>
      <c r="F6286">
        <v>6.85</v>
      </c>
      <c r="G6286">
        <v>0</v>
      </c>
    </row>
    <row r="6287" spans="2:7" x14ac:dyDescent="0.25">
      <c r="B6287" s="70">
        <v>43440</v>
      </c>
      <c r="C6287" t="s">
        <v>47</v>
      </c>
      <c r="D6287" t="s">
        <v>84</v>
      </c>
      <c r="E6287" t="s">
        <v>557</v>
      </c>
      <c r="F6287">
        <v>171.02</v>
      </c>
      <c r="G6287">
        <v>0</v>
      </c>
    </row>
    <row r="6288" spans="2:7" x14ac:dyDescent="0.25">
      <c r="B6288" s="70">
        <v>43440</v>
      </c>
      <c r="C6288" t="s">
        <v>51</v>
      </c>
      <c r="D6288" t="s">
        <v>82</v>
      </c>
      <c r="E6288" t="s">
        <v>557</v>
      </c>
      <c r="F6288">
        <v>152.30000000000001</v>
      </c>
      <c r="G6288">
        <v>0</v>
      </c>
    </row>
    <row r="6289" spans="2:7" x14ac:dyDescent="0.25">
      <c r="B6289" s="70">
        <v>43440</v>
      </c>
      <c r="C6289" t="s">
        <v>21</v>
      </c>
      <c r="D6289" t="s">
        <v>79</v>
      </c>
      <c r="E6289" t="s">
        <v>557</v>
      </c>
      <c r="F6289">
        <v>8</v>
      </c>
      <c r="G6289">
        <v>0</v>
      </c>
    </row>
    <row r="6290" spans="2:7" x14ac:dyDescent="0.25">
      <c r="B6290" s="70">
        <v>43440</v>
      </c>
      <c r="C6290" t="s">
        <v>21</v>
      </c>
      <c r="D6290" t="s">
        <v>79</v>
      </c>
      <c r="E6290" t="s">
        <v>557</v>
      </c>
      <c r="F6290">
        <v>16</v>
      </c>
      <c r="G6290">
        <v>0</v>
      </c>
    </row>
    <row r="6291" spans="2:7" x14ac:dyDescent="0.25">
      <c r="B6291" s="70">
        <v>43440</v>
      </c>
      <c r="C6291" t="s">
        <v>21</v>
      </c>
      <c r="D6291" t="s">
        <v>79</v>
      </c>
      <c r="E6291" t="s">
        <v>557</v>
      </c>
      <c r="F6291">
        <v>24</v>
      </c>
      <c r="G6291">
        <v>0</v>
      </c>
    </row>
    <row r="6292" spans="2:7" x14ac:dyDescent="0.25">
      <c r="B6292" s="70">
        <v>43440</v>
      </c>
      <c r="C6292" t="s">
        <v>21</v>
      </c>
      <c r="D6292" t="s">
        <v>79</v>
      </c>
      <c r="E6292" t="s">
        <v>557</v>
      </c>
      <c r="F6292">
        <v>40</v>
      </c>
      <c r="G6292">
        <v>0</v>
      </c>
    </row>
    <row r="6293" spans="2:7" x14ac:dyDescent="0.25">
      <c r="B6293" s="70">
        <v>43440</v>
      </c>
      <c r="C6293" t="s">
        <v>21</v>
      </c>
      <c r="D6293" t="s">
        <v>79</v>
      </c>
      <c r="E6293" t="s">
        <v>557</v>
      </c>
      <c r="F6293">
        <v>64</v>
      </c>
      <c r="G6293">
        <v>0</v>
      </c>
    </row>
    <row r="6294" spans="2:7" x14ac:dyDescent="0.25">
      <c r="B6294" s="70">
        <v>43440</v>
      </c>
      <c r="C6294" t="s">
        <v>21</v>
      </c>
      <c r="D6294" t="s">
        <v>79</v>
      </c>
      <c r="E6294" t="s">
        <v>557</v>
      </c>
      <c r="F6294">
        <v>72</v>
      </c>
      <c r="G6294">
        <v>0</v>
      </c>
    </row>
    <row r="6295" spans="2:7" x14ac:dyDescent="0.25">
      <c r="B6295" s="70">
        <v>43440</v>
      </c>
      <c r="C6295" t="s">
        <v>21</v>
      </c>
      <c r="D6295" t="s">
        <v>79</v>
      </c>
      <c r="E6295" t="s">
        <v>557</v>
      </c>
      <c r="F6295">
        <v>80</v>
      </c>
      <c r="G6295">
        <v>0</v>
      </c>
    </row>
    <row r="6296" spans="2:7" x14ac:dyDescent="0.25">
      <c r="B6296" s="70">
        <v>43440</v>
      </c>
      <c r="C6296" t="s">
        <v>21</v>
      </c>
      <c r="D6296" t="s">
        <v>82</v>
      </c>
      <c r="E6296" t="s">
        <v>557</v>
      </c>
      <c r="F6296">
        <v>147.9</v>
      </c>
      <c r="G6296">
        <v>0</v>
      </c>
    </row>
    <row r="6297" spans="2:7" x14ac:dyDescent="0.25">
      <c r="B6297" s="70">
        <v>43440</v>
      </c>
      <c r="C6297" t="s">
        <v>48</v>
      </c>
      <c r="D6297" t="s">
        <v>84</v>
      </c>
      <c r="E6297" t="s">
        <v>557</v>
      </c>
      <c r="F6297">
        <v>1026.1199999999999</v>
      </c>
      <c r="G6297">
        <v>0</v>
      </c>
    </row>
    <row r="6298" spans="2:7" x14ac:dyDescent="0.25">
      <c r="B6298" s="70">
        <v>43440</v>
      </c>
      <c r="C6298" t="s">
        <v>45</v>
      </c>
      <c r="D6298" t="s">
        <v>82</v>
      </c>
      <c r="E6298" t="s">
        <v>557</v>
      </c>
      <c r="F6298">
        <v>7</v>
      </c>
      <c r="G6298">
        <v>0</v>
      </c>
    </row>
    <row r="6299" spans="2:7" x14ac:dyDescent="0.25">
      <c r="B6299" s="70">
        <v>43440</v>
      </c>
      <c r="C6299" t="s">
        <v>50</v>
      </c>
      <c r="D6299" t="s">
        <v>82</v>
      </c>
      <c r="E6299" t="s">
        <v>557</v>
      </c>
      <c r="F6299">
        <v>20.100000000000001</v>
      </c>
      <c r="G6299">
        <v>0</v>
      </c>
    </row>
    <row r="6300" spans="2:7" x14ac:dyDescent="0.25">
      <c r="B6300" s="70">
        <v>43440</v>
      </c>
      <c r="C6300" t="s">
        <v>58</v>
      </c>
      <c r="D6300" t="s">
        <v>86</v>
      </c>
      <c r="E6300" t="s">
        <v>557</v>
      </c>
      <c r="F6300">
        <v>0</v>
      </c>
      <c r="G6300">
        <v>5</v>
      </c>
    </row>
    <row r="6301" spans="2:7" x14ac:dyDescent="0.25">
      <c r="B6301" s="70">
        <v>43440</v>
      </c>
      <c r="C6301" t="s">
        <v>53</v>
      </c>
      <c r="D6301" t="s">
        <v>85</v>
      </c>
      <c r="E6301" t="s">
        <v>557</v>
      </c>
      <c r="F6301">
        <v>293.02</v>
      </c>
      <c r="G6301">
        <v>0</v>
      </c>
    </row>
    <row r="6302" spans="2:7" x14ac:dyDescent="0.25">
      <c r="B6302" s="70">
        <v>43440</v>
      </c>
      <c r="C6302" t="s">
        <v>53</v>
      </c>
      <c r="D6302" t="s">
        <v>82</v>
      </c>
      <c r="E6302" t="s">
        <v>557</v>
      </c>
      <c r="F6302">
        <v>10</v>
      </c>
      <c r="G6302">
        <v>0</v>
      </c>
    </row>
    <row r="6303" spans="2:7" x14ac:dyDescent="0.25">
      <c r="B6303" s="70">
        <v>43440</v>
      </c>
      <c r="C6303" t="s">
        <v>24</v>
      </c>
      <c r="D6303" t="s">
        <v>79</v>
      </c>
      <c r="E6303" t="s">
        <v>557</v>
      </c>
      <c r="F6303">
        <v>8</v>
      </c>
      <c r="G6303">
        <v>0</v>
      </c>
    </row>
    <row r="6304" spans="2:7" x14ac:dyDescent="0.25">
      <c r="B6304" s="70">
        <v>43440</v>
      </c>
      <c r="C6304" t="s">
        <v>24</v>
      </c>
      <c r="D6304" t="s">
        <v>79</v>
      </c>
      <c r="E6304" t="s">
        <v>557</v>
      </c>
      <c r="F6304">
        <v>16</v>
      </c>
      <c r="G6304">
        <v>0</v>
      </c>
    </row>
    <row r="6305" spans="2:7" x14ac:dyDescent="0.25">
      <c r="B6305" s="70">
        <v>43440</v>
      </c>
      <c r="C6305" t="s">
        <v>24</v>
      </c>
      <c r="D6305" t="s">
        <v>82</v>
      </c>
      <c r="E6305" t="s">
        <v>557</v>
      </c>
      <c r="F6305">
        <v>3.15</v>
      </c>
      <c r="G6305">
        <v>0</v>
      </c>
    </row>
    <row r="6306" spans="2:7" x14ac:dyDescent="0.25">
      <c r="B6306" s="70">
        <v>43308</v>
      </c>
      <c r="C6306" t="s">
        <v>25</v>
      </c>
      <c r="D6306" t="s">
        <v>81</v>
      </c>
      <c r="E6306" t="s">
        <v>172</v>
      </c>
      <c r="F6306">
        <v>2.9</v>
      </c>
      <c r="G6306">
        <v>0</v>
      </c>
    </row>
    <row r="6307" spans="2:7" x14ac:dyDescent="0.25">
      <c r="B6307" s="70">
        <v>43308</v>
      </c>
      <c r="C6307" t="s">
        <v>25</v>
      </c>
      <c r="D6307" t="s">
        <v>81</v>
      </c>
      <c r="E6307" t="s">
        <v>203</v>
      </c>
      <c r="F6307">
        <v>7</v>
      </c>
      <c r="G6307">
        <v>0</v>
      </c>
    </row>
    <row r="6308" spans="2:7" x14ac:dyDescent="0.25">
      <c r="B6308" s="70">
        <v>43308</v>
      </c>
      <c r="C6308" t="s">
        <v>25</v>
      </c>
      <c r="D6308" t="s">
        <v>81</v>
      </c>
      <c r="E6308" t="s">
        <v>122</v>
      </c>
      <c r="F6308">
        <v>1.8</v>
      </c>
      <c r="G6308">
        <v>0</v>
      </c>
    </row>
    <row r="6309" spans="2:7" x14ac:dyDescent="0.25">
      <c r="B6309" s="70">
        <v>43308</v>
      </c>
      <c r="C6309" t="s">
        <v>25</v>
      </c>
      <c r="D6309" t="s">
        <v>81</v>
      </c>
      <c r="E6309" t="s">
        <v>161</v>
      </c>
      <c r="F6309">
        <v>3</v>
      </c>
      <c r="G6309">
        <v>0</v>
      </c>
    </row>
    <row r="6310" spans="2:7" x14ac:dyDescent="0.25">
      <c r="B6310" s="70">
        <v>43308</v>
      </c>
      <c r="C6310" t="s">
        <v>25</v>
      </c>
      <c r="D6310" t="s">
        <v>81</v>
      </c>
      <c r="E6310" t="s">
        <v>132</v>
      </c>
      <c r="F6310">
        <v>1.8</v>
      </c>
      <c r="G6310">
        <v>0</v>
      </c>
    </row>
    <row r="6311" spans="2:7" x14ac:dyDescent="0.25">
      <c r="B6311" s="70">
        <v>43308</v>
      </c>
      <c r="C6311" t="s">
        <v>59</v>
      </c>
      <c r="D6311" t="s">
        <v>82</v>
      </c>
      <c r="E6311" t="s">
        <v>558</v>
      </c>
      <c r="F6311">
        <v>87.73</v>
      </c>
      <c r="G6311">
        <v>0</v>
      </c>
    </row>
    <row r="6312" spans="2:7" x14ac:dyDescent="0.25">
      <c r="B6312" s="70">
        <v>43308</v>
      </c>
      <c r="C6312" t="s">
        <v>43</v>
      </c>
      <c r="D6312" t="s">
        <v>82</v>
      </c>
      <c r="E6312" t="s">
        <v>558</v>
      </c>
      <c r="F6312">
        <v>689.98</v>
      </c>
      <c r="G6312">
        <v>0</v>
      </c>
    </row>
    <row r="6313" spans="2:7" x14ac:dyDescent="0.25">
      <c r="B6313" s="70">
        <v>43308</v>
      </c>
      <c r="C6313" t="s">
        <v>21</v>
      </c>
      <c r="D6313" t="s">
        <v>79</v>
      </c>
      <c r="E6313" t="s">
        <v>558</v>
      </c>
      <c r="F6313">
        <v>8</v>
      </c>
      <c r="G6313">
        <v>0</v>
      </c>
    </row>
    <row r="6314" spans="2:7" x14ac:dyDescent="0.25">
      <c r="B6314" s="70">
        <v>43308</v>
      </c>
      <c r="C6314" t="s">
        <v>21</v>
      </c>
      <c r="D6314" t="s">
        <v>79</v>
      </c>
      <c r="E6314" t="s">
        <v>558</v>
      </c>
      <c r="F6314">
        <v>16</v>
      </c>
      <c r="G6314">
        <v>0</v>
      </c>
    </row>
    <row r="6315" spans="2:7" x14ac:dyDescent="0.25">
      <c r="B6315" s="70">
        <v>43308</v>
      </c>
      <c r="C6315" t="s">
        <v>21</v>
      </c>
      <c r="D6315" t="s">
        <v>79</v>
      </c>
      <c r="E6315" t="s">
        <v>558</v>
      </c>
      <c r="F6315">
        <v>24</v>
      </c>
      <c r="G6315">
        <v>0</v>
      </c>
    </row>
    <row r="6316" spans="2:7" x14ac:dyDescent="0.25">
      <c r="B6316" s="70">
        <v>43308</v>
      </c>
      <c r="C6316" t="s">
        <v>48</v>
      </c>
      <c r="D6316" t="s">
        <v>85</v>
      </c>
      <c r="E6316" t="s">
        <v>558</v>
      </c>
      <c r="F6316">
        <v>61.5</v>
      </c>
      <c r="G6316">
        <v>0</v>
      </c>
    </row>
    <row r="6317" spans="2:7" x14ac:dyDescent="0.25">
      <c r="B6317" s="70">
        <v>43308</v>
      </c>
      <c r="C6317" t="s">
        <v>55</v>
      </c>
      <c r="D6317" t="s">
        <v>83</v>
      </c>
      <c r="E6317" t="s">
        <v>558</v>
      </c>
      <c r="F6317">
        <v>0</v>
      </c>
      <c r="G6317">
        <v>308.68</v>
      </c>
    </row>
    <row r="6318" spans="2:7" x14ac:dyDescent="0.25">
      <c r="B6318" s="70">
        <v>43308</v>
      </c>
      <c r="C6318" t="s">
        <v>50</v>
      </c>
      <c r="D6318" t="s">
        <v>82</v>
      </c>
      <c r="E6318" t="s">
        <v>558</v>
      </c>
      <c r="F6318">
        <v>150.08000000000001</v>
      </c>
      <c r="G6318">
        <v>0</v>
      </c>
    </row>
    <row r="6319" spans="2:7" x14ac:dyDescent="0.25">
      <c r="B6319" s="70">
        <v>43308</v>
      </c>
      <c r="C6319" t="s">
        <v>58</v>
      </c>
      <c r="D6319" t="s">
        <v>79</v>
      </c>
      <c r="E6319" t="s">
        <v>558</v>
      </c>
      <c r="F6319">
        <v>55</v>
      </c>
      <c r="G6319">
        <v>0</v>
      </c>
    </row>
    <row r="6320" spans="2:7" x14ac:dyDescent="0.25">
      <c r="B6320" s="70">
        <v>43308</v>
      </c>
      <c r="C6320" t="s">
        <v>24</v>
      </c>
      <c r="D6320" t="s">
        <v>79</v>
      </c>
      <c r="E6320" t="s">
        <v>558</v>
      </c>
      <c r="F6320">
        <v>8</v>
      </c>
      <c r="G6320">
        <v>0</v>
      </c>
    </row>
    <row r="6321" spans="2:7" x14ac:dyDescent="0.25">
      <c r="B6321" s="70">
        <v>43308</v>
      </c>
      <c r="C6321" t="s">
        <v>60</v>
      </c>
      <c r="D6321" t="s">
        <v>79</v>
      </c>
      <c r="E6321" t="s">
        <v>558</v>
      </c>
      <c r="F6321">
        <v>186.25</v>
      </c>
      <c r="G6321">
        <v>0</v>
      </c>
    </row>
    <row r="6322" spans="2:7" x14ac:dyDescent="0.25">
      <c r="B6322" s="70">
        <v>43308</v>
      </c>
      <c r="C6322" t="s">
        <v>60</v>
      </c>
      <c r="D6322" t="s">
        <v>85</v>
      </c>
      <c r="E6322" t="s">
        <v>558</v>
      </c>
      <c r="F6322">
        <v>2.5</v>
      </c>
      <c r="G6322">
        <v>0</v>
      </c>
    </row>
    <row r="6323" spans="2:7" x14ac:dyDescent="0.25">
      <c r="B6323" s="70">
        <v>43308</v>
      </c>
      <c r="C6323" t="s">
        <v>60</v>
      </c>
      <c r="D6323" t="s">
        <v>91</v>
      </c>
      <c r="E6323" t="s">
        <v>558</v>
      </c>
      <c r="F6323">
        <v>24.95</v>
      </c>
      <c r="G6323">
        <v>0</v>
      </c>
    </row>
    <row r="6324" spans="2:7" x14ac:dyDescent="0.25">
      <c r="B6324" s="70">
        <v>43308</v>
      </c>
      <c r="C6324" t="s">
        <v>60</v>
      </c>
      <c r="D6324" t="s">
        <v>82</v>
      </c>
      <c r="E6324" t="s">
        <v>558</v>
      </c>
      <c r="F6324">
        <v>15.73</v>
      </c>
      <c r="G6324">
        <v>0</v>
      </c>
    </row>
    <row r="6325" spans="2:7" x14ac:dyDescent="0.25">
      <c r="B6325" s="70">
        <v>43308</v>
      </c>
      <c r="C6325" t="s">
        <v>61</v>
      </c>
      <c r="D6325" t="s">
        <v>83</v>
      </c>
      <c r="E6325" t="s">
        <v>558</v>
      </c>
      <c r="F6325">
        <v>308.68</v>
      </c>
      <c r="G6325">
        <v>0</v>
      </c>
    </row>
    <row r="6326" spans="2:7" x14ac:dyDescent="0.25">
      <c r="B6326" s="70">
        <v>43411</v>
      </c>
      <c r="C6326" t="s">
        <v>25</v>
      </c>
      <c r="D6326" t="s">
        <v>85</v>
      </c>
      <c r="E6326" t="s">
        <v>559</v>
      </c>
      <c r="F6326">
        <v>195.75</v>
      </c>
      <c r="G6326">
        <v>0</v>
      </c>
    </row>
    <row r="6327" spans="2:7" x14ac:dyDescent="0.25">
      <c r="B6327" s="70">
        <v>43411</v>
      </c>
      <c r="C6327" t="s">
        <v>25</v>
      </c>
      <c r="D6327" t="s">
        <v>81</v>
      </c>
      <c r="E6327" t="s">
        <v>172</v>
      </c>
      <c r="F6327">
        <v>3.7</v>
      </c>
      <c r="G6327">
        <v>0</v>
      </c>
    </row>
    <row r="6328" spans="2:7" x14ac:dyDescent="0.25">
      <c r="B6328" s="70">
        <v>43411</v>
      </c>
      <c r="C6328" t="s">
        <v>25</v>
      </c>
      <c r="D6328" t="s">
        <v>81</v>
      </c>
      <c r="E6328" t="s">
        <v>195</v>
      </c>
      <c r="F6328">
        <v>26</v>
      </c>
      <c r="G6328">
        <v>0</v>
      </c>
    </row>
    <row r="6329" spans="2:7" x14ac:dyDescent="0.25">
      <c r="B6329" s="70">
        <v>43411</v>
      </c>
      <c r="C6329" t="s">
        <v>25</v>
      </c>
      <c r="D6329" t="s">
        <v>81</v>
      </c>
      <c r="E6329" t="s">
        <v>221</v>
      </c>
      <c r="F6329">
        <v>8.6999999999999993</v>
      </c>
      <c r="G6329">
        <v>0</v>
      </c>
    </row>
    <row r="6330" spans="2:7" x14ac:dyDescent="0.25">
      <c r="B6330" s="70">
        <v>43411</v>
      </c>
      <c r="C6330" t="s">
        <v>21</v>
      </c>
      <c r="D6330" t="s">
        <v>79</v>
      </c>
      <c r="E6330" t="s">
        <v>559</v>
      </c>
      <c r="F6330">
        <v>8</v>
      </c>
      <c r="G6330">
        <v>0</v>
      </c>
    </row>
    <row r="6331" spans="2:7" x14ac:dyDescent="0.25">
      <c r="B6331" s="70">
        <v>43411</v>
      </c>
      <c r="C6331" t="s">
        <v>21</v>
      </c>
      <c r="D6331" t="s">
        <v>79</v>
      </c>
      <c r="E6331" t="s">
        <v>559</v>
      </c>
      <c r="F6331">
        <v>16</v>
      </c>
      <c r="G6331">
        <v>0</v>
      </c>
    </row>
    <row r="6332" spans="2:7" x14ac:dyDescent="0.25">
      <c r="B6332" s="70">
        <v>43411</v>
      </c>
      <c r="C6332" t="s">
        <v>21</v>
      </c>
      <c r="D6332" t="s">
        <v>79</v>
      </c>
      <c r="E6332" t="s">
        <v>559</v>
      </c>
      <c r="F6332">
        <v>24</v>
      </c>
      <c r="G6332">
        <v>0</v>
      </c>
    </row>
    <row r="6333" spans="2:7" x14ac:dyDescent="0.25">
      <c r="B6333" s="70">
        <v>43411</v>
      </c>
      <c r="C6333" t="s">
        <v>21</v>
      </c>
      <c r="D6333" t="s">
        <v>79</v>
      </c>
      <c r="E6333" t="s">
        <v>559</v>
      </c>
      <c r="F6333">
        <v>40</v>
      </c>
      <c r="G6333">
        <v>0</v>
      </c>
    </row>
    <row r="6334" spans="2:7" x14ac:dyDescent="0.25">
      <c r="B6334" s="70">
        <v>43411</v>
      </c>
      <c r="C6334" t="s">
        <v>21</v>
      </c>
      <c r="D6334" t="s">
        <v>79</v>
      </c>
      <c r="E6334" t="s">
        <v>559</v>
      </c>
      <c r="F6334">
        <v>64</v>
      </c>
      <c r="G6334">
        <v>0</v>
      </c>
    </row>
    <row r="6335" spans="2:7" x14ac:dyDescent="0.25">
      <c r="B6335" s="70">
        <v>43411</v>
      </c>
      <c r="C6335" t="s">
        <v>21</v>
      </c>
      <c r="D6335" t="s">
        <v>79</v>
      </c>
      <c r="E6335" t="s">
        <v>559</v>
      </c>
      <c r="F6335">
        <v>96</v>
      </c>
      <c r="G6335">
        <v>0</v>
      </c>
    </row>
    <row r="6336" spans="2:7" x14ac:dyDescent="0.25">
      <c r="B6336" s="70">
        <v>43411</v>
      </c>
      <c r="C6336" t="s">
        <v>48</v>
      </c>
      <c r="D6336" t="s">
        <v>79</v>
      </c>
      <c r="E6336" t="s">
        <v>559</v>
      </c>
      <c r="F6336">
        <v>11.38</v>
      </c>
      <c r="G6336">
        <v>0</v>
      </c>
    </row>
    <row r="6337" spans="2:7" x14ac:dyDescent="0.25">
      <c r="B6337" s="70">
        <v>43411</v>
      </c>
      <c r="C6337" t="s">
        <v>48</v>
      </c>
      <c r="D6337" t="s">
        <v>82</v>
      </c>
      <c r="E6337" t="s">
        <v>559</v>
      </c>
      <c r="F6337">
        <v>54.15</v>
      </c>
      <c r="G6337">
        <v>0</v>
      </c>
    </row>
    <row r="6338" spans="2:7" x14ac:dyDescent="0.25">
      <c r="B6338" s="70">
        <v>43411</v>
      </c>
      <c r="C6338" t="s">
        <v>55</v>
      </c>
      <c r="D6338" t="s">
        <v>85</v>
      </c>
      <c r="E6338" t="s">
        <v>559</v>
      </c>
      <c r="F6338">
        <v>81.86</v>
      </c>
      <c r="G6338">
        <v>0</v>
      </c>
    </row>
    <row r="6339" spans="2:7" x14ac:dyDescent="0.25">
      <c r="B6339" s="70">
        <v>43411</v>
      </c>
      <c r="C6339" t="s">
        <v>50</v>
      </c>
      <c r="D6339" t="s">
        <v>82</v>
      </c>
      <c r="E6339" t="s">
        <v>559</v>
      </c>
      <c r="F6339">
        <v>4.37</v>
      </c>
      <c r="G6339">
        <v>0</v>
      </c>
    </row>
    <row r="6340" spans="2:7" x14ac:dyDescent="0.25">
      <c r="B6340" s="70">
        <v>43411</v>
      </c>
      <c r="C6340" t="s">
        <v>60</v>
      </c>
      <c r="D6340" t="s">
        <v>79</v>
      </c>
      <c r="E6340" t="s">
        <v>559</v>
      </c>
      <c r="F6340">
        <v>30.87</v>
      </c>
      <c r="G6340">
        <v>0</v>
      </c>
    </row>
    <row r="6341" spans="2:7" x14ac:dyDescent="0.25">
      <c r="B6341" s="70">
        <v>43461</v>
      </c>
      <c r="C6341" t="s">
        <v>25</v>
      </c>
      <c r="D6341" t="s">
        <v>83</v>
      </c>
      <c r="E6341" t="s">
        <v>560</v>
      </c>
      <c r="F6341">
        <v>40</v>
      </c>
      <c r="G6341">
        <v>0</v>
      </c>
    </row>
    <row r="6342" spans="2:7" x14ac:dyDescent="0.25">
      <c r="B6342" s="70">
        <v>43461</v>
      </c>
      <c r="C6342" t="s">
        <v>25</v>
      </c>
      <c r="D6342" t="s">
        <v>83</v>
      </c>
      <c r="E6342" t="s">
        <v>560</v>
      </c>
      <c r="F6342">
        <v>31.98</v>
      </c>
      <c r="G6342">
        <v>0</v>
      </c>
    </row>
    <row r="6343" spans="2:7" x14ac:dyDescent="0.25">
      <c r="B6343" s="70">
        <v>43461</v>
      </c>
      <c r="C6343" t="s">
        <v>25</v>
      </c>
      <c r="D6343" t="s">
        <v>87</v>
      </c>
      <c r="E6343" t="s">
        <v>560</v>
      </c>
      <c r="F6343">
        <v>68</v>
      </c>
      <c r="G6343">
        <v>0</v>
      </c>
    </row>
    <row r="6344" spans="2:7" x14ac:dyDescent="0.25">
      <c r="B6344" s="70">
        <v>43461</v>
      </c>
      <c r="C6344" t="s">
        <v>25</v>
      </c>
      <c r="D6344" t="s">
        <v>87</v>
      </c>
      <c r="E6344" t="s">
        <v>560</v>
      </c>
      <c r="F6344">
        <v>96</v>
      </c>
      <c r="G6344">
        <v>0</v>
      </c>
    </row>
    <row r="6345" spans="2:7" x14ac:dyDescent="0.25">
      <c r="B6345" s="70">
        <v>43461</v>
      </c>
      <c r="C6345" t="s">
        <v>25</v>
      </c>
      <c r="D6345" t="s">
        <v>87</v>
      </c>
      <c r="E6345" t="s">
        <v>560</v>
      </c>
      <c r="F6345">
        <v>130.5</v>
      </c>
      <c r="G6345">
        <v>0</v>
      </c>
    </row>
    <row r="6346" spans="2:7" x14ac:dyDescent="0.25">
      <c r="B6346" s="70">
        <v>43461</v>
      </c>
      <c r="C6346" t="s">
        <v>25</v>
      </c>
      <c r="D6346" t="s">
        <v>87</v>
      </c>
      <c r="E6346" t="s">
        <v>560</v>
      </c>
      <c r="F6346">
        <v>132.9</v>
      </c>
      <c r="G6346">
        <v>0</v>
      </c>
    </row>
    <row r="6347" spans="2:7" x14ac:dyDescent="0.25">
      <c r="B6347" s="70">
        <v>43461</v>
      </c>
      <c r="C6347" t="s">
        <v>25</v>
      </c>
      <c r="D6347" t="s">
        <v>87</v>
      </c>
      <c r="E6347" t="s">
        <v>560</v>
      </c>
      <c r="F6347">
        <v>188.37</v>
      </c>
      <c r="G6347">
        <v>0</v>
      </c>
    </row>
    <row r="6348" spans="2:7" x14ac:dyDescent="0.25">
      <c r="B6348" s="70">
        <v>43461</v>
      </c>
      <c r="C6348" t="s">
        <v>25</v>
      </c>
      <c r="D6348" t="s">
        <v>87</v>
      </c>
      <c r="E6348" t="s">
        <v>560</v>
      </c>
      <c r="F6348">
        <v>107.59</v>
      </c>
      <c r="G6348">
        <v>0</v>
      </c>
    </row>
    <row r="6349" spans="2:7" x14ac:dyDescent="0.25">
      <c r="B6349" s="70">
        <v>43461</v>
      </c>
      <c r="C6349" t="s">
        <v>25</v>
      </c>
      <c r="D6349" t="s">
        <v>87</v>
      </c>
      <c r="E6349" t="s">
        <v>560</v>
      </c>
      <c r="F6349">
        <v>115.38</v>
      </c>
      <c r="G6349">
        <v>0</v>
      </c>
    </row>
    <row r="6350" spans="2:7" x14ac:dyDescent="0.25">
      <c r="B6350" s="70">
        <v>43461</v>
      </c>
      <c r="C6350" t="s">
        <v>25</v>
      </c>
      <c r="D6350" t="s">
        <v>87</v>
      </c>
      <c r="E6350" t="s">
        <v>560</v>
      </c>
      <c r="F6350">
        <v>107.45</v>
      </c>
      <c r="G6350">
        <v>0</v>
      </c>
    </row>
    <row r="6351" spans="2:7" x14ac:dyDescent="0.25">
      <c r="B6351" s="70">
        <v>43461</v>
      </c>
      <c r="C6351" t="s">
        <v>25</v>
      </c>
      <c r="D6351" t="s">
        <v>87</v>
      </c>
      <c r="E6351" t="s">
        <v>560</v>
      </c>
      <c r="F6351">
        <v>23.38</v>
      </c>
      <c r="G6351">
        <v>0</v>
      </c>
    </row>
    <row r="6352" spans="2:7" x14ac:dyDescent="0.25">
      <c r="B6352" s="70">
        <v>43461</v>
      </c>
      <c r="C6352" t="s">
        <v>25</v>
      </c>
      <c r="D6352" t="s">
        <v>87</v>
      </c>
      <c r="E6352" t="s">
        <v>560</v>
      </c>
      <c r="F6352">
        <v>242.83</v>
      </c>
      <c r="G6352">
        <v>0</v>
      </c>
    </row>
    <row r="6353" spans="2:7" x14ac:dyDescent="0.25">
      <c r="B6353" s="70">
        <v>43461</v>
      </c>
      <c r="C6353" t="s">
        <v>25</v>
      </c>
      <c r="D6353" t="s">
        <v>81</v>
      </c>
      <c r="E6353" t="s">
        <v>173</v>
      </c>
      <c r="F6353">
        <v>16.399999999999999</v>
      </c>
      <c r="G6353">
        <v>0</v>
      </c>
    </row>
    <row r="6354" spans="2:7" x14ac:dyDescent="0.25">
      <c r="B6354" s="70">
        <v>43461</v>
      </c>
      <c r="C6354" t="s">
        <v>25</v>
      </c>
      <c r="D6354" t="s">
        <v>81</v>
      </c>
      <c r="E6354" t="s">
        <v>172</v>
      </c>
      <c r="F6354">
        <v>2.1</v>
      </c>
      <c r="G6354">
        <v>0</v>
      </c>
    </row>
    <row r="6355" spans="2:7" x14ac:dyDescent="0.25">
      <c r="B6355" s="70">
        <v>43461</v>
      </c>
      <c r="C6355" t="s">
        <v>54</v>
      </c>
      <c r="D6355" t="s">
        <v>79</v>
      </c>
      <c r="E6355" t="s">
        <v>560</v>
      </c>
      <c r="F6355">
        <v>26.65</v>
      </c>
      <c r="G6355">
        <v>0</v>
      </c>
    </row>
    <row r="6356" spans="2:7" x14ac:dyDescent="0.25">
      <c r="B6356" s="70">
        <v>43461</v>
      </c>
      <c r="C6356" t="s">
        <v>56</v>
      </c>
      <c r="D6356" t="s">
        <v>82</v>
      </c>
      <c r="E6356" t="s">
        <v>560</v>
      </c>
      <c r="F6356">
        <v>56.8</v>
      </c>
      <c r="G6356">
        <v>0</v>
      </c>
    </row>
    <row r="6357" spans="2:7" x14ac:dyDescent="0.25">
      <c r="B6357" s="70">
        <v>43461</v>
      </c>
      <c r="C6357" t="s">
        <v>47</v>
      </c>
      <c r="D6357" t="s">
        <v>80</v>
      </c>
      <c r="E6357" t="s">
        <v>560</v>
      </c>
      <c r="F6357">
        <v>131.99</v>
      </c>
      <c r="G6357">
        <v>0</v>
      </c>
    </row>
    <row r="6358" spans="2:7" x14ac:dyDescent="0.25">
      <c r="B6358" s="70">
        <v>43461</v>
      </c>
      <c r="C6358" t="s">
        <v>47</v>
      </c>
      <c r="D6358" t="s">
        <v>87</v>
      </c>
      <c r="E6358" t="s">
        <v>560</v>
      </c>
      <c r="F6358">
        <v>319.27</v>
      </c>
      <c r="G6358">
        <v>0</v>
      </c>
    </row>
    <row r="6359" spans="2:7" x14ac:dyDescent="0.25">
      <c r="B6359" s="70">
        <v>43461</v>
      </c>
      <c r="C6359" t="s">
        <v>43</v>
      </c>
      <c r="D6359" t="s">
        <v>85</v>
      </c>
      <c r="E6359" t="s">
        <v>560</v>
      </c>
      <c r="F6359">
        <v>376.89</v>
      </c>
      <c r="G6359">
        <v>0</v>
      </c>
    </row>
    <row r="6360" spans="2:7" x14ac:dyDescent="0.25">
      <c r="B6360" s="70">
        <v>43461</v>
      </c>
      <c r="C6360" t="s">
        <v>44</v>
      </c>
      <c r="D6360" t="s">
        <v>85</v>
      </c>
      <c r="E6360" t="s">
        <v>560</v>
      </c>
      <c r="F6360">
        <v>86.5</v>
      </c>
      <c r="G6360">
        <v>0</v>
      </c>
    </row>
    <row r="6361" spans="2:7" x14ac:dyDescent="0.25">
      <c r="B6361" s="70">
        <v>43461</v>
      </c>
      <c r="C6361" t="s">
        <v>44</v>
      </c>
      <c r="D6361" t="s">
        <v>80</v>
      </c>
      <c r="E6361" t="s">
        <v>560</v>
      </c>
      <c r="F6361">
        <v>130.75</v>
      </c>
      <c r="G6361">
        <v>0</v>
      </c>
    </row>
    <row r="6362" spans="2:7" x14ac:dyDescent="0.25">
      <c r="B6362" s="70">
        <v>43461</v>
      </c>
      <c r="C6362" t="s">
        <v>44</v>
      </c>
      <c r="D6362" t="s">
        <v>87</v>
      </c>
      <c r="E6362" t="s">
        <v>560</v>
      </c>
      <c r="F6362">
        <v>363.13</v>
      </c>
      <c r="G6362">
        <v>0</v>
      </c>
    </row>
    <row r="6363" spans="2:7" x14ac:dyDescent="0.25">
      <c r="B6363" s="70">
        <v>43461</v>
      </c>
      <c r="C6363" t="s">
        <v>44</v>
      </c>
      <c r="D6363" t="s">
        <v>86</v>
      </c>
      <c r="E6363" t="s">
        <v>560</v>
      </c>
      <c r="F6363">
        <v>0</v>
      </c>
      <c r="G6363">
        <v>170</v>
      </c>
    </row>
    <row r="6364" spans="2:7" x14ac:dyDescent="0.25">
      <c r="B6364" s="70">
        <v>43461</v>
      </c>
      <c r="C6364" t="s">
        <v>21</v>
      </c>
      <c r="D6364" t="s">
        <v>79</v>
      </c>
      <c r="E6364" t="s">
        <v>560</v>
      </c>
      <c r="F6364">
        <v>8</v>
      </c>
      <c r="G6364">
        <v>0</v>
      </c>
    </row>
    <row r="6365" spans="2:7" x14ac:dyDescent="0.25">
      <c r="B6365" s="70">
        <v>43461</v>
      </c>
      <c r="C6365" t="s">
        <v>21</v>
      </c>
      <c r="D6365" t="s">
        <v>79</v>
      </c>
      <c r="E6365" t="s">
        <v>560</v>
      </c>
      <c r="F6365">
        <v>24</v>
      </c>
      <c r="G6365">
        <v>0</v>
      </c>
    </row>
    <row r="6366" spans="2:7" x14ac:dyDescent="0.25">
      <c r="B6366" s="70">
        <v>43461</v>
      </c>
      <c r="C6366" t="s">
        <v>21</v>
      </c>
      <c r="D6366" t="s">
        <v>79</v>
      </c>
      <c r="E6366" t="s">
        <v>560</v>
      </c>
      <c r="F6366">
        <v>40</v>
      </c>
      <c r="G6366">
        <v>0</v>
      </c>
    </row>
    <row r="6367" spans="2:7" x14ac:dyDescent="0.25">
      <c r="B6367" s="70">
        <v>43461</v>
      </c>
      <c r="C6367" t="s">
        <v>66</v>
      </c>
      <c r="D6367" t="s">
        <v>79</v>
      </c>
      <c r="E6367" t="s">
        <v>560</v>
      </c>
      <c r="F6367">
        <v>52.55</v>
      </c>
      <c r="G6367">
        <v>0</v>
      </c>
    </row>
    <row r="6368" spans="2:7" x14ac:dyDescent="0.25">
      <c r="B6368" s="70">
        <v>43461</v>
      </c>
      <c r="C6368" t="s">
        <v>66</v>
      </c>
      <c r="D6368" t="s">
        <v>82</v>
      </c>
      <c r="E6368" t="s">
        <v>560</v>
      </c>
      <c r="F6368">
        <v>26.78</v>
      </c>
      <c r="G6368">
        <v>0</v>
      </c>
    </row>
    <row r="6369" spans="2:7" x14ac:dyDescent="0.25">
      <c r="B6369" s="70">
        <v>43461</v>
      </c>
      <c r="C6369" t="s">
        <v>48</v>
      </c>
      <c r="D6369" t="s">
        <v>85</v>
      </c>
      <c r="E6369" t="s">
        <v>560</v>
      </c>
      <c r="F6369">
        <v>440</v>
      </c>
      <c r="G6369">
        <v>0</v>
      </c>
    </row>
    <row r="6370" spans="2:7" x14ac:dyDescent="0.25">
      <c r="B6370" s="70">
        <v>43461</v>
      </c>
      <c r="C6370" t="s">
        <v>48</v>
      </c>
      <c r="D6370" t="s">
        <v>80</v>
      </c>
      <c r="E6370" t="s">
        <v>560</v>
      </c>
      <c r="F6370">
        <v>38.5</v>
      </c>
      <c r="G6370">
        <v>0</v>
      </c>
    </row>
    <row r="6371" spans="2:7" x14ac:dyDescent="0.25">
      <c r="B6371" s="70">
        <v>43461</v>
      </c>
      <c r="C6371" t="s">
        <v>64</v>
      </c>
      <c r="D6371" t="s">
        <v>85</v>
      </c>
      <c r="E6371" t="s">
        <v>560</v>
      </c>
      <c r="F6371">
        <v>283.58</v>
      </c>
      <c r="G6371">
        <v>0</v>
      </c>
    </row>
    <row r="6372" spans="2:7" x14ac:dyDescent="0.25">
      <c r="B6372" s="70">
        <v>43461</v>
      </c>
      <c r="C6372" t="s">
        <v>69</v>
      </c>
      <c r="D6372" t="s">
        <v>87</v>
      </c>
      <c r="E6372" t="s">
        <v>560</v>
      </c>
      <c r="F6372">
        <v>101.26</v>
      </c>
      <c r="G6372">
        <v>0</v>
      </c>
    </row>
    <row r="6373" spans="2:7" x14ac:dyDescent="0.25">
      <c r="B6373" s="70">
        <v>43461</v>
      </c>
      <c r="C6373" t="s">
        <v>71</v>
      </c>
      <c r="D6373" t="s">
        <v>79</v>
      </c>
      <c r="E6373" t="s">
        <v>560</v>
      </c>
      <c r="F6373">
        <v>40</v>
      </c>
      <c r="G6373">
        <v>0</v>
      </c>
    </row>
    <row r="6374" spans="2:7" x14ac:dyDescent="0.25">
      <c r="B6374" s="70">
        <v>43461</v>
      </c>
      <c r="C6374" t="s">
        <v>65</v>
      </c>
      <c r="D6374" t="s">
        <v>87</v>
      </c>
      <c r="E6374" t="s">
        <v>560</v>
      </c>
      <c r="F6374">
        <v>245</v>
      </c>
      <c r="G6374">
        <v>0</v>
      </c>
    </row>
    <row r="6375" spans="2:7" x14ac:dyDescent="0.25">
      <c r="B6375" s="70">
        <v>43461</v>
      </c>
      <c r="C6375" t="s">
        <v>24</v>
      </c>
      <c r="D6375" t="s">
        <v>79</v>
      </c>
      <c r="E6375" t="s">
        <v>560</v>
      </c>
      <c r="F6375">
        <v>8</v>
      </c>
      <c r="G6375">
        <v>0</v>
      </c>
    </row>
    <row r="6376" spans="2:7" x14ac:dyDescent="0.25">
      <c r="B6376" s="70">
        <v>43461</v>
      </c>
      <c r="C6376" t="s">
        <v>60</v>
      </c>
      <c r="D6376" t="s">
        <v>87</v>
      </c>
      <c r="E6376" t="s">
        <v>560</v>
      </c>
      <c r="F6376">
        <v>1020</v>
      </c>
      <c r="G6376">
        <v>0</v>
      </c>
    </row>
    <row r="6377" spans="2:7" x14ac:dyDescent="0.25">
      <c r="B6377" s="70">
        <v>43340</v>
      </c>
      <c r="C6377" t="s">
        <v>25</v>
      </c>
      <c r="D6377" t="s">
        <v>86</v>
      </c>
      <c r="E6377" t="s">
        <v>561</v>
      </c>
      <c r="F6377">
        <v>0</v>
      </c>
      <c r="G6377">
        <v>22</v>
      </c>
    </row>
    <row r="6378" spans="2:7" x14ac:dyDescent="0.25">
      <c r="B6378" s="70">
        <v>43340</v>
      </c>
      <c r="C6378" t="s">
        <v>25</v>
      </c>
      <c r="D6378" t="s">
        <v>81</v>
      </c>
      <c r="E6378" t="s">
        <v>220</v>
      </c>
      <c r="F6378">
        <v>11.5</v>
      </c>
      <c r="G6378">
        <v>0</v>
      </c>
    </row>
    <row r="6379" spans="2:7" x14ac:dyDescent="0.25">
      <c r="B6379" s="70">
        <v>43340</v>
      </c>
      <c r="C6379" t="s">
        <v>25</v>
      </c>
      <c r="D6379" t="s">
        <v>81</v>
      </c>
      <c r="E6379" t="s">
        <v>213</v>
      </c>
      <c r="F6379">
        <v>15</v>
      </c>
      <c r="G6379">
        <v>0</v>
      </c>
    </row>
    <row r="6380" spans="2:7" x14ac:dyDescent="0.25">
      <c r="B6380" s="70">
        <v>43340</v>
      </c>
      <c r="C6380" t="s">
        <v>25</v>
      </c>
      <c r="D6380" t="s">
        <v>81</v>
      </c>
      <c r="E6380" t="s">
        <v>179</v>
      </c>
      <c r="F6380">
        <v>1.8</v>
      </c>
      <c r="G6380">
        <v>0</v>
      </c>
    </row>
    <row r="6381" spans="2:7" x14ac:dyDescent="0.25">
      <c r="B6381" s="70">
        <v>43340</v>
      </c>
      <c r="C6381" t="s">
        <v>25</v>
      </c>
      <c r="D6381" t="s">
        <v>81</v>
      </c>
      <c r="E6381" t="s">
        <v>140</v>
      </c>
      <c r="F6381">
        <v>1.5</v>
      </c>
      <c r="G6381">
        <v>0</v>
      </c>
    </row>
    <row r="6382" spans="2:7" x14ac:dyDescent="0.25">
      <c r="B6382" s="70">
        <v>43340</v>
      </c>
      <c r="C6382" t="s">
        <v>54</v>
      </c>
      <c r="D6382" t="s">
        <v>79</v>
      </c>
      <c r="E6382" t="s">
        <v>561</v>
      </c>
      <c r="F6382">
        <v>68.2</v>
      </c>
      <c r="G6382">
        <v>0</v>
      </c>
    </row>
    <row r="6383" spans="2:7" x14ac:dyDescent="0.25">
      <c r="B6383" s="70">
        <v>43340</v>
      </c>
      <c r="C6383" t="s">
        <v>51</v>
      </c>
      <c r="D6383" t="s">
        <v>79</v>
      </c>
      <c r="E6383" t="s">
        <v>561</v>
      </c>
      <c r="F6383">
        <v>132.62</v>
      </c>
      <c r="G6383">
        <v>0</v>
      </c>
    </row>
    <row r="6384" spans="2:7" x14ac:dyDescent="0.25">
      <c r="B6384" s="70">
        <v>43340</v>
      </c>
      <c r="C6384" t="s">
        <v>51</v>
      </c>
      <c r="D6384" t="s">
        <v>82</v>
      </c>
      <c r="E6384" t="s">
        <v>561</v>
      </c>
      <c r="F6384">
        <v>711.35</v>
      </c>
      <c r="G6384">
        <v>0</v>
      </c>
    </row>
    <row r="6385" spans="2:7" x14ac:dyDescent="0.25">
      <c r="B6385" s="70">
        <v>43340</v>
      </c>
      <c r="C6385" t="s">
        <v>21</v>
      </c>
      <c r="D6385" t="s">
        <v>79</v>
      </c>
      <c r="E6385" t="s">
        <v>561</v>
      </c>
      <c r="F6385">
        <v>8</v>
      </c>
      <c r="G6385">
        <v>0</v>
      </c>
    </row>
    <row r="6386" spans="2:7" x14ac:dyDescent="0.25">
      <c r="B6386" s="70">
        <v>43340</v>
      </c>
      <c r="C6386" t="s">
        <v>21</v>
      </c>
      <c r="D6386" t="s">
        <v>79</v>
      </c>
      <c r="E6386" t="s">
        <v>561</v>
      </c>
      <c r="F6386">
        <v>16</v>
      </c>
      <c r="G6386">
        <v>0</v>
      </c>
    </row>
    <row r="6387" spans="2:7" x14ac:dyDescent="0.25">
      <c r="B6387" s="70">
        <v>43340</v>
      </c>
      <c r="C6387" t="s">
        <v>21</v>
      </c>
      <c r="D6387" t="s">
        <v>79</v>
      </c>
      <c r="E6387" t="s">
        <v>561</v>
      </c>
      <c r="F6387">
        <v>32</v>
      </c>
      <c r="G6387">
        <v>0</v>
      </c>
    </row>
    <row r="6388" spans="2:7" x14ac:dyDescent="0.25">
      <c r="B6388" s="70">
        <v>43340</v>
      </c>
      <c r="C6388" t="s">
        <v>50</v>
      </c>
      <c r="D6388" t="s">
        <v>82</v>
      </c>
      <c r="E6388" t="s">
        <v>561</v>
      </c>
      <c r="F6388">
        <v>39.700000000000003</v>
      </c>
      <c r="G6388">
        <v>0</v>
      </c>
    </row>
    <row r="6389" spans="2:7" x14ac:dyDescent="0.25">
      <c r="B6389" s="70">
        <v>43340</v>
      </c>
      <c r="C6389" t="s">
        <v>24</v>
      </c>
      <c r="D6389" t="s">
        <v>79</v>
      </c>
      <c r="E6389" t="s">
        <v>561</v>
      </c>
      <c r="F6389">
        <v>8</v>
      </c>
      <c r="G6389">
        <v>0</v>
      </c>
    </row>
    <row r="6390" spans="2:7" x14ac:dyDescent="0.25">
      <c r="B6390" s="70">
        <v>43388</v>
      </c>
      <c r="C6390" t="s">
        <v>25</v>
      </c>
      <c r="D6390" t="s">
        <v>79</v>
      </c>
      <c r="E6390" t="s">
        <v>562</v>
      </c>
      <c r="F6390">
        <v>8</v>
      </c>
      <c r="G6390">
        <v>0</v>
      </c>
    </row>
    <row r="6391" spans="2:7" x14ac:dyDescent="0.25">
      <c r="B6391" s="70">
        <v>43388</v>
      </c>
      <c r="C6391" t="s">
        <v>25</v>
      </c>
      <c r="D6391" t="s">
        <v>81</v>
      </c>
      <c r="E6391" t="s">
        <v>333</v>
      </c>
      <c r="F6391">
        <v>10.5</v>
      </c>
      <c r="G6391">
        <v>0</v>
      </c>
    </row>
    <row r="6392" spans="2:7" x14ac:dyDescent="0.25">
      <c r="B6392" s="70">
        <v>43388</v>
      </c>
      <c r="C6392" t="s">
        <v>25</v>
      </c>
      <c r="D6392" t="s">
        <v>81</v>
      </c>
      <c r="E6392" t="s">
        <v>220</v>
      </c>
      <c r="F6392">
        <v>5.55</v>
      </c>
      <c r="G6392">
        <v>0</v>
      </c>
    </row>
    <row r="6393" spans="2:7" x14ac:dyDescent="0.25">
      <c r="B6393" s="70">
        <v>43388</v>
      </c>
      <c r="C6393" t="s">
        <v>25</v>
      </c>
      <c r="D6393" t="s">
        <v>81</v>
      </c>
      <c r="E6393" t="s">
        <v>149</v>
      </c>
      <c r="F6393">
        <v>3</v>
      </c>
      <c r="G6393">
        <v>0</v>
      </c>
    </row>
    <row r="6394" spans="2:7" x14ac:dyDescent="0.25">
      <c r="B6394" s="70">
        <v>43388</v>
      </c>
      <c r="C6394" t="s">
        <v>25</v>
      </c>
      <c r="D6394" t="s">
        <v>81</v>
      </c>
      <c r="E6394" t="s">
        <v>241</v>
      </c>
      <c r="F6394">
        <v>3.15</v>
      </c>
      <c r="G6394">
        <v>0</v>
      </c>
    </row>
    <row r="6395" spans="2:7" x14ac:dyDescent="0.25">
      <c r="B6395" s="70">
        <v>43388</v>
      </c>
      <c r="C6395" t="s">
        <v>25</v>
      </c>
      <c r="D6395" t="s">
        <v>82</v>
      </c>
      <c r="E6395" t="s">
        <v>562</v>
      </c>
      <c r="F6395">
        <v>30.4</v>
      </c>
      <c r="G6395">
        <v>0</v>
      </c>
    </row>
    <row r="6396" spans="2:7" x14ac:dyDescent="0.25">
      <c r="B6396" s="70">
        <v>43388</v>
      </c>
      <c r="C6396" t="s">
        <v>25</v>
      </c>
      <c r="D6396" t="s">
        <v>82</v>
      </c>
      <c r="E6396" t="s">
        <v>562</v>
      </c>
      <c r="F6396">
        <v>196.71</v>
      </c>
      <c r="G6396">
        <v>0</v>
      </c>
    </row>
    <row r="6397" spans="2:7" x14ac:dyDescent="0.25">
      <c r="B6397" s="70">
        <v>43388</v>
      </c>
      <c r="C6397" t="s">
        <v>46</v>
      </c>
      <c r="D6397" t="s">
        <v>82</v>
      </c>
      <c r="E6397" t="s">
        <v>562</v>
      </c>
      <c r="F6397">
        <v>70.23</v>
      </c>
      <c r="G6397">
        <v>0</v>
      </c>
    </row>
    <row r="6398" spans="2:7" x14ac:dyDescent="0.25">
      <c r="B6398" s="70">
        <v>43388</v>
      </c>
      <c r="C6398" t="s">
        <v>59</v>
      </c>
      <c r="D6398" t="s">
        <v>82</v>
      </c>
      <c r="E6398" t="s">
        <v>562</v>
      </c>
      <c r="F6398">
        <v>188.98</v>
      </c>
      <c r="G6398">
        <v>0</v>
      </c>
    </row>
    <row r="6399" spans="2:7" x14ac:dyDescent="0.25">
      <c r="B6399" s="70">
        <v>43388</v>
      </c>
      <c r="C6399" t="s">
        <v>51</v>
      </c>
      <c r="D6399" t="s">
        <v>82</v>
      </c>
      <c r="E6399" t="s">
        <v>562</v>
      </c>
      <c r="F6399">
        <v>87.6</v>
      </c>
      <c r="G6399">
        <v>0</v>
      </c>
    </row>
    <row r="6400" spans="2:7" x14ac:dyDescent="0.25">
      <c r="B6400" s="70">
        <v>43388</v>
      </c>
      <c r="C6400" t="s">
        <v>21</v>
      </c>
      <c r="D6400" t="s">
        <v>79</v>
      </c>
      <c r="E6400" t="s">
        <v>562</v>
      </c>
      <c r="F6400">
        <v>16</v>
      </c>
      <c r="G6400">
        <v>0</v>
      </c>
    </row>
    <row r="6401" spans="2:7" x14ac:dyDescent="0.25">
      <c r="B6401" s="70">
        <v>43388</v>
      </c>
      <c r="C6401" t="s">
        <v>21</v>
      </c>
      <c r="D6401" t="s">
        <v>79</v>
      </c>
      <c r="E6401" t="s">
        <v>562</v>
      </c>
      <c r="F6401">
        <v>32</v>
      </c>
      <c r="G6401">
        <v>0</v>
      </c>
    </row>
    <row r="6402" spans="2:7" x14ac:dyDescent="0.25">
      <c r="B6402" s="70">
        <v>43388</v>
      </c>
      <c r="C6402" t="s">
        <v>21</v>
      </c>
      <c r="D6402" t="s">
        <v>79</v>
      </c>
      <c r="E6402" t="s">
        <v>562</v>
      </c>
      <c r="F6402">
        <v>40</v>
      </c>
      <c r="G6402">
        <v>0</v>
      </c>
    </row>
    <row r="6403" spans="2:7" x14ac:dyDescent="0.25">
      <c r="B6403" s="70">
        <v>43388</v>
      </c>
      <c r="C6403" t="s">
        <v>66</v>
      </c>
      <c r="D6403" t="s">
        <v>79</v>
      </c>
      <c r="E6403" t="s">
        <v>562</v>
      </c>
      <c r="F6403">
        <v>44.68</v>
      </c>
      <c r="G6403">
        <v>0</v>
      </c>
    </row>
    <row r="6404" spans="2:7" x14ac:dyDescent="0.25">
      <c r="B6404" s="70">
        <v>43388</v>
      </c>
      <c r="C6404" t="s">
        <v>48</v>
      </c>
      <c r="D6404" t="s">
        <v>82</v>
      </c>
      <c r="E6404" t="s">
        <v>562</v>
      </c>
      <c r="F6404">
        <v>168.3</v>
      </c>
      <c r="G6404">
        <v>0</v>
      </c>
    </row>
    <row r="6405" spans="2:7" x14ac:dyDescent="0.25">
      <c r="B6405" s="70">
        <v>43388</v>
      </c>
      <c r="C6405" t="s">
        <v>24</v>
      </c>
      <c r="D6405" t="s">
        <v>79</v>
      </c>
      <c r="E6405" t="s">
        <v>562</v>
      </c>
      <c r="F6405">
        <v>8</v>
      </c>
      <c r="G6405">
        <v>0</v>
      </c>
    </row>
    <row r="6406" spans="2:7" x14ac:dyDescent="0.25">
      <c r="B6406" s="70">
        <v>43455</v>
      </c>
      <c r="C6406" t="s">
        <v>25</v>
      </c>
      <c r="D6406" t="s">
        <v>79</v>
      </c>
      <c r="E6406" t="s">
        <v>563</v>
      </c>
      <c r="F6406">
        <v>8</v>
      </c>
      <c r="G6406">
        <v>0</v>
      </c>
    </row>
    <row r="6407" spans="2:7" x14ac:dyDescent="0.25">
      <c r="B6407" s="70">
        <v>43455</v>
      </c>
      <c r="C6407" t="s">
        <v>25</v>
      </c>
      <c r="D6407" t="s">
        <v>85</v>
      </c>
      <c r="E6407" t="s">
        <v>563</v>
      </c>
      <c r="F6407">
        <v>168</v>
      </c>
      <c r="G6407">
        <v>0</v>
      </c>
    </row>
    <row r="6408" spans="2:7" x14ac:dyDescent="0.25">
      <c r="B6408" s="70">
        <v>43455</v>
      </c>
      <c r="C6408" t="s">
        <v>25</v>
      </c>
      <c r="D6408" t="s">
        <v>85</v>
      </c>
      <c r="E6408" t="s">
        <v>563</v>
      </c>
      <c r="F6408">
        <v>160.63</v>
      </c>
      <c r="G6408">
        <v>0</v>
      </c>
    </row>
    <row r="6409" spans="2:7" x14ac:dyDescent="0.25">
      <c r="B6409" s="70">
        <v>43455</v>
      </c>
      <c r="C6409" t="s">
        <v>25</v>
      </c>
      <c r="D6409" t="s">
        <v>85</v>
      </c>
      <c r="E6409" t="s">
        <v>563</v>
      </c>
      <c r="F6409">
        <v>27.96</v>
      </c>
      <c r="G6409">
        <v>0</v>
      </c>
    </row>
    <row r="6410" spans="2:7" x14ac:dyDescent="0.25">
      <c r="B6410" s="70">
        <v>43455</v>
      </c>
      <c r="C6410" t="s">
        <v>25</v>
      </c>
      <c r="D6410" t="s">
        <v>83</v>
      </c>
      <c r="E6410" t="s">
        <v>563</v>
      </c>
      <c r="F6410">
        <v>42.97</v>
      </c>
      <c r="G6410">
        <v>0</v>
      </c>
    </row>
    <row r="6411" spans="2:7" x14ac:dyDescent="0.25">
      <c r="B6411" s="70">
        <v>43455</v>
      </c>
      <c r="C6411" t="s">
        <v>25</v>
      </c>
      <c r="D6411" t="s">
        <v>83</v>
      </c>
      <c r="E6411" t="s">
        <v>563</v>
      </c>
      <c r="F6411">
        <v>21.21</v>
      </c>
      <c r="G6411">
        <v>0</v>
      </c>
    </row>
    <row r="6412" spans="2:7" x14ac:dyDescent="0.25">
      <c r="B6412" s="70">
        <v>43455</v>
      </c>
      <c r="C6412" t="s">
        <v>25</v>
      </c>
      <c r="D6412" t="s">
        <v>80</v>
      </c>
      <c r="E6412" t="s">
        <v>563</v>
      </c>
      <c r="F6412">
        <v>36.950000000000003</v>
      </c>
      <c r="G6412">
        <v>0</v>
      </c>
    </row>
    <row r="6413" spans="2:7" x14ac:dyDescent="0.25">
      <c r="B6413" s="70">
        <v>43455</v>
      </c>
      <c r="C6413" t="s">
        <v>25</v>
      </c>
      <c r="D6413" t="s">
        <v>80</v>
      </c>
      <c r="E6413" t="s">
        <v>563</v>
      </c>
      <c r="F6413">
        <v>97.9</v>
      </c>
      <c r="G6413">
        <v>0</v>
      </c>
    </row>
    <row r="6414" spans="2:7" x14ac:dyDescent="0.25">
      <c r="B6414" s="70">
        <v>43455</v>
      </c>
      <c r="C6414" t="s">
        <v>25</v>
      </c>
      <c r="D6414" t="s">
        <v>87</v>
      </c>
      <c r="E6414" t="s">
        <v>563</v>
      </c>
      <c r="F6414">
        <v>44</v>
      </c>
      <c r="G6414">
        <v>0</v>
      </c>
    </row>
    <row r="6415" spans="2:7" x14ac:dyDescent="0.25">
      <c r="B6415" s="70">
        <v>43455</v>
      </c>
      <c r="C6415" t="s">
        <v>25</v>
      </c>
      <c r="D6415" t="s">
        <v>87</v>
      </c>
      <c r="E6415" t="s">
        <v>563</v>
      </c>
      <c r="F6415">
        <v>75</v>
      </c>
      <c r="G6415">
        <v>0</v>
      </c>
    </row>
    <row r="6416" spans="2:7" x14ac:dyDescent="0.25">
      <c r="B6416" s="70">
        <v>43455</v>
      </c>
      <c r="C6416" t="s">
        <v>25</v>
      </c>
      <c r="D6416" t="s">
        <v>81</v>
      </c>
      <c r="E6416" t="s">
        <v>220</v>
      </c>
      <c r="F6416">
        <v>2.4</v>
      </c>
      <c r="G6416">
        <v>0</v>
      </c>
    </row>
    <row r="6417" spans="2:7" x14ac:dyDescent="0.25">
      <c r="B6417" s="70">
        <v>43455</v>
      </c>
      <c r="C6417" t="s">
        <v>25</v>
      </c>
      <c r="D6417" t="s">
        <v>81</v>
      </c>
      <c r="E6417" t="s">
        <v>124</v>
      </c>
      <c r="F6417">
        <v>10</v>
      </c>
      <c r="G6417">
        <v>0</v>
      </c>
    </row>
    <row r="6418" spans="2:7" x14ac:dyDescent="0.25">
      <c r="B6418" s="70">
        <v>43455</v>
      </c>
      <c r="C6418" t="s">
        <v>25</v>
      </c>
      <c r="D6418" t="s">
        <v>81</v>
      </c>
      <c r="E6418" t="s">
        <v>164</v>
      </c>
      <c r="F6418">
        <v>24</v>
      </c>
      <c r="G6418">
        <v>0</v>
      </c>
    </row>
    <row r="6419" spans="2:7" x14ac:dyDescent="0.25">
      <c r="B6419" s="70">
        <v>43455</v>
      </c>
      <c r="C6419" t="s">
        <v>46</v>
      </c>
      <c r="D6419" t="s">
        <v>82</v>
      </c>
      <c r="E6419" t="s">
        <v>563</v>
      </c>
      <c r="F6419">
        <v>14.6</v>
      </c>
      <c r="G6419">
        <v>0</v>
      </c>
    </row>
    <row r="6420" spans="2:7" x14ac:dyDescent="0.25">
      <c r="B6420" s="70">
        <v>43455</v>
      </c>
      <c r="C6420" t="s">
        <v>57</v>
      </c>
      <c r="D6420" t="s">
        <v>87</v>
      </c>
      <c r="E6420" t="s">
        <v>563</v>
      </c>
      <c r="F6420">
        <v>684.29</v>
      </c>
      <c r="G6420">
        <v>0</v>
      </c>
    </row>
    <row r="6421" spans="2:7" x14ac:dyDescent="0.25">
      <c r="B6421" s="70">
        <v>43455</v>
      </c>
      <c r="C6421" t="s">
        <v>44</v>
      </c>
      <c r="D6421" t="s">
        <v>82</v>
      </c>
      <c r="E6421" t="s">
        <v>563</v>
      </c>
      <c r="F6421">
        <v>589.76</v>
      </c>
      <c r="G6421">
        <v>0</v>
      </c>
    </row>
    <row r="6422" spans="2:7" x14ac:dyDescent="0.25">
      <c r="B6422" s="70">
        <v>43455</v>
      </c>
      <c r="C6422" t="s">
        <v>21</v>
      </c>
      <c r="D6422" t="s">
        <v>79</v>
      </c>
      <c r="E6422" t="s">
        <v>563</v>
      </c>
      <c r="F6422">
        <v>8</v>
      </c>
      <c r="G6422">
        <v>0</v>
      </c>
    </row>
    <row r="6423" spans="2:7" x14ac:dyDescent="0.25">
      <c r="B6423" s="70">
        <v>43455</v>
      </c>
      <c r="C6423" t="s">
        <v>21</v>
      </c>
      <c r="D6423" t="s">
        <v>79</v>
      </c>
      <c r="E6423" t="s">
        <v>563</v>
      </c>
      <c r="F6423">
        <v>16</v>
      </c>
      <c r="G6423">
        <v>0</v>
      </c>
    </row>
    <row r="6424" spans="2:7" x14ac:dyDescent="0.25">
      <c r="B6424" s="70">
        <v>43455</v>
      </c>
      <c r="C6424" t="s">
        <v>21</v>
      </c>
      <c r="D6424" t="s">
        <v>79</v>
      </c>
      <c r="E6424" t="s">
        <v>563</v>
      </c>
      <c r="F6424">
        <v>64</v>
      </c>
      <c r="G6424">
        <v>0</v>
      </c>
    </row>
    <row r="6425" spans="2:7" x14ac:dyDescent="0.25">
      <c r="B6425" s="70">
        <v>43455</v>
      </c>
      <c r="C6425" t="s">
        <v>21</v>
      </c>
      <c r="D6425" t="s">
        <v>79</v>
      </c>
      <c r="E6425" t="s">
        <v>563</v>
      </c>
      <c r="F6425">
        <v>72</v>
      </c>
      <c r="G6425">
        <v>0</v>
      </c>
    </row>
    <row r="6426" spans="2:7" x14ac:dyDescent="0.25">
      <c r="B6426" s="70">
        <v>43455</v>
      </c>
      <c r="C6426" t="s">
        <v>48</v>
      </c>
      <c r="D6426" t="s">
        <v>83</v>
      </c>
      <c r="E6426" t="s">
        <v>563</v>
      </c>
      <c r="F6426">
        <v>44.97</v>
      </c>
      <c r="G6426">
        <v>0</v>
      </c>
    </row>
    <row r="6427" spans="2:7" x14ac:dyDescent="0.25">
      <c r="B6427" s="70">
        <v>43455</v>
      </c>
      <c r="C6427" t="s">
        <v>64</v>
      </c>
      <c r="D6427" t="s">
        <v>85</v>
      </c>
      <c r="E6427" t="s">
        <v>563</v>
      </c>
      <c r="F6427">
        <v>39.5</v>
      </c>
      <c r="G6427">
        <v>0</v>
      </c>
    </row>
    <row r="6428" spans="2:7" x14ac:dyDescent="0.25">
      <c r="B6428" s="70">
        <v>43455</v>
      </c>
      <c r="C6428" t="s">
        <v>55</v>
      </c>
      <c r="D6428" t="s">
        <v>87</v>
      </c>
      <c r="E6428" t="s">
        <v>563</v>
      </c>
      <c r="F6428">
        <v>0</v>
      </c>
      <c r="G6428">
        <v>555.79999999999995</v>
      </c>
    </row>
    <row r="6429" spans="2:7" x14ac:dyDescent="0.25">
      <c r="B6429" s="70">
        <v>43455</v>
      </c>
      <c r="C6429" t="s">
        <v>50</v>
      </c>
      <c r="D6429" t="s">
        <v>82</v>
      </c>
      <c r="E6429" t="s">
        <v>563</v>
      </c>
      <c r="F6429">
        <v>10.49</v>
      </c>
      <c r="G6429">
        <v>0</v>
      </c>
    </row>
    <row r="6430" spans="2:7" x14ac:dyDescent="0.25">
      <c r="B6430" s="70">
        <v>43455</v>
      </c>
      <c r="C6430" t="s">
        <v>65</v>
      </c>
      <c r="D6430" t="s">
        <v>86</v>
      </c>
      <c r="E6430" t="s">
        <v>563</v>
      </c>
      <c r="F6430">
        <v>1385.75</v>
      </c>
      <c r="G6430">
        <v>0</v>
      </c>
    </row>
    <row r="6431" spans="2:7" x14ac:dyDescent="0.25">
      <c r="B6431" s="70">
        <v>43455</v>
      </c>
      <c r="C6431" t="s">
        <v>24</v>
      </c>
      <c r="D6431" t="s">
        <v>79</v>
      </c>
      <c r="E6431" t="s">
        <v>563</v>
      </c>
      <c r="F6431">
        <v>8</v>
      </c>
      <c r="G6431">
        <v>0</v>
      </c>
    </row>
    <row r="6432" spans="2:7" x14ac:dyDescent="0.25">
      <c r="B6432" s="70">
        <v>43455</v>
      </c>
      <c r="C6432" t="s">
        <v>61</v>
      </c>
      <c r="D6432" t="s">
        <v>87</v>
      </c>
      <c r="E6432" t="s">
        <v>563</v>
      </c>
      <c r="F6432">
        <v>555.79999999999995</v>
      </c>
      <c r="G6432">
        <v>0</v>
      </c>
    </row>
    <row r="6433" spans="2:7" x14ac:dyDescent="0.25">
      <c r="B6433" s="70">
        <v>43298</v>
      </c>
      <c r="C6433" t="s">
        <v>25</v>
      </c>
      <c r="D6433" t="s">
        <v>79</v>
      </c>
      <c r="E6433" t="s">
        <v>564</v>
      </c>
      <c r="F6433">
        <v>8</v>
      </c>
      <c r="G6433">
        <v>0</v>
      </c>
    </row>
    <row r="6434" spans="2:7" x14ac:dyDescent="0.25">
      <c r="B6434" s="70">
        <v>43298</v>
      </c>
      <c r="C6434" t="s">
        <v>25</v>
      </c>
      <c r="D6434" t="s">
        <v>79</v>
      </c>
      <c r="E6434" t="s">
        <v>564</v>
      </c>
      <c r="F6434">
        <v>16</v>
      </c>
      <c r="G6434">
        <v>0</v>
      </c>
    </row>
    <row r="6435" spans="2:7" x14ac:dyDescent="0.25">
      <c r="B6435" s="70">
        <v>43298</v>
      </c>
      <c r="C6435" t="s">
        <v>25</v>
      </c>
      <c r="D6435" t="s">
        <v>80</v>
      </c>
      <c r="E6435" t="s">
        <v>564</v>
      </c>
      <c r="F6435">
        <v>25.99</v>
      </c>
      <c r="G6435">
        <v>0</v>
      </c>
    </row>
    <row r="6436" spans="2:7" x14ac:dyDescent="0.25">
      <c r="B6436" s="70">
        <v>43298</v>
      </c>
      <c r="C6436" t="s">
        <v>25</v>
      </c>
      <c r="D6436" t="s">
        <v>80</v>
      </c>
      <c r="E6436" t="s">
        <v>564</v>
      </c>
      <c r="F6436">
        <v>96</v>
      </c>
      <c r="G6436">
        <v>0</v>
      </c>
    </row>
    <row r="6437" spans="2:7" x14ac:dyDescent="0.25">
      <c r="B6437" s="70">
        <v>43298</v>
      </c>
      <c r="C6437" t="s">
        <v>25</v>
      </c>
      <c r="D6437" t="s">
        <v>80</v>
      </c>
      <c r="E6437" t="s">
        <v>564</v>
      </c>
      <c r="F6437">
        <v>13.6</v>
      </c>
      <c r="G6437">
        <v>0</v>
      </c>
    </row>
    <row r="6438" spans="2:7" x14ac:dyDescent="0.25">
      <c r="B6438" s="70">
        <v>43298</v>
      </c>
      <c r="C6438" t="s">
        <v>25</v>
      </c>
      <c r="D6438" t="s">
        <v>87</v>
      </c>
      <c r="E6438" t="s">
        <v>564</v>
      </c>
      <c r="F6438">
        <v>28.75</v>
      </c>
      <c r="G6438">
        <v>0</v>
      </c>
    </row>
    <row r="6439" spans="2:7" x14ac:dyDescent="0.25">
      <c r="B6439" s="70">
        <v>43298</v>
      </c>
      <c r="C6439" t="s">
        <v>25</v>
      </c>
      <c r="D6439" t="s">
        <v>87</v>
      </c>
      <c r="E6439" t="s">
        <v>564</v>
      </c>
      <c r="F6439">
        <v>47.98</v>
      </c>
      <c r="G6439">
        <v>0</v>
      </c>
    </row>
    <row r="6440" spans="2:7" x14ac:dyDescent="0.25">
      <c r="B6440" s="70">
        <v>43298</v>
      </c>
      <c r="C6440" t="s">
        <v>25</v>
      </c>
      <c r="D6440" t="s">
        <v>87</v>
      </c>
      <c r="E6440" t="s">
        <v>564</v>
      </c>
      <c r="F6440">
        <v>27.9</v>
      </c>
      <c r="G6440">
        <v>0</v>
      </c>
    </row>
    <row r="6441" spans="2:7" x14ac:dyDescent="0.25">
      <c r="B6441" s="70">
        <v>43298</v>
      </c>
      <c r="C6441" t="s">
        <v>25</v>
      </c>
      <c r="D6441" t="s">
        <v>87</v>
      </c>
      <c r="E6441" t="s">
        <v>564</v>
      </c>
      <c r="F6441">
        <v>43</v>
      </c>
      <c r="G6441">
        <v>0</v>
      </c>
    </row>
    <row r="6442" spans="2:7" x14ac:dyDescent="0.25">
      <c r="B6442" s="70">
        <v>43298</v>
      </c>
      <c r="C6442" t="s">
        <v>25</v>
      </c>
      <c r="D6442" t="s">
        <v>87</v>
      </c>
      <c r="E6442" t="s">
        <v>564</v>
      </c>
      <c r="F6442">
        <v>40.19</v>
      </c>
      <c r="G6442">
        <v>0</v>
      </c>
    </row>
    <row r="6443" spans="2:7" x14ac:dyDescent="0.25">
      <c r="B6443" s="70">
        <v>43298</v>
      </c>
      <c r="C6443" t="s">
        <v>25</v>
      </c>
      <c r="D6443" t="s">
        <v>87</v>
      </c>
      <c r="E6443" t="s">
        <v>564</v>
      </c>
      <c r="F6443">
        <v>38.18</v>
      </c>
      <c r="G6443">
        <v>0</v>
      </c>
    </row>
    <row r="6444" spans="2:7" x14ac:dyDescent="0.25">
      <c r="B6444" s="70">
        <v>43298</v>
      </c>
      <c r="C6444" t="s">
        <v>25</v>
      </c>
      <c r="D6444" t="s">
        <v>81</v>
      </c>
      <c r="E6444" t="s">
        <v>216</v>
      </c>
      <c r="F6444">
        <v>3.6</v>
      </c>
      <c r="G6444">
        <v>0</v>
      </c>
    </row>
    <row r="6445" spans="2:7" x14ac:dyDescent="0.25">
      <c r="B6445" s="70">
        <v>43298</v>
      </c>
      <c r="C6445" t="s">
        <v>25</v>
      </c>
      <c r="D6445" t="s">
        <v>81</v>
      </c>
      <c r="E6445" t="s">
        <v>131</v>
      </c>
      <c r="F6445">
        <v>3.7</v>
      </c>
      <c r="G6445">
        <v>0</v>
      </c>
    </row>
    <row r="6446" spans="2:7" x14ac:dyDescent="0.25">
      <c r="B6446" s="70">
        <v>43298</v>
      </c>
      <c r="C6446" t="s">
        <v>25</v>
      </c>
      <c r="D6446" t="s">
        <v>81</v>
      </c>
      <c r="E6446" t="s">
        <v>179</v>
      </c>
      <c r="F6446">
        <v>2.25</v>
      </c>
      <c r="G6446">
        <v>0</v>
      </c>
    </row>
    <row r="6447" spans="2:7" x14ac:dyDescent="0.25">
      <c r="B6447" s="70">
        <v>43298</v>
      </c>
      <c r="C6447" t="s">
        <v>47</v>
      </c>
      <c r="D6447" t="s">
        <v>83</v>
      </c>
      <c r="E6447" t="s">
        <v>564</v>
      </c>
      <c r="F6447">
        <v>76.98</v>
      </c>
      <c r="G6447">
        <v>0</v>
      </c>
    </row>
    <row r="6448" spans="2:7" x14ac:dyDescent="0.25">
      <c r="B6448" s="70">
        <v>43298</v>
      </c>
      <c r="C6448" t="s">
        <v>51</v>
      </c>
      <c r="D6448" t="s">
        <v>80</v>
      </c>
      <c r="E6448" t="s">
        <v>564</v>
      </c>
      <c r="F6448">
        <v>53.85</v>
      </c>
      <c r="G6448">
        <v>0</v>
      </c>
    </row>
    <row r="6449" spans="2:7" x14ac:dyDescent="0.25">
      <c r="B6449" s="70">
        <v>43298</v>
      </c>
      <c r="C6449" t="s">
        <v>57</v>
      </c>
      <c r="D6449" t="s">
        <v>86</v>
      </c>
      <c r="E6449" t="s">
        <v>564</v>
      </c>
      <c r="F6449">
        <v>41.4</v>
      </c>
      <c r="G6449">
        <v>0</v>
      </c>
    </row>
    <row r="6450" spans="2:7" x14ac:dyDescent="0.25">
      <c r="B6450" s="70">
        <v>43298</v>
      </c>
      <c r="C6450" t="s">
        <v>21</v>
      </c>
      <c r="D6450" t="s">
        <v>79</v>
      </c>
      <c r="E6450" t="s">
        <v>564</v>
      </c>
      <c r="F6450">
        <v>8</v>
      </c>
      <c r="G6450">
        <v>0</v>
      </c>
    </row>
    <row r="6451" spans="2:7" x14ac:dyDescent="0.25">
      <c r="B6451" s="70">
        <v>43298</v>
      </c>
      <c r="C6451" t="s">
        <v>21</v>
      </c>
      <c r="D6451" t="s">
        <v>79</v>
      </c>
      <c r="E6451" t="s">
        <v>564</v>
      </c>
      <c r="F6451">
        <v>64</v>
      </c>
      <c r="G6451">
        <v>0</v>
      </c>
    </row>
    <row r="6452" spans="2:7" x14ac:dyDescent="0.25">
      <c r="B6452" s="70">
        <v>43298</v>
      </c>
      <c r="C6452" t="s">
        <v>45</v>
      </c>
      <c r="D6452" t="s">
        <v>86</v>
      </c>
      <c r="E6452" t="s">
        <v>564</v>
      </c>
      <c r="F6452">
        <v>700.28</v>
      </c>
      <c r="G6452">
        <v>0</v>
      </c>
    </row>
    <row r="6453" spans="2:7" x14ac:dyDescent="0.25">
      <c r="B6453" s="70">
        <v>43298</v>
      </c>
      <c r="C6453" t="s">
        <v>45</v>
      </c>
      <c r="D6453" t="s">
        <v>82</v>
      </c>
      <c r="E6453" t="s">
        <v>564</v>
      </c>
      <c r="F6453">
        <v>225.5</v>
      </c>
      <c r="G6453">
        <v>0</v>
      </c>
    </row>
    <row r="6454" spans="2:7" x14ac:dyDescent="0.25">
      <c r="B6454" s="70">
        <v>43298</v>
      </c>
      <c r="C6454" t="s">
        <v>50</v>
      </c>
      <c r="D6454" t="s">
        <v>82</v>
      </c>
      <c r="E6454" t="s">
        <v>564</v>
      </c>
      <c r="F6454">
        <v>3.47</v>
      </c>
      <c r="G6454">
        <v>0</v>
      </c>
    </row>
    <row r="6455" spans="2:7" x14ac:dyDescent="0.25">
      <c r="B6455" s="70">
        <v>43298</v>
      </c>
      <c r="C6455" t="s">
        <v>24</v>
      </c>
      <c r="D6455" t="s">
        <v>79</v>
      </c>
      <c r="E6455" t="s">
        <v>564</v>
      </c>
      <c r="F6455">
        <v>8</v>
      </c>
      <c r="G6455">
        <v>0</v>
      </c>
    </row>
    <row r="6456" spans="2:7" x14ac:dyDescent="0.25">
      <c r="B6456" s="70">
        <v>43330</v>
      </c>
      <c r="C6456" t="s">
        <v>25</v>
      </c>
      <c r="D6456" t="s">
        <v>81</v>
      </c>
      <c r="E6456" t="s">
        <v>124</v>
      </c>
      <c r="F6456">
        <v>27.4</v>
      </c>
      <c r="G6456">
        <v>0</v>
      </c>
    </row>
    <row r="6457" spans="2:7" x14ac:dyDescent="0.25">
      <c r="B6457" s="70">
        <v>43330</v>
      </c>
      <c r="C6457" t="s">
        <v>48</v>
      </c>
      <c r="D6457" t="s">
        <v>82</v>
      </c>
      <c r="E6457" t="s">
        <v>565</v>
      </c>
      <c r="F6457">
        <v>38</v>
      </c>
      <c r="G6457">
        <v>0</v>
      </c>
    </row>
    <row r="6458" spans="2:7" x14ac:dyDescent="0.25">
      <c r="B6458" s="70">
        <v>43342</v>
      </c>
      <c r="C6458" t="s">
        <v>25</v>
      </c>
      <c r="D6458" t="s">
        <v>81</v>
      </c>
      <c r="E6458" t="s">
        <v>124</v>
      </c>
      <c r="F6458">
        <v>8.6999999999999993</v>
      </c>
      <c r="G6458">
        <v>0</v>
      </c>
    </row>
    <row r="6459" spans="2:7" x14ac:dyDescent="0.25">
      <c r="B6459" s="70">
        <v>43342</v>
      </c>
      <c r="C6459" t="s">
        <v>66</v>
      </c>
      <c r="D6459" t="s">
        <v>82</v>
      </c>
      <c r="E6459" t="s">
        <v>566</v>
      </c>
      <c r="F6459">
        <v>10</v>
      </c>
      <c r="G6459">
        <v>0</v>
      </c>
    </row>
    <row r="6460" spans="2:7" x14ac:dyDescent="0.25">
      <c r="B6460" s="70">
        <v>43342</v>
      </c>
      <c r="C6460" t="s">
        <v>73</v>
      </c>
      <c r="D6460" t="s">
        <v>82</v>
      </c>
      <c r="E6460" t="s">
        <v>566</v>
      </c>
      <c r="F6460">
        <v>69.400000000000006</v>
      </c>
      <c r="G6460">
        <v>0</v>
      </c>
    </row>
    <row r="6461" spans="2:7" x14ac:dyDescent="0.25">
      <c r="B6461" s="70">
        <v>43342</v>
      </c>
      <c r="C6461" t="s">
        <v>60</v>
      </c>
      <c r="D6461" t="s">
        <v>79</v>
      </c>
      <c r="E6461" t="s">
        <v>566</v>
      </c>
      <c r="F6461">
        <v>23.89</v>
      </c>
      <c r="G6461">
        <v>0</v>
      </c>
    </row>
    <row r="6462" spans="2:7" x14ac:dyDescent="0.25">
      <c r="B6462" s="70">
        <v>43463</v>
      </c>
      <c r="C6462" t="s">
        <v>25</v>
      </c>
      <c r="D6462" t="s">
        <v>81</v>
      </c>
      <c r="E6462" t="s">
        <v>124</v>
      </c>
      <c r="F6462">
        <v>30</v>
      </c>
      <c r="G6462">
        <v>0</v>
      </c>
    </row>
    <row r="6463" spans="2:7" x14ac:dyDescent="0.25">
      <c r="B6463" s="70">
        <v>43257</v>
      </c>
      <c r="C6463" t="s">
        <v>25</v>
      </c>
      <c r="D6463" t="s">
        <v>85</v>
      </c>
      <c r="E6463" t="s">
        <v>567</v>
      </c>
      <c r="F6463">
        <v>48.2</v>
      </c>
      <c r="G6463">
        <v>0</v>
      </c>
    </row>
    <row r="6464" spans="2:7" x14ac:dyDescent="0.25">
      <c r="B6464" s="70">
        <v>43257</v>
      </c>
      <c r="C6464" t="s">
        <v>25</v>
      </c>
      <c r="D6464" t="s">
        <v>81</v>
      </c>
      <c r="E6464" t="s">
        <v>153</v>
      </c>
      <c r="F6464">
        <v>3.7</v>
      </c>
      <c r="G6464">
        <v>0</v>
      </c>
    </row>
    <row r="6465" spans="2:7" x14ac:dyDescent="0.25">
      <c r="B6465" s="70">
        <v>43257</v>
      </c>
      <c r="C6465" t="s">
        <v>25</v>
      </c>
      <c r="D6465" t="s">
        <v>82</v>
      </c>
      <c r="E6465" t="s">
        <v>567</v>
      </c>
      <c r="F6465">
        <v>30</v>
      </c>
      <c r="G6465">
        <v>0</v>
      </c>
    </row>
    <row r="6466" spans="2:7" x14ac:dyDescent="0.25">
      <c r="B6466" s="70">
        <v>43257</v>
      </c>
      <c r="C6466" t="s">
        <v>51</v>
      </c>
      <c r="D6466" t="s">
        <v>82</v>
      </c>
      <c r="E6466" t="s">
        <v>567</v>
      </c>
      <c r="F6466">
        <v>127</v>
      </c>
      <c r="G6466">
        <v>0</v>
      </c>
    </row>
    <row r="6467" spans="2:7" x14ac:dyDescent="0.25">
      <c r="B6467" s="70">
        <v>43257</v>
      </c>
      <c r="C6467" t="s">
        <v>21</v>
      </c>
      <c r="D6467" t="s">
        <v>79</v>
      </c>
      <c r="E6467" t="s">
        <v>567</v>
      </c>
      <c r="F6467">
        <v>8</v>
      </c>
      <c r="G6467">
        <v>0</v>
      </c>
    </row>
    <row r="6468" spans="2:7" x14ac:dyDescent="0.25">
      <c r="B6468" s="70">
        <v>43257</v>
      </c>
      <c r="C6468" t="s">
        <v>21</v>
      </c>
      <c r="D6468" t="s">
        <v>79</v>
      </c>
      <c r="E6468" t="s">
        <v>567</v>
      </c>
      <c r="F6468">
        <v>16</v>
      </c>
      <c r="G6468">
        <v>0</v>
      </c>
    </row>
    <row r="6469" spans="2:7" x14ac:dyDescent="0.25">
      <c r="B6469" s="70">
        <v>43257</v>
      </c>
      <c r="C6469" t="s">
        <v>21</v>
      </c>
      <c r="D6469" t="s">
        <v>79</v>
      </c>
      <c r="E6469" t="s">
        <v>567</v>
      </c>
      <c r="F6469">
        <v>24</v>
      </c>
      <c r="G6469">
        <v>0</v>
      </c>
    </row>
    <row r="6470" spans="2:7" x14ac:dyDescent="0.25">
      <c r="B6470" s="70">
        <v>43257</v>
      </c>
      <c r="C6470" t="s">
        <v>21</v>
      </c>
      <c r="D6470" t="s">
        <v>79</v>
      </c>
      <c r="E6470" t="s">
        <v>567</v>
      </c>
      <c r="F6470">
        <v>48</v>
      </c>
      <c r="G6470">
        <v>0</v>
      </c>
    </row>
    <row r="6471" spans="2:7" x14ac:dyDescent="0.25">
      <c r="B6471" s="70">
        <v>43257</v>
      </c>
      <c r="C6471" t="s">
        <v>21</v>
      </c>
      <c r="D6471" t="s">
        <v>79</v>
      </c>
      <c r="E6471" t="s">
        <v>567</v>
      </c>
      <c r="F6471">
        <v>56</v>
      </c>
      <c r="G6471">
        <v>0</v>
      </c>
    </row>
    <row r="6472" spans="2:7" x14ac:dyDescent="0.25">
      <c r="B6472" s="70">
        <v>43257</v>
      </c>
      <c r="C6472" t="s">
        <v>45</v>
      </c>
      <c r="D6472" t="s">
        <v>85</v>
      </c>
      <c r="E6472" t="s">
        <v>567</v>
      </c>
      <c r="F6472">
        <v>62.6</v>
      </c>
      <c r="G6472">
        <v>0</v>
      </c>
    </row>
    <row r="6473" spans="2:7" x14ac:dyDescent="0.25">
      <c r="B6473" s="70">
        <v>43257</v>
      </c>
      <c r="C6473" t="s">
        <v>24</v>
      </c>
      <c r="D6473" t="s">
        <v>79</v>
      </c>
      <c r="E6473" t="s">
        <v>567</v>
      </c>
      <c r="F6473">
        <v>8</v>
      </c>
      <c r="G6473">
        <v>0</v>
      </c>
    </row>
    <row r="6474" spans="2:7" x14ac:dyDescent="0.25">
      <c r="B6474" s="70">
        <v>43257</v>
      </c>
      <c r="C6474" t="s">
        <v>60</v>
      </c>
      <c r="D6474" t="s">
        <v>79</v>
      </c>
      <c r="E6474" t="s">
        <v>567</v>
      </c>
      <c r="F6474">
        <v>33</v>
      </c>
      <c r="G6474">
        <v>0</v>
      </c>
    </row>
    <row r="6475" spans="2:7" x14ac:dyDescent="0.25">
      <c r="B6475" s="70">
        <v>43266</v>
      </c>
      <c r="C6475" t="s">
        <v>25</v>
      </c>
      <c r="D6475" t="s">
        <v>85</v>
      </c>
      <c r="E6475" t="s">
        <v>568</v>
      </c>
      <c r="F6475">
        <v>12.93</v>
      </c>
      <c r="G6475">
        <v>0</v>
      </c>
    </row>
    <row r="6476" spans="2:7" x14ac:dyDescent="0.25">
      <c r="B6476" s="70">
        <v>43266</v>
      </c>
      <c r="C6476" t="s">
        <v>25</v>
      </c>
      <c r="D6476" t="s">
        <v>80</v>
      </c>
      <c r="E6476" t="s">
        <v>568</v>
      </c>
      <c r="F6476">
        <v>112</v>
      </c>
      <c r="G6476">
        <v>0</v>
      </c>
    </row>
    <row r="6477" spans="2:7" x14ac:dyDescent="0.25">
      <c r="B6477" s="70">
        <v>43266</v>
      </c>
      <c r="C6477" t="s">
        <v>25</v>
      </c>
      <c r="D6477" t="s">
        <v>80</v>
      </c>
      <c r="E6477" t="s">
        <v>568</v>
      </c>
      <c r="F6477">
        <v>81.47</v>
      </c>
      <c r="G6477">
        <v>0</v>
      </c>
    </row>
    <row r="6478" spans="2:7" x14ac:dyDescent="0.25">
      <c r="B6478" s="70">
        <v>43266</v>
      </c>
      <c r="C6478" t="s">
        <v>25</v>
      </c>
      <c r="D6478" t="s">
        <v>87</v>
      </c>
      <c r="E6478" t="s">
        <v>568</v>
      </c>
      <c r="F6478">
        <v>65</v>
      </c>
      <c r="G6478">
        <v>0</v>
      </c>
    </row>
    <row r="6479" spans="2:7" x14ac:dyDescent="0.25">
      <c r="B6479" s="70">
        <v>43266</v>
      </c>
      <c r="C6479" t="s">
        <v>25</v>
      </c>
      <c r="D6479" t="s">
        <v>87</v>
      </c>
      <c r="E6479" t="s">
        <v>568</v>
      </c>
      <c r="F6479">
        <v>25.68</v>
      </c>
      <c r="G6479">
        <v>0</v>
      </c>
    </row>
    <row r="6480" spans="2:7" x14ac:dyDescent="0.25">
      <c r="B6480" s="70">
        <v>43266</v>
      </c>
      <c r="C6480" t="s">
        <v>25</v>
      </c>
      <c r="D6480" t="s">
        <v>87</v>
      </c>
      <c r="E6480" t="s">
        <v>568</v>
      </c>
      <c r="F6480">
        <v>30.84</v>
      </c>
      <c r="G6480">
        <v>0</v>
      </c>
    </row>
    <row r="6481" spans="2:7" x14ac:dyDescent="0.25">
      <c r="B6481" s="70">
        <v>43266</v>
      </c>
      <c r="C6481" t="s">
        <v>25</v>
      </c>
      <c r="D6481" t="s">
        <v>87</v>
      </c>
      <c r="E6481" t="s">
        <v>568</v>
      </c>
      <c r="F6481">
        <v>197.93</v>
      </c>
      <c r="G6481">
        <v>0</v>
      </c>
    </row>
    <row r="6482" spans="2:7" x14ac:dyDescent="0.25">
      <c r="B6482" s="70">
        <v>43266</v>
      </c>
      <c r="C6482" t="s">
        <v>25</v>
      </c>
      <c r="D6482" t="s">
        <v>87</v>
      </c>
      <c r="E6482" t="s">
        <v>568</v>
      </c>
      <c r="F6482">
        <v>31.02</v>
      </c>
      <c r="G6482">
        <v>0</v>
      </c>
    </row>
    <row r="6483" spans="2:7" x14ac:dyDescent="0.25">
      <c r="B6483" s="70">
        <v>43266</v>
      </c>
      <c r="C6483" t="s">
        <v>25</v>
      </c>
      <c r="D6483" t="s">
        <v>87</v>
      </c>
      <c r="E6483" t="s">
        <v>568</v>
      </c>
      <c r="F6483">
        <v>29.09</v>
      </c>
      <c r="G6483">
        <v>0</v>
      </c>
    </row>
    <row r="6484" spans="2:7" x14ac:dyDescent="0.25">
      <c r="B6484" s="70">
        <v>43266</v>
      </c>
      <c r="C6484" t="s">
        <v>25</v>
      </c>
      <c r="D6484" t="s">
        <v>87</v>
      </c>
      <c r="E6484" t="s">
        <v>568</v>
      </c>
      <c r="F6484">
        <v>25.53</v>
      </c>
      <c r="G6484">
        <v>0</v>
      </c>
    </row>
    <row r="6485" spans="2:7" x14ac:dyDescent="0.25">
      <c r="B6485" s="70">
        <v>43266</v>
      </c>
      <c r="C6485" t="s">
        <v>25</v>
      </c>
      <c r="D6485" t="s">
        <v>81</v>
      </c>
      <c r="E6485" t="s">
        <v>137</v>
      </c>
      <c r="F6485">
        <v>36</v>
      </c>
      <c r="G6485">
        <v>0</v>
      </c>
    </row>
    <row r="6486" spans="2:7" x14ac:dyDescent="0.25">
      <c r="B6486" s="70">
        <v>43266</v>
      </c>
      <c r="C6486" t="s">
        <v>25</v>
      </c>
      <c r="D6486" t="s">
        <v>81</v>
      </c>
      <c r="E6486" t="s">
        <v>153</v>
      </c>
      <c r="F6486">
        <v>3.7</v>
      </c>
      <c r="G6486">
        <v>0</v>
      </c>
    </row>
    <row r="6487" spans="2:7" x14ac:dyDescent="0.25">
      <c r="B6487" s="70">
        <v>43266</v>
      </c>
      <c r="C6487" t="s">
        <v>25</v>
      </c>
      <c r="D6487" t="s">
        <v>81</v>
      </c>
      <c r="E6487" t="s">
        <v>198</v>
      </c>
      <c r="F6487">
        <v>36.799999999999997</v>
      </c>
      <c r="G6487">
        <v>0</v>
      </c>
    </row>
    <row r="6488" spans="2:7" x14ac:dyDescent="0.25">
      <c r="B6488" s="70">
        <v>43266</v>
      </c>
      <c r="C6488" t="s">
        <v>25</v>
      </c>
      <c r="D6488" t="s">
        <v>81</v>
      </c>
      <c r="E6488" t="s">
        <v>202</v>
      </c>
      <c r="F6488">
        <v>2.25</v>
      </c>
      <c r="G6488">
        <v>0</v>
      </c>
    </row>
    <row r="6489" spans="2:7" x14ac:dyDescent="0.25">
      <c r="B6489" s="70">
        <v>43266</v>
      </c>
      <c r="C6489" t="s">
        <v>25</v>
      </c>
      <c r="D6489" t="s">
        <v>81</v>
      </c>
      <c r="E6489" t="s">
        <v>187</v>
      </c>
      <c r="F6489">
        <v>2.25</v>
      </c>
      <c r="G6489">
        <v>0</v>
      </c>
    </row>
    <row r="6490" spans="2:7" x14ac:dyDescent="0.25">
      <c r="B6490" s="70">
        <v>43266</v>
      </c>
      <c r="C6490" t="s">
        <v>25</v>
      </c>
      <c r="D6490" t="s">
        <v>81</v>
      </c>
      <c r="E6490" t="s">
        <v>127</v>
      </c>
      <c r="F6490">
        <v>1.8</v>
      </c>
      <c r="G6490">
        <v>0</v>
      </c>
    </row>
    <row r="6491" spans="2:7" x14ac:dyDescent="0.25">
      <c r="B6491" s="70">
        <v>43266</v>
      </c>
      <c r="C6491" t="s">
        <v>59</v>
      </c>
      <c r="D6491" t="s">
        <v>83</v>
      </c>
      <c r="E6491" t="s">
        <v>568</v>
      </c>
      <c r="F6491">
        <v>71.97</v>
      </c>
      <c r="G6491">
        <v>0</v>
      </c>
    </row>
    <row r="6492" spans="2:7" x14ac:dyDescent="0.25">
      <c r="B6492" s="70">
        <v>43266</v>
      </c>
      <c r="C6492" t="s">
        <v>56</v>
      </c>
      <c r="D6492" t="s">
        <v>82</v>
      </c>
      <c r="E6492" t="s">
        <v>568</v>
      </c>
      <c r="F6492">
        <v>124.27</v>
      </c>
      <c r="G6492">
        <v>0</v>
      </c>
    </row>
    <row r="6493" spans="2:7" x14ac:dyDescent="0.25">
      <c r="B6493" s="70">
        <v>43266</v>
      </c>
      <c r="C6493" t="s">
        <v>47</v>
      </c>
      <c r="D6493" t="s">
        <v>85</v>
      </c>
      <c r="E6493" t="s">
        <v>568</v>
      </c>
      <c r="F6493">
        <v>20</v>
      </c>
      <c r="G6493">
        <v>0</v>
      </c>
    </row>
    <row r="6494" spans="2:7" x14ac:dyDescent="0.25">
      <c r="B6494" s="70">
        <v>43266</v>
      </c>
      <c r="C6494" t="s">
        <v>21</v>
      </c>
      <c r="D6494" t="s">
        <v>79</v>
      </c>
      <c r="E6494" t="s">
        <v>568</v>
      </c>
      <c r="F6494">
        <v>8</v>
      </c>
      <c r="G6494">
        <v>0</v>
      </c>
    </row>
    <row r="6495" spans="2:7" x14ac:dyDescent="0.25">
      <c r="B6495" s="70">
        <v>43266</v>
      </c>
      <c r="C6495" t="s">
        <v>21</v>
      </c>
      <c r="D6495" t="s">
        <v>79</v>
      </c>
      <c r="E6495" t="s">
        <v>568</v>
      </c>
      <c r="F6495">
        <v>32</v>
      </c>
      <c r="G6495">
        <v>0</v>
      </c>
    </row>
    <row r="6496" spans="2:7" x14ac:dyDescent="0.25">
      <c r="B6496" s="70">
        <v>43266</v>
      </c>
      <c r="C6496" t="s">
        <v>66</v>
      </c>
      <c r="D6496" t="s">
        <v>82</v>
      </c>
      <c r="E6496" t="s">
        <v>568</v>
      </c>
      <c r="F6496">
        <v>10.74</v>
      </c>
      <c r="G6496">
        <v>0</v>
      </c>
    </row>
    <row r="6497" spans="2:7" x14ac:dyDescent="0.25">
      <c r="B6497" s="70">
        <v>43266</v>
      </c>
      <c r="C6497" t="s">
        <v>64</v>
      </c>
      <c r="D6497" t="s">
        <v>82</v>
      </c>
      <c r="E6497" t="s">
        <v>568</v>
      </c>
      <c r="F6497">
        <v>5</v>
      </c>
      <c r="G6497">
        <v>0</v>
      </c>
    </row>
    <row r="6498" spans="2:7" x14ac:dyDescent="0.25">
      <c r="B6498" s="70">
        <v>43266</v>
      </c>
      <c r="C6498" t="s">
        <v>50</v>
      </c>
      <c r="D6498" t="s">
        <v>82</v>
      </c>
      <c r="E6498" t="s">
        <v>568</v>
      </c>
      <c r="F6498">
        <v>10.28</v>
      </c>
      <c r="G6498">
        <v>0</v>
      </c>
    </row>
    <row r="6499" spans="2:7" x14ac:dyDescent="0.25">
      <c r="B6499" s="70">
        <v>43266</v>
      </c>
      <c r="C6499" t="s">
        <v>52</v>
      </c>
      <c r="D6499" t="s">
        <v>79</v>
      </c>
      <c r="E6499" t="s">
        <v>568</v>
      </c>
      <c r="F6499">
        <v>10</v>
      </c>
      <c r="G6499">
        <v>0</v>
      </c>
    </row>
    <row r="6500" spans="2:7" x14ac:dyDescent="0.25">
      <c r="B6500" s="70">
        <v>43266</v>
      </c>
      <c r="C6500" t="s">
        <v>52</v>
      </c>
      <c r="D6500" t="s">
        <v>82</v>
      </c>
      <c r="E6500" t="s">
        <v>568</v>
      </c>
      <c r="F6500">
        <v>12</v>
      </c>
      <c r="G6500">
        <v>0</v>
      </c>
    </row>
    <row r="6501" spans="2:7" x14ac:dyDescent="0.25">
      <c r="B6501" s="70">
        <v>43266</v>
      </c>
      <c r="C6501" t="s">
        <v>24</v>
      </c>
      <c r="D6501" t="s">
        <v>79</v>
      </c>
      <c r="E6501" t="s">
        <v>568</v>
      </c>
      <c r="F6501">
        <v>8</v>
      </c>
      <c r="G6501">
        <v>0</v>
      </c>
    </row>
    <row r="6502" spans="2:7" x14ac:dyDescent="0.25">
      <c r="B6502" s="70">
        <v>43266</v>
      </c>
      <c r="C6502" t="s">
        <v>24</v>
      </c>
      <c r="D6502" t="s">
        <v>79</v>
      </c>
      <c r="E6502" t="s">
        <v>568</v>
      </c>
      <c r="F6502">
        <v>16</v>
      </c>
      <c r="G6502">
        <v>0</v>
      </c>
    </row>
    <row r="6503" spans="2:7" x14ac:dyDescent="0.25">
      <c r="B6503" s="70">
        <v>43266</v>
      </c>
      <c r="C6503" t="s">
        <v>60</v>
      </c>
      <c r="D6503" t="s">
        <v>83</v>
      </c>
      <c r="E6503" t="s">
        <v>568</v>
      </c>
      <c r="F6503">
        <v>135</v>
      </c>
      <c r="G6503">
        <v>0</v>
      </c>
    </row>
    <row r="6504" spans="2:7" x14ac:dyDescent="0.25">
      <c r="B6504" s="70">
        <v>43266</v>
      </c>
      <c r="C6504" t="s">
        <v>60</v>
      </c>
      <c r="D6504" t="s">
        <v>87</v>
      </c>
      <c r="E6504" t="s">
        <v>568</v>
      </c>
      <c r="F6504">
        <v>114.97</v>
      </c>
      <c r="G6504">
        <v>0</v>
      </c>
    </row>
    <row r="6505" spans="2:7" x14ac:dyDescent="0.25">
      <c r="B6505" s="70">
        <v>43321</v>
      </c>
      <c r="C6505" t="s">
        <v>25</v>
      </c>
      <c r="D6505" t="s">
        <v>85</v>
      </c>
      <c r="E6505" t="s">
        <v>569</v>
      </c>
      <c r="F6505">
        <v>13.92</v>
      </c>
      <c r="G6505">
        <v>0</v>
      </c>
    </row>
    <row r="6506" spans="2:7" x14ac:dyDescent="0.25">
      <c r="B6506" s="70">
        <v>43321</v>
      </c>
      <c r="C6506" t="s">
        <v>25</v>
      </c>
      <c r="D6506" t="s">
        <v>80</v>
      </c>
      <c r="E6506" t="s">
        <v>569</v>
      </c>
      <c r="F6506">
        <v>8.5</v>
      </c>
      <c r="G6506">
        <v>0</v>
      </c>
    </row>
    <row r="6507" spans="2:7" x14ac:dyDescent="0.25">
      <c r="B6507" s="70">
        <v>43321</v>
      </c>
      <c r="C6507" t="s">
        <v>25</v>
      </c>
      <c r="D6507" t="s">
        <v>80</v>
      </c>
      <c r="E6507" t="s">
        <v>569</v>
      </c>
      <c r="F6507">
        <v>27.8</v>
      </c>
      <c r="G6507">
        <v>0</v>
      </c>
    </row>
    <row r="6508" spans="2:7" x14ac:dyDescent="0.25">
      <c r="B6508" s="70">
        <v>43321</v>
      </c>
      <c r="C6508" t="s">
        <v>25</v>
      </c>
      <c r="D6508" t="s">
        <v>80</v>
      </c>
      <c r="E6508" t="s">
        <v>569</v>
      </c>
      <c r="F6508">
        <v>44.85</v>
      </c>
      <c r="G6508">
        <v>0</v>
      </c>
    </row>
    <row r="6509" spans="2:7" x14ac:dyDescent="0.25">
      <c r="B6509" s="70">
        <v>43321</v>
      </c>
      <c r="C6509" t="s">
        <v>25</v>
      </c>
      <c r="D6509" t="s">
        <v>87</v>
      </c>
      <c r="E6509" t="s">
        <v>569</v>
      </c>
      <c r="F6509">
        <v>24.5</v>
      </c>
      <c r="G6509">
        <v>0</v>
      </c>
    </row>
    <row r="6510" spans="2:7" x14ac:dyDescent="0.25">
      <c r="B6510" s="70">
        <v>43321</v>
      </c>
      <c r="C6510" t="s">
        <v>25</v>
      </c>
      <c r="D6510" t="s">
        <v>87</v>
      </c>
      <c r="E6510" t="s">
        <v>569</v>
      </c>
      <c r="F6510">
        <v>33</v>
      </c>
      <c r="G6510">
        <v>0</v>
      </c>
    </row>
    <row r="6511" spans="2:7" x14ac:dyDescent="0.25">
      <c r="B6511" s="70">
        <v>43321</v>
      </c>
      <c r="C6511" t="s">
        <v>25</v>
      </c>
      <c r="D6511" t="s">
        <v>87</v>
      </c>
      <c r="E6511" t="s">
        <v>569</v>
      </c>
      <c r="F6511">
        <v>78.8</v>
      </c>
      <c r="G6511">
        <v>0</v>
      </c>
    </row>
    <row r="6512" spans="2:7" x14ac:dyDescent="0.25">
      <c r="B6512" s="70">
        <v>43321</v>
      </c>
      <c r="C6512" t="s">
        <v>25</v>
      </c>
      <c r="D6512" t="s">
        <v>87</v>
      </c>
      <c r="E6512" t="s">
        <v>569</v>
      </c>
      <c r="F6512">
        <v>152.08000000000001</v>
      </c>
      <c r="G6512">
        <v>0</v>
      </c>
    </row>
    <row r="6513" spans="2:7" x14ac:dyDescent="0.25">
      <c r="B6513" s="70">
        <v>43321</v>
      </c>
      <c r="C6513" t="s">
        <v>25</v>
      </c>
      <c r="D6513" t="s">
        <v>87</v>
      </c>
      <c r="E6513" t="s">
        <v>569</v>
      </c>
      <c r="F6513">
        <v>102.39</v>
      </c>
      <c r="G6513">
        <v>0</v>
      </c>
    </row>
    <row r="6514" spans="2:7" x14ac:dyDescent="0.25">
      <c r="B6514" s="70">
        <v>43321</v>
      </c>
      <c r="C6514" t="s">
        <v>25</v>
      </c>
      <c r="D6514" t="s">
        <v>87</v>
      </c>
      <c r="E6514" t="s">
        <v>569</v>
      </c>
      <c r="F6514">
        <v>28.82</v>
      </c>
      <c r="G6514">
        <v>0</v>
      </c>
    </row>
    <row r="6515" spans="2:7" x14ac:dyDescent="0.25">
      <c r="B6515" s="70">
        <v>43321</v>
      </c>
      <c r="C6515" t="s">
        <v>25</v>
      </c>
      <c r="D6515" t="s">
        <v>87</v>
      </c>
      <c r="E6515" t="s">
        <v>569</v>
      </c>
      <c r="F6515">
        <v>45.48</v>
      </c>
      <c r="G6515">
        <v>0</v>
      </c>
    </row>
    <row r="6516" spans="2:7" x14ac:dyDescent="0.25">
      <c r="B6516" s="70">
        <v>43321</v>
      </c>
      <c r="C6516" t="s">
        <v>25</v>
      </c>
      <c r="D6516" t="s">
        <v>87</v>
      </c>
      <c r="E6516" t="s">
        <v>569</v>
      </c>
      <c r="F6516">
        <v>40.299999999999997</v>
      </c>
      <c r="G6516">
        <v>0</v>
      </c>
    </row>
    <row r="6517" spans="2:7" x14ac:dyDescent="0.25">
      <c r="B6517" s="70">
        <v>43321</v>
      </c>
      <c r="C6517" t="s">
        <v>25</v>
      </c>
      <c r="D6517" t="s">
        <v>81</v>
      </c>
      <c r="E6517" t="s">
        <v>144</v>
      </c>
      <c r="F6517">
        <v>12</v>
      </c>
      <c r="G6517">
        <v>0</v>
      </c>
    </row>
    <row r="6518" spans="2:7" x14ac:dyDescent="0.25">
      <c r="B6518" s="70">
        <v>43321</v>
      </c>
      <c r="C6518" t="s">
        <v>25</v>
      </c>
      <c r="D6518" t="s">
        <v>81</v>
      </c>
      <c r="E6518" t="s">
        <v>153</v>
      </c>
      <c r="F6518">
        <v>7.4</v>
      </c>
      <c r="G6518">
        <v>0</v>
      </c>
    </row>
    <row r="6519" spans="2:7" x14ac:dyDescent="0.25">
      <c r="B6519" s="70">
        <v>43321</v>
      </c>
      <c r="C6519" t="s">
        <v>25</v>
      </c>
      <c r="D6519" t="s">
        <v>81</v>
      </c>
      <c r="E6519" t="s">
        <v>125</v>
      </c>
      <c r="F6519">
        <v>4.5</v>
      </c>
      <c r="G6519">
        <v>0</v>
      </c>
    </row>
    <row r="6520" spans="2:7" x14ac:dyDescent="0.25">
      <c r="B6520" s="70">
        <v>43321</v>
      </c>
      <c r="C6520" t="s">
        <v>25</v>
      </c>
      <c r="D6520" t="s">
        <v>81</v>
      </c>
      <c r="E6520" t="s">
        <v>154</v>
      </c>
      <c r="F6520">
        <v>9</v>
      </c>
      <c r="G6520">
        <v>0</v>
      </c>
    </row>
    <row r="6521" spans="2:7" x14ac:dyDescent="0.25">
      <c r="B6521" s="70">
        <v>43321</v>
      </c>
      <c r="C6521" t="s">
        <v>25</v>
      </c>
      <c r="D6521" t="s">
        <v>91</v>
      </c>
      <c r="E6521" t="s">
        <v>569</v>
      </c>
      <c r="F6521">
        <v>10.7</v>
      </c>
      <c r="G6521">
        <v>0</v>
      </c>
    </row>
    <row r="6522" spans="2:7" x14ac:dyDescent="0.25">
      <c r="B6522" s="70">
        <v>43321</v>
      </c>
      <c r="C6522" t="s">
        <v>25</v>
      </c>
      <c r="D6522" t="s">
        <v>84</v>
      </c>
      <c r="E6522" t="s">
        <v>569</v>
      </c>
      <c r="F6522">
        <v>176</v>
      </c>
      <c r="G6522">
        <v>0</v>
      </c>
    </row>
    <row r="6523" spans="2:7" x14ac:dyDescent="0.25">
      <c r="B6523" s="70">
        <v>43321</v>
      </c>
      <c r="C6523" t="s">
        <v>46</v>
      </c>
      <c r="D6523" t="s">
        <v>82</v>
      </c>
      <c r="E6523" t="s">
        <v>569</v>
      </c>
      <c r="F6523">
        <v>10</v>
      </c>
      <c r="G6523">
        <v>0</v>
      </c>
    </row>
    <row r="6524" spans="2:7" x14ac:dyDescent="0.25">
      <c r="B6524" s="70">
        <v>43321</v>
      </c>
      <c r="C6524" t="s">
        <v>46</v>
      </c>
      <c r="D6524" t="s">
        <v>84</v>
      </c>
      <c r="E6524" t="s">
        <v>569</v>
      </c>
      <c r="F6524">
        <v>185.5</v>
      </c>
      <c r="G6524">
        <v>0</v>
      </c>
    </row>
    <row r="6525" spans="2:7" x14ac:dyDescent="0.25">
      <c r="B6525" s="70">
        <v>43321</v>
      </c>
      <c r="C6525" t="s">
        <v>72</v>
      </c>
      <c r="D6525" t="s">
        <v>84</v>
      </c>
      <c r="E6525" t="s">
        <v>569</v>
      </c>
      <c r="F6525">
        <v>200.5</v>
      </c>
      <c r="G6525">
        <v>0</v>
      </c>
    </row>
    <row r="6526" spans="2:7" x14ac:dyDescent="0.25">
      <c r="B6526" s="70">
        <v>43321</v>
      </c>
      <c r="C6526" t="s">
        <v>59</v>
      </c>
      <c r="D6526" t="s">
        <v>80</v>
      </c>
      <c r="E6526" t="s">
        <v>569</v>
      </c>
      <c r="F6526">
        <v>177.7</v>
      </c>
      <c r="G6526">
        <v>0</v>
      </c>
    </row>
    <row r="6527" spans="2:7" x14ac:dyDescent="0.25">
      <c r="B6527" s="70">
        <v>43321</v>
      </c>
      <c r="C6527" t="s">
        <v>59</v>
      </c>
      <c r="D6527" t="s">
        <v>84</v>
      </c>
      <c r="E6527" t="s">
        <v>569</v>
      </c>
      <c r="F6527">
        <v>1027.55</v>
      </c>
      <c r="G6527">
        <v>0</v>
      </c>
    </row>
    <row r="6528" spans="2:7" x14ac:dyDescent="0.25">
      <c r="B6528" s="70">
        <v>43321</v>
      </c>
      <c r="C6528" t="s">
        <v>51</v>
      </c>
      <c r="D6528" t="s">
        <v>82</v>
      </c>
      <c r="E6528" t="s">
        <v>569</v>
      </c>
      <c r="F6528">
        <v>96.94</v>
      </c>
      <c r="G6528">
        <v>0</v>
      </c>
    </row>
    <row r="6529" spans="2:7" x14ac:dyDescent="0.25">
      <c r="B6529" s="70">
        <v>43321</v>
      </c>
      <c r="C6529" t="s">
        <v>51</v>
      </c>
      <c r="D6529" t="s">
        <v>84</v>
      </c>
      <c r="E6529" t="s">
        <v>569</v>
      </c>
      <c r="F6529">
        <v>363.7</v>
      </c>
      <c r="G6529">
        <v>0</v>
      </c>
    </row>
    <row r="6530" spans="2:7" x14ac:dyDescent="0.25">
      <c r="B6530" s="70">
        <v>43321</v>
      </c>
      <c r="C6530" t="s">
        <v>44</v>
      </c>
      <c r="D6530" t="s">
        <v>84</v>
      </c>
      <c r="E6530" t="s">
        <v>569</v>
      </c>
      <c r="F6530">
        <v>239</v>
      </c>
      <c r="G6530">
        <v>0</v>
      </c>
    </row>
    <row r="6531" spans="2:7" x14ac:dyDescent="0.25">
      <c r="B6531" s="70">
        <v>43321</v>
      </c>
      <c r="C6531" t="s">
        <v>21</v>
      </c>
      <c r="D6531" t="s">
        <v>79</v>
      </c>
      <c r="E6531" t="s">
        <v>569</v>
      </c>
      <c r="F6531">
        <v>16</v>
      </c>
      <c r="G6531">
        <v>0</v>
      </c>
    </row>
    <row r="6532" spans="2:7" x14ac:dyDescent="0.25">
      <c r="B6532" s="70">
        <v>43321</v>
      </c>
      <c r="C6532" t="s">
        <v>21</v>
      </c>
      <c r="D6532" t="s">
        <v>79</v>
      </c>
      <c r="E6532" t="s">
        <v>569</v>
      </c>
      <c r="F6532">
        <v>48</v>
      </c>
      <c r="G6532">
        <v>0</v>
      </c>
    </row>
    <row r="6533" spans="2:7" x14ac:dyDescent="0.25">
      <c r="B6533" s="70">
        <v>43321</v>
      </c>
      <c r="C6533" t="s">
        <v>21</v>
      </c>
      <c r="D6533" t="s">
        <v>79</v>
      </c>
      <c r="E6533" t="s">
        <v>569</v>
      </c>
      <c r="F6533">
        <v>72</v>
      </c>
      <c r="G6533">
        <v>0</v>
      </c>
    </row>
    <row r="6534" spans="2:7" x14ac:dyDescent="0.25">
      <c r="B6534" s="70">
        <v>43321</v>
      </c>
      <c r="C6534" t="s">
        <v>21</v>
      </c>
      <c r="D6534" t="s">
        <v>79</v>
      </c>
      <c r="E6534" t="s">
        <v>569</v>
      </c>
      <c r="F6534">
        <v>80</v>
      </c>
      <c r="G6534">
        <v>0</v>
      </c>
    </row>
    <row r="6535" spans="2:7" x14ac:dyDescent="0.25">
      <c r="B6535" s="70">
        <v>43321</v>
      </c>
      <c r="C6535" t="s">
        <v>21</v>
      </c>
      <c r="D6535" t="s">
        <v>79</v>
      </c>
      <c r="E6535" t="s">
        <v>569</v>
      </c>
      <c r="F6535">
        <v>112</v>
      </c>
      <c r="G6535">
        <v>0</v>
      </c>
    </row>
    <row r="6536" spans="2:7" x14ac:dyDescent="0.25">
      <c r="B6536" s="70">
        <v>43321</v>
      </c>
      <c r="C6536" t="s">
        <v>21</v>
      </c>
      <c r="D6536" t="s">
        <v>82</v>
      </c>
      <c r="E6536" t="s">
        <v>569</v>
      </c>
      <c r="F6536">
        <v>126</v>
      </c>
      <c r="G6536">
        <v>0</v>
      </c>
    </row>
    <row r="6537" spans="2:7" x14ac:dyDescent="0.25">
      <c r="B6537" s="70">
        <v>43321</v>
      </c>
      <c r="C6537" t="s">
        <v>48</v>
      </c>
      <c r="D6537" t="s">
        <v>84</v>
      </c>
      <c r="E6537" t="s">
        <v>569</v>
      </c>
      <c r="F6537">
        <v>1067.8800000000001</v>
      </c>
      <c r="G6537">
        <v>0</v>
      </c>
    </row>
    <row r="6538" spans="2:7" x14ac:dyDescent="0.25">
      <c r="B6538" s="70">
        <v>43321</v>
      </c>
      <c r="C6538" t="s">
        <v>55</v>
      </c>
      <c r="D6538" t="s">
        <v>86</v>
      </c>
      <c r="E6538" t="s">
        <v>569</v>
      </c>
      <c r="F6538">
        <v>1400.56</v>
      </c>
      <c r="G6538">
        <v>0</v>
      </c>
    </row>
    <row r="6539" spans="2:7" x14ac:dyDescent="0.25">
      <c r="B6539" s="70">
        <v>43321</v>
      </c>
      <c r="C6539" t="s">
        <v>50</v>
      </c>
      <c r="D6539" t="s">
        <v>79</v>
      </c>
      <c r="E6539" t="s">
        <v>569</v>
      </c>
      <c r="F6539">
        <v>20</v>
      </c>
      <c r="G6539">
        <v>0</v>
      </c>
    </row>
    <row r="6540" spans="2:7" x14ac:dyDescent="0.25">
      <c r="B6540" s="70">
        <v>43321</v>
      </c>
      <c r="C6540" t="s">
        <v>50</v>
      </c>
      <c r="D6540" t="s">
        <v>87</v>
      </c>
      <c r="E6540" t="s">
        <v>569</v>
      </c>
      <c r="F6540">
        <v>436.59</v>
      </c>
      <c r="G6540">
        <v>0</v>
      </c>
    </row>
    <row r="6541" spans="2:7" x14ac:dyDescent="0.25">
      <c r="B6541" s="70">
        <v>43321</v>
      </c>
      <c r="C6541" t="s">
        <v>50</v>
      </c>
      <c r="D6541" t="s">
        <v>82</v>
      </c>
      <c r="E6541" t="s">
        <v>569</v>
      </c>
      <c r="F6541">
        <v>10</v>
      </c>
      <c r="G6541">
        <v>0</v>
      </c>
    </row>
    <row r="6542" spans="2:7" x14ac:dyDescent="0.25">
      <c r="B6542" s="70">
        <v>43321</v>
      </c>
      <c r="C6542" t="s">
        <v>52</v>
      </c>
      <c r="D6542" t="s">
        <v>79</v>
      </c>
      <c r="E6542" t="s">
        <v>569</v>
      </c>
      <c r="F6542">
        <v>10</v>
      </c>
      <c r="G6542">
        <v>0</v>
      </c>
    </row>
    <row r="6543" spans="2:7" x14ac:dyDescent="0.25">
      <c r="B6543" s="70">
        <v>43321</v>
      </c>
      <c r="C6543" t="s">
        <v>52</v>
      </c>
      <c r="D6543" t="s">
        <v>82</v>
      </c>
      <c r="E6543" t="s">
        <v>569</v>
      </c>
      <c r="F6543">
        <v>12</v>
      </c>
      <c r="G6543">
        <v>0</v>
      </c>
    </row>
    <row r="6544" spans="2:7" x14ac:dyDescent="0.25">
      <c r="B6544" s="70">
        <v>43321</v>
      </c>
      <c r="C6544" t="s">
        <v>63</v>
      </c>
      <c r="D6544" t="s">
        <v>80</v>
      </c>
      <c r="E6544" t="s">
        <v>569</v>
      </c>
      <c r="F6544">
        <v>64.099999999999994</v>
      </c>
      <c r="G6544">
        <v>0</v>
      </c>
    </row>
    <row r="6545" spans="2:7" x14ac:dyDescent="0.25">
      <c r="B6545" s="70">
        <v>43321</v>
      </c>
      <c r="C6545" t="s">
        <v>24</v>
      </c>
      <c r="D6545" t="s">
        <v>79</v>
      </c>
      <c r="E6545" t="s">
        <v>569</v>
      </c>
      <c r="F6545">
        <v>8</v>
      </c>
      <c r="G6545">
        <v>0</v>
      </c>
    </row>
    <row r="6546" spans="2:7" x14ac:dyDescent="0.25">
      <c r="B6546" s="70">
        <v>43321</v>
      </c>
      <c r="C6546" t="s">
        <v>24</v>
      </c>
      <c r="D6546" t="s">
        <v>79</v>
      </c>
      <c r="E6546" t="s">
        <v>569</v>
      </c>
      <c r="F6546">
        <v>16</v>
      </c>
      <c r="G6546">
        <v>0</v>
      </c>
    </row>
    <row r="6547" spans="2:7" x14ac:dyDescent="0.25">
      <c r="B6547" s="70">
        <v>43456</v>
      </c>
      <c r="C6547" t="s">
        <v>25</v>
      </c>
      <c r="D6547" t="s">
        <v>81</v>
      </c>
      <c r="E6547" t="s">
        <v>153</v>
      </c>
      <c r="F6547">
        <v>3.15</v>
      </c>
      <c r="G6547">
        <v>0</v>
      </c>
    </row>
    <row r="6548" spans="2:7" x14ac:dyDescent="0.25">
      <c r="B6548" s="70">
        <v>43456</v>
      </c>
      <c r="C6548" t="s">
        <v>25</v>
      </c>
      <c r="D6548" t="s">
        <v>81</v>
      </c>
      <c r="E6548" t="s">
        <v>195</v>
      </c>
      <c r="F6548">
        <v>104</v>
      </c>
      <c r="G6548">
        <v>0</v>
      </c>
    </row>
    <row r="6549" spans="2:7" x14ac:dyDescent="0.25">
      <c r="B6549" s="70">
        <v>43456</v>
      </c>
      <c r="C6549" t="s">
        <v>46</v>
      </c>
      <c r="D6549" t="s">
        <v>82</v>
      </c>
      <c r="E6549" t="s">
        <v>570</v>
      </c>
      <c r="F6549">
        <v>10</v>
      </c>
      <c r="G6549">
        <v>0</v>
      </c>
    </row>
    <row r="6550" spans="2:7" x14ac:dyDescent="0.25">
      <c r="B6550" s="70">
        <v>43456</v>
      </c>
      <c r="C6550" t="s">
        <v>21</v>
      </c>
      <c r="D6550" t="s">
        <v>79</v>
      </c>
      <c r="E6550" t="s">
        <v>570</v>
      </c>
      <c r="F6550">
        <v>16</v>
      </c>
      <c r="G6550">
        <v>0</v>
      </c>
    </row>
    <row r="6551" spans="2:7" x14ac:dyDescent="0.25">
      <c r="B6551" s="70">
        <v>43456</v>
      </c>
      <c r="C6551" t="s">
        <v>21</v>
      </c>
      <c r="D6551" t="s">
        <v>79</v>
      </c>
      <c r="E6551" t="s">
        <v>570</v>
      </c>
      <c r="F6551">
        <v>24</v>
      </c>
      <c r="G6551">
        <v>0</v>
      </c>
    </row>
    <row r="6552" spans="2:7" x14ac:dyDescent="0.25">
      <c r="B6552" s="70">
        <v>43456</v>
      </c>
      <c r="C6552" t="s">
        <v>21</v>
      </c>
      <c r="D6552" t="s">
        <v>79</v>
      </c>
      <c r="E6552" t="s">
        <v>570</v>
      </c>
      <c r="F6552">
        <v>32</v>
      </c>
      <c r="G6552">
        <v>0</v>
      </c>
    </row>
    <row r="6553" spans="2:7" x14ac:dyDescent="0.25">
      <c r="B6553" s="70">
        <v>43456</v>
      </c>
      <c r="C6553" t="s">
        <v>21</v>
      </c>
      <c r="D6553" t="s">
        <v>79</v>
      </c>
      <c r="E6553" t="s">
        <v>570</v>
      </c>
      <c r="F6553">
        <v>40</v>
      </c>
      <c r="G6553">
        <v>0</v>
      </c>
    </row>
    <row r="6554" spans="2:7" x14ac:dyDescent="0.25">
      <c r="B6554" s="70">
        <v>43456</v>
      </c>
      <c r="C6554" t="s">
        <v>24</v>
      </c>
      <c r="D6554" t="s">
        <v>79</v>
      </c>
      <c r="E6554" t="s">
        <v>570</v>
      </c>
      <c r="F6554">
        <v>8</v>
      </c>
      <c r="G6554">
        <v>0</v>
      </c>
    </row>
    <row r="6555" spans="2:7" x14ac:dyDescent="0.25">
      <c r="B6555" s="70">
        <v>43277</v>
      </c>
      <c r="C6555" t="s">
        <v>25</v>
      </c>
      <c r="D6555" t="s">
        <v>81</v>
      </c>
      <c r="E6555" t="s">
        <v>198</v>
      </c>
      <c r="F6555">
        <v>9.1999999999999993</v>
      </c>
      <c r="G6555">
        <v>0</v>
      </c>
    </row>
    <row r="6556" spans="2:7" x14ac:dyDescent="0.25">
      <c r="B6556" s="70">
        <v>43277</v>
      </c>
      <c r="C6556" t="s">
        <v>25</v>
      </c>
      <c r="D6556" t="s">
        <v>81</v>
      </c>
      <c r="E6556" t="s">
        <v>164</v>
      </c>
      <c r="F6556">
        <v>18</v>
      </c>
      <c r="G6556">
        <v>0</v>
      </c>
    </row>
    <row r="6557" spans="2:7" x14ac:dyDescent="0.25">
      <c r="B6557" s="70">
        <v>43277</v>
      </c>
      <c r="C6557" t="s">
        <v>46</v>
      </c>
      <c r="D6557" t="s">
        <v>82</v>
      </c>
      <c r="E6557" t="s">
        <v>571</v>
      </c>
      <c r="F6557">
        <v>96.21</v>
      </c>
      <c r="G6557">
        <v>0</v>
      </c>
    </row>
    <row r="6558" spans="2:7" x14ac:dyDescent="0.25">
      <c r="B6558" s="70">
        <v>43277</v>
      </c>
      <c r="C6558" t="s">
        <v>59</v>
      </c>
      <c r="D6558" t="s">
        <v>84</v>
      </c>
      <c r="E6558" t="s">
        <v>571</v>
      </c>
      <c r="F6558">
        <v>365.74</v>
      </c>
      <c r="G6558">
        <v>0</v>
      </c>
    </row>
    <row r="6559" spans="2:7" x14ac:dyDescent="0.25">
      <c r="B6559" s="70">
        <v>43277</v>
      </c>
      <c r="C6559" t="s">
        <v>51</v>
      </c>
      <c r="D6559" t="s">
        <v>82</v>
      </c>
      <c r="E6559" t="s">
        <v>571</v>
      </c>
      <c r="F6559">
        <v>136.02000000000001</v>
      </c>
      <c r="G6559">
        <v>0</v>
      </c>
    </row>
    <row r="6560" spans="2:7" x14ac:dyDescent="0.25">
      <c r="B6560" s="70">
        <v>43277</v>
      </c>
      <c r="C6560" t="s">
        <v>44</v>
      </c>
      <c r="D6560" t="s">
        <v>82</v>
      </c>
      <c r="E6560" t="s">
        <v>571</v>
      </c>
      <c r="F6560">
        <v>170</v>
      </c>
      <c r="G6560">
        <v>0</v>
      </c>
    </row>
    <row r="6561" spans="2:7" x14ac:dyDescent="0.25">
      <c r="B6561" s="70">
        <v>43277</v>
      </c>
      <c r="C6561" t="s">
        <v>21</v>
      </c>
      <c r="D6561" t="s">
        <v>79</v>
      </c>
      <c r="E6561" t="s">
        <v>571</v>
      </c>
      <c r="F6561">
        <v>8</v>
      </c>
      <c r="G6561">
        <v>0</v>
      </c>
    </row>
    <row r="6562" spans="2:7" x14ac:dyDescent="0.25">
      <c r="B6562" s="70">
        <v>43277</v>
      </c>
      <c r="C6562" t="s">
        <v>21</v>
      </c>
      <c r="D6562" t="s">
        <v>79</v>
      </c>
      <c r="E6562" t="s">
        <v>571</v>
      </c>
      <c r="F6562">
        <v>24</v>
      </c>
      <c r="G6562">
        <v>0</v>
      </c>
    </row>
    <row r="6563" spans="2:7" x14ac:dyDescent="0.25">
      <c r="B6563" s="70">
        <v>43277</v>
      </c>
      <c r="C6563" t="s">
        <v>21</v>
      </c>
      <c r="D6563" t="s">
        <v>79</v>
      </c>
      <c r="E6563" t="s">
        <v>571</v>
      </c>
      <c r="F6563">
        <v>32</v>
      </c>
      <c r="G6563">
        <v>0</v>
      </c>
    </row>
    <row r="6564" spans="2:7" x14ac:dyDescent="0.25">
      <c r="B6564" s="70">
        <v>43277</v>
      </c>
      <c r="C6564" t="s">
        <v>48</v>
      </c>
      <c r="D6564" t="s">
        <v>84</v>
      </c>
      <c r="E6564" t="s">
        <v>571</v>
      </c>
      <c r="F6564">
        <v>940.61</v>
      </c>
      <c r="G6564">
        <v>0</v>
      </c>
    </row>
    <row r="6565" spans="2:7" x14ac:dyDescent="0.25">
      <c r="B6565" s="70">
        <v>43277</v>
      </c>
      <c r="C6565" t="s">
        <v>45</v>
      </c>
      <c r="D6565" t="s">
        <v>85</v>
      </c>
      <c r="E6565" t="s">
        <v>571</v>
      </c>
      <c r="F6565">
        <v>75.900000000000006</v>
      </c>
      <c r="G6565">
        <v>0</v>
      </c>
    </row>
    <row r="6566" spans="2:7" x14ac:dyDescent="0.25">
      <c r="B6566" s="70">
        <v>43277</v>
      </c>
      <c r="C6566" t="s">
        <v>53</v>
      </c>
      <c r="D6566" t="s">
        <v>82</v>
      </c>
      <c r="E6566" t="s">
        <v>571</v>
      </c>
      <c r="F6566">
        <v>13.99</v>
      </c>
      <c r="G6566">
        <v>0</v>
      </c>
    </row>
    <row r="6567" spans="2:7" x14ac:dyDescent="0.25">
      <c r="B6567" s="70">
        <v>43277</v>
      </c>
      <c r="C6567" t="s">
        <v>53</v>
      </c>
      <c r="D6567" t="s">
        <v>84</v>
      </c>
      <c r="E6567" t="s">
        <v>571</v>
      </c>
      <c r="F6567">
        <v>85</v>
      </c>
      <c r="G6567">
        <v>0</v>
      </c>
    </row>
    <row r="6568" spans="2:7" x14ac:dyDescent="0.25">
      <c r="B6568" s="70">
        <v>43277</v>
      </c>
      <c r="C6568" t="s">
        <v>24</v>
      </c>
      <c r="D6568" t="s">
        <v>79</v>
      </c>
      <c r="E6568" t="s">
        <v>571</v>
      </c>
      <c r="F6568">
        <v>8</v>
      </c>
      <c r="G6568">
        <v>0</v>
      </c>
    </row>
    <row r="6569" spans="2:7" x14ac:dyDescent="0.25">
      <c r="B6569" s="70">
        <v>43277</v>
      </c>
      <c r="C6569" t="s">
        <v>61</v>
      </c>
      <c r="D6569" t="s">
        <v>82</v>
      </c>
      <c r="E6569" t="s">
        <v>571</v>
      </c>
      <c r="F6569">
        <v>51.7</v>
      </c>
      <c r="G6569">
        <v>0</v>
      </c>
    </row>
    <row r="6570" spans="2:7" x14ac:dyDescent="0.25">
      <c r="B6570" s="70">
        <v>43280</v>
      </c>
      <c r="C6570" t="s">
        <v>25</v>
      </c>
      <c r="D6570" t="s">
        <v>85</v>
      </c>
      <c r="E6570" t="s">
        <v>572</v>
      </c>
      <c r="F6570">
        <v>22</v>
      </c>
      <c r="G6570">
        <v>0</v>
      </c>
    </row>
    <row r="6571" spans="2:7" x14ac:dyDescent="0.25">
      <c r="B6571" s="70">
        <v>43280</v>
      </c>
      <c r="C6571" t="s">
        <v>25</v>
      </c>
      <c r="D6571" t="s">
        <v>85</v>
      </c>
      <c r="E6571" t="s">
        <v>572</v>
      </c>
      <c r="F6571">
        <v>22.75</v>
      </c>
      <c r="G6571">
        <v>0</v>
      </c>
    </row>
    <row r="6572" spans="2:7" x14ac:dyDescent="0.25">
      <c r="B6572" s="70">
        <v>43280</v>
      </c>
      <c r="C6572" t="s">
        <v>25</v>
      </c>
      <c r="D6572" t="s">
        <v>81</v>
      </c>
      <c r="E6572" t="s">
        <v>122</v>
      </c>
      <c r="F6572">
        <v>2.9</v>
      </c>
      <c r="G6572">
        <v>0</v>
      </c>
    </row>
    <row r="6573" spans="2:7" x14ac:dyDescent="0.25">
      <c r="B6573" s="70">
        <v>43280</v>
      </c>
      <c r="C6573" t="s">
        <v>25</v>
      </c>
      <c r="D6573" t="s">
        <v>81</v>
      </c>
      <c r="E6573" t="s">
        <v>198</v>
      </c>
      <c r="F6573">
        <v>2.25</v>
      </c>
      <c r="G6573">
        <v>0</v>
      </c>
    </row>
    <row r="6574" spans="2:7" x14ac:dyDescent="0.25">
      <c r="B6574" s="70">
        <v>43280</v>
      </c>
      <c r="C6574" t="s">
        <v>25</v>
      </c>
      <c r="D6574" t="s">
        <v>81</v>
      </c>
      <c r="E6574" t="s">
        <v>241</v>
      </c>
      <c r="F6574">
        <v>3.7</v>
      </c>
      <c r="G6574">
        <v>0</v>
      </c>
    </row>
    <row r="6575" spans="2:7" x14ac:dyDescent="0.25">
      <c r="B6575" s="70">
        <v>43280</v>
      </c>
      <c r="C6575" t="s">
        <v>25</v>
      </c>
      <c r="D6575" t="s">
        <v>81</v>
      </c>
      <c r="E6575" t="s">
        <v>154</v>
      </c>
      <c r="F6575">
        <v>4.5</v>
      </c>
      <c r="G6575">
        <v>0</v>
      </c>
    </row>
    <row r="6576" spans="2:7" x14ac:dyDescent="0.25">
      <c r="B6576" s="70">
        <v>43280</v>
      </c>
      <c r="C6576" t="s">
        <v>54</v>
      </c>
      <c r="D6576" t="s">
        <v>79</v>
      </c>
      <c r="E6576" t="s">
        <v>572</v>
      </c>
      <c r="F6576">
        <v>86.21</v>
      </c>
      <c r="G6576">
        <v>0</v>
      </c>
    </row>
    <row r="6577" spans="2:7" x14ac:dyDescent="0.25">
      <c r="B6577" s="70">
        <v>43280</v>
      </c>
      <c r="C6577" t="s">
        <v>56</v>
      </c>
      <c r="D6577" t="s">
        <v>82</v>
      </c>
      <c r="E6577" t="s">
        <v>572</v>
      </c>
      <c r="F6577">
        <v>83</v>
      </c>
      <c r="G6577">
        <v>0</v>
      </c>
    </row>
    <row r="6578" spans="2:7" x14ac:dyDescent="0.25">
      <c r="B6578" s="70">
        <v>43280</v>
      </c>
      <c r="C6578" t="s">
        <v>51</v>
      </c>
      <c r="D6578" t="s">
        <v>82</v>
      </c>
      <c r="E6578" t="s">
        <v>572</v>
      </c>
      <c r="F6578">
        <v>33.4</v>
      </c>
      <c r="G6578">
        <v>0</v>
      </c>
    </row>
    <row r="6579" spans="2:7" x14ac:dyDescent="0.25">
      <c r="B6579" s="70">
        <v>43280</v>
      </c>
      <c r="C6579" t="s">
        <v>21</v>
      </c>
      <c r="D6579" t="s">
        <v>79</v>
      </c>
      <c r="E6579" t="s">
        <v>572</v>
      </c>
      <c r="F6579">
        <v>8</v>
      </c>
      <c r="G6579">
        <v>0</v>
      </c>
    </row>
    <row r="6580" spans="2:7" x14ac:dyDescent="0.25">
      <c r="B6580" s="70">
        <v>43280</v>
      </c>
      <c r="C6580" t="s">
        <v>21</v>
      </c>
      <c r="D6580" t="s">
        <v>79</v>
      </c>
      <c r="E6580" t="s">
        <v>572</v>
      </c>
      <c r="F6580">
        <v>16</v>
      </c>
      <c r="G6580">
        <v>0</v>
      </c>
    </row>
    <row r="6581" spans="2:7" x14ac:dyDescent="0.25">
      <c r="B6581" s="70">
        <v>43280</v>
      </c>
      <c r="C6581" t="s">
        <v>21</v>
      </c>
      <c r="D6581" t="s">
        <v>79</v>
      </c>
      <c r="E6581" t="s">
        <v>572</v>
      </c>
      <c r="F6581">
        <v>48</v>
      </c>
      <c r="G6581">
        <v>0</v>
      </c>
    </row>
    <row r="6582" spans="2:7" x14ac:dyDescent="0.25">
      <c r="B6582" s="70">
        <v>43280</v>
      </c>
      <c r="C6582" t="s">
        <v>21</v>
      </c>
      <c r="D6582" t="s">
        <v>82</v>
      </c>
      <c r="E6582" t="s">
        <v>572</v>
      </c>
      <c r="F6582">
        <v>39</v>
      </c>
      <c r="G6582">
        <v>0</v>
      </c>
    </row>
    <row r="6583" spans="2:7" x14ac:dyDescent="0.25">
      <c r="B6583" s="70">
        <v>43280</v>
      </c>
      <c r="C6583" t="s">
        <v>21</v>
      </c>
      <c r="D6583" t="s">
        <v>82</v>
      </c>
      <c r="E6583" t="s">
        <v>572</v>
      </c>
      <c r="F6583">
        <v>338</v>
      </c>
      <c r="G6583">
        <v>0</v>
      </c>
    </row>
    <row r="6584" spans="2:7" x14ac:dyDescent="0.25">
      <c r="B6584" s="70">
        <v>43280</v>
      </c>
      <c r="C6584" t="s">
        <v>45</v>
      </c>
      <c r="D6584" t="s">
        <v>82</v>
      </c>
      <c r="E6584" t="s">
        <v>572</v>
      </c>
      <c r="F6584">
        <v>1127.92</v>
      </c>
      <c r="G6584">
        <v>0</v>
      </c>
    </row>
    <row r="6585" spans="2:7" x14ac:dyDescent="0.25">
      <c r="B6585" s="70">
        <v>43280</v>
      </c>
      <c r="C6585" t="s">
        <v>52</v>
      </c>
      <c r="D6585" t="s">
        <v>85</v>
      </c>
      <c r="E6585" t="s">
        <v>572</v>
      </c>
      <c r="F6585">
        <v>153.57</v>
      </c>
      <c r="G6585">
        <v>0</v>
      </c>
    </row>
    <row r="6586" spans="2:7" x14ac:dyDescent="0.25">
      <c r="B6586" s="70">
        <v>43280</v>
      </c>
      <c r="C6586" t="s">
        <v>52</v>
      </c>
      <c r="D6586" t="s">
        <v>82</v>
      </c>
      <c r="E6586" t="s">
        <v>572</v>
      </c>
      <c r="F6586">
        <v>17.899999999999999</v>
      </c>
      <c r="G6586">
        <v>0</v>
      </c>
    </row>
    <row r="6587" spans="2:7" x14ac:dyDescent="0.25">
      <c r="B6587" s="70">
        <v>43280</v>
      </c>
      <c r="C6587" t="s">
        <v>53</v>
      </c>
      <c r="D6587" t="s">
        <v>79</v>
      </c>
      <c r="E6587" t="s">
        <v>572</v>
      </c>
      <c r="F6587">
        <v>10</v>
      </c>
      <c r="G6587">
        <v>0</v>
      </c>
    </row>
    <row r="6588" spans="2:7" x14ac:dyDescent="0.25">
      <c r="B6588" s="70">
        <v>43280</v>
      </c>
      <c r="C6588" t="s">
        <v>53</v>
      </c>
      <c r="D6588" t="s">
        <v>82</v>
      </c>
      <c r="E6588" t="s">
        <v>572</v>
      </c>
      <c r="F6588">
        <v>10</v>
      </c>
      <c r="G6588">
        <v>0</v>
      </c>
    </row>
    <row r="6589" spans="2:7" x14ac:dyDescent="0.25">
      <c r="B6589" s="70">
        <v>43280</v>
      </c>
      <c r="C6589" t="s">
        <v>24</v>
      </c>
      <c r="D6589" t="s">
        <v>82</v>
      </c>
      <c r="E6589" t="s">
        <v>572</v>
      </c>
      <c r="F6589">
        <v>182</v>
      </c>
      <c r="G6589">
        <v>0</v>
      </c>
    </row>
    <row r="6590" spans="2:7" x14ac:dyDescent="0.25">
      <c r="B6590" s="70">
        <v>43280</v>
      </c>
      <c r="C6590" t="s">
        <v>24</v>
      </c>
      <c r="D6590" t="s">
        <v>82</v>
      </c>
      <c r="E6590" t="s">
        <v>572</v>
      </c>
      <c r="F6590">
        <v>183.8</v>
      </c>
      <c r="G6590">
        <v>0</v>
      </c>
    </row>
    <row r="6591" spans="2:7" x14ac:dyDescent="0.25">
      <c r="B6591" s="70">
        <v>43269</v>
      </c>
      <c r="C6591" t="s">
        <v>25</v>
      </c>
      <c r="D6591" t="s">
        <v>85</v>
      </c>
      <c r="E6591" t="s">
        <v>573</v>
      </c>
      <c r="F6591">
        <v>61.83</v>
      </c>
      <c r="G6591">
        <v>0</v>
      </c>
    </row>
    <row r="6592" spans="2:7" x14ac:dyDescent="0.25">
      <c r="B6592" s="70">
        <v>43269</v>
      </c>
      <c r="C6592" t="s">
        <v>25</v>
      </c>
      <c r="D6592" t="s">
        <v>81</v>
      </c>
      <c r="E6592" t="s">
        <v>199</v>
      </c>
      <c r="F6592">
        <v>9.4499999999999993</v>
      </c>
      <c r="G6592">
        <v>0</v>
      </c>
    </row>
    <row r="6593" spans="2:7" x14ac:dyDescent="0.25">
      <c r="B6593" s="70">
        <v>43269</v>
      </c>
      <c r="C6593" t="s">
        <v>44</v>
      </c>
      <c r="D6593" t="s">
        <v>79</v>
      </c>
      <c r="E6593" t="s">
        <v>573</v>
      </c>
      <c r="F6593">
        <v>112.77</v>
      </c>
      <c r="G6593">
        <v>0</v>
      </c>
    </row>
    <row r="6594" spans="2:7" x14ac:dyDescent="0.25">
      <c r="B6594" s="70">
        <v>43269</v>
      </c>
      <c r="C6594" t="s">
        <v>44</v>
      </c>
      <c r="D6594" t="s">
        <v>82</v>
      </c>
      <c r="E6594" t="s">
        <v>573</v>
      </c>
      <c r="F6594">
        <v>287.39999999999998</v>
      </c>
      <c r="G6594">
        <v>0</v>
      </c>
    </row>
    <row r="6595" spans="2:7" x14ac:dyDescent="0.25">
      <c r="B6595" s="70">
        <v>43269</v>
      </c>
      <c r="C6595" t="s">
        <v>21</v>
      </c>
      <c r="D6595" t="s">
        <v>79</v>
      </c>
      <c r="E6595" t="s">
        <v>573</v>
      </c>
      <c r="F6595">
        <v>8</v>
      </c>
      <c r="G6595">
        <v>0</v>
      </c>
    </row>
    <row r="6596" spans="2:7" x14ac:dyDescent="0.25">
      <c r="B6596" s="70">
        <v>43269</v>
      </c>
      <c r="C6596" t="s">
        <v>21</v>
      </c>
      <c r="D6596" t="s">
        <v>79</v>
      </c>
      <c r="E6596" t="s">
        <v>573</v>
      </c>
      <c r="F6596">
        <v>24</v>
      </c>
      <c r="G6596">
        <v>0</v>
      </c>
    </row>
    <row r="6597" spans="2:7" x14ac:dyDescent="0.25">
      <c r="B6597" s="70">
        <v>43269</v>
      </c>
      <c r="C6597" t="s">
        <v>21</v>
      </c>
      <c r="D6597" t="s">
        <v>79</v>
      </c>
      <c r="E6597" t="s">
        <v>573</v>
      </c>
      <c r="F6597">
        <v>72</v>
      </c>
      <c r="G6597">
        <v>0</v>
      </c>
    </row>
    <row r="6598" spans="2:7" x14ac:dyDescent="0.25">
      <c r="B6598" s="70">
        <v>43269</v>
      </c>
      <c r="C6598" t="s">
        <v>21</v>
      </c>
      <c r="D6598" t="s">
        <v>481</v>
      </c>
      <c r="E6598" t="s">
        <v>574</v>
      </c>
      <c r="F6598">
        <v>0</v>
      </c>
      <c r="G6598">
        <v>8.4</v>
      </c>
    </row>
    <row r="6599" spans="2:7" x14ac:dyDescent="0.25">
      <c r="B6599" s="70">
        <v>43269</v>
      </c>
      <c r="C6599" t="s">
        <v>45</v>
      </c>
      <c r="D6599" t="s">
        <v>86</v>
      </c>
      <c r="E6599" t="s">
        <v>573</v>
      </c>
      <c r="F6599">
        <v>0</v>
      </c>
      <c r="G6599">
        <v>1765.77</v>
      </c>
    </row>
    <row r="6600" spans="2:7" x14ac:dyDescent="0.25">
      <c r="B6600" s="70">
        <v>43269</v>
      </c>
      <c r="C6600" t="s">
        <v>24</v>
      </c>
      <c r="D6600" t="s">
        <v>79</v>
      </c>
      <c r="E6600" t="s">
        <v>573</v>
      </c>
      <c r="F6600">
        <v>8</v>
      </c>
      <c r="G6600">
        <v>0</v>
      </c>
    </row>
    <row r="6601" spans="2:7" x14ac:dyDescent="0.25">
      <c r="B6601" s="70">
        <v>43269</v>
      </c>
      <c r="C6601" t="s">
        <v>24</v>
      </c>
      <c r="D6601" t="s">
        <v>79</v>
      </c>
      <c r="E6601" t="s">
        <v>573</v>
      </c>
      <c r="F6601">
        <v>16</v>
      </c>
      <c r="G6601">
        <v>0</v>
      </c>
    </row>
    <row r="6602" spans="2:7" x14ac:dyDescent="0.25">
      <c r="B6602" s="70">
        <v>43269</v>
      </c>
      <c r="C6602" t="s">
        <v>60</v>
      </c>
      <c r="D6602" t="s">
        <v>79</v>
      </c>
      <c r="E6602" t="s">
        <v>573</v>
      </c>
      <c r="F6602">
        <v>47.99</v>
      </c>
      <c r="G6602">
        <v>0</v>
      </c>
    </row>
    <row r="6603" spans="2:7" x14ac:dyDescent="0.25">
      <c r="B6603" s="70">
        <v>43301</v>
      </c>
      <c r="C6603" t="s">
        <v>25</v>
      </c>
      <c r="D6603" t="s">
        <v>81</v>
      </c>
      <c r="E6603" t="s">
        <v>122</v>
      </c>
      <c r="F6603">
        <v>7.35</v>
      </c>
      <c r="G6603">
        <v>0</v>
      </c>
    </row>
    <row r="6604" spans="2:7" x14ac:dyDescent="0.25">
      <c r="B6604" s="70">
        <v>43301</v>
      </c>
      <c r="C6604" t="s">
        <v>25</v>
      </c>
      <c r="D6604" t="s">
        <v>81</v>
      </c>
      <c r="E6604" t="s">
        <v>208</v>
      </c>
      <c r="F6604">
        <v>1.3</v>
      </c>
      <c r="G6604">
        <v>0</v>
      </c>
    </row>
    <row r="6605" spans="2:7" x14ac:dyDescent="0.25">
      <c r="B6605" s="70">
        <v>43301</v>
      </c>
      <c r="C6605" t="s">
        <v>25</v>
      </c>
      <c r="D6605" t="s">
        <v>81</v>
      </c>
      <c r="E6605" t="s">
        <v>131</v>
      </c>
      <c r="F6605">
        <v>3.7</v>
      </c>
      <c r="G6605">
        <v>0</v>
      </c>
    </row>
    <row r="6606" spans="2:7" x14ac:dyDescent="0.25">
      <c r="B6606" s="70">
        <v>43301</v>
      </c>
      <c r="C6606" t="s">
        <v>25</v>
      </c>
      <c r="D6606" t="s">
        <v>81</v>
      </c>
      <c r="E6606" t="s">
        <v>140</v>
      </c>
      <c r="F6606">
        <v>1.8</v>
      </c>
      <c r="G6606">
        <v>0</v>
      </c>
    </row>
    <row r="6607" spans="2:7" x14ac:dyDescent="0.25">
      <c r="B6607" s="70">
        <v>43301</v>
      </c>
      <c r="C6607" t="s">
        <v>25</v>
      </c>
      <c r="D6607" t="s">
        <v>82</v>
      </c>
      <c r="E6607" t="s">
        <v>575</v>
      </c>
      <c r="F6607">
        <v>124</v>
      </c>
      <c r="G6607">
        <v>0</v>
      </c>
    </row>
    <row r="6608" spans="2:7" x14ac:dyDescent="0.25">
      <c r="B6608" s="70">
        <v>43301</v>
      </c>
      <c r="C6608" t="s">
        <v>54</v>
      </c>
      <c r="D6608" t="s">
        <v>82</v>
      </c>
      <c r="E6608" t="s">
        <v>575</v>
      </c>
      <c r="F6608">
        <v>5</v>
      </c>
      <c r="G6608">
        <v>0</v>
      </c>
    </row>
    <row r="6609" spans="2:7" x14ac:dyDescent="0.25">
      <c r="B6609" s="70">
        <v>43301</v>
      </c>
      <c r="C6609" t="s">
        <v>46</v>
      </c>
      <c r="D6609" t="s">
        <v>82</v>
      </c>
      <c r="E6609" t="s">
        <v>575</v>
      </c>
      <c r="F6609">
        <v>30</v>
      </c>
      <c r="G6609">
        <v>0</v>
      </c>
    </row>
    <row r="6610" spans="2:7" x14ac:dyDescent="0.25">
      <c r="B6610" s="70">
        <v>43301</v>
      </c>
      <c r="C6610" t="s">
        <v>21</v>
      </c>
      <c r="D6610" t="s">
        <v>79</v>
      </c>
      <c r="E6610" t="s">
        <v>575</v>
      </c>
      <c r="F6610">
        <v>8</v>
      </c>
      <c r="G6610">
        <v>0</v>
      </c>
    </row>
    <row r="6611" spans="2:7" x14ac:dyDescent="0.25">
      <c r="B6611" s="70">
        <v>43301</v>
      </c>
      <c r="C6611" t="s">
        <v>21</v>
      </c>
      <c r="D6611" t="s">
        <v>79</v>
      </c>
      <c r="E6611" t="s">
        <v>575</v>
      </c>
      <c r="F6611">
        <v>16</v>
      </c>
      <c r="G6611">
        <v>0</v>
      </c>
    </row>
    <row r="6612" spans="2:7" x14ac:dyDescent="0.25">
      <c r="B6612" s="70">
        <v>43301</v>
      </c>
      <c r="C6612" t="s">
        <v>21</v>
      </c>
      <c r="D6612" t="s">
        <v>79</v>
      </c>
      <c r="E6612" t="s">
        <v>575</v>
      </c>
      <c r="F6612">
        <v>24</v>
      </c>
      <c r="G6612">
        <v>0</v>
      </c>
    </row>
    <row r="6613" spans="2:7" x14ac:dyDescent="0.25">
      <c r="B6613" s="70">
        <v>43301</v>
      </c>
      <c r="C6613" t="s">
        <v>21</v>
      </c>
      <c r="D6613" t="s">
        <v>576</v>
      </c>
      <c r="E6613" t="s">
        <v>575</v>
      </c>
      <c r="F6613">
        <v>8</v>
      </c>
      <c r="G6613">
        <v>0</v>
      </c>
    </row>
    <row r="6614" spans="2:7" x14ac:dyDescent="0.25">
      <c r="B6614" s="70">
        <v>43301</v>
      </c>
      <c r="C6614" t="s">
        <v>50</v>
      </c>
      <c r="D6614" t="s">
        <v>82</v>
      </c>
      <c r="E6614" t="s">
        <v>575</v>
      </c>
      <c r="F6614">
        <v>33.770000000000003</v>
      </c>
      <c r="G6614">
        <v>0</v>
      </c>
    </row>
    <row r="6615" spans="2:7" x14ac:dyDescent="0.25">
      <c r="B6615" s="70">
        <v>43301</v>
      </c>
      <c r="C6615" t="s">
        <v>58</v>
      </c>
      <c r="D6615" t="s">
        <v>80</v>
      </c>
      <c r="E6615" t="s">
        <v>575</v>
      </c>
      <c r="F6615">
        <v>0</v>
      </c>
      <c r="G6615">
        <v>5</v>
      </c>
    </row>
    <row r="6616" spans="2:7" x14ac:dyDescent="0.25">
      <c r="B6616" s="70">
        <v>43301</v>
      </c>
      <c r="C6616" t="s">
        <v>58</v>
      </c>
      <c r="D6616" t="s">
        <v>82</v>
      </c>
      <c r="E6616" t="s">
        <v>575</v>
      </c>
      <c r="F6616">
        <v>133</v>
      </c>
      <c r="G6616">
        <v>0</v>
      </c>
    </row>
    <row r="6617" spans="2:7" x14ac:dyDescent="0.25">
      <c r="B6617" s="70">
        <v>43301</v>
      </c>
      <c r="C6617" t="s">
        <v>24</v>
      </c>
      <c r="D6617" t="s">
        <v>79</v>
      </c>
      <c r="E6617" t="s">
        <v>575</v>
      </c>
      <c r="F6617">
        <v>8</v>
      </c>
      <c r="G6617">
        <v>0</v>
      </c>
    </row>
    <row r="6618" spans="2:7" x14ac:dyDescent="0.25">
      <c r="B6618" s="70">
        <v>43301</v>
      </c>
      <c r="C6618" t="s">
        <v>60</v>
      </c>
      <c r="D6618" t="s">
        <v>79</v>
      </c>
      <c r="E6618" t="s">
        <v>575</v>
      </c>
      <c r="F6618">
        <v>11.49</v>
      </c>
      <c r="G6618">
        <v>0</v>
      </c>
    </row>
    <row r="6619" spans="2:7" x14ac:dyDescent="0.25">
      <c r="B6619" s="70">
        <v>43301</v>
      </c>
      <c r="C6619" t="s">
        <v>414</v>
      </c>
      <c r="D6619" t="s">
        <v>85</v>
      </c>
      <c r="E6619" t="s">
        <v>575</v>
      </c>
      <c r="F6619">
        <v>281.54000000000002</v>
      </c>
      <c r="G6619">
        <v>0</v>
      </c>
    </row>
    <row r="6620" spans="2:7" x14ac:dyDescent="0.25">
      <c r="B6620" s="70">
        <v>43328</v>
      </c>
      <c r="C6620" t="s">
        <v>25</v>
      </c>
      <c r="D6620" t="s">
        <v>79</v>
      </c>
      <c r="E6620" t="s">
        <v>577</v>
      </c>
      <c r="F6620">
        <v>8</v>
      </c>
      <c r="G6620">
        <v>0</v>
      </c>
    </row>
    <row r="6621" spans="2:7" x14ac:dyDescent="0.25">
      <c r="B6621" s="70">
        <v>43328</v>
      </c>
      <c r="C6621" t="s">
        <v>25</v>
      </c>
      <c r="D6621" t="s">
        <v>85</v>
      </c>
      <c r="E6621" t="s">
        <v>577</v>
      </c>
      <c r="F6621">
        <v>47.57</v>
      </c>
      <c r="G6621">
        <v>0</v>
      </c>
    </row>
    <row r="6622" spans="2:7" x14ac:dyDescent="0.25">
      <c r="B6622" s="70">
        <v>43328</v>
      </c>
      <c r="C6622" t="s">
        <v>25</v>
      </c>
      <c r="D6622" t="s">
        <v>80</v>
      </c>
      <c r="E6622" t="s">
        <v>577</v>
      </c>
      <c r="F6622">
        <v>112</v>
      </c>
      <c r="G6622">
        <v>0</v>
      </c>
    </row>
    <row r="6623" spans="2:7" x14ac:dyDescent="0.25">
      <c r="B6623" s="70">
        <v>43328</v>
      </c>
      <c r="C6623" t="s">
        <v>25</v>
      </c>
      <c r="D6623" t="s">
        <v>81</v>
      </c>
      <c r="E6623" t="s">
        <v>178</v>
      </c>
      <c r="F6623">
        <v>4.5</v>
      </c>
      <c r="G6623">
        <v>0</v>
      </c>
    </row>
    <row r="6624" spans="2:7" x14ac:dyDescent="0.25">
      <c r="B6624" s="70">
        <v>43328</v>
      </c>
      <c r="C6624" t="s">
        <v>25</v>
      </c>
      <c r="D6624" t="s">
        <v>81</v>
      </c>
      <c r="E6624" t="s">
        <v>208</v>
      </c>
      <c r="F6624">
        <v>1.45</v>
      </c>
      <c r="G6624">
        <v>0</v>
      </c>
    </row>
    <row r="6625" spans="2:7" x14ac:dyDescent="0.25">
      <c r="B6625" s="70">
        <v>43328</v>
      </c>
      <c r="C6625" t="s">
        <v>51</v>
      </c>
      <c r="D6625" t="s">
        <v>85</v>
      </c>
      <c r="E6625" t="s">
        <v>577</v>
      </c>
      <c r="F6625">
        <v>156.84</v>
      </c>
      <c r="G6625">
        <v>0</v>
      </c>
    </row>
    <row r="6626" spans="2:7" x14ac:dyDescent="0.25">
      <c r="B6626" s="70">
        <v>43328</v>
      </c>
      <c r="C6626" t="s">
        <v>51</v>
      </c>
      <c r="D6626" t="s">
        <v>82</v>
      </c>
      <c r="E6626" t="s">
        <v>577</v>
      </c>
      <c r="F6626">
        <v>68.22</v>
      </c>
      <c r="G6626">
        <v>0</v>
      </c>
    </row>
    <row r="6627" spans="2:7" x14ac:dyDescent="0.25">
      <c r="B6627" s="70">
        <v>43328</v>
      </c>
      <c r="C6627" t="s">
        <v>21</v>
      </c>
      <c r="D6627" t="s">
        <v>79</v>
      </c>
      <c r="E6627" t="s">
        <v>577</v>
      </c>
      <c r="F6627">
        <v>8</v>
      </c>
      <c r="G6627">
        <v>0</v>
      </c>
    </row>
    <row r="6628" spans="2:7" x14ac:dyDescent="0.25">
      <c r="B6628" s="70">
        <v>43328</v>
      </c>
      <c r="C6628" t="s">
        <v>21</v>
      </c>
      <c r="D6628" t="s">
        <v>79</v>
      </c>
      <c r="E6628" t="s">
        <v>577</v>
      </c>
      <c r="F6628">
        <v>64</v>
      </c>
      <c r="G6628">
        <v>0</v>
      </c>
    </row>
    <row r="6629" spans="2:7" x14ac:dyDescent="0.25">
      <c r="B6629" s="70">
        <v>43328</v>
      </c>
      <c r="C6629" t="s">
        <v>21</v>
      </c>
      <c r="D6629" t="s">
        <v>82</v>
      </c>
      <c r="E6629" t="s">
        <v>577</v>
      </c>
      <c r="F6629">
        <v>312</v>
      </c>
      <c r="G6629">
        <v>0</v>
      </c>
    </row>
    <row r="6630" spans="2:7" x14ac:dyDescent="0.25">
      <c r="B6630" s="70">
        <v>43328</v>
      </c>
      <c r="C6630" t="s">
        <v>70</v>
      </c>
      <c r="D6630" t="s">
        <v>79</v>
      </c>
      <c r="E6630" t="s">
        <v>577</v>
      </c>
      <c r="F6630">
        <v>280</v>
      </c>
      <c r="G6630">
        <v>0</v>
      </c>
    </row>
    <row r="6631" spans="2:7" x14ac:dyDescent="0.25">
      <c r="B6631" s="70">
        <v>43328</v>
      </c>
      <c r="C6631" t="s">
        <v>50</v>
      </c>
      <c r="D6631" t="s">
        <v>82</v>
      </c>
      <c r="E6631" t="s">
        <v>577</v>
      </c>
      <c r="F6631">
        <v>5</v>
      </c>
      <c r="G6631">
        <v>0</v>
      </c>
    </row>
    <row r="6632" spans="2:7" x14ac:dyDescent="0.25">
      <c r="B6632" s="70">
        <v>43328</v>
      </c>
      <c r="C6632" t="s">
        <v>24</v>
      </c>
      <c r="D6632" t="s">
        <v>79</v>
      </c>
      <c r="E6632" t="s">
        <v>577</v>
      </c>
      <c r="F6632">
        <v>8</v>
      </c>
      <c r="G6632">
        <v>0</v>
      </c>
    </row>
    <row r="6633" spans="2:7" x14ac:dyDescent="0.25">
      <c r="B6633" s="70">
        <v>43328</v>
      </c>
      <c r="C6633" t="s">
        <v>24</v>
      </c>
      <c r="D6633" t="s">
        <v>82</v>
      </c>
      <c r="E6633" t="s">
        <v>577</v>
      </c>
      <c r="F6633">
        <v>136.5</v>
      </c>
      <c r="G6633">
        <v>0</v>
      </c>
    </row>
    <row r="6634" spans="2:7" x14ac:dyDescent="0.25">
      <c r="B6634" s="70">
        <v>43328</v>
      </c>
      <c r="C6634" t="s">
        <v>24</v>
      </c>
      <c r="D6634" t="s">
        <v>82</v>
      </c>
      <c r="E6634" t="s">
        <v>577</v>
      </c>
      <c r="F6634">
        <v>182</v>
      </c>
      <c r="G6634">
        <v>0</v>
      </c>
    </row>
    <row r="6635" spans="2:7" x14ac:dyDescent="0.25">
      <c r="B6635" s="70">
        <v>43328</v>
      </c>
      <c r="C6635" t="s">
        <v>24</v>
      </c>
      <c r="D6635" t="s">
        <v>82</v>
      </c>
      <c r="E6635" t="s">
        <v>577</v>
      </c>
      <c r="F6635">
        <v>338</v>
      </c>
      <c r="G6635">
        <v>0</v>
      </c>
    </row>
    <row r="6636" spans="2:7" x14ac:dyDescent="0.25">
      <c r="B6636" s="70">
        <v>43328</v>
      </c>
      <c r="C6636" t="s">
        <v>24</v>
      </c>
      <c r="D6636" t="s">
        <v>82</v>
      </c>
      <c r="E6636" t="s">
        <v>577</v>
      </c>
      <c r="F6636">
        <v>190.4</v>
      </c>
      <c r="G6636">
        <v>0</v>
      </c>
    </row>
    <row r="6637" spans="2:7" x14ac:dyDescent="0.25">
      <c r="B6637" s="70">
        <v>43410</v>
      </c>
      <c r="C6637" t="s">
        <v>25</v>
      </c>
      <c r="D6637" t="s">
        <v>80</v>
      </c>
      <c r="E6637" t="s">
        <v>578</v>
      </c>
      <c r="F6637">
        <v>28.5</v>
      </c>
      <c r="G6637">
        <v>0</v>
      </c>
    </row>
    <row r="6638" spans="2:7" x14ac:dyDescent="0.25">
      <c r="B6638" s="70">
        <v>43410</v>
      </c>
      <c r="C6638" t="s">
        <v>25</v>
      </c>
      <c r="D6638" t="s">
        <v>80</v>
      </c>
      <c r="E6638" t="s">
        <v>578</v>
      </c>
      <c r="F6638">
        <v>22.48</v>
      </c>
      <c r="G6638">
        <v>0</v>
      </c>
    </row>
    <row r="6639" spans="2:7" x14ac:dyDescent="0.25">
      <c r="B6639" s="70">
        <v>43410</v>
      </c>
      <c r="C6639" t="s">
        <v>25</v>
      </c>
      <c r="D6639" t="s">
        <v>87</v>
      </c>
      <c r="E6639" t="s">
        <v>578</v>
      </c>
      <c r="F6639">
        <v>18.95</v>
      </c>
      <c r="G6639">
        <v>0</v>
      </c>
    </row>
    <row r="6640" spans="2:7" x14ac:dyDescent="0.25">
      <c r="B6640" s="70">
        <v>43410</v>
      </c>
      <c r="C6640" t="s">
        <v>25</v>
      </c>
      <c r="D6640" t="s">
        <v>87</v>
      </c>
      <c r="E6640" t="s">
        <v>578</v>
      </c>
      <c r="F6640">
        <v>21.2</v>
      </c>
      <c r="G6640">
        <v>0</v>
      </c>
    </row>
    <row r="6641" spans="2:7" x14ac:dyDescent="0.25">
      <c r="B6641" s="70">
        <v>43410</v>
      </c>
      <c r="C6641" t="s">
        <v>25</v>
      </c>
      <c r="D6641" t="s">
        <v>87</v>
      </c>
      <c r="E6641" t="s">
        <v>578</v>
      </c>
      <c r="F6641">
        <v>34.99</v>
      </c>
      <c r="G6641">
        <v>0</v>
      </c>
    </row>
    <row r="6642" spans="2:7" x14ac:dyDescent="0.25">
      <c r="B6642" s="70">
        <v>43410</v>
      </c>
      <c r="C6642" t="s">
        <v>25</v>
      </c>
      <c r="D6642" t="s">
        <v>87</v>
      </c>
      <c r="E6642" t="s">
        <v>578</v>
      </c>
      <c r="F6642">
        <v>25.02</v>
      </c>
      <c r="G6642">
        <v>0</v>
      </c>
    </row>
    <row r="6643" spans="2:7" x14ac:dyDescent="0.25">
      <c r="B6643" s="70">
        <v>43410</v>
      </c>
      <c r="C6643" t="s">
        <v>25</v>
      </c>
      <c r="D6643" t="s">
        <v>87</v>
      </c>
      <c r="E6643" t="s">
        <v>578</v>
      </c>
      <c r="F6643">
        <v>84.26</v>
      </c>
      <c r="G6643">
        <v>0</v>
      </c>
    </row>
    <row r="6644" spans="2:7" x14ac:dyDescent="0.25">
      <c r="B6644" s="70">
        <v>43410</v>
      </c>
      <c r="C6644" t="s">
        <v>25</v>
      </c>
      <c r="D6644" t="s">
        <v>87</v>
      </c>
      <c r="E6644" t="s">
        <v>578</v>
      </c>
      <c r="F6644">
        <v>64.069999999999993</v>
      </c>
      <c r="G6644">
        <v>0</v>
      </c>
    </row>
    <row r="6645" spans="2:7" x14ac:dyDescent="0.25">
      <c r="B6645" s="70">
        <v>43410</v>
      </c>
      <c r="C6645" t="s">
        <v>25</v>
      </c>
      <c r="D6645" t="s">
        <v>87</v>
      </c>
      <c r="E6645" t="s">
        <v>578</v>
      </c>
      <c r="F6645">
        <v>52.18</v>
      </c>
      <c r="G6645">
        <v>0</v>
      </c>
    </row>
    <row r="6646" spans="2:7" x14ac:dyDescent="0.25">
      <c r="B6646" s="70">
        <v>43410</v>
      </c>
      <c r="C6646" t="s">
        <v>25</v>
      </c>
      <c r="D6646" t="s">
        <v>87</v>
      </c>
      <c r="E6646" t="s">
        <v>578</v>
      </c>
      <c r="F6646">
        <v>67.23</v>
      </c>
      <c r="G6646">
        <v>0</v>
      </c>
    </row>
    <row r="6647" spans="2:7" x14ac:dyDescent="0.25">
      <c r="B6647" s="70">
        <v>43410</v>
      </c>
      <c r="C6647" t="s">
        <v>25</v>
      </c>
      <c r="D6647" t="s">
        <v>87</v>
      </c>
      <c r="E6647" t="s">
        <v>578</v>
      </c>
      <c r="F6647">
        <v>42.54</v>
      </c>
      <c r="G6647">
        <v>0</v>
      </c>
    </row>
    <row r="6648" spans="2:7" x14ac:dyDescent="0.25">
      <c r="B6648" s="70">
        <v>43410</v>
      </c>
      <c r="C6648" t="s">
        <v>25</v>
      </c>
      <c r="D6648" t="s">
        <v>87</v>
      </c>
      <c r="E6648" t="s">
        <v>578</v>
      </c>
      <c r="F6648">
        <v>41.68</v>
      </c>
      <c r="G6648">
        <v>0</v>
      </c>
    </row>
    <row r="6649" spans="2:7" x14ac:dyDescent="0.25">
      <c r="B6649" s="70">
        <v>43410</v>
      </c>
      <c r="C6649" t="s">
        <v>25</v>
      </c>
      <c r="D6649" t="s">
        <v>81</v>
      </c>
      <c r="E6649" t="s">
        <v>131</v>
      </c>
      <c r="F6649">
        <v>2.4</v>
      </c>
      <c r="G6649">
        <v>0</v>
      </c>
    </row>
    <row r="6650" spans="2:7" x14ac:dyDescent="0.25">
      <c r="B6650" s="70">
        <v>43410</v>
      </c>
      <c r="C6650" t="s">
        <v>59</v>
      </c>
      <c r="D6650" t="s">
        <v>80</v>
      </c>
      <c r="E6650" t="s">
        <v>578</v>
      </c>
      <c r="F6650">
        <v>116.25</v>
      </c>
      <c r="G6650">
        <v>0</v>
      </c>
    </row>
    <row r="6651" spans="2:7" x14ac:dyDescent="0.25">
      <c r="B6651" s="70">
        <v>43410</v>
      </c>
      <c r="C6651" t="s">
        <v>21</v>
      </c>
      <c r="D6651" t="s">
        <v>79</v>
      </c>
      <c r="E6651" t="s">
        <v>578</v>
      </c>
      <c r="F6651">
        <v>8</v>
      </c>
      <c r="G6651">
        <v>0</v>
      </c>
    </row>
    <row r="6652" spans="2:7" x14ac:dyDescent="0.25">
      <c r="B6652" s="70">
        <v>43410</v>
      </c>
      <c r="C6652" t="s">
        <v>21</v>
      </c>
      <c r="D6652" t="s">
        <v>79</v>
      </c>
      <c r="E6652" t="s">
        <v>578</v>
      </c>
      <c r="F6652">
        <v>16</v>
      </c>
      <c r="G6652">
        <v>0</v>
      </c>
    </row>
    <row r="6653" spans="2:7" x14ac:dyDescent="0.25">
      <c r="B6653" s="70">
        <v>43410</v>
      </c>
      <c r="C6653" t="s">
        <v>21</v>
      </c>
      <c r="D6653" t="s">
        <v>79</v>
      </c>
      <c r="E6653" t="s">
        <v>578</v>
      </c>
      <c r="F6653">
        <v>32</v>
      </c>
      <c r="G6653">
        <v>0</v>
      </c>
    </row>
    <row r="6654" spans="2:7" x14ac:dyDescent="0.25">
      <c r="B6654" s="70">
        <v>43410</v>
      </c>
      <c r="C6654" t="s">
        <v>21</v>
      </c>
      <c r="D6654" t="s">
        <v>79</v>
      </c>
      <c r="E6654" t="s">
        <v>578</v>
      </c>
      <c r="F6654">
        <v>40</v>
      </c>
      <c r="G6654">
        <v>0</v>
      </c>
    </row>
    <row r="6655" spans="2:7" x14ac:dyDescent="0.25">
      <c r="B6655" s="70">
        <v>43410</v>
      </c>
      <c r="C6655" t="s">
        <v>21</v>
      </c>
      <c r="D6655" t="s">
        <v>79</v>
      </c>
      <c r="E6655" t="s">
        <v>578</v>
      </c>
      <c r="F6655">
        <v>88</v>
      </c>
      <c r="G6655">
        <v>0</v>
      </c>
    </row>
    <row r="6656" spans="2:7" x14ac:dyDescent="0.25">
      <c r="B6656" s="70">
        <v>43410</v>
      </c>
      <c r="C6656" t="s">
        <v>66</v>
      </c>
      <c r="D6656" t="s">
        <v>79</v>
      </c>
      <c r="E6656" t="s">
        <v>578</v>
      </c>
      <c r="F6656">
        <v>153.04</v>
      </c>
      <c r="G6656">
        <v>0</v>
      </c>
    </row>
    <row r="6657" spans="2:7" x14ac:dyDescent="0.25">
      <c r="B6657" s="70">
        <v>43410</v>
      </c>
      <c r="C6657" t="s">
        <v>48</v>
      </c>
      <c r="D6657" t="s">
        <v>80</v>
      </c>
      <c r="E6657" t="s">
        <v>578</v>
      </c>
      <c r="F6657">
        <v>48.5</v>
      </c>
      <c r="G6657">
        <v>0</v>
      </c>
    </row>
    <row r="6658" spans="2:7" x14ac:dyDescent="0.25">
      <c r="B6658" s="70">
        <v>43410</v>
      </c>
      <c r="C6658" t="s">
        <v>45</v>
      </c>
      <c r="D6658" t="s">
        <v>79</v>
      </c>
      <c r="E6658" t="s">
        <v>578</v>
      </c>
      <c r="F6658">
        <v>1252.82</v>
      </c>
      <c r="G6658">
        <v>0</v>
      </c>
    </row>
    <row r="6659" spans="2:7" x14ac:dyDescent="0.25">
      <c r="B6659" s="70">
        <v>43410</v>
      </c>
      <c r="C6659" t="s">
        <v>49</v>
      </c>
      <c r="D6659" t="s">
        <v>86</v>
      </c>
      <c r="E6659" t="s">
        <v>578</v>
      </c>
      <c r="F6659">
        <v>0</v>
      </c>
      <c r="G6659">
        <v>150</v>
      </c>
    </row>
    <row r="6660" spans="2:7" x14ac:dyDescent="0.25">
      <c r="B6660" s="70">
        <v>43410</v>
      </c>
      <c r="C6660" t="s">
        <v>50</v>
      </c>
      <c r="D6660" t="s">
        <v>79</v>
      </c>
      <c r="E6660" t="s">
        <v>578</v>
      </c>
      <c r="F6660">
        <v>10</v>
      </c>
      <c r="G6660">
        <v>0</v>
      </c>
    </row>
    <row r="6661" spans="2:7" x14ac:dyDescent="0.25">
      <c r="B6661" s="70">
        <v>43410</v>
      </c>
      <c r="C6661" t="s">
        <v>50</v>
      </c>
      <c r="D6661" t="s">
        <v>82</v>
      </c>
      <c r="E6661" t="s">
        <v>578</v>
      </c>
      <c r="F6661">
        <v>17.399999999999999</v>
      </c>
      <c r="G6661">
        <v>0</v>
      </c>
    </row>
    <row r="6662" spans="2:7" x14ac:dyDescent="0.25">
      <c r="B6662" s="70">
        <v>43410</v>
      </c>
      <c r="C6662" t="s">
        <v>63</v>
      </c>
      <c r="D6662" t="s">
        <v>80</v>
      </c>
      <c r="E6662" t="s">
        <v>578</v>
      </c>
      <c r="F6662">
        <v>45.7</v>
      </c>
      <c r="G6662">
        <v>0</v>
      </c>
    </row>
    <row r="6663" spans="2:7" x14ac:dyDescent="0.25">
      <c r="B6663" s="70">
        <v>43410</v>
      </c>
      <c r="C6663" t="s">
        <v>65</v>
      </c>
      <c r="D6663" t="s">
        <v>87</v>
      </c>
      <c r="E6663" t="s">
        <v>578</v>
      </c>
      <c r="F6663">
        <v>15.95</v>
      </c>
      <c r="G6663">
        <v>0</v>
      </c>
    </row>
    <row r="6664" spans="2:7" x14ac:dyDescent="0.25">
      <c r="B6664" s="70">
        <v>43410</v>
      </c>
      <c r="C6664" t="s">
        <v>24</v>
      </c>
      <c r="D6664" t="s">
        <v>79</v>
      </c>
      <c r="E6664" t="s">
        <v>578</v>
      </c>
      <c r="F6664">
        <v>8</v>
      </c>
      <c r="G6664">
        <v>0</v>
      </c>
    </row>
    <row r="6665" spans="2:7" x14ac:dyDescent="0.25">
      <c r="B6665" s="70">
        <v>43410</v>
      </c>
      <c r="C6665" t="s">
        <v>60</v>
      </c>
      <c r="D6665" t="s">
        <v>80</v>
      </c>
      <c r="E6665" t="s">
        <v>578</v>
      </c>
      <c r="F6665">
        <v>243.88</v>
      </c>
      <c r="G6665">
        <v>0</v>
      </c>
    </row>
    <row r="6666" spans="2:7" x14ac:dyDescent="0.25">
      <c r="B6666" s="70">
        <v>43376</v>
      </c>
      <c r="C6666" t="s">
        <v>25</v>
      </c>
      <c r="D6666" t="s">
        <v>79</v>
      </c>
      <c r="E6666" t="s">
        <v>579</v>
      </c>
      <c r="F6666">
        <v>8</v>
      </c>
      <c r="G6666">
        <v>0</v>
      </c>
    </row>
    <row r="6667" spans="2:7" x14ac:dyDescent="0.25">
      <c r="B6667" s="70">
        <v>43376</v>
      </c>
      <c r="C6667" t="s">
        <v>25</v>
      </c>
      <c r="D6667" t="s">
        <v>82</v>
      </c>
      <c r="E6667" t="s">
        <v>579</v>
      </c>
      <c r="F6667">
        <v>45</v>
      </c>
      <c r="G6667">
        <v>0</v>
      </c>
    </row>
    <row r="6668" spans="2:7" x14ac:dyDescent="0.25">
      <c r="B6668" s="70">
        <v>43376</v>
      </c>
      <c r="C6668" t="s">
        <v>46</v>
      </c>
      <c r="D6668" t="s">
        <v>82</v>
      </c>
      <c r="E6668" t="s">
        <v>579</v>
      </c>
      <c r="F6668">
        <v>10</v>
      </c>
      <c r="G6668">
        <v>0</v>
      </c>
    </row>
    <row r="6669" spans="2:7" x14ac:dyDescent="0.25">
      <c r="B6669" s="70">
        <v>43376</v>
      </c>
      <c r="C6669" t="s">
        <v>43</v>
      </c>
      <c r="D6669" t="s">
        <v>85</v>
      </c>
      <c r="E6669" t="s">
        <v>579</v>
      </c>
      <c r="F6669">
        <v>252.9</v>
      </c>
      <c r="G6669">
        <v>0</v>
      </c>
    </row>
    <row r="6670" spans="2:7" x14ac:dyDescent="0.25">
      <c r="B6670" s="70">
        <v>43376</v>
      </c>
      <c r="C6670" t="s">
        <v>21</v>
      </c>
      <c r="D6670" t="s">
        <v>79</v>
      </c>
      <c r="E6670" t="s">
        <v>579</v>
      </c>
      <c r="F6670">
        <v>8</v>
      </c>
      <c r="G6670">
        <v>0</v>
      </c>
    </row>
    <row r="6671" spans="2:7" x14ac:dyDescent="0.25">
      <c r="B6671" s="70">
        <v>43376</v>
      </c>
      <c r="C6671" t="s">
        <v>21</v>
      </c>
      <c r="D6671" t="s">
        <v>79</v>
      </c>
      <c r="E6671" t="s">
        <v>579</v>
      </c>
      <c r="F6671">
        <v>16</v>
      </c>
      <c r="G6671">
        <v>0</v>
      </c>
    </row>
    <row r="6672" spans="2:7" x14ac:dyDescent="0.25">
      <c r="B6672" s="70">
        <v>43376</v>
      </c>
      <c r="C6672" t="s">
        <v>21</v>
      </c>
      <c r="D6672" t="s">
        <v>79</v>
      </c>
      <c r="E6672" t="s">
        <v>579</v>
      </c>
      <c r="F6672">
        <v>24</v>
      </c>
      <c r="G6672">
        <v>0</v>
      </c>
    </row>
    <row r="6673" spans="2:7" x14ac:dyDescent="0.25">
      <c r="B6673" s="70">
        <v>43376</v>
      </c>
      <c r="C6673" t="s">
        <v>21</v>
      </c>
      <c r="D6673" t="s">
        <v>79</v>
      </c>
      <c r="E6673" t="s">
        <v>579</v>
      </c>
      <c r="F6673">
        <v>80</v>
      </c>
      <c r="G6673">
        <v>0</v>
      </c>
    </row>
    <row r="6674" spans="2:7" x14ac:dyDescent="0.25">
      <c r="B6674" s="70">
        <v>43376</v>
      </c>
      <c r="C6674" t="s">
        <v>48</v>
      </c>
      <c r="D6674" t="s">
        <v>82</v>
      </c>
      <c r="E6674" t="s">
        <v>579</v>
      </c>
      <c r="F6674">
        <v>301</v>
      </c>
      <c r="G6674">
        <v>0</v>
      </c>
    </row>
    <row r="6675" spans="2:7" x14ac:dyDescent="0.25">
      <c r="B6675" s="70">
        <v>43376</v>
      </c>
      <c r="C6675" t="s">
        <v>49</v>
      </c>
      <c r="D6675" t="s">
        <v>82</v>
      </c>
      <c r="E6675" t="s">
        <v>579</v>
      </c>
      <c r="F6675">
        <v>82</v>
      </c>
      <c r="G6675">
        <v>0</v>
      </c>
    </row>
    <row r="6676" spans="2:7" x14ac:dyDescent="0.25">
      <c r="B6676" s="70">
        <v>43376</v>
      </c>
      <c r="C6676" t="s">
        <v>58</v>
      </c>
      <c r="D6676" t="s">
        <v>82</v>
      </c>
      <c r="E6676" t="s">
        <v>579</v>
      </c>
      <c r="F6676">
        <v>24</v>
      </c>
      <c r="G6676">
        <v>0</v>
      </c>
    </row>
    <row r="6677" spans="2:7" x14ac:dyDescent="0.25">
      <c r="B6677" s="70">
        <v>43376</v>
      </c>
      <c r="C6677" t="s">
        <v>53</v>
      </c>
      <c r="D6677" t="s">
        <v>85</v>
      </c>
      <c r="E6677" t="s">
        <v>579</v>
      </c>
      <c r="F6677">
        <v>347.88</v>
      </c>
      <c r="G6677">
        <v>0</v>
      </c>
    </row>
    <row r="6678" spans="2:7" x14ac:dyDescent="0.25">
      <c r="B6678" s="70">
        <v>43376</v>
      </c>
      <c r="C6678" t="s">
        <v>24</v>
      </c>
      <c r="D6678" t="s">
        <v>79</v>
      </c>
      <c r="E6678" t="s">
        <v>579</v>
      </c>
      <c r="F6678">
        <v>8</v>
      </c>
      <c r="G6678">
        <v>0</v>
      </c>
    </row>
    <row r="6679" spans="2:7" x14ac:dyDescent="0.25">
      <c r="B6679" s="70">
        <v>43396</v>
      </c>
      <c r="C6679" t="s">
        <v>25</v>
      </c>
      <c r="D6679" t="s">
        <v>80</v>
      </c>
      <c r="E6679" t="s">
        <v>580</v>
      </c>
      <c r="F6679">
        <v>58.97</v>
      </c>
      <c r="G6679">
        <v>0</v>
      </c>
    </row>
    <row r="6680" spans="2:7" x14ac:dyDescent="0.25">
      <c r="B6680" s="70">
        <v>43396</v>
      </c>
      <c r="C6680" t="s">
        <v>25</v>
      </c>
      <c r="D6680" t="s">
        <v>80</v>
      </c>
      <c r="E6680" t="s">
        <v>580</v>
      </c>
      <c r="F6680">
        <v>27.95</v>
      </c>
      <c r="G6680">
        <v>0</v>
      </c>
    </row>
    <row r="6681" spans="2:7" x14ac:dyDescent="0.25">
      <c r="B6681" s="70">
        <v>43396</v>
      </c>
      <c r="C6681" t="s">
        <v>25</v>
      </c>
      <c r="D6681" t="s">
        <v>80</v>
      </c>
      <c r="E6681" t="s">
        <v>580</v>
      </c>
      <c r="F6681">
        <v>45.45</v>
      </c>
      <c r="G6681">
        <v>0</v>
      </c>
    </row>
    <row r="6682" spans="2:7" x14ac:dyDescent="0.25">
      <c r="B6682" s="70">
        <v>43396</v>
      </c>
      <c r="C6682" t="s">
        <v>25</v>
      </c>
      <c r="D6682" t="s">
        <v>87</v>
      </c>
      <c r="E6682" t="s">
        <v>580</v>
      </c>
      <c r="F6682">
        <v>28</v>
      </c>
      <c r="G6682">
        <v>0</v>
      </c>
    </row>
    <row r="6683" spans="2:7" x14ac:dyDescent="0.25">
      <c r="B6683" s="70">
        <v>43396</v>
      </c>
      <c r="C6683" t="s">
        <v>25</v>
      </c>
      <c r="D6683" t="s">
        <v>87</v>
      </c>
      <c r="E6683" t="s">
        <v>580</v>
      </c>
      <c r="F6683">
        <v>91.81</v>
      </c>
      <c r="G6683">
        <v>0</v>
      </c>
    </row>
    <row r="6684" spans="2:7" x14ac:dyDescent="0.25">
      <c r="B6684" s="70">
        <v>43396</v>
      </c>
      <c r="C6684" t="s">
        <v>25</v>
      </c>
      <c r="D6684" t="s">
        <v>87</v>
      </c>
      <c r="E6684" t="s">
        <v>580</v>
      </c>
      <c r="F6684">
        <v>22.49</v>
      </c>
      <c r="G6684">
        <v>0</v>
      </c>
    </row>
    <row r="6685" spans="2:7" x14ac:dyDescent="0.25">
      <c r="B6685" s="70">
        <v>43396</v>
      </c>
      <c r="C6685" t="s">
        <v>25</v>
      </c>
      <c r="D6685" t="s">
        <v>87</v>
      </c>
      <c r="E6685" t="s">
        <v>580</v>
      </c>
      <c r="F6685">
        <v>72.569999999999993</v>
      </c>
      <c r="G6685">
        <v>0</v>
      </c>
    </row>
    <row r="6686" spans="2:7" x14ac:dyDescent="0.25">
      <c r="B6686" s="70">
        <v>43396</v>
      </c>
      <c r="C6686" t="s">
        <v>25</v>
      </c>
      <c r="D6686" t="s">
        <v>87</v>
      </c>
      <c r="E6686" t="s">
        <v>580</v>
      </c>
      <c r="F6686">
        <v>35.92</v>
      </c>
      <c r="G6686">
        <v>0</v>
      </c>
    </row>
    <row r="6687" spans="2:7" x14ac:dyDescent="0.25">
      <c r="B6687" s="70">
        <v>43396</v>
      </c>
      <c r="C6687" t="s">
        <v>25</v>
      </c>
      <c r="D6687" t="s">
        <v>87</v>
      </c>
      <c r="E6687" t="s">
        <v>580</v>
      </c>
      <c r="F6687">
        <v>30.8</v>
      </c>
      <c r="G6687">
        <v>0</v>
      </c>
    </row>
    <row r="6688" spans="2:7" x14ac:dyDescent="0.25">
      <c r="B6688" s="70">
        <v>43396</v>
      </c>
      <c r="C6688" t="s">
        <v>25</v>
      </c>
      <c r="D6688" t="s">
        <v>81</v>
      </c>
      <c r="E6688" t="s">
        <v>214</v>
      </c>
      <c r="F6688">
        <v>9.1999999999999993</v>
      </c>
      <c r="G6688">
        <v>0</v>
      </c>
    </row>
    <row r="6689" spans="2:7" x14ac:dyDescent="0.25">
      <c r="B6689" s="70">
        <v>43396</v>
      </c>
      <c r="C6689" t="s">
        <v>25</v>
      </c>
      <c r="D6689" t="s">
        <v>81</v>
      </c>
      <c r="E6689" t="s">
        <v>164</v>
      </c>
      <c r="F6689">
        <v>18</v>
      </c>
      <c r="G6689">
        <v>0</v>
      </c>
    </row>
    <row r="6690" spans="2:7" x14ac:dyDescent="0.25">
      <c r="B6690" s="70">
        <v>43396</v>
      </c>
      <c r="C6690" t="s">
        <v>25</v>
      </c>
      <c r="D6690" t="s">
        <v>81</v>
      </c>
      <c r="E6690" t="s">
        <v>128</v>
      </c>
      <c r="F6690">
        <v>2.7</v>
      </c>
      <c r="G6690">
        <v>0</v>
      </c>
    </row>
    <row r="6691" spans="2:7" x14ac:dyDescent="0.25">
      <c r="B6691" s="70">
        <v>43396</v>
      </c>
      <c r="C6691" t="s">
        <v>21</v>
      </c>
      <c r="D6691" t="s">
        <v>79</v>
      </c>
      <c r="E6691" t="s">
        <v>580</v>
      </c>
      <c r="F6691">
        <v>16</v>
      </c>
      <c r="G6691">
        <v>0</v>
      </c>
    </row>
    <row r="6692" spans="2:7" x14ac:dyDescent="0.25">
      <c r="B6692" s="70">
        <v>43396</v>
      </c>
      <c r="C6692" t="s">
        <v>21</v>
      </c>
      <c r="D6692" t="s">
        <v>82</v>
      </c>
      <c r="E6692" t="s">
        <v>580</v>
      </c>
      <c r="F6692">
        <v>91</v>
      </c>
      <c r="G6692">
        <v>0</v>
      </c>
    </row>
    <row r="6693" spans="2:7" x14ac:dyDescent="0.25">
      <c r="B6693" s="70">
        <v>43396</v>
      </c>
      <c r="C6693" t="s">
        <v>48</v>
      </c>
      <c r="D6693" t="s">
        <v>79</v>
      </c>
      <c r="E6693" t="s">
        <v>580</v>
      </c>
      <c r="F6693">
        <v>8</v>
      </c>
      <c r="G6693">
        <v>0</v>
      </c>
    </row>
    <row r="6694" spans="2:7" x14ac:dyDescent="0.25">
      <c r="B6694" s="70">
        <v>43396</v>
      </c>
      <c r="C6694" t="s">
        <v>48</v>
      </c>
      <c r="D6694" t="s">
        <v>82</v>
      </c>
      <c r="E6694" t="s">
        <v>580</v>
      </c>
      <c r="F6694">
        <v>32</v>
      </c>
      <c r="G6694">
        <v>0</v>
      </c>
    </row>
    <row r="6695" spans="2:7" x14ac:dyDescent="0.25">
      <c r="B6695" s="70">
        <v>43396</v>
      </c>
      <c r="C6695" t="s">
        <v>50</v>
      </c>
      <c r="D6695" t="s">
        <v>82</v>
      </c>
      <c r="E6695" t="s">
        <v>580</v>
      </c>
      <c r="F6695">
        <v>14.03</v>
      </c>
      <c r="G6695">
        <v>0</v>
      </c>
    </row>
    <row r="6696" spans="2:7" x14ac:dyDescent="0.25">
      <c r="B6696" s="70">
        <v>43396</v>
      </c>
      <c r="C6696" t="s">
        <v>24</v>
      </c>
      <c r="D6696" t="s">
        <v>82</v>
      </c>
      <c r="E6696" t="s">
        <v>580</v>
      </c>
      <c r="F6696">
        <v>32</v>
      </c>
      <c r="G6696">
        <v>0</v>
      </c>
    </row>
    <row r="6697" spans="2:7" x14ac:dyDescent="0.25">
      <c r="B6697" s="70">
        <v>43264</v>
      </c>
      <c r="C6697" t="s">
        <v>25</v>
      </c>
      <c r="D6697" t="s">
        <v>82</v>
      </c>
      <c r="E6697" t="s">
        <v>581</v>
      </c>
      <c r="F6697">
        <v>364</v>
      </c>
      <c r="G6697">
        <v>0</v>
      </c>
    </row>
    <row r="6698" spans="2:7" x14ac:dyDescent="0.25">
      <c r="B6698" s="70">
        <v>43264</v>
      </c>
      <c r="C6698" t="s">
        <v>46</v>
      </c>
      <c r="D6698" t="s">
        <v>82</v>
      </c>
      <c r="E6698" t="s">
        <v>581</v>
      </c>
      <c r="F6698">
        <v>27.05</v>
      </c>
      <c r="G6698">
        <v>0</v>
      </c>
    </row>
    <row r="6699" spans="2:7" x14ac:dyDescent="0.25">
      <c r="B6699" s="70">
        <v>43264</v>
      </c>
      <c r="C6699" t="s">
        <v>21</v>
      </c>
      <c r="D6699" t="s">
        <v>79</v>
      </c>
      <c r="E6699" t="s">
        <v>581</v>
      </c>
      <c r="F6699">
        <v>8</v>
      </c>
      <c r="G6699">
        <v>0</v>
      </c>
    </row>
    <row r="6700" spans="2:7" x14ac:dyDescent="0.25">
      <c r="B6700" s="70">
        <v>43264</v>
      </c>
      <c r="C6700" t="s">
        <v>21</v>
      </c>
      <c r="D6700" t="s">
        <v>79</v>
      </c>
      <c r="E6700" t="s">
        <v>581</v>
      </c>
      <c r="F6700">
        <v>16</v>
      </c>
      <c r="G6700">
        <v>0</v>
      </c>
    </row>
    <row r="6701" spans="2:7" x14ac:dyDescent="0.25">
      <c r="B6701" s="70">
        <v>43264</v>
      </c>
      <c r="C6701" t="s">
        <v>21</v>
      </c>
      <c r="D6701" t="s">
        <v>79</v>
      </c>
      <c r="E6701" t="s">
        <v>581</v>
      </c>
      <c r="F6701">
        <v>40</v>
      </c>
      <c r="G6701">
        <v>0</v>
      </c>
    </row>
    <row r="6702" spans="2:7" x14ac:dyDescent="0.25">
      <c r="B6702" s="70">
        <v>43264</v>
      </c>
      <c r="C6702" t="s">
        <v>21</v>
      </c>
      <c r="D6702" t="s">
        <v>79</v>
      </c>
      <c r="E6702" t="s">
        <v>581</v>
      </c>
      <c r="F6702">
        <v>64</v>
      </c>
      <c r="G6702">
        <v>0</v>
      </c>
    </row>
    <row r="6703" spans="2:7" x14ac:dyDescent="0.25">
      <c r="B6703" s="70">
        <v>43264</v>
      </c>
      <c r="C6703" t="s">
        <v>21</v>
      </c>
      <c r="D6703" t="s">
        <v>82</v>
      </c>
      <c r="E6703" t="s">
        <v>581</v>
      </c>
      <c r="F6703">
        <v>216</v>
      </c>
      <c r="G6703">
        <v>0</v>
      </c>
    </row>
    <row r="6704" spans="2:7" x14ac:dyDescent="0.25">
      <c r="B6704" s="70">
        <v>43264</v>
      </c>
      <c r="C6704" t="s">
        <v>21</v>
      </c>
      <c r="D6704" t="s">
        <v>82</v>
      </c>
      <c r="E6704" t="s">
        <v>581</v>
      </c>
      <c r="F6704">
        <v>312</v>
      </c>
      <c r="G6704">
        <v>0</v>
      </c>
    </row>
    <row r="6705" spans="2:7" x14ac:dyDescent="0.25">
      <c r="B6705" s="70">
        <v>43264</v>
      </c>
      <c r="C6705" t="s">
        <v>48</v>
      </c>
      <c r="D6705" t="s">
        <v>79</v>
      </c>
      <c r="E6705" t="s">
        <v>581</v>
      </c>
      <c r="F6705">
        <v>297.57</v>
      </c>
      <c r="G6705">
        <v>0</v>
      </c>
    </row>
    <row r="6706" spans="2:7" x14ac:dyDescent="0.25">
      <c r="B6706" s="70">
        <v>43264</v>
      </c>
      <c r="C6706" t="s">
        <v>55</v>
      </c>
      <c r="D6706" t="s">
        <v>82</v>
      </c>
      <c r="E6706" t="s">
        <v>581</v>
      </c>
      <c r="F6706">
        <v>13.25</v>
      </c>
      <c r="G6706">
        <v>0</v>
      </c>
    </row>
    <row r="6707" spans="2:7" x14ac:dyDescent="0.25">
      <c r="B6707" s="70">
        <v>43264</v>
      </c>
      <c r="C6707" t="s">
        <v>45</v>
      </c>
      <c r="D6707" t="s">
        <v>79</v>
      </c>
      <c r="E6707" t="s">
        <v>581</v>
      </c>
      <c r="F6707">
        <v>34.24</v>
      </c>
      <c r="G6707">
        <v>0</v>
      </c>
    </row>
    <row r="6708" spans="2:7" x14ac:dyDescent="0.25">
      <c r="B6708" s="70">
        <v>43264</v>
      </c>
      <c r="C6708" t="s">
        <v>50</v>
      </c>
      <c r="D6708" t="s">
        <v>82</v>
      </c>
      <c r="E6708" t="s">
        <v>581</v>
      </c>
      <c r="F6708">
        <v>27.22</v>
      </c>
      <c r="G6708">
        <v>0</v>
      </c>
    </row>
    <row r="6709" spans="2:7" x14ac:dyDescent="0.25">
      <c r="B6709" s="70">
        <v>43264</v>
      </c>
      <c r="C6709" t="s">
        <v>73</v>
      </c>
      <c r="D6709" t="s">
        <v>85</v>
      </c>
      <c r="E6709" t="s">
        <v>581</v>
      </c>
      <c r="F6709">
        <v>44.58</v>
      </c>
      <c r="G6709">
        <v>0</v>
      </c>
    </row>
    <row r="6710" spans="2:7" x14ac:dyDescent="0.25">
      <c r="B6710" s="70">
        <v>43264</v>
      </c>
      <c r="C6710" t="s">
        <v>24</v>
      </c>
      <c r="D6710" t="s">
        <v>79</v>
      </c>
      <c r="E6710" t="s">
        <v>581</v>
      </c>
      <c r="F6710">
        <v>8</v>
      </c>
      <c r="G6710">
        <v>0</v>
      </c>
    </row>
    <row r="6711" spans="2:7" x14ac:dyDescent="0.25">
      <c r="B6711" s="70">
        <v>43381</v>
      </c>
      <c r="C6711" t="s">
        <v>25</v>
      </c>
      <c r="D6711" t="s">
        <v>79</v>
      </c>
      <c r="E6711" t="s">
        <v>582</v>
      </c>
      <c r="F6711">
        <v>51.45</v>
      </c>
      <c r="G6711">
        <v>0</v>
      </c>
    </row>
    <row r="6712" spans="2:7" x14ac:dyDescent="0.25">
      <c r="B6712" s="70">
        <v>43381</v>
      </c>
      <c r="C6712" t="s">
        <v>25</v>
      </c>
      <c r="D6712" t="s">
        <v>81</v>
      </c>
      <c r="E6712" t="s">
        <v>195</v>
      </c>
      <c r="F6712">
        <v>9</v>
      </c>
      <c r="G6712">
        <v>0</v>
      </c>
    </row>
    <row r="6713" spans="2:7" x14ac:dyDescent="0.25">
      <c r="B6713" s="70">
        <v>43381</v>
      </c>
      <c r="C6713" t="s">
        <v>25</v>
      </c>
      <c r="D6713" t="s">
        <v>81</v>
      </c>
      <c r="E6713" t="s">
        <v>241</v>
      </c>
      <c r="F6713">
        <v>3.15</v>
      </c>
      <c r="G6713">
        <v>0</v>
      </c>
    </row>
    <row r="6714" spans="2:7" x14ac:dyDescent="0.25">
      <c r="B6714" s="70">
        <v>43381</v>
      </c>
      <c r="C6714" t="s">
        <v>25</v>
      </c>
      <c r="D6714" t="s">
        <v>81</v>
      </c>
      <c r="E6714" t="s">
        <v>154</v>
      </c>
      <c r="F6714">
        <v>9</v>
      </c>
      <c r="G6714">
        <v>0</v>
      </c>
    </row>
    <row r="6715" spans="2:7" x14ac:dyDescent="0.25">
      <c r="B6715" s="70">
        <v>43381</v>
      </c>
      <c r="C6715" t="s">
        <v>25</v>
      </c>
      <c r="D6715" t="s">
        <v>81</v>
      </c>
      <c r="E6715" t="s">
        <v>127</v>
      </c>
      <c r="F6715">
        <v>1.8</v>
      </c>
      <c r="G6715">
        <v>0</v>
      </c>
    </row>
    <row r="6716" spans="2:7" x14ac:dyDescent="0.25">
      <c r="B6716" s="70">
        <v>43381</v>
      </c>
      <c r="C6716" t="s">
        <v>46</v>
      </c>
      <c r="D6716" t="s">
        <v>82</v>
      </c>
      <c r="E6716" t="s">
        <v>582</v>
      </c>
      <c r="F6716">
        <v>10</v>
      </c>
      <c r="G6716">
        <v>0</v>
      </c>
    </row>
    <row r="6717" spans="2:7" x14ac:dyDescent="0.25">
      <c r="B6717" s="70">
        <v>43381</v>
      </c>
      <c r="C6717" t="s">
        <v>56</v>
      </c>
      <c r="D6717" t="s">
        <v>82</v>
      </c>
      <c r="E6717" t="s">
        <v>582</v>
      </c>
      <c r="F6717">
        <v>110.57</v>
      </c>
      <c r="G6717">
        <v>0</v>
      </c>
    </row>
    <row r="6718" spans="2:7" x14ac:dyDescent="0.25">
      <c r="B6718" s="70">
        <v>43381</v>
      </c>
      <c r="C6718" t="s">
        <v>21</v>
      </c>
      <c r="D6718" t="s">
        <v>79</v>
      </c>
      <c r="E6718" t="s">
        <v>582</v>
      </c>
      <c r="F6718">
        <v>8</v>
      </c>
      <c r="G6718">
        <v>0</v>
      </c>
    </row>
    <row r="6719" spans="2:7" x14ac:dyDescent="0.25">
      <c r="B6719" s="70">
        <v>43381</v>
      </c>
      <c r="C6719" t="s">
        <v>21</v>
      </c>
      <c r="D6719" t="s">
        <v>79</v>
      </c>
      <c r="E6719" t="s">
        <v>582</v>
      </c>
      <c r="F6719">
        <v>16</v>
      </c>
      <c r="G6719">
        <v>0</v>
      </c>
    </row>
    <row r="6720" spans="2:7" x14ac:dyDescent="0.25">
      <c r="B6720" s="70">
        <v>43381</v>
      </c>
      <c r="C6720" t="s">
        <v>21</v>
      </c>
      <c r="D6720" t="s">
        <v>79</v>
      </c>
      <c r="E6720" t="s">
        <v>582</v>
      </c>
      <c r="F6720">
        <v>48</v>
      </c>
      <c r="G6720">
        <v>0</v>
      </c>
    </row>
    <row r="6721" spans="2:7" x14ac:dyDescent="0.25">
      <c r="B6721" s="70">
        <v>43381</v>
      </c>
      <c r="C6721" t="s">
        <v>21</v>
      </c>
      <c r="D6721" t="s">
        <v>79</v>
      </c>
      <c r="E6721" t="s">
        <v>582</v>
      </c>
      <c r="F6721">
        <v>64</v>
      </c>
      <c r="G6721">
        <v>0</v>
      </c>
    </row>
    <row r="6722" spans="2:7" x14ac:dyDescent="0.25">
      <c r="B6722" s="70">
        <v>43381</v>
      </c>
      <c r="C6722" t="s">
        <v>21</v>
      </c>
      <c r="D6722" t="s">
        <v>82</v>
      </c>
      <c r="E6722" t="s">
        <v>582</v>
      </c>
      <c r="F6722">
        <v>43.5</v>
      </c>
      <c r="G6722">
        <v>0</v>
      </c>
    </row>
    <row r="6723" spans="2:7" x14ac:dyDescent="0.25">
      <c r="B6723" s="70">
        <v>43381</v>
      </c>
      <c r="C6723" t="s">
        <v>50</v>
      </c>
      <c r="D6723" t="s">
        <v>82</v>
      </c>
      <c r="E6723" t="s">
        <v>582</v>
      </c>
      <c r="F6723">
        <v>9.81</v>
      </c>
      <c r="G6723">
        <v>0</v>
      </c>
    </row>
    <row r="6724" spans="2:7" x14ac:dyDescent="0.25">
      <c r="B6724" s="70">
        <v>43381</v>
      </c>
      <c r="C6724" t="s">
        <v>24</v>
      </c>
      <c r="D6724" t="s">
        <v>79</v>
      </c>
      <c r="E6724" t="s">
        <v>582</v>
      </c>
      <c r="F6724">
        <v>8</v>
      </c>
      <c r="G6724">
        <v>0</v>
      </c>
    </row>
    <row r="6725" spans="2:7" x14ac:dyDescent="0.25">
      <c r="B6725" s="70">
        <v>43381</v>
      </c>
      <c r="C6725" t="s">
        <v>24</v>
      </c>
      <c r="D6725" t="s">
        <v>79</v>
      </c>
      <c r="E6725" t="s">
        <v>582</v>
      </c>
      <c r="F6725">
        <v>24</v>
      </c>
      <c r="G6725">
        <v>0</v>
      </c>
    </row>
    <row r="6726" spans="2:7" x14ac:dyDescent="0.25">
      <c r="B6726" s="70">
        <v>43381</v>
      </c>
      <c r="C6726" t="s">
        <v>24</v>
      </c>
      <c r="D6726" t="s">
        <v>82</v>
      </c>
      <c r="E6726" t="s">
        <v>582</v>
      </c>
      <c r="F6726">
        <v>6.95</v>
      </c>
      <c r="G6726">
        <v>0</v>
      </c>
    </row>
    <row r="6727" spans="2:7" x14ac:dyDescent="0.25">
      <c r="B6727" s="70">
        <v>43381</v>
      </c>
      <c r="C6727" t="s">
        <v>62</v>
      </c>
      <c r="D6727" t="s">
        <v>82</v>
      </c>
      <c r="E6727" t="s">
        <v>582</v>
      </c>
      <c r="F6727">
        <v>82.6</v>
      </c>
      <c r="G6727">
        <v>0</v>
      </c>
    </row>
    <row r="6728" spans="2:7" x14ac:dyDescent="0.25">
      <c r="B6728" s="70">
        <v>43382</v>
      </c>
      <c r="C6728" t="s">
        <v>25</v>
      </c>
      <c r="D6728" t="s">
        <v>81</v>
      </c>
      <c r="E6728" t="s">
        <v>178</v>
      </c>
      <c r="F6728">
        <v>9.75</v>
      </c>
      <c r="G6728">
        <v>0</v>
      </c>
    </row>
    <row r="6729" spans="2:7" x14ac:dyDescent="0.25">
      <c r="B6729" s="70">
        <v>43382</v>
      </c>
      <c r="C6729" t="s">
        <v>25</v>
      </c>
      <c r="D6729" t="s">
        <v>81</v>
      </c>
      <c r="E6729" t="s">
        <v>137</v>
      </c>
      <c r="F6729">
        <v>18.75</v>
      </c>
      <c r="G6729">
        <v>0</v>
      </c>
    </row>
    <row r="6730" spans="2:7" x14ac:dyDescent="0.25">
      <c r="B6730" s="70">
        <v>43382</v>
      </c>
      <c r="C6730" t="s">
        <v>25</v>
      </c>
      <c r="D6730" t="s">
        <v>81</v>
      </c>
      <c r="E6730" t="s">
        <v>195</v>
      </c>
      <c r="F6730">
        <v>9</v>
      </c>
      <c r="G6730">
        <v>0</v>
      </c>
    </row>
    <row r="6731" spans="2:7" x14ac:dyDescent="0.25">
      <c r="B6731" s="70">
        <v>43382</v>
      </c>
      <c r="C6731" t="s">
        <v>25</v>
      </c>
      <c r="D6731" t="s">
        <v>81</v>
      </c>
      <c r="E6731" t="s">
        <v>213</v>
      </c>
      <c r="F6731">
        <v>6</v>
      </c>
      <c r="G6731">
        <v>0</v>
      </c>
    </row>
    <row r="6732" spans="2:7" x14ac:dyDescent="0.25">
      <c r="B6732" s="70">
        <v>43382</v>
      </c>
      <c r="C6732" t="s">
        <v>25</v>
      </c>
      <c r="D6732" t="s">
        <v>81</v>
      </c>
      <c r="E6732" t="s">
        <v>275</v>
      </c>
      <c r="F6732">
        <v>14.35</v>
      </c>
      <c r="G6732">
        <v>0</v>
      </c>
    </row>
    <row r="6733" spans="2:7" x14ac:dyDescent="0.25">
      <c r="B6733" s="70">
        <v>43382</v>
      </c>
      <c r="C6733" t="s">
        <v>25</v>
      </c>
      <c r="D6733" t="s">
        <v>81</v>
      </c>
      <c r="E6733" t="s">
        <v>222</v>
      </c>
      <c r="F6733">
        <v>12</v>
      </c>
      <c r="G6733">
        <v>0</v>
      </c>
    </row>
    <row r="6734" spans="2:7" x14ac:dyDescent="0.25">
      <c r="B6734" s="70">
        <v>43382</v>
      </c>
      <c r="C6734" t="s">
        <v>51</v>
      </c>
      <c r="D6734" t="s">
        <v>82</v>
      </c>
      <c r="E6734" t="s">
        <v>583</v>
      </c>
      <c r="F6734">
        <v>209.84</v>
      </c>
      <c r="G6734">
        <v>0</v>
      </c>
    </row>
    <row r="6735" spans="2:7" x14ac:dyDescent="0.25">
      <c r="B6735" s="70">
        <v>43382</v>
      </c>
      <c r="C6735" t="s">
        <v>21</v>
      </c>
      <c r="D6735" t="s">
        <v>79</v>
      </c>
      <c r="E6735" t="s">
        <v>583</v>
      </c>
      <c r="F6735">
        <v>8</v>
      </c>
      <c r="G6735">
        <v>0</v>
      </c>
    </row>
    <row r="6736" spans="2:7" x14ac:dyDescent="0.25">
      <c r="B6736" s="70">
        <v>43382</v>
      </c>
      <c r="C6736" t="s">
        <v>21</v>
      </c>
      <c r="D6736" t="s">
        <v>79</v>
      </c>
      <c r="E6736" t="s">
        <v>583</v>
      </c>
      <c r="F6736">
        <v>56</v>
      </c>
      <c r="G6736">
        <v>0</v>
      </c>
    </row>
    <row r="6737" spans="2:7" x14ac:dyDescent="0.25">
      <c r="B6737" s="70">
        <v>43382</v>
      </c>
      <c r="C6737" t="s">
        <v>50</v>
      </c>
      <c r="D6737" t="s">
        <v>82</v>
      </c>
      <c r="E6737" t="s">
        <v>583</v>
      </c>
      <c r="F6737">
        <v>20</v>
      </c>
      <c r="G6737">
        <v>0</v>
      </c>
    </row>
    <row r="6738" spans="2:7" x14ac:dyDescent="0.25">
      <c r="B6738" s="70">
        <v>43382</v>
      </c>
      <c r="C6738" t="s">
        <v>24</v>
      </c>
      <c r="D6738" t="s">
        <v>79</v>
      </c>
      <c r="E6738" t="s">
        <v>583</v>
      </c>
      <c r="F6738">
        <v>8</v>
      </c>
      <c r="G6738">
        <v>0</v>
      </c>
    </row>
    <row r="6739" spans="2:7" x14ac:dyDescent="0.25">
      <c r="B6739" s="70">
        <v>43385</v>
      </c>
      <c r="C6739" t="s">
        <v>25</v>
      </c>
      <c r="D6739" t="s">
        <v>85</v>
      </c>
      <c r="E6739" t="s">
        <v>584</v>
      </c>
      <c r="F6739">
        <v>24</v>
      </c>
      <c r="G6739">
        <v>0</v>
      </c>
    </row>
    <row r="6740" spans="2:7" x14ac:dyDescent="0.25">
      <c r="B6740" s="70">
        <v>43385</v>
      </c>
      <c r="C6740" t="s">
        <v>25</v>
      </c>
      <c r="D6740" t="s">
        <v>85</v>
      </c>
      <c r="E6740" t="s">
        <v>584</v>
      </c>
      <c r="F6740">
        <v>85</v>
      </c>
      <c r="G6740">
        <v>0</v>
      </c>
    </row>
    <row r="6741" spans="2:7" x14ac:dyDescent="0.25">
      <c r="B6741" s="70">
        <v>43385</v>
      </c>
      <c r="C6741" t="s">
        <v>25</v>
      </c>
      <c r="D6741" t="s">
        <v>81</v>
      </c>
      <c r="E6741" t="s">
        <v>195</v>
      </c>
      <c r="F6741">
        <v>26</v>
      </c>
      <c r="G6741">
        <v>0</v>
      </c>
    </row>
    <row r="6742" spans="2:7" x14ac:dyDescent="0.25">
      <c r="B6742" s="70">
        <v>43385</v>
      </c>
      <c r="C6742" t="s">
        <v>25</v>
      </c>
      <c r="D6742" t="s">
        <v>81</v>
      </c>
      <c r="E6742" t="s">
        <v>133</v>
      </c>
      <c r="F6742">
        <v>1.8</v>
      </c>
      <c r="G6742">
        <v>0</v>
      </c>
    </row>
    <row r="6743" spans="2:7" x14ac:dyDescent="0.25">
      <c r="B6743" s="70">
        <v>43385</v>
      </c>
      <c r="C6743" t="s">
        <v>46</v>
      </c>
      <c r="D6743" t="s">
        <v>82</v>
      </c>
      <c r="E6743" t="s">
        <v>584</v>
      </c>
      <c r="F6743">
        <v>10</v>
      </c>
      <c r="G6743">
        <v>0</v>
      </c>
    </row>
    <row r="6744" spans="2:7" x14ac:dyDescent="0.25">
      <c r="B6744" s="70">
        <v>43385</v>
      </c>
      <c r="C6744" t="s">
        <v>21</v>
      </c>
      <c r="D6744" t="s">
        <v>79</v>
      </c>
      <c r="E6744" t="s">
        <v>584</v>
      </c>
      <c r="F6744">
        <v>8</v>
      </c>
      <c r="G6744">
        <v>0</v>
      </c>
    </row>
    <row r="6745" spans="2:7" x14ac:dyDescent="0.25">
      <c r="B6745" s="70">
        <v>43385</v>
      </c>
      <c r="C6745" t="s">
        <v>21</v>
      </c>
      <c r="D6745" t="s">
        <v>79</v>
      </c>
      <c r="E6745" t="s">
        <v>584</v>
      </c>
      <c r="F6745">
        <v>16</v>
      </c>
      <c r="G6745">
        <v>0</v>
      </c>
    </row>
    <row r="6746" spans="2:7" x14ac:dyDescent="0.25">
      <c r="B6746" s="70">
        <v>43385</v>
      </c>
      <c r="C6746" t="s">
        <v>21</v>
      </c>
      <c r="D6746" t="s">
        <v>79</v>
      </c>
      <c r="E6746" t="s">
        <v>584</v>
      </c>
      <c r="F6746">
        <v>24</v>
      </c>
      <c r="G6746">
        <v>0</v>
      </c>
    </row>
    <row r="6747" spans="2:7" x14ac:dyDescent="0.25">
      <c r="B6747" s="70">
        <v>43385</v>
      </c>
      <c r="C6747" t="s">
        <v>21</v>
      </c>
      <c r="D6747" t="s">
        <v>82</v>
      </c>
      <c r="E6747" t="s">
        <v>584</v>
      </c>
      <c r="F6747">
        <v>19</v>
      </c>
      <c r="G6747">
        <v>0</v>
      </c>
    </row>
    <row r="6748" spans="2:7" x14ac:dyDescent="0.25">
      <c r="B6748" s="70">
        <v>43385</v>
      </c>
      <c r="C6748" t="s">
        <v>21</v>
      </c>
      <c r="D6748" t="s">
        <v>82</v>
      </c>
      <c r="E6748" t="s">
        <v>584</v>
      </c>
      <c r="F6748">
        <v>62.4</v>
      </c>
      <c r="G6748">
        <v>0</v>
      </c>
    </row>
    <row r="6749" spans="2:7" x14ac:dyDescent="0.25">
      <c r="B6749" s="70">
        <v>43385</v>
      </c>
      <c r="C6749" t="s">
        <v>66</v>
      </c>
      <c r="D6749" t="s">
        <v>82</v>
      </c>
      <c r="E6749" t="s">
        <v>584</v>
      </c>
      <c r="F6749">
        <v>166</v>
      </c>
      <c r="G6749">
        <v>0</v>
      </c>
    </row>
    <row r="6750" spans="2:7" x14ac:dyDescent="0.25">
      <c r="B6750" s="70">
        <v>43385</v>
      </c>
      <c r="C6750" t="s">
        <v>50</v>
      </c>
      <c r="D6750" t="s">
        <v>79</v>
      </c>
      <c r="E6750" t="s">
        <v>584</v>
      </c>
      <c r="F6750">
        <v>10</v>
      </c>
      <c r="G6750">
        <v>0</v>
      </c>
    </row>
    <row r="6751" spans="2:7" x14ac:dyDescent="0.25">
      <c r="B6751" s="70">
        <v>43385</v>
      </c>
      <c r="C6751" t="s">
        <v>65</v>
      </c>
      <c r="D6751" t="s">
        <v>85</v>
      </c>
      <c r="E6751" t="s">
        <v>584</v>
      </c>
      <c r="F6751">
        <v>32.97</v>
      </c>
      <c r="G6751">
        <v>0</v>
      </c>
    </row>
    <row r="6752" spans="2:7" x14ac:dyDescent="0.25">
      <c r="B6752" s="70">
        <v>43385</v>
      </c>
      <c r="C6752" t="s">
        <v>65</v>
      </c>
      <c r="D6752" t="s">
        <v>82</v>
      </c>
      <c r="E6752" t="s">
        <v>584</v>
      </c>
      <c r="F6752">
        <v>25.68</v>
      </c>
      <c r="G6752">
        <v>0</v>
      </c>
    </row>
    <row r="6753" spans="2:7" x14ac:dyDescent="0.25">
      <c r="B6753" s="70">
        <v>43385</v>
      </c>
      <c r="C6753" t="s">
        <v>24</v>
      </c>
      <c r="D6753" t="s">
        <v>79</v>
      </c>
      <c r="E6753" t="s">
        <v>584</v>
      </c>
      <c r="F6753">
        <v>8</v>
      </c>
      <c r="G6753">
        <v>0</v>
      </c>
    </row>
    <row r="6754" spans="2:7" x14ac:dyDescent="0.25">
      <c r="B6754" s="70">
        <v>43400</v>
      </c>
      <c r="C6754" t="s">
        <v>25</v>
      </c>
      <c r="D6754" t="s">
        <v>79</v>
      </c>
      <c r="E6754" t="s">
        <v>585</v>
      </c>
      <c r="F6754">
        <v>8</v>
      </c>
      <c r="G6754">
        <v>0</v>
      </c>
    </row>
    <row r="6755" spans="2:7" x14ac:dyDescent="0.25">
      <c r="B6755" s="70">
        <v>43400</v>
      </c>
      <c r="C6755" t="s">
        <v>25</v>
      </c>
      <c r="D6755" t="s">
        <v>81</v>
      </c>
      <c r="E6755" t="s">
        <v>195</v>
      </c>
      <c r="F6755">
        <v>7</v>
      </c>
      <c r="G6755">
        <v>0</v>
      </c>
    </row>
    <row r="6756" spans="2:7" x14ac:dyDescent="0.25">
      <c r="B6756" s="70">
        <v>43400</v>
      </c>
      <c r="C6756" t="s">
        <v>21</v>
      </c>
      <c r="D6756" t="s">
        <v>79</v>
      </c>
      <c r="E6756" t="s">
        <v>585</v>
      </c>
      <c r="F6756">
        <v>8</v>
      </c>
      <c r="G6756">
        <v>0</v>
      </c>
    </row>
    <row r="6757" spans="2:7" x14ac:dyDescent="0.25">
      <c r="B6757" s="70">
        <v>43400</v>
      </c>
      <c r="C6757" t="s">
        <v>21</v>
      </c>
      <c r="D6757" t="s">
        <v>79</v>
      </c>
      <c r="E6757" t="s">
        <v>585</v>
      </c>
      <c r="F6757">
        <v>16</v>
      </c>
      <c r="G6757">
        <v>0</v>
      </c>
    </row>
    <row r="6758" spans="2:7" x14ac:dyDescent="0.25">
      <c r="B6758" s="70">
        <v>43400</v>
      </c>
      <c r="C6758" t="s">
        <v>66</v>
      </c>
      <c r="D6758" t="s">
        <v>82</v>
      </c>
      <c r="E6758" t="s">
        <v>585</v>
      </c>
      <c r="F6758">
        <v>32</v>
      </c>
      <c r="G6758">
        <v>0</v>
      </c>
    </row>
    <row r="6759" spans="2:7" x14ac:dyDescent="0.25">
      <c r="B6759" s="70">
        <v>43400</v>
      </c>
      <c r="C6759" t="s">
        <v>48</v>
      </c>
      <c r="D6759" t="s">
        <v>79</v>
      </c>
      <c r="E6759" t="s">
        <v>585</v>
      </c>
      <c r="F6759">
        <v>496.11</v>
      </c>
      <c r="G6759">
        <v>0</v>
      </c>
    </row>
    <row r="6760" spans="2:7" x14ac:dyDescent="0.25">
      <c r="B6760" s="70">
        <v>43400</v>
      </c>
      <c r="C6760" t="s">
        <v>48</v>
      </c>
      <c r="D6760" t="s">
        <v>91</v>
      </c>
      <c r="E6760" t="s">
        <v>585</v>
      </c>
      <c r="F6760">
        <v>46100</v>
      </c>
      <c r="G6760">
        <v>0</v>
      </c>
    </row>
    <row r="6761" spans="2:7" x14ac:dyDescent="0.25">
      <c r="B6761" s="70">
        <v>43400</v>
      </c>
      <c r="C6761" t="s">
        <v>48</v>
      </c>
      <c r="D6761" t="s">
        <v>82</v>
      </c>
      <c r="E6761" t="s">
        <v>585</v>
      </c>
      <c r="F6761">
        <v>141</v>
      </c>
      <c r="G6761">
        <v>0</v>
      </c>
    </row>
    <row r="6762" spans="2:7" x14ac:dyDescent="0.25">
      <c r="B6762" s="70">
        <v>43400</v>
      </c>
      <c r="C6762" t="s">
        <v>24</v>
      </c>
      <c r="D6762" t="s">
        <v>79</v>
      </c>
      <c r="E6762" t="s">
        <v>585</v>
      </c>
      <c r="F6762">
        <v>8</v>
      </c>
      <c r="G6762">
        <v>0</v>
      </c>
    </row>
    <row r="6763" spans="2:7" x14ac:dyDescent="0.25">
      <c r="B6763" s="70">
        <v>43426</v>
      </c>
      <c r="C6763" t="s">
        <v>25</v>
      </c>
      <c r="D6763" t="s">
        <v>81</v>
      </c>
      <c r="E6763" t="s">
        <v>179</v>
      </c>
      <c r="F6763">
        <v>2.25</v>
      </c>
      <c r="G6763">
        <v>0</v>
      </c>
    </row>
    <row r="6764" spans="2:7" x14ac:dyDescent="0.25">
      <c r="B6764" s="70">
        <v>43426</v>
      </c>
      <c r="C6764" t="s">
        <v>25</v>
      </c>
      <c r="D6764" t="s">
        <v>82</v>
      </c>
      <c r="E6764" t="s">
        <v>586</v>
      </c>
      <c r="F6764">
        <v>34</v>
      </c>
      <c r="G6764">
        <v>0</v>
      </c>
    </row>
    <row r="6765" spans="2:7" x14ac:dyDescent="0.25">
      <c r="B6765" s="70">
        <v>43426</v>
      </c>
      <c r="C6765" t="s">
        <v>21</v>
      </c>
      <c r="D6765" t="s">
        <v>79</v>
      </c>
      <c r="E6765" t="s">
        <v>586</v>
      </c>
      <c r="F6765">
        <v>8</v>
      </c>
      <c r="G6765">
        <v>0</v>
      </c>
    </row>
    <row r="6766" spans="2:7" x14ac:dyDescent="0.25">
      <c r="B6766" s="70">
        <v>43426</v>
      </c>
      <c r="C6766" t="s">
        <v>21</v>
      </c>
      <c r="D6766" t="s">
        <v>79</v>
      </c>
      <c r="E6766" t="s">
        <v>586</v>
      </c>
      <c r="F6766">
        <v>16</v>
      </c>
      <c r="G6766">
        <v>0</v>
      </c>
    </row>
    <row r="6767" spans="2:7" x14ac:dyDescent="0.25">
      <c r="B6767" s="70">
        <v>43426</v>
      </c>
      <c r="C6767" t="s">
        <v>21</v>
      </c>
      <c r="D6767" t="s">
        <v>79</v>
      </c>
      <c r="E6767" t="s">
        <v>586</v>
      </c>
      <c r="F6767">
        <v>32</v>
      </c>
      <c r="G6767">
        <v>0</v>
      </c>
    </row>
    <row r="6768" spans="2:7" x14ac:dyDescent="0.25">
      <c r="B6768" s="70">
        <v>43426</v>
      </c>
      <c r="C6768" t="s">
        <v>48</v>
      </c>
      <c r="D6768" t="s">
        <v>82</v>
      </c>
      <c r="E6768" t="s">
        <v>586</v>
      </c>
      <c r="F6768">
        <v>120</v>
      </c>
      <c r="G6768">
        <v>0</v>
      </c>
    </row>
    <row r="6769" spans="2:7" x14ac:dyDescent="0.25">
      <c r="B6769" s="70">
        <v>43434</v>
      </c>
      <c r="C6769" t="s">
        <v>25</v>
      </c>
      <c r="D6769" t="s">
        <v>79</v>
      </c>
      <c r="E6769" t="s">
        <v>587</v>
      </c>
      <c r="F6769">
        <v>26.16</v>
      </c>
      <c r="G6769">
        <v>0</v>
      </c>
    </row>
    <row r="6770" spans="2:7" x14ac:dyDescent="0.25">
      <c r="B6770" s="70">
        <v>43434</v>
      </c>
      <c r="C6770" t="s">
        <v>25</v>
      </c>
      <c r="D6770" t="s">
        <v>85</v>
      </c>
      <c r="E6770" t="s">
        <v>587</v>
      </c>
      <c r="F6770">
        <v>20.8</v>
      </c>
      <c r="G6770">
        <v>0</v>
      </c>
    </row>
    <row r="6771" spans="2:7" x14ac:dyDescent="0.25">
      <c r="B6771" s="70">
        <v>43434</v>
      </c>
      <c r="C6771" t="s">
        <v>25</v>
      </c>
      <c r="D6771" t="s">
        <v>81</v>
      </c>
      <c r="E6771" t="s">
        <v>195</v>
      </c>
      <c r="F6771">
        <v>9</v>
      </c>
      <c r="G6771">
        <v>0</v>
      </c>
    </row>
    <row r="6772" spans="2:7" x14ac:dyDescent="0.25">
      <c r="B6772" s="70">
        <v>43434</v>
      </c>
      <c r="C6772" t="s">
        <v>25</v>
      </c>
      <c r="D6772" t="s">
        <v>81</v>
      </c>
      <c r="E6772" t="s">
        <v>213</v>
      </c>
      <c r="F6772">
        <v>25</v>
      </c>
      <c r="G6772">
        <v>0</v>
      </c>
    </row>
    <row r="6773" spans="2:7" x14ac:dyDescent="0.25">
      <c r="B6773" s="70">
        <v>43434</v>
      </c>
      <c r="C6773" t="s">
        <v>25</v>
      </c>
      <c r="D6773" t="s">
        <v>81</v>
      </c>
      <c r="E6773" t="s">
        <v>273</v>
      </c>
      <c r="F6773">
        <v>2.4</v>
      </c>
      <c r="G6773">
        <v>0</v>
      </c>
    </row>
    <row r="6774" spans="2:7" x14ac:dyDescent="0.25">
      <c r="B6774" s="70">
        <v>43434</v>
      </c>
      <c r="C6774" t="s">
        <v>54</v>
      </c>
      <c r="D6774" t="s">
        <v>79</v>
      </c>
      <c r="E6774" t="s">
        <v>587</v>
      </c>
      <c r="F6774">
        <v>130.66</v>
      </c>
      <c r="G6774">
        <v>0</v>
      </c>
    </row>
    <row r="6775" spans="2:7" x14ac:dyDescent="0.25">
      <c r="B6775" s="70">
        <v>43434</v>
      </c>
      <c r="C6775" t="s">
        <v>54</v>
      </c>
      <c r="D6775" t="s">
        <v>80</v>
      </c>
      <c r="E6775" t="s">
        <v>587</v>
      </c>
      <c r="F6775">
        <v>214.34</v>
      </c>
      <c r="G6775">
        <v>0</v>
      </c>
    </row>
    <row r="6776" spans="2:7" x14ac:dyDescent="0.25">
      <c r="B6776" s="70">
        <v>43434</v>
      </c>
      <c r="C6776" t="s">
        <v>54</v>
      </c>
      <c r="D6776" t="s">
        <v>86</v>
      </c>
      <c r="E6776" t="s">
        <v>587</v>
      </c>
      <c r="F6776">
        <v>0</v>
      </c>
      <c r="G6776">
        <v>214.34</v>
      </c>
    </row>
    <row r="6777" spans="2:7" x14ac:dyDescent="0.25">
      <c r="B6777" s="70">
        <v>43434</v>
      </c>
      <c r="C6777" t="s">
        <v>46</v>
      </c>
      <c r="D6777" t="s">
        <v>82</v>
      </c>
      <c r="E6777" t="s">
        <v>587</v>
      </c>
      <c r="F6777">
        <v>71.7</v>
      </c>
      <c r="G6777">
        <v>0</v>
      </c>
    </row>
    <row r="6778" spans="2:7" x14ac:dyDescent="0.25">
      <c r="B6778" s="70">
        <v>43434</v>
      </c>
      <c r="C6778" t="s">
        <v>51</v>
      </c>
      <c r="D6778" t="s">
        <v>82</v>
      </c>
      <c r="E6778" t="s">
        <v>587</v>
      </c>
      <c r="F6778">
        <v>188.4</v>
      </c>
      <c r="G6778">
        <v>0</v>
      </c>
    </row>
    <row r="6779" spans="2:7" x14ac:dyDescent="0.25">
      <c r="B6779" s="70">
        <v>43434</v>
      </c>
      <c r="C6779" t="s">
        <v>21</v>
      </c>
      <c r="D6779" t="s">
        <v>79</v>
      </c>
      <c r="E6779" t="s">
        <v>587</v>
      </c>
      <c r="F6779">
        <v>8</v>
      </c>
      <c r="G6779">
        <v>0</v>
      </c>
    </row>
    <row r="6780" spans="2:7" x14ac:dyDescent="0.25">
      <c r="B6780" s="70">
        <v>43434</v>
      </c>
      <c r="C6780" t="s">
        <v>21</v>
      </c>
      <c r="D6780" t="s">
        <v>79</v>
      </c>
      <c r="E6780" t="s">
        <v>587</v>
      </c>
      <c r="F6780">
        <v>16</v>
      </c>
      <c r="G6780">
        <v>0</v>
      </c>
    </row>
    <row r="6781" spans="2:7" x14ac:dyDescent="0.25">
      <c r="B6781" s="70">
        <v>43434</v>
      </c>
      <c r="C6781" t="s">
        <v>21</v>
      </c>
      <c r="D6781" t="s">
        <v>79</v>
      </c>
      <c r="E6781" t="s">
        <v>587</v>
      </c>
      <c r="F6781">
        <v>24</v>
      </c>
      <c r="G6781">
        <v>0</v>
      </c>
    </row>
    <row r="6782" spans="2:7" x14ac:dyDescent="0.25">
      <c r="B6782" s="70">
        <v>43434</v>
      </c>
      <c r="C6782" t="s">
        <v>48</v>
      </c>
      <c r="D6782" t="s">
        <v>79</v>
      </c>
      <c r="E6782" t="s">
        <v>587</v>
      </c>
      <c r="F6782">
        <v>8</v>
      </c>
      <c r="G6782">
        <v>0</v>
      </c>
    </row>
    <row r="6783" spans="2:7" x14ac:dyDescent="0.25">
      <c r="B6783" s="70">
        <v>43434</v>
      </c>
      <c r="C6783" t="s">
        <v>52</v>
      </c>
      <c r="D6783" t="s">
        <v>85</v>
      </c>
      <c r="E6783" t="s">
        <v>587</v>
      </c>
      <c r="F6783">
        <v>53.55</v>
      </c>
      <c r="G6783">
        <v>0</v>
      </c>
    </row>
    <row r="6784" spans="2:7" x14ac:dyDescent="0.25">
      <c r="B6784" s="70">
        <v>43434</v>
      </c>
      <c r="C6784" t="s">
        <v>24</v>
      </c>
      <c r="D6784" t="s">
        <v>79</v>
      </c>
      <c r="E6784" t="s">
        <v>587</v>
      </c>
      <c r="F6784">
        <v>8</v>
      </c>
      <c r="G6784">
        <v>0</v>
      </c>
    </row>
    <row r="6785" spans="2:7" x14ac:dyDescent="0.25">
      <c r="B6785" s="70">
        <v>43417</v>
      </c>
      <c r="C6785" t="s">
        <v>25</v>
      </c>
      <c r="D6785" t="s">
        <v>85</v>
      </c>
      <c r="E6785" t="s">
        <v>588</v>
      </c>
      <c r="F6785">
        <v>165.4</v>
      </c>
      <c r="G6785">
        <v>0</v>
      </c>
    </row>
    <row r="6786" spans="2:7" x14ac:dyDescent="0.25">
      <c r="B6786" s="70">
        <v>43417</v>
      </c>
      <c r="C6786" t="s">
        <v>25</v>
      </c>
      <c r="D6786" t="s">
        <v>83</v>
      </c>
      <c r="E6786" t="s">
        <v>588</v>
      </c>
      <c r="F6786">
        <v>20</v>
      </c>
      <c r="G6786">
        <v>0</v>
      </c>
    </row>
    <row r="6787" spans="2:7" x14ac:dyDescent="0.25">
      <c r="B6787" s="70">
        <v>43417</v>
      </c>
      <c r="C6787" t="s">
        <v>25</v>
      </c>
      <c r="D6787" t="s">
        <v>80</v>
      </c>
      <c r="E6787" t="s">
        <v>588</v>
      </c>
      <c r="F6787">
        <v>50.33</v>
      </c>
      <c r="G6787">
        <v>0</v>
      </c>
    </row>
    <row r="6788" spans="2:7" x14ac:dyDescent="0.25">
      <c r="B6788" s="70">
        <v>43417</v>
      </c>
      <c r="C6788" t="s">
        <v>25</v>
      </c>
      <c r="D6788" t="s">
        <v>87</v>
      </c>
      <c r="E6788" t="s">
        <v>588</v>
      </c>
      <c r="F6788">
        <v>35</v>
      </c>
      <c r="G6788">
        <v>0</v>
      </c>
    </row>
    <row r="6789" spans="2:7" x14ac:dyDescent="0.25">
      <c r="B6789" s="70">
        <v>43417</v>
      </c>
      <c r="C6789" t="s">
        <v>25</v>
      </c>
      <c r="D6789" t="s">
        <v>87</v>
      </c>
      <c r="E6789" t="s">
        <v>588</v>
      </c>
      <c r="F6789">
        <v>145.18</v>
      </c>
      <c r="G6789">
        <v>0</v>
      </c>
    </row>
    <row r="6790" spans="2:7" x14ac:dyDescent="0.25">
      <c r="B6790" s="70">
        <v>43417</v>
      </c>
      <c r="C6790" t="s">
        <v>25</v>
      </c>
      <c r="D6790" t="s">
        <v>87</v>
      </c>
      <c r="E6790" t="s">
        <v>588</v>
      </c>
      <c r="F6790">
        <v>87.62</v>
      </c>
      <c r="G6790">
        <v>0</v>
      </c>
    </row>
    <row r="6791" spans="2:7" x14ac:dyDescent="0.25">
      <c r="B6791" s="70">
        <v>43417</v>
      </c>
      <c r="C6791" t="s">
        <v>25</v>
      </c>
      <c r="D6791" t="s">
        <v>81</v>
      </c>
      <c r="E6791" t="s">
        <v>140</v>
      </c>
      <c r="F6791">
        <v>3</v>
      </c>
      <c r="G6791">
        <v>0</v>
      </c>
    </row>
    <row r="6792" spans="2:7" x14ac:dyDescent="0.25">
      <c r="B6792" s="70">
        <v>43417</v>
      </c>
      <c r="C6792" t="s">
        <v>25</v>
      </c>
      <c r="D6792" t="s">
        <v>81</v>
      </c>
      <c r="E6792" t="s">
        <v>154</v>
      </c>
      <c r="F6792">
        <v>2.25</v>
      </c>
      <c r="G6792">
        <v>0</v>
      </c>
    </row>
    <row r="6793" spans="2:7" x14ac:dyDescent="0.25">
      <c r="B6793" s="70">
        <v>43417</v>
      </c>
      <c r="C6793" t="s">
        <v>54</v>
      </c>
      <c r="D6793" t="s">
        <v>80</v>
      </c>
      <c r="E6793" t="s">
        <v>588</v>
      </c>
      <c r="F6793">
        <v>19</v>
      </c>
      <c r="G6793">
        <v>0</v>
      </c>
    </row>
    <row r="6794" spans="2:7" x14ac:dyDescent="0.25">
      <c r="B6794" s="70">
        <v>43417</v>
      </c>
      <c r="C6794" t="s">
        <v>56</v>
      </c>
      <c r="D6794" t="s">
        <v>82</v>
      </c>
      <c r="E6794" t="s">
        <v>588</v>
      </c>
      <c r="F6794">
        <v>167.82</v>
      </c>
      <c r="G6794">
        <v>0</v>
      </c>
    </row>
    <row r="6795" spans="2:7" x14ac:dyDescent="0.25">
      <c r="B6795" s="70">
        <v>43417</v>
      </c>
      <c r="C6795" t="s">
        <v>21</v>
      </c>
      <c r="D6795" t="s">
        <v>79</v>
      </c>
      <c r="E6795" t="s">
        <v>588</v>
      </c>
      <c r="F6795">
        <v>8</v>
      </c>
      <c r="G6795">
        <v>0</v>
      </c>
    </row>
    <row r="6796" spans="2:7" x14ac:dyDescent="0.25">
      <c r="B6796" s="70">
        <v>43417</v>
      </c>
      <c r="C6796" t="s">
        <v>21</v>
      </c>
      <c r="D6796" t="s">
        <v>79</v>
      </c>
      <c r="E6796" t="s">
        <v>588</v>
      </c>
      <c r="F6796">
        <v>16</v>
      </c>
      <c r="G6796">
        <v>0</v>
      </c>
    </row>
    <row r="6797" spans="2:7" x14ac:dyDescent="0.25">
      <c r="B6797" s="70">
        <v>43417</v>
      </c>
      <c r="C6797" t="s">
        <v>21</v>
      </c>
      <c r="D6797" t="s">
        <v>79</v>
      </c>
      <c r="E6797" t="s">
        <v>588</v>
      </c>
      <c r="F6797">
        <v>24</v>
      </c>
      <c r="G6797">
        <v>0</v>
      </c>
    </row>
    <row r="6798" spans="2:7" x14ac:dyDescent="0.25">
      <c r="B6798" s="70">
        <v>43417</v>
      </c>
      <c r="C6798" t="s">
        <v>21</v>
      </c>
      <c r="D6798" t="s">
        <v>79</v>
      </c>
      <c r="E6798" t="s">
        <v>588</v>
      </c>
      <c r="F6798">
        <v>56</v>
      </c>
      <c r="G6798">
        <v>0</v>
      </c>
    </row>
    <row r="6799" spans="2:7" x14ac:dyDescent="0.25">
      <c r="B6799" s="70">
        <v>43417</v>
      </c>
      <c r="C6799" t="s">
        <v>21</v>
      </c>
      <c r="D6799" t="s">
        <v>82</v>
      </c>
      <c r="E6799" t="s">
        <v>588</v>
      </c>
      <c r="F6799">
        <v>216</v>
      </c>
      <c r="G6799">
        <v>0</v>
      </c>
    </row>
    <row r="6800" spans="2:7" x14ac:dyDescent="0.25">
      <c r="B6800" s="70">
        <v>43417</v>
      </c>
      <c r="C6800" t="s">
        <v>21</v>
      </c>
      <c r="D6800" t="s">
        <v>82</v>
      </c>
      <c r="E6800" t="s">
        <v>588</v>
      </c>
      <c r="F6800">
        <v>108</v>
      </c>
      <c r="G6800">
        <v>0</v>
      </c>
    </row>
    <row r="6801" spans="2:7" x14ac:dyDescent="0.25">
      <c r="B6801" s="70">
        <v>43417</v>
      </c>
      <c r="C6801" t="s">
        <v>45</v>
      </c>
      <c r="D6801" t="s">
        <v>82</v>
      </c>
      <c r="E6801" t="s">
        <v>588</v>
      </c>
      <c r="F6801">
        <v>71.3</v>
      </c>
      <c r="G6801">
        <v>0</v>
      </c>
    </row>
    <row r="6802" spans="2:7" x14ac:dyDescent="0.25">
      <c r="B6802" s="70">
        <v>43417</v>
      </c>
      <c r="C6802" t="s">
        <v>50</v>
      </c>
      <c r="D6802" t="s">
        <v>87</v>
      </c>
      <c r="E6802" t="s">
        <v>588</v>
      </c>
      <c r="F6802">
        <v>351.69</v>
      </c>
      <c r="G6802">
        <v>0</v>
      </c>
    </row>
    <row r="6803" spans="2:7" x14ac:dyDescent="0.25">
      <c r="B6803" s="70">
        <v>43417</v>
      </c>
      <c r="C6803" t="s">
        <v>24</v>
      </c>
      <c r="D6803" t="s">
        <v>79</v>
      </c>
      <c r="E6803" t="s">
        <v>588</v>
      </c>
      <c r="F6803">
        <v>8</v>
      </c>
      <c r="G6803">
        <v>0</v>
      </c>
    </row>
    <row r="6804" spans="2:7" x14ac:dyDescent="0.25">
      <c r="B6804" s="70">
        <v>43365</v>
      </c>
      <c r="C6804" t="s">
        <v>25</v>
      </c>
      <c r="D6804" t="s">
        <v>81</v>
      </c>
      <c r="E6804" t="s">
        <v>125</v>
      </c>
      <c r="F6804">
        <v>6</v>
      </c>
      <c r="G6804">
        <v>0</v>
      </c>
    </row>
    <row r="6805" spans="2:7" x14ac:dyDescent="0.25">
      <c r="B6805" s="70">
        <v>43365</v>
      </c>
      <c r="C6805" t="s">
        <v>51</v>
      </c>
      <c r="D6805" t="s">
        <v>82</v>
      </c>
      <c r="E6805" t="s">
        <v>589</v>
      </c>
      <c r="F6805">
        <v>52.3</v>
      </c>
      <c r="G6805">
        <v>0</v>
      </c>
    </row>
    <row r="6806" spans="2:7" x14ac:dyDescent="0.25">
      <c r="B6806" s="70">
        <v>43365</v>
      </c>
      <c r="C6806" t="s">
        <v>50</v>
      </c>
      <c r="D6806" t="s">
        <v>85</v>
      </c>
      <c r="E6806" t="s">
        <v>589</v>
      </c>
      <c r="F6806">
        <v>44.62</v>
      </c>
      <c r="G6806">
        <v>0</v>
      </c>
    </row>
    <row r="6807" spans="2:7" x14ac:dyDescent="0.25">
      <c r="B6807" s="70">
        <v>43365</v>
      </c>
      <c r="C6807" t="s">
        <v>50</v>
      </c>
      <c r="D6807" t="s">
        <v>82</v>
      </c>
      <c r="E6807" t="s">
        <v>589</v>
      </c>
      <c r="F6807">
        <v>10.67</v>
      </c>
      <c r="G6807">
        <v>0</v>
      </c>
    </row>
    <row r="6808" spans="2:7" x14ac:dyDescent="0.25">
      <c r="B6808" s="70">
        <v>43365</v>
      </c>
      <c r="C6808" t="s">
        <v>24</v>
      </c>
      <c r="D6808" t="s">
        <v>82</v>
      </c>
      <c r="E6808" t="s">
        <v>589</v>
      </c>
      <c r="F6808">
        <v>130</v>
      </c>
      <c r="G6808">
        <v>0</v>
      </c>
    </row>
    <row r="6809" spans="2:7" x14ac:dyDescent="0.25">
      <c r="B6809" s="70">
        <v>43447</v>
      </c>
      <c r="C6809" t="s">
        <v>25</v>
      </c>
      <c r="D6809" t="s">
        <v>85</v>
      </c>
      <c r="E6809" t="s">
        <v>590</v>
      </c>
      <c r="F6809">
        <v>18</v>
      </c>
      <c r="G6809">
        <v>0</v>
      </c>
    </row>
    <row r="6810" spans="2:7" x14ac:dyDescent="0.25">
      <c r="B6810" s="70">
        <v>43447</v>
      </c>
      <c r="C6810" t="s">
        <v>25</v>
      </c>
      <c r="D6810" t="s">
        <v>81</v>
      </c>
      <c r="E6810" t="s">
        <v>137</v>
      </c>
      <c r="F6810">
        <v>12</v>
      </c>
      <c r="G6810">
        <v>0</v>
      </c>
    </row>
    <row r="6811" spans="2:7" x14ac:dyDescent="0.25">
      <c r="B6811" s="70">
        <v>43447</v>
      </c>
      <c r="C6811" t="s">
        <v>25</v>
      </c>
      <c r="D6811" t="s">
        <v>82</v>
      </c>
      <c r="E6811" t="s">
        <v>590</v>
      </c>
      <c r="F6811">
        <v>137.5</v>
      </c>
      <c r="G6811">
        <v>0</v>
      </c>
    </row>
    <row r="6812" spans="2:7" x14ac:dyDescent="0.25">
      <c r="B6812" s="70">
        <v>43447</v>
      </c>
      <c r="C6812" t="s">
        <v>54</v>
      </c>
      <c r="D6812" t="s">
        <v>85</v>
      </c>
      <c r="E6812" t="s">
        <v>590</v>
      </c>
      <c r="F6812">
        <v>221.25</v>
      </c>
      <c r="G6812">
        <v>0</v>
      </c>
    </row>
    <row r="6813" spans="2:7" x14ac:dyDescent="0.25">
      <c r="B6813" s="70">
        <v>43447</v>
      </c>
      <c r="C6813" t="s">
        <v>46</v>
      </c>
      <c r="D6813" t="s">
        <v>79</v>
      </c>
      <c r="E6813" t="s">
        <v>590</v>
      </c>
      <c r="F6813">
        <v>39.340000000000003</v>
      </c>
      <c r="G6813">
        <v>0</v>
      </c>
    </row>
    <row r="6814" spans="2:7" x14ac:dyDescent="0.25">
      <c r="B6814" s="70">
        <v>43447</v>
      </c>
      <c r="C6814" t="s">
        <v>46</v>
      </c>
      <c r="D6814" t="s">
        <v>82</v>
      </c>
      <c r="E6814" t="s">
        <v>590</v>
      </c>
      <c r="F6814">
        <v>34.6</v>
      </c>
      <c r="G6814">
        <v>0</v>
      </c>
    </row>
    <row r="6815" spans="2:7" x14ac:dyDescent="0.25">
      <c r="B6815" s="70">
        <v>43447</v>
      </c>
      <c r="C6815" t="s">
        <v>21</v>
      </c>
      <c r="D6815" t="s">
        <v>79</v>
      </c>
      <c r="E6815" t="s">
        <v>590</v>
      </c>
      <c r="F6815">
        <v>8</v>
      </c>
      <c r="G6815">
        <v>0</v>
      </c>
    </row>
    <row r="6816" spans="2:7" x14ac:dyDescent="0.25">
      <c r="B6816" s="70">
        <v>43447</v>
      </c>
      <c r="C6816" t="s">
        <v>21</v>
      </c>
      <c r="D6816" t="s">
        <v>79</v>
      </c>
      <c r="E6816" t="s">
        <v>590</v>
      </c>
      <c r="F6816">
        <v>16</v>
      </c>
      <c r="G6816">
        <v>0</v>
      </c>
    </row>
    <row r="6817" spans="2:7" x14ac:dyDescent="0.25">
      <c r="B6817" s="70">
        <v>43447</v>
      </c>
      <c r="C6817" t="s">
        <v>21</v>
      </c>
      <c r="D6817" t="s">
        <v>79</v>
      </c>
      <c r="E6817" t="s">
        <v>590</v>
      </c>
      <c r="F6817">
        <v>24</v>
      </c>
      <c r="G6817">
        <v>0</v>
      </c>
    </row>
    <row r="6818" spans="2:7" x14ac:dyDescent="0.25">
      <c r="B6818" s="70">
        <v>43447</v>
      </c>
      <c r="C6818" t="s">
        <v>21</v>
      </c>
      <c r="D6818" t="s">
        <v>79</v>
      </c>
      <c r="E6818" t="s">
        <v>590</v>
      </c>
      <c r="F6818">
        <v>32</v>
      </c>
      <c r="G6818">
        <v>0</v>
      </c>
    </row>
    <row r="6819" spans="2:7" x14ac:dyDescent="0.25">
      <c r="B6819" s="70">
        <v>43447</v>
      </c>
      <c r="C6819" t="s">
        <v>66</v>
      </c>
      <c r="D6819" t="s">
        <v>82</v>
      </c>
      <c r="E6819" t="s">
        <v>590</v>
      </c>
      <c r="F6819">
        <v>1.04</v>
      </c>
      <c r="G6819">
        <v>0</v>
      </c>
    </row>
    <row r="6820" spans="2:7" x14ac:dyDescent="0.25">
      <c r="B6820" s="70">
        <v>43447</v>
      </c>
      <c r="C6820" t="s">
        <v>50</v>
      </c>
      <c r="D6820" t="s">
        <v>82</v>
      </c>
      <c r="E6820" t="s">
        <v>590</v>
      </c>
      <c r="F6820">
        <v>210</v>
      </c>
      <c r="G6820">
        <v>0</v>
      </c>
    </row>
    <row r="6821" spans="2:7" x14ac:dyDescent="0.25">
      <c r="B6821" s="70">
        <v>43447</v>
      </c>
      <c r="C6821" t="s">
        <v>58</v>
      </c>
      <c r="D6821" t="s">
        <v>82</v>
      </c>
      <c r="E6821" t="s">
        <v>590</v>
      </c>
      <c r="F6821">
        <v>20</v>
      </c>
      <c r="G6821">
        <v>0</v>
      </c>
    </row>
    <row r="6822" spans="2:7" x14ac:dyDescent="0.25">
      <c r="B6822" s="70">
        <v>43447</v>
      </c>
      <c r="C6822" t="s">
        <v>24</v>
      </c>
      <c r="D6822" t="s">
        <v>79</v>
      </c>
      <c r="E6822" t="s">
        <v>590</v>
      </c>
      <c r="F6822">
        <v>16</v>
      </c>
      <c r="G6822">
        <v>0</v>
      </c>
    </row>
    <row r="6823" spans="2:7" x14ac:dyDescent="0.25">
      <c r="B6823" s="70">
        <v>43447</v>
      </c>
      <c r="C6823" t="s">
        <v>24</v>
      </c>
      <c r="D6823" t="s">
        <v>82</v>
      </c>
      <c r="E6823" t="s">
        <v>590</v>
      </c>
      <c r="F6823">
        <v>286</v>
      </c>
      <c r="G6823">
        <v>0</v>
      </c>
    </row>
    <row r="6824" spans="2:7" x14ac:dyDescent="0.25">
      <c r="B6824" s="70">
        <v>43462</v>
      </c>
      <c r="C6824" t="s">
        <v>25</v>
      </c>
      <c r="D6824" t="s">
        <v>79</v>
      </c>
      <c r="E6824" t="s">
        <v>591</v>
      </c>
      <c r="F6824">
        <v>8</v>
      </c>
      <c r="G6824">
        <v>0</v>
      </c>
    </row>
    <row r="6825" spans="2:7" x14ac:dyDescent="0.25">
      <c r="B6825" s="70">
        <v>43462</v>
      </c>
      <c r="C6825" t="s">
        <v>25</v>
      </c>
      <c r="D6825" t="s">
        <v>85</v>
      </c>
      <c r="E6825" t="s">
        <v>591</v>
      </c>
      <c r="F6825">
        <v>196</v>
      </c>
      <c r="G6825">
        <v>0</v>
      </c>
    </row>
    <row r="6826" spans="2:7" x14ac:dyDescent="0.25">
      <c r="B6826" s="70">
        <v>43462</v>
      </c>
      <c r="C6826" t="s">
        <v>25</v>
      </c>
      <c r="D6826" t="s">
        <v>85</v>
      </c>
      <c r="E6826" t="s">
        <v>591</v>
      </c>
      <c r="F6826">
        <v>89</v>
      </c>
      <c r="G6826">
        <v>0</v>
      </c>
    </row>
    <row r="6827" spans="2:7" x14ac:dyDescent="0.25">
      <c r="B6827" s="70">
        <v>43462</v>
      </c>
      <c r="C6827" t="s">
        <v>25</v>
      </c>
      <c r="D6827" t="s">
        <v>83</v>
      </c>
      <c r="E6827" t="s">
        <v>591</v>
      </c>
      <c r="F6827">
        <v>60</v>
      </c>
      <c r="G6827">
        <v>0</v>
      </c>
    </row>
    <row r="6828" spans="2:7" x14ac:dyDescent="0.25">
      <c r="B6828" s="70">
        <v>43462</v>
      </c>
      <c r="C6828" t="s">
        <v>25</v>
      </c>
      <c r="D6828" t="s">
        <v>83</v>
      </c>
      <c r="E6828" t="s">
        <v>591</v>
      </c>
      <c r="F6828">
        <v>81.260000000000005</v>
      </c>
      <c r="G6828">
        <v>0</v>
      </c>
    </row>
    <row r="6829" spans="2:7" x14ac:dyDescent="0.25">
      <c r="B6829" s="70">
        <v>43462</v>
      </c>
      <c r="C6829" t="s">
        <v>25</v>
      </c>
      <c r="D6829" t="s">
        <v>80</v>
      </c>
      <c r="E6829" t="s">
        <v>591</v>
      </c>
      <c r="F6829">
        <v>77.040000000000006</v>
      </c>
      <c r="G6829">
        <v>0</v>
      </c>
    </row>
    <row r="6830" spans="2:7" x14ac:dyDescent="0.25">
      <c r="B6830" s="70">
        <v>43462</v>
      </c>
      <c r="C6830" t="s">
        <v>25</v>
      </c>
      <c r="D6830" t="s">
        <v>87</v>
      </c>
      <c r="E6830" t="s">
        <v>591</v>
      </c>
      <c r="F6830">
        <v>41</v>
      </c>
      <c r="G6830">
        <v>0</v>
      </c>
    </row>
    <row r="6831" spans="2:7" x14ac:dyDescent="0.25">
      <c r="B6831" s="70">
        <v>43462</v>
      </c>
      <c r="C6831" t="s">
        <v>25</v>
      </c>
      <c r="D6831" t="s">
        <v>87</v>
      </c>
      <c r="E6831" t="s">
        <v>591</v>
      </c>
      <c r="F6831">
        <v>75</v>
      </c>
      <c r="G6831">
        <v>0</v>
      </c>
    </row>
    <row r="6832" spans="2:7" x14ac:dyDescent="0.25">
      <c r="B6832" s="70">
        <v>43462</v>
      </c>
      <c r="C6832" t="s">
        <v>25</v>
      </c>
      <c r="D6832" t="s">
        <v>87</v>
      </c>
      <c r="E6832" t="s">
        <v>591</v>
      </c>
      <c r="F6832">
        <v>123</v>
      </c>
      <c r="G6832">
        <v>0</v>
      </c>
    </row>
    <row r="6833" spans="2:7" x14ac:dyDescent="0.25">
      <c r="B6833" s="70">
        <v>43462</v>
      </c>
      <c r="C6833" t="s">
        <v>25</v>
      </c>
      <c r="D6833" t="s">
        <v>87</v>
      </c>
      <c r="E6833" t="s">
        <v>591</v>
      </c>
      <c r="F6833">
        <v>203</v>
      </c>
      <c r="G6833">
        <v>0</v>
      </c>
    </row>
    <row r="6834" spans="2:7" x14ac:dyDescent="0.25">
      <c r="B6834" s="70">
        <v>43462</v>
      </c>
      <c r="C6834" t="s">
        <v>25</v>
      </c>
      <c r="D6834" t="s">
        <v>87</v>
      </c>
      <c r="E6834" t="s">
        <v>591</v>
      </c>
      <c r="F6834">
        <v>305.58999999999997</v>
      </c>
      <c r="G6834">
        <v>0</v>
      </c>
    </row>
    <row r="6835" spans="2:7" x14ac:dyDescent="0.25">
      <c r="B6835" s="70">
        <v>43462</v>
      </c>
      <c r="C6835" t="s">
        <v>25</v>
      </c>
      <c r="D6835" t="s">
        <v>87</v>
      </c>
      <c r="E6835" t="s">
        <v>591</v>
      </c>
      <c r="F6835">
        <v>64.2</v>
      </c>
      <c r="G6835">
        <v>0</v>
      </c>
    </row>
    <row r="6836" spans="2:7" x14ac:dyDescent="0.25">
      <c r="B6836" s="70">
        <v>43462</v>
      </c>
      <c r="C6836" t="s">
        <v>25</v>
      </c>
      <c r="D6836" t="s">
        <v>87</v>
      </c>
      <c r="E6836" t="s">
        <v>591</v>
      </c>
      <c r="F6836">
        <v>90.4</v>
      </c>
      <c r="G6836">
        <v>0</v>
      </c>
    </row>
    <row r="6837" spans="2:7" x14ac:dyDescent="0.25">
      <c r="B6837" s="70">
        <v>43462</v>
      </c>
      <c r="C6837" t="s">
        <v>25</v>
      </c>
      <c r="D6837" t="s">
        <v>87</v>
      </c>
      <c r="E6837" t="s">
        <v>591</v>
      </c>
      <c r="F6837">
        <v>163.36000000000001</v>
      </c>
      <c r="G6837">
        <v>0</v>
      </c>
    </row>
    <row r="6838" spans="2:7" x14ac:dyDescent="0.25">
      <c r="B6838" s="70">
        <v>43462</v>
      </c>
      <c r="C6838" t="s">
        <v>25</v>
      </c>
      <c r="D6838" t="s">
        <v>87</v>
      </c>
      <c r="E6838" t="s">
        <v>591</v>
      </c>
      <c r="F6838">
        <v>9.2899999999999991</v>
      </c>
      <c r="G6838">
        <v>0</v>
      </c>
    </row>
    <row r="6839" spans="2:7" x14ac:dyDescent="0.25">
      <c r="B6839" s="70">
        <v>43462</v>
      </c>
      <c r="C6839" t="s">
        <v>25</v>
      </c>
      <c r="D6839" t="s">
        <v>87</v>
      </c>
      <c r="E6839" t="s">
        <v>591</v>
      </c>
      <c r="F6839">
        <v>207</v>
      </c>
      <c r="G6839">
        <v>0</v>
      </c>
    </row>
    <row r="6840" spans="2:7" x14ac:dyDescent="0.25">
      <c r="B6840" s="70">
        <v>43462</v>
      </c>
      <c r="C6840" t="s">
        <v>25</v>
      </c>
      <c r="D6840" t="s">
        <v>87</v>
      </c>
      <c r="E6840" t="s">
        <v>591</v>
      </c>
      <c r="F6840">
        <v>49.95</v>
      </c>
      <c r="G6840">
        <v>0</v>
      </c>
    </row>
    <row r="6841" spans="2:7" x14ac:dyDescent="0.25">
      <c r="B6841" s="70">
        <v>43462</v>
      </c>
      <c r="C6841" t="s">
        <v>25</v>
      </c>
      <c r="D6841" t="s">
        <v>87</v>
      </c>
      <c r="E6841" t="s">
        <v>591</v>
      </c>
      <c r="F6841">
        <v>187.14</v>
      </c>
      <c r="G6841">
        <v>0</v>
      </c>
    </row>
    <row r="6842" spans="2:7" x14ac:dyDescent="0.25">
      <c r="B6842" s="70">
        <v>43462</v>
      </c>
      <c r="C6842" t="s">
        <v>25</v>
      </c>
      <c r="D6842" t="s">
        <v>87</v>
      </c>
      <c r="E6842" t="s">
        <v>591</v>
      </c>
      <c r="F6842">
        <v>120.4</v>
      </c>
      <c r="G6842">
        <v>0</v>
      </c>
    </row>
    <row r="6843" spans="2:7" x14ac:dyDescent="0.25">
      <c r="B6843" s="70">
        <v>43462</v>
      </c>
      <c r="C6843" t="s">
        <v>25</v>
      </c>
      <c r="D6843" t="s">
        <v>87</v>
      </c>
      <c r="E6843" t="s">
        <v>591</v>
      </c>
      <c r="F6843">
        <v>121.45</v>
      </c>
      <c r="G6843">
        <v>0</v>
      </c>
    </row>
    <row r="6844" spans="2:7" x14ac:dyDescent="0.25">
      <c r="B6844" s="70">
        <v>43462</v>
      </c>
      <c r="C6844" t="s">
        <v>25</v>
      </c>
      <c r="D6844" t="s">
        <v>87</v>
      </c>
      <c r="E6844" t="s">
        <v>591</v>
      </c>
      <c r="F6844">
        <v>104.68</v>
      </c>
      <c r="G6844">
        <v>0</v>
      </c>
    </row>
    <row r="6845" spans="2:7" x14ac:dyDescent="0.25">
      <c r="B6845" s="70">
        <v>43462</v>
      </c>
      <c r="C6845" t="s">
        <v>25</v>
      </c>
      <c r="D6845" t="s">
        <v>81</v>
      </c>
      <c r="E6845" t="s">
        <v>173</v>
      </c>
      <c r="F6845">
        <v>3.6</v>
      </c>
      <c r="G6845">
        <v>0</v>
      </c>
    </row>
    <row r="6846" spans="2:7" x14ac:dyDescent="0.25">
      <c r="B6846" s="70">
        <v>43462</v>
      </c>
      <c r="C6846" t="s">
        <v>25</v>
      </c>
      <c r="D6846" t="s">
        <v>81</v>
      </c>
      <c r="E6846" t="s">
        <v>149</v>
      </c>
      <c r="F6846">
        <v>2.4</v>
      </c>
      <c r="G6846">
        <v>0</v>
      </c>
    </row>
    <row r="6847" spans="2:7" x14ac:dyDescent="0.25">
      <c r="B6847" s="70">
        <v>43462</v>
      </c>
      <c r="C6847" t="s">
        <v>54</v>
      </c>
      <c r="D6847" t="s">
        <v>85</v>
      </c>
      <c r="E6847" t="s">
        <v>591</v>
      </c>
      <c r="F6847">
        <v>66.86</v>
      </c>
      <c r="G6847">
        <v>0</v>
      </c>
    </row>
    <row r="6848" spans="2:7" x14ac:dyDescent="0.25">
      <c r="B6848" s="70">
        <v>43462</v>
      </c>
      <c r="C6848" t="s">
        <v>56</v>
      </c>
      <c r="D6848" t="s">
        <v>82</v>
      </c>
      <c r="E6848" t="s">
        <v>591</v>
      </c>
      <c r="F6848">
        <v>103.2</v>
      </c>
      <c r="G6848">
        <v>0</v>
      </c>
    </row>
    <row r="6849" spans="2:7" x14ac:dyDescent="0.25">
      <c r="B6849" s="70">
        <v>43462</v>
      </c>
      <c r="C6849" t="s">
        <v>47</v>
      </c>
      <c r="D6849" t="s">
        <v>87</v>
      </c>
      <c r="E6849" t="s">
        <v>591</v>
      </c>
      <c r="F6849">
        <v>1100</v>
      </c>
      <c r="G6849">
        <v>0</v>
      </c>
    </row>
    <row r="6850" spans="2:7" x14ac:dyDescent="0.25">
      <c r="B6850" s="70">
        <v>43462</v>
      </c>
      <c r="C6850" t="s">
        <v>51</v>
      </c>
      <c r="D6850" t="s">
        <v>82</v>
      </c>
      <c r="E6850" t="s">
        <v>591</v>
      </c>
      <c r="F6850">
        <v>32</v>
      </c>
      <c r="G6850">
        <v>0</v>
      </c>
    </row>
    <row r="6851" spans="2:7" x14ac:dyDescent="0.25">
      <c r="B6851" s="70">
        <v>43462</v>
      </c>
      <c r="C6851" t="s">
        <v>21</v>
      </c>
      <c r="D6851" t="s">
        <v>79</v>
      </c>
      <c r="E6851" t="s">
        <v>591</v>
      </c>
      <c r="F6851">
        <v>8</v>
      </c>
      <c r="G6851">
        <v>0</v>
      </c>
    </row>
    <row r="6852" spans="2:7" x14ac:dyDescent="0.25">
      <c r="B6852" s="70">
        <v>43462</v>
      </c>
      <c r="C6852" t="s">
        <v>21</v>
      </c>
      <c r="D6852" t="s">
        <v>79</v>
      </c>
      <c r="E6852" t="s">
        <v>591</v>
      </c>
      <c r="F6852">
        <v>16</v>
      </c>
      <c r="G6852">
        <v>0</v>
      </c>
    </row>
    <row r="6853" spans="2:7" x14ac:dyDescent="0.25">
      <c r="B6853" s="70">
        <v>43462</v>
      </c>
      <c r="C6853" t="s">
        <v>21</v>
      </c>
      <c r="D6853" t="s">
        <v>79</v>
      </c>
      <c r="E6853" t="s">
        <v>591</v>
      </c>
      <c r="F6853">
        <v>32</v>
      </c>
      <c r="G6853">
        <v>0</v>
      </c>
    </row>
    <row r="6854" spans="2:7" x14ac:dyDescent="0.25">
      <c r="B6854" s="70">
        <v>43462</v>
      </c>
      <c r="C6854" t="s">
        <v>21</v>
      </c>
      <c r="D6854" t="s">
        <v>79</v>
      </c>
      <c r="E6854" t="s">
        <v>591</v>
      </c>
      <c r="F6854">
        <v>40</v>
      </c>
      <c r="G6854">
        <v>0</v>
      </c>
    </row>
    <row r="6855" spans="2:7" x14ac:dyDescent="0.25">
      <c r="B6855" s="70">
        <v>43462</v>
      </c>
      <c r="C6855" t="s">
        <v>21</v>
      </c>
      <c r="D6855" t="s">
        <v>79</v>
      </c>
      <c r="E6855" t="s">
        <v>591</v>
      </c>
      <c r="F6855">
        <v>72</v>
      </c>
      <c r="G6855">
        <v>0</v>
      </c>
    </row>
    <row r="6856" spans="2:7" x14ac:dyDescent="0.25">
      <c r="B6856" s="70">
        <v>43462</v>
      </c>
      <c r="C6856" t="s">
        <v>66</v>
      </c>
      <c r="D6856" t="s">
        <v>85</v>
      </c>
      <c r="E6856" t="s">
        <v>591</v>
      </c>
      <c r="F6856">
        <v>140.93</v>
      </c>
      <c r="G6856">
        <v>0</v>
      </c>
    </row>
    <row r="6857" spans="2:7" x14ac:dyDescent="0.25">
      <c r="B6857" s="70">
        <v>43462</v>
      </c>
      <c r="C6857" t="s">
        <v>55</v>
      </c>
      <c r="D6857" t="s">
        <v>85</v>
      </c>
      <c r="E6857" t="s">
        <v>591</v>
      </c>
      <c r="F6857">
        <v>103.74</v>
      </c>
      <c r="G6857">
        <v>0</v>
      </c>
    </row>
    <row r="6858" spans="2:7" x14ac:dyDescent="0.25">
      <c r="B6858" s="70">
        <v>43462</v>
      </c>
      <c r="C6858" t="s">
        <v>49</v>
      </c>
      <c r="D6858" t="s">
        <v>85</v>
      </c>
      <c r="E6858" t="s">
        <v>591</v>
      </c>
      <c r="F6858">
        <v>84</v>
      </c>
      <c r="G6858">
        <v>0</v>
      </c>
    </row>
    <row r="6859" spans="2:7" x14ac:dyDescent="0.25">
      <c r="B6859" s="70">
        <v>43462</v>
      </c>
      <c r="C6859" t="s">
        <v>50</v>
      </c>
      <c r="D6859" t="s">
        <v>85</v>
      </c>
      <c r="E6859" t="s">
        <v>591</v>
      </c>
      <c r="F6859">
        <v>474</v>
      </c>
      <c r="G6859">
        <v>0</v>
      </c>
    </row>
    <row r="6860" spans="2:7" x14ac:dyDescent="0.25">
      <c r="B6860" s="70">
        <v>43462</v>
      </c>
      <c r="C6860" t="s">
        <v>52</v>
      </c>
      <c r="D6860" t="s">
        <v>85</v>
      </c>
      <c r="E6860" t="s">
        <v>591</v>
      </c>
      <c r="F6860">
        <v>391.87</v>
      </c>
      <c r="G6860">
        <v>0</v>
      </c>
    </row>
    <row r="6861" spans="2:7" x14ac:dyDescent="0.25">
      <c r="B6861" s="70">
        <v>43462</v>
      </c>
      <c r="C6861" t="s">
        <v>52</v>
      </c>
      <c r="D6861" t="s">
        <v>82</v>
      </c>
      <c r="E6861" t="s">
        <v>591</v>
      </c>
      <c r="F6861">
        <v>23.55</v>
      </c>
      <c r="G6861">
        <v>0</v>
      </c>
    </row>
    <row r="6862" spans="2:7" x14ac:dyDescent="0.25">
      <c r="B6862" s="70">
        <v>43462</v>
      </c>
      <c r="C6862" t="s">
        <v>24</v>
      </c>
      <c r="D6862" t="s">
        <v>79</v>
      </c>
      <c r="E6862" t="s">
        <v>591</v>
      </c>
      <c r="F6862">
        <v>8</v>
      </c>
      <c r="G6862">
        <v>0</v>
      </c>
    </row>
    <row r="6863" spans="2:7" x14ac:dyDescent="0.25">
      <c r="B6863" s="70">
        <v>43462</v>
      </c>
      <c r="C6863" t="s">
        <v>60</v>
      </c>
      <c r="D6863" t="s">
        <v>85</v>
      </c>
      <c r="E6863" t="s">
        <v>591</v>
      </c>
      <c r="F6863">
        <v>75.260000000000005</v>
      </c>
      <c r="G6863">
        <v>0</v>
      </c>
    </row>
    <row r="6864" spans="2:7" x14ac:dyDescent="0.25">
      <c r="B6864" s="70">
        <v>43462</v>
      </c>
      <c r="C6864" t="s">
        <v>60</v>
      </c>
      <c r="D6864" t="s">
        <v>87</v>
      </c>
      <c r="E6864" t="s">
        <v>591</v>
      </c>
      <c r="F6864">
        <v>130.16</v>
      </c>
      <c r="G6864">
        <v>0</v>
      </c>
    </row>
    <row r="6865" spans="2:7" x14ac:dyDescent="0.25">
      <c r="B6865" s="70">
        <v>43462</v>
      </c>
      <c r="C6865" t="s">
        <v>61</v>
      </c>
      <c r="D6865" t="s">
        <v>85</v>
      </c>
      <c r="E6865" t="s">
        <v>591</v>
      </c>
      <c r="F6865">
        <v>70</v>
      </c>
      <c r="G6865">
        <v>0</v>
      </c>
    </row>
    <row r="6866" spans="2:7" x14ac:dyDescent="0.25">
      <c r="B6866" s="70">
        <v>43279</v>
      </c>
      <c r="C6866" t="s">
        <v>25</v>
      </c>
      <c r="D6866" t="s">
        <v>85</v>
      </c>
      <c r="E6866" t="s">
        <v>592</v>
      </c>
      <c r="F6866">
        <v>125.24</v>
      </c>
      <c r="G6866">
        <v>0</v>
      </c>
    </row>
    <row r="6867" spans="2:7" x14ac:dyDescent="0.25">
      <c r="B6867" s="70">
        <v>43279</v>
      </c>
      <c r="C6867" t="s">
        <v>25</v>
      </c>
      <c r="D6867" t="s">
        <v>81</v>
      </c>
      <c r="E6867" t="s">
        <v>333</v>
      </c>
      <c r="F6867">
        <v>4.5</v>
      </c>
      <c r="G6867">
        <v>0</v>
      </c>
    </row>
    <row r="6868" spans="2:7" x14ac:dyDescent="0.25">
      <c r="B6868" s="70">
        <v>43279</v>
      </c>
      <c r="C6868" t="s">
        <v>25</v>
      </c>
      <c r="D6868" t="s">
        <v>81</v>
      </c>
      <c r="E6868" t="s">
        <v>213</v>
      </c>
      <c r="F6868">
        <v>6</v>
      </c>
      <c r="G6868">
        <v>0</v>
      </c>
    </row>
    <row r="6869" spans="2:7" x14ac:dyDescent="0.25">
      <c r="B6869" s="70">
        <v>43279</v>
      </c>
      <c r="C6869" t="s">
        <v>25</v>
      </c>
      <c r="D6869" t="s">
        <v>91</v>
      </c>
      <c r="E6869" t="s">
        <v>592</v>
      </c>
      <c r="F6869">
        <v>73.790000000000006</v>
      </c>
      <c r="G6869">
        <v>0</v>
      </c>
    </row>
    <row r="6870" spans="2:7" x14ac:dyDescent="0.25">
      <c r="B6870" s="70">
        <v>43279</v>
      </c>
      <c r="C6870" t="s">
        <v>46</v>
      </c>
      <c r="D6870" t="s">
        <v>82</v>
      </c>
      <c r="E6870" t="s">
        <v>592</v>
      </c>
      <c r="F6870">
        <v>10</v>
      </c>
      <c r="G6870">
        <v>0</v>
      </c>
    </row>
    <row r="6871" spans="2:7" x14ac:dyDescent="0.25">
      <c r="B6871" s="70">
        <v>43279</v>
      </c>
      <c r="C6871" t="s">
        <v>56</v>
      </c>
      <c r="D6871" t="s">
        <v>82</v>
      </c>
      <c r="E6871" t="s">
        <v>592</v>
      </c>
      <c r="F6871">
        <v>97.74</v>
      </c>
      <c r="G6871">
        <v>0</v>
      </c>
    </row>
    <row r="6872" spans="2:7" x14ac:dyDescent="0.25">
      <c r="B6872" s="70">
        <v>43279</v>
      </c>
      <c r="C6872" t="s">
        <v>44</v>
      </c>
      <c r="D6872" t="s">
        <v>82</v>
      </c>
      <c r="E6872" t="s">
        <v>592</v>
      </c>
      <c r="F6872">
        <v>9.0500000000000007</v>
      </c>
      <c r="G6872">
        <v>0</v>
      </c>
    </row>
    <row r="6873" spans="2:7" x14ac:dyDescent="0.25">
      <c r="B6873" s="70">
        <v>43279</v>
      </c>
      <c r="C6873" t="s">
        <v>21</v>
      </c>
      <c r="D6873" t="s">
        <v>79</v>
      </c>
      <c r="E6873" t="s">
        <v>592</v>
      </c>
      <c r="F6873">
        <v>8</v>
      </c>
      <c r="G6873">
        <v>0</v>
      </c>
    </row>
    <row r="6874" spans="2:7" x14ac:dyDescent="0.25">
      <c r="B6874" s="70">
        <v>43279</v>
      </c>
      <c r="C6874" t="s">
        <v>21</v>
      </c>
      <c r="D6874" t="s">
        <v>79</v>
      </c>
      <c r="E6874" t="s">
        <v>592</v>
      </c>
      <c r="F6874">
        <v>16</v>
      </c>
      <c r="G6874">
        <v>0</v>
      </c>
    </row>
    <row r="6875" spans="2:7" x14ac:dyDescent="0.25">
      <c r="B6875" s="70">
        <v>43279</v>
      </c>
      <c r="C6875" t="s">
        <v>21</v>
      </c>
      <c r="D6875" t="s">
        <v>79</v>
      </c>
      <c r="E6875" t="s">
        <v>592</v>
      </c>
      <c r="F6875">
        <v>24</v>
      </c>
      <c r="G6875">
        <v>0</v>
      </c>
    </row>
    <row r="6876" spans="2:7" x14ac:dyDescent="0.25">
      <c r="B6876" s="70">
        <v>43279</v>
      </c>
      <c r="C6876" t="s">
        <v>21</v>
      </c>
      <c r="D6876" t="s">
        <v>79</v>
      </c>
      <c r="E6876" t="s">
        <v>592</v>
      </c>
      <c r="F6876">
        <v>32</v>
      </c>
      <c r="G6876">
        <v>0</v>
      </c>
    </row>
    <row r="6877" spans="2:7" x14ac:dyDescent="0.25">
      <c r="B6877" s="70">
        <v>43279</v>
      </c>
      <c r="C6877" t="s">
        <v>55</v>
      </c>
      <c r="D6877" t="s">
        <v>85</v>
      </c>
      <c r="E6877" t="s">
        <v>592</v>
      </c>
      <c r="F6877">
        <v>36.75</v>
      </c>
      <c r="G6877">
        <v>0</v>
      </c>
    </row>
    <row r="6878" spans="2:7" x14ac:dyDescent="0.25">
      <c r="B6878" s="70">
        <v>43279</v>
      </c>
      <c r="C6878" t="s">
        <v>45</v>
      </c>
      <c r="D6878" t="s">
        <v>85</v>
      </c>
      <c r="E6878" t="s">
        <v>592</v>
      </c>
      <c r="F6878">
        <v>70</v>
      </c>
      <c r="G6878">
        <v>0</v>
      </c>
    </row>
    <row r="6879" spans="2:7" x14ac:dyDescent="0.25">
      <c r="B6879" s="70">
        <v>43279</v>
      </c>
      <c r="C6879" t="s">
        <v>45</v>
      </c>
      <c r="D6879" t="s">
        <v>82</v>
      </c>
      <c r="E6879" t="s">
        <v>592</v>
      </c>
      <c r="F6879">
        <v>9.5</v>
      </c>
      <c r="G6879">
        <v>0</v>
      </c>
    </row>
    <row r="6880" spans="2:7" x14ac:dyDescent="0.25">
      <c r="B6880" s="70">
        <v>43279</v>
      </c>
      <c r="C6880" t="s">
        <v>50</v>
      </c>
      <c r="D6880" t="s">
        <v>82</v>
      </c>
      <c r="E6880" t="s">
        <v>592</v>
      </c>
      <c r="F6880">
        <v>10.71</v>
      </c>
      <c r="G6880">
        <v>0</v>
      </c>
    </row>
    <row r="6881" spans="2:7" x14ac:dyDescent="0.25">
      <c r="B6881" s="70">
        <v>43279</v>
      </c>
      <c r="C6881" t="s">
        <v>65</v>
      </c>
      <c r="D6881" t="s">
        <v>85</v>
      </c>
      <c r="E6881" t="s">
        <v>592</v>
      </c>
      <c r="F6881">
        <v>30</v>
      </c>
      <c r="G6881">
        <v>0</v>
      </c>
    </row>
    <row r="6882" spans="2:7" x14ac:dyDescent="0.25">
      <c r="B6882" s="70">
        <v>43279</v>
      </c>
      <c r="C6882" t="s">
        <v>24</v>
      </c>
      <c r="D6882" t="s">
        <v>79</v>
      </c>
      <c r="E6882" t="s">
        <v>592</v>
      </c>
      <c r="F6882">
        <v>8</v>
      </c>
      <c r="G6882">
        <v>0</v>
      </c>
    </row>
    <row r="6883" spans="2:7" x14ac:dyDescent="0.25">
      <c r="B6883" s="70">
        <v>43316</v>
      </c>
      <c r="C6883" t="s">
        <v>25</v>
      </c>
      <c r="D6883" t="s">
        <v>81</v>
      </c>
      <c r="E6883" t="s">
        <v>213</v>
      </c>
      <c r="F6883">
        <v>25</v>
      </c>
      <c r="G6883">
        <v>0</v>
      </c>
    </row>
    <row r="6884" spans="2:7" x14ac:dyDescent="0.25">
      <c r="B6884" s="70">
        <v>43316</v>
      </c>
      <c r="C6884" t="s">
        <v>25</v>
      </c>
      <c r="D6884" t="s">
        <v>81</v>
      </c>
      <c r="E6884" t="s">
        <v>150</v>
      </c>
      <c r="F6884">
        <v>42</v>
      </c>
      <c r="G6884">
        <v>0</v>
      </c>
    </row>
    <row r="6885" spans="2:7" x14ac:dyDescent="0.25">
      <c r="B6885" s="70">
        <v>43316</v>
      </c>
      <c r="C6885" t="s">
        <v>25</v>
      </c>
      <c r="D6885" t="s">
        <v>81</v>
      </c>
      <c r="E6885" t="s">
        <v>191</v>
      </c>
      <c r="F6885">
        <v>22</v>
      </c>
      <c r="G6885">
        <v>0</v>
      </c>
    </row>
    <row r="6886" spans="2:7" x14ac:dyDescent="0.25">
      <c r="B6886" s="70">
        <v>43343</v>
      </c>
      <c r="C6886" t="s">
        <v>25</v>
      </c>
      <c r="D6886" t="s">
        <v>81</v>
      </c>
      <c r="E6886" t="s">
        <v>333</v>
      </c>
      <c r="F6886">
        <v>4.5</v>
      </c>
      <c r="G6886">
        <v>0</v>
      </c>
    </row>
    <row r="6887" spans="2:7" x14ac:dyDescent="0.25">
      <c r="B6887" s="70">
        <v>43343</v>
      </c>
      <c r="C6887" t="s">
        <v>25</v>
      </c>
      <c r="D6887" t="s">
        <v>81</v>
      </c>
      <c r="E6887" t="s">
        <v>161</v>
      </c>
      <c r="F6887">
        <v>1.8</v>
      </c>
      <c r="G6887">
        <v>0</v>
      </c>
    </row>
    <row r="6888" spans="2:7" x14ac:dyDescent="0.25">
      <c r="B6888" s="70">
        <v>43343</v>
      </c>
      <c r="C6888" t="s">
        <v>25</v>
      </c>
      <c r="D6888" t="s">
        <v>81</v>
      </c>
      <c r="E6888" t="s">
        <v>275</v>
      </c>
      <c r="F6888">
        <v>14.55</v>
      </c>
      <c r="G6888">
        <v>0</v>
      </c>
    </row>
    <row r="6889" spans="2:7" x14ac:dyDescent="0.25">
      <c r="B6889" s="70">
        <v>43343</v>
      </c>
      <c r="C6889" t="s">
        <v>25</v>
      </c>
      <c r="D6889" t="s">
        <v>81</v>
      </c>
      <c r="E6889" t="s">
        <v>154</v>
      </c>
      <c r="F6889">
        <v>9</v>
      </c>
      <c r="G6889">
        <v>0</v>
      </c>
    </row>
    <row r="6890" spans="2:7" x14ac:dyDescent="0.25">
      <c r="B6890" s="70">
        <v>43343</v>
      </c>
      <c r="C6890" t="s">
        <v>56</v>
      </c>
      <c r="D6890" t="s">
        <v>82</v>
      </c>
      <c r="E6890" t="s">
        <v>593</v>
      </c>
      <c r="F6890">
        <v>83.01</v>
      </c>
      <c r="G6890">
        <v>0</v>
      </c>
    </row>
    <row r="6891" spans="2:7" x14ac:dyDescent="0.25">
      <c r="B6891" s="70">
        <v>43343</v>
      </c>
      <c r="C6891" t="s">
        <v>21</v>
      </c>
      <c r="D6891" t="s">
        <v>79</v>
      </c>
      <c r="E6891" t="s">
        <v>593</v>
      </c>
      <c r="F6891">
        <v>16</v>
      </c>
      <c r="G6891">
        <v>0</v>
      </c>
    </row>
    <row r="6892" spans="2:7" x14ac:dyDescent="0.25">
      <c r="B6892" s="70">
        <v>43343</v>
      </c>
      <c r="C6892" t="s">
        <v>52</v>
      </c>
      <c r="D6892" t="s">
        <v>85</v>
      </c>
      <c r="E6892" t="s">
        <v>593</v>
      </c>
      <c r="F6892">
        <v>237.6</v>
      </c>
      <c r="G6892">
        <v>0</v>
      </c>
    </row>
    <row r="6893" spans="2:7" x14ac:dyDescent="0.25">
      <c r="B6893" s="70">
        <v>43343</v>
      </c>
      <c r="C6893" t="s">
        <v>52</v>
      </c>
      <c r="D6893" t="s">
        <v>82</v>
      </c>
      <c r="E6893" t="s">
        <v>593</v>
      </c>
      <c r="F6893">
        <v>35.299999999999997</v>
      </c>
      <c r="G6893">
        <v>0</v>
      </c>
    </row>
    <row r="6894" spans="2:7" x14ac:dyDescent="0.25">
      <c r="B6894" s="70">
        <v>43343</v>
      </c>
      <c r="C6894" t="s">
        <v>24</v>
      </c>
      <c r="D6894" t="s">
        <v>79</v>
      </c>
      <c r="E6894" t="s">
        <v>593</v>
      </c>
      <c r="F6894">
        <v>8</v>
      </c>
      <c r="G6894">
        <v>0</v>
      </c>
    </row>
    <row r="6895" spans="2:7" x14ac:dyDescent="0.25">
      <c r="B6895" s="70">
        <v>43343</v>
      </c>
      <c r="C6895" t="s">
        <v>60</v>
      </c>
      <c r="D6895" t="s">
        <v>79</v>
      </c>
      <c r="E6895" t="s">
        <v>593</v>
      </c>
      <c r="F6895">
        <v>18.079999999999998</v>
      </c>
      <c r="G6895">
        <v>0</v>
      </c>
    </row>
    <row r="6896" spans="2:7" x14ac:dyDescent="0.25">
      <c r="B6896" s="70">
        <v>43350</v>
      </c>
      <c r="C6896" t="s">
        <v>25</v>
      </c>
      <c r="D6896" t="s">
        <v>79</v>
      </c>
      <c r="E6896" t="s">
        <v>594</v>
      </c>
      <c r="F6896">
        <v>8</v>
      </c>
      <c r="G6896">
        <v>0</v>
      </c>
    </row>
    <row r="6897" spans="2:7" x14ac:dyDescent="0.25">
      <c r="B6897" s="70">
        <v>43350</v>
      </c>
      <c r="C6897" t="s">
        <v>25</v>
      </c>
      <c r="D6897" t="s">
        <v>85</v>
      </c>
      <c r="E6897" t="s">
        <v>594</v>
      </c>
      <c r="F6897">
        <v>39.99</v>
      </c>
      <c r="G6897">
        <v>0</v>
      </c>
    </row>
    <row r="6898" spans="2:7" x14ac:dyDescent="0.25">
      <c r="B6898" s="70">
        <v>43350</v>
      </c>
      <c r="C6898" t="s">
        <v>25</v>
      </c>
      <c r="D6898" t="s">
        <v>81</v>
      </c>
      <c r="E6898" t="s">
        <v>178</v>
      </c>
      <c r="F6898">
        <v>4.5</v>
      </c>
      <c r="G6898">
        <v>0</v>
      </c>
    </row>
    <row r="6899" spans="2:7" x14ac:dyDescent="0.25">
      <c r="B6899" s="70">
        <v>43350</v>
      </c>
      <c r="C6899" t="s">
        <v>25</v>
      </c>
      <c r="D6899" t="s">
        <v>81</v>
      </c>
      <c r="E6899" t="s">
        <v>241</v>
      </c>
      <c r="F6899">
        <v>3.15</v>
      </c>
      <c r="G6899">
        <v>0</v>
      </c>
    </row>
    <row r="6900" spans="2:7" x14ac:dyDescent="0.25">
      <c r="B6900" s="70">
        <v>43350</v>
      </c>
      <c r="C6900" t="s">
        <v>54</v>
      </c>
      <c r="D6900" t="s">
        <v>85</v>
      </c>
      <c r="E6900" t="s">
        <v>594</v>
      </c>
      <c r="F6900">
        <v>54.2</v>
      </c>
      <c r="G6900">
        <v>0</v>
      </c>
    </row>
    <row r="6901" spans="2:7" x14ac:dyDescent="0.25">
      <c r="B6901" s="70">
        <v>43350</v>
      </c>
      <c r="C6901" t="s">
        <v>46</v>
      </c>
      <c r="D6901" t="s">
        <v>85</v>
      </c>
      <c r="E6901" t="s">
        <v>594</v>
      </c>
      <c r="F6901">
        <v>25.95</v>
      </c>
      <c r="G6901">
        <v>0</v>
      </c>
    </row>
    <row r="6902" spans="2:7" x14ac:dyDescent="0.25">
      <c r="B6902" s="70">
        <v>43350</v>
      </c>
      <c r="C6902" t="s">
        <v>46</v>
      </c>
      <c r="D6902" t="s">
        <v>82</v>
      </c>
      <c r="E6902" t="s">
        <v>594</v>
      </c>
      <c r="F6902">
        <v>24.6</v>
      </c>
      <c r="G6902">
        <v>0</v>
      </c>
    </row>
    <row r="6903" spans="2:7" x14ac:dyDescent="0.25">
      <c r="B6903" s="70">
        <v>43350</v>
      </c>
      <c r="C6903" t="s">
        <v>59</v>
      </c>
      <c r="D6903" t="s">
        <v>84</v>
      </c>
      <c r="E6903" t="s">
        <v>594</v>
      </c>
      <c r="F6903">
        <v>340</v>
      </c>
      <c r="G6903">
        <v>0</v>
      </c>
    </row>
    <row r="6904" spans="2:7" x14ac:dyDescent="0.25">
      <c r="B6904" s="70">
        <v>43350</v>
      </c>
      <c r="C6904" t="s">
        <v>44</v>
      </c>
      <c r="D6904" t="s">
        <v>79</v>
      </c>
      <c r="E6904" t="s">
        <v>594</v>
      </c>
      <c r="F6904">
        <v>53.82</v>
      </c>
      <c r="G6904">
        <v>0</v>
      </c>
    </row>
    <row r="6905" spans="2:7" x14ac:dyDescent="0.25">
      <c r="B6905" s="70">
        <v>43350</v>
      </c>
      <c r="C6905" t="s">
        <v>21</v>
      </c>
      <c r="D6905" t="s">
        <v>79</v>
      </c>
      <c r="E6905" t="s">
        <v>594</v>
      </c>
      <c r="F6905">
        <v>8</v>
      </c>
      <c r="G6905">
        <v>0</v>
      </c>
    </row>
    <row r="6906" spans="2:7" x14ac:dyDescent="0.25">
      <c r="B6906" s="70">
        <v>43350</v>
      </c>
      <c r="C6906" t="s">
        <v>21</v>
      </c>
      <c r="D6906" t="s">
        <v>79</v>
      </c>
      <c r="E6906" t="s">
        <v>594</v>
      </c>
      <c r="F6906">
        <v>16</v>
      </c>
      <c r="G6906">
        <v>0</v>
      </c>
    </row>
    <row r="6907" spans="2:7" x14ac:dyDescent="0.25">
      <c r="B6907" s="70">
        <v>43350</v>
      </c>
      <c r="C6907" t="s">
        <v>21</v>
      </c>
      <c r="D6907" t="s">
        <v>79</v>
      </c>
      <c r="E6907" t="s">
        <v>594</v>
      </c>
      <c r="F6907">
        <v>24</v>
      </c>
      <c r="G6907">
        <v>0</v>
      </c>
    </row>
    <row r="6908" spans="2:7" x14ac:dyDescent="0.25">
      <c r="B6908" s="70">
        <v>43350</v>
      </c>
      <c r="C6908" t="s">
        <v>21</v>
      </c>
      <c r="D6908" t="s">
        <v>79</v>
      </c>
      <c r="E6908" t="s">
        <v>594</v>
      </c>
      <c r="F6908">
        <v>32</v>
      </c>
      <c r="G6908">
        <v>0</v>
      </c>
    </row>
    <row r="6909" spans="2:7" x14ac:dyDescent="0.25">
      <c r="B6909" s="70">
        <v>43350</v>
      </c>
      <c r="C6909" t="s">
        <v>21</v>
      </c>
      <c r="D6909" t="s">
        <v>79</v>
      </c>
      <c r="E6909" t="s">
        <v>594</v>
      </c>
      <c r="F6909">
        <v>48</v>
      </c>
      <c r="G6909">
        <v>0</v>
      </c>
    </row>
    <row r="6910" spans="2:7" x14ac:dyDescent="0.25">
      <c r="B6910" s="70">
        <v>43350</v>
      </c>
      <c r="C6910" t="s">
        <v>21</v>
      </c>
      <c r="D6910" t="s">
        <v>79</v>
      </c>
      <c r="E6910" t="s">
        <v>594</v>
      </c>
      <c r="F6910">
        <v>56</v>
      </c>
      <c r="G6910">
        <v>0</v>
      </c>
    </row>
    <row r="6911" spans="2:7" x14ac:dyDescent="0.25">
      <c r="B6911" s="70">
        <v>43350</v>
      </c>
      <c r="C6911" t="s">
        <v>21</v>
      </c>
      <c r="D6911" t="s">
        <v>82</v>
      </c>
      <c r="E6911" t="s">
        <v>594</v>
      </c>
      <c r="F6911">
        <v>165.3</v>
      </c>
      <c r="G6911">
        <v>0</v>
      </c>
    </row>
    <row r="6912" spans="2:7" x14ac:dyDescent="0.25">
      <c r="B6912" s="70">
        <v>43350</v>
      </c>
      <c r="C6912" t="s">
        <v>48</v>
      </c>
      <c r="D6912" t="s">
        <v>82</v>
      </c>
      <c r="E6912" t="s">
        <v>594</v>
      </c>
      <c r="F6912">
        <v>76</v>
      </c>
      <c r="G6912">
        <v>0</v>
      </c>
    </row>
    <row r="6913" spans="2:7" x14ac:dyDescent="0.25">
      <c r="B6913" s="70">
        <v>43350</v>
      </c>
      <c r="C6913" t="s">
        <v>50</v>
      </c>
      <c r="D6913" t="s">
        <v>79</v>
      </c>
      <c r="E6913" t="s">
        <v>594</v>
      </c>
      <c r="F6913">
        <v>5</v>
      </c>
      <c r="G6913">
        <v>0</v>
      </c>
    </row>
    <row r="6914" spans="2:7" x14ac:dyDescent="0.25">
      <c r="B6914" s="70">
        <v>43350</v>
      </c>
      <c r="C6914" t="s">
        <v>50</v>
      </c>
      <c r="D6914" t="s">
        <v>82</v>
      </c>
      <c r="E6914" t="s">
        <v>594</v>
      </c>
      <c r="F6914">
        <v>177.5</v>
      </c>
      <c r="G6914">
        <v>0</v>
      </c>
    </row>
    <row r="6915" spans="2:7" x14ac:dyDescent="0.25">
      <c r="B6915" s="70">
        <v>43350</v>
      </c>
      <c r="C6915" t="s">
        <v>58</v>
      </c>
      <c r="D6915" t="s">
        <v>82</v>
      </c>
      <c r="E6915" t="s">
        <v>594</v>
      </c>
      <c r="F6915">
        <v>16</v>
      </c>
      <c r="G6915">
        <v>0</v>
      </c>
    </row>
    <row r="6916" spans="2:7" x14ac:dyDescent="0.25">
      <c r="B6916" s="70">
        <v>43350</v>
      </c>
      <c r="C6916" t="s">
        <v>68</v>
      </c>
      <c r="D6916" t="s">
        <v>85</v>
      </c>
      <c r="E6916" t="s">
        <v>594</v>
      </c>
      <c r="F6916">
        <v>1287</v>
      </c>
      <c r="G6916">
        <v>0</v>
      </c>
    </row>
    <row r="6917" spans="2:7" x14ac:dyDescent="0.25">
      <c r="B6917" s="70">
        <v>43274</v>
      </c>
      <c r="C6917" t="s">
        <v>25</v>
      </c>
      <c r="D6917" t="s">
        <v>87</v>
      </c>
      <c r="E6917" t="s">
        <v>595</v>
      </c>
      <c r="F6917">
        <v>24</v>
      </c>
      <c r="G6917">
        <v>0</v>
      </c>
    </row>
    <row r="6918" spans="2:7" x14ac:dyDescent="0.25">
      <c r="B6918" s="70">
        <v>43274</v>
      </c>
      <c r="C6918" t="s">
        <v>25</v>
      </c>
      <c r="D6918" t="s">
        <v>87</v>
      </c>
      <c r="E6918" t="s">
        <v>595</v>
      </c>
      <c r="F6918">
        <v>27.75</v>
      </c>
      <c r="G6918">
        <v>0</v>
      </c>
    </row>
    <row r="6919" spans="2:7" x14ac:dyDescent="0.25">
      <c r="B6919" s="70">
        <v>43274</v>
      </c>
      <c r="C6919" t="s">
        <v>25</v>
      </c>
      <c r="D6919" t="s">
        <v>87</v>
      </c>
      <c r="E6919" t="s">
        <v>595</v>
      </c>
      <c r="F6919">
        <v>55.35</v>
      </c>
      <c r="G6919">
        <v>0</v>
      </c>
    </row>
    <row r="6920" spans="2:7" x14ac:dyDescent="0.25">
      <c r="B6920" s="70">
        <v>43274</v>
      </c>
      <c r="C6920" t="s">
        <v>25</v>
      </c>
      <c r="D6920" t="s">
        <v>87</v>
      </c>
      <c r="E6920" t="s">
        <v>595</v>
      </c>
      <c r="F6920">
        <v>64.2</v>
      </c>
      <c r="G6920">
        <v>0</v>
      </c>
    </row>
    <row r="6921" spans="2:7" x14ac:dyDescent="0.25">
      <c r="B6921" s="70">
        <v>43274</v>
      </c>
      <c r="C6921" t="s">
        <v>25</v>
      </c>
      <c r="D6921" t="s">
        <v>81</v>
      </c>
      <c r="E6921" t="s">
        <v>150</v>
      </c>
      <c r="F6921">
        <v>14</v>
      </c>
      <c r="G6921">
        <v>0</v>
      </c>
    </row>
    <row r="6922" spans="2:7" x14ac:dyDescent="0.25">
      <c r="B6922" s="70">
        <v>43274</v>
      </c>
      <c r="C6922" t="s">
        <v>59</v>
      </c>
      <c r="D6922" t="s">
        <v>80</v>
      </c>
      <c r="E6922" t="s">
        <v>595</v>
      </c>
      <c r="F6922">
        <v>16.75</v>
      </c>
      <c r="G6922">
        <v>0</v>
      </c>
    </row>
    <row r="6923" spans="2:7" x14ac:dyDescent="0.25">
      <c r="B6923" s="70">
        <v>43302</v>
      </c>
      <c r="C6923" t="s">
        <v>25</v>
      </c>
      <c r="D6923" t="s">
        <v>85</v>
      </c>
      <c r="E6923" t="s">
        <v>596</v>
      </c>
      <c r="F6923">
        <v>149.5</v>
      </c>
      <c r="G6923">
        <v>0</v>
      </c>
    </row>
    <row r="6924" spans="2:7" x14ac:dyDescent="0.25">
      <c r="B6924" s="70">
        <v>43302</v>
      </c>
      <c r="C6924" t="s">
        <v>25</v>
      </c>
      <c r="D6924" t="s">
        <v>81</v>
      </c>
      <c r="E6924" t="s">
        <v>150</v>
      </c>
      <c r="F6924">
        <v>16.5</v>
      </c>
      <c r="G6924">
        <v>0</v>
      </c>
    </row>
    <row r="6925" spans="2:7" x14ac:dyDescent="0.25">
      <c r="B6925" s="70">
        <v>43302</v>
      </c>
      <c r="C6925" t="s">
        <v>54</v>
      </c>
      <c r="D6925" t="s">
        <v>79</v>
      </c>
      <c r="E6925" t="s">
        <v>596</v>
      </c>
      <c r="F6925">
        <v>24.65</v>
      </c>
      <c r="G6925">
        <v>0</v>
      </c>
    </row>
    <row r="6926" spans="2:7" x14ac:dyDescent="0.25">
      <c r="B6926" s="70">
        <v>43302</v>
      </c>
      <c r="C6926" t="s">
        <v>54</v>
      </c>
      <c r="D6926" t="s">
        <v>85</v>
      </c>
      <c r="E6926" t="s">
        <v>596</v>
      </c>
      <c r="F6926">
        <v>54.79</v>
      </c>
      <c r="G6926">
        <v>0</v>
      </c>
    </row>
    <row r="6927" spans="2:7" x14ac:dyDescent="0.25">
      <c r="B6927" s="70">
        <v>43302</v>
      </c>
      <c r="C6927" t="s">
        <v>21</v>
      </c>
      <c r="D6927" t="s">
        <v>79</v>
      </c>
      <c r="E6927" t="s">
        <v>596</v>
      </c>
      <c r="F6927">
        <v>8</v>
      </c>
      <c r="G6927">
        <v>0</v>
      </c>
    </row>
    <row r="6928" spans="2:7" x14ac:dyDescent="0.25">
      <c r="B6928" s="70">
        <v>43302</v>
      </c>
      <c r="C6928" t="s">
        <v>21</v>
      </c>
      <c r="D6928" t="s">
        <v>79</v>
      </c>
      <c r="E6928" t="s">
        <v>596</v>
      </c>
      <c r="F6928">
        <v>16</v>
      </c>
      <c r="G6928">
        <v>0</v>
      </c>
    </row>
    <row r="6929" spans="2:7" x14ac:dyDescent="0.25">
      <c r="B6929" s="70">
        <v>43302</v>
      </c>
      <c r="C6929" t="s">
        <v>21</v>
      </c>
      <c r="D6929" t="s">
        <v>79</v>
      </c>
      <c r="E6929" t="s">
        <v>596</v>
      </c>
      <c r="F6929">
        <v>32</v>
      </c>
      <c r="G6929">
        <v>0</v>
      </c>
    </row>
    <row r="6930" spans="2:7" x14ac:dyDescent="0.25">
      <c r="B6930" s="70">
        <v>43302</v>
      </c>
      <c r="C6930" t="s">
        <v>21</v>
      </c>
      <c r="D6930" t="s">
        <v>79</v>
      </c>
      <c r="E6930" t="s">
        <v>596</v>
      </c>
      <c r="F6930">
        <v>40</v>
      </c>
      <c r="G6930">
        <v>0</v>
      </c>
    </row>
    <row r="6931" spans="2:7" x14ac:dyDescent="0.25">
      <c r="B6931" s="70">
        <v>43302</v>
      </c>
      <c r="C6931" t="s">
        <v>73</v>
      </c>
      <c r="D6931" t="s">
        <v>82</v>
      </c>
      <c r="E6931" t="s">
        <v>596</v>
      </c>
      <c r="F6931">
        <v>16.600000000000001</v>
      </c>
      <c r="G6931">
        <v>0</v>
      </c>
    </row>
    <row r="6932" spans="2:7" x14ac:dyDescent="0.25">
      <c r="B6932" s="70">
        <v>43302</v>
      </c>
      <c r="C6932" t="s">
        <v>24</v>
      </c>
      <c r="D6932" t="s">
        <v>79</v>
      </c>
      <c r="E6932" t="s">
        <v>596</v>
      </c>
      <c r="F6932">
        <v>8</v>
      </c>
      <c r="G6932">
        <v>0</v>
      </c>
    </row>
    <row r="6933" spans="2:7" x14ac:dyDescent="0.25">
      <c r="B6933" s="70">
        <v>43302</v>
      </c>
      <c r="C6933" t="s">
        <v>60</v>
      </c>
      <c r="D6933" t="s">
        <v>79</v>
      </c>
      <c r="E6933" t="s">
        <v>596</v>
      </c>
      <c r="F6933">
        <v>118.93</v>
      </c>
      <c r="G6933">
        <v>0</v>
      </c>
    </row>
    <row r="6934" spans="2:7" x14ac:dyDescent="0.25">
      <c r="B6934" s="70">
        <v>43326</v>
      </c>
      <c r="C6934" t="s">
        <v>25</v>
      </c>
      <c r="D6934" t="s">
        <v>80</v>
      </c>
      <c r="E6934" t="s">
        <v>597</v>
      </c>
      <c r="F6934">
        <v>29.98</v>
      </c>
      <c r="G6934">
        <v>0</v>
      </c>
    </row>
    <row r="6935" spans="2:7" x14ac:dyDescent="0.25">
      <c r="B6935" s="70">
        <v>43326</v>
      </c>
      <c r="C6935" t="s">
        <v>25</v>
      </c>
      <c r="D6935" t="s">
        <v>80</v>
      </c>
      <c r="E6935" t="s">
        <v>597</v>
      </c>
      <c r="F6935">
        <v>42.85</v>
      </c>
      <c r="G6935">
        <v>0</v>
      </c>
    </row>
    <row r="6936" spans="2:7" x14ac:dyDescent="0.25">
      <c r="B6936" s="70">
        <v>43326</v>
      </c>
      <c r="C6936" t="s">
        <v>25</v>
      </c>
      <c r="D6936" t="s">
        <v>80</v>
      </c>
      <c r="E6936" t="s">
        <v>597</v>
      </c>
      <c r="F6936">
        <v>51.04</v>
      </c>
      <c r="G6936">
        <v>0</v>
      </c>
    </row>
    <row r="6937" spans="2:7" x14ac:dyDescent="0.25">
      <c r="B6937" s="70">
        <v>43326</v>
      </c>
      <c r="C6937" t="s">
        <v>25</v>
      </c>
      <c r="D6937" t="s">
        <v>80</v>
      </c>
      <c r="E6937" t="s">
        <v>597</v>
      </c>
      <c r="F6937">
        <v>39.979999999999997</v>
      </c>
      <c r="G6937">
        <v>0</v>
      </c>
    </row>
    <row r="6938" spans="2:7" x14ac:dyDescent="0.25">
      <c r="B6938" s="70">
        <v>43326</v>
      </c>
      <c r="C6938" t="s">
        <v>25</v>
      </c>
      <c r="D6938" t="s">
        <v>87</v>
      </c>
      <c r="E6938" t="s">
        <v>597</v>
      </c>
      <c r="F6938">
        <v>14.25</v>
      </c>
      <c r="G6938">
        <v>0</v>
      </c>
    </row>
    <row r="6939" spans="2:7" x14ac:dyDescent="0.25">
      <c r="B6939" s="70">
        <v>43326</v>
      </c>
      <c r="C6939" t="s">
        <v>25</v>
      </c>
      <c r="D6939" t="s">
        <v>87</v>
      </c>
      <c r="E6939" t="s">
        <v>597</v>
      </c>
      <c r="F6939">
        <v>25</v>
      </c>
      <c r="G6939">
        <v>0</v>
      </c>
    </row>
    <row r="6940" spans="2:7" x14ac:dyDescent="0.25">
      <c r="B6940" s="70">
        <v>43326</v>
      </c>
      <c r="C6940" t="s">
        <v>25</v>
      </c>
      <c r="D6940" t="s">
        <v>87</v>
      </c>
      <c r="E6940" t="s">
        <v>597</v>
      </c>
      <c r="F6940">
        <v>63.22</v>
      </c>
      <c r="G6940">
        <v>0</v>
      </c>
    </row>
    <row r="6941" spans="2:7" x14ac:dyDescent="0.25">
      <c r="B6941" s="70">
        <v>43326</v>
      </c>
      <c r="C6941" t="s">
        <v>25</v>
      </c>
      <c r="D6941" t="s">
        <v>87</v>
      </c>
      <c r="E6941" t="s">
        <v>597</v>
      </c>
      <c r="F6941">
        <v>57.76</v>
      </c>
      <c r="G6941">
        <v>0</v>
      </c>
    </row>
    <row r="6942" spans="2:7" x14ac:dyDescent="0.25">
      <c r="B6942" s="70">
        <v>43326</v>
      </c>
      <c r="C6942" t="s">
        <v>25</v>
      </c>
      <c r="D6942" t="s">
        <v>87</v>
      </c>
      <c r="E6942" t="s">
        <v>597</v>
      </c>
      <c r="F6942">
        <v>126.25</v>
      </c>
      <c r="G6942">
        <v>0</v>
      </c>
    </row>
    <row r="6943" spans="2:7" x14ac:dyDescent="0.25">
      <c r="B6943" s="70">
        <v>43326</v>
      </c>
      <c r="C6943" t="s">
        <v>25</v>
      </c>
      <c r="D6943" t="s">
        <v>87</v>
      </c>
      <c r="E6943" t="s">
        <v>597</v>
      </c>
      <c r="F6943">
        <v>84.6</v>
      </c>
      <c r="G6943">
        <v>0</v>
      </c>
    </row>
    <row r="6944" spans="2:7" x14ac:dyDescent="0.25">
      <c r="B6944" s="70">
        <v>43326</v>
      </c>
      <c r="C6944" t="s">
        <v>25</v>
      </c>
      <c r="D6944" t="s">
        <v>87</v>
      </c>
      <c r="E6944" t="s">
        <v>597</v>
      </c>
      <c r="F6944">
        <v>71.92</v>
      </c>
      <c r="G6944">
        <v>0</v>
      </c>
    </row>
    <row r="6945" spans="2:7" x14ac:dyDescent="0.25">
      <c r="B6945" s="70">
        <v>43326</v>
      </c>
      <c r="C6945" t="s">
        <v>25</v>
      </c>
      <c r="D6945" t="s">
        <v>87</v>
      </c>
      <c r="E6945" t="s">
        <v>597</v>
      </c>
      <c r="F6945">
        <v>15.98</v>
      </c>
      <c r="G6945">
        <v>0</v>
      </c>
    </row>
    <row r="6946" spans="2:7" x14ac:dyDescent="0.25">
      <c r="B6946" s="70">
        <v>43326</v>
      </c>
      <c r="C6946" t="s">
        <v>25</v>
      </c>
      <c r="D6946" t="s">
        <v>87</v>
      </c>
      <c r="E6946" t="s">
        <v>597</v>
      </c>
      <c r="F6946">
        <v>65.489999999999995</v>
      </c>
      <c r="G6946">
        <v>0</v>
      </c>
    </row>
    <row r="6947" spans="2:7" x14ac:dyDescent="0.25">
      <c r="B6947" s="70">
        <v>43326</v>
      </c>
      <c r="C6947" t="s">
        <v>25</v>
      </c>
      <c r="D6947" t="s">
        <v>87</v>
      </c>
      <c r="E6947" t="s">
        <v>597</v>
      </c>
      <c r="F6947">
        <v>21.57</v>
      </c>
      <c r="G6947">
        <v>0</v>
      </c>
    </row>
    <row r="6948" spans="2:7" x14ac:dyDescent="0.25">
      <c r="B6948" s="70">
        <v>43326</v>
      </c>
      <c r="C6948" t="s">
        <v>25</v>
      </c>
      <c r="D6948" t="s">
        <v>87</v>
      </c>
      <c r="E6948" t="s">
        <v>597</v>
      </c>
      <c r="F6948">
        <v>58.05</v>
      </c>
      <c r="G6948">
        <v>0</v>
      </c>
    </row>
    <row r="6949" spans="2:7" x14ac:dyDescent="0.25">
      <c r="B6949" s="70">
        <v>43326</v>
      </c>
      <c r="C6949" t="s">
        <v>25</v>
      </c>
      <c r="D6949" t="s">
        <v>81</v>
      </c>
      <c r="E6949" t="s">
        <v>150</v>
      </c>
      <c r="F6949">
        <v>3</v>
      </c>
      <c r="G6949">
        <v>0</v>
      </c>
    </row>
    <row r="6950" spans="2:7" x14ac:dyDescent="0.25">
      <c r="B6950" s="70">
        <v>43326</v>
      </c>
      <c r="C6950" t="s">
        <v>25</v>
      </c>
      <c r="D6950" t="s">
        <v>81</v>
      </c>
      <c r="E6950" t="s">
        <v>202</v>
      </c>
      <c r="F6950">
        <v>2.25</v>
      </c>
      <c r="G6950">
        <v>0</v>
      </c>
    </row>
    <row r="6951" spans="2:7" x14ac:dyDescent="0.25">
      <c r="B6951" s="70">
        <v>43326</v>
      </c>
      <c r="C6951" t="s">
        <v>25</v>
      </c>
      <c r="D6951" t="s">
        <v>82</v>
      </c>
      <c r="E6951" t="s">
        <v>597</v>
      </c>
      <c r="F6951">
        <v>9.5</v>
      </c>
      <c r="G6951">
        <v>0</v>
      </c>
    </row>
    <row r="6952" spans="2:7" x14ac:dyDescent="0.25">
      <c r="B6952" s="70">
        <v>43326</v>
      </c>
      <c r="C6952" t="s">
        <v>54</v>
      </c>
      <c r="D6952" t="s">
        <v>86</v>
      </c>
      <c r="E6952" t="s">
        <v>597</v>
      </c>
      <c r="F6952">
        <v>814.45</v>
      </c>
      <c r="G6952">
        <v>0</v>
      </c>
    </row>
    <row r="6953" spans="2:7" x14ac:dyDescent="0.25">
      <c r="B6953" s="70">
        <v>43326</v>
      </c>
      <c r="C6953" t="s">
        <v>46</v>
      </c>
      <c r="D6953" t="s">
        <v>86</v>
      </c>
      <c r="E6953" t="s">
        <v>597</v>
      </c>
      <c r="F6953">
        <v>232.15</v>
      </c>
      <c r="G6953">
        <v>0</v>
      </c>
    </row>
    <row r="6954" spans="2:7" x14ac:dyDescent="0.25">
      <c r="B6954" s="70">
        <v>43326</v>
      </c>
      <c r="C6954" t="s">
        <v>51</v>
      </c>
      <c r="D6954" t="s">
        <v>82</v>
      </c>
      <c r="E6954" t="s">
        <v>597</v>
      </c>
      <c r="F6954">
        <v>50.75</v>
      </c>
      <c r="G6954">
        <v>0</v>
      </c>
    </row>
    <row r="6955" spans="2:7" x14ac:dyDescent="0.25">
      <c r="B6955" s="70">
        <v>43326</v>
      </c>
      <c r="C6955" t="s">
        <v>44</v>
      </c>
      <c r="D6955" t="s">
        <v>86</v>
      </c>
      <c r="E6955" t="s">
        <v>597</v>
      </c>
      <c r="F6955">
        <v>94.65</v>
      </c>
      <c r="G6955">
        <v>0</v>
      </c>
    </row>
    <row r="6956" spans="2:7" x14ac:dyDescent="0.25">
      <c r="B6956" s="70">
        <v>43326</v>
      </c>
      <c r="C6956" t="s">
        <v>21</v>
      </c>
      <c r="D6956" t="s">
        <v>79</v>
      </c>
      <c r="E6956" t="s">
        <v>597</v>
      </c>
      <c r="F6956">
        <v>8</v>
      </c>
      <c r="G6956">
        <v>0</v>
      </c>
    </row>
    <row r="6957" spans="2:7" x14ac:dyDescent="0.25">
      <c r="B6957" s="70">
        <v>43326</v>
      </c>
      <c r="C6957" t="s">
        <v>21</v>
      </c>
      <c r="D6957" t="s">
        <v>79</v>
      </c>
      <c r="E6957" t="s">
        <v>597</v>
      </c>
      <c r="F6957">
        <v>16</v>
      </c>
      <c r="G6957">
        <v>0</v>
      </c>
    </row>
    <row r="6958" spans="2:7" x14ac:dyDescent="0.25">
      <c r="B6958" s="70">
        <v>43326</v>
      </c>
      <c r="C6958" t="s">
        <v>21</v>
      </c>
      <c r="D6958" t="s">
        <v>79</v>
      </c>
      <c r="E6958" t="s">
        <v>597</v>
      </c>
      <c r="F6958">
        <v>24</v>
      </c>
      <c r="G6958">
        <v>0</v>
      </c>
    </row>
    <row r="6959" spans="2:7" x14ac:dyDescent="0.25">
      <c r="B6959" s="70">
        <v>43326</v>
      </c>
      <c r="C6959" t="s">
        <v>21</v>
      </c>
      <c r="D6959" t="s">
        <v>79</v>
      </c>
      <c r="E6959" t="s">
        <v>597</v>
      </c>
      <c r="F6959">
        <v>32</v>
      </c>
      <c r="G6959">
        <v>0</v>
      </c>
    </row>
    <row r="6960" spans="2:7" x14ac:dyDescent="0.25">
      <c r="B6960" s="70">
        <v>43326</v>
      </c>
      <c r="C6960" t="s">
        <v>48</v>
      </c>
      <c r="D6960" t="s">
        <v>91</v>
      </c>
      <c r="E6960" t="s">
        <v>597</v>
      </c>
      <c r="F6960">
        <v>10360</v>
      </c>
      <c r="G6960">
        <v>0</v>
      </c>
    </row>
    <row r="6961" spans="2:7" x14ac:dyDescent="0.25">
      <c r="B6961" s="70">
        <v>43326</v>
      </c>
      <c r="C6961" t="s">
        <v>49</v>
      </c>
      <c r="D6961" t="s">
        <v>84</v>
      </c>
      <c r="E6961" t="s">
        <v>597</v>
      </c>
      <c r="F6961">
        <v>851.9</v>
      </c>
      <c r="G6961">
        <v>0</v>
      </c>
    </row>
    <row r="6962" spans="2:7" x14ac:dyDescent="0.25">
      <c r="B6962" s="70">
        <v>43326</v>
      </c>
      <c r="C6962" t="s">
        <v>63</v>
      </c>
      <c r="D6962" t="s">
        <v>80</v>
      </c>
      <c r="E6962" t="s">
        <v>597</v>
      </c>
      <c r="F6962">
        <v>95</v>
      </c>
      <c r="G6962">
        <v>0</v>
      </c>
    </row>
    <row r="6963" spans="2:7" x14ac:dyDescent="0.25">
      <c r="B6963" s="70">
        <v>43326</v>
      </c>
      <c r="C6963" t="s">
        <v>60</v>
      </c>
      <c r="D6963" t="s">
        <v>80</v>
      </c>
      <c r="E6963" t="s">
        <v>597</v>
      </c>
      <c r="F6963">
        <v>319.06</v>
      </c>
      <c r="G6963">
        <v>0</v>
      </c>
    </row>
    <row r="6964" spans="2:7" x14ac:dyDescent="0.25">
      <c r="B6964" s="70">
        <v>43326</v>
      </c>
      <c r="C6964" t="s">
        <v>60</v>
      </c>
      <c r="D6964" t="s">
        <v>87</v>
      </c>
      <c r="E6964" t="s">
        <v>597</v>
      </c>
      <c r="F6964">
        <v>146.36000000000001</v>
      </c>
      <c r="G6964">
        <v>0</v>
      </c>
    </row>
    <row r="6965" spans="2:7" x14ac:dyDescent="0.25">
      <c r="B6965" s="70">
        <v>43326</v>
      </c>
      <c r="C6965" t="s">
        <v>60</v>
      </c>
      <c r="D6965" t="s">
        <v>86</v>
      </c>
      <c r="E6965" t="s">
        <v>597</v>
      </c>
      <c r="F6965">
        <v>677.55</v>
      </c>
      <c r="G6965">
        <v>0</v>
      </c>
    </row>
    <row r="6966" spans="2:7" x14ac:dyDescent="0.25">
      <c r="B6966" s="70">
        <v>43326</v>
      </c>
      <c r="C6966" t="s">
        <v>61</v>
      </c>
      <c r="D6966" t="s">
        <v>86</v>
      </c>
      <c r="E6966" t="s">
        <v>597</v>
      </c>
      <c r="F6966">
        <v>549.04999999999995</v>
      </c>
      <c r="G6966">
        <v>0</v>
      </c>
    </row>
    <row r="6967" spans="2:7" x14ac:dyDescent="0.25">
      <c r="B6967" s="70">
        <v>43326</v>
      </c>
      <c r="C6967" t="s">
        <v>62</v>
      </c>
      <c r="D6967" t="s">
        <v>86</v>
      </c>
      <c r="E6967" t="s">
        <v>597</v>
      </c>
      <c r="F6967">
        <v>98</v>
      </c>
      <c r="G6967">
        <v>0</v>
      </c>
    </row>
    <row r="6968" spans="2:7" x14ac:dyDescent="0.25">
      <c r="B6968" s="70">
        <v>43326</v>
      </c>
      <c r="C6968" t="s">
        <v>414</v>
      </c>
      <c r="D6968" t="s">
        <v>79</v>
      </c>
      <c r="E6968" t="s">
        <v>597</v>
      </c>
      <c r="F6968">
        <v>152</v>
      </c>
      <c r="G6968">
        <v>0</v>
      </c>
    </row>
    <row r="6969" spans="2:7" x14ac:dyDescent="0.25">
      <c r="B6969" s="70">
        <v>43326</v>
      </c>
      <c r="C6969" t="s">
        <v>414</v>
      </c>
      <c r="D6969" t="s">
        <v>82</v>
      </c>
      <c r="E6969" t="s">
        <v>597</v>
      </c>
      <c r="F6969">
        <v>15.65</v>
      </c>
      <c r="G6969">
        <v>0</v>
      </c>
    </row>
    <row r="6970" spans="2:7" x14ac:dyDescent="0.25">
      <c r="B6970" s="70">
        <v>43399</v>
      </c>
      <c r="C6970" t="s">
        <v>25</v>
      </c>
      <c r="D6970" t="s">
        <v>82</v>
      </c>
      <c r="E6970" t="s">
        <v>598</v>
      </c>
      <c r="F6970">
        <v>47</v>
      </c>
      <c r="G6970">
        <v>0</v>
      </c>
    </row>
    <row r="6971" spans="2:7" x14ac:dyDescent="0.25">
      <c r="B6971" s="70">
        <v>43399</v>
      </c>
      <c r="C6971" t="s">
        <v>25</v>
      </c>
      <c r="D6971" t="s">
        <v>82</v>
      </c>
      <c r="E6971" t="s">
        <v>598</v>
      </c>
      <c r="F6971">
        <v>27.84</v>
      </c>
      <c r="G6971">
        <v>0</v>
      </c>
    </row>
    <row r="6972" spans="2:7" x14ac:dyDescent="0.25">
      <c r="B6972" s="70">
        <v>43399</v>
      </c>
      <c r="C6972" t="s">
        <v>46</v>
      </c>
      <c r="D6972" t="s">
        <v>79</v>
      </c>
      <c r="E6972" t="s">
        <v>598</v>
      </c>
      <c r="F6972">
        <v>10</v>
      </c>
      <c r="G6972">
        <v>0</v>
      </c>
    </row>
    <row r="6973" spans="2:7" x14ac:dyDescent="0.25">
      <c r="B6973" s="70">
        <v>43399</v>
      </c>
      <c r="C6973" t="s">
        <v>46</v>
      </c>
      <c r="D6973" t="s">
        <v>82</v>
      </c>
      <c r="E6973" t="s">
        <v>598</v>
      </c>
      <c r="F6973">
        <v>24.6</v>
      </c>
      <c r="G6973">
        <v>0</v>
      </c>
    </row>
    <row r="6974" spans="2:7" x14ac:dyDescent="0.25">
      <c r="B6974" s="70">
        <v>43399</v>
      </c>
      <c r="C6974" t="s">
        <v>59</v>
      </c>
      <c r="D6974" t="s">
        <v>82</v>
      </c>
      <c r="E6974" t="s">
        <v>598</v>
      </c>
      <c r="F6974">
        <v>410.32</v>
      </c>
      <c r="G6974">
        <v>0</v>
      </c>
    </row>
    <row r="6975" spans="2:7" x14ac:dyDescent="0.25">
      <c r="B6975" s="70">
        <v>43399</v>
      </c>
      <c r="C6975" t="s">
        <v>56</v>
      </c>
      <c r="D6975" t="s">
        <v>82</v>
      </c>
      <c r="E6975" t="s">
        <v>598</v>
      </c>
      <c r="F6975">
        <v>43</v>
      </c>
      <c r="G6975">
        <v>0</v>
      </c>
    </row>
    <row r="6976" spans="2:7" x14ac:dyDescent="0.25">
      <c r="B6976" s="70">
        <v>43399</v>
      </c>
      <c r="C6976" t="s">
        <v>51</v>
      </c>
      <c r="D6976" t="s">
        <v>82</v>
      </c>
      <c r="E6976" t="s">
        <v>598</v>
      </c>
      <c r="F6976">
        <v>110.95</v>
      </c>
      <c r="G6976">
        <v>0</v>
      </c>
    </row>
    <row r="6977" spans="2:7" x14ac:dyDescent="0.25">
      <c r="B6977" s="70">
        <v>43399</v>
      </c>
      <c r="C6977" t="s">
        <v>21</v>
      </c>
      <c r="D6977" t="s">
        <v>79</v>
      </c>
      <c r="E6977" t="s">
        <v>598</v>
      </c>
      <c r="F6977">
        <v>8</v>
      </c>
      <c r="G6977">
        <v>0</v>
      </c>
    </row>
    <row r="6978" spans="2:7" x14ac:dyDescent="0.25">
      <c r="B6978" s="70">
        <v>43399</v>
      </c>
      <c r="C6978" t="s">
        <v>21</v>
      </c>
      <c r="D6978" t="s">
        <v>79</v>
      </c>
      <c r="E6978" t="s">
        <v>598</v>
      </c>
      <c r="F6978">
        <v>16</v>
      </c>
      <c r="G6978">
        <v>0</v>
      </c>
    </row>
    <row r="6979" spans="2:7" x14ac:dyDescent="0.25">
      <c r="B6979" s="70">
        <v>43399</v>
      </c>
      <c r="C6979" t="s">
        <v>21</v>
      </c>
      <c r="D6979" t="s">
        <v>79</v>
      </c>
      <c r="E6979" t="s">
        <v>598</v>
      </c>
      <c r="F6979">
        <v>24</v>
      </c>
      <c r="G6979">
        <v>0</v>
      </c>
    </row>
    <row r="6980" spans="2:7" x14ac:dyDescent="0.25">
      <c r="B6980" s="70">
        <v>43399</v>
      </c>
      <c r="C6980" t="s">
        <v>66</v>
      </c>
      <c r="D6980" t="s">
        <v>79</v>
      </c>
      <c r="E6980" t="s">
        <v>598</v>
      </c>
      <c r="F6980">
        <v>13.7</v>
      </c>
      <c r="G6980">
        <v>0</v>
      </c>
    </row>
    <row r="6981" spans="2:7" x14ac:dyDescent="0.25">
      <c r="B6981" s="70">
        <v>43399</v>
      </c>
      <c r="C6981" t="s">
        <v>48</v>
      </c>
      <c r="D6981" t="s">
        <v>79</v>
      </c>
      <c r="E6981" t="s">
        <v>598</v>
      </c>
      <c r="F6981">
        <v>16</v>
      </c>
      <c r="G6981">
        <v>0</v>
      </c>
    </row>
    <row r="6982" spans="2:7" x14ac:dyDescent="0.25">
      <c r="B6982" s="70">
        <v>43399</v>
      </c>
      <c r="C6982" t="s">
        <v>45</v>
      </c>
      <c r="D6982" t="s">
        <v>86</v>
      </c>
      <c r="E6982" t="s">
        <v>598</v>
      </c>
      <c r="F6982">
        <v>0</v>
      </c>
      <c r="G6982">
        <v>700.28</v>
      </c>
    </row>
    <row r="6983" spans="2:7" x14ac:dyDescent="0.25">
      <c r="B6983" s="70">
        <v>43399</v>
      </c>
      <c r="C6983" t="s">
        <v>45</v>
      </c>
      <c r="D6983" t="s">
        <v>82</v>
      </c>
      <c r="E6983" t="s">
        <v>598</v>
      </c>
      <c r="F6983">
        <v>57.55</v>
      </c>
      <c r="G6983">
        <v>0</v>
      </c>
    </row>
    <row r="6984" spans="2:7" x14ac:dyDescent="0.25">
      <c r="B6984" s="70">
        <v>43399</v>
      </c>
      <c r="C6984" t="s">
        <v>50</v>
      </c>
      <c r="D6984" t="s">
        <v>79</v>
      </c>
      <c r="E6984" t="s">
        <v>598</v>
      </c>
      <c r="F6984">
        <v>10</v>
      </c>
      <c r="G6984">
        <v>0</v>
      </c>
    </row>
    <row r="6985" spans="2:7" x14ac:dyDescent="0.25">
      <c r="B6985" s="70">
        <v>43399</v>
      </c>
      <c r="C6985" t="s">
        <v>58</v>
      </c>
      <c r="D6985" t="s">
        <v>84</v>
      </c>
      <c r="E6985" t="s">
        <v>598</v>
      </c>
      <c r="F6985">
        <v>70</v>
      </c>
      <c r="G6985">
        <v>0</v>
      </c>
    </row>
    <row r="6986" spans="2:7" x14ac:dyDescent="0.25">
      <c r="B6986" s="70">
        <v>43399</v>
      </c>
      <c r="C6986" t="s">
        <v>24</v>
      </c>
      <c r="D6986" t="s">
        <v>79</v>
      </c>
      <c r="E6986" t="s">
        <v>598</v>
      </c>
      <c r="F6986">
        <v>8</v>
      </c>
      <c r="G6986">
        <v>0</v>
      </c>
    </row>
    <row r="6987" spans="2:7" x14ac:dyDescent="0.25">
      <c r="B6987" s="70">
        <v>43399</v>
      </c>
      <c r="C6987" t="s">
        <v>24</v>
      </c>
      <c r="D6987" t="s">
        <v>79</v>
      </c>
      <c r="E6987" t="s">
        <v>598</v>
      </c>
      <c r="F6987">
        <v>24</v>
      </c>
      <c r="G6987">
        <v>0</v>
      </c>
    </row>
    <row r="6988" spans="2:7" x14ac:dyDescent="0.25">
      <c r="B6988" s="70">
        <v>43311</v>
      </c>
      <c r="C6988" t="s">
        <v>25</v>
      </c>
      <c r="D6988" t="s">
        <v>82</v>
      </c>
      <c r="E6988" t="s">
        <v>599</v>
      </c>
      <c r="F6988">
        <v>25</v>
      </c>
      <c r="G6988">
        <v>0</v>
      </c>
    </row>
    <row r="6989" spans="2:7" x14ac:dyDescent="0.25">
      <c r="B6989" s="70">
        <v>43311</v>
      </c>
      <c r="C6989" t="s">
        <v>47</v>
      </c>
      <c r="D6989" t="s">
        <v>82</v>
      </c>
      <c r="E6989" t="s">
        <v>599</v>
      </c>
      <c r="F6989">
        <v>66</v>
      </c>
      <c r="G6989">
        <v>0</v>
      </c>
    </row>
    <row r="6990" spans="2:7" x14ac:dyDescent="0.25">
      <c r="B6990" s="70">
        <v>43311</v>
      </c>
      <c r="C6990" t="s">
        <v>51</v>
      </c>
      <c r="D6990" t="s">
        <v>82</v>
      </c>
      <c r="E6990" t="s">
        <v>599</v>
      </c>
      <c r="F6990">
        <v>107</v>
      </c>
      <c r="G6990">
        <v>0</v>
      </c>
    </row>
    <row r="6991" spans="2:7" x14ac:dyDescent="0.25">
      <c r="B6991" s="70">
        <v>43311</v>
      </c>
      <c r="C6991" t="s">
        <v>21</v>
      </c>
      <c r="D6991" t="s">
        <v>79</v>
      </c>
      <c r="E6991" t="s">
        <v>599</v>
      </c>
      <c r="F6991">
        <v>16</v>
      </c>
      <c r="G6991">
        <v>0</v>
      </c>
    </row>
    <row r="6992" spans="2:7" x14ac:dyDescent="0.25">
      <c r="B6992" s="70">
        <v>43311</v>
      </c>
      <c r="C6992" t="s">
        <v>21</v>
      </c>
      <c r="D6992" t="s">
        <v>79</v>
      </c>
      <c r="E6992" t="s">
        <v>599</v>
      </c>
      <c r="F6992">
        <v>24</v>
      </c>
      <c r="G6992">
        <v>0</v>
      </c>
    </row>
    <row r="6993" spans="2:7" x14ac:dyDescent="0.25">
      <c r="B6993" s="70">
        <v>43311</v>
      </c>
      <c r="C6993" t="s">
        <v>21</v>
      </c>
      <c r="D6993" t="s">
        <v>79</v>
      </c>
      <c r="E6993" t="s">
        <v>599</v>
      </c>
      <c r="F6993">
        <v>56</v>
      </c>
      <c r="G6993">
        <v>0</v>
      </c>
    </row>
    <row r="6994" spans="2:7" x14ac:dyDescent="0.25">
      <c r="B6994" s="70">
        <v>43311</v>
      </c>
      <c r="C6994" t="s">
        <v>55</v>
      </c>
      <c r="D6994" t="s">
        <v>86</v>
      </c>
      <c r="E6994" t="s">
        <v>599</v>
      </c>
      <c r="F6994">
        <v>0</v>
      </c>
      <c r="G6994">
        <v>1734.36</v>
      </c>
    </row>
    <row r="6995" spans="2:7" x14ac:dyDescent="0.25">
      <c r="B6995" s="70">
        <v>43311</v>
      </c>
      <c r="C6995" t="s">
        <v>55</v>
      </c>
      <c r="D6995" t="s">
        <v>82</v>
      </c>
      <c r="E6995" t="s">
        <v>599</v>
      </c>
      <c r="F6995">
        <v>29.4</v>
      </c>
      <c r="G6995">
        <v>0</v>
      </c>
    </row>
    <row r="6996" spans="2:7" x14ac:dyDescent="0.25">
      <c r="B6996" s="70">
        <v>43311</v>
      </c>
      <c r="C6996" t="s">
        <v>45</v>
      </c>
      <c r="D6996" t="s">
        <v>85</v>
      </c>
      <c r="E6996" t="s">
        <v>599</v>
      </c>
      <c r="F6996">
        <v>30</v>
      </c>
      <c r="G6996">
        <v>0</v>
      </c>
    </row>
    <row r="6997" spans="2:7" x14ac:dyDescent="0.25">
      <c r="B6997" s="70">
        <v>43311</v>
      </c>
      <c r="C6997" t="s">
        <v>45</v>
      </c>
      <c r="D6997" t="s">
        <v>86</v>
      </c>
      <c r="E6997" t="s">
        <v>599</v>
      </c>
      <c r="F6997">
        <v>0</v>
      </c>
      <c r="G6997">
        <v>1127.92</v>
      </c>
    </row>
    <row r="6998" spans="2:7" x14ac:dyDescent="0.25">
      <c r="B6998" s="70">
        <v>43311</v>
      </c>
      <c r="C6998" t="s">
        <v>49</v>
      </c>
      <c r="D6998" t="s">
        <v>82</v>
      </c>
      <c r="E6998" t="s">
        <v>599</v>
      </c>
      <c r="F6998">
        <v>57</v>
      </c>
      <c r="G6998">
        <v>0</v>
      </c>
    </row>
    <row r="6999" spans="2:7" x14ac:dyDescent="0.25">
      <c r="B6999" s="70">
        <v>43311</v>
      </c>
      <c r="C6999" t="s">
        <v>50</v>
      </c>
      <c r="D6999" t="s">
        <v>82</v>
      </c>
      <c r="E6999" t="s">
        <v>599</v>
      </c>
      <c r="F6999">
        <v>24</v>
      </c>
      <c r="G6999">
        <v>0</v>
      </c>
    </row>
    <row r="7000" spans="2:7" x14ac:dyDescent="0.25">
      <c r="B7000" s="70">
        <v>43311</v>
      </c>
      <c r="C7000" t="s">
        <v>53</v>
      </c>
      <c r="D7000" t="s">
        <v>82</v>
      </c>
      <c r="E7000" t="s">
        <v>599</v>
      </c>
      <c r="F7000">
        <v>10</v>
      </c>
      <c r="G7000">
        <v>0</v>
      </c>
    </row>
    <row r="7001" spans="2:7" x14ac:dyDescent="0.25">
      <c r="B7001" s="70">
        <v>43311</v>
      </c>
      <c r="C7001" t="s">
        <v>24</v>
      </c>
      <c r="D7001" t="s">
        <v>79</v>
      </c>
      <c r="E7001" t="s">
        <v>599</v>
      </c>
      <c r="F7001">
        <v>24</v>
      </c>
      <c r="G7001">
        <v>0</v>
      </c>
    </row>
    <row r="7002" spans="2:7" x14ac:dyDescent="0.25">
      <c r="B7002" s="70">
        <v>43379</v>
      </c>
      <c r="C7002" t="s">
        <v>25</v>
      </c>
      <c r="D7002" t="s">
        <v>81</v>
      </c>
      <c r="E7002" t="s">
        <v>168</v>
      </c>
      <c r="F7002">
        <v>11.25</v>
      </c>
      <c r="G7002">
        <v>0</v>
      </c>
    </row>
    <row r="7003" spans="2:7" x14ac:dyDescent="0.25">
      <c r="B7003" s="70">
        <v>43423</v>
      </c>
      <c r="C7003" t="s">
        <v>25</v>
      </c>
      <c r="D7003" t="s">
        <v>79</v>
      </c>
      <c r="E7003" t="s">
        <v>600</v>
      </c>
      <c r="F7003">
        <v>8</v>
      </c>
      <c r="G7003">
        <v>0</v>
      </c>
    </row>
    <row r="7004" spans="2:7" x14ac:dyDescent="0.25">
      <c r="B7004" s="70">
        <v>43423</v>
      </c>
      <c r="C7004" t="s">
        <v>25</v>
      </c>
      <c r="D7004" t="s">
        <v>79</v>
      </c>
      <c r="E7004" t="s">
        <v>600</v>
      </c>
      <c r="F7004">
        <v>30</v>
      </c>
      <c r="G7004">
        <v>0</v>
      </c>
    </row>
    <row r="7005" spans="2:7" x14ac:dyDescent="0.25">
      <c r="B7005" s="70">
        <v>43423</v>
      </c>
      <c r="C7005" t="s">
        <v>25</v>
      </c>
      <c r="D7005" t="s">
        <v>80</v>
      </c>
      <c r="E7005" t="s">
        <v>600</v>
      </c>
      <c r="F7005">
        <v>43.32</v>
      </c>
      <c r="G7005">
        <v>0</v>
      </c>
    </row>
    <row r="7006" spans="2:7" x14ac:dyDescent="0.25">
      <c r="B7006" s="70">
        <v>43423</v>
      </c>
      <c r="C7006" t="s">
        <v>25</v>
      </c>
      <c r="D7006" t="s">
        <v>87</v>
      </c>
      <c r="E7006" t="s">
        <v>600</v>
      </c>
      <c r="F7006">
        <v>107.4</v>
      </c>
      <c r="G7006">
        <v>0</v>
      </c>
    </row>
    <row r="7007" spans="2:7" x14ac:dyDescent="0.25">
      <c r="B7007" s="70">
        <v>43423</v>
      </c>
      <c r="C7007" t="s">
        <v>25</v>
      </c>
      <c r="D7007" t="s">
        <v>87</v>
      </c>
      <c r="E7007" t="s">
        <v>600</v>
      </c>
      <c r="F7007">
        <v>55.87</v>
      </c>
      <c r="G7007">
        <v>0</v>
      </c>
    </row>
    <row r="7008" spans="2:7" x14ac:dyDescent="0.25">
      <c r="B7008" s="70">
        <v>43423</v>
      </c>
      <c r="C7008" t="s">
        <v>25</v>
      </c>
      <c r="D7008" t="s">
        <v>82</v>
      </c>
      <c r="E7008" t="s">
        <v>600</v>
      </c>
      <c r="F7008">
        <v>65</v>
      </c>
      <c r="G7008">
        <v>0</v>
      </c>
    </row>
    <row r="7009" spans="2:7" x14ac:dyDescent="0.25">
      <c r="B7009" s="70">
        <v>43423</v>
      </c>
      <c r="C7009" t="s">
        <v>56</v>
      </c>
      <c r="D7009" t="s">
        <v>82</v>
      </c>
      <c r="E7009" t="s">
        <v>600</v>
      </c>
      <c r="F7009">
        <v>42</v>
      </c>
      <c r="G7009">
        <v>0</v>
      </c>
    </row>
    <row r="7010" spans="2:7" x14ac:dyDescent="0.25">
      <c r="B7010" s="70">
        <v>43423</v>
      </c>
      <c r="C7010" t="s">
        <v>21</v>
      </c>
      <c r="D7010" t="s">
        <v>79</v>
      </c>
      <c r="E7010" t="s">
        <v>600</v>
      </c>
      <c r="F7010">
        <v>8</v>
      </c>
      <c r="G7010">
        <v>0</v>
      </c>
    </row>
    <row r="7011" spans="2:7" x14ac:dyDescent="0.25">
      <c r="B7011" s="70">
        <v>43423</v>
      </c>
      <c r="C7011" t="s">
        <v>21</v>
      </c>
      <c r="D7011" t="s">
        <v>79</v>
      </c>
      <c r="E7011" t="s">
        <v>600</v>
      </c>
      <c r="F7011">
        <v>16</v>
      </c>
      <c r="G7011">
        <v>0</v>
      </c>
    </row>
    <row r="7012" spans="2:7" x14ac:dyDescent="0.25">
      <c r="B7012" s="70">
        <v>43423</v>
      </c>
      <c r="C7012" t="s">
        <v>21</v>
      </c>
      <c r="D7012" t="s">
        <v>79</v>
      </c>
      <c r="E7012" t="s">
        <v>600</v>
      </c>
      <c r="F7012">
        <v>24</v>
      </c>
      <c r="G7012">
        <v>0</v>
      </c>
    </row>
    <row r="7013" spans="2:7" x14ac:dyDescent="0.25">
      <c r="B7013" s="70">
        <v>43423</v>
      </c>
      <c r="C7013" t="s">
        <v>21</v>
      </c>
      <c r="D7013" t="s">
        <v>79</v>
      </c>
      <c r="E7013" t="s">
        <v>600</v>
      </c>
      <c r="F7013">
        <v>40</v>
      </c>
      <c r="G7013">
        <v>0</v>
      </c>
    </row>
    <row r="7014" spans="2:7" x14ac:dyDescent="0.25">
      <c r="B7014" s="70">
        <v>43423</v>
      </c>
      <c r="C7014" t="s">
        <v>21</v>
      </c>
      <c r="D7014" t="s">
        <v>79</v>
      </c>
      <c r="E7014" t="s">
        <v>600</v>
      </c>
      <c r="F7014">
        <v>56</v>
      </c>
      <c r="G7014">
        <v>0</v>
      </c>
    </row>
    <row r="7015" spans="2:7" x14ac:dyDescent="0.25">
      <c r="B7015" s="70">
        <v>43423</v>
      </c>
      <c r="C7015" t="s">
        <v>21</v>
      </c>
      <c r="D7015" t="s">
        <v>79</v>
      </c>
      <c r="E7015" t="s">
        <v>600</v>
      </c>
      <c r="F7015">
        <v>112</v>
      </c>
      <c r="G7015">
        <v>0</v>
      </c>
    </row>
    <row r="7016" spans="2:7" x14ac:dyDescent="0.25">
      <c r="B7016" s="70">
        <v>43423</v>
      </c>
      <c r="C7016" t="s">
        <v>48</v>
      </c>
      <c r="D7016" t="s">
        <v>91</v>
      </c>
      <c r="E7016" t="s">
        <v>600</v>
      </c>
      <c r="F7016">
        <v>1618.93</v>
      </c>
      <c r="G7016">
        <v>0</v>
      </c>
    </row>
    <row r="7017" spans="2:7" x14ac:dyDescent="0.25">
      <c r="B7017" s="70">
        <v>43423</v>
      </c>
      <c r="C7017" t="s">
        <v>53</v>
      </c>
      <c r="D7017" t="s">
        <v>82</v>
      </c>
      <c r="E7017" t="s">
        <v>600</v>
      </c>
      <c r="F7017">
        <v>5</v>
      </c>
      <c r="G7017">
        <v>0</v>
      </c>
    </row>
    <row r="7018" spans="2:7" x14ac:dyDescent="0.25">
      <c r="B7018" s="70">
        <v>43423</v>
      </c>
      <c r="C7018" t="s">
        <v>24</v>
      </c>
      <c r="D7018" t="s">
        <v>79</v>
      </c>
      <c r="E7018" t="s">
        <v>600</v>
      </c>
      <c r="F7018">
        <v>8</v>
      </c>
      <c r="G7018">
        <v>0</v>
      </c>
    </row>
    <row r="7019" spans="2:7" x14ac:dyDescent="0.25">
      <c r="B7019" s="70">
        <v>43347</v>
      </c>
      <c r="C7019" t="s">
        <v>25</v>
      </c>
      <c r="D7019" t="s">
        <v>82</v>
      </c>
      <c r="E7019" t="s">
        <v>601</v>
      </c>
      <c r="F7019">
        <v>286</v>
      </c>
      <c r="G7019">
        <v>0</v>
      </c>
    </row>
    <row r="7020" spans="2:7" x14ac:dyDescent="0.25">
      <c r="B7020" s="70">
        <v>43347</v>
      </c>
      <c r="C7020" t="s">
        <v>48</v>
      </c>
      <c r="D7020" t="s">
        <v>84</v>
      </c>
      <c r="E7020" t="s">
        <v>601</v>
      </c>
      <c r="F7020">
        <v>150</v>
      </c>
      <c r="G7020">
        <v>0</v>
      </c>
    </row>
    <row r="7021" spans="2:7" x14ac:dyDescent="0.25">
      <c r="B7021" s="70">
        <v>43347</v>
      </c>
      <c r="C7021" t="s">
        <v>49</v>
      </c>
      <c r="D7021" t="s">
        <v>84</v>
      </c>
      <c r="E7021" t="s">
        <v>601</v>
      </c>
      <c r="F7021">
        <v>300</v>
      </c>
      <c r="G7021">
        <v>0</v>
      </c>
    </row>
    <row r="7022" spans="2:7" x14ac:dyDescent="0.25">
      <c r="B7022" s="70">
        <v>43347</v>
      </c>
      <c r="C7022" t="s">
        <v>50</v>
      </c>
      <c r="D7022" t="s">
        <v>84</v>
      </c>
      <c r="E7022" t="s">
        <v>601</v>
      </c>
      <c r="F7022">
        <v>2400</v>
      </c>
      <c r="G7022">
        <v>0</v>
      </c>
    </row>
    <row r="7023" spans="2:7" x14ac:dyDescent="0.25">
      <c r="B7023" s="70">
        <v>43347</v>
      </c>
      <c r="C7023" t="s">
        <v>58</v>
      </c>
      <c r="D7023" t="s">
        <v>82</v>
      </c>
      <c r="E7023" t="s">
        <v>601</v>
      </c>
      <c r="F7023">
        <v>49.6</v>
      </c>
      <c r="G7023">
        <v>0</v>
      </c>
    </row>
    <row r="7024" spans="2:7" x14ac:dyDescent="0.25">
      <c r="B7024" s="70">
        <v>43347</v>
      </c>
      <c r="C7024" t="s">
        <v>58</v>
      </c>
      <c r="D7024" t="s">
        <v>84</v>
      </c>
      <c r="E7024" t="s">
        <v>601</v>
      </c>
      <c r="F7024">
        <v>2166</v>
      </c>
      <c r="G7024">
        <v>0</v>
      </c>
    </row>
    <row r="7025" spans="2:7" x14ac:dyDescent="0.25">
      <c r="B7025" s="70">
        <v>43425</v>
      </c>
      <c r="C7025" t="s">
        <v>25</v>
      </c>
      <c r="D7025" t="s">
        <v>81</v>
      </c>
      <c r="E7025" t="s">
        <v>191</v>
      </c>
      <c r="F7025">
        <v>22</v>
      </c>
      <c r="G7025">
        <v>0</v>
      </c>
    </row>
    <row r="7026" spans="2:7" x14ac:dyDescent="0.25">
      <c r="B7026" s="70">
        <v>43425</v>
      </c>
      <c r="C7026" t="s">
        <v>25</v>
      </c>
      <c r="D7026" t="s">
        <v>81</v>
      </c>
      <c r="E7026" t="s">
        <v>241</v>
      </c>
      <c r="F7026">
        <v>4.75</v>
      </c>
      <c r="G7026">
        <v>0</v>
      </c>
    </row>
    <row r="7027" spans="2:7" x14ac:dyDescent="0.25">
      <c r="B7027" s="70">
        <v>43425</v>
      </c>
      <c r="C7027" t="s">
        <v>47</v>
      </c>
      <c r="D7027" t="s">
        <v>80</v>
      </c>
      <c r="E7027" t="s">
        <v>602</v>
      </c>
      <c r="F7027">
        <v>374.62</v>
      </c>
      <c r="G7027">
        <v>0</v>
      </c>
    </row>
    <row r="7028" spans="2:7" x14ac:dyDescent="0.25">
      <c r="B7028" s="70">
        <v>43425</v>
      </c>
      <c r="C7028" t="s">
        <v>47</v>
      </c>
      <c r="D7028" t="s">
        <v>86</v>
      </c>
      <c r="E7028" t="s">
        <v>602</v>
      </c>
      <c r="F7028">
        <v>33</v>
      </c>
      <c r="G7028">
        <v>0</v>
      </c>
    </row>
    <row r="7029" spans="2:7" x14ac:dyDescent="0.25">
      <c r="B7029" s="70">
        <v>43425</v>
      </c>
      <c r="C7029" t="s">
        <v>47</v>
      </c>
      <c r="D7029" t="s">
        <v>82</v>
      </c>
      <c r="E7029" t="s">
        <v>602</v>
      </c>
      <c r="F7029">
        <v>176</v>
      </c>
      <c r="G7029">
        <v>0</v>
      </c>
    </row>
    <row r="7030" spans="2:7" x14ac:dyDescent="0.25">
      <c r="B7030" s="70">
        <v>43425</v>
      </c>
      <c r="C7030" t="s">
        <v>21</v>
      </c>
      <c r="D7030" t="s">
        <v>79</v>
      </c>
      <c r="E7030" t="s">
        <v>602</v>
      </c>
      <c r="F7030">
        <v>8</v>
      </c>
      <c r="G7030">
        <v>0</v>
      </c>
    </row>
    <row r="7031" spans="2:7" x14ac:dyDescent="0.25">
      <c r="B7031" s="70">
        <v>43425</v>
      </c>
      <c r="C7031" t="s">
        <v>21</v>
      </c>
      <c r="D7031" t="s">
        <v>79</v>
      </c>
      <c r="E7031" t="s">
        <v>602</v>
      </c>
      <c r="F7031">
        <v>96</v>
      </c>
      <c r="G7031">
        <v>0</v>
      </c>
    </row>
    <row r="7032" spans="2:7" x14ac:dyDescent="0.25">
      <c r="B7032" s="70">
        <v>43425</v>
      </c>
      <c r="C7032" t="s">
        <v>48</v>
      </c>
      <c r="D7032" t="s">
        <v>82</v>
      </c>
      <c r="E7032" t="s">
        <v>602</v>
      </c>
      <c r="F7032">
        <v>60</v>
      </c>
      <c r="G7032">
        <v>0</v>
      </c>
    </row>
    <row r="7033" spans="2:7" x14ac:dyDescent="0.25">
      <c r="B7033" s="70">
        <v>43425</v>
      </c>
      <c r="C7033" t="s">
        <v>55</v>
      </c>
      <c r="D7033" t="s">
        <v>82</v>
      </c>
      <c r="E7033" t="s">
        <v>602</v>
      </c>
      <c r="F7033">
        <v>27.6</v>
      </c>
      <c r="G7033">
        <v>0</v>
      </c>
    </row>
    <row r="7034" spans="2:7" x14ac:dyDescent="0.25">
      <c r="B7034" s="70">
        <v>43425</v>
      </c>
      <c r="C7034" t="s">
        <v>50</v>
      </c>
      <c r="D7034" t="s">
        <v>82</v>
      </c>
      <c r="E7034" t="s">
        <v>602</v>
      </c>
      <c r="F7034">
        <v>80</v>
      </c>
      <c r="G7034">
        <v>0</v>
      </c>
    </row>
    <row r="7035" spans="2:7" x14ac:dyDescent="0.25">
      <c r="B7035" s="70">
        <v>43425</v>
      </c>
      <c r="C7035" t="s">
        <v>65</v>
      </c>
      <c r="D7035" t="s">
        <v>91</v>
      </c>
      <c r="E7035" t="s">
        <v>602</v>
      </c>
      <c r="F7035">
        <v>203.77</v>
      </c>
      <c r="G7035">
        <v>0</v>
      </c>
    </row>
    <row r="7036" spans="2:7" x14ac:dyDescent="0.25">
      <c r="B7036" s="70">
        <v>43425</v>
      </c>
      <c r="C7036" t="s">
        <v>60</v>
      </c>
      <c r="D7036" t="s">
        <v>82</v>
      </c>
      <c r="E7036" t="s">
        <v>602</v>
      </c>
      <c r="F7036">
        <v>12.6</v>
      </c>
      <c r="G7036">
        <v>0</v>
      </c>
    </row>
    <row r="7037" spans="2:7" x14ac:dyDescent="0.25">
      <c r="B7037" s="70">
        <v>43397</v>
      </c>
      <c r="C7037" t="s">
        <v>25</v>
      </c>
      <c r="D7037" t="s">
        <v>80</v>
      </c>
      <c r="E7037" t="s">
        <v>603</v>
      </c>
      <c r="F7037">
        <v>14.65</v>
      </c>
      <c r="G7037">
        <v>0</v>
      </c>
    </row>
    <row r="7038" spans="2:7" x14ac:dyDescent="0.25">
      <c r="B7038" s="70">
        <v>43397</v>
      </c>
      <c r="C7038" t="s">
        <v>25</v>
      </c>
      <c r="D7038" t="s">
        <v>87</v>
      </c>
      <c r="E7038" t="s">
        <v>603</v>
      </c>
      <c r="F7038">
        <v>47.09</v>
      </c>
      <c r="G7038">
        <v>0</v>
      </c>
    </row>
    <row r="7039" spans="2:7" x14ac:dyDescent="0.25">
      <c r="B7039" s="70">
        <v>43397</v>
      </c>
      <c r="C7039" t="s">
        <v>25</v>
      </c>
      <c r="D7039" t="s">
        <v>81</v>
      </c>
      <c r="E7039" t="s">
        <v>241</v>
      </c>
      <c r="F7039">
        <v>6.3</v>
      </c>
      <c r="G7039">
        <v>0</v>
      </c>
    </row>
    <row r="7040" spans="2:7" x14ac:dyDescent="0.25">
      <c r="B7040" s="70">
        <v>43397</v>
      </c>
      <c r="C7040" t="s">
        <v>54</v>
      </c>
      <c r="D7040" t="s">
        <v>79</v>
      </c>
      <c r="E7040" t="s">
        <v>603</v>
      </c>
      <c r="F7040">
        <v>312.82</v>
      </c>
      <c r="G7040">
        <v>0</v>
      </c>
    </row>
    <row r="7041" spans="2:7" x14ac:dyDescent="0.25">
      <c r="B7041" s="70">
        <v>43397</v>
      </c>
      <c r="C7041" t="s">
        <v>54</v>
      </c>
      <c r="D7041" t="s">
        <v>85</v>
      </c>
      <c r="E7041" t="s">
        <v>603</v>
      </c>
      <c r="F7041">
        <v>25</v>
      </c>
      <c r="G7041">
        <v>0</v>
      </c>
    </row>
    <row r="7042" spans="2:7" x14ac:dyDescent="0.25">
      <c r="B7042" s="70">
        <v>43397</v>
      </c>
      <c r="C7042" t="s">
        <v>46</v>
      </c>
      <c r="D7042" t="s">
        <v>85</v>
      </c>
      <c r="E7042" t="s">
        <v>603</v>
      </c>
      <c r="F7042">
        <v>25.95</v>
      </c>
      <c r="G7042">
        <v>0</v>
      </c>
    </row>
    <row r="7043" spans="2:7" x14ac:dyDescent="0.25">
      <c r="B7043" s="70">
        <v>43397</v>
      </c>
      <c r="C7043" t="s">
        <v>46</v>
      </c>
      <c r="D7043" t="s">
        <v>82</v>
      </c>
      <c r="E7043" t="s">
        <v>603</v>
      </c>
      <c r="F7043">
        <v>17</v>
      </c>
      <c r="G7043">
        <v>0</v>
      </c>
    </row>
    <row r="7044" spans="2:7" x14ac:dyDescent="0.25">
      <c r="B7044" s="70">
        <v>43397</v>
      </c>
      <c r="C7044" t="s">
        <v>21</v>
      </c>
      <c r="D7044" t="s">
        <v>79</v>
      </c>
      <c r="E7044" t="s">
        <v>603</v>
      </c>
      <c r="F7044">
        <v>8</v>
      </c>
      <c r="G7044">
        <v>0</v>
      </c>
    </row>
    <row r="7045" spans="2:7" x14ac:dyDescent="0.25">
      <c r="B7045" s="70">
        <v>43397</v>
      </c>
      <c r="C7045" t="s">
        <v>21</v>
      </c>
      <c r="D7045" t="s">
        <v>79</v>
      </c>
      <c r="E7045" t="s">
        <v>603</v>
      </c>
      <c r="F7045">
        <v>16</v>
      </c>
      <c r="G7045">
        <v>0</v>
      </c>
    </row>
    <row r="7046" spans="2:7" x14ac:dyDescent="0.25">
      <c r="B7046" s="70">
        <v>43397</v>
      </c>
      <c r="C7046" t="s">
        <v>21</v>
      </c>
      <c r="D7046" t="s">
        <v>79</v>
      </c>
      <c r="E7046" t="s">
        <v>603</v>
      </c>
      <c r="F7046">
        <v>32</v>
      </c>
      <c r="G7046">
        <v>0</v>
      </c>
    </row>
    <row r="7047" spans="2:7" x14ac:dyDescent="0.25">
      <c r="B7047" s="70">
        <v>43397</v>
      </c>
      <c r="C7047" t="s">
        <v>78</v>
      </c>
      <c r="D7047" t="s">
        <v>79</v>
      </c>
      <c r="E7047" t="s">
        <v>603</v>
      </c>
      <c r="F7047">
        <v>25.28</v>
      </c>
      <c r="G7047">
        <v>0</v>
      </c>
    </row>
    <row r="7048" spans="2:7" x14ac:dyDescent="0.25">
      <c r="B7048" s="70">
        <v>43397</v>
      </c>
      <c r="C7048" t="s">
        <v>48</v>
      </c>
      <c r="D7048" t="s">
        <v>79</v>
      </c>
      <c r="E7048" t="s">
        <v>603</v>
      </c>
      <c r="F7048">
        <v>16</v>
      </c>
      <c r="G7048">
        <v>0</v>
      </c>
    </row>
    <row r="7049" spans="2:7" x14ac:dyDescent="0.25">
      <c r="B7049" s="70">
        <v>43397</v>
      </c>
      <c r="C7049" t="s">
        <v>64</v>
      </c>
      <c r="D7049" t="s">
        <v>79</v>
      </c>
      <c r="E7049" t="s">
        <v>603</v>
      </c>
      <c r="F7049">
        <v>10</v>
      </c>
      <c r="G7049">
        <v>0</v>
      </c>
    </row>
    <row r="7050" spans="2:7" x14ac:dyDescent="0.25">
      <c r="B7050" s="70">
        <v>43397</v>
      </c>
      <c r="C7050" t="s">
        <v>50</v>
      </c>
      <c r="D7050" t="s">
        <v>82</v>
      </c>
      <c r="E7050" t="s">
        <v>603</v>
      </c>
      <c r="F7050">
        <v>49</v>
      </c>
      <c r="G7050">
        <v>0</v>
      </c>
    </row>
    <row r="7051" spans="2:7" x14ac:dyDescent="0.25">
      <c r="B7051" s="70">
        <v>43397</v>
      </c>
      <c r="C7051" t="s">
        <v>65</v>
      </c>
      <c r="D7051" t="s">
        <v>83</v>
      </c>
      <c r="E7051" t="s">
        <v>603</v>
      </c>
      <c r="F7051">
        <v>1254.5</v>
      </c>
      <c r="G7051">
        <v>0</v>
      </c>
    </row>
    <row r="7052" spans="2:7" x14ac:dyDescent="0.25">
      <c r="B7052" s="70">
        <v>43397</v>
      </c>
      <c r="C7052" t="s">
        <v>24</v>
      </c>
      <c r="D7052" t="s">
        <v>79</v>
      </c>
      <c r="E7052" t="s">
        <v>603</v>
      </c>
      <c r="F7052">
        <v>8</v>
      </c>
      <c r="G7052">
        <v>0</v>
      </c>
    </row>
    <row r="7053" spans="2:7" x14ac:dyDescent="0.25">
      <c r="B7053" s="70">
        <v>43397</v>
      </c>
      <c r="C7053" t="s">
        <v>24</v>
      </c>
      <c r="D7053" t="s">
        <v>82</v>
      </c>
      <c r="E7053" t="s">
        <v>603</v>
      </c>
      <c r="F7053">
        <v>10.8</v>
      </c>
      <c r="G7053">
        <v>0</v>
      </c>
    </row>
    <row r="7054" spans="2:7" x14ac:dyDescent="0.25">
      <c r="B7054" s="70">
        <v>43263</v>
      </c>
      <c r="C7054" t="s">
        <v>25</v>
      </c>
      <c r="D7054" t="s">
        <v>81</v>
      </c>
      <c r="E7054" t="s">
        <v>144</v>
      </c>
      <c r="F7054">
        <v>16.649999999999999</v>
      </c>
      <c r="G7054">
        <v>0</v>
      </c>
    </row>
    <row r="7055" spans="2:7" x14ac:dyDescent="0.25">
      <c r="B7055" s="70">
        <v>43263</v>
      </c>
      <c r="C7055" t="s">
        <v>25</v>
      </c>
      <c r="D7055" t="s">
        <v>81</v>
      </c>
      <c r="E7055" t="s">
        <v>241</v>
      </c>
      <c r="F7055">
        <v>3.15</v>
      </c>
      <c r="G7055">
        <v>0</v>
      </c>
    </row>
    <row r="7056" spans="2:7" x14ac:dyDescent="0.25">
      <c r="B7056" s="70">
        <v>43263</v>
      </c>
      <c r="C7056" t="s">
        <v>46</v>
      </c>
      <c r="D7056" t="s">
        <v>82</v>
      </c>
      <c r="E7056" t="s">
        <v>604</v>
      </c>
      <c r="F7056">
        <v>22</v>
      </c>
      <c r="G7056">
        <v>0</v>
      </c>
    </row>
    <row r="7057" spans="2:7" x14ac:dyDescent="0.25">
      <c r="B7057" s="70">
        <v>43271</v>
      </c>
      <c r="C7057" t="s">
        <v>25</v>
      </c>
      <c r="D7057" t="s">
        <v>79</v>
      </c>
      <c r="E7057" t="s">
        <v>605</v>
      </c>
      <c r="F7057">
        <v>8</v>
      </c>
      <c r="G7057">
        <v>0</v>
      </c>
    </row>
    <row r="7058" spans="2:7" x14ac:dyDescent="0.25">
      <c r="B7058" s="70">
        <v>43271</v>
      </c>
      <c r="C7058" t="s">
        <v>25</v>
      </c>
      <c r="D7058" t="s">
        <v>79</v>
      </c>
      <c r="E7058" t="s">
        <v>605</v>
      </c>
      <c r="F7058">
        <v>24.42</v>
      </c>
      <c r="G7058">
        <v>0</v>
      </c>
    </row>
    <row r="7059" spans="2:7" x14ac:dyDescent="0.25">
      <c r="B7059" s="70">
        <v>43271</v>
      </c>
      <c r="C7059" t="s">
        <v>25</v>
      </c>
      <c r="D7059" t="s">
        <v>80</v>
      </c>
      <c r="E7059" t="s">
        <v>605</v>
      </c>
      <c r="F7059">
        <v>113.93</v>
      </c>
      <c r="G7059">
        <v>0</v>
      </c>
    </row>
    <row r="7060" spans="2:7" x14ac:dyDescent="0.25">
      <c r="B7060" s="70">
        <v>43271</v>
      </c>
      <c r="C7060" t="s">
        <v>25</v>
      </c>
      <c r="D7060" t="s">
        <v>80</v>
      </c>
      <c r="E7060" t="s">
        <v>605</v>
      </c>
      <c r="F7060">
        <v>35.36</v>
      </c>
      <c r="G7060">
        <v>0</v>
      </c>
    </row>
    <row r="7061" spans="2:7" x14ac:dyDescent="0.25">
      <c r="B7061" s="70">
        <v>43271</v>
      </c>
      <c r="C7061" t="s">
        <v>25</v>
      </c>
      <c r="D7061" t="s">
        <v>87</v>
      </c>
      <c r="E7061" t="s">
        <v>605</v>
      </c>
      <c r="F7061">
        <v>18</v>
      </c>
      <c r="G7061">
        <v>0</v>
      </c>
    </row>
    <row r="7062" spans="2:7" x14ac:dyDescent="0.25">
      <c r="B7062" s="70">
        <v>43271</v>
      </c>
      <c r="C7062" t="s">
        <v>25</v>
      </c>
      <c r="D7062" t="s">
        <v>87</v>
      </c>
      <c r="E7062" t="s">
        <v>605</v>
      </c>
      <c r="F7062">
        <v>42.13</v>
      </c>
      <c r="G7062">
        <v>0</v>
      </c>
    </row>
    <row r="7063" spans="2:7" x14ac:dyDescent="0.25">
      <c r="B7063" s="70">
        <v>43271</v>
      </c>
      <c r="C7063" t="s">
        <v>25</v>
      </c>
      <c r="D7063" t="s">
        <v>87</v>
      </c>
      <c r="E7063" t="s">
        <v>605</v>
      </c>
      <c r="F7063">
        <v>211</v>
      </c>
      <c r="G7063">
        <v>0</v>
      </c>
    </row>
    <row r="7064" spans="2:7" x14ac:dyDescent="0.25">
      <c r="B7064" s="70">
        <v>43271</v>
      </c>
      <c r="C7064" t="s">
        <v>25</v>
      </c>
      <c r="D7064" t="s">
        <v>87</v>
      </c>
      <c r="E7064" t="s">
        <v>605</v>
      </c>
      <c r="F7064">
        <v>86.74</v>
      </c>
      <c r="G7064">
        <v>0</v>
      </c>
    </row>
    <row r="7065" spans="2:7" x14ac:dyDescent="0.25">
      <c r="B7065" s="70">
        <v>43271</v>
      </c>
      <c r="C7065" t="s">
        <v>25</v>
      </c>
      <c r="D7065" t="s">
        <v>87</v>
      </c>
      <c r="E7065" t="s">
        <v>605</v>
      </c>
      <c r="F7065">
        <v>86.92</v>
      </c>
      <c r="G7065">
        <v>0</v>
      </c>
    </row>
    <row r="7066" spans="2:7" x14ac:dyDescent="0.25">
      <c r="B7066" s="70">
        <v>43271</v>
      </c>
      <c r="C7066" t="s">
        <v>25</v>
      </c>
      <c r="D7066" t="s">
        <v>87</v>
      </c>
      <c r="E7066" t="s">
        <v>605</v>
      </c>
      <c r="F7066">
        <v>102.84</v>
      </c>
      <c r="G7066">
        <v>0</v>
      </c>
    </row>
    <row r="7067" spans="2:7" x14ac:dyDescent="0.25">
      <c r="B7067" s="70">
        <v>43271</v>
      </c>
      <c r="C7067" t="s">
        <v>25</v>
      </c>
      <c r="D7067" t="s">
        <v>87</v>
      </c>
      <c r="E7067" t="s">
        <v>605</v>
      </c>
      <c r="F7067">
        <v>28.26</v>
      </c>
      <c r="G7067">
        <v>0</v>
      </c>
    </row>
    <row r="7068" spans="2:7" x14ac:dyDescent="0.25">
      <c r="B7068" s="70">
        <v>43271</v>
      </c>
      <c r="C7068" t="s">
        <v>25</v>
      </c>
      <c r="D7068" t="s">
        <v>87</v>
      </c>
      <c r="E7068" t="s">
        <v>605</v>
      </c>
      <c r="F7068">
        <v>45.94</v>
      </c>
      <c r="G7068">
        <v>0</v>
      </c>
    </row>
    <row r="7069" spans="2:7" x14ac:dyDescent="0.25">
      <c r="B7069" s="70">
        <v>43271</v>
      </c>
      <c r="C7069" t="s">
        <v>25</v>
      </c>
      <c r="D7069" t="s">
        <v>81</v>
      </c>
      <c r="E7069" t="s">
        <v>164</v>
      </c>
      <c r="F7069">
        <v>18</v>
      </c>
      <c r="G7069">
        <v>0</v>
      </c>
    </row>
    <row r="7070" spans="2:7" x14ac:dyDescent="0.25">
      <c r="B7070" s="70">
        <v>43271</v>
      </c>
      <c r="C7070" t="s">
        <v>46</v>
      </c>
      <c r="D7070" t="s">
        <v>85</v>
      </c>
      <c r="E7070" t="s">
        <v>605</v>
      </c>
      <c r="F7070">
        <v>37.29</v>
      </c>
      <c r="G7070">
        <v>0</v>
      </c>
    </row>
    <row r="7071" spans="2:7" x14ac:dyDescent="0.25">
      <c r="B7071" s="70">
        <v>43271</v>
      </c>
      <c r="C7071" t="s">
        <v>46</v>
      </c>
      <c r="D7071" t="s">
        <v>82</v>
      </c>
      <c r="E7071" t="s">
        <v>605</v>
      </c>
      <c r="F7071">
        <v>9.43</v>
      </c>
      <c r="G7071">
        <v>0</v>
      </c>
    </row>
    <row r="7072" spans="2:7" x14ac:dyDescent="0.25">
      <c r="B7072" s="70">
        <v>43271</v>
      </c>
      <c r="C7072" t="s">
        <v>47</v>
      </c>
      <c r="D7072" t="s">
        <v>80</v>
      </c>
      <c r="E7072" t="s">
        <v>605</v>
      </c>
      <c r="F7072">
        <v>324.01</v>
      </c>
      <c r="G7072">
        <v>0</v>
      </c>
    </row>
    <row r="7073" spans="2:7" x14ac:dyDescent="0.25">
      <c r="B7073" s="70">
        <v>43271</v>
      </c>
      <c r="C7073" t="s">
        <v>47</v>
      </c>
      <c r="D7073" t="s">
        <v>87</v>
      </c>
      <c r="E7073" t="s">
        <v>605</v>
      </c>
      <c r="F7073">
        <v>29.85</v>
      </c>
      <c r="G7073">
        <v>0</v>
      </c>
    </row>
    <row r="7074" spans="2:7" x14ac:dyDescent="0.25">
      <c r="B7074" s="70">
        <v>43271</v>
      </c>
      <c r="C7074" t="s">
        <v>47</v>
      </c>
      <c r="D7074" t="s">
        <v>86</v>
      </c>
      <c r="E7074" t="s">
        <v>605</v>
      </c>
      <c r="F7074">
        <v>255.81</v>
      </c>
      <c r="G7074">
        <v>0</v>
      </c>
    </row>
    <row r="7075" spans="2:7" x14ac:dyDescent="0.25">
      <c r="B7075" s="70">
        <v>43271</v>
      </c>
      <c r="C7075" t="s">
        <v>21</v>
      </c>
      <c r="D7075" t="s">
        <v>79</v>
      </c>
      <c r="E7075" t="s">
        <v>605</v>
      </c>
      <c r="F7075">
        <v>8</v>
      </c>
      <c r="G7075">
        <v>0</v>
      </c>
    </row>
    <row r="7076" spans="2:7" x14ac:dyDescent="0.25">
      <c r="B7076" s="70">
        <v>43271</v>
      </c>
      <c r="C7076" t="s">
        <v>21</v>
      </c>
      <c r="D7076" t="s">
        <v>79</v>
      </c>
      <c r="E7076" t="s">
        <v>605</v>
      </c>
      <c r="F7076">
        <v>16</v>
      </c>
      <c r="G7076">
        <v>0</v>
      </c>
    </row>
    <row r="7077" spans="2:7" x14ac:dyDescent="0.25">
      <c r="B7077" s="70">
        <v>43271</v>
      </c>
      <c r="C7077" t="s">
        <v>21</v>
      </c>
      <c r="D7077" t="s">
        <v>79</v>
      </c>
      <c r="E7077" t="s">
        <v>605</v>
      </c>
      <c r="F7077">
        <v>24</v>
      </c>
      <c r="G7077">
        <v>0</v>
      </c>
    </row>
    <row r="7078" spans="2:7" x14ac:dyDescent="0.25">
      <c r="B7078" s="70">
        <v>43271</v>
      </c>
      <c r="C7078" t="s">
        <v>21</v>
      </c>
      <c r="D7078" t="s">
        <v>79</v>
      </c>
      <c r="E7078" t="s">
        <v>605</v>
      </c>
      <c r="F7078">
        <v>32</v>
      </c>
      <c r="G7078">
        <v>0</v>
      </c>
    </row>
    <row r="7079" spans="2:7" x14ac:dyDescent="0.25">
      <c r="B7079" s="70">
        <v>43271</v>
      </c>
      <c r="C7079" t="s">
        <v>21</v>
      </c>
      <c r="D7079" t="s">
        <v>79</v>
      </c>
      <c r="E7079" t="s">
        <v>605</v>
      </c>
      <c r="F7079">
        <v>40</v>
      </c>
      <c r="G7079">
        <v>0</v>
      </c>
    </row>
    <row r="7080" spans="2:7" x14ac:dyDescent="0.25">
      <c r="B7080" s="70">
        <v>43271</v>
      </c>
      <c r="C7080" t="s">
        <v>21</v>
      </c>
      <c r="D7080" t="s">
        <v>79</v>
      </c>
      <c r="E7080" t="s">
        <v>605</v>
      </c>
      <c r="F7080">
        <v>48</v>
      </c>
      <c r="G7080">
        <v>0</v>
      </c>
    </row>
    <row r="7081" spans="2:7" x14ac:dyDescent="0.25">
      <c r="B7081" s="70">
        <v>43271</v>
      </c>
      <c r="C7081" t="s">
        <v>21</v>
      </c>
      <c r="D7081" t="s">
        <v>79</v>
      </c>
      <c r="E7081" t="s">
        <v>605</v>
      </c>
      <c r="F7081">
        <v>56</v>
      </c>
      <c r="G7081">
        <v>0</v>
      </c>
    </row>
    <row r="7082" spans="2:7" x14ac:dyDescent="0.25">
      <c r="B7082" s="70">
        <v>43271</v>
      </c>
      <c r="C7082" t="s">
        <v>21</v>
      </c>
      <c r="D7082" t="s">
        <v>79</v>
      </c>
      <c r="E7082" t="s">
        <v>605</v>
      </c>
      <c r="F7082">
        <v>72</v>
      </c>
      <c r="G7082">
        <v>0</v>
      </c>
    </row>
    <row r="7083" spans="2:7" x14ac:dyDescent="0.25">
      <c r="B7083" s="70">
        <v>43271</v>
      </c>
      <c r="C7083" t="s">
        <v>50</v>
      </c>
      <c r="D7083" t="s">
        <v>85</v>
      </c>
      <c r="E7083" t="s">
        <v>605</v>
      </c>
      <c r="F7083">
        <v>30.53</v>
      </c>
      <c r="G7083">
        <v>0</v>
      </c>
    </row>
    <row r="7084" spans="2:7" x14ac:dyDescent="0.25">
      <c r="B7084" s="70">
        <v>43271</v>
      </c>
      <c r="C7084" t="s">
        <v>50</v>
      </c>
      <c r="D7084" t="s">
        <v>80</v>
      </c>
      <c r="E7084" t="s">
        <v>605</v>
      </c>
      <c r="F7084">
        <v>38.5</v>
      </c>
      <c r="G7084">
        <v>0</v>
      </c>
    </row>
    <row r="7085" spans="2:7" x14ac:dyDescent="0.25">
      <c r="B7085" s="70">
        <v>43271</v>
      </c>
      <c r="C7085" t="s">
        <v>50</v>
      </c>
      <c r="D7085" t="s">
        <v>91</v>
      </c>
      <c r="E7085" t="s">
        <v>605</v>
      </c>
      <c r="F7085">
        <v>25</v>
      </c>
      <c r="G7085">
        <v>0</v>
      </c>
    </row>
    <row r="7086" spans="2:7" x14ac:dyDescent="0.25">
      <c r="B7086" s="70">
        <v>43271</v>
      </c>
      <c r="C7086" t="s">
        <v>52</v>
      </c>
      <c r="D7086" t="s">
        <v>85</v>
      </c>
      <c r="E7086" t="s">
        <v>605</v>
      </c>
      <c r="F7086">
        <v>46.99</v>
      </c>
      <c r="G7086">
        <v>0</v>
      </c>
    </row>
    <row r="7087" spans="2:7" x14ac:dyDescent="0.25">
      <c r="B7087" s="70">
        <v>43271</v>
      </c>
      <c r="C7087" t="s">
        <v>52</v>
      </c>
      <c r="D7087" t="s">
        <v>82</v>
      </c>
      <c r="E7087" t="s">
        <v>605</v>
      </c>
      <c r="F7087">
        <v>7.99</v>
      </c>
      <c r="G7087">
        <v>0</v>
      </c>
    </row>
    <row r="7088" spans="2:7" x14ac:dyDescent="0.25">
      <c r="B7088" s="70">
        <v>43271</v>
      </c>
      <c r="C7088" t="s">
        <v>58</v>
      </c>
      <c r="D7088" t="s">
        <v>80</v>
      </c>
      <c r="E7088" t="s">
        <v>605</v>
      </c>
      <c r="F7088">
        <v>100.8</v>
      </c>
      <c r="G7088">
        <v>0</v>
      </c>
    </row>
    <row r="7089" spans="2:7" x14ac:dyDescent="0.25">
      <c r="B7089" s="70">
        <v>43271</v>
      </c>
      <c r="C7089" t="s">
        <v>63</v>
      </c>
      <c r="D7089" t="s">
        <v>80</v>
      </c>
      <c r="E7089" t="s">
        <v>605</v>
      </c>
      <c r="F7089">
        <v>23.75</v>
      </c>
      <c r="G7089">
        <v>0</v>
      </c>
    </row>
    <row r="7090" spans="2:7" x14ac:dyDescent="0.25">
      <c r="B7090" s="70">
        <v>43271</v>
      </c>
      <c r="C7090" t="s">
        <v>24</v>
      </c>
      <c r="D7090" t="s">
        <v>79</v>
      </c>
      <c r="E7090" t="s">
        <v>605</v>
      </c>
      <c r="F7090">
        <v>16</v>
      </c>
      <c r="G7090">
        <v>0</v>
      </c>
    </row>
    <row r="7091" spans="2:7" x14ac:dyDescent="0.25">
      <c r="B7091" s="70">
        <v>43271</v>
      </c>
      <c r="C7091" t="s">
        <v>60</v>
      </c>
      <c r="D7091" t="s">
        <v>79</v>
      </c>
      <c r="E7091" t="s">
        <v>605</v>
      </c>
      <c r="F7091">
        <v>14.24</v>
      </c>
      <c r="G7091">
        <v>0</v>
      </c>
    </row>
    <row r="7092" spans="2:7" x14ac:dyDescent="0.25">
      <c r="B7092" s="70">
        <v>43271</v>
      </c>
      <c r="C7092" t="s">
        <v>60</v>
      </c>
      <c r="D7092" t="s">
        <v>85</v>
      </c>
      <c r="E7092" t="s">
        <v>605</v>
      </c>
      <c r="F7092">
        <v>25</v>
      </c>
      <c r="G7092">
        <v>0</v>
      </c>
    </row>
    <row r="7093" spans="2:7" x14ac:dyDescent="0.25">
      <c r="B7093" s="70">
        <v>43271</v>
      </c>
      <c r="C7093" t="s">
        <v>60</v>
      </c>
      <c r="D7093" t="s">
        <v>87</v>
      </c>
      <c r="E7093" t="s">
        <v>605</v>
      </c>
      <c r="F7093">
        <v>135.55000000000001</v>
      </c>
      <c r="G7093">
        <v>0</v>
      </c>
    </row>
    <row r="7094" spans="2:7" x14ac:dyDescent="0.25">
      <c r="B7094" s="70">
        <v>43412</v>
      </c>
      <c r="C7094" t="s">
        <v>25</v>
      </c>
      <c r="D7094" t="s">
        <v>80</v>
      </c>
      <c r="E7094" t="s">
        <v>606</v>
      </c>
      <c r="F7094">
        <v>21.2</v>
      </c>
      <c r="G7094">
        <v>0</v>
      </c>
    </row>
    <row r="7095" spans="2:7" x14ac:dyDescent="0.25">
      <c r="B7095" s="70">
        <v>43412</v>
      </c>
      <c r="C7095" t="s">
        <v>25</v>
      </c>
      <c r="D7095" t="s">
        <v>80</v>
      </c>
      <c r="E7095" t="s">
        <v>606</v>
      </c>
      <c r="F7095">
        <v>27.85</v>
      </c>
      <c r="G7095">
        <v>0</v>
      </c>
    </row>
    <row r="7096" spans="2:7" x14ac:dyDescent="0.25">
      <c r="B7096" s="70">
        <v>43412</v>
      </c>
      <c r="C7096" t="s">
        <v>25</v>
      </c>
      <c r="D7096" t="s">
        <v>80</v>
      </c>
      <c r="E7096" t="s">
        <v>606</v>
      </c>
      <c r="F7096">
        <v>97.25</v>
      </c>
      <c r="G7096">
        <v>0</v>
      </c>
    </row>
    <row r="7097" spans="2:7" x14ac:dyDescent="0.25">
      <c r="B7097" s="70">
        <v>43412</v>
      </c>
      <c r="C7097" t="s">
        <v>25</v>
      </c>
      <c r="D7097" t="s">
        <v>80</v>
      </c>
      <c r="E7097" t="s">
        <v>606</v>
      </c>
      <c r="F7097">
        <v>47.54</v>
      </c>
      <c r="G7097">
        <v>0</v>
      </c>
    </row>
    <row r="7098" spans="2:7" x14ac:dyDescent="0.25">
      <c r="B7098" s="70">
        <v>43412</v>
      </c>
      <c r="C7098" t="s">
        <v>25</v>
      </c>
      <c r="D7098" t="s">
        <v>87</v>
      </c>
      <c r="E7098" t="s">
        <v>606</v>
      </c>
      <c r="F7098">
        <v>34.24</v>
      </c>
      <c r="G7098">
        <v>0</v>
      </c>
    </row>
    <row r="7099" spans="2:7" x14ac:dyDescent="0.25">
      <c r="B7099" s="70">
        <v>43412</v>
      </c>
      <c r="C7099" t="s">
        <v>25</v>
      </c>
      <c r="D7099" t="s">
        <v>87</v>
      </c>
      <c r="E7099" t="s">
        <v>606</v>
      </c>
      <c r="F7099">
        <v>90</v>
      </c>
      <c r="G7099">
        <v>0</v>
      </c>
    </row>
    <row r="7100" spans="2:7" x14ac:dyDescent="0.25">
      <c r="B7100" s="70">
        <v>43412</v>
      </c>
      <c r="C7100" t="s">
        <v>25</v>
      </c>
      <c r="D7100" t="s">
        <v>87</v>
      </c>
      <c r="E7100" t="s">
        <v>606</v>
      </c>
      <c r="F7100">
        <v>47.35</v>
      </c>
      <c r="G7100">
        <v>0</v>
      </c>
    </row>
    <row r="7101" spans="2:7" x14ac:dyDescent="0.25">
      <c r="B7101" s="70">
        <v>43412</v>
      </c>
      <c r="C7101" t="s">
        <v>25</v>
      </c>
      <c r="D7101" t="s">
        <v>87</v>
      </c>
      <c r="E7101" t="s">
        <v>606</v>
      </c>
      <c r="F7101">
        <v>145.59</v>
      </c>
      <c r="G7101">
        <v>0</v>
      </c>
    </row>
    <row r="7102" spans="2:7" x14ac:dyDescent="0.25">
      <c r="B7102" s="70">
        <v>43412</v>
      </c>
      <c r="C7102" t="s">
        <v>25</v>
      </c>
      <c r="D7102" t="s">
        <v>87</v>
      </c>
      <c r="E7102" t="s">
        <v>606</v>
      </c>
      <c r="F7102">
        <v>88.95</v>
      </c>
      <c r="G7102">
        <v>0</v>
      </c>
    </row>
    <row r="7103" spans="2:7" x14ac:dyDescent="0.25">
      <c r="B7103" s="70">
        <v>43412</v>
      </c>
      <c r="C7103" t="s">
        <v>25</v>
      </c>
      <c r="D7103" t="s">
        <v>87</v>
      </c>
      <c r="E7103" t="s">
        <v>606</v>
      </c>
      <c r="F7103">
        <v>38.119999999999997</v>
      </c>
      <c r="G7103">
        <v>0</v>
      </c>
    </row>
    <row r="7104" spans="2:7" x14ac:dyDescent="0.25">
      <c r="B7104" s="70">
        <v>43412</v>
      </c>
      <c r="C7104" t="s">
        <v>25</v>
      </c>
      <c r="D7104" t="s">
        <v>87</v>
      </c>
      <c r="E7104" t="s">
        <v>606</v>
      </c>
      <c r="F7104">
        <v>37.700000000000003</v>
      </c>
      <c r="G7104">
        <v>0</v>
      </c>
    </row>
    <row r="7105" spans="2:7" x14ac:dyDescent="0.25">
      <c r="B7105" s="70">
        <v>43412</v>
      </c>
      <c r="C7105" t="s">
        <v>25</v>
      </c>
      <c r="D7105" t="s">
        <v>87</v>
      </c>
      <c r="E7105" t="s">
        <v>606</v>
      </c>
      <c r="F7105">
        <v>83.29</v>
      </c>
      <c r="G7105">
        <v>0</v>
      </c>
    </row>
    <row r="7106" spans="2:7" x14ac:dyDescent="0.25">
      <c r="B7106" s="70">
        <v>43412</v>
      </c>
      <c r="C7106" t="s">
        <v>25</v>
      </c>
      <c r="D7106" t="s">
        <v>87</v>
      </c>
      <c r="E7106" t="s">
        <v>606</v>
      </c>
      <c r="F7106">
        <v>92.24</v>
      </c>
      <c r="G7106">
        <v>0</v>
      </c>
    </row>
    <row r="7107" spans="2:7" x14ac:dyDescent="0.25">
      <c r="B7107" s="70">
        <v>43412</v>
      </c>
      <c r="C7107" t="s">
        <v>25</v>
      </c>
      <c r="D7107" t="s">
        <v>86</v>
      </c>
      <c r="E7107" t="s">
        <v>606</v>
      </c>
      <c r="F7107">
        <v>0</v>
      </c>
      <c r="G7107">
        <v>96</v>
      </c>
    </row>
    <row r="7108" spans="2:7" x14ac:dyDescent="0.25">
      <c r="B7108" s="70">
        <v>43412</v>
      </c>
      <c r="C7108" t="s">
        <v>25</v>
      </c>
      <c r="D7108" t="s">
        <v>81</v>
      </c>
      <c r="E7108" t="s">
        <v>132</v>
      </c>
      <c r="F7108">
        <v>1.8</v>
      </c>
      <c r="G7108">
        <v>0</v>
      </c>
    </row>
    <row r="7109" spans="2:7" x14ac:dyDescent="0.25">
      <c r="B7109" s="70">
        <v>43412</v>
      </c>
      <c r="C7109" t="s">
        <v>25</v>
      </c>
      <c r="D7109" t="s">
        <v>81</v>
      </c>
      <c r="E7109" t="s">
        <v>199</v>
      </c>
      <c r="F7109">
        <v>8.6999999999999993</v>
      </c>
      <c r="G7109">
        <v>0</v>
      </c>
    </row>
    <row r="7110" spans="2:7" x14ac:dyDescent="0.25">
      <c r="B7110" s="70">
        <v>43412</v>
      </c>
      <c r="C7110" t="s">
        <v>25</v>
      </c>
      <c r="D7110" t="s">
        <v>81</v>
      </c>
      <c r="E7110" t="s">
        <v>155</v>
      </c>
      <c r="F7110">
        <v>1.8</v>
      </c>
      <c r="G7110">
        <v>0</v>
      </c>
    </row>
    <row r="7111" spans="2:7" x14ac:dyDescent="0.25">
      <c r="B7111" s="70">
        <v>43412</v>
      </c>
      <c r="C7111" t="s">
        <v>21</v>
      </c>
      <c r="D7111" t="s">
        <v>79</v>
      </c>
      <c r="E7111" t="s">
        <v>606</v>
      </c>
      <c r="F7111">
        <v>24</v>
      </c>
      <c r="G7111">
        <v>0</v>
      </c>
    </row>
    <row r="7112" spans="2:7" x14ac:dyDescent="0.25">
      <c r="B7112" s="70">
        <v>43412</v>
      </c>
      <c r="C7112" t="s">
        <v>21</v>
      </c>
      <c r="D7112" t="s">
        <v>79</v>
      </c>
      <c r="E7112" t="s">
        <v>606</v>
      </c>
      <c r="F7112">
        <v>32</v>
      </c>
      <c r="G7112">
        <v>0</v>
      </c>
    </row>
    <row r="7113" spans="2:7" x14ac:dyDescent="0.25">
      <c r="B7113" s="70">
        <v>43412</v>
      </c>
      <c r="C7113" t="s">
        <v>21</v>
      </c>
      <c r="D7113" t="s">
        <v>79</v>
      </c>
      <c r="E7113" t="s">
        <v>606</v>
      </c>
      <c r="F7113">
        <v>88</v>
      </c>
      <c r="G7113">
        <v>0</v>
      </c>
    </row>
    <row r="7114" spans="2:7" x14ac:dyDescent="0.25">
      <c r="B7114" s="70">
        <v>43412</v>
      </c>
      <c r="C7114" t="s">
        <v>48</v>
      </c>
      <c r="D7114" t="s">
        <v>87</v>
      </c>
      <c r="E7114" t="s">
        <v>606</v>
      </c>
      <c r="F7114">
        <v>27.5</v>
      </c>
      <c r="G7114">
        <v>0</v>
      </c>
    </row>
    <row r="7115" spans="2:7" x14ac:dyDescent="0.25">
      <c r="B7115" s="70">
        <v>43412</v>
      </c>
      <c r="C7115" t="s">
        <v>48</v>
      </c>
      <c r="D7115" t="s">
        <v>86</v>
      </c>
      <c r="E7115" t="s">
        <v>606</v>
      </c>
      <c r="F7115">
        <v>0</v>
      </c>
      <c r="G7115">
        <v>287</v>
      </c>
    </row>
    <row r="7116" spans="2:7" x14ac:dyDescent="0.25">
      <c r="B7116" s="70">
        <v>43412</v>
      </c>
      <c r="C7116" t="s">
        <v>48</v>
      </c>
      <c r="D7116" t="s">
        <v>84</v>
      </c>
      <c r="E7116" t="s">
        <v>606</v>
      </c>
      <c r="F7116">
        <v>342.04</v>
      </c>
      <c r="G7116">
        <v>0</v>
      </c>
    </row>
    <row r="7117" spans="2:7" x14ac:dyDescent="0.25">
      <c r="B7117" s="70">
        <v>43412</v>
      </c>
      <c r="C7117" t="s">
        <v>45</v>
      </c>
      <c r="D7117" t="s">
        <v>79</v>
      </c>
      <c r="E7117" t="s">
        <v>606</v>
      </c>
      <c r="F7117">
        <v>341.81</v>
      </c>
      <c r="G7117">
        <v>0</v>
      </c>
    </row>
    <row r="7118" spans="2:7" x14ac:dyDescent="0.25">
      <c r="B7118" s="70">
        <v>43412</v>
      </c>
      <c r="C7118" t="s">
        <v>50</v>
      </c>
      <c r="D7118" t="s">
        <v>83</v>
      </c>
      <c r="E7118" t="s">
        <v>606</v>
      </c>
      <c r="F7118">
        <v>25</v>
      </c>
      <c r="G7118">
        <v>0</v>
      </c>
    </row>
    <row r="7119" spans="2:7" x14ac:dyDescent="0.25">
      <c r="B7119" s="70">
        <v>43412</v>
      </c>
      <c r="C7119" t="s">
        <v>60</v>
      </c>
      <c r="D7119" t="s">
        <v>91</v>
      </c>
      <c r="E7119" t="s">
        <v>606</v>
      </c>
      <c r="F7119">
        <v>56.49</v>
      </c>
      <c r="G7119">
        <v>0</v>
      </c>
    </row>
    <row r="7120" spans="2:7" x14ac:dyDescent="0.25">
      <c r="B7120" s="70">
        <v>43412</v>
      </c>
      <c r="C7120" t="s">
        <v>61</v>
      </c>
      <c r="D7120" t="s">
        <v>91</v>
      </c>
      <c r="E7120" t="s">
        <v>606</v>
      </c>
      <c r="F7120">
        <v>25</v>
      </c>
      <c r="G7120">
        <v>0</v>
      </c>
    </row>
    <row r="7121" spans="2:7" x14ac:dyDescent="0.25">
      <c r="B7121" s="70">
        <v>43284</v>
      </c>
      <c r="C7121" t="s">
        <v>25</v>
      </c>
      <c r="D7121" t="s">
        <v>81</v>
      </c>
      <c r="E7121" t="s">
        <v>137</v>
      </c>
      <c r="F7121">
        <v>19</v>
      </c>
      <c r="G7121">
        <v>0</v>
      </c>
    </row>
    <row r="7122" spans="2:7" x14ac:dyDescent="0.25">
      <c r="B7122" s="70">
        <v>43284</v>
      </c>
      <c r="C7122" t="s">
        <v>25</v>
      </c>
      <c r="D7122" t="s">
        <v>81</v>
      </c>
      <c r="E7122" t="s">
        <v>179</v>
      </c>
      <c r="F7122">
        <v>6.85</v>
      </c>
      <c r="G7122">
        <v>0</v>
      </c>
    </row>
    <row r="7123" spans="2:7" x14ac:dyDescent="0.25">
      <c r="B7123" s="70">
        <v>43284</v>
      </c>
      <c r="C7123" t="s">
        <v>46</v>
      </c>
      <c r="D7123" t="s">
        <v>79</v>
      </c>
      <c r="E7123" t="s">
        <v>607</v>
      </c>
      <c r="F7123">
        <v>51.31</v>
      </c>
      <c r="G7123">
        <v>0</v>
      </c>
    </row>
    <row r="7124" spans="2:7" x14ac:dyDescent="0.25">
      <c r="B7124" s="70">
        <v>43284</v>
      </c>
      <c r="C7124" t="s">
        <v>46</v>
      </c>
      <c r="D7124" t="s">
        <v>82</v>
      </c>
      <c r="E7124" t="s">
        <v>607</v>
      </c>
      <c r="F7124">
        <v>14.6</v>
      </c>
      <c r="G7124">
        <v>0</v>
      </c>
    </row>
    <row r="7125" spans="2:7" x14ac:dyDescent="0.25">
      <c r="B7125" s="70">
        <v>43284</v>
      </c>
      <c r="C7125" t="s">
        <v>56</v>
      </c>
      <c r="D7125" t="s">
        <v>82</v>
      </c>
      <c r="E7125" t="s">
        <v>607</v>
      </c>
      <c r="F7125">
        <v>107</v>
      </c>
      <c r="G7125">
        <v>0</v>
      </c>
    </row>
    <row r="7126" spans="2:7" x14ac:dyDescent="0.25">
      <c r="B7126" s="70">
        <v>43284</v>
      </c>
      <c r="C7126" t="s">
        <v>44</v>
      </c>
      <c r="D7126" t="s">
        <v>82</v>
      </c>
      <c r="E7126" t="s">
        <v>607</v>
      </c>
      <c r="F7126">
        <v>9.0500000000000007</v>
      </c>
      <c r="G7126">
        <v>0</v>
      </c>
    </row>
    <row r="7127" spans="2:7" x14ac:dyDescent="0.25">
      <c r="B7127" s="70">
        <v>43284</v>
      </c>
      <c r="C7127" t="s">
        <v>21</v>
      </c>
      <c r="D7127" t="s">
        <v>79</v>
      </c>
      <c r="E7127" t="s">
        <v>607</v>
      </c>
      <c r="F7127">
        <v>8</v>
      </c>
      <c r="G7127">
        <v>0</v>
      </c>
    </row>
    <row r="7128" spans="2:7" x14ac:dyDescent="0.25">
      <c r="B7128" s="70">
        <v>43284</v>
      </c>
      <c r="C7128" t="s">
        <v>21</v>
      </c>
      <c r="D7128" t="s">
        <v>79</v>
      </c>
      <c r="E7128" t="s">
        <v>607</v>
      </c>
      <c r="F7128">
        <v>16</v>
      </c>
      <c r="G7128">
        <v>0</v>
      </c>
    </row>
    <row r="7129" spans="2:7" x14ac:dyDescent="0.25">
      <c r="B7129" s="70">
        <v>43284</v>
      </c>
      <c r="C7129" t="s">
        <v>21</v>
      </c>
      <c r="D7129" t="s">
        <v>79</v>
      </c>
      <c r="E7129" t="s">
        <v>607</v>
      </c>
      <c r="F7129">
        <v>24</v>
      </c>
      <c r="G7129">
        <v>0</v>
      </c>
    </row>
    <row r="7130" spans="2:7" x14ac:dyDescent="0.25">
      <c r="B7130" s="70">
        <v>43284</v>
      </c>
      <c r="C7130" t="s">
        <v>21</v>
      </c>
      <c r="D7130" t="s">
        <v>79</v>
      </c>
      <c r="E7130" t="s">
        <v>607</v>
      </c>
      <c r="F7130">
        <v>32</v>
      </c>
      <c r="G7130">
        <v>0</v>
      </c>
    </row>
    <row r="7131" spans="2:7" x14ac:dyDescent="0.25">
      <c r="B7131" s="70">
        <v>43284</v>
      </c>
      <c r="C7131" t="s">
        <v>21</v>
      </c>
      <c r="D7131" t="s">
        <v>79</v>
      </c>
      <c r="E7131" t="s">
        <v>607</v>
      </c>
      <c r="F7131">
        <v>56</v>
      </c>
      <c r="G7131">
        <v>0</v>
      </c>
    </row>
    <row r="7132" spans="2:7" x14ac:dyDescent="0.25">
      <c r="B7132" s="70">
        <v>43284</v>
      </c>
      <c r="C7132" t="s">
        <v>48</v>
      </c>
      <c r="D7132" t="s">
        <v>84</v>
      </c>
      <c r="E7132" t="s">
        <v>607</v>
      </c>
      <c r="F7132">
        <v>150</v>
      </c>
      <c r="G7132">
        <v>0</v>
      </c>
    </row>
    <row r="7133" spans="2:7" x14ac:dyDescent="0.25">
      <c r="B7133" s="70">
        <v>43284</v>
      </c>
      <c r="C7133" t="s">
        <v>55</v>
      </c>
      <c r="D7133" t="s">
        <v>82</v>
      </c>
      <c r="E7133" t="s">
        <v>607</v>
      </c>
      <c r="F7133">
        <v>45.35</v>
      </c>
      <c r="G7133">
        <v>0</v>
      </c>
    </row>
    <row r="7134" spans="2:7" x14ac:dyDescent="0.25">
      <c r="B7134" s="70">
        <v>43284</v>
      </c>
      <c r="C7134" t="s">
        <v>49</v>
      </c>
      <c r="D7134" t="s">
        <v>84</v>
      </c>
      <c r="E7134" t="s">
        <v>607</v>
      </c>
      <c r="F7134">
        <v>300</v>
      </c>
      <c r="G7134">
        <v>0</v>
      </c>
    </row>
    <row r="7135" spans="2:7" x14ac:dyDescent="0.25">
      <c r="B7135" s="70">
        <v>43284</v>
      </c>
      <c r="C7135" t="s">
        <v>50</v>
      </c>
      <c r="D7135" t="s">
        <v>84</v>
      </c>
      <c r="E7135" t="s">
        <v>607</v>
      </c>
      <c r="F7135">
        <v>2700</v>
      </c>
      <c r="G7135">
        <v>0</v>
      </c>
    </row>
    <row r="7136" spans="2:7" x14ac:dyDescent="0.25">
      <c r="B7136" s="70">
        <v>43284</v>
      </c>
      <c r="C7136" t="s">
        <v>53</v>
      </c>
      <c r="D7136" t="s">
        <v>85</v>
      </c>
      <c r="E7136" t="s">
        <v>607</v>
      </c>
      <c r="F7136">
        <v>131.24</v>
      </c>
      <c r="G7136">
        <v>0</v>
      </c>
    </row>
    <row r="7137" spans="2:7" x14ac:dyDescent="0.25">
      <c r="B7137" s="70">
        <v>43284</v>
      </c>
      <c r="C7137" t="s">
        <v>24</v>
      </c>
      <c r="D7137" t="s">
        <v>79</v>
      </c>
      <c r="E7137" t="s">
        <v>607</v>
      </c>
      <c r="F7137">
        <v>16</v>
      </c>
      <c r="G7137">
        <v>0</v>
      </c>
    </row>
    <row r="7138" spans="2:7" x14ac:dyDescent="0.25">
      <c r="B7138" s="70">
        <v>43284</v>
      </c>
      <c r="C7138" t="s">
        <v>414</v>
      </c>
      <c r="D7138" t="s">
        <v>82</v>
      </c>
      <c r="E7138" t="s">
        <v>607</v>
      </c>
      <c r="F7138">
        <v>77.8</v>
      </c>
      <c r="G7138">
        <v>0</v>
      </c>
    </row>
    <row r="7139" spans="2:7" x14ac:dyDescent="0.25">
      <c r="B7139" s="70">
        <v>43305</v>
      </c>
      <c r="C7139" t="s">
        <v>25</v>
      </c>
      <c r="D7139" t="s">
        <v>87</v>
      </c>
      <c r="E7139" t="s">
        <v>608</v>
      </c>
      <c r="F7139">
        <v>10.92</v>
      </c>
      <c r="G7139">
        <v>0</v>
      </c>
    </row>
    <row r="7140" spans="2:7" x14ac:dyDescent="0.25">
      <c r="B7140" s="70">
        <v>43305</v>
      </c>
      <c r="C7140" t="s">
        <v>25</v>
      </c>
      <c r="D7140" t="s">
        <v>87</v>
      </c>
      <c r="E7140" t="s">
        <v>608</v>
      </c>
      <c r="F7140">
        <v>134.71</v>
      </c>
      <c r="G7140">
        <v>0</v>
      </c>
    </row>
    <row r="7141" spans="2:7" x14ac:dyDescent="0.25">
      <c r="B7141" s="70">
        <v>43305</v>
      </c>
      <c r="C7141" t="s">
        <v>25</v>
      </c>
      <c r="D7141" t="s">
        <v>81</v>
      </c>
      <c r="E7141" t="s">
        <v>144</v>
      </c>
      <c r="F7141">
        <v>10.7</v>
      </c>
      <c r="G7141">
        <v>0</v>
      </c>
    </row>
    <row r="7142" spans="2:7" x14ac:dyDescent="0.25">
      <c r="B7142" s="70">
        <v>43305</v>
      </c>
      <c r="C7142" t="s">
        <v>25</v>
      </c>
      <c r="D7142" t="s">
        <v>81</v>
      </c>
      <c r="E7142" t="s">
        <v>132</v>
      </c>
      <c r="F7142">
        <v>1.8</v>
      </c>
      <c r="G7142">
        <v>0</v>
      </c>
    </row>
    <row r="7143" spans="2:7" x14ac:dyDescent="0.25">
      <c r="B7143" s="70">
        <v>43305</v>
      </c>
      <c r="C7143" t="s">
        <v>25</v>
      </c>
      <c r="D7143" t="s">
        <v>81</v>
      </c>
      <c r="E7143" t="s">
        <v>127</v>
      </c>
      <c r="F7143">
        <v>1.8</v>
      </c>
      <c r="G7143">
        <v>0</v>
      </c>
    </row>
    <row r="7144" spans="2:7" x14ac:dyDescent="0.25">
      <c r="B7144" s="70">
        <v>43305</v>
      </c>
      <c r="C7144" t="s">
        <v>51</v>
      </c>
      <c r="D7144" t="s">
        <v>82</v>
      </c>
      <c r="E7144" t="s">
        <v>608</v>
      </c>
      <c r="F7144">
        <v>256.27999999999997</v>
      </c>
      <c r="G7144">
        <v>0</v>
      </c>
    </row>
    <row r="7145" spans="2:7" x14ac:dyDescent="0.25">
      <c r="B7145" s="70">
        <v>43305</v>
      </c>
      <c r="C7145" t="s">
        <v>21</v>
      </c>
      <c r="D7145" t="s">
        <v>79</v>
      </c>
      <c r="E7145" t="s">
        <v>608</v>
      </c>
      <c r="F7145">
        <v>8</v>
      </c>
      <c r="G7145">
        <v>0</v>
      </c>
    </row>
    <row r="7146" spans="2:7" x14ac:dyDescent="0.25">
      <c r="B7146" s="70">
        <v>43305</v>
      </c>
      <c r="C7146" t="s">
        <v>21</v>
      </c>
      <c r="D7146" t="s">
        <v>79</v>
      </c>
      <c r="E7146" t="s">
        <v>608</v>
      </c>
      <c r="F7146">
        <v>16</v>
      </c>
      <c r="G7146">
        <v>0</v>
      </c>
    </row>
    <row r="7147" spans="2:7" x14ac:dyDescent="0.25">
      <c r="B7147" s="70">
        <v>43305</v>
      </c>
      <c r="C7147" t="s">
        <v>21</v>
      </c>
      <c r="D7147" t="s">
        <v>82</v>
      </c>
      <c r="E7147" t="s">
        <v>608</v>
      </c>
      <c r="F7147">
        <v>8</v>
      </c>
      <c r="G7147">
        <v>0</v>
      </c>
    </row>
    <row r="7148" spans="2:7" x14ac:dyDescent="0.25">
      <c r="B7148" s="70">
        <v>43305</v>
      </c>
      <c r="C7148" t="s">
        <v>48</v>
      </c>
      <c r="D7148" t="s">
        <v>85</v>
      </c>
      <c r="E7148" t="s">
        <v>608</v>
      </c>
      <c r="F7148">
        <v>31.6</v>
      </c>
      <c r="G7148">
        <v>0</v>
      </c>
    </row>
    <row r="7149" spans="2:7" x14ac:dyDescent="0.25">
      <c r="B7149" s="70">
        <v>43305</v>
      </c>
      <c r="C7149" t="s">
        <v>45</v>
      </c>
      <c r="D7149" t="s">
        <v>79</v>
      </c>
      <c r="E7149" t="s">
        <v>608</v>
      </c>
      <c r="F7149">
        <v>173.26</v>
      </c>
      <c r="G7149">
        <v>0</v>
      </c>
    </row>
    <row r="7150" spans="2:7" x14ac:dyDescent="0.25">
      <c r="B7150" s="70">
        <v>43305</v>
      </c>
      <c r="C7150" t="s">
        <v>73</v>
      </c>
      <c r="D7150" t="s">
        <v>82</v>
      </c>
      <c r="E7150" t="s">
        <v>608</v>
      </c>
      <c r="F7150">
        <v>22.05</v>
      </c>
      <c r="G7150">
        <v>0</v>
      </c>
    </row>
    <row r="7151" spans="2:7" x14ac:dyDescent="0.25">
      <c r="B7151" s="70">
        <v>43305</v>
      </c>
      <c r="C7151" t="s">
        <v>60</v>
      </c>
      <c r="D7151" t="s">
        <v>79</v>
      </c>
      <c r="E7151" t="s">
        <v>608</v>
      </c>
      <c r="F7151">
        <v>44.97</v>
      </c>
      <c r="G7151">
        <v>0</v>
      </c>
    </row>
    <row r="7152" spans="2:7" x14ac:dyDescent="0.25">
      <c r="B7152" s="70">
        <v>43334</v>
      </c>
      <c r="C7152" t="s">
        <v>25</v>
      </c>
      <c r="D7152" t="s">
        <v>81</v>
      </c>
      <c r="E7152" t="s">
        <v>122</v>
      </c>
      <c r="F7152">
        <v>3.6</v>
      </c>
      <c r="G7152">
        <v>0</v>
      </c>
    </row>
    <row r="7153" spans="2:7" x14ac:dyDescent="0.25">
      <c r="B7153" s="70">
        <v>43334</v>
      </c>
      <c r="C7153" t="s">
        <v>25</v>
      </c>
      <c r="D7153" t="s">
        <v>81</v>
      </c>
      <c r="E7153" t="s">
        <v>132</v>
      </c>
      <c r="F7153">
        <v>13.3</v>
      </c>
      <c r="G7153">
        <v>0</v>
      </c>
    </row>
    <row r="7154" spans="2:7" x14ac:dyDescent="0.25">
      <c r="B7154" s="70">
        <v>43334</v>
      </c>
      <c r="C7154" t="s">
        <v>46</v>
      </c>
      <c r="D7154" t="s">
        <v>82</v>
      </c>
      <c r="E7154" t="s">
        <v>609</v>
      </c>
      <c r="F7154">
        <v>10</v>
      </c>
      <c r="G7154">
        <v>0</v>
      </c>
    </row>
    <row r="7155" spans="2:7" x14ac:dyDescent="0.25">
      <c r="B7155" s="70">
        <v>43334</v>
      </c>
      <c r="C7155" t="s">
        <v>46</v>
      </c>
      <c r="D7155" t="s">
        <v>84</v>
      </c>
      <c r="E7155" t="s">
        <v>609</v>
      </c>
      <c r="F7155">
        <v>85</v>
      </c>
      <c r="G7155">
        <v>0</v>
      </c>
    </row>
    <row r="7156" spans="2:7" x14ac:dyDescent="0.25">
      <c r="B7156" s="70">
        <v>43334</v>
      </c>
      <c r="C7156" t="s">
        <v>59</v>
      </c>
      <c r="D7156" t="s">
        <v>84</v>
      </c>
      <c r="E7156" t="s">
        <v>609</v>
      </c>
      <c r="F7156">
        <v>340</v>
      </c>
      <c r="G7156">
        <v>0</v>
      </c>
    </row>
    <row r="7157" spans="2:7" x14ac:dyDescent="0.25">
      <c r="B7157" s="70">
        <v>43334</v>
      </c>
      <c r="C7157" t="s">
        <v>47</v>
      </c>
      <c r="D7157" t="s">
        <v>82</v>
      </c>
      <c r="E7157" t="s">
        <v>609</v>
      </c>
      <c r="F7157">
        <v>118.76</v>
      </c>
      <c r="G7157">
        <v>0</v>
      </c>
    </row>
    <row r="7158" spans="2:7" x14ac:dyDescent="0.25">
      <c r="B7158" s="70">
        <v>43334</v>
      </c>
      <c r="C7158" t="s">
        <v>47</v>
      </c>
      <c r="D7158" t="s">
        <v>84</v>
      </c>
      <c r="E7158" t="s">
        <v>609</v>
      </c>
      <c r="F7158">
        <v>85</v>
      </c>
      <c r="G7158">
        <v>0</v>
      </c>
    </row>
    <row r="7159" spans="2:7" x14ac:dyDescent="0.25">
      <c r="B7159" s="70">
        <v>43334</v>
      </c>
      <c r="C7159" t="s">
        <v>44</v>
      </c>
      <c r="D7159" t="s">
        <v>84</v>
      </c>
      <c r="E7159" t="s">
        <v>609</v>
      </c>
      <c r="F7159">
        <v>340</v>
      </c>
      <c r="G7159">
        <v>0</v>
      </c>
    </row>
    <row r="7160" spans="2:7" x14ac:dyDescent="0.25">
      <c r="B7160" s="70">
        <v>43334</v>
      </c>
      <c r="C7160" t="s">
        <v>21</v>
      </c>
      <c r="D7160" t="s">
        <v>79</v>
      </c>
      <c r="E7160" t="s">
        <v>609</v>
      </c>
      <c r="F7160">
        <v>8</v>
      </c>
      <c r="G7160">
        <v>0</v>
      </c>
    </row>
    <row r="7161" spans="2:7" x14ac:dyDescent="0.25">
      <c r="B7161" s="70">
        <v>43334</v>
      </c>
      <c r="C7161" t="s">
        <v>21</v>
      </c>
      <c r="D7161" t="s">
        <v>79</v>
      </c>
      <c r="E7161" t="s">
        <v>609</v>
      </c>
      <c r="F7161">
        <v>16</v>
      </c>
      <c r="G7161">
        <v>0</v>
      </c>
    </row>
    <row r="7162" spans="2:7" x14ac:dyDescent="0.25">
      <c r="B7162" s="70">
        <v>43334</v>
      </c>
      <c r="C7162" t="s">
        <v>21</v>
      </c>
      <c r="D7162" t="s">
        <v>79</v>
      </c>
      <c r="E7162" t="s">
        <v>609</v>
      </c>
      <c r="F7162">
        <v>24</v>
      </c>
      <c r="G7162">
        <v>0</v>
      </c>
    </row>
    <row r="7163" spans="2:7" x14ac:dyDescent="0.25">
      <c r="B7163" s="70">
        <v>43334</v>
      </c>
      <c r="C7163" t="s">
        <v>21</v>
      </c>
      <c r="D7163" t="s">
        <v>79</v>
      </c>
      <c r="E7163" t="s">
        <v>609</v>
      </c>
      <c r="F7163">
        <v>40</v>
      </c>
      <c r="G7163">
        <v>0</v>
      </c>
    </row>
    <row r="7164" spans="2:7" x14ac:dyDescent="0.25">
      <c r="B7164" s="70">
        <v>43334</v>
      </c>
      <c r="C7164" t="s">
        <v>21</v>
      </c>
      <c r="D7164" t="s">
        <v>79</v>
      </c>
      <c r="E7164" t="s">
        <v>609</v>
      </c>
      <c r="F7164">
        <v>48</v>
      </c>
      <c r="G7164">
        <v>0</v>
      </c>
    </row>
    <row r="7165" spans="2:7" x14ac:dyDescent="0.25">
      <c r="B7165" s="70">
        <v>43334</v>
      </c>
      <c r="C7165" t="s">
        <v>21</v>
      </c>
      <c r="D7165" t="s">
        <v>79</v>
      </c>
      <c r="E7165" t="s">
        <v>609</v>
      </c>
      <c r="F7165">
        <v>72</v>
      </c>
      <c r="G7165">
        <v>0</v>
      </c>
    </row>
    <row r="7166" spans="2:7" x14ac:dyDescent="0.25">
      <c r="B7166" s="70">
        <v>43334</v>
      </c>
      <c r="C7166" t="s">
        <v>21</v>
      </c>
      <c r="D7166" t="s">
        <v>79</v>
      </c>
      <c r="E7166" t="s">
        <v>609</v>
      </c>
      <c r="F7166">
        <v>88</v>
      </c>
      <c r="G7166">
        <v>0</v>
      </c>
    </row>
    <row r="7167" spans="2:7" x14ac:dyDescent="0.25">
      <c r="B7167" s="70">
        <v>43334</v>
      </c>
      <c r="C7167" t="s">
        <v>48</v>
      </c>
      <c r="D7167" t="s">
        <v>82</v>
      </c>
      <c r="E7167" t="s">
        <v>609</v>
      </c>
      <c r="F7167">
        <v>128</v>
      </c>
      <c r="G7167">
        <v>0</v>
      </c>
    </row>
    <row r="7168" spans="2:7" x14ac:dyDescent="0.25">
      <c r="B7168" s="70">
        <v>43334</v>
      </c>
      <c r="C7168" t="s">
        <v>50</v>
      </c>
      <c r="D7168" t="s">
        <v>82</v>
      </c>
      <c r="E7168" t="s">
        <v>609</v>
      </c>
      <c r="F7168">
        <v>20.11</v>
      </c>
      <c r="G7168">
        <v>0</v>
      </c>
    </row>
    <row r="7169" spans="2:7" x14ac:dyDescent="0.25">
      <c r="B7169" s="70">
        <v>43334</v>
      </c>
      <c r="C7169" t="s">
        <v>24</v>
      </c>
      <c r="D7169" t="s">
        <v>79</v>
      </c>
      <c r="E7169" t="s">
        <v>609</v>
      </c>
      <c r="F7169">
        <v>8</v>
      </c>
      <c r="G7169">
        <v>0</v>
      </c>
    </row>
    <row r="7170" spans="2:7" x14ac:dyDescent="0.25">
      <c r="B7170" s="70">
        <v>43294</v>
      </c>
      <c r="C7170" t="s">
        <v>25</v>
      </c>
      <c r="D7170" t="s">
        <v>81</v>
      </c>
      <c r="E7170" t="s">
        <v>154</v>
      </c>
      <c r="F7170">
        <v>4.5</v>
      </c>
      <c r="G7170">
        <v>0</v>
      </c>
    </row>
    <row r="7171" spans="2:7" x14ac:dyDescent="0.25">
      <c r="B7171" s="70">
        <v>43294</v>
      </c>
      <c r="C7171" t="s">
        <v>54</v>
      </c>
      <c r="D7171" t="s">
        <v>86</v>
      </c>
      <c r="E7171" t="s">
        <v>610</v>
      </c>
      <c r="F7171">
        <v>915.4</v>
      </c>
      <c r="G7171">
        <v>0</v>
      </c>
    </row>
    <row r="7172" spans="2:7" x14ac:dyDescent="0.25">
      <c r="B7172" s="70">
        <v>43294</v>
      </c>
      <c r="C7172" t="s">
        <v>46</v>
      </c>
      <c r="D7172" t="s">
        <v>86</v>
      </c>
      <c r="E7172" t="s">
        <v>610</v>
      </c>
      <c r="F7172">
        <v>63.8</v>
      </c>
      <c r="G7172">
        <v>0</v>
      </c>
    </row>
    <row r="7173" spans="2:7" x14ac:dyDescent="0.25">
      <c r="B7173" s="70">
        <v>43294</v>
      </c>
      <c r="C7173" t="s">
        <v>46</v>
      </c>
      <c r="D7173" t="s">
        <v>82</v>
      </c>
      <c r="E7173" t="s">
        <v>610</v>
      </c>
      <c r="F7173">
        <v>10</v>
      </c>
      <c r="G7173">
        <v>0</v>
      </c>
    </row>
    <row r="7174" spans="2:7" x14ac:dyDescent="0.25">
      <c r="B7174" s="70">
        <v>43294</v>
      </c>
      <c r="C7174" t="s">
        <v>44</v>
      </c>
      <c r="D7174" t="s">
        <v>86</v>
      </c>
      <c r="E7174" t="s">
        <v>610</v>
      </c>
      <c r="F7174">
        <v>94</v>
      </c>
      <c r="G7174">
        <v>0</v>
      </c>
    </row>
    <row r="7175" spans="2:7" x14ac:dyDescent="0.25">
      <c r="B7175" s="70">
        <v>43294</v>
      </c>
      <c r="C7175" t="s">
        <v>49</v>
      </c>
      <c r="D7175" t="s">
        <v>82</v>
      </c>
      <c r="E7175" t="s">
        <v>610</v>
      </c>
      <c r="F7175">
        <v>145</v>
      </c>
      <c r="G7175">
        <v>0</v>
      </c>
    </row>
    <row r="7176" spans="2:7" x14ac:dyDescent="0.25">
      <c r="B7176" s="70">
        <v>43294</v>
      </c>
      <c r="C7176" t="s">
        <v>58</v>
      </c>
      <c r="D7176" t="s">
        <v>82</v>
      </c>
      <c r="E7176" t="s">
        <v>610</v>
      </c>
      <c r="F7176">
        <v>30</v>
      </c>
      <c r="G7176">
        <v>0</v>
      </c>
    </row>
    <row r="7177" spans="2:7" x14ac:dyDescent="0.25">
      <c r="B7177" s="70">
        <v>43294</v>
      </c>
      <c r="C7177" t="s">
        <v>60</v>
      </c>
      <c r="D7177" t="s">
        <v>86</v>
      </c>
      <c r="E7177" t="s">
        <v>610</v>
      </c>
      <c r="F7177">
        <v>805.4</v>
      </c>
      <c r="G7177">
        <v>0</v>
      </c>
    </row>
    <row r="7178" spans="2:7" x14ac:dyDescent="0.25">
      <c r="B7178" s="70">
        <v>43294</v>
      </c>
      <c r="C7178" t="s">
        <v>61</v>
      </c>
      <c r="D7178" t="s">
        <v>86</v>
      </c>
      <c r="E7178" t="s">
        <v>610</v>
      </c>
      <c r="F7178">
        <v>681.65</v>
      </c>
      <c r="G7178">
        <v>0</v>
      </c>
    </row>
    <row r="7179" spans="2:7" x14ac:dyDescent="0.25">
      <c r="B7179" s="70">
        <v>43294</v>
      </c>
      <c r="C7179" t="s">
        <v>62</v>
      </c>
      <c r="D7179" t="s">
        <v>86</v>
      </c>
      <c r="E7179" t="s">
        <v>610</v>
      </c>
      <c r="F7179">
        <v>91.6</v>
      </c>
      <c r="G7179">
        <v>0</v>
      </c>
    </row>
    <row r="7180" spans="2:7" x14ac:dyDescent="0.25">
      <c r="B7180" s="70">
        <v>43431</v>
      </c>
      <c r="C7180" t="s">
        <v>25</v>
      </c>
      <c r="D7180" t="s">
        <v>80</v>
      </c>
      <c r="E7180" t="s">
        <v>611</v>
      </c>
      <c r="F7180">
        <v>85.93</v>
      </c>
      <c r="G7180">
        <v>0</v>
      </c>
    </row>
    <row r="7181" spans="2:7" x14ac:dyDescent="0.25">
      <c r="B7181" s="70">
        <v>43431</v>
      </c>
      <c r="C7181" t="s">
        <v>25</v>
      </c>
      <c r="D7181" t="s">
        <v>87</v>
      </c>
      <c r="E7181" t="s">
        <v>611</v>
      </c>
      <c r="F7181">
        <v>30.4</v>
      </c>
      <c r="G7181">
        <v>0</v>
      </c>
    </row>
    <row r="7182" spans="2:7" x14ac:dyDescent="0.25">
      <c r="B7182" s="70">
        <v>43431</v>
      </c>
      <c r="C7182" t="s">
        <v>25</v>
      </c>
      <c r="D7182" t="s">
        <v>87</v>
      </c>
      <c r="E7182" t="s">
        <v>611</v>
      </c>
      <c r="F7182">
        <v>69.209999999999994</v>
      </c>
      <c r="G7182">
        <v>0</v>
      </c>
    </row>
    <row r="7183" spans="2:7" x14ac:dyDescent="0.25">
      <c r="B7183" s="70">
        <v>43431</v>
      </c>
      <c r="C7183" t="s">
        <v>25</v>
      </c>
      <c r="D7183" t="s">
        <v>81</v>
      </c>
      <c r="E7183" t="s">
        <v>154</v>
      </c>
      <c r="F7183">
        <v>2.25</v>
      </c>
      <c r="G7183">
        <v>0</v>
      </c>
    </row>
    <row r="7184" spans="2:7" x14ac:dyDescent="0.25">
      <c r="B7184" s="70">
        <v>43431</v>
      </c>
      <c r="C7184" t="s">
        <v>46</v>
      </c>
      <c r="D7184" t="s">
        <v>79</v>
      </c>
      <c r="E7184" t="s">
        <v>611</v>
      </c>
      <c r="F7184">
        <v>38.950000000000003</v>
      </c>
      <c r="G7184">
        <v>0</v>
      </c>
    </row>
    <row r="7185" spans="2:7" x14ac:dyDescent="0.25">
      <c r="B7185" s="70">
        <v>43431</v>
      </c>
      <c r="C7185" t="s">
        <v>21</v>
      </c>
      <c r="D7185" t="s">
        <v>79</v>
      </c>
      <c r="E7185" t="s">
        <v>611</v>
      </c>
      <c r="F7185">
        <v>8</v>
      </c>
      <c r="G7185">
        <v>0</v>
      </c>
    </row>
    <row r="7186" spans="2:7" x14ac:dyDescent="0.25">
      <c r="B7186" s="70">
        <v>43431</v>
      </c>
      <c r="C7186" t="s">
        <v>21</v>
      </c>
      <c r="D7186" t="s">
        <v>79</v>
      </c>
      <c r="E7186" t="s">
        <v>611</v>
      </c>
      <c r="F7186">
        <v>16</v>
      </c>
      <c r="G7186">
        <v>0</v>
      </c>
    </row>
    <row r="7187" spans="2:7" x14ac:dyDescent="0.25">
      <c r="B7187" s="70">
        <v>43431</v>
      </c>
      <c r="C7187" t="s">
        <v>21</v>
      </c>
      <c r="D7187" t="s">
        <v>79</v>
      </c>
      <c r="E7187" t="s">
        <v>611</v>
      </c>
      <c r="F7187">
        <v>24</v>
      </c>
      <c r="G7187">
        <v>0</v>
      </c>
    </row>
    <row r="7188" spans="2:7" x14ac:dyDescent="0.25">
      <c r="B7188" s="70">
        <v>43431</v>
      </c>
      <c r="C7188" t="s">
        <v>48</v>
      </c>
      <c r="D7188" t="s">
        <v>83</v>
      </c>
      <c r="E7188" t="s">
        <v>611</v>
      </c>
      <c r="F7188">
        <v>363.8</v>
      </c>
      <c r="G7188">
        <v>0</v>
      </c>
    </row>
    <row r="7189" spans="2:7" x14ac:dyDescent="0.25">
      <c r="B7189" s="70">
        <v>43431</v>
      </c>
      <c r="C7189" t="s">
        <v>55</v>
      </c>
      <c r="D7189" t="s">
        <v>85</v>
      </c>
      <c r="E7189" t="s">
        <v>611</v>
      </c>
      <c r="F7189">
        <v>269.86</v>
      </c>
      <c r="G7189">
        <v>0</v>
      </c>
    </row>
    <row r="7190" spans="2:7" x14ac:dyDescent="0.25">
      <c r="B7190" s="70">
        <v>43431</v>
      </c>
      <c r="C7190" t="s">
        <v>49</v>
      </c>
      <c r="D7190" t="s">
        <v>79</v>
      </c>
      <c r="E7190" t="s">
        <v>611</v>
      </c>
      <c r="F7190">
        <v>28.97</v>
      </c>
      <c r="G7190">
        <v>0</v>
      </c>
    </row>
    <row r="7191" spans="2:7" x14ac:dyDescent="0.25">
      <c r="B7191" s="70">
        <v>43431</v>
      </c>
      <c r="C7191" t="s">
        <v>50</v>
      </c>
      <c r="D7191" t="s">
        <v>83</v>
      </c>
      <c r="E7191" t="s">
        <v>611</v>
      </c>
      <c r="F7191">
        <v>75</v>
      </c>
      <c r="G7191">
        <v>0</v>
      </c>
    </row>
    <row r="7192" spans="2:7" x14ac:dyDescent="0.25">
      <c r="B7192" s="70">
        <v>43431</v>
      </c>
      <c r="C7192" t="s">
        <v>50</v>
      </c>
      <c r="D7192" t="s">
        <v>82</v>
      </c>
      <c r="E7192" t="s">
        <v>611</v>
      </c>
      <c r="F7192">
        <v>14.17</v>
      </c>
      <c r="G7192">
        <v>0</v>
      </c>
    </row>
    <row r="7193" spans="2:7" x14ac:dyDescent="0.25">
      <c r="B7193" s="70">
        <v>43431</v>
      </c>
      <c r="C7193" t="s">
        <v>52</v>
      </c>
      <c r="D7193" t="s">
        <v>85</v>
      </c>
      <c r="E7193" t="s">
        <v>611</v>
      </c>
      <c r="F7193">
        <v>56.06</v>
      </c>
      <c r="G7193">
        <v>0</v>
      </c>
    </row>
    <row r="7194" spans="2:7" x14ac:dyDescent="0.25">
      <c r="B7194" s="70">
        <v>43445</v>
      </c>
      <c r="C7194" t="s">
        <v>25</v>
      </c>
      <c r="D7194" t="s">
        <v>81</v>
      </c>
      <c r="E7194" t="s">
        <v>154</v>
      </c>
      <c r="F7194">
        <v>4.5</v>
      </c>
      <c r="G7194">
        <v>0</v>
      </c>
    </row>
    <row r="7195" spans="2:7" x14ac:dyDescent="0.25">
      <c r="B7195" s="70">
        <v>43445</v>
      </c>
      <c r="C7195" t="s">
        <v>56</v>
      </c>
      <c r="D7195" t="s">
        <v>82</v>
      </c>
      <c r="E7195" t="s">
        <v>612</v>
      </c>
      <c r="F7195">
        <v>37</v>
      </c>
      <c r="G7195">
        <v>0</v>
      </c>
    </row>
    <row r="7196" spans="2:7" x14ac:dyDescent="0.25">
      <c r="B7196" s="70">
        <v>43445</v>
      </c>
      <c r="C7196" t="s">
        <v>43</v>
      </c>
      <c r="D7196" t="s">
        <v>84</v>
      </c>
      <c r="E7196" t="s">
        <v>612</v>
      </c>
      <c r="F7196">
        <v>1185.1500000000001</v>
      </c>
      <c r="G7196">
        <v>0</v>
      </c>
    </row>
    <row r="7197" spans="2:7" x14ac:dyDescent="0.25">
      <c r="B7197" s="70">
        <v>43445</v>
      </c>
      <c r="C7197" t="s">
        <v>21</v>
      </c>
      <c r="D7197" t="s">
        <v>79</v>
      </c>
      <c r="E7197" t="s">
        <v>612</v>
      </c>
      <c r="F7197">
        <v>8</v>
      </c>
      <c r="G7197">
        <v>0</v>
      </c>
    </row>
    <row r="7198" spans="2:7" x14ac:dyDescent="0.25">
      <c r="B7198" s="70">
        <v>43445</v>
      </c>
      <c r="C7198" t="s">
        <v>21</v>
      </c>
      <c r="D7198" t="s">
        <v>79</v>
      </c>
      <c r="E7198" t="s">
        <v>612</v>
      </c>
      <c r="F7198">
        <v>24</v>
      </c>
      <c r="G7198">
        <v>0</v>
      </c>
    </row>
    <row r="7199" spans="2:7" x14ac:dyDescent="0.25">
      <c r="B7199" s="70">
        <v>43445</v>
      </c>
      <c r="C7199" t="s">
        <v>21</v>
      </c>
      <c r="D7199" t="s">
        <v>79</v>
      </c>
      <c r="E7199" t="s">
        <v>612</v>
      </c>
      <c r="F7199">
        <v>32</v>
      </c>
      <c r="G7199">
        <v>0</v>
      </c>
    </row>
    <row r="7200" spans="2:7" x14ac:dyDescent="0.25">
      <c r="B7200" s="70">
        <v>43445</v>
      </c>
      <c r="C7200" t="s">
        <v>21</v>
      </c>
      <c r="D7200" t="s">
        <v>79</v>
      </c>
      <c r="E7200" t="s">
        <v>612</v>
      </c>
      <c r="F7200">
        <v>40</v>
      </c>
      <c r="G7200">
        <v>0</v>
      </c>
    </row>
    <row r="7201" spans="2:7" x14ac:dyDescent="0.25">
      <c r="B7201" s="70">
        <v>43445</v>
      </c>
      <c r="C7201" t="s">
        <v>21</v>
      </c>
      <c r="D7201" t="s">
        <v>79</v>
      </c>
      <c r="E7201" t="s">
        <v>612</v>
      </c>
      <c r="F7201">
        <v>48</v>
      </c>
      <c r="G7201">
        <v>0</v>
      </c>
    </row>
    <row r="7202" spans="2:7" x14ac:dyDescent="0.25">
      <c r="B7202" s="70">
        <v>43445</v>
      </c>
      <c r="C7202" t="s">
        <v>65</v>
      </c>
      <c r="D7202" t="s">
        <v>91</v>
      </c>
      <c r="E7202" t="s">
        <v>612</v>
      </c>
      <c r="F7202">
        <v>396</v>
      </c>
      <c r="G7202">
        <v>0</v>
      </c>
    </row>
    <row r="7203" spans="2:7" x14ac:dyDescent="0.25">
      <c r="B7203" s="70">
        <v>43445</v>
      </c>
      <c r="C7203" t="s">
        <v>24</v>
      </c>
      <c r="D7203" t="s">
        <v>79</v>
      </c>
      <c r="E7203" t="s">
        <v>612</v>
      </c>
      <c r="F7203">
        <v>8</v>
      </c>
      <c r="G7203">
        <v>0</v>
      </c>
    </row>
    <row r="7204" spans="2:7" x14ac:dyDescent="0.25">
      <c r="B7204" s="70">
        <v>43458</v>
      </c>
      <c r="C7204" t="s">
        <v>25</v>
      </c>
      <c r="D7204" t="s">
        <v>85</v>
      </c>
      <c r="E7204" t="s">
        <v>613</v>
      </c>
      <c r="F7204">
        <v>57.08</v>
      </c>
      <c r="G7204">
        <v>0</v>
      </c>
    </row>
    <row r="7205" spans="2:7" x14ac:dyDescent="0.25">
      <c r="B7205" s="70">
        <v>43458</v>
      </c>
      <c r="C7205" t="s">
        <v>25</v>
      </c>
      <c r="D7205" t="s">
        <v>87</v>
      </c>
      <c r="E7205" t="s">
        <v>613</v>
      </c>
      <c r="F7205">
        <v>246.72</v>
      </c>
      <c r="G7205">
        <v>0</v>
      </c>
    </row>
    <row r="7206" spans="2:7" x14ac:dyDescent="0.25">
      <c r="B7206" s="70">
        <v>43458</v>
      </c>
      <c r="C7206" t="s">
        <v>25</v>
      </c>
      <c r="D7206" t="s">
        <v>87</v>
      </c>
      <c r="E7206" t="s">
        <v>613</v>
      </c>
      <c r="F7206">
        <v>93.92</v>
      </c>
      <c r="G7206">
        <v>0</v>
      </c>
    </row>
    <row r="7207" spans="2:7" x14ac:dyDescent="0.25">
      <c r="B7207" s="70">
        <v>43458</v>
      </c>
      <c r="C7207" t="s">
        <v>25</v>
      </c>
      <c r="D7207" t="s">
        <v>87</v>
      </c>
      <c r="E7207" t="s">
        <v>613</v>
      </c>
      <c r="F7207">
        <v>149.85</v>
      </c>
      <c r="G7207">
        <v>0</v>
      </c>
    </row>
    <row r="7208" spans="2:7" x14ac:dyDescent="0.25">
      <c r="B7208" s="70">
        <v>43458</v>
      </c>
      <c r="C7208" t="s">
        <v>25</v>
      </c>
      <c r="D7208" t="s">
        <v>81</v>
      </c>
      <c r="E7208" t="s">
        <v>187</v>
      </c>
      <c r="F7208">
        <v>25</v>
      </c>
      <c r="G7208">
        <v>0</v>
      </c>
    </row>
    <row r="7209" spans="2:7" x14ac:dyDescent="0.25">
      <c r="B7209" s="70">
        <v>43458</v>
      </c>
      <c r="C7209" t="s">
        <v>56</v>
      </c>
      <c r="D7209" t="s">
        <v>82</v>
      </c>
      <c r="E7209" t="s">
        <v>613</v>
      </c>
      <c r="F7209">
        <v>48.5</v>
      </c>
      <c r="G7209">
        <v>0</v>
      </c>
    </row>
    <row r="7210" spans="2:7" x14ac:dyDescent="0.25">
      <c r="B7210" s="70">
        <v>43458</v>
      </c>
      <c r="C7210" t="s">
        <v>21</v>
      </c>
      <c r="D7210" t="s">
        <v>79</v>
      </c>
      <c r="E7210" t="s">
        <v>613</v>
      </c>
      <c r="F7210">
        <v>8</v>
      </c>
      <c r="G7210">
        <v>0</v>
      </c>
    </row>
    <row r="7211" spans="2:7" x14ac:dyDescent="0.25">
      <c r="B7211" s="70">
        <v>43458</v>
      </c>
      <c r="C7211" t="s">
        <v>21</v>
      </c>
      <c r="D7211" t="s">
        <v>79</v>
      </c>
      <c r="E7211" t="s">
        <v>613</v>
      </c>
      <c r="F7211">
        <v>16</v>
      </c>
      <c r="G7211">
        <v>0</v>
      </c>
    </row>
    <row r="7212" spans="2:7" x14ac:dyDescent="0.25">
      <c r="B7212" s="70">
        <v>43458</v>
      </c>
      <c r="C7212" t="s">
        <v>21</v>
      </c>
      <c r="D7212" t="s">
        <v>79</v>
      </c>
      <c r="E7212" t="s">
        <v>613</v>
      </c>
      <c r="F7212">
        <v>24</v>
      </c>
      <c r="G7212">
        <v>0</v>
      </c>
    </row>
    <row r="7213" spans="2:7" x14ac:dyDescent="0.25">
      <c r="B7213" s="70">
        <v>43458</v>
      </c>
      <c r="C7213" t="s">
        <v>21</v>
      </c>
      <c r="D7213" t="s">
        <v>79</v>
      </c>
      <c r="E7213" t="s">
        <v>613</v>
      </c>
      <c r="F7213">
        <v>40</v>
      </c>
      <c r="G7213">
        <v>0</v>
      </c>
    </row>
    <row r="7214" spans="2:7" x14ac:dyDescent="0.25">
      <c r="B7214" s="70">
        <v>43458</v>
      </c>
      <c r="C7214" t="s">
        <v>66</v>
      </c>
      <c r="D7214" t="s">
        <v>85</v>
      </c>
      <c r="E7214" t="s">
        <v>613</v>
      </c>
      <c r="F7214">
        <v>629.41</v>
      </c>
      <c r="G7214">
        <v>0</v>
      </c>
    </row>
    <row r="7215" spans="2:7" x14ac:dyDescent="0.25">
      <c r="B7215" s="70">
        <v>43458</v>
      </c>
      <c r="C7215" t="s">
        <v>55</v>
      </c>
      <c r="D7215" t="s">
        <v>85</v>
      </c>
      <c r="E7215" t="s">
        <v>613</v>
      </c>
      <c r="F7215">
        <v>693.93</v>
      </c>
      <c r="G7215">
        <v>0</v>
      </c>
    </row>
    <row r="7216" spans="2:7" x14ac:dyDescent="0.25">
      <c r="B7216" s="70">
        <v>43458</v>
      </c>
      <c r="C7216" t="s">
        <v>55</v>
      </c>
      <c r="D7216" t="s">
        <v>86</v>
      </c>
      <c r="E7216" t="s">
        <v>613</v>
      </c>
      <c r="F7216">
        <v>0</v>
      </c>
      <c r="G7216">
        <v>1400.56</v>
      </c>
    </row>
    <row r="7217" spans="2:7" x14ac:dyDescent="0.25">
      <c r="B7217" s="70">
        <v>43458</v>
      </c>
      <c r="C7217" t="s">
        <v>50</v>
      </c>
      <c r="D7217" t="s">
        <v>85</v>
      </c>
      <c r="E7217" t="s">
        <v>613</v>
      </c>
      <c r="F7217">
        <v>362.5</v>
      </c>
      <c r="G7217">
        <v>0</v>
      </c>
    </row>
    <row r="7218" spans="2:7" x14ac:dyDescent="0.25">
      <c r="B7218" s="70">
        <v>43458</v>
      </c>
      <c r="C7218" t="s">
        <v>50</v>
      </c>
      <c r="D7218" t="s">
        <v>87</v>
      </c>
      <c r="E7218" t="s">
        <v>613</v>
      </c>
      <c r="F7218">
        <v>113.14</v>
      </c>
      <c r="G7218">
        <v>0</v>
      </c>
    </row>
    <row r="7219" spans="2:7" x14ac:dyDescent="0.25">
      <c r="B7219" s="70">
        <v>43458</v>
      </c>
      <c r="C7219" t="s">
        <v>50</v>
      </c>
      <c r="D7219" t="s">
        <v>82</v>
      </c>
      <c r="E7219" t="s">
        <v>613</v>
      </c>
      <c r="F7219">
        <v>38.799999999999997</v>
      </c>
      <c r="G7219">
        <v>0</v>
      </c>
    </row>
    <row r="7220" spans="2:7" x14ac:dyDescent="0.25">
      <c r="B7220" s="70">
        <v>43458</v>
      </c>
      <c r="C7220" t="s">
        <v>69</v>
      </c>
      <c r="D7220" t="s">
        <v>87</v>
      </c>
      <c r="E7220" t="s">
        <v>613</v>
      </c>
      <c r="F7220">
        <v>475</v>
      </c>
      <c r="G7220">
        <v>0</v>
      </c>
    </row>
    <row r="7221" spans="2:7" x14ac:dyDescent="0.25">
      <c r="B7221" s="70">
        <v>43458</v>
      </c>
      <c r="C7221" t="s">
        <v>24</v>
      </c>
      <c r="D7221" t="s">
        <v>79</v>
      </c>
      <c r="E7221" t="s">
        <v>613</v>
      </c>
      <c r="F7221">
        <v>8</v>
      </c>
      <c r="G7221">
        <v>0</v>
      </c>
    </row>
    <row r="7222" spans="2:7" x14ac:dyDescent="0.25">
      <c r="B7222" s="70">
        <v>43458</v>
      </c>
      <c r="C7222" t="s">
        <v>61</v>
      </c>
      <c r="D7222" t="s">
        <v>87</v>
      </c>
      <c r="E7222" t="s">
        <v>613</v>
      </c>
      <c r="F7222">
        <v>1008.31</v>
      </c>
      <c r="G7222">
        <v>0</v>
      </c>
    </row>
    <row r="7223" spans="2:7" x14ac:dyDescent="0.25">
      <c r="B7223" s="70">
        <v>43427</v>
      </c>
      <c r="C7223" t="s">
        <v>25</v>
      </c>
      <c r="D7223" t="s">
        <v>79</v>
      </c>
      <c r="E7223" t="s">
        <v>614</v>
      </c>
      <c r="F7223">
        <v>8</v>
      </c>
      <c r="G7223">
        <v>0</v>
      </c>
    </row>
    <row r="7224" spans="2:7" x14ac:dyDescent="0.25">
      <c r="B7224" s="70">
        <v>43427</v>
      </c>
      <c r="C7224" t="s">
        <v>25</v>
      </c>
      <c r="D7224" t="s">
        <v>87</v>
      </c>
      <c r="E7224" t="s">
        <v>614</v>
      </c>
      <c r="F7224">
        <v>25</v>
      </c>
      <c r="G7224">
        <v>0</v>
      </c>
    </row>
    <row r="7225" spans="2:7" x14ac:dyDescent="0.25">
      <c r="B7225" s="70">
        <v>43427</v>
      </c>
      <c r="C7225" t="s">
        <v>25</v>
      </c>
      <c r="D7225" t="s">
        <v>87</v>
      </c>
      <c r="E7225" t="s">
        <v>614</v>
      </c>
      <c r="F7225">
        <v>34.33</v>
      </c>
      <c r="G7225">
        <v>0</v>
      </c>
    </row>
    <row r="7226" spans="2:7" x14ac:dyDescent="0.25">
      <c r="B7226" s="70">
        <v>43427</v>
      </c>
      <c r="C7226" t="s">
        <v>25</v>
      </c>
      <c r="D7226" t="s">
        <v>87</v>
      </c>
      <c r="E7226" t="s">
        <v>614</v>
      </c>
      <c r="F7226">
        <v>40.68</v>
      </c>
      <c r="G7226">
        <v>0</v>
      </c>
    </row>
    <row r="7227" spans="2:7" x14ac:dyDescent="0.25">
      <c r="B7227" s="70">
        <v>43427</v>
      </c>
      <c r="C7227" t="s">
        <v>25</v>
      </c>
      <c r="D7227" t="s">
        <v>87</v>
      </c>
      <c r="E7227" t="s">
        <v>614</v>
      </c>
      <c r="F7227">
        <v>34.54</v>
      </c>
      <c r="G7227">
        <v>0</v>
      </c>
    </row>
    <row r="7228" spans="2:7" x14ac:dyDescent="0.25">
      <c r="B7228" s="70">
        <v>43427</v>
      </c>
      <c r="C7228" t="s">
        <v>25</v>
      </c>
      <c r="D7228" t="s">
        <v>87</v>
      </c>
      <c r="E7228" t="s">
        <v>614</v>
      </c>
      <c r="F7228">
        <v>44.02</v>
      </c>
      <c r="G7228">
        <v>0</v>
      </c>
    </row>
    <row r="7229" spans="2:7" x14ac:dyDescent="0.25">
      <c r="B7229" s="70">
        <v>43427</v>
      </c>
      <c r="C7229" t="s">
        <v>25</v>
      </c>
      <c r="D7229" t="s">
        <v>81</v>
      </c>
      <c r="E7229" t="s">
        <v>155</v>
      </c>
      <c r="F7229">
        <v>14</v>
      </c>
      <c r="G7229">
        <v>0</v>
      </c>
    </row>
    <row r="7230" spans="2:7" x14ac:dyDescent="0.25">
      <c r="B7230" s="70">
        <v>43427</v>
      </c>
      <c r="C7230" t="s">
        <v>46</v>
      </c>
      <c r="D7230" t="s">
        <v>79</v>
      </c>
      <c r="E7230" t="s">
        <v>614</v>
      </c>
      <c r="F7230">
        <v>10</v>
      </c>
      <c r="G7230">
        <v>0</v>
      </c>
    </row>
    <row r="7231" spans="2:7" x14ac:dyDescent="0.25">
      <c r="B7231" s="70">
        <v>43427</v>
      </c>
      <c r="C7231" t="s">
        <v>46</v>
      </c>
      <c r="D7231" t="s">
        <v>82</v>
      </c>
      <c r="E7231" t="s">
        <v>614</v>
      </c>
      <c r="F7231">
        <v>10</v>
      </c>
      <c r="G7231">
        <v>0</v>
      </c>
    </row>
    <row r="7232" spans="2:7" x14ac:dyDescent="0.25">
      <c r="B7232" s="70">
        <v>43427</v>
      </c>
      <c r="C7232" t="s">
        <v>59</v>
      </c>
      <c r="D7232" t="s">
        <v>80</v>
      </c>
      <c r="E7232" t="s">
        <v>614</v>
      </c>
      <c r="F7232">
        <v>47.25</v>
      </c>
      <c r="G7232">
        <v>0</v>
      </c>
    </row>
    <row r="7233" spans="2:7" x14ac:dyDescent="0.25">
      <c r="B7233" s="70">
        <v>43427</v>
      </c>
      <c r="C7233" t="s">
        <v>51</v>
      </c>
      <c r="D7233" t="s">
        <v>82</v>
      </c>
      <c r="E7233" t="s">
        <v>614</v>
      </c>
      <c r="F7233">
        <v>384.98</v>
      </c>
      <c r="G7233">
        <v>0</v>
      </c>
    </row>
    <row r="7234" spans="2:7" x14ac:dyDescent="0.25">
      <c r="B7234" s="70">
        <v>43427</v>
      </c>
      <c r="C7234" t="s">
        <v>57</v>
      </c>
      <c r="D7234" t="s">
        <v>80</v>
      </c>
      <c r="E7234" t="s">
        <v>614</v>
      </c>
      <c r="F7234">
        <v>54.5</v>
      </c>
      <c r="G7234">
        <v>0</v>
      </c>
    </row>
    <row r="7235" spans="2:7" x14ac:dyDescent="0.25">
      <c r="B7235" s="70">
        <v>43427</v>
      </c>
      <c r="C7235" t="s">
        <v>44</v>
      </c>
      <c r="D7235" t="s">
        <v>82</v>
      </c>
      <c r="E7235" t="s">
        <v>614</v>
      </c>
      <c r="F7235">
        <v>130.16</v>
      </c>
      <c r="G7235">
        <v>0</v>
      </c>
    </row>
    <row r="7236" spans="2:7" x14ac:dyDescent="0.25">
      <c r="B7236" s="70">
        <v>43427</v>
      </c>
      <c r="C7236" t="s">
        <v>21</v>
      </c>
      <c r="D7236" t="s">
        <v>79</v>
      </c>
      <c r="E7236" t="s">
        <v>614</v>
      </c>
      <c r="F7236">
        <v>8</v>
      </c>
      <c r="G7236">
        <v>0</v>
      </c>
    </row>
    <row r="7237" spans="2:7" x14ac:dyDescent="0.25">
      <c r="B7237" s="70">
        <v>43427</v>
      </c>
      <c r="C7237" t="s">
        <v>21</v>
      </c>
      <c r="D7237" t="s">
        <v>79</v>
      </c>
      <c r="E7237" t="s">
        <v>614</v>
      </c>
      <c r="F7237">
        <v>40</v>
      </c>
      <c r="G7237">
        <v>0</v>
      </c>
    </row>
    <row r="7238" spans="2:7" x14ac:dyDescent="0.25">
      <c r="B7238" s="70">
        <v>43427</v>
      </c>
      <c r="C7238" t="s">
        <v>55</v>
      </c>
      <c r="D7238" t="s">
        <v>82</v>
      </c>
      <c r="E7238" t="s">
        <v>614</v>
      </c>
      <c r="F7238">
        <v>33.799999999999997</v>
      </c>
      <c r="G7238">
        <v>0</v>
      </c>
    </row>
    <row r="7239" spans="2:7" x14ac:dyDescent="0.25">
      <c r="B7239" s="70">
        <v>43427</v>
      </c>
      <c r="C7239" t="s">
        <v>45</v>
      </c>
      <c r="D7239" t="s">
        <v>85</v>
      </c>
      <c r="E7239" t="s">
        <v>614</v>
      </c>
      <c r="F7239">
        <v>140.19999999999999</v>
      </c>
      <c r="G7239">
        <v>0</v>
      </c>
    </row>
    <row r="7240" spans="2:7" x14ac:dyDescent="0.25">
      <c r="B7240" s="70">
        <v>43427</v>
      </c>
      <c r="C7240" t="s">
        <v>58</v>
      </c>
      <c r="D7240" t="s">
        <v>84</v>
      </c>
      <c r="E7240" t="s">
        <v>614</v>
      </c>
      <c r="F7240">
        <v>35</v>
      </c>
      <c r="G7240">
        <v>0</v>
      </c>
    </row>
    <row r="7241" spans="2:7" x14ac:dyDescent="0.25">
      <c r="B7241" s="70">
        <v>43361</v>
      </c>
      <c r="C7241" t="s">
        <v>25</v>
      </c>
      <c r="D7241" t="s">
        <v>87</v>
      </c>
      <c r="E7241" t="s">
        <v>615</v>
      </c>
      <c r="F7241">
        <v>18.95</v>
      </c>
      <c r="G7241">
        <v>0</v>
      </c>
    </row>
    <row r="7242" spans="2:7" x14ac:dyDescent="0.25">
      <c r="B7242" s="70">
        <v>43361</v>
      </c>
      <c r="C7242" t="s">
        <v>25</v>
      </c>
      <c r="D7242" t="s">
        <v>87</v>
      </c>
      <c r="E7242" t="s">
        <v>615</v>
      </c>
      <c r="F7242">
        <v>30</v>
      </c>
      <c r="G7242">
        <v>0</v>
      </c>
    </row>
    <row r="7243" spans="2:7" x14ac:dyDescent="0.25">
      <c r="B7243" s="70">
        <v>43361</v>
      </c>
      <c r="C7243" t="s">
        <v>25</v>
      </c>
      <c r="D7243" t="s">
        <v>87</v>
      </c>
      <c r="E7243" t="s">
        <v>615</v>
      </c>
      <c r="F7243">
        <v>35.08</v>
      </c>
      <c r="G7243">
        <v>0</v>
      </c>
    </row>
    <row r="7244" spans="2:7" x14ac:dyDescent="0.25">
      <c r="B7244" s="70">
        <v>43361</v>
      </c>
      <c r="C7244" t="s">
        <v>25</v>
      </c>
      <c r="D7244" t="s">
        <v>87</v>
      </c>
      <c r="E7244" t="s">
        <v>615</v>
      </c>
      <c r="F7244">
        <v>88.74</v>
      </c>
      <c r="G7244">
        <v>0</v>
      </c>
    </row>
    <row r="7245" spans="2:7" x14ac:dyDescent="0.25">
      <c r="B7245" s="70">
        <v>43361</v>
      </c>
      <c r="C7245" t="s">
        <v>25</v>
      </c>
      <c r="D7245" t="s">
        <v>87</v>
      </c>
      <c r="E7245" t="s">
        <v>615</v>
      </c>
      <c r="F7245">
        <v>83.55</v>
      </c>
      <c r="G7245">
        <v>0</v>
      </c>
    </row>
    <row r="7246" spans="2:7" x14ac:dyDescent="0.25">
      <c r="B7246" s="70">
        <v>43361</v>
      </c>
      <c r="C7246" t="s">
        <v>25</v>
      </c>
      <c r="D7246" t="s">
        <v>87</v>
      </c>
      <c r="E7246" t="s">
        <v>615</v>
      </c>
      <c r="F7246">
        <v>31.15</v>
      </c>
      <c r="G7246">
        <v>0</v>
      </c>
    </row>
    <row r="7247" spans="2:7" x14ac:dyDescent="0.25">
      <c r="B7247" s="70">
        <v>43361</v>
      </c>
      <c r="C7247" t="s">
        <v>54</v>
      </c>
      <c r="D7247" t="s">
        <v>86</v>
      </c>
      <c r="E7247" t="s">
        <v>615</v>
      </c>
      <c r="F7247">
        <v>884.55</v>
      </c>
      <c r="G7247">
        <v>0</v>
      </c>
    </row>
    <row r="7248" spans="2:7" x14ac:dyDescent="0.25">
      <c r="B7248" s="70">
        <v>43361</v>
      </c>
      <c r="C7248" t="s">
        <v>46</v>
      </c>
      <c r="D7248" t="s">
        <v>86</v>
      </c>
      <c r="E7248" t="s">
        <v>615</v>
      </c>
      <c r="F7248">
        <v>232.5</v>
      </c>
      <c r="G7248">
        <v>0</v>
      </c>
    </row>
    <row r="7249" spans="2:7" x14ac:dyDescent="0.25">
      <c r="B7249" s="70">
        <v>43361</v>
      </c>
      <c r="C7249" t="s">
        <v>57</v>
      </c>
      <c r="D7249" t="s">
        <v>86</v>
      </c>
      <c r="E7249" t="s">
        <v>615</v>
      </c>
      <c r="F7249">
        <v>23</v>
      </c>
      <c r="G7249">
        <v>0</v>
      </c>
    </row>
    <row r="7250" spans="2:7" x14ac:dyDescent="0.25">
      <c r="B7250" s="70">
        <v>43361</v>
      </c>
      <c r="C7250" t="s">
        <v>44</v>
      </c>
      <c r="D7250" t="s">
        <v>79</v>
      </c>
      <c r="E7250" t="s">
        <v>615</v>
      </c>
      <c r="F7250">
        <v>166.14</v>
      </c>
      <c r="G7250">
        <v>0</v>
      </c>
    </row>
    <row r="7251" spans="2:7" x14ac:dyDescent="0.25">
      <c r="B7251" s="70">
        <v>43361</v>
      </c>
      <c r="C7251" t="s">
        <v>44</v>
      </c>
      <c r="D7251" t="s">
        <v>86</v>
      </c>
      <c r="E7251" t="s">
        <v>615</v>
      </c>
      <c r="F7251">
        <v>99.55</v>
      </c>
      <c r="G7251">
        <v>0</v>
      </c>
    </row>
    <row r="7252" spans="2:7" x14ac:dyDescent="0.25">
      <c r="B7252" s="70">
        <v>43361</v>
      </c>
      <c r="C7252" t="s">
        <v>21</v>
      </c>
      <c r="D7252" t="s">
        <v>79</v>
      </c>
      <c r="E7252" t="s">
        <v>615</v>
      </c>
      <c r="F7252">
        <v>8</v>
      </c>
      <c r="G7252">
        <v>0</v>
      </c>
    </row>
    <row r="7253" spans="2:7" x14ac:dyDescent="0.25">
      <c r="B7253" s="70">
        <v>43361</v>
      </c>
      <c r="C7253" t="s">
        <v>21</v>
      </c>
      <c r="D7253" t="s">
        <v>79</v>
      </c>
      <c r="E7253" t="s">
        <v>615</v>
      </c>
      <c r="F7253">
        <v>16</v>
      </c>
      <c r="G7253">
        <v>0</v>
      </c>
    </row>
    <row r="7254" spans="2:7" x14ac:dyDescent="0.25">
      <c r="B7254" s="70">
        <v>43361</v>
      </c>
      <c r="C7254" t="s">
        <v>21</v>
      </c>
      <c r="D7254" t="s">
        <v>79</v>
      </c>
      <c r="E7254" t="s">
        <v>615</v>
      </c>
      <c r="F7254">
        <v>32</v>
      </c>
      <c r="G7254">
        <v>0</v>
      </c>
    </row>
    <row r="7255" spans="2:7" x14ac:dyDescent="0.25">
      <c r="B7255" s="70">
        <v>43361</v>
      </c>
      <c r="C7255" t="s">
        <v>21</v>
      </c>
      <c r="D7255" t="s">
        <v>79</v>
      </c>
      <c r="E7255" t="s">
        <v>615</v>
      </c>
      <c r="F7255">
        <v>48</v>
      </c>
      <c r="G7255">
        <v>0</v>
      </c>
    </row>
    <row r="7256" spans="2:7" x14ac:dyDescent="0.25">
      <c r="B7256" s="70">
        <v>43361</v>
      </c>
      <c r="C7256" t="s">
        <v>60</v>
      </c>
      <c r="D7256" t="s">
        <v>79</v>
      </c>
      <c r="E7256" t="s">
        <v>615</v>
      </c>
      <c r="F7256">
        <v>41.74</v>
      </c>
      <c r="G7256">
        <v>0</v>
      </c>
    </row>
    <row r="7257" spans="2:7" x14ac:dyDescent="0.25">
      <c r="B7257" s="70">
        <v>43361</v>
      </c>
      <c r="C7257" t="s">
        <v>60</v>
      </c>
      <c r="D7257" t="s">
        <v>85</v>
      </c>
      <c r="E7257" t="s">
        <v>615</v>
      </c>
      <c r="F7257">
        <v>36.35</v>
      </c>
      <c r="G7257">
        <v>0</v>
      </c>
    </row>
    <row r="7258" spans="2:7" x14ac:dyDescent="0.25">
      <c r="B7258" s="70">
        <v>43361</v>
      </c>
      <c r="C7258" t="s">
        <v>60</v>
      </c>
      <c r="D7258" t="s">
        <v>86</v>
      </c>
      <c r="E7258" t="s">
        <v>615</v>
      </c>
      <c r="F7258">
        <v>607.75</v>
      </c>
      <c r="G7258">
        <v>0</v>
      </c>
    </row>
    <row r="7259" spans="2:7" x14ac:dyDescent="0.25">
      <c r="B7259" s="70">
        <v>43361</v>
      </c>
      <c r="C7259" t="s">
        <v>61</v>
      </c>
      <c r="D7259" t="s">
        <v>86</v>
      </c>
      <c r="E7259" t="s">
        <v>615</v>
      </c>
      <c r="F7259">
        <v>639.4</v>
      </c>
      <c r="G7259">
        <v>0</v>
      </c>
    </row>
    <row r="7260" spans="2:7" x14ac:dyDescent="0.25">
      <c r="B7260" s="70">
        <v>43361</v>
      </c>
      <c r="C7260" t="s">
        <v>62</v>
      </c>
      <c r="D7260" t="s">
        <v>86</v>
      </c>
      <c r="E7260" t="s">
        <v>615</v>
      </c>
      <c r="F7260">
        <v>139.44999999999999</v>
      </c>
      <c r="G7260">
        <v>0</v>
      </c>
    </row>
    <row r="7261" spans="2:7" x14ac:dyDescent="0.25">
      <c r="B7261" s="70">
        <v>43441</v>
      </c>
      <c r="C7261" t="s">
        <v>25</v>
      </c>
      <c r="D7261" t="s">
        <v>80</v>
      </c>
      <c r="E7261" t="s">
        <v>616</v>
      </c>
      <c r="F7261">
        <v>25.67</v>
      </c>
      <c r="G7261">
        <v>0</v>
      </c>
    </row>
    <row r="7262" spans="2:7" x14ac:dyDescent="0.25">
      <c r="B7262" s="70">
        <v>43441</v>
      </c>
      <c r="C7262" t="s">
        <v>25</v>
      </c>
      <c r="D7262" t="s">
        <v>87</v>
      </c>
      <c r="E7262" t="s">
        <v>616</v>
      </c>
      <c r="F7262">
        <v>19.75</v>
      </c>
      <c r="G7262">
        <v>0</v>
      </c>
    </row>
    <row r="7263" spans="2:7" x14ac:dyDescent="0.25">
      <c r="B7263" s="70">
        <v>43441</v>
      </c>
      <c r="C7263" t="s">
        <v>25</v>
      </c>
      <c r="D7263" t="s">
        <v>87</v>
      </c>
      <c r="E7263" t="s">
        <v>616</v>
      </c>
      <c r="F7263">
        <v>76.7</v>
      </c>
      <c r="G7263">
        <v>0</v>
      </c>
    </row>
    <row r="7264" spans="2:7" x14ac:dyDescent="0.25">
      <c r="B7264" s="70">
        <v>43441</v>
      </c>
      <c r="C7264" t="s">
        <v>25</v>
      </c>
      <c r="D7264" t="s">
        <v>87</v>
      </c>
      <c r="E7264" t="s">
        <v>616</v>
      </c>
      <c r="F7264">
        <v>79.73</v>
      </c>
      <c r="G7264">
        <v>0</v>
      </c>
    </row>
    <row r="7265" spans="2:7" x14ac:dyDescent="0.25">
      <c r="B7265" s="70">
        <v>43441</v>
      </c>
      <c r="C7265" t="s">
        <v>25</v>
      </c>
      <c r="D7265" t="s">
        <v>87</v>
      </c>
      <c r="E7265" t="s">
        <v>616</v>
      </c>
      <c r="F7265">
        <v>40.119999999999997</v>
      </c>
      <c r="G7265">
        <v>0</v>
      </c>
    </row>
    <row r="7266" spans="2:7" x14ac:dyDescent="0.25">
      <c r="B7266" s="70">
        <v>43441</v>
      </c>
      <c r="C7266" t="s">
        <v>25</v>
      </c>
      <c r="D7266" t="s">
        <v>87</v>
      </c>
      <c r="E7266" t="s">
        <v>616</v>
      </c>
      <c r="F7266">
        <v>36.380000000000003</v>
      </c>
      <c r="G7266">
        <v>0</v>
      </c>
    </row>
    <row r="7267" spans="2:7" x14ac:dyDescent="0.25">
      <c r="B7267" s="70">
        <v>43441</v>
      </c>
      <c r="C7267" t="s">
        <v>25</v>
      </c>
      <c r="D7267" t="s">
        <v>87</v>
      </c>
      <c r="E7267" t="s">
        <v>616</v>
      </c>
      <c r="F7267">
        <v>48.56</v>
      </c>
      <c r="G7267">
        <v>0</v>
      </c>
    </row>
    <row r="7268" spans="2:7" x14ac:dyDescent="0.25">
      <c r="B7268" s="70">
        <v>43441</v>
      </c>
      <c r="C7268" t="s">
        <v>25</v>
      </c>
      <c r="D7268" t="s">
        <v>87</v>
      </c>
      <c r="E7268" t="s">
        <v>616</v>
      </c>
      <c r="F7268">
        <v>105.28</v>
      </c>
      <c r="G7268">
        <v>0</v>
      </c>
    </row>
    <row r="7269" spans="2:7" x14ac:dyDescent="0.25">
      <c r="B7269" s="70">
        <v>43441</v>
      </c>
      <c r="C7269" t="s">
        <v>25</v>
      </c>
      <c r="D7269" t="s">
        <v>82</v>
      </c>
      <c r="E7269" t="s">
        <v>616</v>
      </c>
      <c r="F7269">
        <v>19</v>
      </c>
      <c r="G7269">
        <v>0</v>
      </c>
    </row>
    <row r="7270" spans="2:7" x14ac:dyDescent="0.25">
      <c r="B7270" s="70">
        <v>43441</v>
      </c>
      <c r="C7270" t="s">
        <v>54</v>
      </c>
      <c r="D7270" t="s">
        <v>86</v>
      </c>
      <c r="E7270" t="s">
        <v>616</v>
      </c>
      <c r="F7270">
        <v>617.29999999999995</v>
      </c>
      <c r="G7270">
        <v>0</v>
      </c>
    </row>
    <row r="7271" spans="2:7" x14ac:dyDescent="0.25">
      <c r="B7271" s="70">
        <v>43441</v>
      </c>
      <c r="C7271" t="s">
        <v>46</v>
      </c>
      <c r="D7271" t="s">
        <v>87</v>
      </c>
      <c r="E7271" t="s">
        <v>616</v>
      </c>
      <c r="F7271">
        <v>329.94</v>
      </c>
      <c r="G7271">
        <v>0</v>
      </c>
    </row>
    <row r="7272" spans="2:7" x14ac:dyDescent="0.25">
      <c r="B7272" s="70">
        <v>43441</v>
      </c>
      <c r="C7272" t="s">
        <v>46</v>
      </c>
      <c r="D7272" t="s">
        <v>86</v>
      </c>
      <c r="E7272" t="s">
        <v>616</v>
      </c>
      <c r="F7272">
        <v>324.14999999999998</v>
      </c>
      <c r="G7272">
        <v>0</v>
      </c>
    </row>
    <row r="7273" spans="2:7" x14ac:dyDescent="0.25">
      <c r="B7273" s="70">
        <v>43441</v>
      </c>
      <c r="C7273" t="s">
        <v>59</v>
      </c>
      <c r="D7273" t="s">
        <v>82</v>
      </c>
      <c r="E7273" t="s">
        <v>616</v>
      </c>
      <c r="F7273">
        <v>122.77</v>
      </c>
      <c r="G7273">
        <v>0</v>
      </c>
    </row>
    <row r="7274" spans="2:7" x14ac:dyDescent="0.25">
      <c r="B7274" s="70">
        <v>43441</v>
      </c>
      <c r="C7274" t="s">
        <v>47</v>
      </c>
      <c r="D7274" t="s">
        <v>80</v>
      </c>
      <c r="E7274" t="s">
        <v>616</v>
      </c>
      <c r="F7274">
        <v>194.17</v>
      </c>
      <c r="G7274">
        <v>0</v>
      </c>
    </row>
    <row r="7275" spans="2:7" x14ac:dyDescent="0.25">
      <c r="B7275" s="70">
        <v>43441</v>
      </c>
      <c r="C7275" t="s">
        <v>47</v>
      </c>
      <c r="D7275" t="s">
        <v>86</v>
      </c>
      <c r="E7275" t="s">
        <v>616</v>
      </c>
      <c r="F7275">
        <v>22</v>
      </c>
      <c r="G7275">
        <v>0</v>
      </c>
    </row>
    <row r="7276" spans="2:7" x14ac:dyDescent="0.25">
      <c r="B7276" s="70">
        <v>43441</v>
      </c>
      <c r="C7276" t="s">
        <v>57</v>
      </c>
      <c r="D7276" t="s">
        <v>86</v>
      </c>
      <c r="E7276" t="s">
        <v>616</v>
      </c>
      <c r="F7276">
        <v>23</v>
      </c>
      <c r="G7276">
        <v>0</v>
      </c>
    </row>
    <row r="7277" spans="2:7" x14ac:dyDescent="0.25">
      <c r="B7277" s="70">
        <v>43441</v>
      </c>
      <c r="C7277" t="s">
        <v>44</v>
      </c>
      <c r="D7277" t="s">
        <v>86</v>
      </c>
      <c r="E7277" t="s">
        <v>616</v>
      </c>
      <c r="F7277">
        <v>89.7</v>
      </c>
      <c r="G7277">
        <v>0</v>
      </c>
    </row>
    <row r="7278" spans="2:7" x14ac:dyDescent="0.25">
      <c r="B7278" s="70">
        <v>43441</v>
      </c>
      <c r="C7278" t="s">
        <v>66</v>
      </c>
      <c r="D7278" t="s">
        <v>79</v>
      </c>
      <c r="E7278" t="s">
        <v>616</v>
      </c>
      <c r="F7278">
        <v>60.95</v>
      </c>
      <c r="G7278">
        <v>0</v>
      </c>
    </row>
    <row r="7279" spans="2:7" x14ac:dyDescent="0.25">
      <c r="B7279" s="70">
        <v>43441</v>
      </c>
      <c r="C7279" t="s">
        <v>48</v>
      </c>
      <c r="D7279" t="s">
        <v>82</v>
      </c>
      <c r="E7279" t="s">
        <v>616</v>
      </c>
      <c r="F7279">
        <v>362.32</v>
      </c>
      <c r="G7279">
        <v>0</v>
      </c>
    </row>
    <row r="7280" spans="2:7" x14ac:dyDescent="0.25">
      <c r="B7280" s="70">
        <v>43441</v>
      </c>
      <c r="C7280" t="s">
        <v>45</v>
      </c>
      <c r="D7280" t="s">
        <v>82</v>
      </c>
      <c r="E7280" t="s">
        <v>616</v>
      </c>
      <c r="F7280">
        <v>197</v>
      </c>
      <c r="G7280">
        <v>0</v>
      </c>
    </row>
    <row r="7281" spans="2:7" x14ac:dyDescent="0.25">
      <c r="B7281" s="70">
        <v>43441</v>
      </c>
      <c r="C7281" t="s">
        <v>53</v>
      </c>
      <c r="D7281" t="s">
        <v>85</v>
      </c>
      <c r="E7281" t="s">
        <v>616</v>
      </c>
      <c r="F7281">
        <v>107.5</v>
      </c>
      <c r="G7281">
        <v>0</v>
      </c>
    </row>
    <row r="7282" spans="2:7" x14ac:dyDescent="0.25">
      <c r="B7282" s="70">
        <v>43441</v>
      </c>
      <c r="C7282" t="s">
        <v>53</v>
      </c>
      <c r="D7282" t="s">
        <v>82</v>
      </c>
      <c r="E7282" t="s">
        <v>616</v>
      </c>
      <c r="F7282">
        <v>80.66</v>
      </c>
      <c r="G7282">
        <v>0</v>
      </c>
    </row>
    <row r="7283" spans="2:7" x14ac:dyDescent="0.25">
      <c r="B7283" s="70">
        <v>43441</v>
      </c>
      <c r="C7283" t="s">
        <v>73</v>
      </c>
      <c r="D7283" t="s">
        <v>91</v>
      </c>
      <c r="E7283" t="s">
        <v>616</v>
      </c>
      <c r="F7283">
        <v>100</v>
      </c>
      <c r="G7283">
        <v>0</v>
      </c>
    </row>
    <row r="7284" spans="2:7" x14ac:dyDescent="0.25">
      <c r="B7284" s="70">
        <v>43441</v>
      </c>
      <c r="C7284" t="s">
        <v>60</v>
      </c>
      <c r="D7284" t="s">
        <v>86</v>
      </c>
      <c r="E7284" t="s">
        <v>616</v>
      </c>
      <c r="F7284">
        <v>507.6</v>
      </c>
      <c r="G7284">
        <v>0</v>
      </c>
    </row>
    <row r="7285" spans="2:7" x14ac:dyDescent="0.25">
      <c r="B7285" s="70">
        <v>43441</v>
      </c>
      <c r="C7285" t="s">
        <v>61</v>
      </c>
      <c r="D7285" t="s">
        <v>86</v>
      </c>
      <c r="E7285" t="s">
        <v>616</v>
      </c>
      <c r="F7285">
        <v>654.45000000000005</v>
      </c>
      <c r="G7285">
        <v>0</v>
      </c>
    </row>
    <row r="7286" spans="2:7" x14ac:dyDescent="0.25">
      <c r="B7286" s="70">
        <v>43441</v>
      </c>
      <c r="C7286" t="s">
        <v>62</v>
      </c>
      <c r="D7286" t="s">
        <v>86</v>
      </c>
      <c r="E7286" t="s">
        <v>616</v>
      </c>
      <c r="F7286">
        <v>138.80000000000001</v>
      </c>
      <c r="G7286">
        <v>0</v>
      </c>
    </row>
    <row r="7287" spans="2:7" x14ac:dyDescent="0.25">
      <c r="B7287" s="70">
        <v>43349</v>
      </c>
      <c r="C7287" t="s">
        <v>25</v>
      </c>
      <c r="D7287" t="s">
        <v>87</v>
      </c>
      <c r="E7287" t="s">
        <v>617</v>
      </c>
      <c r="F7287">
        <v>48.5</v>
      </c>
      <c r="G7287">
        <v>0</v>
      </c>
    </row>
    <row r="7288" spans="2:7" x14ac:dyDescent="0.25">
      <c r="B7288" s="70">
        <v>43349</v>
      </c>
      <c r="C7288" t="s">
        <v>25</v>
      </c>
      <c r="D7288" t="s">
        <v>87</v>
      </c>
      <c r="E7288" t="s">
        <v>617</v>
      </c>
      <c r="F7288">
        <v>88.75</v>
      </c>
      <c r="G7288">
        <v>0</v>
      </c>
    </row>
    <row r="7289" spans="2:7" x14ac:dyDescent="0.25">
      <c r="B7289" s="70">
        <v>43349</v>
      </c>
      <c r="C7289" t="s">
        <v>25</v>
      </c>
      <c r="D7289" t="s">
        <v>87</v>
      </c>
      <c r="E7289" t="s">
        <v>617</v>
      </c>
      <c r="F7289">
        <v>34.049999999999997</v>
      </c>
      <c r="G7289">
        <v>0</v>
      </c>
    </row>
    <row r="7290" spans="2:7" x14ac:dyDescent="0.25">
      <c r="B7290" s="70">
        <v>43349</v>
      </c>
      <c r="C7290" t="s">
        <v>25</v>
      </c>
      <c r="D7290" t="s">
        <v>87</v>
      </c>
      <c r="E7290" t="s">
        <v>617</v>
      </c>
      <c r="F7290">
        <v>75.099999999999994</v>
      </c>
      <c r="G7290">
        <v>0</v>
      </c>
    </row>
    <row r="7291" spans="2:7" x14ac:dyDescent="0.25">
      <c r="B7291" s="70">
        <v>43349</v>
      </c>
      <c r="C7291" t="s">
        <v>46</v>
      </c>
      <c r="D7291" t="s">
        <v>82</v>
      </c>
      <c r="E7291" t="s">
        <v>617</v>
      </c>
      <c r="F7291">
        <v>1.57</v>
      </c>
      <c r="G7291">
        <v>0</v>
      </c>
    </row>
    <row r="7292" spans="2:7" x14ac:dyDescent="0.25">
      <c r="B7292" s="70">
        <v>43349</v>
      </c>
      <c r="C7292" t="s">
        <v>21</v>
      </c>
      <c r="D7292" t="s">
        <v>79</v>
      </c>
      <c r="E7292" t="s">
        <v>617</v>
      </c>
      <c r="F7292">
        <v>24</v>
      </c>
      <c r="G7292">
        <v>0</v>
      </c>
    </row>
    <row r="7293" spans="2:7" x14ac:dyDescent="0.25">
      <c r="B7293" s="70">
        <v>43349</v>
      </c>
      <c r="C7293" t="s">
        <v>21</v>
      </c>
      <c r="D7293" t="s">
        <v>79</v>
      </c>
      <c r="E7293" t="s">
        <v>617</v>
      </c>
      <c r="F7293">
        <v>32</v>
      </c>
      <c r="G7293">
        <v>0</v>
      </c>
    </row>
    <row r="7294" spans="2:7" x14ac:dyDescent="0.25">
      <c r="B7294" s="70">
        <v>43349</v>
      </c>
      <c r="C7294" t="s">
        <v>21</v>
      </c>
      <c r="D7294" t="s">
        <v>79</v>
      </c>
      <c r="E7294" t="s">
        <v>617</v>
      </c>
      <c r="F7294">
        <v>40</v>
      </c>
      <c r="G7294">
        <v>0</v>
      </c>
    </row>
    <row r="7295" spans="2:7" x14ac:dyDescent="0.25">
      <c r="B7295" s="70">
        <v>43349</v>
      </c>
      <c r="C7295" t="s">
        <v>21</v>
      </c>
      <c r="D7295" t="s">
        <v>79</v>
      </c>
      <c r="E7295" t="s">
        <v>617</v>
      </c>
      <c r="F7295">
        <v>64</v>
      </c>
      <c r="G7295">
        <v>0</v>
      </c>
    </row>
    <row r="7296" spans="2:7" x14ac:dyDescent="0.25">
      <c r="B7296" s="70">
        <v>43349</v>
      </c>
      <c r="C7296" t="s">
        <v>21</v>
      </c>
      <c r="D7296" t="s">
        <v>79</v>
      </c>
      <c r="E7296" t="s">
        <v>617</v>
      </c>
      <c r="F7296">
        <v>88</v>
      </c>
      <c r="G7296">
        <v>0</v>
      </c>
    </row>
    <row r="7297" spans="2:7" x14ac:dyDescent="0.25">
      <c r="B7297" s="70">
        <v>43349</v>
      </c>
      <c r="C7297" t="s">
        <v>66</v>
      </c>
      <c r="D7297" t="s">
        <v>79</v>
      </c>
      <c r="E7297" t="s">
        <v>617</v>
      </c>
      <c r="F7297">
        <v>62.42</v>
      </c>
      <c r="G7297">
        <v>0</v>
      </c>
    </row>
    <row r="7298" spans="2:7" x14ac:dyDescent="0.25">
      <c r="B7298" s="70">
        <v>43349</v>
      </c>
      <c r="C7298" t="s">
        <v>48</v>
      </c>
      <c r="D7298" t="s">
        <v>87</v>
      </c>
      <c r="E7298" t="s">
        <v>617</v>
      </c>
      <c r="F7298">
        <v>25.68</v>
      </c>
      <c r="G7298">
        <v>0</v>
      </c>
    </row>
    <row r="7299" spans="2:7" x14ac:dyDescent="0.25">
      <c r="B7299" s="70">
        <v>43349</v>
      </c>
      <c r="C7299" t="s">
        <v>45</v>
      </c>
      <c r="D7299" t="s">
        <v>82</v>
      </c>
      <c r="E7299" t="s">
        <v>617</v>
      </c>
      <c r="F7299">
        <v>57.9</v>
      </c>
      <c r="G7299">
        <v>0</v>
      </c>
    </row>
    <row r="7300" spans="2:7" x14ac:dyDescent="0.25">
      <c r="B7300" s="70">
        <v>43349</v>
      </c>
      <c r="C7300" t="s">
        <v>50</v>
      </c>
      <c r="D7300" t="s">
        <v>85</v>
      </c>
      <c r="E7300" t="s">
        <v>617</v>
      </c>
      <c r="F7300">
        <v>128</v>
      </c>
      <c r="G7300">
        <v>0</v>
      </c>
    </row>
    <row r="7301" spans="2:7" x14ac:dyDescent="0.25">
      <c r="B7301" s="70">
        <v>43349</v>
      </c>
      <c r="C7301" t="s">
        <v>58</v>
      </c>
      <c r="D7301" t="s">
        <v>86</v>
      </c>
      <c r="E7301" t="s">
        <v>617</v>
      </c>
      <c r="F7301">
        <v>0</v>
      </c>
      <c r="G7301">
        <v>24</v>
      </c>
    </row>
    <row r="7302" spans="2:7" x14ac:dyDescent="0.25">
      <c r="B7302" s="70">
        <v>43349</v>
      </c>
      <c r="C7302" t="s">
        <v>58</v>
      </c>
      <c r="D7302" t="s">
        <v>82</v>
      </c>
      <c r="E7302" t="s">
        <v>617</v>
      </c>
      <c r="F7302">
        <v>67.599999999999994</v>
      </c>
      <c r="G7302">
        <v>0</v>
      </c>
    </row>
    <row r="7303" spans="2:7" x14ac:dyDescent="0.25">
      <c r="B7303" s="70">
        <v>43349</v>
      </c>
      <c r="C7303" t="s">
        <v>53</v>
      </c>
      <c r="D7303" t="s">
        <v>85</v>
      </c>
      <c r="E7303" t="s">
        <v>617</v>
      </c>
      <c r="F7303">
        <v>253.24</v>
      </c>
      <c r="G7303">
        <v>0</v>
      </c>
    </row>
    <row r="7304" spans="2:7" x14ac:dyDescent="0.25">
      <c r="B7304" s="70">
        <v>43349</v>
      </c>
      <c r="C7304" t="s">
        <v>63</v>
      </c>
      <c r="D7304" t="s">
        <v>82</v>
      </c>
      <c r="E7304" t="s">
        <v>617</v>
      </c>
      <c r="F7304">
        <v>50.75</v>
      </c>
      <c r="G7304">
        <v>0</v>
      </c>
    </row>
    <row r="7305" spans="2:7" x14ac:dyDescent="0.25">
      <c r="B7305" s="70">
        <v>43349</v>
      </c>
      <c r="C7305" t="s">
        <v>71</v>
      </c>
      <c r="D7305" t="s">
        <v>80</v>
      </c>
      <c r="E7305" t="s">
        <v>617</v>
      </c>
      <c r="F7305">
        <v>163.9</v>
      </c>
      <c r="G7305">
        <v>0</v>
      </c>
    </row>
    <row r="7306" spans="2:7" x14ac:dyDescent="0.25">
      <c r="B7306" s="70">
        <v>43349</v>
      </c>
      <c r="C7306" t="s">
        <v>60</v>
      </c>
      <c r="D7306" t="s">
        <v>80</v>
      </c>
      <c r="E7306" t="s">
        <v>617</v>
      </c>
      <c r="F7306">
        <v>453.48</v>
      </c>
      <c r="G7306">
        <v>0</v>
      </c>
    </row>
    <row r="7307" spans="2:7" x14ac:dyDescent="0.25">
      <c r="B7307" s="70">
        <v>43349</v>
      </c>
      <c r="C7307" t="s">
        <v>60</v>
      </c>
      <c r="D7307" t="s">
        <v>87</v>
      </c>
      <c r="E7307" t="s">
        <v>617</v>
      </c>
      <c r="F7307">
        <v>8.57</v>
      </c>
      <c r="G7307">
        <v>0</v>
      </c>
    </row>
    <row r="7308" spans="2:7" x14ac:dyDescent="0.25">
      <c r="B7308" s="70">
        <v>43267</v>
      </c>
      <c r="C7308" t="s">
        <v>25</v>
      </c>
      <c r="D7308" t="s">
        <v>81</v>
      </c>
      <c r="E7308" t="s">
        <v>144</v>
      </c>
      <c r="F7308">
        <v>22.2</v>
      </c>
      <c r="G7308">
        <v>0</v>
      </c>
    </row>
    <row r="7309" spans="2:7" x14ac:dyDescent="0.25">
      <c r="B7309" s="70">
        <v>43267</v>
      </c>
      <c r="C7309" t="s">
        <v>54</v>
      </c>
      <c r="D7309" t="s">
        <v>86</v>
      </c>
      <c r="E7309" t="s">
        <v>618</v>
      </c>
      <c r="F7309">
        <v>794.05</v>
      </c>
      <c r="G7309">
        <v>0</v>
      </c>
    </row>
    <row r="7310" spans="2:7" x14ac:dyDescent="0.25">
      <c r="B7310" s="70">
        <v>43267</v>
      </c>
      <c r="C7310" t="s">
        <v>44</v>
      </c>
      <c r="D7310" t="s">
        <v>86</v>
      </c>
      <c r="E7310" t="s">
        <v>618</v>
      </c>
      <c r="F7310">
        <v>89.45</v>
      </c>
      <c r="G7310">
        <v>0</v>
      </c>
    </row>
    <row r="7311" spans="2:7" x14ac:dyDescent="0.25">
      <c r="B7311" s="70">
        <v>43267</v>
      </c>
      <c r="C7311" t="s">
        <v>66</v>
      </c>
      <c r="D7311" t="s">
        <v>85</v>
      </c>
      <c r="E7311" t="s">
        <v>618</v>
      </c>
      <c r="F7311">
        <v>54.1</v>
      </c>
      <c r="G7311">
        <v>0</v>
      </c>
    </row>
    <row r="7312" spans="2:7" x14ac:dyDescent="0.25">
      <c r="B7312" s="70">
        <v>43267</v>
      </c>
      <c r="C7312" t="s">
        <v>50</v>
      </c>
      <c r="D7312" t="s">
        <v>82</v>
      </c>
      <c r="E7312" t="s">
        <v>618</v>
      </c>
      <c r="F7312">
        <v>15.16</v>
      </c>
      <c r="G7312">
        <v>0</v>
      </c>
    </row>
    <row r="7313" spans="2:7" x14ac:dyDescent="0.25">
      <c r="B7313" s="70">
        <v>43267</v>
      </c>
      <c r="C7313" t="s">
        <v>68</v>
      </c>
      <c r="D7313" t="s">
        <v>85</v>
      </c>
      <c r="E7313" t="s">
        <v>618</v>
      </c>
      <c r="F7313">
        <v>1020.63</v>
      </c>
      <c r="G7313">
        <v>0</v>
      </c>
    </row>
    <row r="7314" spans="2:7" x14ac:dyDescent="0.25">
      <c r="B7314" s="70">
        <v>43267</v>
      </c>
      <c r="C7314" t="s">
        <v>60</v>
      </c>
      <c r="D7314" t="s">
        <v>86</v>
      </c>
      <c r="E7314" t="s">
        <v>618</v>
      </c>
      <c r="F7314">
        <v>638.95000000000005</v>
      </c>
      <c r="G7314">
        <v>0</v>
      </c>
    </row>
    <row r="7315" spans="2:7" x14ac:dyDescent="0.25">
      <c r="B7315" s="70">
        <v>43267</v>
      </c>
      <c r="C7315" t="s">
        <v>61</v>
      </c>
      <c r="D7315" t="s">
        <v>86</v>
      </c>
      <c r="E7315" t="s">
        <v>618</v>
      </c>
      <c r="F7315">
        <v>642.15</v>
      </c>
      <c r="G7315">
        <v>0</v>
      </c>
    </row>
    <row r="7316" spans="2:7" x14ac:dyDescent="0.25">
      <c r="B7316" s="70">
        <v>43267</v>
      </c>
      <c r="C7316" t="s">
        <v>62</v>
      </c>
      <c r="D7316" t="s">
        <v>86</v>
      </c>
      <c r="E7316" t="s">
        <v>618</v>
      </c>
      <c r="F7316">
        <v>112.2</v>
      </c>
      <c r="G7316">
        <v>0</v>
      </c>
    </row>
    <row r="7317" spans="2:7" x14ac:dyDescent="0.25">
      <c r="B7317" s="70">
        <v>43267</v>
      </c>
      <c r="C7317" t="s">
        <v>413</v>
      </c>
      <c r="D7317" t="s">
        <v>79</v>
      </c>
      <c r="E7317" t="s">
        <v>618</v>
      </c>
      <c r="F7317">
        <v>30.3</v>
      </c>
      <c r="G7317">
        <v>0</v>
      </c>
    </row>
    <row r="7318" spans="2:7" x14ac:dyDescent="0.25">
      <c r="B7318" s="70">
        <v>43253</v>
      </c>
      <c r="C7318" t="s">
        <v>54</v>
      </c>
      <c r="D7318" t="s">
        <v>82</v>
      </c>
      <c r="E7318" t="s">
        <v>619</v>
      </c>
      <c r="F7318">
        <v>4.87</v>
      </c>
      <c r="G7318">
        <v>0</v>
      </c>
    </row>
    <row r="7319" spans="2:7" x14ac:dyDescent="0.25">
      <c r="B7319" s="70">
        <v>43253</v>
      </c>
      <c r="C7319" t="s">
        <v>46</v>
      </c>
      <c r="D7319" t="s">
        <v>82</v>
      </c>
      <c r="E7319" t="s">
        <v>619</v>
      </c>
      <c r="F7319">
        <v>10</v>
      </c>
      <c r="G7319">
        <v>0</v>
      </c>
    </row>
    <row r="7320" spans="2:7" x14ac:dyDescent="0.25">
      <c r="B7320" s="70">
        <v>43253</v>
      </c>
      <c r="C7320" t="s">
        <v>56</v>
      </c>
      <c r="D7320" t="s">
        <v>82</v>
      </c>
      <c r="E7320" t="s">
        <v>619</v>
      </c>
      <c r="F7320">
        <v>112</v>
      </c>
      <c r="G7320">
        <v>0</v>
      </c>
    </row>
    <row r="7321" spans="2:7" x14ac:dyDescent="0.25">
      <c r="B7321" s="70">
        <v>43253</v>
      </c>
      <c r="C7321" t="s">
        <v>21</v>
      </c>
      <c r="D7321" t="s">
        <v>79</v>
      </c>
      <c r="E7321" t="s">
        <v>619</v>
      </c>
      <c r="F7321">
        <v>8</v>
      </c>
      <c r="G7321">
        <v>0</v>
      </c>
    </row>
    <row r="7322" spans="2:7" x14ac:dyDescent="0.25">
      <c r="B7322" s="70">
        <v>43253</v>
      </c>
      <c r="C7322" t="s">
        <v>48</v>
      </c>
      <c r="D7322" t="s">
        <v>84</v>
      </c>
      <c r="E7322" t="s">
        <v>619</v>
      </c>
      <c r="F7322">
        <v>150</v>
      </c>
      <c r="G7322">
        <v>0</v>
      </c>
    </row>
    <row r="7323" spans="2:7" x14ac:dyDescent="0.25">
      <c r="B7323" s="70">
        <v>43253</v>
      </c>
      <c r="C7323" t="s">
        <v>49</v>
      </c>
      <c r="D7323" t="s">
        <v>84</v>
      </c>
      <c r="E7323" t="s">
        <v>619</v>
      </c>
      <c r="F7323">
        <v>300</v>
      </c>
      <c r="G7323">
        <v>0</v>
      </c>
    </row>
    <row r="7324" spans="2:7" x14ac:dyDescent="0.25">
      <c r="B7324" s="70">
        <v>43253</v>
      </c>
      <c r="C7324" t="s">
        <v>50</v>
      </c>
      <c r="D7324" t="s">
        <v>84</v>
      </c>
      <c r="E7324" t="s">
        <v>619</v>
      </c>
      <c r="F7324">
        <v>2700</v>
      </c>
      <c r="G7324">
        <v>0</v>
      </c>
    </row>
    <row r="7325" spans="2:7" x14ac:dyDescent="0.25">
      <c r="B7325" s="70">
        <v>43253</v>
      </c>
      <c r="C7325" t="s">
        <v>24</v>
      </c>
      <c r="D7325" t="s">
        <v>79</v>
      </c>
      <c r="E7325" t="s">
        <v>619</v>
      </c>
      <c r="F7325">
        <v>8</v>
      </c>
      <c r="G7325">
        <v>0</v>
      </c>
    </row>
    <row r="7326" spans="2:7" x14ac:dyDescent="0.25">
      <c r="B7326" s="70">
        <v>43375</v>
      </c>
      <c r="C7326" t="s">
        <v>25</v>
      </c>
      <c r="D7326" t="s">
        <v>79</v>
      </c>
      <c r="E7326" t="s">
        <v>620</v>
      </c>
      <c r="F7326">
        <v>8</v>
      </c>
      <c r="G7326">
        <v>0</v>
      </c>
    </row>
    <row r="7327" spans="2:7" x14ac:dyDescent="0.25">
      <c r="B7327" s="70">
        <v>43375</v>
      </c>
      <c r="C7327" t="s">
        <v>25</v>
      </c>
      <c r="D7327" t="s">
        <v>80</v>
      </c>
      <c r="E7327" t="s">
        <v>620</v>
      </c>
      <c r="F7327">
        <v>16.3</v>
      </c>
      <c r="G7327">
        <v>0</v>
      </c>
    </row>
    <row r="7328" spans="2:7" x14ac:dyDescent="0.25">
      <c r="B7328" s="70">
        <v>43375</v>
      </c>
      <c r="C7328" t="s">
        <v>25</v>
      </c>
      <c r="D7328" t="s">
        <v>80</v>
      </c>
      <c r="E7328" t="s">
        <v>620</v>
      </c>
      <c r="F7328">
        <v>34.76</v>
      </c>
      <c r="G7328">
        <v>0</v>
      </c>
    </row>
    <row r="7329" spans="2:7" x14ac:dyDescent="0.25">
      <c r="B7329" s="70">
        <v>43375</v>
      </c>
      <c r="C7329" t="s">
        <v>25</v>
      </c>
      <c r="D7329" t="s">
        <v>80</v>
      </c>
      <c r="E7329" t="s">
        <v>620</v>
      </c>
      <c r="F7329">
        <v>26.16</v>
      </c>
      <c r="G7329">
        <v>0</v>
      </c>
    </row>
    <row r="7330" spans="2:7" x14ac:dyDescent="0.25">
      <c r="B7330" s="70">
        <v>43375</v>
      </c>
      <c r="C7330" t="s">
        <v>25</v>
      </c>
      <c r="D7330" t="s">
        <v>87</v>
      </c>
      <c r="E7330" t="s">
        <v>620</v>
      </c>
      <c r="F7330">
        <v>70</v>
      </c>
      <c r="G7330">
        <v>0</v>
      </c>
    </row>
    <row r="7331" spans="2:7" x14ac:dyDescent="0.25">
      <c r="B7331" s="70">
        <v>43375</v>
      </c>
      <c r="C7331" t="s">
        <v>25</v>
      </c>
      <c r="D7331" t="s">
        <v>87</v>
      </c>
      <c r="E7331" t="s">
        <v>620</v>
      </c>
      <c r="F7331">
        <v>49.32</v>
      </c>
      <c r="G7331">
        <v>0</v>
      </c>
    </row>
    <row r="7332" spans="2:7" x14ac:dyDescent="0.25">
      <c r="B7332" s="70">
        <v>43375</v>
      </c>
      <c r="C7332" t="s">
        <v>25</v>
      </c>
      <c r="D7332" t="s">
        <v>87</v>
      </c>
      <c r="E7332" t="s">
        <v>620</v>
      </c>
      <c r="F7332">
        <v>103.39</v>
      </c>
      <c r="G7332">
        <v>0</v>
      </c>
    </row>
    <row r="7333" spans="2:7" x14ac:dyDescent="0.25">
      <c r="B7333" s="70">
        <v>43375</v>
      </c>
      <c r="C7333" t="s">
        <v>25</v>
      </c>
      <c r="D7333" t="s">
        <v>87</v>
      </c>
      <c r="E7333" t="s">
        <v>620</v>
      </c>
      <c r="F7333">
        <v>37.799999999999997</v>
      </c>
      <c r="G7333">
        <v>0</v>
      </c>
    </row>
    <row r="7334" spans="2:7" x14ac:dyDescent="0.25">
      <c r="B7334" s="70">
        <v>43375</v>
      </c>
      <c r="C7334" t="s">
        <v>25</v>
      </c>
      <c r="D7334" t="s">
        <v>87</v>
      </c>
      <c r="E7334" t="s">
        <v>620</v>
      </c>
      <c r="F7334">
        <v>30.65</v>
      </c>
      <c r="G7334">
        <v>0</v>
      </c>
    </row>
    <row r="7335" spans="2:7" x14ac:dyDescent="0.25">
      <c r="B7335" s="70">
        <v>43375</v>
      </c>
      <c r="C7335" t="s">
        <v>25</v>
      </c>
      <c r="D7335" t="s">
        <v>87</v>
      </c>
      <c r="E7335" t="s">
        <v>620</v>
      </c>
      <c r="F7335">
        <v>22.95</v>
      </c>
      <c r="G7335">
        <v>0</v>
      </c>
    </row>
    <row r="7336" spans="2:7" x14ac:dyDescent="0.25">
      <c r="B7336" s="70">
        <v>43375</v>
      </c>
      <c r="C7336" t="s">
        <v>25</v>
      </c>
      <c r="D7336" t="s">
        <v>87</v>
      </c>
      <c r="E7336" t="s">
        <v>620</v>
      </c>
      <c r="F7336">
        <v>85.2</v>
      </c>
      <c r="G7336">
        <v>0</v>
      </c>
    </row>
    <row r="7337" spans="2:7" x14ac:dyDescent="0.25">
      <c r="B7337" s="70">
        <v>43375</v>
      </c>
      <c r="C7337" t="s">
        <v>25</v>
      </c>
      <c r="D7337" t="s">
        <v>81</v>
      </c>
      <c r="E7337" t="s">
        <v>133</v>
      </c>
      <c r="F7337">
        <v>2.4</v>
      </c>
      <c r="G7337">
        <v>0</v>
      </c>
    </row>
    <row r="7338" spans="2:7" x14ac:dyDescent="0.25">
      <c r="B7338" s="70">
        <v>43375</v>
      </c>
      <c r="C7338" t="s">
        <v>46</v>
      </c>
      <c r="D7338" t="s">
        <v>82</v>
      </c>
      <c r="E7338" t="s">
        <v>620</v>
      </c>
      <c r="F7338">
        <v>24.6</v>
      </c>
      <c r="G7338">
        <v>0</v>
      </c>
    </row>
    <row r="7339" spans="2:7" x14ac:dyDescent="0.25">
      <c r="B7339" s="70">
        <v>43375</v>
      </c>
      <c r="C7339" t="s">
        <v>59</v>
      </c>
      <c r="D7339" t="s">
        <v>84</v>
      </c>
      <c r="E7339" t="s">
        <v>620</v>
      </c>
      <c r="F7339">
        <v>106.09</v>
      </c>
      <c r="G7339">
        <v>0</v>
      </c>
    </row>
    <row r="7340" spans="2:7" x14ac:dyDescent="0.25">
      <c r="B7340" s="70">
        <v>43375</v>
      </c>
      <c r="C7340" t="s">
        <v>47</v>
      </c>
      <c r="D7340" t="s">
        <v>86</v>
      </c>
      <c r="E7340" t="s">
        <v>620</v>
      </c>
      <c r="F7340">
        <v>152.05000000000001</v>
      </c>
      <c r="G7340">
        <v>0</v>
      </c>
    </row>
    <row r="7341" spans="2:7" x14ac:dyDescent="0.25">
      <c r="B7341" s="70">
        <v>43375</v>
      </c>
      <c r="C7341" t="s">
        <v>47</v>
      </c>
      <c r="D7341" t="s">
        <v>82</v>
      </c>
      <c r="E7341" t="s">
        <v>620</v>
      </c>
      <c r="F7341">
        <v>23</v>
      </c>
      <c r="G7341">
        <v>0</v>
      </c>
    </row>
    <row r="7342" spans="2:7" x14ac:dyDescent="0.25">
      <c r="B7342" s="70">
        <v>43375</v>
      </c>
      <c r="C7342" t="s">
        <v>51</v>
      </c>
      <c r="D7342" t="s">
        <v>82</v>
      </c>
      <c r="E7342" t="s">
        <v>620</v>
      </c>
      <c r="F7342">
        <v>99.01</v>
      </c>
      <c r="G7342">
        <v>0</v>
      </c>
    </row>
    <row r="7343" spans="2:7" x14ac:dyDescent="0.25">
      <c r="B7343" s="70">
        <v>43375</v>
      </c>
      <c r="C7343" t="s">
        <v>21</v>
      </c>
      <c r="D7343" t="s">
        <v>79</v>
      </c>
      <c r="E7343" t="s">
        <v>620</v>
      </c>
      <c r="F7343">
        <v>8</v>
      </c>
      <c r="G7343">
        <v>0</v>
      </c>
    </row>
    <row r="7344" spans="2:7" x14ac:dyDescent="0.25">
      <c r="B7344" s="70">
        <v>43375</v>
      </c>
      <c r="C7344" t="s">
        <v>21</v>
      </c>
      <c r="D7344" t="s">
        <v>79</v>
      </c>
      <c r="E7344" t="s">
        <v>620</v>
      </c>
      <c r="F7344">
        <v>16</v>
      </c>
      <c r="G7344">
        <v>0</v>
      </c>
    </row>
    <row r="7345" spans="2:7" x14ac:dyDescent="0.25">
      <c r="B7345" s="70">
        <v>43375</v>
      </c>
      <c r="C7345" t="s">
        <v>21</v>
      </c>
      <c r="D7345" t="s">
        <v>79</v>
      </c>
      <c r="E7345" t="s">
        <v>620</v>
      </c>
      <c r="F7345">
        <v>24</v>
      </c>
      <c r="G7345">
        <v>0</v>
      </c>
    </row>
    <row r="7346" spans="2:7" x14ac:dyDescent="0.25">
      <c r="B7346" s="70">
        <v>43375</v>
      </c>
      <c r="C7346" t="s">
        <v>21</v>
      </c>
      <c r="D7346" t="s">
        <v>79</v>
      </c>
      <c r="E7346" t="s">
        <v>620</v>
      </c>
      <c r="F7346">
        <v>32</v>
      </c>
      <c r="G7346">
        <v>0</v>
      </c>
    </row>
    <row r="7347" spans="2:7" x14ac:dyDescent="0.25">
      <c r="B7347" s="70">
        <v>43375</v>
      </c>
      <c r="C7347" t="s">
        <v>48</v>
      </c>
      <c r="D7347" t="s">
        <v>80</v>
      </c>
      <c r="E7347" t="s">
        <v>620</v>
      </c>
      <c r="F7347">
        <v>0</v>
      </c>
      <c r="G7347">
        <v>297.57</v>
      </c>
    </row>
    <row r="7348" spans="2:7" x14ac:dyDescent="0.25">
      <c r="B7348" s="70">
        <v>43375</v>
      </c>
      <c r="C7348" t="s">
        <v>48</v>
      </c>
      <c r="D7348" t="s">
        <v>80</v>
      </c>
      <c r="E7348" t="s">
        <v>620</v>
      </c>
      <c r="F7348">
        <v>60</v>
      </c>
      <c r="G7348">
        <v>0</v>
      </c>
    </row>
    <row r="7349" spans="2:7" x14ac:dyDescent="0.25">
      <c r="B7349" s="70">
        <v>43375</v>
      </c>
      <c r="C7349" t="s">
        <v>48</v>
      </c>
      <c r="D7349" t="s">
        <v>87</v>
      </c>
      <c r="E7349" t="s">
        <v>620</v>
      </c>
      <c r="F7349">
        <v>25.95</v>
      </c>
      <c r="G7349">
        <v>0</v>
      </c>
    </row>
    <row r="7350" spans="2:7" x14ac:dyDescent="0.25">
      <c r="B7350" s="70">
        <v>43375</v>
      </c>
      <c r="C7350" t="s">
        <v>48</v>
      </c>
      <c r="D7350" t="s">
        <v>84</v>
      </c>
      <c r="E7350" t="s">
        <v>620</v>
      </c>
      <c r="F7350">
        <v>150</v>
      </c>
      <c r="G7350">
        <v>0</v>
      </c>
    </row>
    <row r="7351" spans="2:7" x14ac:dyDescent="0.25">
      <c r="B7351" s="70">
        <v>43375</v>
      </c>
      <c r="C7351" t="s">
        <v>55</v>
      </c>
      <c r="D7351" t="s">
        <v>80</v>
      </c>
      <c r="E7351" t="s">
        <v>620</v>
      </c>
      <c r="F7351">
        <v>333.89</v>
      </c>
      <c r="G7351">
        <v>0</v>
      </c>
    </row>
    <row r="7352" spans="2:7" x14ac:dyDescent="0.25">
      <c r="B7352" s="70">
        <v>43375</v>
      </c>
      <c r="C7352" t="s">
        <v>55</v>
      </c>
      <c r="D7352" t="s">
        <v>87</v>
      </c>
      <c r="E7352" t="s">
        <v>620</v>
      </c>
      <c r="F7352">
        <v>555.79999999999995</v>
      </c>
      <c r="G7352">
        <v>0</v>
      </c>
    </row>
    <row r="7353" spans="2:7" x14ac:dyDescent="0.25">
      <c r="B7353" s="70">
        <v>43375</v>
      </c>
      <c r="C7353" t="s">
        <v>55</v>
      </c>
      <c r="D7353" t="s">
        <v>86</v>
      </c>
      <c r="E7353" t="s">
        <v>620</v>
      </c>
      <c r="F7353">
        <v>237.9</v>
      </c>
      <c r="G7353">
        <v>0</v>
      </c>
    </row>
    <row r="7354" spans="2:7" x14ac:dyDescent="0.25">
      <c r="B7354" s="70">
        <v>43375</v>
      </c>
      <c r="C7354" t="s">
        <v>45</v>
      </c>
      <c r="D7354" t="s">
        <v>79</v>
      </c>
      <c r="E7354" t="s">
        <v>620</v>
      </c>
      <c r="F7354">
        <v>61.38</v>
      </c>
      <c r="G7354">
        <v>0</v>
      </c>
    </row>
    <row r="7355" spans="2:7" x14ac:dyDescent="0.25">
      <c r="B7355" s="70">
        <v>43375</v>
      </c>
      <c r="C7355" t="s">
        <v>49</v>
      </c>
      <c r="D7355" t="s">
        <v>91</v>
      </c>
      <c r="E7355" t="s">
        <v>620</v>
      </c>
      <c r="F7355">
        <v>75</v>
      </c>
      <c r="G7355">
        <v>0</v>
      </c>
    </row>
    <row r="7356" spans="2:7" x14ac:dyDescent="0.25">
      <c r="B7356" s="70">
        <v>43375</v>
      </c>
      <c r="C7356" t="s">
        <v>49</v>
      </c>
      <c r="D7356" t="s">
        <v>84</v>
      </c>
      <c r="E7356" t="s">
        <v>620</v>
      </c>
      <c r="F7356">
        <v>300</v>
      </c>
      <c r="G7356">
        <v>0</v>
      </c>
    </row>
    <row r="7357" spans="2:7" x14ac:dyDescent="0.25">
      <c r="B7357" s="70">
        <v>43375</v>
      </c>
      <c r="C7357" t="s">
        <v>50</v>
      </c>
      <c r="D7357" t="s">
        <v>83</v>
      </c>
      <c r="E7357" t="s">
        <v>620</v>
      </c>
      <c r="F7357">
        <v>100</v>
      </c>
      <c r="G7357">
        <v>0</v>
      </c>
    </row>
    <row r="7358" spans="2:7" x14ac:dyDescent="0.25">
      <c r="B7358" s="70">
        <v>43375</v>
      </c>
      <c r="C7358" t="s">
        <v>50</v>
      </c>
      <c r="D7358" t="s">
        <v>84</v>
      </c>
      <c r="E7358" t="s">
        <v>620</v>
      </c>
      <c r="F7358">
        <v>2100</v>
      </c>
      <c r="G7358">
        <v>0</v>
      </c>
    </row>
    <row r="7359" spans="2:7" x14ac:dyDescent="0.25">
      <c r="B7359" s="70">
        <v>43375</v>
      </c>
      <c r="C7359" t="s">
        <v>65</v>
      </c>
      <c r="D7359" t="s">
        <v>80</v>
      </c>
      <c r="E7359" t="s">
        <v>620</v>
      </c>
      <c r="F7359">
        <v>0</v>
      </c>
      <c r="G7359">
        <v>32.049999999999997</v>
      </c>
    </row>
    <row r="7360" spans="2:7" x14ac:dyDescent="0.25">
      <c r="B7360" s="70">
        <v>43375</v>
      </c>
      <c r="C7360" t="s">
        <v>65</v>
      </c>
      <c r="D7360" t="s">
        <v>87</v>
      </c>
      <c r="E7360" t="s">
        <v>620</v>
      </c>
      <c r="F7360">
        <v>32.049999999999997</v>
      </c>
      <c r="G7360">
        <v>0</v>
      </c>
    </row>
    <row r="7361" spans="2:7" x14ac:dyDescent="0.25">
      <c r="B7361" s="70">
        <v>43375</v>
      </c>
      <c r="C7361" t="s">
        <v>73</v>
      </c>
      <c r="D7361" t="s">
        <v>82</v>
      </c>
      <c r="E7361" t="s">
        <v>620</v>
      </c>
      <c r="F7361">
        <v>37.299999999999997</v>
      </c>
      <c r="G7361">
        <v>0</v>
      </c>
    </row>
    <row r="7362" spans="2:7" x14ac:dyDescent="0.25">
      <c r="B7362" s="70">
        <v>43375</v>
      </c>
      <c r="C7362" t="s">
        <v>24</v>
      </c>
      <c r="D7362" t="s">
        <v>79</v>
      </c>
      <c r="E7362" t="s">
        <v>620</v>
      </c>
      <c r="F7362">
        <v>16</v>
      </c>
      <c r="G7362">
        <v>0</v>
      </c>
    </row>
    <row r="7363" spans="2:7" x14ac:dyDescent="0.25">
      <c r="B7363" s="70">
        <v>43375</v>
      </c>
      <c r="C7363" t="s">
        <v>24</v>
      </c>
      <c r="D7363" t="s">
        <v>79</v>
      </c>
      <c r="E7363" t="s">
        <v>620</v>
      </c>
      <c r="F7363">
        <v>40</v>
      </c>
      <c r="G7363">
        <v>0</v>
      </c>
    </row>
    <row r="7364" spans="2:7" x14ac:dyDescent="0.25">
      <c r="B7364" s="70">
        <v>43389</v>
      </c>
      <c r="C7364" t="s">
        <v>25</v>
      </c>
      <c r="D7364" t="s">
        <v>83</v>
      </c>
      <c r="E7364" t="s">
        <v>621</v>
      </c>
      <c r="F7364">
        <v>11.9</v>
      </c>
      <c r="G7364">
        <v>0</v>
      </c>
    </row>
    <row r="7365" spans="2:7" x14ac:dyDescent="0.25">
      <c r="B7365" s="70">
        <v>43389</v>
      </c>
      <c r="C7365" t="s">
        <v>25</v>
      </c>
      <c r="D7365" t="s">
        <v>80</v>
      </c>
      <c r="E7365" t="s">
        <v>621</v>
      </c>
      <c r="F7365">
        <v>12.65</v>
      </c>
      <c r="G7365">
        <v>0</v>
      </c>
    </row>
    <row r="7366" spans="2:7" x14ac:dyDescent="0.25">
      <c r="B7366" s="70">
        <v>43389</v>
      </c>
      <c r="C7366" t="s">
        <v>25</v>
      </c>
      <c r="D7366" t="s">
        <v>80</v>
      </c>
      <c r="E7366" t="s">
        <v>621</v>
      </c>
      <c r="F7366">
        <v>23.99</v>
      </c>
      <c r="G7366">
        <v>0</v>
      </c>
    </row>
    <row r="7367" spans="2:7" x14ac:dyDescent="0.25">
      <c r="B7367" s="70">
        <v>43389</v>
      </c>
      <c r="C7367" t="s">
        <v>25</v>
      </c>
      <c r="D7367" t="s">
        <v>80</v>
      </c>
      <c r="E7367" t="s">
        <v>621</v>
      </c>
      <c r="F7367">
        <v>39.479999999999997</v>
      </c>
      <c r="G7367">
        <v>0</v>
      </c>
    </row>
    <row r="7368" spans="2:7" x14ac:dyDescent="0.25">
      <c r="B7368" s="70">
        <v>43389</v>
      </c>
      <c r="C7368" t="s">
        <v>25</v>
      </c>
      <c r="D7368" t="s">
        <v>80</v>
      </c>
      <c r="E7368" t="s">
        <v>621</v>
      </c>
      <c r="F7368">
        <v>61.6</v>
      </c>
      <c r="G7368">
        <v>0</v>
      </c>
    </row>
    <row r="7369" spans="2:7" x14ac:dyDescent="0.25">
      <c r="B7369" s="70">
        <v>43389</v>
      </c>
      <c r="C7369" t="s">
        <v>25</v>
      </c>
      <c r="D7369" t="s">
        <v>80</v>
      </c>
      <c r="E7369" t="s">
        <v>621</v>
      </c>
      <c r="F7369">
        <v>112</v>
      </c>
      <c r="G7369">
        <v>0</v>
      </c>
    </row>
    <row r="7370" spans="2:7" x14ac:dyDescent="0.25">
      <c r="B7370" s="70">
        <v>43389</v>
      </c>
      <c r="C7370" t="s">
        <v>25</v>
      </c>
      <c r="D7370" t="s">
        <v>80</v>
      </c>
      <c r="E7370" t="s">
        <v>621</v>
      </c>
      <c r="F7370">
        <v>23.9</v>
      </c>
      <c r="G7370">
        <v>0</v>
      </c>
    </row>
    <row r="7371" spans="2:7" x14ac:dyDescent="0.25">
      <c r="B7371" s="70">
        <v>43389</v>
      </c>
      <c r="C7371" t="s">
        <v>25</v>
      </c>
      <c r="D7371" t="s">
        <v>80</v>
      </c>
      <c r="E7371" t="s">
        <v>621</v>
      </c>
      <c r="F7371">
        <v>71.31</v>
      </c>
      <c r="G7371">
        <v>0</v>
      </c>
    </row>
    <row r="7372" spans="2:7" x14ac:dyDescent="0.25">
      <c r="B7372" s="70">
        <v>43389</v>
      </c>
      <c r="C7372" t="s">
        <v>25</v>
      </c>
      <c r="D7372" t="s">
        <v>80</v>
      </c>
      <c r="E7372" t="s">
        <v>621</v>
      </c>
      <c r="F7372">
        <v>22.99</v>
      </c>
      <c r="G7372">
        <v>0</v>
      </c>
    </row>
    <row r="7373" spans="2:7" x14ac:dyDescent="0.25">
      <c r="B7373" s="70">
        <v>43389</v>
      </c>
      <c r="C7373" t="s">
        <v>25</v>
      </c>
      <c r="D7373" t="s">
        <v>80</v>
      </c>
      <c r="E7373" t="s">
        <v>621</v>
      </c>
      <c r="F7373">
        <v>137.53</v>
      </c>
      <c r="G7373">
        <v>0</v>
      </c>
    </row>
    <row r="7374" spans="2:7" x14ac:dyDescent="0.25">
      <c r="B7374" s="70">
        <v>43389</v>
      </c>
      <c r="C7374" t="s">
        <v>25</v>
      </c>
      <c r="D7374" t="s">
        <v>80</v>
      </c>
      <c r="E7374" t="s">
        <v>621</v>
      </c>
      <c r="F7374">
        <v>11.21</v>
      </c>
      <c r="G7374">
        <v>0</v>
      </c>
    </row>
    <row r="7375" spans="2:7" x14ac:dyDescent="0.25">
      <c r="B7375" s="70">
        <v>43389</v>
      </c>
      <c r="C7375" t="s">
        <v>25</v>
      </c>
      <c r="D7375" t="s">
        <v>80</v>
      </c>
      <c r="E7375" t="s">
        <v>621</v>
      </c>
      <c r="F7375">
        <v>97.84</v>
      </c>
      <c r="G7375">
        <v>0</v>
      </c>
    </row>
    <row r="7376" spans="2:7" x14ac:dyDescent="0.25">
      <c r="B7376" s="70">
        <v>43389</v>
      </c>
      <c r="C7376" t="s">
        <v>25</v>
      </c>
      <c r="D7376" t="s">
        <v>80</v>
      </c>
      <c r="E7376" t="s">
        <v>621</v>
      </c>
      <c r="F7376">
        <v>47.58</v>
      </c>
      <c r="G7376">
        <v>0</v>
      </c>
    </row>
    <row r="7377" spans="2:7" x14ac:dyDescent="0.25">
      <c r="B7377" s="70">
        <v>43389</v>
      </c>
      <c r="C7377" t="s">
        <v>25</v>
      </c>
      <c r="D7377" t="s">
        <v>80</v>
      </c>
      <c r="E7377" t="s">
        <v>621</v>
      </c>
      <c r="F7377">
        <v>55.06</v>
      </c>
      <c r="G7377">
        <v>0</v>
      </c>
    </row>
    <row r="7378" spans="2:7" x14ac:dyDescent="0.25">
      <c r="B7378" s="70">
        <v>43389</v>
      </c>
      <c r="C7378" t="s">
        <v>25</v>
      </c>
      <c r="D7378" t="s">
        <v>80</v>
      </c>
      <c r="E7378" t="s">
        <v>621</v>
      </c>
      <c r="F7378">
        <v>70.099999999999994</v>
      </c>
      <c r="G7378">
        <v>0</v>
      </c>
    </row>
    <row r="7379" spans="2:7" x14ac:dyDescent="0.25">
      <c r="B7379" s="70">
        <v>43389</v>
      </c>
      <c r="C7379" t="s">
        <v>25</v>
      </c>
      <c r="D7379" t="s">
        <v>80</v>
      </c>
      <c r="E7379" t="s">
        <v>621</v>
      </c>
      <c r="F7379">
        <v>23.53</v>
      </c>
      <c r="G7379">
        <v>0</v>
      </c>
    </row>
    <row r="7380" spans="2:7" x14ac:dyDescent="0.25">
      <c r="B7380" s="70">
        <v>43389</v>
      </c>
      <c r="C7380" t="s">
        <v>25</v>
      </c>
      <c r="D7380" t="s">
        <v>87</v>
      </c>
      <c r="E7380" t="s">
        <v>621</v>
      </c>
      <c r="F7380">
        <v>9.99</v>
      </c>
      <c r="G7380">
        <v>0</v>
      </c>
    </row>
    <row r="7381" spans="2:7" x14ac:dyDescent="0.25">
      <c r="B7381" s="70">
        <v>43389</v>
      </c>
      <c r="C7381" t="s">
        <v>25</v>
      </c>
      <c r="D7381" t="s">
        <v>87</v>
      </c>
      <c r="E7381" t="s">
        <v>621</v>
      </c>
      <c r="F7381">
        <v>50</v>
      </c>
      <c r="G7381">
        <v>0</v>
      </c>
    </row>
    <row r="7382" spans="2:7" x14ac:dyDescent="0.25">
      <c r="B7382" s="70">
        <v>43389</v>
      </c>
      <c r="C7382" t="s">
        <v>25</v>
      </c>
      <c r="D7382" t="s">
        <v>87</v>
      </c>
      <c r="E7382" t="s">
        <v>621</v>
      </c>
      <c r="F7382">
        <v>54.2</v>
      </c>
      <c r="G7382">
        <v>0</v>
      </c>
    </row>
    <row r="7383" spans="2:7" x14ac:dyDescent="0.25">
      <c r="B7383" s="70">
        <v>43389</v>
      </c>
      <c r="C7383" t="s">
        <v>25</v>
      </c>
      <c r="D7383" t="s">
        <v>87</v>
      </c>
      <c r="E7383" t="s">
        <v>621</v>
      </c>
      <c r="F7383">
        <v>61.3</v>
      </c>
      <c r="G7383">
        <v>0</v>
      </c>
    </row>
    <row r="7384" spans="2:7" x14ac:dyDescent="0.25">
      <c r="B7384" s="70">
        <v>43389</v>
      </c>
      <c r="C7384" t="s">
        <v>25</v>
      </c>
      <c r="D7384" t="s">
        <v>87</v>
      </c>
      <c r="E7384" t="s">
        <v>621</v>
      </c>
      <c r="F7384">
        <v>125</v>
      </c>
      <c r="G7384">
        <v>0</v>
      </c>
    </row>
    <row r="7385" spans="2:7" x14ac:dyDescent="0.25">
      <c r="B7385" s="70">
        <v>43389</v>
      </c>
      <c r="C7385" t="s">
        <v>25</v>
      </c>
      <c r="D7385" t="s">
        <v>87</v>
      </c>
      <c r="E7385" t="s">
        <v>621</v>
      </c>
      <c r="F7385">
        <v>129.9</v>
      </c>
      <c r="G7385">
        <v>0</v>
      </c>
    </row>
    <row r="7386" spans="2:7" x14ac:dyDescent="0.25">
      <c r="B7386" s="70">
        <v>43389</v>
      </c>
      <c r="C7386" t="s">
        <v>25</v>
      </c>
      <c r="D7386" t="s">
        <v>87</v>
      </c>
      <c r="E7386" t="s">
        <v>621</v>
      </c>
      <c r="F7386">
        <v>49.33</v>
      </c>
      <c r="G7386">
        <v>0</v>
      </c>
    </row>
    <row r="7387" spans="2:7" x14ac:dyDescent="0.25">
      <c r="B7387" s="70">
        <v>43389</v>
      </c>
      <c r="C7387" t="s">
        <v>25</v>
      </c>
      <c r="D7387" t="s">
        <v>87</v>
      </c>
      <c r="E7387" t="s">
        <v>621</v>
      </c>
      <c r="F7387">
        <v>50.75</v>
      </c>
      <c r="G7387">
        <v>0</v>
      </c>
    </row>
    <row r="7388" spans="2:7" x14ac:dyDescent="0.25">
      <c r="B7388" s="70">
        <v>43389</v>
      </c>
      <c r="C7388" t="s">
        <v>25</v>
      </c>
      <c r="D7388" t="s">
        <v>87</v>
      </c>
      <c r="E7388" t="s">
        <v>621</v>
      </c>
      <c r="F7388">
        <v>25.39</v>
      </c>
      <c r="G7388">
        <v>0</v>
      </c>
    </row>
    <row r="7389" spans="2:7" x14ac:dyDescent="0.25">
      <c r="B7389" s="70">
        <v>43389</v>
      </c>
      <c r="C7389" t="s">
        <v>25</v>
      </c>
      <c r="D7389" t="s">
        <v>87</v>
      </c>
      <c r="E7389" t="s">
        <v>621</v>
      </c>
      <c r="F7389">
        <v>135.12</v>
      </c>
      <c r="G7389">
        <v>0</v>
      </c>
    </row>
    <row r="7390" spans="2:7" x14ac:dyDescent="0.25">
      <c r="B7390" s="70">
        <v>43389</v>
      </c>
      <c r="C7390" t="s">
        <v>25</v>
      </c>
      <c r="D7390" t="s">
        <v>87</v>
      </c>
      <c r="E7390" t="s">
        <v>621</v>
      </c>
      <c r="F7390">
        <v>35.119999999999997</v>
      </c>
      <c r="G7390">
        <v>0</v>
      </c>
    </row>
    <row r="7391" spans="2:7" x14ac:dyDescent="0.25">
      <c r="B7391" s="70">
        <v>43389</v>
      </c>
      <c r="C7391" t="s">
        <v>25</v>
      </c>
      <c r="D7391" t="s">
        <v>87</v>
      </c>
      <c r="E7391" t="s">
        <v>621</v>
      </c>
      <c r="F7391">
        <v>77.349999999999994</v>
      </c>
      <c r="G7391">
        <v>0</v>
      </c>
    </row>
    <row r="7392" spans="2:7" x14ac:dyDescent="0.25">
      <c r="B7392" s="70">
        <v>43389</v>
      </c>
      <c r="C7392" t="s">
        <v>25</v>
      </c>
      <c r="D7392" t="s">
        <v>87</v>
      </c>
      <c r="E7392" t="s">
        <v>621</v>
      </c>
      <c r="F7392">
        <v>65.3</v>
      </c>
      <c r="G7392">
        <v>0</v>
      </c>
    </row>
    <row r="7393" spans="2:7" x14ac:dyDescent="0.25">
      <c r="B7393" s="70">
        <v>43389</v>
      </c>
      <c r="C7393" t="s">
        <v>25</v>
      </c>
      <c r="D7393" t="s">
        <v>87</v>
      </c>
      <c r="E7393" t="s">
        <v>621</v>
      </c>
      <c r="F7393">
        <v>30.23</v>
      </c>
      <c r="G7393">
        <v>0</v>
      </c>
    </row>
    <row r="7394" spans="2:7" x14ac:dyDescent="0.25">
      <c r="B7394" s="70">
        <v>43389</v>
      </c>
      <c r="C7394" t="s">
        <v>25</v>
      </c>
      <c r="D7394" t="s">
        <v>86</v>
      </c>
      <c r="E7394" t="s">
        <v>621</v>
      </c>
      <c r="F7394">
        <v>30.24</v>
      </c>
      <c r="G7394">
        <v>0</v>
      </c>
    </row>
    <row r="7395" spans="2:7" x14ac:dyDescent="0.25">
      <c r="B7395" s="70">
        <v>43389</v>
      </c>
      <c r="C7395" t="s">
        <v>54</v>
      </c>
      <c r="D7395" t="s">
        <v>80</v>
      </c>
      <c r="E7395" t="s">
        <v>621</v>
      </c>
      <c r="F7395">
        <v>133.57</v>
      </c>
      <c r="G7395">
        <v>0</v>
      </c>
    </row>
    <row r="7396" spans="2:7" x14ac:dyDescent="0.25">
      <c r="B7396" s="70">
        <v>43389</v>
      </c>
      <c r="C7396" t="s">
        <v>48</v>
      </c>
      <c r="D7396" t="s">
        <v>80</v>
      </c>
      <c r="E7396" t="s">
        <v>621</v>
      </c>
      <c r="F7396">
        <v>20</v>
      </c>
      <c r="G7396">
        <v>0</v>
      </c>
    </row>
    <row r="7397" spans="2:7" x14ac:dyDescent="0.25">
      <c r="B7397" s="70">
        <v>43389</v>
      </c>
      <c r="C7397" t="s">
        <v>48</v>
      </c>
      <c r="D7397" t="s">
        <v>87</v>
      </c>
      <c r="E7397" t="s">
        <v>621</v>
      </c>
      <c r="F7397">
        <v>20</v>
      </c>
      <c r="G7397">
        <v>0</v>
      </c>
    </row>
    <row r="7398" spans="2:7" x14ac:dyDescent="0.25">
      <c r="B7398" s="70">
        <v>43389</v>
      </c>
      <c r="C7398" t="s">
        <v>48</v>
      </c>
      <c r="D7398" t="s">
        <v>82</v>
      </c>
      <c r="E7398" t="s">
        <v>621</v>
      </c>
      <c r="F7398">
        <v>42</v>
      </c>
      <c r="G7398">
        <v>0</v>
      </c>
    </row>
    <row r="7399" spans="2:7" x14ac:dyDescent="0.25">
      <c r="B7399" s="70">
        <v>43389</v>
      </c>
      <c r="C7399" t="s">
        <v>414</v>
      </c>
      <c r="D7399" t="s">
        <v>80</v>
      </c>
      <c r="E7399" t="s">
        <v>621</v>
      </c>
      <c r="F7399">
        <v>228.5</v>
      </c>
      <c r="G7399">
        <v>0</v>
      </c>
    </row>
    <row r="7400" spans="2:7" x14ac:dyDescent="0.25">
      <c r="B7400" s="70">
        <v>43439</v>
      </c>
      <c r="C7400" t="s">
        <v>46</v>
      </c>
      <c r="D7400" t="s">
        <v>82</v>
      </c>
      <c r="E7400" t="s">
        <v>622</v>
      </c>
      <c r="F7400">
        <v>111.6</v>
      </c>
      <c r="G7400">
        <v>0</v>
      </c>
    </row>
    <row r="7401" spans="2:7" x14ac:dyDescent="0.25">
      <c r="B7401" s="70">
        <v>43439</v>
      </c>
      <c r="C7401" t="s">
        <v>47</v>
      </c>
      <c r="D7401" t="s">
        <v>82</v>
      </c>
      <c r="E7401" t="s">
        <v>622</v>
      </c>
      <c r="F7401">
        <v>87.84</v>
      </c>
      <c r="G7401">
        <v>0</v>
      </c>
    </row>
    <row r="7402" spans="2:7" x14ac:dyDescent="0.25">
      <c r="B7402" s="70">
        <v>43439</v>
      </c>
      <c r="C7402" t="s">
        <v>21</v>
      </c>
      <c r="D7402" t="s">
        <v>79</v>
      </c>
      <c r="E7402" t="s">
        <v>622</v>
      </c>
      <c r="F7402">
        <v>8</v>
      </c>
      <c r="G7402">
        <v>0</v>
      </c>
    </row>
    <row r="7403" spans="2:7" x14ac:dyDescent="0.25">
      <c r="B7403" s="70">
        <v>43439</v>
      </c>
      <c r="C7403" t="s">
        <v>21</v>
      </c>
      <c r="D7403" t="s">
        <v>79</v>
      </c>
      <c r="E7403" t="s">
        <v>622</v>
      </c>
      <c r="F7403">
        <v>16</v>
      </c>
      <c r="G7403">
        <v>0</v>
      </c>
    </row>
    <row r="7404" spans="2:7" x14ac:dyDescent="0.25">
      <c r="B7404" s="70">
        <v>43439</v>
      </c>
      <c r="C7404" t="s">
        <v>21</v>
      </c>
      <c r="D7404" t="s">
        <v>79</v>
      </c>
      <c r="E7404" t="s">
        <v>622</v>
      </c>
      <c r="F7404">
        <v>24</v>
      </c>
      <c r="G7404">
        <v>0</v>
      </c>
    </row>
    <row r="7405" spans="2:7" x14ac:dyDescent="0.25">
      <c r="B7405" s="70">
        <v>43439</v>
      </c>
      <c r="C7405" t="s">
        <v>21</v>
      </c>
      <c r="D7405" t="s">
        <v>79</v>
      </c>
      <c r="E7405" t="s">
        <v>622</v>
      </c>
      <c r="F7405">
        <v>40</v>
      </c>
      <c r="G7405">
        <v>0</v>
      </c>
    </row>
    <row r="7406" spans="2:7" x14ac:dyDescent="0.25">
      <c r="B7406" s="70">
        <v>43439</v>
      </c>
      <c r="C7406" t="s">
        <v>66</v>
      </c>
      <c r="D7406" t="s">
        <v>82</v>
      </c>
      <c r="E7406" t="s">
        <v>622</v>
      </c>
      <c r="F7406">
        <v>175</v>
      </c>
      <c r="G7406">
        <v>0</v>
      </c>
    </row>
    <row r="7407" spans="2:7" x14ac:dyDescent="0.25">
      <c r="B7407" s="70">
        <v>43439</v>
      </c>
      <c r="C7407" t="s">
        <v>48</v>
      </c>
      <c r="D7407" t="s">
        <v>82</v>
      </c>
      <c r="E7407" t="s">
        <v>622</v>
      </c>
      <c r="F7407">
        <v>80</v>
      </c>
      <c r="G7407">
        <v>0</v>
      </c>
    </row>
    <row r="7408" spans="2:7" x14ac:dyDescent="0.25">
      <c r="B7408" s="70">
        <v>43439</v>
      </c>
      <c r="C7408" t="s">
        <v>50</v>
      </c>
      <c r="D7408" t="s">
        <v>82</v>
      </c>
      <c r="E7408" t="s">
        <v>622</v>
      </c>
      <c r="F7408">
        <v>11.44</v>
      </c>
      <c r="G7408">
        <v>0</v>
      </c>
    </row>
    <row r="7409" spans="2:7" x14ac:dyDescent="0.25">
      <c r="B7409" s="70">
        <v>43439</v>
      </c>
      <c r="C7409" t="s">
        <v>52</v>
      </c>
      <c r="D7409" t="s">
        <v>85</v>
      </c>
      <c r="E7409" t="s">
        <v>622</v>
      </c>
      <c r="F7409">
        <v>339.5</v>
      </c>
      <c r="G7409">
        <v>0</v>
      </c>
    </row>
    <row r="7410" spans="2:7" x14ac:dyDescent="0.25">
      <c r="B7410" s="70">
        <v>43439</v>
      </c>
      <c r="C7410" t="s">
        <v>53</v>
      </c>
      <c r="D7410" t="s">
        <v>79</v>
      </c>
      <c r="E7410" t="s">
        <v>622</v>
      </c>
      <c r="F7410">
        <v>22.74</v>
      </c>
      <c r="G7410">
        <v>0</v>
      </c>
    </row>
    <row r="7411" spans="2:7" x14ac:dyDescent="0.25">
      <c r="B7411" s="70">
        <v>43439</v>
      </c>
      <c r="C7411" t="s">
        <v>53</v>
      </c>
      <c r="D7411" t="s">
        <v>82</v>
      </c>
      <c r="E7411" t="s">
        <v>622</v>
      </c>
      <c r="F7411">
        <v>10</v>
      </c>
      <c r="G7411">
        <v>0</v>
      </c>
    </row>
    <row r="7412" spans="2:7" x14ac:dyDescent="0.25">
      <c r="B7412" s="70">
        <v>43351</v>
      </c>
      <c r="C7412" t="s">
        <v>25</v>
      </c>
      <c r="D7412" t="s">
        <v>85</v>
      </c>
      <c r="E7412" t="s">
        <v>623</v>
      </c>
      <c r="F7412">
        <v>47</v>
      </c>
      <c r="G7412">
        <v>0</v>
      </c>
    </row>
    <row r="7413" spans="2:7" x14ac:dyDescent="0.25">
      <c r="B7413" s="70">
        <v>43351</v>
      </c>
      <c r="C7413" t="s">
        <v>54</v>
      </c>
      <c r="D7413" t="s">
        <v>79</v>
      </c>
      <c r="E7413" t="s">
        <v>623</v>
      </c>
      <c r="F7413">
        <v>32.729999999999997</v>
      </c>
      <c r="G7413">
        <v>0</v>
      </c>
    </row>
    <row r="7414" spans="2:7" x14ac:dyDescent="0.25">
      <c r="B7414" s="70">
        <v>43351</v>
      </c>
      <c r="C7414" t="s">
        <v>54</v>
      </c>
      <c r="D7414" t="s">
        <v>85</v>
      </c>
      <c r="E7414" t="s">
        <v>623</v>
      </c>
      <c r="F7414">
        <v>81.099999999999994</v>
      </c>
      <c r="G7414">
        <v>0</v>
      </c>
    </row>
    <row r="7415" spans="2:7" x14ac:dyDescent="0.25">
      <c r="B7415" s="70">
        <v>43351</v>
      </c>
      <c r="C7415" t="s">
        <v>47</v>
      </c>
      <c r="D7415" t="s">
        <v>82</v>
      </c>
      <c r="E7415" t="s">
        <v>623</v>
      </c>
      <c r="F7415">
        <v>146.56</v>
      </c>
      <c r="G7415">
        <v>0</v>
      </c>
    </row>
    <row r="7416" spans="2:7" x14ac:dyDescent="0.25">
      <c r="B7416" s="70">
        <v>43351</v>
      </c>
      <c r="C7416" t="s">
        <v>21</v>
      </c>
      <c r="D7416" t="s">
        <v>79</v>
      </c>
      <c r="E7416" t="s">
        <v>623</v>
      </c>
      <c r="F7416">
        <v>8</v>
      </c>
      <c r="G7416">
        <v>0</v>
      </c>
    </row>
    <row r="7417" spans="2:7" x14ac:dyDescent="0.25">
      <c r="B7417" s="70">
        <v>43351</v>
      </c>
      <c r="C7417" t="s">
        <v>21</v>
      </c>
      <c r="D7417" t="s">
        <v>79</v>
      </c>
      <c r="E7417" t="s">
        <v>623</v>
      </c>
      <c r="F7417">
        <v>16</v>
      </c>
      <c r="G7417">
        <v>0</v>
      </c>
    </row>
    <row r="7418" spans="2:7" x14ac:dyDescent="0.25">
      <c r="B7418" s="70">
        <v>43351</v>
      </c>
      <c r="C7418" t="s">
        <v>55</v>
      </c>
      <c r="D7418" t="s">
        <v>82</v>
      </c>
      <c r="E7418" t="s">
        <v>623</v>
      </c>
      <c r="F7418">
        <v>36.15</v>
      </c>
      <c r="G7418">
        <v>0</v>
      </c>
    </row>
    <row r="7419" spans="2:7" x14ac:dyDescent="0.25">
      <c r="B7419" s="70">
        <v>43351</v>
      </c>
      <c r="C7419" t="s">
        <v>50</v>
      </c>
      <c r="D7419" t="s">
        <v>79</v>
      </c>
      <c r="E7419" t="s">
        <v>623</v>
      </c>
      <c r="F7419">
        <v>15</v>
      </c>
      <c r="G7419">
        <v>0</v>
      </c>
    </row>
    <row r="7420" spans="2:7" x14ac:dyDescent="0.25">
      <c r="B7420" s="70">
        <v>43351</v>
      </c>
      <c r="C7420" t="s">
        <v>50</v>
      </c>
      <c r="D7420" t="s">
        <v>85</v>
      </c>
      <c r="E7420" t="s">
        <v>623</v>
      </c>
      <c r="F7420">
        <v>64.55</v>
      </c>
      <c r="G7420">
        <v>0</v>
      </c>
    </row>
    <row r="7421" spans="2:7" x14ac:dyDescent="0.25">
      <c r="B7421" s="70">
        <v>43351</v>
      </c>
      <c r="C7421" t="s">
        <v>50</v>
      </c>
      <c r="D7421" t="s">
        <v>82</v>
      </c>
      <c r="E7421" t="s">
        <v>623</v>
      </c>
      <c r="F7421">
        <v>38.08</v>
      </c>
      <c r="G7421">
        <v>0</v>
      </c>
    </row>
    <row r="7422" spans="2:7" x14ac:dyDescent="0.25">
      <c r="B7422" s="70">
        <v>43351</v>
      </c>
      <c r="C7422" t="s">
        <v>65</v>
      </c>
      <c r="D7422" t="s">
        <v>85</v>
      </c>
      <c r="E7422" t="s">
        <v>623</v>
      </c>
      <c r="F7422">
        <v>29.4</v>
      </c>
      <c r="G7422">
        <v>0</v>
      </c>
    </row>
    <row r="7423" spans="2:7" x14ac:dyDescent="0.25">
      <c r="B7423" s="70">
        <v>43295</v>
      </c>
      <c r="C7423" t="s">
        <v>46</v>
      </c>
      <c r="D7423" t="s">
        <v>82</v>
      </c>
      <c r="E7423" t="s">
        <v>624</v>
      </c>
      <c r="F7423">
        <v>2.25</v>
      </c>
      <c r="G7423">
        <v>0</v>
      </c>
    </row>
    <row r="7424" spans="2:7" x14ac:dyDescent="0.25">
      <c r="B7424" s="70">
        <v>43295</v>
      </c>
      <c r="C7424" t="s">
        <v>56</v>
      </c>
      <c r="D7424" t="s">
        <v>82</v>
      </c>
      <c r="E7424" t="s">
        <v>624</v>
      </c>
      <c r="F7424">
        <v>89</v>
      </c>
      <c r="G7424">
        <v>0</v>
      </c>
    </row>
    <row r="7425" spans="2:7" x14ac:dyDescent="0.25">
      <c r="B7425" s="70">
        <v>43295</v>
      </c>
      <c r="C7425" t="s">
        <v>21</v>
      </c>
      <c r="D7425" t="s">
        <v>79</v>
      </c>
      <c r="E7425" t="s">
        <v>624</v>
      </c>
      <c r="F7425">
        <v>8</v>
      </c>
      <c r="G7425">
        <v>0</v>
      </c>
    </row>
    <row r="7426" spans="2:7" x14ac:dyDescent="0.25">
      <c r="B7426" s="70">
        <v>43295</v>
      </c>
      <c r="C7426" t="s">
        <v>21</v>
      </c>
      <c r="D7426" t="s">
        <v>79</v>
      </c>
      <c r="E7426" t="s">
        <v>624</v>
      </c>
      <c r="F7426">
        <v>16</v>
      </c>
      <c r="G7426">
        <v>0</v>
      </c>
    </row>
    <row r="7427" spans="2:7" x14ac:dyDescent="0.25">
      <c r="B7427" s="70">
        <v>43295</v>
      </c>
      <c r="C7427" t="s">
        <v>66</v>
      </c>
      <c r="D7427" t="s">
        <v>82</v>
      </c>
      <c r="E7427" t="s">
        <v>624</v>
      </c>
      <c r="F7427">
        <v>35.6</v>
      </c>
      <c r="G7427">
        <v>0</v>
      </c>
    </row>
    <row r="7428" spans="2:7" x14ac:dyDescent="0.25">
      <c r="B7428" s="70">
        <v>43295</v>
      </c>
      <c r="C7428" t="s">
        <v>45</v>
      </c>
      <c r="D7428" t="s">
        <v>82</v>
      </c>
      <c r="E7428" t="s">
        <v>624</v>
      </c>
      <c r="F7428">
        <v>24</v>
      </c>
      <c r="G7428">
        <v>0</v>
      </c>
    </row>
    <row r="7429" spans="2:7" x14ac:dyDescent="0.25">
      <c r="B7429" s="70">
        <v>43295</v>
      </c>
      <c r="C7429" t="s">
        <v>50</v>
      </c>
      <c r="D7429" t="s">
        <v>79</v>
      </c>
      <c r="E7429" t="s">
        <v>624</v>
      </c>
      <c r="F7429">
        <v>20</v>
      </c>
      <c r="G7429">
        <v>0</v>
      </c>
    </row>
    <row r="7430" spans="2:7" x14ac:dyDescent="0.25">
      <c r="B7430" s="70">
        <v>43295</v>
      </c>
      <c r="C7430" t="s">
        <v>50</v>
      </c>
      <c r="D7430" t="s">
        <v>82</v>
      </c>
      <c r="E7430" t="s">
        <v>624</v>
      </c>
      <c r="F7430">
        <v>10.45</v>
      </c>
      <c r="G7430">
        <v>0</v>
      </c>
    </row>
    <row r="7431" spans="2:7" x14ac:dyDescent="0.25">
      <c r="B7431" s="70">
        <v>43295</v>
      </c>
      <c r="C7431" t="s">
        <v>24</v>
      </c>
      <c r="D7431" t="s">
        <v>79</v>
      </c>
      <c r="E7431" t="s">
        <v>624</v>
      </c>
      <c r="F7431">
        <v>8</v>
      </c>
      <c r="G7431">
        <v>0</v>
      </c>
    </row>
    <row r="7432" spans="2:7" x14ac:dyDescent="0.25">
      <c r="B7432" s="70">
        <v>43304</v>
      </c>
      <c r="C7432" t="s">
        <v>25</v>
      </c>
      <c r="D7432" t="s">
        <v>79</v>
      </c>
      <c r="E7432" t="s">
        <v>625</v>
      </c>
      <c r="F7432">
        <v>8</v>
      </c>
      <c r="G7432">
        <v>0</v>
      </c>
    </row>
    <row r="7433" spans="2:7" x14ac:dyDescent="0.25">
      <c r="B7433" s="70">
        <v>43304</v>
      </c>
      <c r="C7433" t="s">
        <v>25</v>
      </c>
      <c r="D7433" t="s">
        <v>82</v>
      </c>
      <c r="E7433" t="s">
        <v>625</v>
      </c>
      <c r="F7433">
        <v>130</v>
      </c>
      <c r="G7433">
        <v>0</v>
      </c>
    </row>
    <row r="7434" spans="2:7" x14ac:dyDescent="0.25">
      <c r="B7434" s="70">
        <v>43304</v>
      </c>
      <c r="C7434" t="s">
        <v>59</v>
      </c>
      <c r="D7434" t="s">
        <v>82</v>
      </c>
      <c r="E7434" t="s">
        <v>625</v>
      </c>
      <c r="F7434">
        <v>93.37</v>
      </c>
      <c r="G7434">
        <v>0</v>
      </c>
    </row>
    <row r="7435" spans="2:7" x14ac:dyDescent="0.25">
      <c r="B7435" s="70">
        <v>43304</v>
      </c>
      <c r="C7435" t="s">
        <v>59</v>
      </c>
      <c r="D7435" t="s">
        <v>84</v>
      </c>
      <c r="E7435" t="s">
        <v>625</v>
      </c>
      <c r="F7435">
        <v>403.6</v>
      </c>
      <c r="G7435">
        <v>0</v>
      </c>
    </row>
    <row r="7436" spans="2:7" x14ac:dyDescent="0.25">
      <c r="B7436" s="70">
        <v>43304</v>
      </c>
      <c r="C7436" t="s">
        <v>44</v>
      </c>
      <c r="D7436" t="s">
        <v>82</v>
      </c>
      <c r="E7436" t="s">
        <v>625</v>
      </c>
      <c r="F7436">
        <v>95</v>
      </c>
      <c r="G7436">
        <v>0</v>
      </c>
    </row>
    <row r="7437" spans="2:7" x14ac:dyDescent="0.25">
      <c r="B7437" s="70">
        <v>43304</v>
      </c>
      <c r="C7437" t="s">
        <v>21</v>
      </c>
      <c r="D7437" t="s">
        <v>79</v>
      </c>
      <c r="E7437" t="s">
        <v>625</v>
      </c>
      <c r="F7437">
        <v>8</v>
      </c>
      <c r="G7437">
        <v>0</v>
      </c>
    </row>
    <row r="7438" spans="2:7" x14ac:dyDescent="0.25">
      <c r="B7438" s="70">
        <v>43304</v>
      </c>
      <c r="C7438" t="s">
        <v>21</v>
      </c>
      <c r="D7438" t="s">
        <v>79</v>
      </c>
      <c r="E7438" t="s">
        <v>625</v>
      </c>
      <c r="F7438">
        <v>24</v>
      </c>
      <c r="G7438">
        <v>0</v>
      </c>
    </row>
    <row r="7439" spans="2:7" x14ac:dyDescent="0.25">
      <c r="B7439" s="70">
        <v>43304</v>
      </c>
      <c r="C7439" t="s">
        <v>21</v>
      </c>
      <c r="D7439" t="s">
        <v>79</v>
      </c>
      <c r="E7439" t="s">
        <v>625</v>
      </c>
      <c r="F7439">
        <v>32</v>
      </c>
      <c r="G7439">
        <v>0</v>
      </c>
    </row>
    <row r="7440" spans="2:7" x14ac:dyDescent="0.25">
      <c r="B7440" s="70">
        <v>43304</v>
      </c>
      <c r="C7440" t="s">
        <v>50</v>
      </c>
      <c r="D7440" t="s">
        <v>82</v>
      </c>
      <c r="E7440" t="s">
        <v>625</v>
      </c>
      <c r="F7440">
        <v>27.7</v>
      </c>
      <c r="G7440">
        <v>0</v>
      </c>
    </row>
    <row r="7441" spans="2:7" x14ac:dyDescent="0.25">
      <c r="B7441" s="70">
        <v>43304</v>
      </c>
      <c r="C7441" t="s">
        <v>53</v>
      </c>
      <c r="D7441" t="s">
        <v>84</v>
      </c>
      <c r="E7441" t="s">
        <v>625</v>
      </c>
      <c r="F7441">
        <v>62.73</v>
      </c>
      <c r="G7441">
        <v>0</v>
      </c>
    </row>
    <row r="7442" spans="2:7" x14ac:dyDescent="0.25">
      <c r="B7442" s="70">
        <v>43304</v>
      </c>
      <c r="C7442" t="s">
        <v>414</v>
      </c>
      <c r="D7442" t="s">
        <v>82</v>
      </c>
      <c r="E7442" t="s">
        <v>625</v>
      </c>
      <c r="F7442">
        <v>370.5</v>
      </c>
      <c r="G7442">
        <v>0</v>
      </c>
    </row>
    <row r="7443" spans="2:7" x14ac:dyDescent="0.25">
      <c r="B7443" s="70">
        <v>43362</v>
      </c>
      <c r="C7443" t="s">
        <v>46</v>
      </c>
      <c r="D7443" t="s">
        <v>82</v>
      </c>
      <c r="E7443" t="s">
        <v>626</v>
      </c>
      <c r="F7443">
        <v>24.6</v>
      </c>
      <c r="G7443">
        <v>0</v>
      </c>
    </row>
    <row r="7444" spans="2:7" x14ac:dyDescent="0.25">
      <c r="B7444" s="70">
        <v>43362</v>
      </c>
      <c r="C7444" t="s">
        <v>21</v>
      </c>
      <c r="D7444" t="s">
        <v>79</v>
      </c>
      <c r="E7444" t="s">
        <v>626</v>
      </c>
      <c r="F7444">
        <v>24</v>
      </c>
      <c r="G7444">
        <v>0</v>
      </c>
    </row>
    <row r="7445" spans="2:7" x14ac:dyDescent="0.25">
      <c r="B7445" s="70">
        <v>43362</v>
      </c>
      <c r="C7445" t="s">
        <v>21</v>
      </c>
      <c r="D7445" t="s">
        <v>79</v>
      </c>
      <c r="E7445" t="s">
        <v>626</v>
      </c>
      <c r="F7445">
        <v>32</v>
      </c>
      <c r="G7445">
        <v>0</v>
      </c>
    </row>
    <row r="7446" spans="2:7" x14ac:dyDescent="0.25">
      <c r="B7446" s="70">
        <v>43362</v>
      </c>
      <c r="C7446" t="s">
        <v>21</v>
      </c>
      <c r="D7446" t="s">
        <v>79</v>
      </c>
      <c r="E7446" t="s">
        <v>626</v>
      </c>
      <c r="F7446">
        <v>48</v>
      </c>
      <c r="G7446">
        <v>0</v>
      </c>
    </row>
    <row r="7447" spans="2:7" x14ac:dyDescent="0.25">
      <c r="B7447" s="70">
        <v>43362</v>
      </c>
      <c r="C7447" t="s">
        <v>21</v>
      </c>
      <c r="D7447" t="s">
        <v>79</v>
      </c>
      <c r="E7447" t="s">
        <v>626</v>
      </c>
      <c r="F7447">
        <v>56</v>
      </c>
      <c r="G7447">
        <v>0</v>
      </c>
    </row>
    <row r="7448" spans="2:7" x14ac:dyDescent="0.25">
      <c r="B7448" s="70">
        <v>43362</v>
      </c>
      <c r="C7448" t="s">
        <v>66</v>
      </c>
      <c r="D7448" t="s">
        <v>85</v>
      </c>
      <c r="E7448" t="s">
        <v>626</v>
      </c>
      <c r="F7448">
        <v>592.47</v>
      </c>
      <c r="G7448">
        <v>0</v>
      </c>
    </row>
    <row r="7449" spans="2:7" x14ac:dyDescent="0.25">
      <c r="B7449" s="70">
        <v>43362</v>
      </c>
      <c r="C7449" t="s">
        <v>24</v>
      </c>
      <c r="D7449" t="s">
        <v>79</v>
      </c>
      <c r="E7449" t="s">
        <v>626</v>
      </c>
      <c r="F7449">
        <v>32</v>
      </c>
      <c r="G7449">
        <v>0</v>
      </c>
    </row>
    <row r="7450" spans="2:7" x14ac:dyDescent="0.25">
      <c r="B7450" s="70">
        <v>43402</v>
      </c>
      <c r="C7450" t="s">
        <v>56</v>
      </c>
      <c r="D7450" t="s">
        <v>82</v>
      </c>
      <c r="E7450" t="s">
        <v>627</v>
      </c>
      <c r="F7450">
        <v>120</v>
      </c>
      <c r="G7450">
        <v>0</v>
      </c>
    </row>
    <row r="7451" spans="2:7" x14ac:dyDescent="0.25">
      <c r="B7451" s="70">
        <v>43402</v>
      </c>
      <c r="C7451" t="s">
        <v>21</v>
      </c>
      <c r="D7451" t="s">
        <v>79</v>
      </c>
      <c r="E7451" t="s">
        <v>627</v>
      </c>
      <c r="F7451">
        <v>8</v>
      </c>
      <c r="G7451">
        <v>0</v>
      </c>
    </row>
    <row r="7452" spans="2:7" x14ac:dyDescent="0.25">
      <c r="B7452" s="70">
        <v>43402</v>
      </c>
      <c r="C7452" t="s">
        <v>21</v>
      </c>
      <c r="D7452" t="s">
        <v>79</v>
      </c>
      <c r="E7452" t="s">
        <v>627</v>
      </c>
      <c r="F7452">
        <v>24</v>
      </c>
      <c r="G7452">
        <v>0</v>
      </c>
    </row>
    <row r="7453" spans="2:7" x14ac:dyDescent="0.25">
      <c r="B7453" s="70">
        <v>43402</v>
      </c>
      <c r="C7453" t="s">
        <v>48</v>
      </c>
      <c r="D7453" t="s">
        <v>79</v>
      </c>
      <c r="E7453" t="s">
        <v>627</v>
      </c>
      <c r="F7453">
        <v>48</v>
      </c>
      <c r="G7453">
        <v>0</v>
      </c>
    </row>
    <row r="7454" spans="2:7" x14ac:dyDescent="0.25">
      <c r="B7454" s="70">
        <v>43402</v>
      </c>
      <c r="C7454" t="s">
        <v>65</v>
      </c>
      <c r="D7454" t="s">
        <v>82</v>
      </c>
      <c r="E7454" t="s">
        <v>627</v>
      </c>
      <c r="F7454">
        <v>70</v>
      </c>
      <c r="G7454">
        <v>0</v>
      </c>
    </row>
    <row r="7455" spans="2:7" x14ac:dyDescent="0.25">
      <c r="B7455" s="70">
        <v>43402</v>
      </c>
      <c r="C7455" t="s">
        <v>24</v>
      </c>
      <c r="D7455" t="s">
        <v>79</v>
      </c>
      <c r="E7455" t="s">
        <v>627</v>
      </c>
      <c r="F7455">
        <v>8</v>
      </c>
      <c r="G7455">
        <v>0</v>
      </c>
    </row>
    <row r="7456" spans="2:7" x14ac:dyDescent="0.25">
      <c r="B7456" s="70">
        <v>43286</v>
      </c>
      <c r="C7456" t="s">
        <v>25</v>
      </c>
      <c r="D7456" t="s">
        <v>81</v>
      </c>
      <c r="E7456" t="s">
        <v>333</v>
      </c>
      <c r="F7456">
        <v>4.5</v>
      </c>
      <c r="G7456">
        <v>0</v>
      </c>
    </row>
    <row r="7457" spans="2:7" x14ac:dyDescent="0.25">
      <c r="B7457" s="70">
        <v>43286</v>
      </c>
      <c r="C7457" t="s">
        <v>59</v>
      </c>
      <c r="D7457" t="s">
        <v>84</v>
      </c>
      <c r="E7457" t="s">
        <v>628</v>
      </c>
      <c r="F7457">
        <v>67.430000000000007</v>
      </c>
      <c r="G7457">
        <v>0</v>
      </c>
    </row>
    <row r="7458" spans="2:7" x14ac:dyDescent="0.25">
      <c r="B7458" s="70">
        <v>43286</v>
      </c>
      <c r="C7458" t="s">
        <v>44</v>
      </c>
      <c r="D7458" t="s">
        <v>84</v>
      </c>
      <c r="E7458" t="s">
        <v>628</v>
      </c>
      <c r="F7458">
        <v>356</v>
      </c>
      <c r="G7458">
        <v>0</v>
      </c>
    </row>
    <row r="7459" spans="2:7" x14ac:dyDescent="0.25">
      <c r="B7459" s="70">
        <v>43286</v>
      </c>
      <c r="C7459" t="s">
        <v>70</v>
      </c>
      <c r="D7459" t="s">
        <v>79</v>
      </c>
      <c r="E7459" t="s">
        <v>628</v>
      </c>
      <c r="F7459">
        <v>490</v>
      </c>
      <c r="G7459">
        <v>0</v>
      </c>
    </row>
    <row r="7460" spans="2:7" x14ac:dyDescent="0.25">
      <c r="B7460" s="70">
        <v>43286</v>
      </c>
      <c r="C7460" t="s">
        <v>69</v>
      </c>
      <c r="D7460" t="s">
        <v>85</v>
      </c>
      <c r="E7460" t="s">
        <v>628</v>
      </c>
      <c r="F7460">
        <v>25</v>
      </c>
      <c r="G7460">
        <v>0</v>
      </c>
    </row>
    <row r="7461" spans="2:7" x14ac:dyDescent="0.25">
      <c r="B7461" s="70">
        <v>43418</v>
      </c>
      <c r="C7461" t="s">
        <v>51</v>
      </c>
      <c r="D7461" t="s">
        <v>82</v>
      </c>
      <c r="E7461" t="s">
        <v>629</v>
      </c>
      <c r="F7461">
        <v>27</v>
      </c>
      <c r="G7461">
        <v>0</v>
      </c>
    </row>
    <row r="7462" spans="2:7" x14ac:dyDescent="0.25">
      <c r="B7462" s="70">
        <v>43418</v>
      </c>
      <c r="C7462" t="s">
        <v>21</v>
      </c>
      <c r="D7462" t="s">
        <v>79</v>
      </c>
      <c r="E7462" t="s">
        <v>629</v>
      </c>
      <c r="F7462">
        <v>8</v>
      </c>
      <c r="G7462">
        <v>0</v>
      </c>
    </row>
    <row r="7463" spans="2:7" x14ac:dyDescent="0.25">
      <c r="B7463" s="70">
        <v>43418</v>
      </c>
      <c r="C7463" t="s">
        <v>21</v>
      </c>
      <c r="D7463" t="s">
        <v>79</v>
      </c>
      <c r="E7463" t="s">
        <v>629</v>
      </c>
      <c r="F7463">
        <v>16</v>
      </c>
      <c r="G7463">
        <v>0</v>
      </c>
    </row>
    <row r="7464" spans="2:7" x14ac:dyDescent="0.25">
      <c r="B7464" s="70">
        <v>43418</v>
      </c>
      <c r="C7464" t="s">
        <v>21</v>
      </c>
      <c r="D7464" t="s">
        <v>79</v>
      </c>
      <c r="E7464" t="s">
        <v>629</v>
      </c>
      <c r="F7464">
        <v>32</v>
      </c>
      <c r="G7464">
        <v>0</v>
      </c>
    </row>
    <row r="7465" spans="2:7" x14ac:dyDescent="0.25">
      <c r="B7465" s="70">
        <v>43418</v>
      </c>
      <c r="C7465" t="s">
        <v>21</v>
      </c>
      <c r="D7465" t="s">
        <v>79</v>
      </c>
      <c r="E7465" t="s">
        <v>629</v>
      </c>
      <c r="F7465">
        <v>40</v>
      </c>
      <c r="G7465">
        <v>0</v>
      </c>
    </row>
    <row r="7466" spans="2:7" x14ac:dyDescent="0.25">
      <c r="B7466" s="70">
        <v>43418</v>
      </c>
      <c r="C7466" t="s">
        <v>53</v>
      </c>
      <c r="D7466" t="s">
        <v>82</v>
      </c>
      <c r="E7466" t="s">
        <v>629</v>
      </c>
      <c r="F7466">
        <v>10</v>
      </c>
      <c r="G7466">
        <v>0</v>
      </c>
    </row>
    <row r="7467" spans="2:7" x14ac:dyDescent="0.25">
      <c r="B7467" s="70">
        <v>43297</v>
      </c>
      <c r="C7467" t="s">
        <v>25</v>
      </c>
      <c r="D7467" t="s">
        <v>79</v>
      </c>
      <c r="E7467" t="s">
        <v>630</v>
      </c>
      <c r="F7467">
        <v>8</v>
      </c>
      <c r="G7467">
        <v>0</v>
      </c>
    </row>
    <row r="7468" spans="2:7" x14ac:dyDescent="0.25">
      <c r="B7468" s="70">
        <v>43297</v>
      </c>
      <c r="C7468" t="s">
        <v>25</v>
      </c>
      <c r="D7468" t="s">
        <v>85</v>
      </c>
      <c r="E7468" t="s">
        <v>630</v>
      </c>
      <c r="F7468">
        <v>85</v>
      </c>
      <c r="G7468">
        <v>0</v>
      </c>
    </row>
    <row r="7469" spans="2:7" x14ac:dyDescent="0.25">
      <c r="B7469" s="70">
        <v>43297</v>
      </c>
      <c r="C7469" t="s">
        <v>25</v>
      </c>
      <c r="D7469" t="s">
        <v>80</v>
      </c>
      <c r="E7469" t="s">
        <v>630</v>
      </c>
      <c r="F7469">
        <v>112</v>
      </c>
      <c r="G7469">
        <v>0</v>
      </c>
    </row>
    <row r="7470" spans="2:7" x14ac:dyDescent="0.25">
      <c r="B7470" s="70">
        <v>43297</v>
      </c>
      <c r="C7470" t="s">
        <v>25</v>
      </c>
      <c r="D7470" t="s">
        <v>100</v>
      </c>
      <c r="E7470" t="s">
        <v>631</v>
      </c>
      <c r="F7470">
        <v>4.8</v>
      </c>
      <c r="G7470">
        <v>0</v>
      </c>
    </row>
    <row r="7471" spans="2:7" x14ac:dyDescent="0.25">
      <c r="B7471" s="70">
        <v>43297</v>
      </c>
      <c r="C7471" t="s">
        <v>46</v>
      </c>
      <c r="D7471" t="s">
        <v>79</v>
      </c>
      <c r="E7471" t="s">
        <v>630</v>
      </c>
      <c r="F7471">
        <v>64.900000000000006</v>
      </c>
      <c r="G7471">
        <v>0</v>
      </c>
    </row>
    <row r="7472" spans="2:7" x14ac:dyDescent="0.25">
      <c r="B7472" s="70">
        <v>43297</v>
      </c>
      <c r="C7472" t="s">
        <v>46</v>
      </c>
      <c r="D7472" t="s">
        <v>85</v>
      </c>
      <c r="E7472" t="s">
        <v>630</v>
      </c>
      <c r="F7472">
        <v>25.95</v>
      </c>
      <c r="G7472">
        <v>0</v>
      </c>
    </row>
    <row r="7473" spans="2:7" x14ac:dyDescent="0.25">
      <c r="B7473" s="70">
        <v>43297</v>
      </c>
      <c r="C7473" t="s">
        <v>21</v>
      </c>
      <c r="D7473" t="s">
        <v>79</v>
      </c>
      <c r="E7473" t="s">
        <v>630</v>
      </c>
      <c r="F7473">
        <v>8</v>
      </c>
      <c r="G7473">
        <v>0</v>
      </c>
    </row>
    <row r="7474" spans="2:7" x14ac:dyDescent="0.25">
      <c r="B7474" s="70">
        <v>43297</v>
      </c>
      <c r="C7474" t="s">
        <v>21</v>
      </c>
      <c r="D7474" t="s">
        <v>79</v>
      </c>
      <c r="E7474" t="s">
        <v>630</v>
      </c>
      <c r="F7474">
        <v>16</v>
      </c>
      <c r="G7474">
        <v>0</v>
      </c>
    </row>
    <row r="7475" spans="2:7" x14ac:dyDescent="0.25">
      <c r="B7475" s="70">
        <v>43297</v>
      </c>
      <c r="C7475" t="s">
        <v>21</v>
      </c>
      <c r="D7475" t="s">
        <v>79</v>
      </c>
      <c r="E7475" t="s">
        <v>630</v>
      </c>
      <c r="F7475">
        <v>56</v>
      </c>
      <c r="G7475">
        <v>0</v>
      </c>
    </row>
    <row r="7476" spans="2:7" x14ac:dyDescent="0.25">
      <c r="B7476" s="70">
        <v>43297</v>
      </c>
      <c r="C7476" t="s">
        <v>66</v>
      </c>
      <c r="D7476" t="s">
        <v>91</v>
      </c>
      <c r="E7476" t="s">
        <v>630</v>
      </c>
      <c r="F7476">
        <v>162.5</v>
      </c>
      <c r="G7476">
        <v>0</v>
      </c>
    </row>
    <row r="7477" spans="2:7" x14ac:dyDescent="0.25">
      <c r="B7477" s="70">
        <v>43297</v>
      </c>
      <c r="C7477" t="s">
        <v>45</v>
      </c>
      <c r="D7477" t="s">
        <v>91</v>
      </c>
      <c r="E7477" t="s">
        <v>630</v>
      </c>
      <c r="F7477">
        <v>390</v>
      </c>
      <c r="G7477">
        <v>0</v>
      </c>
    </row>
    <row r="7478" spans="2:7" x14ac:dyDescent="0.25">
      <c r="B7478" s="70">
        <v>43297</v>
      </c>
      <c r="C7478" t="s">
        <v>50</v>
      </c>
      <c r="D7478" t="s">
        <v>85</v>
      </c>
      <c r="E7478" t="s">
        <v>630</v>
      </c>
      <c r="F7478">
        <v>22.75</v>
      </c>
      <c r="G7478">
        <v>0</v>
      </c>
    </row>
    <row r="7479" spans="2:7" x14ac:dyDescent="0.25">
      <c r="B7479" s="70">
        <v>43297</v>
      </c>
      <c r="C7479" t="s">
        <v>24</v>
      </c>
      <c r="D7479" t="s">
        <v>79</v>
      </c>
      <c r="E7479" t="s">
        <v>630</v>
      </c>
      <c r="F7479">
        <v>8</v>
      </c>
      <c r="G7479">
        <v>0</v>
      </c>
    </row>
    <row r="7480" spans="2:7" x14ac:dyDescent="0.25">
      <c r="B7480" s="70">
        <v>43297</v>
      </c>
      <c r="C7480" t="s">
        <v>60</v>
      </c>
      <c r="D7480" t="s">
        <v>85</v>
      </c>
      <c r="E7480" t="s">
        <v>630</v>
      </c>
      <c r="F7480">
        <v>8</v>
      </c>
      <c r="G7480">
        <v>0</v>
      </c>
    </row>
    <row r="7481" spans="2:7" x14ac:dyDescent="0.25">
      <c r="B7481" s="70">
        <v>43255</v>
      </c>
      <c r="C7481" t="s">
        <v>25</v>
      </c>
      <c r="D7481" t="s">
        <v>85</v>
      </c>
      <c r="E7481" t="s">
        <v>632</v>
      </c>
      <c r="F7481">
        <v>18</v>
      </c>
      <c r="G7481">
        <v>0</v>
      </c>
    </row>
    <row r="7482" spans="2:7" x14ac:dyDescent="0.25">
      <c r="B7482" s="70">
        <v>43255</v>
      </c>
      <c r="C7482" t="s">
        <v>25</v>
      </c>
      <c r="D7482" t="s">
        <v>80</v>
      </c>
      <c r="E7482" t="s">
        <v>632</v>
      </c>
      <c r="F7482">
        <v>96</v>
      </c>
      <c r="G7482">
        <v>0</v>
      </c>
    </row>
  </sheetData>
  <dataValidations count="2">
    <dataValidation type="list" allowBlank="1" showInputMessage="1" showErrorMessage="1" sqref="O13">
      <formula1>"#N/A"</formula1>
    </dataValidation>
    <dataValidation type="list" allowBlank="1" showInputMessage="1" showErrorMessage="1" sqref="O10">
      <formula1>TablaMeses</formula1>
    </dataValidation>
  </dataValidations>
  <pageMargins left="0.7" right="0.7" top="0.75" bottom="0.75" header="0.3" footer="0.3"/>
  <pageSetup orientation="portrait" r:id="rId3"/>
  <tableParts count="2">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4CB9EC-D736-4740-91C1-F0AD5CCF7707}">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vt:i4>
      </vt:variant>
    </vt:vector>
  </HeadingPairs>
  <TitlesOfParts>
    <vt:vector size="11" baseType="lpstr">
      <vt:lpstr>Dashboard (2)</vt:lpstr>
      <vt:lpstr>Infosheet</vt:lpstr>
      <vt:lpstr>Dashboard</vt:lpstr>
      <vt:lpstr>Leyenda</vt:lpstr>
      <vt:lpstr>Data</vt:lpstr>
      <vt:lpstr>Tabla</vt:lpstr>
      <vt:lpstr>CeldaMax</vt:lpstr>
      <vt:lpstr>RangoBarra</vt:lpstr>
      <vt:lpstr>ranrowgrid</vt:lpstr>
      <vt:lpstr>TablaAños</vt:lpstr>
      <vt:lpstr>TablaMeses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Amaya</dc:creator>
  <cp:lastModifiedBy>Axel Amaya</cp:lastModifiedBy>
  <dcterms:created xsi:type="dcterms:W3CDTF">2019-08-01T19:35:56Z</dcterms:created>
  <dcterms:modified xsi:type="dcterms:W3CDTF">2019-08-23T22:19:58Z</dcterms:modified>
</cp:coreProperties>
</file>